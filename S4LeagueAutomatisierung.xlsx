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_Stats_All_Time" sheetId="1" r:id="rId4"/>
    <sheet state="visible" name="Player_Stats_All_Time_2v2" sheetId="2" r:id="rId5"/>
    <sheet state="visible" name="Player_Stats_All_Time_3v3" sheetId="3" r:id="rId6"/>
    <sheet state="visible" name="Player_Stats_S1_2v2" sheetId="4" r:id="rId7"/>
    <sheet state="visible" name="Player_Stats_S2_2v2" sheetId="5" r:id="rId8"/>
    <sheet state="visible" name="Player_Stats_S1_3v3" sheetId="6" r:id="rId9"/>
    <sheet state="visible" name="Player_Stats_S2_3v3" sheetId="7" r:id="rId10"/>
    <sheet state="visible" name="Team_Stats_All_Time_2v2" sheetId="8" r:id="rId11"/>
    <sheet state="visible" name="Team_Stats_All_Time_3v3" sheetId="9" r:id="rId12"/>
    <sheet state="visible" name="Elo_Player_All" sheetId="10" r:id="rId13"/>
    <sheet state="visible" name="Raw" sheetId="11" r:id="rId14"/>
  </sheets>
  <definedNames/>
  <calcPr/>
</workbook>
</file>

<file path=xl/sharedStrings.xml><?xml version="1.0" encoding="utf-8"?>
<sst xmlns="http://schemas.openxmlformats.org/spreadsheetml/2006/main" count="4654" uniqueCount="294">
  <si>
    <t>player_name</t>
  </si>
  <si>
    <t>games_played</t>
  </si>
  <si>
    <t>wins</t>
  </si>
  <si>
    <t>losses</t>
  </si>
  <si>
    <t>winrate</t>
  </si>
  <si>
    <t>total_goals</t>
  </si>
  <si>
    <t>avg_goals</t>
  </si>
  <si>
    <t>total_assists</t>
  </si>
  <si>
    <t>avg_assists</t>
  </si>
  <si>
    <t>total_damage</t>
  </si>
  <si>
    <t>avg_damage</t>
  </si>
  <si>
    <t>total_score</t>
  </si>
  <si>
    <t>avg_score</t>
  </si>
  <si>
    <t>avg_dps</t>
  </si>
  <si>
    <t>ELO_current</t>
  </si>
  <si>
    <t>ELO_change_10_matches</t>
  </si>
  <si>
    <t>ELO_peak</t>
  </si>
  <si>
    <t>team_key</t>
  </si>
  <si>
    <t>avg_team_goals</t>
  </si>
  <si>
    <t>avg_team_score</t>
  </si>
  <si>
    <t>match_id</t>
  </si>
  <si>
    <t>date</t>
  </si>
  <si>
    <t>opponent_team_key</t>
  </si>
  <si>
    <t>match_result</t>
  </si>
  <si>
    <t>team_size</t>
  </si>
  <si>
    <t>opponent_1</t>
  </si>
  <si>
    <t>opponent_2</t>
  </si>
  <si>
    <t>opponent_3</t>
  </si>
  <si>
    <t>opponent_1_elo</t>
  </si>
  <si>
    <t>opponent_2_elo</t>
  </si>
  <si>
    <t>opponent_3_elo</t>
  </si>
  <si>
    <t>player_elo_before</t>
  </si>
  <si>
    <t>opponent_average_elo</t>
  </si>
  <si>
    <t>elo_change</t>
  </si>
  <si>
    <t>player_elo_after</t>
  </si>
  <si>
    <t>season</t>
  </si>
  <si>
    <t>match_duration</t>
  </si>
  <si>
    <t>match_duration_seconds</t>
  </si>
  <si>
    <t>winner_team</t>
  </si>
  <si>
    <t>team_name</t>
  </si>
  <si>
    <t>team_result</t>
  </si>
  <si>
    <t>goals</t>
  </si>
  <si>
    <t>team_goals</t>
  </si>
  <si>
    <t>assists</t>
  </si>
  <si>
    <t>damage</t>
  </si>
  <si>
    <t>score</t>
  </si>
  <si>
    <t>team_score</t>
  </si>
  <si>
    <t>dps</t>
  </si>
  <si>
    <t>1Ox0HuDmkOY5o4pZSVVvwXh5hMzsxAnye</t>
  </si>
  <si>
    <t>Season 1</t>
  </si>
  <si>
    <t>14m 12s</t>
  </si>
  <si>
    <t>2v2</t>
  </si>
  <si>
    <t>red</t>
  </si>
  <si>
    <t>win</t>
  </si>
  <si>
    <t>Kesny + Malena</t>
  </si>
  <si>
    <t>Malena</t>
  </si>
  <si>
    <t>Nebus. + ZeroO</t>
  </si>
  <si>
    <t>Kesny</t>
  </si>
  <si>
    <t>blue</t>
  </si>
  <si>
    <t>loss</t>
  </si>
  <si>
    <t>Nebus.</t>
  </si>
  <si>
    <t>ZeroO</t>
  </si>
  <si>
    <t>1NJa30Ghn91d9GVsm99NjFnW5TNyJJPKv</t>
  </si>
  <si>
    <t>16m 46s</t>
  </si>
  <si>
    <t>18IowcNI-5amD-S7qC_av0hwoq_c6EQyB</t>
  </si>
  <si>
    <t>12m 5s</t>
  </si>
  <si>
    <t>1D-sEyHaHbPxuKve7zodNkjp0qyQS_8Ft</t>
  </si>
  <si>
    <t>17m 25s</t>
  </si>
  <si>
    <t>1v2C8p7sbgHIhu36PJV1BHt_a3hhLiFXR</t>
  </si>
  <si>
    <t>11m 30s</t>
  </si>
  <si>
    <t>Malena + Nebus.</t>
  </si>
  <si>
    <t>Kesny + ZeroO</t>
  </si>
  <si>
    <t>1As2GAOMVmHmrfefGtl6MVT-1QggnVRCq</t>
  </si>
  <si>
    <t>14m 20s</t>
  </si>
  <si>
    <t>1rz8-Icsok4sE9EtZYW3DoWFskZJYNl_w</t>
  </si>
  <si>
    <t>10m 27s</t>
  </si>
  <si>
    <t>Malena + Tess1509</t>
  </si>
  <si>
    <t>Tess1509</t>
  </si>
  <si>
    <t>11GjTLSEnjOXnVNOhoLXoySUIaFij8ygz</t>
  </si>
  <si>
    <t>15m 20s</t>
  </si>
  <si>
    <t>1bor8YmM5OgMvOjWzukVqToJWDOXhDsQ4</t>
  </si>
  <si>
    <t>9m 13s</t>
  </si>
  <si>
    <t>Nebus. + Tess1509</t>
  </si>
  <si>
    <t>Malena + ZeroO</t>
  </si>
  <si>
    <t>1qPrp2vxvYLuS70ioiwER6z4uhCClab-n</t>
  </si>
  <si>
    <t>6m 50s</t>
  </si>
  <si>
    <t>1dErWQEoV6GqN0Os9gTKoyN46mSynbwp9</t>
  </si>
  <si>
    <t>11m 11s</t>
  </si>
  <si>
    <t>Tess1509 + ZeroO</t>
  </si>
  <si>
    <t>1GckaUjRqIb-0h9A2al2wH-CRVp9TgGbv</t>
  </si>
  <si>
    <t>11m 7s</t>
  </si>
  <si>
    <t>1eXovgQyU5iyUgu7zrEp1CEvMYjcBFuVY</t>
  </si>
  <si>
    <t>12m 44s</t>
  </si>
  <si>
    <t>13fhHv2_ODuMNPOtCpWr9yvD1HSaNkXvu</t>
  </si>
  <si>
    <t>13m 6s</t>
  </si>
  <si>
    <t>1HKkP0PpJ7-6uG-bE1m3_Kwmjr4f0vGyU</t>
  </si>
  <si>
    <t>16m 58s</t>
  </si>
  <si>
    <t>3v3</t>
  </si>
  <si>
    <t>Malena + Nebus. + Tess1509</t>
  </si>
  <si>
    <t>Aferdita + Kesny + ZeroO</t>
  </si>
  <si>
    <t>Aferdita</t>
  </si>
  <si>
    <t>1ajhxBAUSn2_DT2vRRc2gOOzS3E4iKahI</t>
  </si>
  <si>
    <t>17m 6s</t>
  </si>
  <si>
    <t>Kesny + Malena + Tess1509</t>
  </si>
  <si>
    <t>Aferdita + Nebus. + ZeroO</t>
  </si>
  <si>
    <t>1gSH0ahh3C14E0xRR-TKkNS8ylcE-HTBA</t>
  </si>
  <si>
    <t>17m 40s</t>
  </si>
  <si>
    <t>Aferdita + Kesny + Nebus.</t>
  </si>
  <si>
    <t>Malena + Tess1509 + ZeroO</t>
  </si>
  <si>
    <t>1y94hw-RiIO58-mE2Y5D0kekuS8GVIaA4</t>
  </si>
  <si>
    <t>16m 29s</t>
  </si>
  <si>
    <t>Aferdita + Kesny + Malena</t>
  </si>
  <si>
    <t>Nebus. + Tess1509 + ZeroO</t>
  </si>
  <si>
    <t>1APB94aE1XShPKNrUoS_ppvUmnuJQ1nmD</t>
  </si>
  <si>
    <t>7m 32s</t>
  </si>
  <si>
    <t>Aferdita + Malena + Tess1509</t>
  </si>
  <si>
    <t>Kesny + Nebus. + ZeroO</t>
  </si>
  <si>
    <t>1hGsTwwXW8pSu1VvYIRAAqmHIsCXotSqJ</t>
  </si>
  <si>
    <t>14m 53s</t>
  </si>
  <si>
    <t>1VRkRzx1h5jG0wjRAGk2WyIbBPOC6mqY1</t>
  </si>
  <si>
    <t>14m 17s</t>
  </si>
  <si>
    <t>1vH2n0X2sAg-wpJrw5x_j9rwpLmcEJIxP</t>
  </si>
  <si>
    <t>14m 23s</t>
  </si>
  <si>
    <t>Kesny + Nebus.</t>
  </si>
  <si>
    <t>1OdZgJjBlCqHjzIfQBEWk_N1A50vWjagz</t>
  </si>
  <si>
    <t>13m 55s</t>
  </si>
  <si>
    <t>1pI-6IiRHicDWk3FF7nIiBhtXB6B1hqeP</t>
  </si>
  <si>
    <t>11m 26s</t>
  </si>
  <si>
    <t>1nCShGFLkIx34kuKkm2OJ8S9RtcGOZFqZ</t>
  </si>
  <si>
    <t>11m 5s</t>
  </si>
  <si>
    <t>1TZMaJbMCMcBhU4W909MbDMTovN3gBmhq</t>
  </si>
  <si>
    <t>12m 29s</t>
  </si>
  <si>
    <t>1LVGCvXXnu2t7FTwKk7LwATdO_fd6COtJ</t>
  </si>
  <si>
    <t>10m 12s</t>
  </si>
  <si>
    <t>1JWPRMkC02R3gKsIae-Ezjvo4oH_EeHb0</t>
  </si>
  <si>
    <t>10m 50s</t>
  </si>
  <si>
    <t>13eCSLe08CB9k46MG72a1J-wwH5pvn60M</t>
  </si>
  <si>
    <t>10m 10s</t>
  </si>
  <si>
    <t>1-JpFh5251gIzv0lH8PI9DtPVK3DcgGHr</t>
  </si>
  <si>
    <t>9m 42s</t>
  </si>
  <si>
    <t>1Qk_Ed2hT7ns2-P4vMBXA4sM2PU2s08f9</t>
  </si>
  <si>
    <t>12m 28s</t>
  </si>
  <si>
    <t>1wSURhP25lCUYF7IRFCeFtKaqxvT2JjOu</t>
  </si>
  <si>
    <t>13m 37s</t>
  </si>
  <si>
    <t>1GiVsIy8PLxDJZrX5h0v6Fz64p5wp9hYr</t>
  </si>
  <si>
    <t>23m 22s</t>
  </si>
  <si>
    <t>Anbuu + Kesny + Malena</t>
  </si>
  <si>
    <t>Anbuu</t>
  </si>
  <si>
    <t>1DHJZ20VSUB44O7YzL36qxWpMXfUkNCkc</t>
  </si>
  <si>
    <t>27m 41s</t>
  </si>
  <si>
    <t>10PDRj7isv0sM8Zfd3OlcZPXXup4Ngy2h</t>
  </si>
  <si>
    <t>13m 9s</t>
  </si>
  <si>
    <t>Anbuu + Kesny + Tess1509</t>
  </si>
  <si>
    <t>Malena + Nebus. + ZeroO</t>
  </si>
  <si>
    <t>19bbu64yripZ9f57QTEHU1vlebbXRGxao</t>
  </si>
  <si>
    <t>13m 31s</t>
  </si>
  <si>
    <t>Anbuu + Nebus. + ZeroO</t>
  </si>
  <si>
    <t>1n33F2XXBerx8M9vN-Hy8dO4PKK16N3oD</t>
  </si>
  <si>
    <t>12m 48s</t>
  </si>
  <si>
    <t>Aferdita + Anbuu + ZeroO</t>
  </si>
  <si>
    <t>Kesny + Malena + Nebus.</t>
  </si>
  <si>
    <t>1UhjqNFtaCT9AEPQgwZQhxPdde8D6x28m</t>
  </si>
  <si>
    <t>20m 28s</t>
  </si>
  <si>
    <t>1AAEwDZjHW33GSeCX2aW4mJ-lSAkFip8e</t>
  </si>
  <si>
    <t>25m 10s</t>
  </si>
  <si>
    <t>Anbuu + Aferdita + Malena</t>
  </si>
  <si>
    <t>1xzHEm99uI1T7qAuyex9hyfFKf9mqavU4</t>
  </si>
  <si>
    <t>20m 50s</t>
  </si>
  <si>
    <t>15wd-jcg3PJOtkENTemEUUB9fTlrV_B_7</t>
  </si>
  <si>
    <t>23m 8s</t>
  </si>
  <si>
    <t>1fOX4TTwrT4bM2iIpLURaGYSV8T5VdDtM</t>
  </si>
  <si>
    <t>23m 46s</t>
  </si>
  <si>
    <t>18sGw2rnoxKmm4AA4UNOm9kaJOGciI0Iz</t>
  </si>
  <si>
    <t>11m 43s</t>
  </si>
  <si>
    <t>Kesny + Troniix + ZeroO</t>
  </si>
  <si>
    <t>Anbuu + Malena + Nebus.</t>
  </si>
  <si>
    <t>Troniix</t>
  </si>
  <si>
    <t>1ZreXW5RYJWpq8fmBZEf9alRbyJzOpm04</t>
  </si>
  <si>
    <t>16m 52s</t>
  </si>
  <si>
    <t>1jRkZ2oeE_iYjcXKJxXtf7LLd9w582a5H</t>
  </si>
  <si>
    <t>10m 58s</t>
  </si>
  <si>
    <t>Kesny + Nebus. + Troniix</t>
  </si>
  <si>
    <t>Anbuu + Malena + ZeroO</t>
  </si>
  <si>
    <t>1HxQfwTC4C3IEIr3keLGwdY0VNT3zETBW</t>
  </si>
  <si>
    <t>15m 38s</t>
  </si>
  <si>
    <t>Malena + Nebus. + Troniix</t>
  </si>
  <si>
    <t>Anbuu + Kesny + ZeroO</t>
  </si>
  <si>
    <t>1wqpIE7FinyCHzYUbzpSCa2L0o-c8cdXn</t>
  </si>
  <si>
    <t>19m 35s</t>
  </si>
  <si>
    <t>Anbuu + Troniix + ZeroO</t>
  </si>
  <si>
    <t>1k4ss9crFvc3B4y1p5CHhEYwcRi1pIzA3</t>
  </si>
  <si>
    <t>20m 37s</t>
  </si>
  <si>
    <t>1UWoSLFQcNsockCmAJxqusGL8FJYReqSY</t>
  </si>
  <si>
    <t>20m 56s</t>
  </si>
  <si>
    <t>Aferdita + Malena + Nebus.</t>
  </si>
  <si>
    <t>Kesny + Tess1509 + ZeroO</t>
  </si>
  <si>
    <t>1eNnOMMNlVxAq8kXPtKHyDI8fOrLtq6UF</t>
  </si>
  <si>
    <t>17m 22s</t>
  </si>
  <si>
    <t>12GTqEyX9_Ew_Jr0YIRDSwl7f9MOhdkXU</t>
  </si>
  <si>
    <t>Kesny + Nebus. + Tess1509</t>
  </si>
  <si>
    <t>Aferdita + Malena + ZeroO</t>
  </si>
  <si>
    <t>1IROlwyyrilHTZdhBoUbQYxZ-F8iQCg7I</t>
  </si>
  <si>
    <t>15m 30s</t>
  </si>
  <si>
    <t>1WI0p2jBCtATYXe9GyTaRLZ5K8f5Yi3c6</t>
  </si>
  <si>
    <t>16m 22s</t>
  </si>
  <si>
    <t>1LNAAXOqvykE3BlE4bNMMApOOwouOb0Jn</t>
  </si>
  <si>
    <t>12m 56s</t>
  </si>
  <si>
    <t>1H91-ItuUaSVbeobthLJATqAPeXOpMVBz</t>
  </si>
  <si>
    <t>15m 14s</t>
  </si>
  <si>
    <t>1OCEB3ErFsPgV3DhbKXjRRnOFFvecHNyv</t>
  </si>
  <si>
    <t>1Ml5ww_3jeX1_RNJuVG5DleYGwmr6osgT</t>
  </si>
  <si>
    <t>11m 25s</t>
  </si>
  <si>
    <t>1tj-96qpFt3PuaIKmcOm4sFYurvI1TiIs</t>
  </si>
  <si>
    <t>9m 3s</t>
  </si>
  <si>
    <t>1Cq5seXdoycjSHc0CVKD9vrFGbuLlrWyI</t>
  </si>
  <si>
    <t>10m 29s</t>
  </si>
  <si>
    <t>1rU5l-awxrHtM52KZEzU5gqfPNOUCoiow</t>
  </si>
  <si>
    <t>9m 1s</t>
  </si>
  <si>
    <t>1H6OnTmN2_gbvoaEi5hqXco4iCzvnjaVU</t>
  </si>
  <si>
    <t>18m 49s</t>
  </si>
  <si>
    <t>1-r6S_UKlJEnN7PSkTYe-rDt9GaLXsC0V</t>
  </si>
  <si>
    <t>10m 38s</t>
  </si>
  <si>
    <t>1lDy3Um4YK8NScQ57URqWiruLMRmLwJ3b</t>
  </si>
  <si>
    <t>13m 44s</t>
  </si>
  <si>
    <t>1bp3dcM0ooycmcj6I-RrsUB0zUj9woj4w</t>
  </si>
  <si>
    <t>13m 15s</t>
  </si>
  <si>
    <t>1VyQt_5jGUyldwBNSB61lOO6rRWBKSE0b</t>
  </si>
  <si>
    <t>14m 19s</t>
  </si>
  <si>
    <t>1Ii6CC26vOHOsaSeltqNnql5LvNoUt4mP</t>
  </si>
  <si>
    <t>20m 41s</t>
  </si>
  <si>
    <t>1qEM_sCAyTqTVQpLS3lsjOfwkbGtLlRQ9</t>
  </si>
  <si>
    <t>10m 1s</t>
  </si>
  <si>
    <t>1X3WfINxa3bWxuutb1cjLH1pgDbU75K0E</t>
  </si>
  <si>
    <t>1dKWfW-F3FR6bLIXgKPwSiVDHBVk4csIz</t>
  </si>
  <si>
    <t>1kktzYJypIJgm6Eh6CdsXfBDqH4otuvz-</t>
  </si>
  <si>
    <t>12m 33s</t>
  </si>
  <si>
    <t>13XwfKCEBEuWtF7ppyfNHFnRvrYWk4n0d</t>
  </si>
  <si>
    <t>11m 34s</t>
  </si>
  <si>
    <t>1vuNsi_S7TD_cVbVaXijC23oEMVmZLHXW</t>
  </si>
  <si>
    <t>9m 7s</t>
  </si>
  <si>
    <t>1ZBKOJE-hw8pTB7GbQeWCQ2dTJ7DhfFoA</t>
  </si>
  <si>
    <t>7m 27s</t>
  </si>
  <si>
    <t>1l6ATanb2MsyXlpTuFAbfa5T0TRIOuGPl</t>
  </si>
  <si>
    <t>11m 12s</t>
  </si>
  <si>
    <t>1iPcLXDKlNRVmRTZWlZRkhfy6SbudRAXH</t>
  </si>
  <si>
    <t>12m 43s</t>
  </si>
  <si>
    <t>1JYyzprpMUeK27KByugbS72YUTF8qYpb7</t>
  </si>
  <si>
    <t>11m 58s</t>
  </si>
  <si>
    <t>1wQT049_4nrNepdVncG5Thc6IQcHfzKHG</t>
  </si>
  <si>
    <t>14m 37s</t>
  </si>
  <si>
    <t>1ThOZTqVuNQJU_254I-q8wAJD3XI3OCpu</t>
  </si>
  <si>
    <t>7m 20s</t>
  </si>
  <si>
    <t>1zjXfWoLwK_LmziZUFnJf4nV5Qo74ekN4</t>
  </si>
  <si>
    <t>12m 30s</t>
  </si>
  <si>
    <t>15-usRPJAX9yKiSo93uGJ_XbTAzqGNwnn</t>
  </si>
  <si>
    <t>10m 14s</t>
  </si>
  <si>
    <t>1J_mq63qXxQw59zvUTIXkjMZly4-_uqeX</t>
  </si>
  <si>
    <t>Aferdita + ZeroO</t>
  </si>
  <si>
    <t>1MnaL6th1vSB9WTlvQ0FLx8j4lBUVS0T9</t>
  </si>
  <si>
    <t>14m 1s</t>
  </si>
  <si>
    <t>Aferdita + Malena</t>
  </si>
  <si>
    <t>1BDru1pSa6KTg0uetwaouhnjoCw8zB9Rx</t>
  </si>
  <si>
    <t>12m 40s</t>
  </si>
  <si>
    <t>Aferdita + Kesny</t>
  </si>
  <si>
    <t>1x60NFRbYKeIrpOIxrQS8m4S-pJz4p8SO</t>
  </si>
  <si>
    <t>16m 47s</t>
  </si>
  <si>
    <t>17vLReY8CnO96oxdhQV_AhEcef0HzP7Wq</t>
  </si>
  <si>
    <t>1RZat6Xjvfs931Aq4AFe0mkqBwp4mxLr3</t>
  </si>
  <si>
    <t>16m 3s</t>
  </si>
  <si>
    <t>1Cw3A1rZgRPFArSv_nN4vIR0A5X4PqX8I</t>
  </si>
  <si>
    <t>16m 18s</t>
  </si>
  <si>
    <t>1dbcIAGCAY6SkPL_ZH-ql5nGnrYuwqE_m</t>
  </si>
  <si>
    <t>15m 39s</t>
  </si>
  <si>
    <t>1qsemsnLVottWqmmpqvQXcGn_noB-Q_Nd</t>
  </si>
  <si>
    <t>15m 44s</t>
  </si>
  <si>
    <t>19MMPb7yutkosEmLcMoRnxlnbwcrPkK5A</t>
  </si>
  <si>
    <t>10m 33s</t>
  </si>
  <si>
    <t>1rwBHx45VHEYn3nuiJ1jBeJr13s_1S5I9</t>
  </si>
  <si>
    <t>1FDmtd1C4UXJ25y0Y18vCOyZ7oAaShlKF</t>
  </si>
  <si>
    <t>16.11.2025</t>
  </si>
  <si>
    <t>Season 2</t>
  </si>
  <si>
    <t>12m 12s</t>
  </si>
  <si>
    <t>Kesny + Tess1509</t>
  </si>
  <si>
    <t>11aTotZOTfco3M2V1E07-pS73nM27sT0g</t>
  </si>
  <si>
    <t>15m 4s</t>
  </si>
  <si>
    <t>1NEjD_jJKU-XnONTtpW2syuLnM1duxe7K</t>
  </si>
  <si>
    <t>13m 35s</t>
  </si>
  <si>
    <t>1O-fDNtjG2AC4D_9vW8ooLexAOiRXo43X</t>
  </si>
  <si>
    <t>14m 4s</t>
  </si>
  <si>
    <t>18HIEB-8H-6PaV-kazFO_Edhhg5T-o62z</t>
  </si>
  <si>
    <t>14m 36s</t>
  </si>
  <si>
    <t>1sYpJRkB8GVSznx1KSIt2wrFuwLPR7Z5y</t>
  </si>
  <si>
    <t>11m 20s</t>
  </si>
  <si>
    <t>Aferdita + Nebus.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</si>
</sst>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Font="1"/>
    <xf borderId="0" fillId="0" fontId="1" numFmtId="10" xfId="0" applyFont="1" applyNumberFormat="1"/>
    <xf borderId="0" fillId="0" fontId="1" numFmtId="4" xfId="0" applyFont="1" applyNumberFormat="1"/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3" fontId="1" numFmtId="0" xfId="0" applyFont="1"/>
    <xf borderId="0" fillId="0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Fill="1" applyFont="1"/>
    <xf borderId="0" fillId="0" fontId="1" numFmtId="164" xfId="0" applyFont="1" applyNumberFormat="1"/>
    <xf borderId="0" fillId="7" fontId="1" numFmtId="0" xfId="0" applyAlignment="1" applyFill="1" applyFont="1">
      <alignment readingOrder="0"/>
    </xf>
    <xf borderId="0" fillId="6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2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theme="7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tr">
        <f>IFERROR(__xludf.DUMMYFUNCTION("SORT(UNIQUE(FILTER(Raw!L2:L1000, Raw!L2:L1000&lt;&gt;"""")))
"),"Aferdita")</f>
        <v>Aferdita</v>
      </c>
      <c r="B2" s="3">
        <f t="array" ref="B2:B1000">IF(A2:A1000="",
   ,
   COUNTIF(Raw!L:L, A2:A1000)
)
</f>
        <v>29</v>
      </c>
      <c r="C2" s="3">
        <f t="array" ref="C2:C1000">IF(A2:A1000="",
   ,
   COUNTIFS(Raw!L:L, A2:A1000, Raw!I:I, "win")
)
</f>
        <v>13</v>
      </c>
      <c r="D2" s="3">
        <f t="array" ref="D2:D1000">IF(A2:A1000="",
   ,
   COUNTIFS(Raw!L:L, A2:A1000, Raw!I:I, "loss")
)
</f>
        <v>16</v>
      </c>
      <c r="E2" s="4">
        <f t="array" ref="E2:E1000">IF(A2:A1000="",
   ,
   IF(B2:B1000=0, , C2:C1000 / B2:B1000)
)
</f>
        <v>0.4482758621</v>
      </c>
      <c r="F2" s="3">
        <f t="array" ref="F2:F1000">IF(A2:A1000="",
   ,
   SUMIF(Raw!L:L, A2:A1000, Raw!M:M)
)
</f>
        <v>54</v>
      </c>
      <c r="G2" s="5">
        <f t="array" ref="G2:G1000">IF(A2:A1000="",
   ,
   IF(B2:B1000=0, , F2:F1000 / B2:B1000)
)
</f>
        <v>1.862068966</v>
      </c>
      <c r="H2" s="3">
        <f t="array" ref="H2:H1000">IF(A2:A1000="",
   ,
   SUMIF(Raw!L:L, A2:A1000, Raw!O:O)
)
</f>
        <v>10</v>
      </c>
      <c r="I2" s="5">
        <f t="array" ref="I2:I1000">IF(A2:A1000="",
   ,
   IF(B2:B1000=0, , H2:H1000 / B2:B1000)
)
</f>
        <v>0.3448275862</v>
      </c>
      <c r="J2" s="3">
        <f t="array" ref="J2:J1000">IF(A2:A1000="",
   ,
   SUMIF(Raw!L:L, A2:A1000, Raw!P:P)
)
</f>
        <v>46378</v>
      </c>
      <c r="K2" s="5">
        <f t="array" ref="K2:K1000">IF(A2:A1000="",
   ,
   IF(B2:B1000=0, , J2:J1000 / B2:B1000)
)
</f>
        <v>1599.241379</v>
      </c>
      <c r="L2" s="3">
        <f t="array" ref="L2:L1000">IF(A2:A1000="",
   ,
   SUMIF(Raw!L:L, A2:A1000, Raw!Q:Q)
)
</f>
        <v>2755</v>
      </c>
      <c r="M2" s="5">
        <f t="array" ref="M2:M1000">IF(A2:A1000="",
   ,
   IF(B2:B1000=0, , L2:L1000 / B2:B1000)
)
</f>
        <v>95</v>
      </c>
      <c r="N2" s="5">
        <f t="array" ref="N2:N1000">IF(A2:A1000="",
   ,
   IF(
     SUMIF(Raw!L:L, A2:A1000, Raw!E:E)=0,
     ,
     SUMIF(Raw!L:L, A2:A1000, Raw!P:P)
     /
     SUMIF(Raw!L:L, A2:A1000, Raw!E:E)
   )
)
</f>
        <v>1.638566987</v>
      </c>
      <c r="O2" s="3">
        <f>IFERROR(__xludf.DUMMYFUNCTION("IFERROR(INDEX(FILTER(Elo_Player_All!$Q:$Q,Elo_Player_All!$C:$C=A2),ROWS(FILTER(Elo_Player_All!$Q:$Q,Elo_Player_All!$C:$C=A2)),1),1500)"),1484.0)</f>
        <v>1484</v>
      </c>
      <c r="P2" s="3">
        <f>IFERROR(__xludf.DUMMYFUNCTION("IF(A2="""","""",IFERROR(SUM(QUERY(FILTER(Elo_Player_All!P:P,Elo_Player_All!C:C=A2),""LIMIT 10 OFFSET ""&amp;MAX(0,COUNTIF(Elo_Player_All!C:C,A2)-10))),""""))"),-47.0)</f>
        <v>-47</v>
      </c>
      <c r="Q2" s="3">
        <f>IFERROR(__xludf.DUMMYFUNCTION("IF(A2="""","""",IFERROR(MAX(FILTER(Elo_Player_All!$Q:$Q,Elo_Player_All!$C:$C=A2)),""""))"),1543.0)</f>
        <v>1543</v>
      </c>
    </row>
    <row r="3">
      <c r="A3" s="2" t="str">
        <f>IFERROR(__xludf.DUMMYFUNCTION("""COMPUTED_VALUE"""),"Anbuu")</f>
        <v>Anbuu</v>
      </c>
      <c r="B3" s="3">
        <v>12.0</v>
      </c>
      <c r="C3" s="3">
        <v>8.0</v>
      </c>
      <c r="D3" s="3">
        <v>4.0</v>
      </c>
      <c r="E3" s="4">
        <v>0.6666666666666666</v>
      </c>
      <c r="F3" s="3">
        <v>6.0</v>
      </c>
      <c r="G3" s="5">
        <v>0.5</v>
      </c>
      <c r="H3" s="3">
        <v>4.0</v>
      </c>
      <c r="I3" s="5">
        <v>0.3333333333333333</v>
      </c>
      <c r="J3" s="3">
        <v>43928.0</v>
      </c>
      <c r="K3" s="5">
        <v>3660.6666666666665</v>
      </c>
      <c r="L3" s="3">
        <v>1634.0</v>
      </c>
      <c r="M3" s="5">
        <v>136.16666666666666</v>
      </c>
      <c r="N3" s="5">
        <v>3.471197155274595</v>
      </c>
      <c r="O3" s="3">
        <f>IFERROR(__xludf.DUMMYFUNCTION("IFERROR(INDEX(FILTER(Elo_Player_All!$Q:$Q,Elo_Player_All!$C:$C=A3),ROWS(FILTER(Elo_Player_All!$Q:$Q,Elo_Player_All!$C:$C=A3)),1),1500)"),1553.0)</f>
        <v>1553</v>
      </c>
      <c r="P3" s="3">
        <f>IFERROR(__xludf.DUMMYFUNCTION("IF(A3="""","""",IFERROR(SUM(QUERY(FILTER(Elo_Player_All!P:P,Elo_Player_All!C:C=A3),""LIMIT 10 OFFSET ""&amp;MAX(0,COUNTIF(Elo_Player_All!C:C,A3)-10))),""""))"),53.0)</f>
        <v>53</v>
      </c>
      <c r="Q3" s="3">
        <f>IFERROR(__xludf.DUMMYFUNCTION("IF(A3="""","""",IFERROR(MAX(FILTER(Elo_Player_All!$Q:$Q,Elo_Player_All!$C:$C=A3)),""""))"),1572.0)</f>
        <v>1572</v>
      </c>
    </row>
    <row r="4">
      <c r="A4" s="2" t="str">
        <f>IFERROR(__xludf.DUMMYFUNCTION("""COMPUTED_VALUE"""),"Kesny")</f>
        <v>Kesny</v>
      </c>
      <c r="B4" s="3">
        <v>65.0</v>
      </c>
      <c r="C4" s="3">
        <v>23.0</v>
      </c>
      <c r="D4" s="3">
        <v>42.0</v>
      </c>
      <c r="E4" s="4">
        <v>0.35384615384615387</v>
      </c>
      <c r="F4" s="3">
        <v>224.0</v>
      </c>
      <c r="G4" s="5">
        <v>3.4461538461538463</v>
      </c>
      <c r="H4" s="3">
        <v>64.0</v>
      </c>
      <c r="I4" s="5">
        <v>0.9846153846153847</v>
      </c>
      <c r="J4" s="3">
        <v>117398.0</v>
      </c>
      <c r="K4" s="5">
        <v>1806.123076923077</v>
      </c>
      <c r="L4" s="3">
        <v>9071.0</v>
      </c>
      <c r="M4" s="5">
        <v>139.55384615384617</v>
      </c>
      <c r="N4" s="5">
        <v>1.9907413687851863</v>
      </c>
      <c r="O4" s="3">
        <f>IFERROR(__xludf.DUMMYFUNCTION("IFERROR(INDEX(FILTER(Elo_Player_All!$Q:$Q,Elo_Player_All!$C:$C=A4),ROWS(FILTER(Elo_Player_All!$Q:$Q,Elo_Player_All!$C:$C=A4)),1),1500)"),1427.0)</f>
        <v>1427</v>
      </c>
      <c r="P4" s="3">
        <f>IFERROR(__xludf.DUMMYFUNCTION("IF(A4="""","""",IFERROR(SUM(QUERY(FILTER(Elo_Player_All!P:P,Elo_Player_All!C:C=A4),""LIMIT 10 OFFSET ""&amp;MAX(0,COUNTIF(Elo_Player_All!C:C,A4)-10))),""""))"),26.0)</f>
        <v>26</v>
      </c>
      <c r="Q4" s="3">
        <f>IFERROR(__xludf.DUMMYFUNCTION("IF(A4="""","""",IFERROR(MAX(FILTER(Elo_Player_All!$Q:$Q,Elo_Player_All!$C:$C=A4)),""""))"),1542.0)</f>
        <v>1542</v>
      </c>
    </row>
    <row r="5">
      <c r="A5" s="2" t="str">
        <f>IFERROR(__xludf.DUMMYFUNCTION("""COMPUTED_VALUE"""),"Malena")</f>
        <v>Malena</v>
      </c>
      <c r="B5" s="3">
        <v>97.0</v>
      </c>
      <c r="C5" s="3">
        <v>52.0</v>
      </c>
      <c r="D5" s="3">
        <v>45.0</v>
      </c>
      <c r="E5" s="4">
        <v>0.5360824742268041</v>
      </c>
      <c r="F5" s="3">
        <v>515.0</v>
      </c>
      <c r="G5" s="5">
        <v>5.309278350515464</v>
      </c>
      <c r="H5" s="3">
        <v>33.0</v>
      </c>
      <c r="I5" s="5">
        <v>0.3402061855670103</v>
      </c>
      <c r="J5" s="3">
        <v>211553.0</v>
      </c>
      <c r="K5" s="5">
        <v>2180.958762886598</v>
      </c>
      <c r="L5" s="3">
        <v>15066.0</v>
      </c>
      <c r="M5" s="5">
        <v>155.31958762886597</v>
      </c>
      <c r="N5" s="5">
        <v>2.595423874371243</v>
      </c>
      <c r="O5" s="3">
        <f>IFERROR(__xludf.DUMMYFUNCTION("IFERROR(INDEX(FILTER(Elo_Player_All!$Q:$Q,Elo_Player_All!$C:$C=A5),ROWS(FILTER(Elo_Player_All!$Q:$Q,Elo_Player_All!$C:$C=A5)),1),1500)"),1582.0)</f>
        <v>1582</v>
      </c>
      <c r="P5" s="3">
        <f>IFERROR(__xludf.DUMMYFUNCTION("IF(A5="""","""",IFERROR(SUM(QUERY(FILTER(Elo_Player_All!P:P,Elo_Player_All!C:C=A5),""LIMIT 10 OFFSET ""&amp;MAX(0,COUNTIF(Elo_Player_All!C:C,A5)-10))),""""))"),19.0)</f>
        <v>19</v>
      </c>
      <c r="Q5" s="3">
        <f>IFERROR(__xludf.DUMMYFUNCTION("IF(A5="""","""",IFERROR(MAX(FILTER(Elo_Player_All!$Q:$Q,Elo_Player_All!$C:$C=A5)),""""))"),1632.0)</f>
        <v>1632</v>
      </c>
    </row>
    <row r="6">
      <c r="A6" s="2" t="str">
        <f>IFERROR(__xludf.DUMMYFUNCTION("""COMPUTED_VALUE"""),"Nebus.")</f>
        <v>Nebus.</v>
      </c>
      <c r="B6" s="3">
        <v>93.0</v>
      </c>
      <c r="C6" s="3">
        <v>61.0</v>
      </c>
      <c r="D6" s="3">
        <v>32.0</v>
      </c>
      <c r="E6" s="4">
        <v>0.6559139784946236</v>
      </c>
      <c r="F6" s="3">
        <v>328.0</v>
      </c>
      <c r="G6" s="5">
        <v>3.5268817204301075</v>
      </c>
      <c r="H6" s="3">
        <v>37.0</v>
      </c>
      <c r="I6" s="5">
        <v>0.3978494623655914</v>
      </c>
      <c r="J6" s="3">
        <v>233687.0</v>
      </c>
      <c r="K6" s="5">
        <v>2512.7634408602153</v>
      </c>
      <c r="L6" s="3">
        <v>13269.0</v>
      </c>
      <c r="M6" s="5">
        <v>142.67741935483872</v>
      </c>
      <c r="N6" s="5">
        <v>2.9824895026355085</v>
      </c>
      <c r="O6" s="3">
        <f>IFERROR(__xludf.DUMMYFUNCTION("IFERROR(INDEX(FILTER(Elo_Player_All!$Q:$Q,Elo_Player_All!$C:$C=A6),ROWS(FILTER(Elo_Player_All!$Q:$Q,Elo_Player_All!$C:$C=A6)),1),1500)"),1590.0)</f>
        <v>1590</v>
      </c>
      <c r="P6" s="3">
        <f>IFERROR(__xludf.DUMMYFUNCTION("IF(A6="""","""",IFERROR(SUM(QUERY(FILTER(Elo_Player_All!P:P,Elo_Player_All!C:C=A6),""LIMIT 10 OFFSET ""&amp;MAX(0,COUNTIF(Elo_Player_All!C:C,A6)-10))),""""))"),0.0)</f>
        <v>0</v>
      </c>
      <c r="Q6" s="3">
        <f>IFERROR(__xludf.DUMMYFUNCTION("IF(A6="""","""",IFERROR(MAX(FILTER(Elo_Player_All!$Q:$Q,Elo_Player_All!$C:$C=A6)),""""))"),1625.0)</f>
        <v>1625</v>
      </c>
    </row>
    <row r="7">
      <c r="A7" s="2" t="str">
        <f>IFERROR(__xludf.DUMMYFUNCTION("""COMPUTED_VALUE"""),"Tess1509")</f>
        <v>Tess1509</v>
      </c>
      <c r="B7" s="3">
        <v>55.0</v>
      </c>
      <c r="C7" s="3">
        <v>12.0</v>
      </c>
      <c r="D7" s="3">
        <v>43.0</v>
      </c>
      <c r="E7" s="4">
        <v>0.21818181818181817</v>
      </c>
      <c r="F7" s="3">
        <v>59.0</v>
      </c>
      <c r="G7" s="5">
        <v>1.0727272727272728</v>
      </c>
      <c r="H7" s="3">
        <v>22.0</v>
      </c>
      <c r="I7" s="5">
        <v>0.4</v>
      </c>
      <c r="J7" s="3">
        <v>115353.0</v>
      </c>
      <c r="K7" s="5">
        <v>2097.327272727273</v>
      </c>
      <c r="L7" s="3">
        <v>5045.0</v>
      </c>
      <c r="M7" s="5">
        <v>91.72727272727273</v>
      </c>
      <c r="N7" s="5">
        <v>2.4975209474527467</v>
      </c>
      <c r="O7" s="3">
        <f>IFERROR(__xludf.DUMMYFUNCTION("IFERROR(INDEX(FILTER(Elo_Player_All!$Q:$Q,Elo_Player_All!$C:$C=A7),ROWS(FILTER(Elo_Player_All!$Q:$Q,Elo_Player_All!$C:$C=A7)),1),1500)"),1359.0)</f>
        <v>1359</v>
      </c>
      <c r="P7" s="3">
        <f>IFERROR(__xludf.DUMMYFUNCTION("IF(A7="""","""",IFERROR(SUM(QUERY(FILTER(Elo_Player_All!P:P,Elo_Player_All!C:C=A7),""LIMIT 10 OFFSET ""&amp;MAX(0,COUNTIF(Elo_Player_All!C:C,A7)-10))),""""))"),-55.0)</f>
        <v>-55</v>
      </c>
      <c r="Q7" s="3">
        <f>IFERROR(__xludf.DUMMYFUNCTION("IF(A7="""","""",IFERROR(MAX(FILTER(Elo_Player_All!$Q:$Q,Elo_Player_All!$C:$C=A7)),""""))"),1485.0)</f>
        <v>1485</v>
      </c>
    </row>
    <row r="8">
      <c r="A8" s="2" t="str">
        <f>IFERROR(__xludf.DUMMYFUNCTION("""COMPUTED_VALUE"""),"Troniix")</f>
        <v>Troniix</v>
      </c>
      <c r="B8" s="3">
        <v>5.0</v>
      </c>
      <c r="C8" s="3">
        <v>0.0</v>
      </c>
      <c r="D8" s="3">
        <v>5.0</v>
      </c>
      <c r="E8" s="4">
        <v>0.0</v>
      </c>
      <c r="F8" s="3">
        <v>0.0</v>
      </c>
      <c r="G8" s="5">
        <v>0.0</v>
      </c>
      <c r="H8" s="3">
        <v>2.0</v>
      </c>
      <c r="I8" s="5">
        <v>0.4</v>
      </c>
      <c r="J8" s="3">
        <v>9856.0</v>
      </c>
      <c r="K8" s="5">
        <v>1971.2</v>
      </c>
      <c r="L8" s="3">
        <v>339.0</v>
      </c>
      <c r="M8" s="5">
        <v>67.8</v>
      </c>
      <c r="N8" s="5">
        <v>2.1970575122603657</v>
      </c>
      <c r="O8" s="3">
        <f>IFERROR(__xludf.DUMMYFUNCTION("IFERROR(INDEX(FILTER(Elo_Player_All!$Q:$Q,Elo_Player_All!$C:$C=A8),ROWS(FILTER(Elo_Player_All!$Q:$Q,Elo_Player_All!$C:$C=A8)),1),1500)"),1431.0)</f>
        <v>1431</v>
      </c>
      <c r="P8" s="3">
        <f>IFERROR(__xludf.DUMMYFUNCTION("IF(A8="""","""",IFERROR(SUM(QUERY(FILTER(Elo_Player_All!P:P,Elo_Player_All!C:C=A8),""LIMIT 10 OFFSET ""&amp;MAX(0,COUNTIF(Elo_Player_All!C:C,A8)-10))),""""))"),-69.0)</f>
        <v>-69</v>
      </c>
      <c r="Q8" s="3">
        <f>IFERROR(__xludf.DUMMYFUNCTION("IF(A8="""","""",IFERROR(MAX(FILTER(Elo_Player_All!$Q:$Q,Elo_Player_All!$C:$C=A8)),""""))"),1485.0)</f>
        <v>1485</v>
      </c>
    </row>
    <row r="9">
      <c r="A9" s="2" t="str">
        <f>IFERROR(__xludf.DUMMYFUNCTION("""COMPUTED_VALUE"""),"ZeroO")</f>
        <v>ZeroO</v>
      </c>
      <c r="B9" s="3">
        <v>92.0</v>
      </c>
      <c r="C9" s="3">
        <v>55.0</v>
      </c>
      <c r="D9" s="3">
        <v>37.0</v>
      </c>
      <c r="E9" s="4">
        <v>0.5978260869565217</v>
      </c>
      <c r="F9" s="3">
        <v>451.0</v>
      </c>
      <c r="G9" s="5">
        <v>4.9021739130434785</v>
      </c>
      <c r="H9" s="3">
        <v>46.0</v>
      </c>
      <c r="I9" s="5">
        <v>0.5</v>
      </c>
      <c r="J9" s="3">
        <v>199745.0</v>
      </c>
      <c r="K9" s="5">
        <v>2171.141304347826</v>
      </c>
      <c r="L9" s="3">
        <v>13792.0</v>
      </c>
      <c r="M9" s="5">
        <v>149.91304347826087</v>
      </c>
      <c r="N9" s="5">
        <v>2.58098486904162</v>
      </c>
      <c r="O9" s="3">
        <f>IFERROR(__xludf.DUMMYFUNCTION("IFERROR(INDEX(FILTER(Elo_Player_All!$Q:$Q,Elo_Player_All!$C:$C=A9),ROWS(FILTER(Elo_Player_All!$Q:$Q,Elo_Player_All!$C:$C=A9)),1),1500)"),1547.0)</f>
        <v>1547</v>
      </c>
      <c r="P9" s="3">
        <f>IFERROR(__xludf.DUMMYFUNCTION("IF(A9="""","""",IFERROR(SUM(QUERY(FILTER(Elo_Player_All!P:P,Elo_Player_All!C:C=A9),""LIMIT 10 OFFSET ""&amp;MAX(0,COUNTIF(Elo_Player_All!C:C,A9)-10))),""""))"),14.0)</f>
        <v>14</v>
      </c>
      <c r="Q9" s="3">
        <f>IFERROR(__xludf.DUMMYFUNCTION("IF(A9="""","""",IFERROR(MAX(FILTER(Elo_Player_All!$Q:$Q,Elo_Player_All!$C:$C=A9)),""""))"),1603.0)</f>
        <v>1603</v>
      </c>
    </row>
    <row r="10">
      <c r="A10" s="2"/>
      <c r="B10" s="3"/>
      <c r="C10" s="3"/>
      <c r="D10" s="3"/>
      <c r="E10" s="4"/>
      <c r="F10" s="3"/>
      <c r="G10" s="5"/>
      <c r="H10" s="3"/>
      <c r="I10" s="5"/>
      <c r="J10" s="3"/>
      <c r="K10" s="5"/>
      <c r="L10" s="3"/>
      <c r="M10" s="5"/>
      <c r="N10" s="5"/>
      <c r="O10" s="3" t="str">
        <f>IFERROR(__xludf.DUMMYFUNCTION("IFERROR(INDEX(FILTER(Elo_Player_All!$Q:$Q,Elo_Player_All!$C:$C=A10),ROWS(FILTER(Elo_Player_All!$Q:$Q,Elo_Player_All!$C:$C=A10)),1),1500)"),"")</f>
        <v/>
      </c>
      <c r="P10" s="3" t="str">
        <f>IFERROR(__xludf.DUMMYFUNCTION("IF(A10="""","""",IFERROR(SUM(QUERY(FILTER(Elo_Player_All!P:P,Elo_Player_All!C:C=A10),""LIMIT 10 OFFSET ""&amp;MAX(0,COUNTIF(Elo_Player_All!C:C,A10)-10))),""""))"),"")</f>
        <v/>
      </c>
      <c r="Q10" s="3" t="str">
        <f>IFERROR(__xludf.DUMMYFUNCTION("IF(A10="""","""",IFERROR(MAX(FILTER(Elo_Player_All!$Q:$Q,Elo_Player_All!$C:$C=A10)),""""))"),"")</f>
        <v/>
      </c>
    </row>
    <row r="11">
      <c r="A11" s="2"/>
      <c r="B11" s="3"/>
      <c r="C11" s="3"/>
      <c r="D11" s="3"/>
      <c r="E11" s="4"/>
      <c r="F11" s="3"/>
      <c r="G11" s="5"/>
      <c r="H11" s="3"/>
      <c r="I11" s="5"/>
      <c r="J11" s="3"/>
      <c r="K11" s="5"/>
      <c r="L11" s="3"/>
      <c r="M11" s="5"/>
      <c r="N11" s="5"/>
      <c r="O11" s="3" t="str">
        <f>IFERROR(__xludf.DUMMYFUNCTION("IFERROR(INDEX(FILTER(Elo_Player_All!$Q:$Q,Elo_Player_All!$C:$C=A11),ROWS(FILTER(Elo_Player_All!$Q:$Q,Elo_Player_All!$C:$C=A11)),1),1500)"),"")</f>
        <v/>
      </c>
      <c r="P11" s="3" t="str">
        <f>IFERROR(__xludf.DUMMYFUNCTION("IF(A11="""","""",IFERROR(SUM(QUERY(FILTER(Elo_Player_All!P:P,Elo_Player_All!C:C=A11),""LIMIT 10 OFFSET ""&amp;MAX(0,COUNTIF(Elo_Player_All!C:C,A11)-10))),""""))"),"")</f>
        <v/>
      </c>
      <c r="Q11" s="3" t="str">
        <f>IFERROR(__xludf.DUMMYFUNCTION("IF(A11="""","""",IFERROR(MAX(FILTER(Elo_Player_All!$Q:$Q,Elo_Player_All!$C:$C=A11)),""""))"),"")</f>
        <v/>
      </c>
    </row>
    <row r="12">
      <c r="A12" s="2"/>
      <c r="B12" s="3"/>
      <c r="C12" s="3"/>
      <c r="D12" s="3"/>
      <c r="E12" s="4"/>
      <c r="F12" s="3"/>
      <c r="G12" s="5"/>
      <c r="H12" s="3"/>
      <c r="I12" s="5"/>
      <c r="J12" s="3"/>
      <c r="K12" s="5"/>
      <c r="L12" s="3"/>
      <c r="M12" s="5"/>
      <c r="N12" s="5"/>
      <c r="O12" s="3" t="str">
        <f>IFERROR(__xludf.DUMMYFUNCTION("IFERROR(INDEX(FILTER(Elo_Player_All!$Q:$Q,Elo_Player_All!$C:$C=A12),ROWS(FILTER(Elo_Player_All!$Q:$Q,Elo_Player_All!$C:$C=A12)),1),1500)"),"")</f>
        <v/>
      </c>
      <c r="P12" s="3" t="str">
        <f>IFERROR(__xludf.DUMMYFUNCTION("IF(A12="""","""",IFERROR(SUM(QUERY(FILTER(Elo_Player_All!P:P,Elo_Player_All!C:C=A12),""LIMIT 10 OFFSET ""&amp;MAX(0,COUNTIF(Elo_Player_All!C:C,A12)-10))),""""))"),"")</f>
        <v/>
      </c>
      <c r="Q12" s="3" t="str">
        <f>IFERROR(__xludf.DUMMYFUNCTION("IF(A12="""","""",IFERROR(MAX(FILTER(Elo_Player_All!$Q:$Q,Elo_Player_All!$C:$C=A12)),""""))"),"")</f>
        <v/>
      </c>
    </row>
    <row r="13">
      <c r="A13" s="2"/>
      <c r="B13" s="3"/>
      <c r="C13" s="3"/>
      <c r="D13" s="3"/>
      <c r="E13" s="4"/>
      <c r="F13" s="3"/>
      <c r="G13" s="5"/>
      <c r="H13" s="3"/>
      <c r="I13" s="5"/>
      <c r="J13" s="3"/>
      <c r="K13" s="5"/>
      <c r="L13" s="3"/>
      <c r="M13" s="5"/>
      <c r="N13" s="5"/>
      <c r="O13" s="3" t="str">
        <f>IFERROR(__xludf.DUMMYFUNCTION("IFERROR(INDEX(FILTER(Elo_Player_All!$Q:$Q,Elo_Player_All!$C:$C=A13),ROWS(FILTER(Elo_Player_All!$Q:$Q,Elo_Player_All!$C:$C=A13)),1),1500)"),"")</f>
        <v/>
      </c>
      <c r="P13" s="3" t="str">
        <f>IFERROR(__xludf.DUMMYFUNCTION("IF(A13="""","""",IFERROR(SUM(QUERY(FILTER(Elo_Player_All!P:P,Elo_Player_All!C:C=A13),""LIMIT 10 OFFSET ""&amp;MAX(0,COUNTIF(Elo_Player_All!C:C,A13)-10))),""""))"),"")</f>
        <v/>
      </c>
      <c r="Q13" s="3" t="str">
        <f>IFERROR(__xludf.DUMMYFUNCTION("IF(A13="""","""",IFERROR(MAX(FILTER(Elo_Player_All!$Q:$Q,Elo_Player_All!$C:$C=A13)),""""))"),"")</f>
        <v/>
      </c>
    </row>
    <row r="14">
      <c r="A14" s="2"/>
      <c r="B14" s="3"/>
      <c r="C14" s="3"/>
      <c r="D14" s="3"/>
      <c r="E14" s="4"/>
      <c r="F14" s="3"/>
      <c r="G14" s="5"/>
      <c r="H14" s="3"/>
      <c r="I14" s="5"/>
      <c r="J14" s="3"/>
      <c r="K14" s="5"/>
      <c r="L14" s="3"/>
      <c r="M14" s="5"/>
      <c r="N14" s="5"/>
      <c r="O14" s="3" t="str">
        <f>IFERROR(__xludf.DUMMYFUNCTION("IFERROR(INDEX(FILTER(Elo_Player_All!$Q:$Q,Elo_Player_All!$C:$C=A14),ROWS(FILTER(Elo_Player_All!$Q:$Q,Elo_Player_All!$C:$C=A14)),1),1500)"),"")</f>
        <v/>
      </c>
      <c r="P14" s="3" t="str">
        <f>IFERROR(__xludf.DUMMYFUNCTION("IF(A14="""","""",IFERROR(SUM(QUERY(FILTER(Elo_Player_All!P:P,Elo_Player_All!C:C=A14),""LIMIT 10 OFFSET ""&amp;MAX(0,COUNTIF(Elo_Player_All!C:C,A14)-10))),""""))"),"")</f>
        <v/>
      </c>
      <c r="Q14" s="3" t="str">
        <f>IFERROR(__xludf.DUMMYFUNCTION("IF(A14="""","""",IFERROR(MAX(FILTER(Elo_Player_All!$Q:$Q,Elo_Player_All!$C:$C=A14)),""""))"),"")</f>
        <v/>
      </c>
    </row>
    <row r="15">
      <c r="A15" s="2"/>
      <c r="B15" s="3"/>
      <c r="C15" s="3"/>
      <c r="D15" s="3"/>
      <c r="E15" s="4"/>
      <c r="F15" s="3"/>
      <c r="G15" s="5"/>
      <c r="H15" s="3"/>
      <c r="I15" s="5"/>
      <c r="J15" s="3"/>
      <c r="K15" s="5"/>
      <c r="L15" s="3"/>
      <c r="M15" s="5"/>
      <c r="N15" s="5"/>
      <c r="O15" s="3" t="str">
        <f>IFERROR(__xludf.DUMMYFUNCTION("IFERROR(INDEX(FILTER(Elo_Player_All!$Q:$Q,Elo_Player_All!$C:$C=A15),ROWS(FILTER(Elo_Player_All!$Q:$Q,Elo_Player_All!$C:$C=A15)),1),1500)"),"")</f>
        <v/>
      </c>
      <c r="P15" s="3" t="str">
        <f>IFERROR(__xludf.DUMMYFUNCTION("IF(A15="""","""",IFERROR(SUM(QUERY(FILTER(Elo_Player_All!P:P,Elo_Player_All!C:C=A15),""LIMIT 10 OFFSET ""&amp;MAX(0,COUNTIF(Elo_Player_All!C:C,A15)-10))),""""))"),"")</f>
        <v/>
      </c>
      <c r="Q15" s="3" t="str">
        <f>IFERROR(__xludf.DUMMYFUNCTION("IF(A15="""","""",IFERROR(MAX(FILTER(Elo_Player_All!$Q:$Q,Elo_Player_All!$C:$C=A15)),""""))"),"")</f>
        <v/>
      </c>
    </row>
    <row r="16">
      <c r="A16" s="2"/>
      <c r="B16" s="3"/>
      <c r="C16" s="3"/>
      <c r="D16" s="3"/>
      <c r="E16" s="4"/>
      <c r="F16" s="3"/>
      <c r="G16" s="5"/>
      <c r="H16" s="3"/>
      <c r="I16" s="5"/>
      <c r="J16" s="3"/>
      <c r="K16" s="5"/>
      <c r="L16" s="3"/>
      <c r="M16" s="5"/>
      <c r="N16" s="5"/>
      <c r="O16" s="3" t="str">
        <f>IFERROR(__xludf.DUMMYFUNCTION("IFERROR(INDEX(FILTER(Elo_Player_All!$Q:$Q,Elo_Player_All!$C:$C=A16),ROWS(FILTER(Elo_Player_All!$Q:$Q,Elo_Player_All!$C:$C=A16)),1),1500)"),"")</f>
        <v/>
      </c>
      <c r="P16" s="3" t="str">
        <f>IFERROR(__xludf.DUMMYFUNCTION("IF(A16="""","""",IFERROR(SUM(QUERY(FILTER(Elo_Player_All!P:P,Elo_Player_All!C:C=A16),""LIMIT 10 OFFSET ""&amp;MAX(0,COUNTIF(Elo_Player_All!C:C,A16)-10))),""""))"),"")</f>
        <v/>
      </c>
      <c r="Q16" s="3" t="str">
        <f>IFERROR(__xludf.DUMMYFUNCTION("IF(A16="""","""",IFERROR(MAX(FILTER(Elo_Player_All!$Q:$Q,Elo_Player_All!$C:$C=A16)),""""))"),"")</f>
        <v/>
      </c>
    </row>
    <row r="17">
      <c r="A17" s="2"/>
      <c r="B17" s="3"/>
      <c r="C17" s="3"/>
      <c r="D17" s="3"/>
      <c r="E17" s="4"/>
      <c r="F17" s="3"/>
      <c r="G17" s="5"/>
      <c r="H17" s="3"/>
      <c r="I17" s="5"/>
      <c r="J17" s="3"/>
      <c r="K17" s="5"/>
      <c r="L17" s="3"/>
      <c r="M17" s="5"/>
      <c r="N17" s="5"/>
      <c r="O17" s="3" t="str">
        <f>IFERROR(__xludf.DUMMYFUNCTION("IFERROR(INDEX(FILTER(Elo_Player_All!$Q:$Q,Elo_Player_All!$C:$C=A17),ROWS(FILTER(Elo_Player_All!$Q:$Q,Elo_Player_All!$C:$C=A17)),1),1500)"),"")</f>
        <v/>
      </c>
      <c r="P17" s="3" t="str">
        <f>IFERROR(__xludf.DUMMYFUNCTION("IF(A17="""","""",IFERROR(SUM(QUERY(FILTER(Elo_Player_All!P:P,Elo_Player_All!C:C=A17),""LIMIT 10 OFFSET ""&amp;MAX(0,COUNTIF(Elo_Player_All!C:C,A17)-10))),""""))"),"")</f>
        <v/>
      </c>
      <c r="Q17" s="3" t="str">
        <f>IFERROR(__xludf.DUMMYFUNCTION("IF(A17="""","""",IFERROR(MAX(FILTER(Elo_Player_All!$Q:$Q,Elo_Player_All!$C:$C=A17)),""""))"),"")</f>
        <v/>
      </c>
    </row>
    <row r="18">
      <c r="A18" s="2"/>
      <c r="B18" s="3"/>
      <c r="C18" s="3"/>
      <c r="D18" s="3"/>
      <c r="E18" s="4"/>
      <c r="F18" s="3"/>
      <c r="G18" s="5"/>
      <c r="H18" s="3"/>
      <c r="I18" s="5"/>
      <c r="J18" s="3"/>
      <c r="K18" s="5"/>
      <c r="L18" s="3"/>
      <c r="M18" s="5"/>
      <c r="N18" s="5"/>
      <c r="O18" s="3" t="str">
        <f>IFERROR(__xludf.DUMMYFUNCTION("IFERROR(INDEX(FILTER(Elo_Player_All!$Q:$Q,Elo_Player_All!$C:$C=A18),ROWS(FILTER(Elo_Player_All!$Q:$Q,Elo_Player_All!$C:$C=A18)),1),1500)"),"")</f>
        <v/>
      </c>
      <c r="P18" s="3" t="str">
        <f>IFERROR(__xludf.DUMMYFUNCTION("IF(A18="""","""",IFERROR(SUM(QUERY(FILTER(Elo_Player_All!P:P,Elo_Player_All!C:C=A18),""LIMIT 10 OFFSET ""&amp;MAX(0,COUNTIF(Elo_Player_All!C:C,A18)-10))),""""))"),"")</f>
        <v/>
      </c>
      <c r="Q18" s="3" t="str">
        <f>IFERROR(__xludf.DUMMYFUNCTION("IF(A18="""","""",IFERROR(MAX(FILTER(Elo_Player_All!$Q:$Q,Elo_Player_All!$C:$C=A18)),""""))"),"")</f>
        <v/>
      </c>
    </row>
    <row r="19">
      <c r="A19" s="2"/>
      <c r="B19" s="3"/>
      <c r="C19" s="3"/>
      <c r="D19" s="3"/>
      <c r="E19" s="4"/>
      <c r="F19" s="3"/>
      <c r="G19" s="5"/>
      <c r="H19" s="3"/>
      <c r="I19" s="5"/>
      <c r="J19" s="3"/>
      <c r="K19" s="5"/>
      <c r="L19" s="3"/>
      <c r="M19" s="5"/>
      <c r="N19" s="5"/>
      <c r="O19" s="3" t="str">
        <f>IFERROR(__xludf.DUMMYFUNCTION("IFERROR(INDEX(FILTER(Elo_Player_All!$Q:$Q,Elo_Player_All!$C:$C=A19),ROWS(FILTER(Elo_Player_All!$Q:$Q,Elo_Player_All!$C:$C=A19)),1),1500)"),"")</f>
        <v/>
      </c>
      <c r="P19" s="3" t="str">
        <f>IFERROR(__xludf.DUMMYFUNCTION("IF(A19="""","""",IFERROR(SUM(QUERY(FILTER(Elo_Player_All!P:P,Elo_Player_All!C:C=A19),""LIMIT 10 OFFSET ""&amp;MAX(0,COUNTIF(Elo_Player_All!C:C,A19)-10))),""""))"),"")</f>
        <v/>
      </c>
      <c r="Q19" s="3" t="str">
        <f>IFERROR(__xludf.DUMMYFUNCTION("IF(A19="""","""",IFERROR(MAX(FILTER(Elo_Player_All!$Q:$Q,Elo_Player_All!$C:$C=A19)),""""))"),"")</f>
        <v/>
      </c>
    </row>
    <row r="20">
      <c r="A20" s="2"/>
      <c r="B20" s="3"/>
      <c r="C20" s="3"/>
      <c r="D20" s="3"/>
      <c r="E20" s="4"/>
      <c r="F20" s="3"/>
      <c r="G20" s="5"/>
      <c r="H20" s="3"/>
      <c r="I20" s="5"/>
      <c r="J20" s="3"/>
      <c r="K20" s="5"/>
      <c r="L20" s="3"/>
      <c r="M20" s="5"/>
      <c r="N20" s="5"/>
      <c r="O20" s="3" t="str">
        <f>IFERROR(__xludf.DUMMYFUNCTION("IFERROR(INDEX(FILTER(Elo_Player_All!$Q:$Q,Elo_Player_All!$C:$C=A20),ROWS(FILTER(Elo_Player_All!$Q:$Q,Elo_Player_All!$C:$C=A20)),1),1500)"),"")</f>
        <v/>
      </c>
      <c r="P20" s="3" t="str">
        <f>IFERROR(__xludf.DUMMYFUNCTION("IF(A20="""","""",IFERROR(SUM(QUERY(FILTER(Elo_Player_All!P:P,Elo_Player_All!C:C=A20),""LIMIT 10 OFFSET ""&amp;MAX(0,COUNTIF(Elo_Player_All!C:C,A20)-10))),""""))"),"")</f>
        <v/>
      </c>
      <c r="Q20" s="3" t="str">
        <f>IFERROR(__xludf.DUMMYFUNCTION("IF(A20="""","""",IFERROR(MAX(FILTER(Elo_Player_All!$Q:$Q,Elo_Player_All!$C:$C=A20)),""""))"),"")</f>
        <v/>
      </c>
    </row>
    <row r="21">
      <c r="A21" s="2"/>
      <c r="B21" s="3"/>
      <c r="C21" s="3"/>
      <c r="D21" s="3"/>
      <c r="E21" s="4"/>
      <c r="F21" s="3"/>
      <c r="G21" s="5"/>
      <c r="H21" s="3"/>
      <c r="I21" s="5"/>
      <c r="J21" s="3"/>
      <c r="K21" s="5"/>
      <c r="L21" s="3"/>
      <c r="M21" s="5"/>
      <c r="N21" s="5"/>
      <c r="O21" s="3" t="str">
        <f>IFERROR(__xludf.DUMMYFUNCTION("IFERROR(INDEX(FILTER(Elo_Player_All!$Q:$Q,Elo_Player_All!$C:$C=A21),ROWS(FILTER(Elo_Player_All!$Q:$Q,Elo_Player_All!$C:$C=A21)),1),1500)"),"")</f>
        <v/>
      </c>
      <c r="P21" s="3" t="str">
        <f>IFERROR(__xludf.DUMMYFUNCTION("IF(A21="""","""",IFERROR(SUM(QUERY(FILTER(Elo_Player_All!P:P,Elo_Player_All!C:C=A21),""LIMIT 10 OFFSET ""&amp;MAX(0,COUNTIF(Elo_Player_All!C:C,A21)-10))),""""))"),"")</f>
        <v/>
      </c>
      <c r="Q21" s="3" t="str">
        <f>IFERROR(__xludf.DUMMYFUNCTION("IF(A21="""","""",IFERROR(MAX(FILTER(Elo_Player_All!$Q:$Q,Elo_Player_All!$C:$C=A21)),""""))"),"")</f>
        <v/>
      </c>
    </row>
    <row r="22">
      <c r="A22" s="2"/>
      <c r="B22" s="3"/>
      <c r="C22" s="3"/>
      <c r="D22" s="3"/>
      <c r="E22" s="4"/>
      <c r="F22" s="3"/>
      <c r="G22" s="5"/>
      <c r="H22" s="3"/>
      <c r="I22" s="5"/>
      <c r="J22" s="3"/>
      <c r="K22" s="5"/>
      <c r="L22" s="3"/>
      <c r="M22" s="5"/>
      <c r="N22" s="5"/>
      <c r="O22" s="3" t="str">
        <f>IFERROR(__xludf.DUMMYFUNCTION("IFERROR(INDEX(FILTER(Elo_Player_All!$Q:$Q,Elo_Player_All!$C:$C=A22),ROWS(FILTER(Elo_Player_All!$Q:$Q,Elo_Player_All!$C:$C=A22)),1),1500)"),"")</f>
        <v/>
      </c>
      <c r="P22" s="3" t="str">
        <f>IFERROR(__xludf.DUMMYFUNCTION("IF(A22="""","""",IFERROR(SUM(QUERY(FILTER(Elo_Player_All!P:P,Elo_Player_All!C:C=A22),""LIMIT 10 OFFSET ""&amp;MAX(0,COUNTIF(Elo_Player_All!C:C,A22)-10))),""""))"),"")</f>
        <v/>
      </c>
      <c r="Q22" s="3" t="str">
        <f>IFERROR(__xludf.DUMMYFUNCTION("IF(A22="""","""",IFERROR(MAX(FILTER(Elo_Player_All!$Q:$Q,Elo_Player_All!$C:$C=A22)),""""))"),"")</f>
        <v/>
      </c>
    </row>
    <row r="23">
      <c r="A23" s="2"/>
      <c r="B23" s="3"/>
      <c r="C23" s="3"/>
      <c r="D23" s="3"/>
      <c r="E23" s="4"/>
      <c r="F23" s="3"/>
      <c r="G23" s="5"/>
      <c r="H23" s="3"/>
      <c r="I23" s="5"/>
      <c r="J23" s="3"/>
      <c r="K23" s="5"/>
      <c r="L23" s="3"/>
      <c r="M23" s="5"/>
      <c r="N23" s="5"/>
      <c r="O23" s="3" t="str">
        <f>IFERROR(__xludf.DUMMYFUNCTION("IFERROR(INDEX(FILTER(Elo_Player_All!$Q:$Q,Elo_Player_All!$C:$C=A23),ROWS(FILTER(Elo_Player_All!$Q:$Q,Elo_Player_All!$C:$C=A23)),1),1500)"),"")</f>
        <v/>
      </c>
      <c r="P23" s="3" t="str">
        <f>IFERROR(__xludf.DUMMYFUNCTION("IF(A23="""","""",IFERROR(SUM(QUERY(FILTER(Elo_Player_All!P:P,Elo_Player_All!C:C=A23),""LIMIT 10 OFFSET ""&amp;MAX(0,COUNTIF(Elo_Player_All!C:C,A23)-10))),""""))"),"")</f>
        <v/>
      </c>
      <c r="Q23" s="3" t="str">
        <f>IFERROR(__xludf.DUMMYFUNCTION("IF(A23="""","""",IFERROR(MAX(FILTER(Elo_Player_All!$Q:$Q,Elo_Player_All!$C:$C=A23)),""""))"),"")</f>
        <v/>
      </c>
    </row>
    <row r="24">
      <c r="A24" s="2"/>
      <c r="B24" s="3"/>
      <c r="C24" s="3"/>
      <c r="D24" s="3"/>
      <c r="E24" s="4"/>
      <c r="F24" s="3"/>
      <c r="G24" s="5"/>
      <c r="H24" s="3"/>
      <c r="I24" s="5"/>
      <c r="J24" s="3"/>
      <c r="K24" s="5"/>
      <c r="L24" s="3"/>
      <c r="M24" s="5"/>
      <c r="N24" s="5"/>
      <c r="O24" s="3" t="str">
        <f>IFERROR(__xludf.DUMMYFUNCTION("IFERROR(INDEX(FILTER(Elo_Player_All!$Q:$Q,Elo_Player_All!$C:$C=A24),ROWS(FILTER(Elo_Player_All!$Q:$Q,Elo_Player_All!$C:$C=A24)),1),1500)"),"")</f>
        <v/>
      </c>
      <c r="P24" s="3" t="str">
        <f>IFERROR(__xludf.DUMMYFUNCTION("IF(A24="""","""",IFERROR(SUM(QUERY(FILTER(Elo_Player_All!P:P,Elo_Player_All!C:C=A24),""LIMIT 10 OFFSET ""&amp;MAX(0,COUNTIF(Elo_Player_All!C:C,A24)-10))),""""))"),"")</f>
        <v/>
      </c>
      <c r="Q24" s="3" t="str">
        <f>IFERROR(__xludf.DUMMYFUNCTION("IF(A24="""","""",IFERROR(MAX(FILTER(Elo_Player_All!$Q:$Q,Elo_Player_All!$C:$C=A24)),""""))"),"")</f>
        <v/>
      </c>
    </row>
    <row r="25">
      <c r="A25" s="2"/>
      <c r="B25" s="3"/>
      <c r="C25" s="3"/>
      <c r="D25" s="3"/>
      <c r="E25" s="4"/>
      <c r="F25" s="3"/>
      <c r="G25" s="5"/>
      <c r="H25" s="3"/>
      <c r="I25" s="5"/>
      <c r="J25" s="3"/>
      <c r="K25" s="5"/>
      <c r="L25" s="3"/>
      <c r="M25" s="5"/>
      <c r="N25" s="5"/>
      <c r="O25" s="3" t="str">
        <f>IFERROR(__xludf.DUMMYFUNCTION("IFERROR(INDEX(FILTER(Elo_Player_All!$Q:$Q,Elo_Player_All!$C:$C=A25),ROWS(FILTER(Elo_Player_All!$Q:$Q,Elo_Player_All!$C:$C=A25)),1),1500)"),"")</f>
        <v/>
      </c>
      <c r="P25" s="3" t="str">
        <f>IFERROR(__xludf.DUMMYFUNCTION("IF(A25="""","""",IFERROR(SUM(QUERY(FILTER(Elo_Player_All!P:P,Elo_Player_All!C:C=A25),""LIMIT 10 OFFSET ""&amp;MAX(0,COUNTIF(Elo_Player_All!C:C,A25)-10))),""""))"),"")</f>
        <v/>
      </c>
      <c r="Q25" s="3" t="str">
        <f>IFERROR(__xludf.DUMMYFUNCTION("IF(A25="""","""",IFERROR(MAX(FILTER(Elo_Player_All!$Q:$Q,Elo_Player_All!$C:$C=A25)),""""))"),"")</f>
        <v/>
      </c>
    </row>
    <row r="26">
      <c r="A26" s="2"/>
      <c r="B26" s="3"/>
      <c r="C26" s="3"/>
      <c r="D26" s="3"/>
      <c r="E26" s="4"/>
      <c r="F26" s="3"/>
      <c r="G26" s="5"/>
      <c r="H26" s="3"/>
      <c r="I26" s="5"/>
      <c r="J26" s="3"/>
      <c r="K26" s="5"/>
      <c r="L26" s="3"/>
      <c r="M26" s="5"/>
      <c r="N26" s="5"/>
      <c r="O26" s="3" t="str">
        <f>IFERROR(__xludf.DUMMYFUNCTION("IFERROR(INDEX(FILTER(Elo_Player_All!$Q:$Q,Elo_Player_All!$C:$C=A26),ROWS(FILTER(Elo_Player_All!$Q:$Q,Elo_Player_All!$C:$C=A26)),1),1500)"),"")</f>
        <v/>
      </c>
      <c r="P26" s="3" t="str">
        <f>IFERROR(__xludf.DUMMYFUNCTION("IF(A26="""","""",IFERROR(SUM(QUERY(FILTER(Elo_Player_All!P:P,Elo_Player_All!C:C=A26),""LIMIT 10 OFFSET ""&amp;MAX(0,COUNTIF(Elo_Player_All!C:C,A26)-10))),""""))"),"")</f>
        <v/>
      </c>
      <c r="Q26" s="3" t="str">
        <f>IFERROR(__xludf.DUMMYFUNCTION("IF(A26="""","""",IFERROR(MAX(FILTER(Elo_Player_All!$Q:$Q,Elo_Player_All!$C:$C=A26)),""""))"),"")</f>
        <v/>
      </c>
    </row>
    <row r="27">
      <c r="A27" s="2"/>
      <c r="B27" s="3"/>
      <c r="C27" s="3"/>
      <c r="D27" s="3"/>
      <c r="E27" s="4"/>
      <c r="F27" s="3"/>
      <c r="G27" s="5"/>
      <c r="H27" s="3"/>
      <c r="I27" s="5"/>
      <c r="J27" s="3"/>
      <c r="K27" s="5"/>
      <c r="L27" s="3"/>
      <c r="M27" s="5"/>
      <c r="N27" s="5"/>
      <c r="O27" s="3" t="str">
        <f>IFERROR(__xludf.DUMMYFUNCTION("IFERROR(INDEX(FILTER(Elo_Player_All!$Q:$Q,Elo_Player_All!$C:$C=A27),ROWS(FILTER(Elo_Player_All!$Q:$Q,Elo_Player_All!$C:$C=A27)),1),1500)"),"")</f>
        <v/>
      </c>
      <c r="P27" s="3" t="str">
        <f>IFERROR(__xludf.DUMMYFUNCTION("IF(A27="""","""",IFERROR(SUM(QUERY(FILTER(Elo_Player_All!P:P,Elo_Player_All!C:C=A27),""LIMIT 10 OFFSET ""&amp;MAX(0,COUNTIF(Elo_Player_All!C:C,A27)-10))),""""))"),"")</f>
        <v/>
      </c>
      <c r="Q27" s="3" t="str">
        <f>IFERROR(__xludf.DUMMYFUNCTION("IF(A27="""","""",IFERROR(MAX(FILTER(Elo_Player_All!$Q:$Q,Elo_Player_All!$C:$C=A27)),""""))"),"")</f>
        <v/>
      </c>
    </row>
    <row r="28">
      <c r="A28" s="2"/>
      <c r="B28" s="3"/>
      <c r="C28" s="3"/>
      <c r="D28" s="3"/>
      <c r="E28" s="4"/>
      <c r="F28" s="3"/>
      <c r="G28" s="5"/>
      <c r="H28" s="3"/>
      <c r="I28" s="5"/>
      <c r="J28" s="3"/>
      <c r="K28" s="5"/>
      <c r="L28" s="3"/>
      <c r="M28" s="5"/>
      <c r="N28" s="5"/>
      <c r="O28" s="3" t="str">
        <f>IFERROR(__xludf.DUMMYFUNCTION("IFERROR(INDEX(FILTER(Elo_Player_All!$Q:$Q,Elo_Player_All!$C:$C=A28),ROWS(FILTER(Elo_Player_All!$Q:$Q,Elo_Player_All!$C:$C=A28)),1),1500)"),"")</f>
        <v/>
      </c>
      <c r="P28" s="3" t="str">
        <f>IFERROR(__xludf.DUMMYFUNCTION("IF(A28="""","""",IFERROR(SUM(QUERY(FILTER(Elo_Player_All!P:P,Elo_Player_All!C:C=A28),""LIMIT 10 OFFSET ""&amp;MAX(0,COUNTIF(Elo_Player_All!C:C,A28)-10))),""""))"),"")</f>
        <v/>
      </c>
      <c r="Q28" s="3" t="str">
        <f>IFERROR(__xludf.DUMMYFUNCTION("IF(A28="""","""",IFERROR(MAX(FILTER(Elo_Player_All!$Q:$Q,Elo_Player_All!$C:$C=A28)),""""))"),"")</f>
        <v/>
      </c>
    </row>
    <row r="29">
      <c r="A29" s="2"/>
      <c r="B29" s="3"/>
      <c r="C29" s="3"/>
      <c r="D29" s="3"/>
      <c r="E29" s="4"/>
      <c r="F29" s="3"/>
      <c r="G29" s="5"/>
      <c r="H29" s="3"/>
      <c r="I29" s="5"/>
      <c r="J29" s="3"/>
      <c r="K29" s="5"/>
      <c r="L29" s="3"/>
      <c r="M29" s="5"/>
      <c r="N29" s="5"/>
      <c r="O29" s="3" t="str">
        <f>IFERROR(__xludf.DUMMYFUNCTION("IFERROR(INDEX(FILTER(Elo_Player_All!$Q:$Q,Elo_Player_All!$C:$C=A29),ROWS(FILTER(Elo_Player_All!$Q:$Q,Elo_Player_All!$C:$C=A29)),1),1500)"),"")</f>
        <v/>
      </c>
      <c r="P29" s="3" t="str">
        <f>IFERROR(__xludf.DUMMYFUNCTION("IF(A29="""","""",IFERROR(SUM(QUERY(FILTER(Elo_Player_All!P:P,Elo_Player_All!C:C=A29),""LIMIT 10 OFFSET ""&amp;MAX(0,COUNTIF(Elo_Player_All!C:C,A29)-10))),""""))"),"")</f>
        <v/>
      </c>
      <c r="Q29" s="3" t="str">
        <f>IFERROR(__xludf.DUMMYFUNCTION("IF(A29="""","""",IFERROR(MAX(FILTER(Elo_Player_All!$Q:$Q,Elo_Player_All!$C:$C=A29)),""""))"),"")</f>
        <v/>
      </c>
    </row>
    <row r="30">
      <c r="A30" s="2"/>
      <c r="B30" s="3"/>
      <c r="C30" s="3"/>
      <c r="D30" s="3"/>
      <c r="E30" s="4"/>
      <c r="F30" s="3"/>
      <c r="G30" s="5"/>
      <c r="H30" s="3"/>
      <c r="I30" s="5"/>
      <c r="J30" s="3"/>
      <c r="K30" s="5"/>
      <c r="L30" s="3"/>
      <c r="M30" s="5"/>
      <c r="N30" s="5"/>
      <c r="O30" s="3" t="str">
        <f>IFERROR(__xludf.DUMMYFUNCTION("IFERROR(INDEX(FILTER(Elo_Player_All!$Q:$Q,Elo_Player_All!$C:$C=A30),ROWS(FILTER(Elo_Player_All!$Q:$Q,Elo_Player_All!$C:$C=A30)),1),1500)"),"")</f>
        <v/>
      </c>
      <c r="P30" s="3" t="str">
        <f>IFERROR(__xludf.DUMMYFUNCTION("IF(A30="""","""",IFERROR(SUM(QUERY(FILTER(Elo_Player_All!P:P,Elo_Player_All!C:C=A30),""LIMIT 10 OFFSET ""&amp;MAX(0,COUNTIF(Elo_Player_All!C:C,A30)-10))),""""))"),"")</f>
        <v/>
      </c>
    </row>
    <row r="31">
      <c r="A31" s="2"/>
      <c r="B31" s="3"/>
      <c r="C31" s="3"/>
      <c r="D31" s="3"/>
      <c r="E31" s="4"/>
      <c r="F31" s="3"/>
      <c r="G31" s="5"/>
      <c r="H31" s="3"/>
      <c r="I31" s="5"/>
      <c r="J31" s="3"/>
      <c r="K31" s="5"/>
      <c r="L31" s="3"/>
      <c r="M31" s="5"/>
      <c r="N31" s="5"/>
      <c r="O31" s="3" t="str">
        <f>IFERROR(__xludf.DUMMYFUNCTION("IFERROR(INDEX(FILTER(Elo_Player_All!$Q:$Q,Elo_Player_All!$C:$C=A31),ROWS(FILTER(Elo_Player_All!$Q:$Q,Elo_Player_All!$C:$C=A31)),1),1500)"),"")</f>
        <v/>
      </c>
      <c r="P31" s="3" t="str">
        <f>IFERROR(__xludf.DUMMYFUNCTION("IF(A31="""","""",IFERROR(SUM(QUERY(FILTER(Elo_Player_All!P:P,Elo_Player_All!C:C=A31),""LIMIT 10 OFFSET ""&amp;MAX(0,COUNTIF(Elo_Player_All!C:C,A31)-10))),""""))"),"")</f>
        <v/>
      </c>
      <c r="Q31" s="3" t="str">
        <f>IFERROR(__xludf.DUMMYFUNCTION("IF(A31="""","""",IFERROR(MAX(FILTER(Elo_Player_All!$Q:$Q,Elo_Player_All!$C:$C=A31)),""""))"),"")</f>
        <v/>
      </c>
    </row>
    <row r="32">
      <c r="A32" s="2"/>
      <c r="B32" s="3"/>
      <c r="C32" s="3"/>
      <c r="D32" s="3"/>
      <c r="E32" s="4"/>
      <c r="F32" s="3"/>
      <c r="G32" s="5"/>
      <c r="H32" s="3"/>
      <c r="I32" s="5"/>
      <c r="J32" s="3"/>
      <c r="K32" s="5"/>
      <c r="L32" s="3"/>
      <c r="M32" s="5"/>
      <c r="N32" s="5"/>
      <c r="O32" s="3" t="str">
        <f>IFERROR(__xludf.DUMMYFUNCTION("IFERROR(INDEX(FILTER(Elo_Player_All!$Q:$Q,Elo_Player_All!$C:$C=A32),ROWS(FILTER(Elo_Player_All!$Q:$Q,Elo_Player_All!$C:$C=A32)),1),1500)"),"")</f>
        <v/>
      </c>
      <c r="P32" s="3" t="str">
        <f>IFERROR(__xludf.DUMMYFUNCTION("IF(A32="""","""",IFERROR(SUM(QUERY(FILTER(Elo_Player_All!P:P,Elo_Player_All!C:C=A32),""LIMIT 10 OFFSET ""&amp;MAX(0,COUNTIF(Elo_Player_All!C:C,A32)-10))),""""))"),"")</f>
        <v/>
      </c>
      <c r="Q32" s="3" t="str">
        <f>IFERROR(__xludf.DUMMYFUNCTION("IF(A32="""","""",IFERROR(MAX(FILTER(Elo_Player_All!$Q:$Q,Elo_Player_All!$C:$C=A32)),""""))"),"")</f>
        <v/>
      </c>
    </row>
    <row r="33">
      <c r="A33" s="2"/>
      <c r="B33" s="3"/>
      <c r="C33" s="3"/>
      <c r="D33" s="3"/>
      <c r="E33" s="4"/>
      <c r="F33" s="3"/>
      <c r="G33" s="5"/>
      <c r="H33" s="3"/>
      <c r="I33" s="5"/>
      <c r="J33" s="3"/>
      <c r="K33" s="5"/>
      <c r="L33" s="3"/>
      <c r="M33" s="5"/>
      <c r="N33" s="5"/>
      <c r="O33" s="3" t="str">
        <f>IFERROR(__xludf.DUMMYFUNCTION("IFERROR(INDEX(FILTER(Elo_Player_All!$Q:$Q,Elo_Player_All!$C:$C=A33),ROWS(FILTER(Elo_Player_All!$Q:$Q,Elo_Player_All!$C:$C=A33)),1),1500)"),"")</f>
        <v/>
      </c>
      <c r="P33" s="3" t="str">
        <f>IFERROR(__xludf.DUMMYFUNCTION("IF(A33="""","""",IFERROR(SUM(QUERY(FILTER(Elo_Player_All!P:P,Elo_Player_All!C:C=A33),""LIMIT 10 OFFSET ""&amp;MAX(0,COUNTIF(Elo_Player_All!C:C,A33)-10))),""""))"),"")</f>
        <v/>
      </c>
      <c r="Q33" s="3" t="str">
        <f>IFERROR(__xludf.DUMMYFUNCTION("IF(A33="""","""",IFERROR(MAX(FILTER(Elo_Player_All!$Q:$Q,Elo_Player_All!$C:$C=A33)),""""))"),"")</f>
        <v/>
      </c>
    </row>
    <row r="34">
      <c r="A34" s="2"/>
      <c r="B34" s="3"/>
      <c r="C34" s="3"/>
      <c r="D34" s="3"/>
      <c r="E34" s="4"/>
      <c r="F34" s="3"/>
      <c r="G34" s="5"/>
      <c r="H34" s="3"/>
      <c r="I34" s="5"/>
      <c r="J34" s="3"/>
      <c r="K34" s="5"/>
      <c r="L34" s="3"/>
      <c r="M34" s="5"/>
      <c r="N34" s="5"/>
      <c r="O34" s="3" t="str">
        <f>IFERROR(__xludf.DUMMYFUNCTION("IFERROR(INDEX(FILTER(Elo_Player_All!$Q:$Q,Elo_Player_All!$C:$C=A34),ROWS(FILTER(Elo_Player_All!$Q:$Q,Elo_Player_All!$C:$C=A34)),1),1500)"),"")</f>
        <v/>
      </c>
      <c r="P34" s="3" t="str">
        <f>IFERROR(__xludf.DUMMYFUNCTION("IF(A34="""","""",IFERROR(SUM(QUERY(FILTER(Elo_Player_All!P:P,Elo_Player_All!C:C=A34),""LIMIT 10 OFFSET ""&amp;MAX(0,COUNTIF(Elo_Player_All!C:C,A34)-10))),""""))"),"")</f>
        <v/>
      </c>
      <c r="Q34" s="3" t="str">
        <f>IFERROR(__xludf.DUMMYFUNCTION("IF(A34="""","""",IFERROR(MAX(FILTER(Elo_Player_All!$Q:$Q,Elo_Player_All!$C:$C=A34)),""""))"),"")</f>
        <v/>
      </c>
    </row>
    <row r="35">
      <c r="A35" s="2"/>
      <c r="B35" s="3"/>
      <c r="C35" s="3"/>
      <c r="D35" s="3"/>
      <c r="E35" s="4"/>
      <c r="F35" s="3"/>
      <c r="G35" s="5"/>
      <c r="H35" s="3"/>
      <c r="I35" s="5"/>
      <c r="J35" s="3"/>
      <c r="K35" s="5"/>
      <c r="L35" s="3"/>
      <c r="M35" s="5"/>
      <c r="N35" s="5"/>
      <c r="O35" s="3" t="str">
        <f>IFERROR(__xludf.DUMMYFUNCTION("IFERROR(INDEX(FILTER(Elo_Player_All!$Q:$Q,Elo_Player_All!$C:$C=A35),ROWS(FILTER(Elo_Player_All!$Q:$Q,Elo_Player_All!$C:$C=A35)),1),1500)"),"")</f>
        <v/>
      </c>
      <c r="P35" s="3" t="str">
        <f>IFERROR(__xludf.DUMMYFUNCTION("IF(A35="""","""",IFERROR(SUM(QUERY(FILTER(Elo_Player_All!P:P,Elo_Player_All!C:C=A35),""LIMIT 10 OFFSET ""&amp;MAX(0,COUNTIF(Elo_Player_All!C:C,A35)-10))),""""))"),"")</f>
        <v/>
      </c>
      <c r="Q35" s="3" t="str">
        <f>IFERROR(__xludf.DUMMYFUNCTION("IF(A35="""","""",IFERROR(MAX(FILTER(Elo_Player_All!$Q:$Q,Elo_Player_All!$C:$C=A35)),""""))"),"")</f>
        <v/>
      </c>
    </row>
    <row r="36">
      <c r="A36" s="2"/>
      <c r="B36" s="3"/>
      <c r="C36" s="3"/>
      <c r="D36" s="3"/>
      <c r="E36" s="4"/>
      <c r="F36" s="3"/>
      <c r="G36" s="5"/>
      <c r="H36" s="3"/>
      <c r="I36" s="5"/>
      <c r="J36" s="3"/>
      <c r="K36" s="5"/>
      <c r="L36" s="3"/>
      <c r="M36" s="5"/>
      <c r="N36" s="5"/>
      <c r="O36" s="3" t="str">
        <f>IFERROR(__xludf.DUMMYFUNCTION("IFERROR(INDEX(FILTER(Elo_Player_All!$Q:$Q,Elo_Player_All!$C:$C=A36),ROWS(FILTER(Elo_Player_All!$Q:$Q,Elo_Player_All!$C:$C=A36)),1),1500)"),"")</f>
        <v/>
      </c>
      <c r="Q36" s="3" t="str">
        <f>IFERROR(__xludf.DUMMYFUNCTION("IF(A36="""","""",IFERROR(MAX(FILTER(Elo_Player_All!$Q:$Q,Elo_Player_All!$C:$C=A36)),""""))"),"")</f>
        <v/>
      </c>
    </row>
    <row r="37">
      <c r="A37" s="2"/>
      <c r="B37" s="3"/>
      <c r="C37" s="3"/>
      <c r="D37" s="3"/>
      <c r="E37" s="4"/>
      <c r="F37" s="3"/>
      <c r="G37" s="5"/>
      <c r="H37" s="3"/>
      <c r="I37" s="5"/>
      <c r="J37" s="3"/>
      <c r="K37" s="5"/>
      <c r="L37" s="3"/>
      <c r="M37" s="5"/>
      <c r="N37" s="5"/>
      <c r="O37" s="3" t="str">
        <f>IFERROR(__xludf.DUMMYFUNCTION("IFERROR(INDEX(FILTER(Elo_Player_All!$Q:$Q,Elo_Player_All!$C:$C=A37),ROWS(FILTER(Elo_Player_All!$Q:$Q,Elo_Player_All!$C:$C=A37)),1),1500)"),"")</f>
        <v/>
      </c>
    </row>
    <row r="38">
      <c r="A38" s="2"/>
      <c r="B38" s="3"/>
      <c r="C38" s="3"/>
      <c r="D38" s="3"/>
      <c r="E38" s="4"/>
      <c r="F38" s="3"/>
      <c r="G38" s="5"/>
      <c r="H38" s="3"/>
      <c r="I38" s="5"/>
      <c r="J38" s="3"/>
      <c r="K38" s="5"/>
      <c r="L38" s="3"/>
      <c r="M38" s="5"/>
      <c r="N38" s="5"/>
      <c r="O38" s="3" t="str">
        <f>IFERROR(__xludf.DUMMYFUNCTION("IFERROR(INDEX(FILTER(Elo_Player_All!$Q:$Q,Elo_Player_All!$C:$C=A38),ROWS(FILTER(Elo_Player_All!$Q:$Q,Elo_Player_All!$C:$C=A38)),1),1500)"),"")</f>
        <v/>
      </c>
    </row>
    <row r="39">
      <c r="A39" s="2"/>
      <c r="B39" s="3"/>
      <c r="C39" s="3"/>
      <c r="D39" s="3"/>
      <c r="E39" s="4"/>
      <c r="F39" s="3"/>
      <c r="G39" s="5"/>
      <c r="H39" s="3"/>
      <c r="I39" s="5"/>
      <c r="J39" s="3"/>
      <c r="K39" s="5"/>
      <c r="L39" s="3"/>
      <c r="M39" s="5"/>
      <c r="N39" s="5"/>
      <c r="O39" s="3" t="str">
        <f>IFERROR(__xludf.DUMMYFUNCTION("IFERROR(INDEX(FILTER(Elo_Player_All!$Q:$Q,Elo_Player_All!$C:$C=A39),ROWS(FILTER(Elo_Player_All!$Q:$Q,Elo_Player_All!$C:$C=A39)),1),1500)"),"")</f>
        <v/>
      </c>
    </row>
    <row r="40">
      <c r="A40" s="2"/>
      <c r="B40" s="3"/>
      <c r="C40" s="3"/>
      <c r="D40" s="3"/>
      <c r="E40" s="4"/>
      <c r="F40" s="3"/>
      <c r="G40" s="5"/>
      <c r="H40" s="3"/>
      <c r="I40" s="5"/>
      <c r="J40" s="3"/>
      <c r="K40" s="5"/>
      <c r="L40" s="3"/>
      <c r="M40" s="5"/>
      <c r="N40" s="5"/>
      <c r="O40" s="3" t="str">
        <f>IFERROR(__xludf.DUMMYFUNCTION("IFERROR(INDEX(FILTER(Elo_Player_All!$Q:$Q,Elo_Player_All!$C:$C=A40),ROWS(FILTER(Elo_Player_All!$Q:$Q,Elo_Player_All!$C:$C=A40)),1),1500)"),"")</f>
        <v/>
      </c>
    </row>
    <row r="41">
      <c r="A41" s="2"/>
      <c r="B41" s="3"/>
      <c r="C41" s="3"/>
      <c r="D41" s="3"/>
      <c r="E41" s="4"/>
      <c r="F41" s="3"/>
      <c r="G41" s="5"/>
      <c r="H41" s="3"/>
      <c r="I41" s="5"/>
      <c r="J41" s="3"/>
      <c r="K41" s="5"/>
      <c r="L41" s="3"/>
      <c r="M41" s="5"/>
      <c r="N41" s="5"/>
      <c r="O41" s="3" t="str">
        <f>IFERROR(__xludf.DUMMYFUNCTION("IFERROR(INDEX(FILTER(Elo_Player_All!$Q:$Q,Elo_Player_All!$C:$C=A41),ROWS(FILTER(Elo_Player_All!$Q:$Q,Elo_Player_All!$C:$C=A41)),1),1500)"),"")</f>
        <v/>
      </c>
    </row>
    <row r="42">
      <c r="A42" s="2"/>
      <c r="B42" s="3"/>
      <c r="C42" s="3"/>
      <c r="D42" s="3"/>
      <c r="E42" s="4"/>
      <c r="F42" s="3"/>
      <c r="G42" s="5"/>
      <c r="H42" s="3"/>
      <c r="I42" s="5"/>
      <c r="J42" s="3"/>
      <c r="K42" s="5"/>
      <c r="L42" s="3"/>
      <c r="M42" s="5"/>
      <c r="N42" s="5"/>
      <c r="O42" s="3" t="str">
        <f>IFERROR(__xludf.DUMMYFUNCTION("IFERROR(INDEX(FILTER(Elo_Player_All!$Q:$Q,Elo_Player_All!$C:$C=A42),ROWS(FILTER(Elo_Player_All!$Q:$Q,Elo_Player_All!$C:$C=A42)),1),1500)"),"")</f>
        <v/>
      </c>
    </row>
    <row r="43">
      <c r="A43" s="2"/>
      <c r="B43" s="3"/>
      <c r="C43" s="3"/>
      <c r="D43" s="3"/>
      <c r="E43" s="4"/>
      <c r="F43" s="3"/>
      <c r="G43" s="5"/>
      <c r="H43" s="3"/>
      <c r="I43" s="5"/>
      <c r="J43" s="3"/>
      <c r="K43" s="5"/>
      <c r="L43" s="3"/>
      <c r="M43" s="5"/>
      <c r="N43" s="5"/>
      <c r="O43" s="3" t="str">
        <f>IFERROR(__xludf.DUMMYFUNCTION("IFERROR(INDEX(FILTER(Elo_Player_All!$Q:$Q,Elo_Player_All!$C:$C=A43),ROWS(FILTER(Elo_Player_All!$Q:$Q,Elo_Player_All!$C:$C=A43)),1),1500)"),"")</f>
        <v/>
      </c>
    </row>
    <row r="44">
      <c r="A44" s="2"/>
      <c r="B44" s="3"/>
      <c r="C44" s="3"/>
      <c r="D44" s="3"/>
      <c r="E44" s="4"/>
      <c r="F44" s="3"/>
      <c r="G44" s="5"/>
      <c r="H44" s="3"/>
      <c r="I44" s="5"/>
      <c r="J44" s="3"/>
      <c r="K44" s="5"/>
      <c r="L44" s="3"/>
      <c r="M44" s="5"/>
      <c r="N44" s="5"/>
      <c r="O44" s="3" t="str">
        <f>IFERROR(__xludf.DUMMYFUNCTION("IFERROR(INDEX(FILTER(Elo_Player_All!$Q:$Q,Elo_Player_All!$C:$C=A44),ROWS(FILTER(Elo_Player_All!$Q:$Q,Elo_Player_All!$C:$C=A44)),1),1500)"),"")</f>
        <v/>
      </c>
    </row>
    <row r="45">
      <c r="A45" s="2"/>
      <c r="B45" s="3"/>
      <c r="C45" s="3"/>
      <c r="D45" s="3"/>
      <c r="E45" s="4"/>
      <c r="F45" s="3"/>
      <c r="G45" s="5"/>
      <c r="H45" s="3"/>
      <c r="I45" s="5"/>
      <c r="J45" s="3"/>
      <c r="K45" s="5"/>
      <c r="L45" s="3"/>
      <c r="M45" s="5"/>
      <c r="N45" s="5"/>
      <c r="O45" s="3" t="str">
        <f>IFERROR(__xludf.DUMMYFUNCTION("IFERROR(INDEX(FILTER(Elo_Player_All!$Q:$Q,Elo_Player_All!$C:$C=A45),ROWS(FILTER(Elo_Player_All!$Q:$Q,Elo_Player_All!$C:$C=A45)),1),1500)"),"")</f>
        <v/>
      </c>
    </row>
    <row r="46">
      <c r="A46" s="2"/>
      <c r="B46" s="3"/>
      <c r="C46" s="3"/>
      <c r="D46" s="3"/>
      <c r="E46" s="4"/>
      <c r="F46" s="3"/>
      <c r="G46" s="5"/>
      <c r="H46" s="3"/>
      <c r="I46" s="5"/>
      <c r="J46" s="3"/>
      <c r="K46" s="5"/>
      <c r="L46" s="3"/>
      <c r="M46" s="5"/>
      <c r="N46" s="5"/>
    </row>
    <row r="47">
      <c r="A47" s="2"/>
      <c r="B47" s="3"/>
      <c r="C47" s="3"/>
      <c r="D47" s="3"/>
      <c r="E47" s="4"/>
      <c r="F47" s="3"/>
      <c r="G47" s="5"/>
      <c r="H47" s="3"/>
      <c r="I47" s="5"/>
      <c r="J47" s="3"/>
      <c r="K47" s="5"/>
      <c r="L47" s="3"/>
      <c r="M47" s="5"/>
      <c r="N47" s="5"/>
    </row>
    <row r="48">
      <c r="A48" s="2"/>
      <c r="B48" s="3"/>
      <c r="C48" s="3"/>
      <c r="D48" s="3"/>
      <c r="E48" s="4"/>
      <c r="F48" s="3"/>
      <c r="G48" s="5"/>
      <c r="H48" s="3"/>
      <c r="I48" s="5"/>
      <c r="J48" s="3"/>
      <c r="K48" s="5"/>
      <c r="L48" s="3"/>
      <c r="M48" s="5"/>
      <c r="N48" s="5"/>
    </row>
    <row r="49">
      <c r="A49" s="2"/>
      <c r="B49" s="3"/>
      <c r="C49" s="3"/>
      <c r="D49" s="3"/>
      <c r="E49" s="4"/>
      <c r="F49" s="3"/>
      <c r="G49" s="5"/>
      <c r="H49" s="3"/>
      <c r="I49" s="5"/>
      <c r="J49" s="3"/>
      <c r="K49" s="5"/>
      <c r="L49" s="3"/>
      <c r="M49" s="5"/>
      <c r="N49" s="5"/>
    </row>
    <row r="50">
      <c r="A50" s="2"/>
      <c r="B50" s="3"/>
      <c r="C50" s="3"/>
      <c r="D50" s="3"/>
      <c r="E50" s="4"/>
      <c r="F50" s="3"/>
      <c r="G50" s="5"/>
      <c r="H50" s="3"/>
      <c r="I50" s="5"/>
      <c r="J50" s="3"/>
      <c r="K50" s="5"/>
      <c r="L50" s="3"/>
      <c r="M50" s="5"/>
      <c r="N50" s="5"/>
    </row>
    <row r="51">
      <c r="A51" s="2"/>
      <c r="B51" s="3"/>
      <c r="C51" s="3"/>
      <c r="D51" s="3"/>
      <c r="E51" s="4"/>
      <c r="F51" s="3"/>
      <c r="G51" s="5"/>
      <c r="H51" s="3"/>
      <c r="I51" s="5"/>
      <c r="J51" s="3"/>
      <c r="K51" s="5"/>
      <c r="L51" s="3"/>
      <c r="M51" s="5"/>
      <c r="N51" s="5"/>
    </row>
    <row r="52">
      <c r="A52" s="2"/>
      <c r="B52" s="3"/>
      <c r="C52" s="3"/>
      <c r="D52" s="3"/>
      <c r="E52" s="4"/>
      <c r="F52" s="3"/>
      <c r="G52" s="5"/>
      <c r="H52" s="3"/>
      <c r="I52" s="5"/>
      <c r="J52" s="3"/>
      <c r="K52" s="5"/>
      <c r="L52" s="3"/>
      <c r="M52" s="5"/>
      <c r="N52" s="5"/>
    </row>
    <row r="53">
      <c r="A53" s="2"/>
      <c r="B53" s="3"/>
      <c r="C53" s="3"/>
      <c r="D53" s="3"/>
      <c r="E53" s="4"/>
      <c r="F53" s="3"/>
      <c r="G53" s="5"/>
      <c r="H53" s="3"/>
      <c r="I53" s="5"/>
      <c r="J53" s="3"/>
      <c r="K53" s="5"/>
      <c r="L53" s="3"/>
      <c r="M53" s="5"/>
      <c r="N53" s="5"/>
    </row>
    <row r="54">
      <c r="A54" s="2"/>
      <c r="B54" s="3"/>
      <c r="C54" s="3"/>
      <c r="D54" s="3"/>
      <c r="E54" s="4"/>
      <c r="F54" s="3"/>
      <c r="G54" s="5"/>
      <c r="H54" s="3"/>
      <c r="I54" s="5"/>
      <c r="J54" s="3"/>
      <c r="K54" s="5"/>
      <c r="L54" s="3"/>
      <c r="M54" s="5"/>
      <c r="N54" s="5"/>
    </row>
    <row r="55">
      <c r="A55" s="2"/>
      <c r="B55" s="3"/>
      <c r="C55" s="3"/>
      <c r="D55" s="3"/>
      <c r="E55" s="4"/>
      <c r="F55" s="3"/>
      <c r="G55" s="5"/>
      <c r="H55" s="3"/>
      <c r="I55" s="5"/>
      <c r="J55" s="3"/>
      <c r="K55" s="5"/>
      <c r="L55" s="3"/>
      <c r="M55" s="5"/>
      <c r="N55" s="5"/>
    </row>
    <row r="56">
      <c r="A56" s="2"/>
      <c r="B56" s="3"/>
      <c r="C56" s="3"/>
      <c r="D56" s="3"/>
      <c r="E56" s="4"/>
      <c r="F56" s="3"/>
      <c r="G56" s="5"/>
      <c r="H56" s="3"/>
      <c r="I56" s="5"/>
      <c r="J56" s="3"/>
      <c r="K56" s="5"/>
      <c r="L56" s="3"/>
      <c r="M56" s="5"/>
      <c r="N56" s="5"/>
    </row>
    <row r="57">
      <c r="A57" s="2"/>
      <c r="B57" s="3"/>
      <c r="C57" s="3"/>
      <c r="D57" s="3"/>
      <c r="E57" s="4"/>
      <c r="F57" s="3"/>
      <c r="G57" s="5"/>
      <c r="H57" s="3"/>
      <c r="I57" s="5"/>
      <c r="J57" s="3"/>
      <c r="K57" s="5"/>
      <c r="L57" s="3"/>
      <c r="M57" s="5"/>
      <c r="N57" s="5"/>
    </row>
    <row r="58">
      <c r="A58" s="2"/>
      <c r="B58" s="3"/>
      <c r="C58" s="3"/>
      <c r="D58" s="3"/>
      <c r="E58" s="4"/>
      <c r="F58" s="3"/>
      <c r="G58" s="5"/>
      <c r="H58" s="3"/>
      <c r="I58" s="5"/>
      <c r="J58" s="3"/>
      <c r="K58" s="5"/>
      <c r="L58" s="3"/>
      <c r="M58" s="5"/>
      <c r="N58" s="5"/>
    </row>
    <row r="59">
      <c r="A59" s="2"/>
      <c r="B59" s="3"/>
      <c r="C59" s="3"/>
      <c r="D59" s="3"/>
      <c r="E59" s="4"/>
      <c r="F59" s="3"/>
      <c r="G59" s="5"/>
      <c r="H59" s="3"/>
      <c r="I59" s="5"/>
      <c r="J59" s="3"/>
      <c r="K59" s="5"/>
      <c r="L59" s="3"/>
      <c r="M59" s="5"/>
      <c r="N59" s="5"/>
    </row>
    <row r="60">
      <c r="A60" s="2"/>
      <c r="B60" s="3"/>
      <c r="C60" s="3"/>
      <c r="D60" s="3"/>
      <c r="E60" s="4"/>
      <c r="F60" s="3"/>
      <c r="G60" s="5"/>
      <c r="H60" s="3"/>
      <c r="I60" s="5"/>
      <c r="J60" s="3"/>
      <c r="K60" s="5"/>
      <c r="L60" s="3"/>
      <c r="M60" s="5"/>
      <c r="N60" s="5"/>
    </row>
    <row r="61">
      <c r="A61" s="2"/>
      <c r="B61" s="3"/>
      <c r="C61" s="3"/>
      <c r="D61" s="3"/>
      <c r="E61" s="4"/>
      <c r="F61" s="3"/>
      <c r="G61" s="5"/>
      <c r="H61" s="3"/>
      <c r="I61" s="5"/>
      <c r="J61" s="3"/>
      <c r="K61" s="5"/>
      <c r="L61" s="3"/>
      <c r="M61" s="5"/>
      <c r="N61" s="5"/>
    </row>
    <row r="62">
      <c r="A62" s="2"/>
      <c r="B62" s="3"/>
      <c r="C62" s="3"/>
      <c r="D62" s="3"/>
      <c r="E62" s="4"/>
      <c r="F62" s="3"/>
      <c r="G62" s="5"/>
      <c r="H62" s="3"/>
      <c r="I62" s="5"/>
      <c r="J62" s="3"/>
      <c r="K62" s="5"/>
      <c r="L62" s="3"/>
      <c r="M62" s="5"/>
      <c r="N62" s="5"/>
    </row>
    <row r="63">
      <c r="A63" s="2"/>
      <c r="B63" s="3"/>
      <c r="C63" s="3"/>
      <c r="D63" s="3"/>
      <c r="E63" s="4"/>
      <c r="F63" s="3"/>
      <c r="G63" s="5"/>
      <c r="H63" s="3"/>
      <c r="I63" s="5"/>
      <c r="J63" s="3"/>
      <c r="K63" s="5"/>
      <c r="L63" s="3"/>
      <c r="M63" s="5"/>
      <c r="N63" s="5"/>
    </row>
    <row r="64">
      <c r="A64" s="2"/>
      <c r="B64" s="3"/>
      <c r="C64" s="3"/>
      <c r="D64" s="3"/>
      <c r="E64" s="4"/>
      <c r="F64" s="3"/>
      <c r="G64" s="5"/>
      <c r="H64" s="3"/>
      <c r="I64" s="5"/>
      <c r="J64" s="3"/>
      <c r="K64" s="5"/>
      <c r="L64" s="3"/>
      <c r="M64" s="5"/>
      <c r="N64" s="5"/>
    </row>
    <row r="65">
      <c r="A65" s="2"/>
      <c r="B65" s="3"/>
      <c r="C65" s="3"/>
      <c r="D65" s="3"/>
      <c r="E65" s="4"/>
      <c r="F65" s="3"/>
      <c r="G65" s="5"/>
      <c r="H65" s="3"/>
      <c r="I65" s="5"/>
      <c r="J65" s="3"/>
      <c r="K65" s="5"/>
      <c r="L65" s="3"/>
      <c r="M65" s="5"/>
      <c r="N65" s="5"/>
    </row>
    <row r="66">
      <c r="A66" s="2"/>
      <c r="B66" s="3"/>
      <c r="C66" s="3"/>
      <c r="D66" s="3"/>
      <c r="E66" s="4"/>
      <c r="F66" s="3"/>
      <c r="G66" s="5"/>
      <c r="H66" s="3"/>
      <c r="I66" s="5"/>
      <c r="J66" s="3"/>
      <c r="K66" s="5"/>
      <c r="L66" s="3"/>
      <c r="M66" s="5"/>
      <c r="N66" s="5"/>
    </row>
    <row r="67">
      <c r="A67" s="2"/>
      <c r="B67" s="3"/>
      <c r="C67" s="3"/>
      <c r="D67" s="3"/>
      <c r="E67" s="4"/>
      <c r="F67" s="3"/>
      <c r="G67" s="5"/>
      <c r="H67" s="3"/>
      <c r="I67" s="5"/>
      <c r="J67" s="3"/>
      <c r="K67" s="5"/>
      <c r="L67" s="3"/>
      <c r="M67" s="5"/>
      <c r="N67" s="5"/>
    </row>
    <row r="68">
      <c r="A68" s="2"/>
      <c r="B68" s="3"/>
      <c r="C68" s="3"/>
      <c r="D68" s="3"/>
      <c r="E68" s="4"/>
      <c r="F68" s="3"/>
      <c r="G68" s="5"/>
      <c r="H68" s="3"/>
      <c r="I68" s="5"/>
      <c r="J68" s="3"/>
      <c r="K68" s="5"/>
      <c r="L68" s="3"/>
      <c r="M68" s="5"/>
      <c r="N68" s="5"/>
    </row>
    <row r="69">
      <c r="A69" s="2"/>
      <c r="B69" s="3"/>
      <c r="C69" s="3"/>
      <c r="D69" s="3"/>
      <c r="E69" s="4"/>
      <c r="F69" s="3"/>
      <c r="G69" s="5"/>
      <c r="H69" s="3"/>
      <c r="I69" s="5"/>
      <c r="J69" s="3"/>
      <c r="K69" s="5"/>
      <c r="L69" s="3"/>
      <c r="M69" s="5"/>
      <c r="N69" s="5"/>
    </row>
    <row r="70">
      <c r="A70" s="2"/>
      <c r="B70" s="3"/>
      <c r="C70" s="3"/>
      <c r="D70" s="3"/>
      <c r="E70" s="4"/>
      <c r="F70" s="3"/>
      <c r="G70" s="5"/>
      <c r="H70" s="3"/>
      <c r="I70" s="5"/>
      <c r="J70" s="3"/>
      <c r="K70" s="5"/>
      <c r="L70" s="3"/>
      <c r="M70" s="5"/>
      <c r="N70" s="5"/>
    </row>
    <row r="71">
      <c r="A71" s="2"/>
      <c r="B71" s="3"/>
      <c r="C71" s="3"/>
      <c r="D71" s="3"/>
      <c r="E71" s="4"/>
      <c r="F71" s="3"/>
      <c r="G71" s="5"/>
      <c r="H71" s="3"/>
      <c r="I71" s="5"/>
      <c r="J71" s="3"/>
      <c r="K71" s="5"/>
      <c r="L71" s="3"/>
      <c r="M71" s="5"/>
      <c r="N71" s="5"/>
    </row>
    <row r="72">
      <c r="A72" s="2"/>
      <c r="B72" s="3"/>
      <c r="C72" s="3"/>
      <c r="D72" s="3"/>
      <c r="E72" s="4"/>
      <c r="F72" s="3"/>
      <c r="G72" s="5"/>
      <c r="H72" s="3"/>
      <c r="I72" s="5"/>
      <c r="J72" s="3"/>
      <c r="K72" s="5"/>
      <c r="L72" s="3"/>
      <c r="M72" s="5"/>
      <c r="N72" s="5"/>
    </row>
    <row r="73">
      <c r="A73" s="2"/>
      <c r="B73" s="3"/>
      <c r="C73" s="3"/>
      <c r="D73" s="3"/>
      <c r="E73" s="4"/>
      <c r="F73" s="3"/>
      <c r="G73" s="5"/>
      <c r="H73" s="3"/>
      <c r="I73" s="5"/>
      <c r="J73" s="3"/>
      <c r="K73" s="5"/>
      <c r="L73" s="3"/>
      <c r="M73" s="5"/>
      <c r="N73" s="5"/>
    </row>
    <row r="74">
      <c r="A74" s="2"/>
      <c r="B74" s="3"/>
      <c r="C74" s="3"/>
      <c r="D74" s="3"/>
      <c r="E74" s="4"/>
      <c r="F74" s="3"/>
      <c r="G74" s="5"/>
      <c r="H74" s="3"/>
      <c r="I74" s="5"/>
      <c r="J74" s="3"/>
      <c r="K74" s="5"/>
      <c r="L74" s="3"/>
      <c r="M74" s="5"/>
      <c r="N74" s="5"/>
    </row>
    <row r="75">
      <c r="A75" s="2"/>
      <c r="B75" s="3"/>
      <c r="C75" s="3"/>
      <c r="D75" s="3"/>
      <c r="E75" s="4"/>
      <c r="F75" s="3"/>
      <c r="G75" s="5"/>
      <c r="H75" s="3"/>
      <c r="I75" s="5"/>
      <c r="J75" s="3"/>
      <c r="K75" s="5"/>
      <c r="L75" s="3"/>
      <c r="M75" s="5"/>
      <c r="N75" s="5"/>
    </row>
    <row r="76">
      <c r="A76" s="2"/>
      <c r="B76" s="3"/>
      <c r="C76" s="3"/>
      <c r="D76" s="3"/>
      <c r="E76" s="4"/>
      <c r="F76" s="3"/>
      <c r="G76" s="5"/>
      <c r="H76" s="3"/>
      <c r="I76" s="5"/>
      <c r="J76" s="3"/>
      <c r="K76" s="5"/>
      <c r="L76" s="3"/>
      <c r="M76" s="5"/>
      <c r="N76" s="5"/>
    </row>
    <row r="77">
      <c r="A77" s="2"/>
      <c r="B77" s="3"/>
      <c r="C77" s="3"/>
      <c r="D77" s="3"/>
      <c r="E77" s="4"/>
      <c r="F77" s="3"/>
      <c r="G77" s="5"/>
      <c r="H77" s="3"/>
      <c r="I77" s="5"/>
      <c r="J77" s="3"/>
      <c r="K77" s="5"/>
      <c r="L77" s="3"/>
      <c r="M77" s="5"/>
      <c r="N77" s="5"/>
    </row>
    <row r="78">
      <c r="A78" s="2"/>
      <c r="B78" s="3"/>
      <c r="C78" s="3"/>
      <c r="D78" s="3"/>
      <c r="E78" s="4"/>
      <c r="F78" s="3"/>
      <c r="G78" s="5"/>
      <c r="H78" s="3"/>
      <c r="I78" s="5"/>
      <c r="J78" s="3"/>
      <c r="K78" s="5"/>
      <c r="L78" s="3"/>
      <c r="M78" s="5"/>
      <c r="N78" s="5"/>
    </row>
    <row r="79">
      <c r="A79" s="2"/>
      <c r="B79" s="3"/>
      <c r="C79" s="3"/>
      <c r="D79" s="3"/>
      <c r="E79" s="4"/>
      <c r="F79" s="3"/>
      <c r="G79" s="5"/>
      <c r="H79" s="3"/>
      <c r="I79" s="5"/>
      <c r="J79" s="3"/>
      <c r="K79" s="5"/>
      <c r="L79" s="3"/>
      <c r="M79" s="5"/>
      <c r="N79" s="5"/>
    </row>
    <row r="80">
      <c r="A80" s="2"/>
      <c r="B80" s="3"/>
      <c r="C80" s="3"/>
      <c r="D80" s="3"/>
      <c r="E80" s="4"/>
      <c r="F80" s="3"/>
      <c r="G80" s="5"/>
      <c r="H80" s="3"/>
      <c r="I80" s="5"/>
      <c r="J80" s="3"/>
      <c r="K80" s="5"/>
      <c r="L80" s="3"/>
      <c r="M80" s="5"/>
      <c r="N80" s="5"/>
    </row>
    <row r="81">
      <c r="A81" s="2"/>
      <c r="B81" s="3"/>
      <c r="C81" s="3"/>
      <c r="D81" s="3"/>
      <c r="E81" s="4"/>
      <c r="F81" s="3"/>
      <c r="G81" s="5"/>
      <c r="H81" s="3"/>
      <c r="I81" s="5"/>
      <c r="J81" s="3"/>
      <c r="K81" s="5"/>
      <c r="L81" s="3"/>
      <c r="M81" s="5"/>
      <c r="N81" s="5"/>
    </row>
    <row r="82">
      <c r="A82" s="2"/>
      <c r="B82" s="3"/>
      <c r="C82" s="3"/>
      <c r="D82" s="3"/>
      <c r="E82" s="4"/>
      <c r="F82" s="3"/>
      <c r="G82" s="5"/>
      <c r="H82" s="3"/>
      <c r="I82" s="5"/>
      <c r="J82" s="3"/>
      <c r="K82" s="5"/>
      <c r="L82" s="3"/>
      <c r="M82" s="5"/>
      <c r="N82" s="5"/>
    </row>
    <row r="83">
      <c r="A83" s="2"/>
      <c r="B83" s="3"/>
      <c r="C83" s="3"/>
      <c r="D83" s="3"/>
      <c r="E83" s="4"/>
      <c r="F83" s="3"/>
      <c r="G83" s="5"/>
      <c r="H83" s="3"/>
      <c r="I83" s="5"/>
      <c r="J83" s="3"/>
      <c r="K83" s="5"/>
      <c r="L83" s="3"/>
      <c r="M83" s="5"/>
      <c r="N83" s="5"/>
    </row>
    <row r="84">
      <c r="A84" s="2"/>
      <c r="B84" s="3"/>
      <c r="C84" s="3"/>
      <c r="D84" s="3"/>
      <c r="E84" s="4"/>
      <c r="F84" s="3"/>
      <c r="G84" s="5"/>
      <c r="H84" s="3"/>
      <c r="I84" s="5"/>
      <c r="J84" s="3"/>
      <c r="K84" s="5"/>
      <c r="L84" s="3"/>
      <c r="M84" s="5"/>
      <c r="N84" s="5"/>
    </row>
    <row r="85">
      <c r="A85" s="2"/>
      <c r="B85" s="3"/>
      <c r="C85" s="3"/>
      <c r="D85" s="3"/>
      <c r="E85" s="4"/>
      <c r="F85" s="3"/>
      <c r="G85" s="5"/>
      <c r="H85" s="3"/>
      <c r="I85" s="5"/>
      <c r="J85" s="3"/>
      <c r="K85" s="5"/>
      <c r="L85" s="3"/>
      <c r="M85" s="5"/>
      <c r="N85" s="5"/>
    </row>
    <row r="86">
      <c r="A86" s="2"/>
      <c r="B86" s="3"/>
      <c r="C86" s="3"/>
      <c r="D86" s="3"/>
      <c r="E86" s="4"/>
      <c r="F86" s="3"/>
      <c r="G86" s="5"/>
      <c r="H86" s="3"/>
      <c r="I86" s="5"/>
      <c r="J86" s="3"/>
      <c r="K86" s="5"/>
      <c r="L86" s="3"/>
      <c r="M86" s="5"/>
      <c r="N86" s="5"/>
    </row>
    <row r="87">
      <c r="A87" s="2"/>
      <c r="B87" s="3"/>
      <c r="C87" s="3"/>
      <c r="D87" s="3"/>
      <c r="E87" s="4"/>
      <c r="F87" s="3"/>
      <c r="G87" s="5"/>
      <c r="H87" s="3"/>
      <c r="I87" s="5"/>
      <c r="J87" s="3"/>
      <c r="K87" s="5"/>
      <c r="L87" s="3"/>
      <c r="M87" s="5"/>
      <c r="N87" s="5"/>
    </row>
    <row r="88">
      <c r="A88" s="2"/>
      <c r="B88" s="3"/>
      <c r="C88" s="3"/>
      <c r="D88" s="3"/>
      <c r="E88" s="4"/>
      <c r="F88" s="3"/>
      <c r="G88" s="5"/>
      <c r="H88" s="3"/>
      <c r="I88" s="5"/>
      <c r="J88" s="3"/>
      <c r="K88" s="5"/>
      <c r="L88" s="3"/>
      <c r="M88" s="5"/>
      <c r="N88" s="5"/>
    </row>
    <row r="89">
      <c r="A89" s="2"/>
      <c r="B89" s="3"/>
      <c r="C89" s="3"/>
      <c r="D89" s="3"/>
      <c r="E89" s="4"/>
      <c r="F89" s="3"/>
      <c r="G89" s="5"/>
      <c r="H89" s="3"/>
      <c r="I89" s="5"/>
      <c r="J89" s="3"/>
      <c r="K89" s="5"/>
      <c r="L89" s="3"/>
      <c r="M89" s="5"/>
      <c r="N89" s="5"/>
    </row>
    <row r="90">
      <c r="A90" s="2"/>
      <c r="B90" s="3"/>
      <c r="C90" s="3"/>
      <c r="D90" s="3"/>
      <c r="E90" s="4"/>
      <c r="F90" s="3"/>
      <c r="G90" s="5"/>
      <c r="H90" s="3"/>
      <c r="I90" s="5"/>
      <c r="J90" s="3"/>
      <c r="K90" s="5"/>
      <c r="L90" s="3"/>
      <c r="M90" s="5"/>
      <c r="N90" s="5"/>
    </row>
    <row r="91">
      <c r="A91" s="2"/>
      <c r="B91" s="3"/>
      <c r="C91" s="3"/>
      <c r="D91" s="3"/>
      <c r="E91" s="4"/>
      <c r="F91" s="3"/>
      <c r="G91" s="5"/>
      <c r="H91" s="3"/>
      <c r="I91" s="5"/>
      <c r="J91" s="3"/>
      <c r="K91" s="5"/>
      <c r="L91" s="3"/>
      <c r="M91" s="5"/>
      <c r="N91" s="5"/>
    </row>
    <row r="92">
      <c r="A92" s="2"/>
      <c r="B92" s="3"/>
      <c r="C92" s="3"/>
      <c r="D92" s="3"/>
      <c r="E92" s="4"/>
      <c r="F92" s="3"/>
      <c r="G92" s="5"/>
      <c r="H92" s="3"/>
      <c r="I92" s="5"/>
      <c r="J92" s="3"/>
      <c r="K92" s="5"/>
      <c r="L92" s="3"/>
      <c r="M92" s="5"/>
      <c r="N92" s="5"/>
    </row>
    <row r="93">
      <c r="A93" s="2"/>
      <c r="B93" s="3"/>
      <c r="C93" s="3"/>
      <c r="D93" s="3"/>
      <c r="E93" s="4"/>
      <c r="F93" s="3"/>
      <c r="G93" s="5"/>
      <c r="H93" s="3"/>
      <c r="I93" s="5"/>
      <c r="J93" s="3"/>
      <c r="K93" s="5"/>
      <c r="L93" s="3"/>
      <c r="M93" s="5"/>
      <c r="N93" s="5"/>
    </row>
    <row r="94">
      <c r="A94" s="2"/>
      <c r="B94" s="3"/>
      <c r="C94" s="3"/>
      <c r="D94" s="3"/>
      <c r="E94" s="4"/>
      <c r="F94" s="3"/>
      <c r="G94" s="5"/>
      <c r="H94" s="3"/>
      <c r="I94" s="5"/>
      <c r="J94" s="3"/>
      <c r="K94" s="5"/>
      <c r="L94" s="3"/>
      <c r="M94" s="5"/>
      <c r="N94" s="5"/>
    </row>
    <row r="95">
      <c r="A95" s="2"/>
      <c r="B95" s="3"/>
      <c r="C95" s="3"/>
      <c r="D95" s="3"/>
      <c r="E95" s="4"/>
      <c r="F95" s="3"/>
      <c r="G95" s="5"/>
      <c r="H95" s="3"/>
      <c r="I95" s="5"/>
      <c r="J95" s="3"/>
      <c r="K95" s="5"/>
      <c r="L95" s="3"/>
      <c r="M95" s="5"/>
      <c r="N95" s="5"/>
    </row>
    <row r="96">
      <c r="A96" s="2"/>
      <c r="B96" s="3"/>
      <c r="C96" s="3"/>
      <c r="D96" s="3"/>
      <c r="E96" s="4"/>
      <c r="F96" s="3"/>
      <c r="G96" s="5"/>
      <c r="H96" s="3"/>
      <c r="I96" s="5"/>
      <c r="J96" s="3"/>
      <c r="K96" s="5"/>
      <c r="L96" s="3"/>
      <c r="M96" s="5"/>
      <c r="N96" s="5"/>
    </row>
    <row r="97">
      <c r="A97" s="2"/>
      <c r="B97" s="3"/>
      <c r="C97" s="3"/>
      <c r="D97" s="3"/>
      <c r="E97" s="4"/>
      <c r="F97" s="3"/>
      <c r="G97" s="5"/>
      <c r="H97" s="3"/>
      <c r="I97" s="5"/>
      <c r="J97" s="3"/>
      <c r="K97" s="5"/>
      <c r="L97" s="3"/>
      <c r="M97" s="5"/>
      <c r="N97" s="5"/>
    </row>
    <row r="98">
      <c r="A98" s="2"/>
      <c r="B98" s="3"/>
      <c r="C98" s="3"/>
      <c r="D98" s="3"/>
      <c r="E98" s="4"/>
      <c r="F98" s="3"/>
      <c r="G98" s="5"/>
      <c r="H98" s="3"/>
      <c r="I98" s="5"/>
      <c r="J98" s="3"/>
      <c r="K98" s="5"/>
      <c r="L98" s="3"/>
      <c r="M98" s="5"/>
      <c r="N98" s="5"/>
    </row>
    <row r="99">
      <c r="A99" s="2"/>
      <c r="B99" s="3"/>
      <c r="C99" s="3"/>
      <c r="D99" s="3"/>
      <c r="E99" s="4"/>
      <c r="F99" s="3"/>
      <c r="G99" s="5"/>
      <c r="H99" s="3"/>
      <c r="I99" s="5"/>
      <c r="J99" s="3"/>
      <c r="K99" s="5"/>
      <c r="L99" s="3"/>
      <c r="M99" s="5"/>
      <c r="N99" s="5"/>
    </row>
    <row r="100">
      <c r="A100" s="2"/>
      <c r="B100" s="3"/>
      <c r="C100" s="3"/>
      <c r="D100" s="3"/>
      <c r="E100" s="4"/>
      <c r="F100" s="3"/>
      <c r="G100" s="5"/>
      <c r="H100" s="3"/>
      <c r="I100" s="5"/>
      <c r="J100" s="3"/>
      <c r="K100" s="5"/>
      <c r="L100" s="3"/>
      <c r="M100" s="5"/>
      <c r="N100" s="5"/>
    </row>
    <row r="101">
      <c r="A101" s="2"/>
      <c r="B101" s="3"/>
      <c r="C101" s="3"/>
      <c r="D101" s="3"/>
      <c r="E101" s="4"/>
      <c r="F101" s="3"/>
      <c r="G101" s="5"/>
      <c r="H101" s="3"/>
      <c r="I101" s="5"/>
      <c r="J101" s="3"/>
      <c r="K101" s="5"/>
      <c r="L101" s="3"/>
      <c r="M101" s="5"/>
      <c r="N101" s="5"/>
    </row>
    <row r="102">
      <c r="A102" s="2"/>
      <c r="B102" s="3"/>
      <c r="C102" s="3"/>
      <c r="D102" s="3"/>
      <c r="E102" s="4"/>
      <c r="F102" s="3"/>
      <c r="G102" s="5"/>
      <c r="H102" s="3"/>
      <c r="I102" s="5"/>
      <c r="J102" s="3"/>
      <c r="K102" s="5"/>
      <c r="L102" s="3"/>
      <c r="M102" s="5"/>
      <c r="N102" s="5"/>
    </row>
    <row r="103">
      <c r="A103" s="2"/>
      <c r="B103" s="3"/>
      <c r="C103" s="3"/>
      <c r="D103" s="3"/>
      <c r="E103" s="4"/>
      <c r="F103" s="3"/>
      <c r="G103" s="5"/>
      <c r="H103" s="3"/>
      <c r="I103" s="5"/>
      <c r="J103" s="3"/>
      <c r="K103" s="5"/>
      <c r="L103" s="3"/>
      <c r="M103" s="5"/>
      <c r="N103" s="5"/>
    </row>
    <row r="104">
      <c r="A104" s="2"/>
      <c r="B104" s="3"/>
      <c r="C104" s="3"/>
      <c r="D104" s="3"/>
      <c r="E104" s="4"/>
      <c r="F104" s="3"/>
      <c r="G104" s="5"/>
      <c r="H104" s="3"/>
      <c r="I104" s="5"/>
      <c r="J104" s="3"/>
      <c r="K104" s="5"/>
      <c r="L104" s="3"/>
      <c r="M104" s="5"/>
      <c r="N104" s="5"/>
    </row>
    <row r="105">
      <c r="A105" s="2"/>
      <c r="B105" s="3"/>
      <c r="C105" s="3"/>
      <c r="D105" s="3"/>
      <c r="E105" s="4"/>
      <c r="F105" s="3"/>
      <c r="G105" s="5"/>
      <c r="H105" s="3"/>
      <c r="I105" s="5"/>
      <c r="J105" s="3"/>
      <c r="K105" s="5"/>
      <c r="L105" s="3"/>
      <c r="M105" s="5"/>
      <c r="N105" s="5"/>
    </row>
    <row r="106">
      <c r="A106" s="2"/>
      <c r="B106" s="3"/>
      <c r="C106" s="3"/>
      <c r="D106" s="3"/>
      <c r="E106" s="4"/>
      <c r="F106" s="3"/>
      <c r="G106" s="5"/>
      <c r="H106" s="3"/>
      <c r="I106" s="5"/>
      <c r="J106" s="3"/>
      <c r="K106" s="5"/>
      <c r="L106" s="3"/>
      <c r="M106" s="5"/>
      <c r="N106" s="5"/>
    </row>
    <row r="107">
      <c r="A107" s="2"/>
      <c r="B107" s="3"/>
      <c r="C107" s="3"/>
      <c r="D107" s="3"/>
      <c r="E107" s="4"/>
      <c r="F107" s="3"/>
      <c r="G107" s="5"/>
      <c r="H107" s="3"/>
      <c r="I107" s="5"/>
      <c r="J107" s="3"/>
      <c r="K107" s="5"/>
      <c r="L107" s="3"/>
      <c r="M107" s="5"/>
      <c r="N107" s="5"/>
    </row>
    <row r="108">
      <c r="A108" s="2"/>
      <c r="B108" s="3"/>
      <c r="C108" s="3"/>
      <c r="D108" s="3"/>
      <c r="E108" s="4"/>
      <c r="F108" s="3"/>
      <c r="G108" s="5"/>
      <c r="H108" s="3"/>
      <c r="I108" s="5"/>
      <c r="J108" s="3"/>
      <c r="K108" s="5"/>
      <c r="L108" s="3"/>
      <c r="M108" s="5"/>
      <c r="N108" s="5"/>
    </row>
    <row r="109">
      <c r="A109" s="2"/>
      <c r="B109" s="3"/>
      <c r="C109" s="3"/>
      <c r="D109" s="3"/>
      <c r="E109" s="4"/>
      <c r="F109" s="3"/>
      <c r="G109" s="5"/>
      <c r="H109" s="3"/>
      <c r="I109" s="5"/>
      <c r="J109" s="3"/>
      <c r="K109" s="5"/>
      <c r="L109" s="3"/>
      <c r="M109" s="5"/>
      <c r="N109" s="5"/>
    </row>
    <row r="110">
      <c r="A110" s="2"/>
      <c r="B110" s="3"/>
      <c r="C110" s="3"/>
      <c r="D110" s="3"/>
      <c r="E110" s="4"/>
      <c r="F110" s="3"/>
      <c r="G110" s="5"/>
      <c r="H110" s="3"/>
      <c r="I110" s="5"/>
      <c r="J110" s="3"/>
      <c r="K110" s="5"/>
      <c r="L110" s="3"/>
      <c r="M110" s="5"/>
      <c r="N110" s="5"/>
    </row>
    <row r="111">
      <c r="A111" s="2"/>
      <c r="B111" s="3"/>
      <c r="C111" s="3"/>
      <c r="D111" s="3"/>
      <c r="E111" s="4"/>
      <c r="F111" s="3"/>
      <c r="G111" s="5"/>
      <c r="H111" s="3"/>
      <c r="I111" s="5"/>
      <c r="J111" s="3"/>
      <c r="K111" s="5"/>
      <c r="L111" s="3"/>
      <c r="M111" s="5"/>
      <c r="N111" s="5"/>
    </row>
    <row r="112">
      <c r="A112" s="2"/>
      <c r="B112" s="3"/>
      <c r="C112" s="3"/>
      <c r="D112" s="3"/>
      <c r="E112" s="4"/>
      <c r="F112" s="3"/>
      <c r="G112" s="5"/>
      <c r="H112" s="3"/>
      <c r="I112" s="5"/>
      <c r="J112" s="3"/>
      <c r="K112" s="5"/>
      <c r="L112" s="3"/>
      <c r="M112" s="5"/>
      <c r="N112" s="5"/>
    </row>
    <row r="113">
      <c r="A113" s="2"/>
      <c r="B113" s="3"/>
      <c r="C113" s="3"/>
      <c r="D113" s="3"/>
      <c r="E113" s="4"/>
      <c r="F113" s="3"/>
      <c r="G113" s="5"/>
      <c r="H113" s="3"/>
      <c r="I113" s="5"/>
      <c r="J113" s="3"/>
      <c r="K113" s="5"/>
      <c r="L113" s="3"/>
      <c r="M113" s="5"/>
      <c r="N113" s="5"/>
    </row>
    <row r="114">
      <c r="A114" s="2"/>
      <c r="B114" s="3"/>
      <c r="C114" s="3"/>
      <c r="D114" s="3"/>
      <c r="E114" s="4"/>
      <c r="F114" s="3"/>
      <c r="G114" s="5"/>
      <c r="H114" s="3"/>
      <c r="I114" s="5"/>
      <c r="J114" s="3"/>
      <c r="K114" s="5"/>
      <c r="L114" s="3"/>
      <c r="M114" s="5"/>
      <c r="N114" s="5"/>
    </row>
    <row r="115">
      <c r="A115" s="2"/>
      <c r="B115" s="3"/>
      <c r="C115" s="3"/>
      <c r="D115" s="3"/>
      <c r="E115" s="4"/>
      <c r="F115" s="3"/>
      <c r="G115" s="5"/>
      <c r="H115" s="3"/>
      <c r="I115" s="5"/>
      <c r="J115" s="3"/>
      <c r="K115" s="5"/>
      <c r="L115" s="3"/>
      <c r="M115" s="5"/>
      <c r="N115" s="5"/>
    </row>
    <row r="116">
      <c r="A116" s="2"/>
      <c r="B116" s="3"/>
      <c r="C116" s="3"/>
      <c r="D116" s="3"/>
      <c r="E116" s="4"/>
      <c r="F116" s="3"/>
      <c r="G116" s="5"/>
      <c r="H116" s="3"/>
      <c r="I116" s="5"/>
      <c r="J116" s="3"/>
      <c r="K116" s="5"/>
      <c r="L116" s="3"/>
      <c r="M116" s="5"/>
      <c r="N116" s="5"/>
    </row>
    <row r="117">
      <c r="A117" s="2"/>
      <c r="B117" s="3"/>
      <c r="C117" s="3"/>
      <c r="D117" s="3"/>
      <c r="E117" s="4"/>
      <c r="F117" s="3"/>
      <c r="G117" s="5"/>
      <c r="H117" s="3"/>
      <c r="I117" s="5"/>
      <c r="J117" s="3"/>
      <c r="K117" s="5"/>
      <c r="L117" s="3"/>
      <c r="M117" s="5"/>
      <c r="N117" s="5"/>
    </row>
    <row r="118">
      <c r="A118" s="2"/>
      <c r="B118" s="3"/>
      <c r="C118" s="3"/>
      <c r="D118" s="3"/>
      <c r="E118" s="4"/>
      <c r="F118" s="3"/>
      <c r="G118" s="5"/>
      <c r="H118" s="3"/>
      <c r="I118" s="5"/>
      <c r="J118" s="3"/>
      <c r="K118" s="5"/>
      <c r="L118" s="3"/>
      <c r="M118" s="5"/>
      <c r="N118" s="5"/>
    </row>
    <row r="119">
      <c r="A119" s="2"/>
      <c r="B119" s="3"/>
      <c r="C119" s="3"/>
      <c r="D119" s="3"/>
      <c r="E119" s="4"/>
      <c r="F119" s="3"/>
      <c r="G119" s="5"/>
      <c r="H119" s="3"/>
      <c r="I119" s="5"/>
      <c r="J119" s="3"/>
      <c r="K119" s="5"/>
      <c r="L119" s="3"/>
      <c r="M119" s="5"/>
      <c r="N119" s="5"/>
    </row>
    <row r="120">
      <c r="A120" s="2"/>
      <c r="B120" s="3"/>
      <c r="C120" s="3"/>
      <c r="D120" s="3"/>
      <c r="E120" s="4"/>
      <c r="F120" s="3"/>
      <c r="G120" s="5"/>
      <c r="H120" s="3"/>
      <c r="I120" s="5"/>
      <c r="J120" s="3"/>
      <c r="K120" s="5"/>
      <c r="L120" s="3"/>
      <c r="M120" s="5"/>
      <c r="N120" s="5"/>
    </row>
    <row r="121">
      <c r="A121" s="2"/>
      <c r="B121" s="3"/>
      <c r="C121" s="3"/>
      <c r="D121" s="3"/>
      <c r="E121" s="4"/>
      <c r="F121" s="3"/>
      <c r="G121" s="5"/>
      <c r="H121" s="3"/>
      <c r="I121" s="5"/>
      <c r="J121" s="3"/>
      <c r="K121" s="5"/>
      <c r="L121" s="3"/>
      <c r="M121" s="5"/>
      <c r="N121" s="5"/>
    </row>
    <row r="122">
      <c r="A122" s="2"/>
      <c r="B122" s="3"/>
      <c r="C122" s="3"/>
      <c r="D122" s="3"/>
      <c r="E122" s="4"/>
      <c r="F122" s="3"/>
      <c r="G122" s="5"/>
      <c r="H122" s="3"/>
      <c r="I122" s="5"/>
      <c r="J122" s="3"/>
      <c r="K122" s="5"/>
      <c r="L122" s="3"/>
      <c r="M122" s="5"/>
      <c r="N122" s="5"/>
    </row>
    <row r="123">
      <c r="A123" s="2"/>
      <c r="B123" s="3"/>
      <c r="C123" s="3"/>
      <c r="D123" s="3"/>
      <c r="E123" s="4"/>
      <c r="F123" s="3"/>
      <c r="G123" s="5"/>
      <c r="H123" s="3"/>
      <c r="I123" s="5"/>
      <c r="J123" s="3"/>
      <c r="K123" s="5"/>
      <c r="L123" s="3"/>
      <c r="M123" s="5"/>
      <c r="N123" s="5"/>
    </row>
    <row r="124">
      <c r="A124" s="2"/>
      <c r="B124" s="3"/>
      <c r="C124" s="3"/>
      <c r="D124" s="3"/>
      <c r="E124" s="4"/>
      <c r="F124" s="3"/>
      <c r="G124" s="5"/>
      <c r="H124" s="3"/>
      <c r="I124" s="5"/>
      <c r="J124" s="3"/>
      <c r="K124" s="5"/>
      <c r="L124" s="3"/>
      <c r="M124" s="5"/>
      <c r="N124" s="5"/>
    </row>
    <row r="125">
      <c r="A125" s="2"/>
      <c r="B125" s="3"/>
      <c r="C125" s="3"/>
      <c r="D125" s="3"/>
      <c r="E125" s="4"/>
      <c r="F125" s="3"/>
      <c r="G125" s="5"/>
      <c r="H125" s="3"/>
      <c r="I125" s="5"/>
      <c r="J125" s="3"/>
      <c r="K125" s="5"/>
      <c r="L125" s="3"/>
      <c r="M125" s="5"/>
      <c r="N125" s="5"/>
    </row>
    <row r="126">
      <c r="A126" s="2"/>
      <c r="B126" s="3"/>
      <c r="C126" s="3"/>
      <c r="D126" s="3"/>
      <c r="E126" s="4"/>
      <c r="F126" s="3"/>
      <c r="G126" s="5"/>
      <c r="H126" s="3"/>
      <c r="I126" s="5"/>
      <c r="J126" s="3"/>
      <c r="K126" s="5"/>
      <c r="L126" s="3"/>
      <c r="M126" s="5"/>
      <c r="N126" s="5"/>
    </row>
    <row r="127">
      <c r="A127" s="2"/>
      <c r="B127" s="3"/>
      <c r="C127" s="3"/>
      <c r="D127" s="3"/>
      <c r="E127" s="4"/>
      <c r="F127" s="3"/>
      <c r="G127" s="5"/>
      <c r="H127" s="3"/>
      <c r="I127" s="5"/>
      <c r="J127" s="3"/>
      <c r="K127" s="5"/>
      <c r="L127" s="3"/>
      <c r="M127" s="5"/>
      <c r="N127" s="5"/>
    </row>
    <row r="128">
      <c r="A128" s="2"/>
      <c r="B128" s="3"/>
      <c r="C128" s="3"/>
      <c r="D128" s="3"/>
      <c r="E128" s="4"/>
      <c r="F128" s="3"/>
      <c r="G128" s="5"/>
      <c r="H128" s="3"/>
      <c r="I128" s="5"/>
      <c r="J128" s="3"/>
      <c r="K128" s="5"/>
      <c r="L128" s="3"/>
      <c r="M128" s="5"/>
      <c r="N128" s="5"/>
    </row>
    <row r="129">
      <c r="A129" s="2"/>
      <c r="B129" s="3"/>
      <c r="C129" s="3"/>
      <c r="D129" s="3"/>
      <c r="E129" s="4"/>
      <c r="F129" s="3"/>
      <c r="G129" s="5"/>
      <c r="H129" s="3"/>
      <c r="I129" s="5"/>
      <c r="J129" s="3"/>
      <c r="K129" s="5"/>
      <c r="L129" s="3"/>
      <c r="M129" s="5"/>
      <c r="N129" s="5"/>
    </row>
    <row r="130">
      <c r="A130" s="2"/>
      <c r="B130" s="3"/>
      <c r="C130" s="3"/>
      <c r="D130" s="3"/>
      <c r="E130" s="4"/>
      <c r="F130" s="3"/>
      <c r="G130" s="5"/>
      <c r="H130" s="3"/>
      <c r="I130" s="5"/>
      <c r="J130" s="3"/>
      <c r="K130" s="5"/>
      <c r="L130" s="3"/>
      <c r="M130" s="5"/>
      <c r="N130" s="5"/>
    </row>
    <row r="131">
      <c r="A131" s="2"/>
      <c r="B131" s="3"/>
      <c r="C131" s="3"/>
      <c r="D131" s="3"/>
      <c r="E131" s="4"/>
      <c r="F131" s="3"/>
      <c r="G131" s="5"/>
      <c r="H131" s="3"/>
      <c r="I131" s="5"/>
      <c r="J131" s="3"/>
      <c r="K131" s="5"/>
      <c r="L131" s="3"/>
      <c r="M131" s="5"/>
      <c r="N131" s="5"/>
    </row>
    <row r="132">
      <c r="A132" s="2"/>
      <c r="B132" s="3"/>
      <c r="C132" s="3"/>
      <c r="D132" s="3"/>
      <c r="E132" s="4"/>
      <c r="F132" s="3"/>
      <c r="G132" s="5"/>
      <c r="H132" s="3"/>
      <c r="I132" s="5"/>
      <c r="J132" s="3"/>
      <c r="K132" s="5"/>
      <c r="L132" s="3"/>
      <c r="M132" s="5"/>
      <c r="N132" s="5"/>
    </row>
    <row r="133">
      <c r="A133" s="2"/>
      <c r="B133" s="3"/>
      <c r="C133" s="3"/>
      <c r="D133" s="3"/>
      <c r="E133" s="4"/>
      <c r="F133" s="3"/>
      <c r="G133" s="5"/>
      <c r="H133" s="3"/>
      <c r="I133" s="5"/>
      <c r="J133" s="3"/>
      <c r="K133" s="5"/>
      <c r="L133" s="3"/>
      <c r="M133" s="5"/>
      <c r="N133" s="5"/>
    </row>
    <row r="134">
      <c r="A134" s="2"/>
      <c r="B134" s="3"/>
      <c r="C134" s="3"/>
      <c r="D134" s="3"/>
      <c r="E134" s="4"/>
      <c r="F134" s="3"/>
      <c r="G134" s="5"/>
      <c r="H134" s="3"/>
      <c r="I134" s="5"/>
      <c r="J134" s="3"/>
      <c r="K134" s="5"/>
      <c r="L134" s="3"/>
      <c r="M134" s="5"/>
      <c r="N134" s="5"/>
    </row>
    <row r="135">
      <c r="A135" s="2"/>
      <c r="B135" s="3"/>
      <c r="C135" s="3"/>
      <c r="D135" s="3"/>
      <c r="E135" s="4"/>
      <c r="F135" s="3"/>
      <c r="G135" s="5"/>
      <c r="H135" s="3"/>
      <c r="I135" s="5"/>
      <c r="J135" s="3"/>
      <c r="K135" s="5"/>
      <c r="L135" s="3"/>
      <c r="M135" s="5"/>
      <c r="N135" s="5"/>
    </row>
    <row r="136">
      <c r="A136" s="2"/>
      <c r="B136" s="3"/>
      <c r="C136" s="3"/>
      <c r="D136" s="3"/>
      <c r="E136" s="4"/>
      <c r="F136" s="3"/>
      <c r="G136" s="5"/>
      <c r="H136" s="3"/>
      <c r="I136" s="5"/>
      <c r="J136" s="3"/>
      <c r="K136" s="5"/>
      <c r="L136" s="3"/>
      <c r="M136" s="5"/>
      <c r="N136" s="5"/>
    </row>
    <row r="137">
      <c r="A137" s="2"/>
      <c r="B137" s="3"/>
      <c r="C137" s="3"/>
      <c r="D137" s="3"/>
      <c r="E137" s="4"/>
      <c r="F137" s="3"/>
      <c r="G137" s="5"/>
      <c r="H137" s="3"/>
      <c r="I137" s="5"/>
      <c r="J137" s="3"/>
      <c r="K137" s="5"/>
      <c r="L137" s="3"/>
      <c r="M137" s="5"/>
      <c r="N137" s="5"/>
    </row>
    <row r="138">
      <c r="A138" s="2"/>
      <c r="B138" s="3"/>
      <c r="C138" s="3"/>
      <c r="D138" s="3"/>
      <c r="E138" s="4"/>
      <c r="F138" s="3"/>
      <c r="G138" s="5"/>
      <c r="H138" s="3"/>
      <c r="I138" s="5"/>
      <c r="J138" s="3"/>
      <c r="K138" s="5"/>
      <c r="L138" s="3"/>
      <c r="M138" s="5"/>
      <c r="N138" s="5"/>
    </row>
    <row r="139">
      <c r="A139" s="2"/>
      <c r="B139" s="3"/>
      <c r="C139" s="3"/>
      <c r="D139" s="3"/>
      <c r="E139" s="4"/>
      <c r="F139" s="3"/>
      <c r="G139" s="5"/>
      <c r="H139" s="3"/>
      <c r="I139" s="5"/>
      <c r="J139" s="3"/>
      <c r="K139" s="5"/>
      <c r="L139" s="3"/>
      <c r="M139" s="5"/>
      <c r="N139" s="5"/>
    </row>
    <row r="140">
      <c r="A140" s="2"/>
      <c r="B140" s="3"/>
      <c r="C140" s="3"/>
      <c r="D140" s="3"/>
      <c r="E140" s="4"/>
      <c r="F140" s="3"/>
      <c r="G140" s="5"/>
      <c r="H140" s="3"/>
      <c r="I140" s="5"/>
      <c r="J140" s="3"/>
      <c r="K140" s="5"/>
      <c r="L140" s="3"/>
      <c r="M140" s="5"/>
      <c r="N140" s="5"/>
    </row>
    <row r="141">
      <c r="A141" s="2"/>
      <c r="B141" s="3"/>
      <c r="C141" s="3"/>
      <c r="D141" s="3"/>
      <c r="E141" s="4"/>
      <c r="F141" s="3"/>
      <c r="G141" s="5"/>
      <c r="H141" s="3"/>
      <c r="I141" s="5"/>
      <c r="J141" s="3"/>
      <c r="K141" s="5"/>
      <c r="L141" s="3"/>
      <c r="M141" s="5"/>
      <c r="N141" s="5"/>
    </row>
    <row r="142">
      <c r="A142" s="2"/>
      <c r="B142" s="3"/>
      <c r="C142" s="3"/>
      <c r="D142" s="3"/>
      <c r="E142" s="4"/>
      <c r="F142" s="3"/>
      <c r="G142" s="5"/>
      <c r="H142" s="3"/>
      <c r="I142" s="5"/>
      <c r="J142" s="3"/>
      <c r="K142" s="5"/>
      <c r="L142" s="3"/>
      <c r="M142" s="5"/>
      <c r="N142" s="5"/>
    </row>
    <row r="143">
      <c r="A143" s="2"/>
      <c r="B143" s="3"/>
      <c r="C143" s="3"/>
      <c r="D143" s="3"/>
      <c r="E143" s="4"/>
      <c r="F143" s="3"/>
      <c r="G143" s="5"/>
      <c r="H143" s="3"/>
      <c r="I143" s="5"/>
      <c r="J143" s="3"/>
      <c r="K143" s="5"/>
      <c r="L143" s="3"/>
      <c r="M143" s="5"/>
      <c r="N143" s="5"/>
    </row>
    <row r="144">
      <c r="A144" s="2"/>
      <c r="B144" s="3"/>
      <c r="C144" s="3"/>
      <c r="D144" s="3"/>
      <c r="E144" s="4"/>
      <c r="F144" s="3"/>
      <c r="G144" s="5"/>
      <c r="H144" s="3"/>
      <c r="I144" s="5"/>
      <c r="J144" s="3"/>
      <c r="K144" s="5"/>
      <c r="L144" s="3"/>
      <c r="M144" s="5"/>
      <c r="N144" s="5"/>
    </row>
    <row r="145">
      <c r="A145" s="2"/>
      <c r="B145" s="3"/>
      <c r="C145" s="3"/>
      <c r="D145" s="3"/>
      <c r="E145" s="4"/>
      <c r="F145" s="3"/>
      <c r="G145" s="5"/>
      <c r="H145" s="3"/>
      <c r="I145" s="5"/>
      <c r="J145" s="3"/>
      <c r="K145" s="5"/>
      <c r="L145" s="3"/>
      <c r="M145" s="5"/>
      <c r="N145" s="5"/>
    </row>
    <row r="146">
      <c r="A146" s="2"/>
      <c r="B146" s="3"/>
      <c r="C146" s="3"/>
      <c r="D146" s="3"/>
      <c r="E146" s="4"/>
      <c r="F146" s="3"/>
      <c r="G146" s="5"/>
      <c r="H146" s="3"/>
      <c r="I146" s="5"/>
      <c r="J146" s="3"/>
      <c r="K146" s="5"/>
      <c r="L146" s="3"/>
      <c r="M146" s="5"/>
      <c r="N146" s="5"/>
    </row>
    <row r="147">
      <c r="A147" s="2"/>
      <c r="B147" s="3"/>
      <c r="C147" s="3"/>
      <c r="D147" s="3"/>
      <c r="E147" s="4"/>
      <c r="F147" s="3"/>
      <c r="G147" s="5"/>
      <c r="H147" s="3"/>
      <c r="I147" s="5"/>
      <c r="J147" s="3"/>
      <c r="K147" s="5"/>
      <c r="L147" s="3"/>
      <c r="M147" s="5"/>
      <c r="N147" s="5"/>
    </row>
    <row r="148">
      <c r="A148" s="2"/>
      <c r="B148" s="3"/>
      <c r="C148" s="3"/>
      <c r="D148" s="3"/>
      <c r="E148" s="4"/>
      <c r="F148" s="3"/>
      <c r="G148" s="5"/>
      <c r="H148" s="3"/>
      <c r="I148" s="5"/>
      <c r="J148" s="3"/>
      <c r="K148" s="5"/>
      <c r="L148" s="3"/>
      <c r="M148" s="5"/>
      <c r="N148" s="5"/>
    </row>
    <row r="149">
      <c r="A149" s="2"/>
      <c r="B149" s="3"/>
      <c r="C149" s="3"/>
      <c r="D149" s="3"/>
      <c r="E149" s="4"/>
      <c r="F149" s="3"/>
      <c r="G149" s="5"/>
      <c r="H149" s="3"/>
      <c r="I149" s="5"/>
      <c r="J149" s="3"/>
      <c r="K149" s="5"/>
      <c r="L149" s="3"/>
      <c r="M149" s="5"/>
      <c r="N149" s="5"/>
    </row>
    <row r="150">
      <c r="A150" s="2"/>
      <c r="B150" s="3"/>
      <c r="C150" s="3"/>
      <c r="D150" s="3"/>
      <c r="E150" s="4"/>
      <c r="F150" s="3"/>
      <c r="G150" s="5"/>
      <c r="H150" s="3"/>
      <c r="I150" s="5"/>
      <c r="J150" s="3"/>
      <c r="K150" s="5"/>
      <c r="L150" s="3"/>
      <c r="M150" s="5"/>
      <c r="N150" s="5"/>
    </row>
    <row r="151">
      <c r="A151" s="2"/>
      <c r="B151" s="3"/>
      <c r="C151" s="3"/>
      <c r="D151" s="3"/>
      <c r="E151" s="4"/>
      <c r="F151" s="3"/>
      <c r="G151" s="5"/>
      <c r="H151" s="3"/>
      <c r="I151" s="5"/>
      <c r="J151" s="3"/>
      <c r="K151" s="5"/>
      <c r="L151" s="3"/>
      <c r="M151" s="5"/>
      <c r="N151" s="5"/>
    </row>
    <row r="152">
      <c r="A152" s="2"/>
      <c r="B152" s="3"/>
      <c r="C152" s="3"/>
      <c r="D152" s="3"/>
      <c r="E152" s="4"/>
      <c r="F152" s="3"/>
      <c r="G152" s="5"/>
      <c r="H152" s="3"/>
      <c r="I152" s="5"/>
      <c r="J152" s="3"/>
      <c r="K152" s="5"/>
      <c r="L152" s="3"/>
      <c r="M152" s="5"/>
      <c r="N152" s="5"/>
    </row>
    <row r="153">
      <c r="A153" s="2"/>
      <c r="B153" s="3"/>
      <c r="C153" s="3"/>
      <c r="D153" s="3"/>
      <c r="E153" s="4"/>
      <c r="F153" s="3"/>
      <c r="G153" s="5"/>
      <c r="H153" s="3"/>
      <c r="I153" s="5"/>
      <c r="J153" s="3"/>
      <c r="K153" s="5"/>
      <c r="L153" s="3"/>
      <c r="M153" s="5"/>
      <c r="N153" s="5"/>
    </row>
    <row r="154">
      <c r="A154" s="2"/>
      <c r="B154" s="3"/>
      <c r="C154" s="3"/>
      <c r="D154" s="3"/>
      <c r="E154" s="4"/>
      <c r="F154" s="3"/>
      <c r="G154" s="5"/>
      <c r="H154" s="3"/>
      <c r="I154" s="5"/>
      <c r="J154" s="3"/>
      <c r="K154" s="5"/>
      <c r="L154" s="3"/>
      <c r="M154" s="5"/>
      <c r="N154" s="5"/>
    </row>
    <row r="155">
      <c r="A155" s="2"/>
      <c r="B155" s="3"/>
      <c r="C155" s="3"/>
      <c r="D155" s="3"/>
      <c r="E155" s="4"/>
      <c r="F155" s="3"/>
      <c r="G155" s="5"/>
      <c r="H155" s="3"/>
      <c r="I155" s="5"/>
      <c r="J155" s="3"/>
      <c r="K155" s="5"/>
      <c r="L155" s="3"/>
      <c r="M155" s="5"/>
      <c r="N155" s="5"/>
    </row>
    <row r="156">
      <c r="A156" s="2"/>
      <c r="B156" s="3"/>
      <c r="C156" s="3"/>
      <c r="D156" s="3"/>
      <c r="E156" s="4"/>
      <c r="F156" s="3"/>
      <c r="G156" s="5"/>
      <c r="H156" s="3"/>
      <c r="I156" s="5"/>
      <c r="J156" s="3"/>
      <c r="K156" s="5"/>
      <c r="L156" s="3"/>
      <c r="M156" s="5"/>
      <c r="N156" s="5"/>
    </row>
    <row r="157">
      <c r="A157" s="2"/>
      <c r="B157" s="3"/>
      <c r="C157" s="3"/>
      <c r="D157" s="3"/>
      <c r="E157" s="4"/>
      <c r="F157" s="3"/>
      <c r="G157" s="5"/>
      <c r="H157" s="3"/>
      <c r="I157" s="5"/>
      <c r="J157" s="3"/>
      <c r="K157" s="5"/>
      <c r="L157" s="3"/>
      <c r="M157" s="5"/>
      <c r="N157" s="5"/>
    </row>
    <row r="158">
      <c r="A158" s="2"/>
      <c r="B158" s="3"/>
      <c r="C158" s="3"/>
      <c r="D158" s="3"/>
      <c r="E158" s="4"/>
      <c r="F158" s="3"/>
      <c r="G158" s="5"/>
      <c r="H158" s="3"/>
      <c r="I158" s="5"/>
      <c r="J158" s="3"/>
      <c r="K158" s="5"/>
      <c r="L158" s="3"/>
      <c r="M158" s="5"/>
      <c r="N158" s="5"/>
    </row>
    <row r="159">
      <c r="A159" s="2"/>
      <c r="B159" s="3"/>
      <c r="C159" s="3"/>
      <c r="D159" s="3"/>
      <c r="E159" s="4"/>
      <c r="F159" s="3"/>
      <c r="G159" s="5"/>
      <c r="H159" s="3"/>
      <c r="I159" s="5"/>
      <c r="J159" s="3"/>
      <c r="K159" s="5"/>
      <c r="L159" s="3"/>
      <c r="M159" s="5"/>
      <c r="N159" s="5"/>
    </row>
    <row r="160">
      <c r="A160" s="2"/>
      <c r="B160" s="3"/>
      <c r="C160" s="3"/>
      <c r="D160" s="3"/>
      <c r="E160" s="4"/>
      <c r="F160" s="3"/>
      <c r="G160" s="5"/>
      <c r="H160" s="3"/>
      <c r="I160" s="5"/>
      <c r="J160" s="3"/>
      <c r="K160" s="5"/>
      <c r="L160" s="3"/>
      <c r="M160" s="5"/>
      <c r="N160" s="5"/>
    </row>
    <row r="161">
      <c r="A161" s="2"/>
      <c r="B161" s="3"/>
      <c r="C161" s="3"/>
      <c r="D161" s="3"/>
      <c r="E161" s="4"/>
      <c r="F161" s="3"/>
      <c r="G161" s="5"/>
      <c r="H161" s="3"/>
      <c r="I161" s="5"/>
      <c r="J161" s="3"/>
      <c r="K161" s="5"/>
      <c r="L161" s="3"/>
      <c r="M161" s="5"/>
      <c r="N161" s="5"/>
    </row>
    <row r="162">
      <c r="A162" s="2"/>
      <c r="B162" s="3"/>
      <c r="C162" s="3"/>
      <c r="D162" s="3"/>
      <c r="E162" s="4"/>
      <c r="F162" s="3"/>
      <c r="G162" s="5"/>
      <c r="H162" s="3"/>
      <c r="I162" s="5"/>
      <c r="J162" s="3"/>
      <c r="K162" s="5"/>
      <c r="L162" s="3"/>
      <c r="M162" s="5"/>
      <c r="N162" s="5"/>
    </row>
    <row r="163">
      <c r="A163" s="2"/>
      <c r="B163" s="3"/>
      <c r="C163" s="3"/>
      <c r="D163" s="3"/>
      <c r="E163" s="4"/>
      <c r="F163" s="3"/>
      <c r="G163" s="5"/>
      <c r="H163" s="3"/>
      <c r="I163" s="5"/>
      <c r="J163" s="3"/>
      <c r="K163" s="5"/>
      <c r="L163" s="3"/>
      <c r="M163" s="5"/>
      <c r="N163" s="5"/>
    </row>
    <row r="164">
      <c r="A164" s="2"/>
      <c r="B164" s="3"/>
      <c r="C164" s="3"/>
      <c r="D164" s="3"/>
      <c r="E164" s="4"/>
      <c r="F164" s="3"/>
      <c r="G164" s="5"/>
      <c r="H164" s="3"/>
      <c r="I164" s="5"/>
      <c r="J164" s="3"/>
      <c r="K164" s="5"/>
      <c r="L164" s="3"/>
      <c r="M164" s="5"/>
      <c r="N164" s="5"/>
    </row>
    <row r="165">
      <c r="A165" s="2"/>
      <c r="B165" s="3"/>
      <c r="C165" s="3"/>
      <c r="D165" s="3"/>
      <c r="E165" s="4"/>
      <c r="F165" s="3"/>
      <c r="G165" s="5"/>
      <c r="H165" s="3"/>
      <c r="I165" s="5"/>
      <c r="J165" s="3"/>
      <c r="K165" s="5"/>
      <c r="L165" s="3"/>
      <c r="M165" s="5"/>
      <c r="N165" s="5"/>
    </row>
    <row r="166">
      <c r="A166" s="2"/>
      <c r="B166" s="3"/>
      <c r="C166" s="3"/>
      <c r="D166" s="3"/>
      <c r="E166" s="4"/>
      <c r="F166" s="3"/>
      <c r="G166" s="5"/>
      <c r="H166" s="3"/>
      <c r="I166" s="5"/>
      <c r="J166" s="3"/>
      <c r="K166" s="5"/>
      <c r="L166" s="3"/>
      <c r="M166" s="5"/>
      <c r="N166" s="5"/>
    </row>
    <row r="167">
      <c r="A167" s="2"/>
      <c r="B167" s="3"/>
      <c r="C167" s="3"/>
      <c r="D167" s="3"/>
      <c r="E167" s="4"/>
      <c r="F167" s="3"/>
      <c r="G167" s="5"/>
      <c r="H167" s="3"/>
      <c r="I167" s="5"/>
      <c r="J167" s="3"/>
      <c r="K167" s="5"/>
      <c r="L167" s="3"/>
      <c r="M167" s="5"/>
      <c r="N167" s="5"/>
    </row>
    <row r="168">
      <c r="A168" s="2"/>
      <c r="B168" s="3"/>
      <c r="C168" s="3"/>
      <c r="D168" s="3"/>
      <c r="E168" s="4"/>
      <c r="F168" s="3"/>
      <c r="G168" s="5"/>
      <c r="H168" s="3"/>
      <c r="I168" s="5"/>
      <c r="J168" s="3"/>
      <c r="K168" s="5"/>
      <c r="L168" s="3"/>
      <c r="M168" s="5"/>
      <c r="N168" s="5"/>
    </row>
    <row r="169">
      <c r="A169" s="2"/>
      <c r="B169" s="3"/>
      <c r="C169" s="3"/>
      <c r="D169" s="3"/>
      <c r="E169" s="4"/>
      <c r="F169" s="3"/>
      <c r="G169" s="5"/>
      <c r="H169" s="3"/>
      <c r="I169" s="5"/>
      <c r="J169" s="3"/>
      <c r="K169" s="5"/>
      <c r="L169" s="3"/>
      <c r="M169" s="5"/>
      <c r="N169" s="5"/>
    </row>
    <row r="170">
      <c r="A170" s="2"/>
      <c r="B170" s="3"/>
      <c r="C170" s="3"/>
      <c r="D170" s="3"/>
      <c r="E170" s="4"/>
      <c r="F170" s="3"/>
      <c r="G170" s="5"/>
      <c r="H170" s="3"/>
      <c r="I170" s="5"/>
      <c r="J170" s="3"/>
      <c r="K170" s="5"/>
      <c r="L170" s="3"/>
      <c r="M170" s="5"/>
      <c r="N170" s="5"/>
    </row>
    <row r="171">
      <c r="A171" s="2"/>
      <c r="B171" s="3"/>
      <c r="C171" s="3"/>
      <c r="D171" s="3"/>
      <c r="E171" s="4"/>
      <c r="F171" s="3"/>
      <c r="G171" s="5"/>
      <c r="H171" s="3"/>
      <c r="I171" s="5"/>
      <c r="J171" s="3"/>
      <c r="K171" s="5"/>
      <c r="L171" s="3"/>
      <c r="M171" s="5"/>
      <c r="N171" s="5"/>
    </row>
    <row r="172">
      <c r="A172" s="2"/>
      <c r="B172" s="3"/>
      <c r="C172" s="3"/>
      <c r="D172" s="3"/>
      <c r="E172" s="4"/>
      <c r="F172" s="3"/>
      <c r="G172" s="5"/>
      <c r="H172" s="3"/>
      <c r="I172" s="5"/>
      <c r="J172" s="3"/>
      <c r="K172" s="5"/>
      <c r="L172" s="3"/>
      <c r="M172" s="5"/>
      <c r="N172" s="5"/>
    </row>
    <row r="173">
      <c r="A173" s="2"/>
      <c r="B173" s="3"/>
      <c r="C173" s="3"/>
      <c r="D173" s="3"/>
      <c r="E173" s="4"/>
      <c r="F173" s="3"/>
      <c r="G173" s="5"/>
      <c r="H173" s="3"/>
      <c r="I173" s="5"/>
      <c r="J173" s="3"/>
      <c r="K173" s="5"/>
      <c r="L173" s="3"/>
      <c r="M173" s="5"/>
      <c r="N173" s="5"/>
    </row>
    <row r="174">
      <c r="A174" s="2"/>
      <c r="B174" s="3"/>
      <c r="C174" s="3"/>
      <c r="D174" s="3"/>
      <c r="E174" s="4"/>
      <c r="F174" s="3"/>
      <c r="G174" s="5"/>
      <c r="H174" s="3"/>
      <c r="I174" s="5"/>
      <c r="J174" s="3"/>
      <c r="K174" s="5"/>
      <c r="L174" s="3"/>
      <c r="M174" s="5"/>
      <c r="N174" s="5"/>
    </row>
    <row r="175">
      <c r="A175" s="2"/>
      <c r="B175" s="3"/>
      <c r="C175" s="3"/>
      <c r="D175" s="3"/>
      <c r="E175" s="4"/>
      <c r="F175" s="3"/>
      <c r="G175" s="5"/>
      <c r="H175" s="3"/>
      <c r="I175" s="5"/>
      <c r="J175" s="3"/>
      <c r="K175" s="5"/>
      <c r="L175" s="3"/>
      <c r="M175" s="5"/>
      <c r="N175" s="5"/>
    </row>
    <row r="176">
      <c r="A176" s="2"/>
      <c r="B176" s="3"/>
      <c r="C176" s="3"/>
      <c r="D176" s="3"/>
      <c r="E176" s="4"/>
      <c r="F176" s="3"/>
      <c r="G176" s="5"/>
      <c r="H176" s="3"/>
      <c r="I176" s="5"/>
      <c r="J176" s="3"/>
      <c r="K176" s="5"/>
      <c r="L176" s="3"/>
      <c r="M176" s="5"/>
      <c r="N176" s="5"/>
    </row>
    <row r="177">
      <c r="A177" s="2"/>
      <c r="B177" s="3"/>
      <c r="C177" s="3"/>
      <c r="D177" s="3"/>
      <c r="E177" s="4"/>
      <c r="F177" s="3"/>
      <c r="G177" s="5"/>
      <c r="H177" s="3"/>
      <c r="I177" s="5"/>
      <c r="J177" s="3"/>
      <c r="K177" s="5"/>
      <c r="L177" s="3"/>
      <c r="M177" s="5"/>
      <c r="N177" s="5"/>
    </row>
    <row r="178">
      <c r="A178" s="2"/>
      <c r="B178" s="3"/>
      <c r="C178" s="3"/>
      <c r="D178" s="3"/>
      <c r="E178" s="4"/>
      <c r="F178" s="3"/>
      <c r="G178" s="5"/>
      <c r="H178" s="3"/>
      <c r="I178" s="5"/>
      <c r="J178" s="3"/>
      <c r="K178" s="5"/>
      <c r="L178" s="3"/>
      <c r="M178" s="5"/>
      <c r="N178" s="5"/>
    </row>
    <row r="179">
      <c r="A179" s="2"/>
      <c r="B179" s="3"/>
      <c r="C179" s="3"/>
      <c r="D179" s="3"/>
      <c r="E179" s="4"/>
      <c r="F179" s="3"/>
      <c r="G179" s="5"/>
      <c r="H179" s="3"/>
      <c r="I179" s="5"/>
      <c r="J179" s="3"/>
      <c r="K179" s="5"/>
      <c r="L179" s="3"/>
      <c r="M179" s="5"/>
      <c r="N179" s="5"/>
    </row>
    <row r="180">
      <c r="A180" s="2"/>
      <c r="B180" s="3"/>
      <c r="C180" s="3"/>
      <c r="D180" s="3"/>
      <c r="E180" s="4"/>
      <c r="F180" s="3"/>
      <c r="G180" s="5"/>
      <c r="H180" s="3"/>
      <c r="I180" s="5"/>
      <c r="J180" s="3"/>
      <c r="K180" s="5"/>
      <c r="L180" s="3"/>
      <c r="M180" s="5"/>
      <c r="N180" s="5"/>
    </row>
    <row r="181">
      <c r="A181" s="2"/>
      <c r="B181" s="3"/>
      <c r="C181" s="3"/>
      <c r="D181" s="3"/>
      <c r="E181" s="4"/>
      <c r="F181" s="3"/>
      <c r="G181" s="5"/>
      <c r="H181" s="3"/>
      <c r="I181" s="5"/>
      <c r="J181" s="3"/>
      <c r="K181" s="5"/>
      <c r="L181" s="3"/>
      <c r="M181" s="5"/>
      <c r="N181" s="5"/>
    </row>
    <row r="182">
      <c r="A182" s="2"/>
      <c r="B182" s="3"/>
      <c r="C182" s="3"/>
      <c r="D182" s="3"/>
      <c r="E182" s="4"/>
      <c r="F182" s="3"/>
      <c r="G182" s="5"/>
      <c r="H182" s="3"/>
      <c r="I182" s="5"/>
      <c r="J182" s="3"/>
      <c r="K182" s="5"/>
      <c r="L182" s="3"/>
      <c r="M182" s="5"/>
      <c r="N182" s="5"/>
    </row>
    <row r="183">
      <c r="A183" s="2"/>
      <c r="B183" s="3"/>
      <c r="C183" s="3"/>
      <c r="D183" s="3"/>
      <c r="E183" s="4"/>
      <c r="F183" s="3"/>
      <c r="G183" s="5"/>
      <c r="H183" s="3"/>
      <c r="I183" s="5"/>
      <c r="J183" s="3"/>
      <c r="K183" s="5"/>
      <c r="L183" s="3"/>
      <c r="M183" s="5"/>
      <c r="N183" s="5"/>
    </row>
    <row r="184">
      <c r="A184" s="2"/>
      <c r="B184" s="3"/>
      <c r="C184" s="3"/>
      <c r="D184" s="3"/>
      <c r="E184" s="4"/>
      <c r="F184" s="3"/>
      <c r="G184" s="5"/>
      <c r="H184" s="3"/>
      <c r="I184" s="5"/>
      <c r="J184" s="3"/>
      <c r="K184" s="5"/>
      <c r="L184" s="3"/>
      <c r="M184" s="5"/>
      <c r="N184" s="5"/>
    </row>
    <row r="185">
      <c r="A185" s="2"/>
      <c r="B185" s="3"/>
      <c r="C185" s="3"/>
      <c r="D185" s="3"/>
      <c r="E185" s="4"/>
      <c r="F185" s="3"/>
      <c r="G185" s="5"/>
      <c r="H185" s="3"/>
      <c r="I185" s="5"/>
      <c r="J185" s="3"/>
      <c r="K185" s="5"/>
      <c r="L185" s="3"/>
      <c r="M185" s="5"/>
      <c r="N185" s="5"/>
    </row>
    <row r="186">
      <c r="A186" s="2"/>
      <c r="B186" s="3"/>
      <c r="C186" s="3"/>
      <c r="D186" s="3"/>
      <c r="E186" s="4"/>
      <c r="F186" s="3"/>
      <c r="G186" s="5"/>
      <c r="H186" s="3"/>
      <c r="I186" s="5"/>
      <c r="J186" s="3"/>
      <c r="K186" s="5"/>
      <c r="L186" s="3"/>
      <c r="M186" s="5"/>
      <c r="N186" s="5"/>
    </row>
    <row r="187">
      <c r="A187" s="2"/>
      <c r="B187" s="3"/>
      <c r="C187" s="3"/>
      <c r="D187" s="3"/>
      <c r="E187" s="4"/>
      <c r="F187" s="3"/>
      <c r="G187" s="5"/>
      <c r="H187" s="3"/>
      <c r="I187" s="5"/>
      <c r="J187" s="3"/>
      <c r="K187" s="5"/>
      <c r="L187" s="3"/>
      <c r="M187" s="5"/>
      <c r="N187" s="5"/>
    </row>
    <row r="188">
      <c r="A188" s="2"/>
      <c r="B188" s="3"/>
      <c r="C188" s="3"/>
      <c r="D188" s="3"/>
      <c r="E188" s="4"/>
      <c r="F188" s="3"/>
      <c r="G188" s="5"/>
      <c r="H188" s="3"/>
      <c r="I188" s="5"/>
      <c r="J188" s="3"/>
      <c r="K188" s="5"/>
      <c r="L188" s="3"/>
      <c r="M188" s="5"/>
      <c r="N188" s="5"/>
    </row>
    <row r="189">
      <c r="A189" s="2"/>
      <c r="B189" s="3"/>
      <c r="C189" s="3"/>
      <c r="D189" s="3"/>
      <c r="E189" s="4"/>
      <c r="F189" s="3"/>
      <c r="G189" s="5"/>
      <c r="H189" s="3"/>
      <c r="I189" s="5"/>
      <c r="J189" s="3"/>
      <c r="K189" s="5"/>
      <c r="L189" s="3"/>
      <c r="M189" s="5"/>
      <c r="N189" s="5"/>
    </row>
    <row r="190">
      <c r="A190" s="2"/>
      <c r="B190" s="3"/>
      <c r="C190" s="3"/>
      <c r="D190" s="3"/>
      <c r="E190" s="4"/>
      <c r="F190" s="3"/>
      <c r="G190" s="5"/>
      <c r="H190" s="3"/>
      <c r="I190" s="5"/>
      <c r="J190" s="3"/>
      <c r="K190" s="5"/>
      <c r="L190" s="3"/>
      <c r="M190" s="5"/>
      <c r="N190" s="5"/>
    </row>
    <row r="191">
      <c r="A191" s="2"/>
      <c r="B191" s="3"/>
      <c r="C191" s="3"/>
      <c r="D191" s="3"/>
      <c r="E191" s="4"/>
      <c r="F191" s="3"/>
      <c r="G191" s="5"/>
      <c r="H191" s="3"/>
      <c r="I191" s="5"/>
      <c r="J191" s="3"/>
      <c r="K191" s="5"/>
      <c r="L191" s="3"/>
      <c r="M191" s="5"/>
      <c r="N191" s="5"/>
    </row>
    <row r="192">
      <c r="A192" s="2"/>
      <c r="B192" s="3"/>
      <c r="C192" s="3"/>
      <c r="D192" s="3"/>
      <c r="E192" s="4"/>
      <c r="F192" s="3"/>
      <c r="G192" s="5"/>
      <c r="H192" s="3"/>
      <c r="I192" s="5"/>
      <c r="J192" s="3"/>
      <c r="K192" s="5"/>
      <c r="L192" s="3"/>
      <c r="M192" s="5"/>
      <c r="N192" s="5"/>
    </row>
    <row r="193">
      <c r="A193" s="2"/>
      <c r="B193" s="3"/>
      <c r="C193" s="3"/>
      <c r="D193" s="3"/>
      <c r="E193" s="4"/>
      <c r="F193" s="3"/>
      <c r="G193" s="5"/>
      <c r="H193" s="3"/>
      <c r="I193" s="5"/>
      <c r="J193" s="3"/>
      <c r="K193" s="5"/>
      <c r="L193" s="3"/>
      <c r="M193" s="5"/>
      <c r="N193" s="5"/>
    </row>
    <row r="194">
      <c r="A194" s="2"/>
      <c r="B194" s="3"/>
      <c r="C194" s="3"/>
      <c r="D194" s="3"/>
      <c r="E194" s="4"/>
      <c r="F194" s="3"/>
      <c r="G194" s="5"/>
      <c r="H194" s="3"/>
      <c r="I194" s="5"/>
      <c r="J194" s="3"/>
      <c r="K194" s="5"/>
      <c r="L194" s="3"/>
      <c r="M194" s="5"/>
      <c r="N194" s="5"/>
    </row>
    <row r="195">
      <c r="A195" s="2"/>
      <c r="B195" s="3"/>
      <c r="C195" s="3"/>
      <c r="D195" s="3"/>
      <c r="E195" s="4"/>
      <c r="F195" s="3"/>
      <c r="G195" s="5"/>
      <c r="H195" s="3"/>
      <c r="I195" s="5"/>
      <c r="J195" s="3"/>
      <c r="K195" s="5"/>
      <c r="L195" s="3"/>
      <c r="M195" s="5"/>
      <c r="N195" s="5"/>
    </row>
    <row r="196">
      <c r="A196" s="2"/>
      <c r="B196" s="3"/>
      <c r="C196" s="3"/>
      <c r="D196" s="3"/>
      <c r="E196" s="4"/>
      <c r="F196" s="3"/>
      <c r="G196" s="5"/>
      <c r="H196" s="3"/>
      <c r="I196" s="5"/>
      <c r="J196" s="3"/>
      <c r="K196" s="5"/>
      <c r="L196" s="3"/>
      <c r="M196" s="5"/>
      <c r="N196" s="5"/>
    </row>
    <row r="197">
      <c r="A197" s="2"/>
      <c r="B197" s="3"/>
      <c r="C197" s="3"/>
      <c r="D197" s="3"/>
      <c r="E197" s="4"/>
      <c r="F197" s="3"/>
      <c r="G197" s="5"/>
      <c r="H197" s="3"/>
      <c r="I197" s="5"/>
      <c r="J197" s="3"/>
      <c r="K197" s="5"/>
      <c r="L197" s="3"/>
      <c r="M197" s="5"/>
      <c r="N197" s="5"/>
    </row>
    <row r="198">
      <c r="A198" s="2"/>
      <c r="B198" s="3"/>
      <c r="C198" s="3"/>
      <c r="D198" s="3"/>
      <c r="E198" s="4"/>
      <c r="F198" s="3"/>
      <c r="G198" s="5"/>
      <c r="H198" s="3"/>
      <c r="I198" s="5"/>
      <c r="J198" s="3"/>
      <c r="K198" s="5"/>
      <c r="L198" s="3"/>
      <c r="M198" s="5"/>
      <c r="N198" s="5"/>
    </row>
    <row r="199">
      <c r="A199" s="2"/>
      <c r="B199" s="3"/>
      <c r="C199" s="3"/>
      <c r="D199" s="3"/>
      <c r="E199" s="4"/>
      <c r="F199" s="3"/>
      <c r="G199" s="5"/>
      <c r="H199" s="3"/>
      <c r="I199" s="5"/>
      <c r="J199" s="3"/>
      <c r="K199" s="5"/>
      <c r="L199" s="3"/>
      <c r="M199" s="5"/>
      <c r="N199" s="5"/>
    </row>
    <row r="200">
      <c r="A200" s="2"/>
      <c r="B200" s="3"/>
      <c r="C200" s="3"/>
      <c r="D200" s="3"/>
      <c r="E200" s="4"/>
      <c r="F200" s="3"/>
      <c r="G200" s="5"/>
      <c r="H200" s="3"/>
      <c r="I200" s="5"/>
      <c r="J200" s="3"/>
      <c r="K200" s="5"/>
      <c r="L200" s="3"/>
      <c r="M200" s="5"/>
      <c r="N200" s="5"/>
    </row>
    <row r="201">
      <c r="A201" s="2"/>
      <c r="B201" s="3"/>
      <c r="C201" s="3"/>
      <c r="D201" s="3"/>
      <c r="E201" s="4"/>
      <c r="F201" s="3"/>
      <c r="G201" s="5"/>
      <c r="H201" s="3"/>
      <c r="I201" s="5"/>
      <c r="J201" s="3"/>
      <c r="K201" s="5"/>
      <c r="L201" s="3"/>
      <c r="M201" s="5"/>
      <c r="N201" s="5"/>
    </row>
    <row r="202">
      <c r="A202" s="2"/>
      <c r="B202" s="3"/>
      <c r="C202" s="3"/>
      <c r="D202" s="3"/>
      <c r="E202" s="4"/>
      <c r="F202" s="3"/>
      <c r="G202" s="5"/>
      <c r="H202" s="3"/>
      <c r="I202" s="5"/>
      <c r="J202" s="3"/>
      <c r="K202" s="5"/>
      <c r="L202" s="3"/>
      <c r="M202" s="5"/>
      <c r="N202" s="5"/>
    </row>
    <row r="203">
      <c r="A203" s="2"/>
      <c r="B203" s="3"/>
      <c r="C203" s="3"/>
      <c r="D203" s="3"/>
      <c r="E203" s="4"/>
      <c r="F203" s="3"/>
      <c r="G203" s="5"/>
      <c r="H203" s="3"/>
      <c r="I203" s="5"/>
      <c r="J203" s="3"/>
      <c r="K203" s="5"/>
      <c r="L203" s="3"/>
      <c r="M203" s="5"/>
      <c r="N203" s="5"/>
    </row>
    <row r="204">
      <c r="A204" s="2"/>
      <c r="B204" s="3"/>
      <c r="C204" s="3"/>
      <c r="D204" s="3"/>
      <c r="E204" s="4"/>
      <c r="F204" s="3"/>
      <c r="G204" s="5"/>
      <c r="H204" s="3"/>
      <c r="I204" s="5"/>
      <c r="J204" s="3"/>
      <c r="K204" s="5"/>
      <c r="L204" s="3"/>
      <c r="M204" s="5"/>
      <c r="N204" s="5"/>
    </row>
    <row r="205">
      <c r="A205" s="2"/>
      <c r="B205" s="3"/>
      <c r="C205" s="3"/>
      <c r="D205" s="3"/>
      <c r="E205" s="4"/>
      <c r="F205" s="3"/>
      <c r="G205" s="5"/>
      <c r="H205" s="3"/>
      <c r="I205" s="5"/>
      <c r="J205" s="3"/>
      <c r="K205" s="5"/>
      <c r="L205" s="3"/>
      <c r="M205" s="5"/>
      <c r="N205" s="5"/>
    </row>
    <row r="206">
      <c r="A206" s="2"/>
      <c r="B206" s="3"/>
      <c r="C206" s="3"/>
      <c r="D206" s="3"/>
      <c r="E206" s="4"/>
      <c r="F206" s="3"/>
      <c r="G206" s="5"/>
      <c r="H206" s="3"/>
      <c r="I206" s="5"/>
      <c r="J206" s="3"/>
      <c r="K206" s="5"/>
      <c r="L206" s="3"/>
      <c r="M206" s="5"/>
      <c r="N206" s="5"/>
    </row>
    <row r="207">
      <c r="A207" s="2"/>
      <c r="B207" s="3"/>
      <c r="C207" s="3"/>
      <c r="D207" s="3"/>
      <c r="E207" s="4"/>
      <c r="F207" s="3"/>
      <c r="G207" s="5"/>
      <c r="H207" s="3"/>
      <c r="I207" s="5"/>
      <c r="J207" s="3"/>
      <c r="K207" s="5"/>
      <c r="L207" s="3"/>
      <c r="M207" s="5"/>
      <c r="N207" s="5"/>
    </row>
    <row r="208">
      <c r="A208" s="2"/>
      <c r="B208" s="3"/>
      <c r="C208" s="3"/>
      <c r="D208" s="3"/>
      <c r="E208" s="4"/>
      <c r="F208" s="3"/>
      <c r="G208" s="5"/>
      <c r="H208" s="3"/>
      <c r="I208" s="5"/>
      <c r="J208" s="3"/>
      <c r="K208" s="5"/>
      <c r="L208" s="3"/>
      <c r="M208" s="5"/>
      <c r="N208" s="5"/>
    </row>
    <row r="209">
      <c r="A209" s="2"/>
      <c r="B209" s="3"/>
      <c r="C209" s="3"/>
      <c r="D209" s="3"/>
      <c r="E209" s="4"/>
      <c r="F209" s="3"/>
      <c r="G209" s="5"/>
      <c r="H209" s="3"/>
      <c r="I209" s="5"/>
      <c r="J209" s="3"/>
      <c r="K209" s="5"/>
      <c r="L209" s="3"/>
      <c r="M209" s="5"/>
      <c r="N209" s="5"/>
    </row>
    <row r="210">
      <c r="A210" s="2"/>
      <c r="B210" s="3"/>
      <c r="C210" s="3"/>
      <c r="D210" s="3"/>
      <c r="E210" s="4"/>
      <c r="F210" s="3"/>
      <c r="G210" s="5"/>
      <c r="H210" s="3"/>
      <c r="I210" s="5"/>
      <c r="J210" s="3"/>
      <c r="K210" s="5"/>
      <c r="L210" s="3"/>
      <c r="M210" s="5"/>
      <c r="N210" s="5"/>
    </row>
    <row r="211">
      <c r="A211" s="2"/>
      <c r="B211" s="3"/>
      <c r="C211" s="3"/>
      <c r="D211" s="3"/>
      <c r="E211" s="4"/>
      <c r="F211" s="3"/>
      <c r="G211" s="5"/>
      <c r="H211" s="3"/>
      <c r="I211" s="5"/>
      <c r="J211" s="3"/>
      <c r="K211" s="5"/>
      <c r="L211" s="3"/>
      <c r="M211" s="5"/>
      <c r="N211" s="5"/>
    </row>
    <row r="212">
      <c r="A212" s="2"/>
      <c r="B212" s="3"/>
      <c r="C212" s="3"/>
      <c r="D212" s="3"/>
      <c r="E212" s="4"/>
      <c r="F212" s="3"/>
      <c r="G212" s="5"/>
      <c r="H212" s="3"/>
      <c r="I212" s="5"/>
      <c r="J212" s="3"/>
      <c r="K212" s="5"/>
      <c r="L212" s="3"/>
      <c r="M212" s="5"/>
      <c r="N212" s="5"/>
    </row>
    <row r="213">
      <c r="A213" s="2"/>
      <c r="B213" s="3"/>
      <c r="C213" s="3"/>
      <c r="D213" s="3"/>
      <c r="E213" s="4"/>
      <c r="F213" s="3"/>
      <c r="G213" s="5"/>
      <c r="H213" s="3"/>
      <c r="I213" s="5"/>
      <c r="J213" s="3"/>
      <c r="K213" s="5"/>
      <c r="L213" s="3"/>
      <c r="M213" s="5"/>
      <c r="N213" s="5"/>
    </row>
    <row r="214">
      <c r="A214" s="2"/>
      <c r="B214" s="3"/>
      <c r="C214" s="3"/>
      <c r="D214" s="3"/>
      <c r="E214" s="4"/>
      <c r="F214" s="3"/>
      <c r="G214" s="5"/>
      <c r="H214" s="3"/>
      <c r="I214" s="5"/>
      <c r="J214" s="3"/>
      <c r="K214" s="5"/>
      <c r="L214" s="3"/>
      <c r="M214" s="5"/>
      <c r="N214" s="5"/>
    </row>
    <row r="215">
      <c r="A215" s="2"/>
      <c r="B215" s="3"/>
      <c r="C215" s="3"/>
      <c r="D215" s="3"/>
      <c r="E215" s="4"/>
      <c r="F215" s="3"/>
      <c r="G215" s="5"/>
      <c r="H215" s="3"/>
      <c r="I215" s="5"/>
      <c r="J215" s="3"/>
      <c r="K215" s="5"/>
      <c r="L215" s="3"/>
      <c r="M215" s="5"/>
      <c r="N215" s="5"/>
    </row>
    <row r="216">
      <c r="A216" s="2"/>
      <c r="B216" s="3"/>
      <c r="C216" s="3"/>
      <c r="D216" s="3"/>
      <c r="E216" s="4"/>
      <c r="F216" s="3"/>
      <c r="G216" s="5"/>
      <c r="H216" s="3"/>
      <c r="I216" s="5"/>
      <c r="J216" s="3"/>
      <c r="K216" s="5"/>
      <c r="L216" s="3"/>
      <c r="M216" s="5"/>
      <c r="N216" s="5"/>
    </row>
    <row r="217">
      <c r="A217" s="2"/>
      <c r="B217" s="3"/>
      <c r="C217" s="3"/>
      <c r="D217" s="3"/>
      <c r="E217" s="4"/>
      <c r="F217" s="3"/>
      <c r="G217" s="5"/>
      <c r="H217" s="3"/>
      <c r="I217" s="5"/>
      <c r="J217" s="3"/>
      <c r="K217" s="5"/>
      <c r="L217" s="3"/>
      <c r="M217" s="5"/>
      <c r="N217" s="5"/>
    </row>
    <row r="218">
      <c r="A218" s="2"/>
      <c r="B218" s="3"/>
      <c r="C218" s="3"/>
      <c r="D218" s="3"/>
      <c r="E218" s="4"/>
      <c r="F218" s="3"/>
      <c r="G218" s="5"/>
      <c r="H218" s="3"/>
      <c r="I218" s="5"/>
      <c r="J218" s="3"/>
      <c r="K218" s="5"/>
      <c r="L218" s="3"/>
      <c r="M218" s="5"/>
      <c r="N218" s="5"/>
    </row>
    <row r="219">
      <c r="A219" s="2"/>
      <c r="B219" s="3"/>
      <c r="C219" s="3"/>
      <c r="D219" s="3"/>
      <c r="E219" s="4"/>
      <c r="F219" s="3"/>
      <c r="G219" s="5"/>
      <c r="H219" s="3"/>
      <c r="I219" s="5"/>
      <c r="J219" s="3"/>
      <c r="K219" s="5"/>
      <c r="L219" s="3"/>
      <c r="M219" s="5"/>
      <c r="N219" s="5"/>
    </row>
    <row r="220">
      <c r="A220" s="2"/>
      <c r="B220" s="3"/>
      <c r="C220" s="3"/>
      <c r="D220" s="3"/>
      <c r="E220" s="4"/>
      <c r="F220" s="3"/>
      <c r="G220" s="5"/>
      <c r="H220" s="3"/>
      <c r="I220" s="5"/>
      <c r="J220" s="3"/>
      <c r="K220" s="5"/>
      <c r="L220" s="3"/>
      <c r="M220" s="5"/>
      <c r="N220" s="5"/>
    </row>
    <row r="221">
      <c r="A221" s="2"/>
      <c r="B221" s="3"/>
      <c r="C221" s="3"/>
      <c r="D221" s="3"/>
      <c r="E221" s="4"/>
      <c r="F221" s="3"/>
      <c r="G221" s="5"/>
      <c r="H221" s="3"/>
      <c r="I221" s="5"/>
      <c r="J221" s="3"/>
      <c r="K221" s="5"/>
      <c r="L221" s="3"/>
      <c r="M221" s="5"/>
      <c r="N221" s="5"/>
    </row>
    <row r="222">
      <c r="A222" s="2"/>
      <c r="B222" s="3"/>
      <c r="C222" s="3"/>
      <c r="D222" s="3"/>
      <c r="E222" s="4"/>
      <c r="F222" s="3"/>
      <c r="G222" s="5"/>
      <c r="H222" s="3"/>
      <c r="I222" s="5"/>
      <c r="J222" s="3"/>
      <c r="K222" s="5"/>
      <c r="L222" s="3"/>
      <c r="M222" s="5"/>
      <c r="N222" s="5"/>
    </row>
    <row r="223">
      <c r="A223" s="2"/>
      <c r="B223" s="3"/>
      <c r="C223" s="3"/>
      <c r="D223" s="3"/>
      <c r="E223" s="4"/>
      <c r="F223" s="3"/>
      <c r="G223" s="5"/>
      <c r="H223" s="3"/>
      <c r="I223" s="5"/>
      <c r="J223" s="3"/>
      <c r="K223" s="5"/>
      <c r="L223" s="3"/>
      <c r="M223" s="5"/>
      <c r="N223" s="5"/>
    </row>
    <row r="224">
      <c r="A224" s="2"/>
      <c r="B224" s="3"/>
      <c r="C224" s="3"/>
      <c r="D224" s="3"/>
      <c r="E224" s="4"/>
      <c r="F224" s="3"/>
      <c r="G224" s="5"/>
      <c r="H224" s="3"/>
      <c r="I224" s="5"/>
      <c r="J224" s="3"/>
      <c r="K224" s="5"/>
      <c r="L224" s="3"/>
      <c r="M224" s="5"/>
      <c r="N224" s="5"/>
    </row>
    <row r="225">
      <c r="A225" s="2"/>
      <c r="B225" s="3"/>
      <c r="C225" s="3"/>
      <c r="D225" s="3"/>
      <c r="E225" s="4"/>
      <c r="F225" s="3"/>
      <c r="G225" s="5"/>
      <c r="H225" s="3"/>
      <c r="I225" s="5"/>
      <c r="J225" s="3"/>
      <c r="K225" s="5"/>
      <c r="L225" s="3"/>
      <c r="M225" s="5"/>
      <c r="N225" s="5"/>
    </row>
    <row r="226">
      <c r="A226" s="2"/>
      <c r="B226" s="3"/>
      <c r="C226" s="3"/>
      <c r="D226" s="3"/>
      <c r="E226" s="4"/>
      <c r="F226" s="3"/>
      <c r="G226" s="5"/>
      <c r="H226" s="3"/>
      <c r="I226" s="5"/>
      <c r="J226" s="3"/>
      <c r="K226" s="5"/>
      <c r="L226" s="3"/>
      <c r="M226" s="5"/>
      <c r="N226" s="5"/>
    </row>
    <row r="227">
      <c r="A227" s="2"/>
      <c r="B227" s="3"/>
      <c r="C227" s="3"/>
      <c r="D227" s="3"/>
      <c r="E227" s="4"/>
      <c r="F227" s="3"/>
      <c r="G227" s="5"/>
      <c r="H227" s="3"/>
      <c r="I227" s="5"/>
      <c r="J227" s="3"/>
      <c r="K227" s="5"/>
      <c r="L227" s="3"/>
      <c r="M227" s="5"/>
      <c r="N227" s="5"/>
    </row>
    <row r="228">
      <c r="A228" s="2"/>
      <c r="B228" s="3"/>
      <c r="C228" s="3"/>
      <c r="D228" s="3"/>
      <c r="E228" s="4"/>
      <c r="F228" s="3"/>
      <c r="G228" s="5"/>
      <c r="H228" s="3"/>
      <c r="I228" s="5"/>
      <c r="J228" s="3"/>
      <c r="K228" s="5"/>
      <c r="L228" s="3"/>
      <c r="M228" s="5"/>
      <c r="N228" s="5"/>
    </row>
    <row r="229">
      <c r="A229" s="2"/>
      <c r="B229" s="3"/>
      <c r="C229" s="3"/>
      <c r="D229" s="3"/>
      <c r="E229" s="4"/>
      <c r="F229" s="3"/>
      <c r="G229" s="5"/>
      <c r="H229" s="3"/>
      <c r="I229" s="5"/>
      <c r="J229" s="3"/>
      <c r="K229" s="5"/>
      <c r="L229" s="3"/>
      <c r="M229" s="5"/>
      <c r="N229" s="5"/>
    </row>
    <row r="230">
      <c r="A230" s="2"/>
      <c r="B230" s="3"/>
      <c r="C230" s="3"/>
      <c r="D230" s="3"/>
      <c r="E230" s="4"/>
      <c r="F230" s="3"/>
      <c r="G230" s="5"/>
      <c r="H230" s="3"/>
      <c r="I230" s="5"/>
      <c r="J230" s="3"/>
      <c r="K230" s="5"/>
      <c r="L230" s="3"/>
      <c r="M230" s="5"/>
      <c r="N230" s="5"/>
    </row>
    <row r="231">
      <c r="A231" s="2"/>
      <c r="B231" s="3"/>
      <c r="C231" s="3"/>
      <c r="D231" s="3"/>
      <c r="E231" s="4"/>
      <c r="F231" s="3"/>
      <c r="G231" s="5"/>
      <c r="H231" s="3"/>
      <c r="I231" s="5"/>
      <c r="J231" s="3"/>
      <c r="K231" s="5"/>
      <c r="L231" s="3"/>
      <c r="M231" s="5"/>
      <c r="N231" s="5"/>
    </row>
    <row r="232">
      <c r="A232" s="2"/>
      <c r="B232" s="3"/>
      <c r="C232" s="3"/>
      <c r="D232" s="3"/>
      <c r="E232" s="4"/>
      <c r="F232" s="3"/>
      <c r="G232" s="5"/>
      <c r="H232" s="3"/>
      <c r="I232" s="5"/>
      <c r="J232" s="3"/>
      <c r="K232" s="5"/>
      <c r="L232" s="3"/>
      <c r="M232" s="5"/>
      <c r="N232" s="5"/>
    </row>
    <row r="233">
      <c r="A233" s="2"/>
      <c r="B233" s="3"/>
      <c r="C233" s="3"/>
      <c r="D233" s="3"/>
      <c r="E233" s="4"/>
      <c r="F233" s="3"/>
      <c r="G233" s="5"/>
      <c r="H233" s="3"/>
      <c r="I233" s="5"/>
      <c r="J233" s="3"/>
      <c r="K233" s="5"/>
      <c r="L233" s="3"/>
      <c r="M233" s="5"/>
      <c r="N233" s="5"/>
    </row>
    <row r="234">
      <c r="A234" s="2"/>
      <c r="B234" s="3"/>
      <c r="C234" s="3"/>
      <c r="D234" s="3"/>
      <c r="E234" s="4"/>
      <c r="F234" s="3"/>
      <c r="G234" s="5"/>
      <c r="H234" s="3"/>
      <c r="I234" s="5"/>
      <c r="J234" s="3"/>
      <c r="K234" s="5"/>
      <c r="L234" s="3"/>
      <c r="M234" s="5"/>
      <c r="N234" s="5"/>
    </row>
    <row r="235">
      <c r="A235" s="2"/>
      <c r="B235" s="3"/>
      <c r="C235" s="3"/>
      <c r="D235" s="3"/>
      <c r="E235" s="4"/>
      <c r="F235" s="3"/>
      <c r="G235" s="5"/>
      <c r="H235" s="3"/>
      <c r="I235" s="5"/>
      <c r="J235" s="3"/>
      <c r="K235" s="5"/>
      <c r="L235" s="3"/>
      <c r="M235" s="5"/>
      <c r="N235" s="5"/>
    </row>
    <row r="236">
      <c r="A236" s="2"/>
      <c r="B236" s="3"/>
      <c r="C236" s="3"/>
      <c r="D236" s="3"/>
      <c r="E236" s="4"/>
      <c r="F236" s="3"/>
      <c r="G236" s="5"/>
      <c r="H236" s="3"/>
      <c r="I236" s="5"/>
      <c r="J236" s="3"/>
      <c r="K236" s="5"/>
      <c r="L236" s="3"/>
      <c r="M236" s="5"/>
      <c r="N236" s="5"/>
    </row>
    <row r="237">
      <c r="A237" s="2"/>
      <c r="B237" s="3"/>
      <c r="C237" s="3"/>
      <c r="D237" s="3"/>
      <c r="E237" s="4"/>
      <c r="F237" s="3"/>
      <c r="G237" s="5"/>
      <c r="H237" s="3"/>
      <c r="I237" s="5"/>
      <c r="J237" s="3"/>
      <c r="K237" s="5"/>
      <c r="L237" s="3"/>
      <c r="M237" s="5"/>
      <c r="N237" s="5"/>
    </row>
    <row r="238">
      <c r="A238" s="2"/>
      <c r="B238" s="3"/>
      <c r="C238" s="3"/>
      <c r="D238" s="3"/>
      <c r="E238" s="4"/>
      <c r="F238" s="3"/>
      <c r="G238" s="5"/>
      <c r="H238" s="3"/>
      <c r="I238" s="5"/>
      <c r="J238" s="3"/>
      <c r="K238" s="5"/>
      <c r="L238" s="3"/>
      <c r="M238" s="5"/>
      <c r="N238" s="5"/>
    </row>
    <row r="239">
      <c r="A239" s="2"/>
      <c r="B239" s="3"/>
      <c r="C239" s="3"/>
      <c r="D239" s="3"/>
      <c r="E239" s="4"/>
      <c r="F239" s="3"/>
      <c r="G239" s="5"/>
      <c r="H239" s="3"/>
      <c r="I239" s="5"/>
      <c r="J239" s="3"/>
      <c r="K239" s="5"/>
      <c r="L239" s="3"/>
      <c r="M239" s="5"/>
      <c r="N239" s="5"/>
    </row>
    <row r="240">
      <c r="A240" s="2"/>
      <c r="B240" s="3"/>
      <c r="C240" s="3"/>
      <c r="D240" s="3"/>
      <c r="E240" s="4"/>
      <c r="F240" s="3"/>
      <c r="G240" s="5"/>
      <c r="H240" s="3"/>
      <c r="I240" s="5"/>
      <c r="J240" s="3"/>
      <c r="K240" s="5"/>
      <c r="L240" s="3"/>
      <c r="M240" s="5"/>
      <c r="N240" s="5"/>
    </row>
    <row r="241">
      <c r="A241" s="2"/>
      <c r="B241" s="3"/>
      <c r="C241" s="3"/>
      <c r="D241" s="3"/>
      <c r="E241" s="4"/>
      <c r="F241" s="3"/>
      <c r="G241" s="5"/>
      <c r="H241" s="3"/>
      <c r="I241" s="5"/>
      <c r="J241" s="3"/>
      <c r="K241" s="5"/>
      <c r="L241" s="3"/>
      <c r="M241" s="5"/>
      <c r="N241" s="5"/>
    </row>
    <row r="242">
      <c r="A242" s="2"/>
      <c r="B242" s="3"/>
      <c r="C242" s="3"/>
      <c r="D242" s="3"/>
      <c r="E242" s="4"/>
      <c r="F242" s="3"/>
      <c r="G242" s="5"/>
      <c r="H242" s="3"/>
      <c r="I242" s="5"/>
      <c r="J242" s="3"/>
      <c r="K242" s="5"/>
      <c r="L242" s="3"/>
      <c r="M242" s="5"/>
      <c r="N242" s="5"/>
    </row>
    <row r="243">
      <c r="A243" s="2"/>
      <c r="B243" s="3"/>
      <c r="C243" s="3"/>
      <c r="D243" s="3"/>
      <c r="E243" s="4"/>
      <c r="F243" s="3"/>
      <c r="G243" s="5"/>
      <c r="H243" s="3"/>
      <c r="I243" s="5"/>
      <c r="J243" s="3"/>
      <c r="K243" s="5"/>
      <c r="L243" s="3"/>
      <c r="M243" s="5"/>
      <c r="N243" s="5"/>
    </row>
    <row r="244">
      <c r="A244" s="2"/>
      <c r="B244" s="3"/>
      <c r="C244" s="3"/>
      <c r="D244" s="3"/>
      <c r="E244" s="4"/>
      <c r="F244" s="3"/>
      <c r="G244" s="5"/>
      <c r="H244" s="3"/>
      <c r="I244" s="5"/>
      <c r="J244" s="3"/>
      <c r="K244" s="5"/>
      <c r="L244" s="3"/>
      <c r="M244" s="5"/>
      <c r="N244" s="5"/>
    </row>
    <row r="245">
      <c r="A245" s="2"/>
      <c r="B245" s="3"/>
      <c r="C245" s="3"/>
      <c r="D245" s="3"/>
      <c r="E245" s="4"/>
      <c r="F245" s="3"/>
      <c r="G245" s="5"/>
      <c r="H245" s="3"/>
      <c r="I245" s="5"/>
      <c r="J245" s="3"/>
      <c r="K245" s="5"/>
      <c r="L245" s="3"/>
      <c r="M245" s="5"/>
      <c r="N245" s="5"/>
    </row>
    <row r="246">
      <c r="A246" s="2"/>
      <c r="B246" s="3"/>
      <c r="C246" s="3"/>
      <c r="D246" s="3"/>
      <c r="E246" s="4"/>
      <c r="F246" s="3"/>
      <c r="G246" s="5"/>
      <c r="H246" s="3"/>
      <c r="I246" s="5"/>
      <c r="J246" s="3"/>
      <c r="K246" s="5"/>
      <c r="L246" s="3"/>
      <c r="M246" s="5"/>
      <c r="N246" s="5"/>
    </row>
    <row r="247">
      <c r="A247" s="2"/>
      <c r="B247" s="3"/>
      <c r="C247" s="3"/>
      <c r="D247" s="3"/>
      <c r="E247" s="4"/>
      <c r="F247" s="3"/>
      <c r="G247" s="5"/>
      <c r="H247" s="3"/>
      <c r="I247" s="5"/>
      <c r="J247" s="3"/>
      <c r="K247" s="5"/>
      <c r="L247" s="3"/>
      <c r="M247" s="5"/>
      <c r="N247" s="5"/>
    </row>
    <row r="248">
      <c r="A248" s="2"/>
      <c r="B248" s="3"/>
      <c r="C248" s="3"/>
      <c r="D248" s="3"/>
      <c r="E248" s="4"/>
      <c r="F248" s="3"/>
      <c r="G248" s="5"/>
      <c r="H248" s="3"/>
      <c r="I248" s="5"/>
      <c r="J248" s="3"/>
      <c r="K248" s="5"/>
      <c r="L248" s="3"/>
      <c r="M248" s="5"/>
      <c r="N248" s="5"/>
    </row>
    <row r="249">
      <c r="A249" s="2"/>
      <c r="B249" s="3"/>
      <c r="C249" s="3"/>
      <c r="D249" s="3"/>
      <c r="E249" s="4"/>
      <c r="F249" s="3"/>
      <c r="G249" s="5"/>
      <c r="H249" s="3"/>
      <c r="I249" s="5"/>
      <c r="J249" s="3"/>
      <c r="K249" s="5"/>
      <c r="L249" s="3"/>
      <c r="M249" s="5"/>
      <c r="N249" s="5"/>
    </row>
    <row r="250">
      <c r="A250" s="2"/>
      <c r="B250" s="3"/>
      <c r="C250" s="3"/>
      <c r="D250" s="3"/>
      <c r="E250" s="4"/>
      <c r="F250" s="3"/>
      <c r="G250" s="5"/>
      <c r="H250" s="3"/>
      <c r="I250" s="5"/>
      <c r="J250" s="3"/>
      <c r="K250" s="5"/>
      <c r="L250" s="3"/>
      <c r="M250" s="5"/>
      <c r="N250" s="5"/>
    </row>
    <row r="251">
      <c r="A251" s="2"/>
      <c r="B251" s="3"/>
      <c r="C251" s="3"/>
      <c r="D251" s="3"/>
      <c r="E251" s="4"/>
      <c r="F251" s="3"/>
      <c r="G251" s="5"/>
      <c r="H251" s="3"/>
      <c r="I251" s="5"/>
      <c r="J251" s="3"/>
      <c r="K251" s="5"/>
      <c r="L251" s="3"/>
      <c r="M251" s="5"/>
      <c r="N251" s="5"/>
    </row>
    <row r="252">
      <c r="A252" s="2"/>
      <c r="B252" s="3"/>
      <c r="C252" s="3"/>
      <c r="D252" s="3"/>
      <c r="E252" s="4"/>
      <c r="F252" s="3"/>
      <c r="G252" s="5"/>
      <c r="H252" s="3"/>
      <c r="I252" s="5"/>
      <c r="J252" s="3"/>
      <c r="K252" s="5"/>
      <c r="L252" s="3"/>
      <c r="M252" s="5"/>
      <c r="N252" s="5"/>
    </row>
    <row r="253">
      <c r="A253" s="2"/>
      <c r="B253" s="3"/>
      <c r="C253" s="3"/>
      <c r="D253" s="3"/>
      <c r="E253" s="4"/>
      <c r="F253" s="3"/>
      <c r="G253" s="5"/>
      <c r="H253" s="3"/>
      <c r="I253" s="5"/>
      <c r="J253" s="3"/>
      <c r="K253" s="5"/>
      <c r="L253" s="3"/>
      <c r="M253" s="5"/>
      <c r="N253" s="5"/>
    </row>
    <row r="254">
      <c r="A254" s="2"/>
      <c r="B254" s="3"/>
      <c r="C254" s="3"/>
      <c r="D254" s="3"/>
      <c r="E254" s="4"/>
      <c r="F254" s="3"/>
      <c r="G254" s="5"/>
      <c r="H254" s="3"/>
      <c r="I254" s="5"/>
      <c r="J254" s="3"/>
      <c r="K254" s="5"/>
      <c r="L254" s="3"/>
      <c r="M254" s="5"/>
      <c r="N254" s="5"/>
    </row>
    <row r="255">
      <c r="A255" s="2"/>
      <c r="B255" s="3"/>
      <c r="C255" s="3"/>
      <c r="D255" s="3"/>
      <c r="E255" s="4"/>
      <c r="F255" s="3"/>
      <c r="G255" s="5"/>
      <c r="H255" s="3"/>
      <c r="I255" s="5"/>
      <c r="J255" s="3"/>
      <c r="K255" s="5"/>
      <c r="L255" s="3"/>
      <c r="M255" s="5"/>
      <c r="N255" s="5"/>
    </row>
    <row r="256">
      <c r="A256" s="2"/>
      <c r="B256" s="3"/>
      <c r="C256" s="3"/>
      <c r="D256" s="3"/>
      <c r="E256" s="4"/>
      <c r="F256" s="3"/>
      <c r="G256" s="5"/>
      <c r="H256" s="3"/>
      <c r="I256" s="5"/>
      <c r="J256" s="3"/>
      <c r="K256" s="5"/>
      <c r="L256" s="3"/>
      <c r="M256" s="5"/>
      <c r="N256" s="5"/>
    </row>
    <row r="257">
      <c r="A257" s="2"/>
      <c r="B257" s="3"/>
      <c r="C257" s="3"/>
      <c r="D257" s="3"/>
      <c r="E257" s="4"/>
      <c r="F257" s="3"/>
      <c r="G257" s="5"/>
      <c r="H257" s="3"/>
      <c r="I257" s="5"/>
      <c r="J257" s="3"/>
      <c r="K257" s="5"/>
      <c r="L257" s="3"/>
      <c r="M257" s="5"/>
      <c r="N257" s="5"/>
    </row>
    <row r="258">
      <c r="A258" s="2"/>
      <c r="B258" s="3"/>
      <c r="C258" s="3"/>
      <c r="D258" s="3"/>
      <c r="E258" s="4"/>
      <c r="F258" s="3"/>
      <c r="G258" s="5"/>
      <c r="H258" s="3"/>
      <c r="I258" s="5"/>
      <c r="J258" s="3"/>
      <c r="K258" s="5"/>
      <c r="L258" s="3"/>
      <c r="M258" s="5"/>
      <c r="N258" s="5"/>
    </row>
    <row r="259">
      <c r="A259" s="2"/>
      <c r="B259" s="3"/>
      <c r="C259" s="3"/>
      <c r="D259" s="3"/>
      <c r="E259" s="4"/>
      <c r="F259" s="3"/>
      <c r="G259" s="5"/>
      <c r="H259" s="3"/>
      <c r="I259" s="5"/>
      <c r="J259" s="3"/>
      <c r="K259" s="5"/>
      <c r="L259" s="3"/>
      <c r="M259" s="5"/>
      <c r="N259" s="5"/>
    </row>
    <row r="260">
      <c r="A260" s="2"/>
      <c r="B260" s="3"/>
      <c r="C260" s="3"/>
      <c r="D260" s="3"/>
      <c r="E260" s="4"/>
      <c r="F260" s="3"/>
      <c r="G260" s="5"/>
      <c r="H260" s="3"/>
      <c r="I260" s="5"/>
      <c r="J260" s="3"/>
      <c r="K260" s="5"/>
      <c r="L260" s="3"/>
      <c r="M260" s="5"/>
      <c r="N260" s="5"/>
    </row>
    <row r="261">
      <c r="A261" s="2"/>
      <c r="B261" s="3"/>
      <c r="C261" s="3"/>
      <c r="D261" s="3"/>
      <c r="E261" s="4"/>
      <c r="F261" s="3"/>
      <c r="G261" s="5"/>
      <c r="H261" s="3"/>
      <c r="I261" s="5"/>
      <c r="J261" s="3"/>
      <c r="K261" s="5"/>
      <c r="L261" s="3"/>
      <c r="M261" s="5"/>
      <c r="N261" s="5"/>
    </row>
    <row r="262">
      <c r="A262" s="2"/>
      <c r="B262" s="3"/>
      <c r="C262" s="3"/>
      <c r="D262" s="3"/>
      <c r="E262" s="4"/>
      <c r="F262" s="3"/>
      <c r="G262" s="5"/>
      <c r="H262" s="3"/>
      <c r="I262" s="5"/>
      <c r="J262" s="3"/>
      <c r="K262" s="5"/>
      <c r="L262" s="3"/>
      <c r="M262" s="5"/>
      <c r="N262" s="5"/>
    </row>
    <row r="263">
      <c r="A263" s="2"/>
      <c r="B263" s="3"/>
      <c r="C263" s="3"/>
      <c r="D263" s="3"/>
      <c r="E263" s="4"/>
      <c r="F263" s="3"/>
      <c r="G263" s="5"/>
      <c r="H263" s="3"/>
      <c r="I263" s="5"/>
      <c r="J263" s="3"/>
      <c r="K263" s="5"/>
      <c r="L263" s="3"/>
      <c r="M263" s="5"/>
      <c r="N263" s="5"/>
    </row>
    <row r="264">
      <c r="A264" s="2"/>
      <c r="B264" s="3"/>
      <c r="C264" s="3"/>
      <c r="D264" s="3"/>
      <c r="E264" s="4"/>
      <c r="F264" s="3"/>
      <c r="G264" s="5"/>
      <c r="H264" s="3"/>
      <c r="I264" s="5"/>
      <c r="J264" s="3"/>
      <c r="K264" s="5"/>
      <c r="L264" s="3"/>
      <c r="M264" s="5"/>
      <c r="N264" s="5"/>
    </row>
    <row r="265">
      <c r="A265" s="2"/>
      <c r="B265" s="3"/>
      <c r="C265" s="3"/>
      <c r="D265" s="3"/>
      <c r="E265" s="4"/>
      <c r="F265" s="3"/>
      <c r="G265" s="5"/>
      <c r="H265" s="3"/>
      <c r="I265" s="5"/>
      <c r="J265" s="3"/>
      <c r="K265" s="5"/>
      <c r="L265" s="3"/>
      <c r="M265" s="5"/>
      <c r="N265" s="5"/>
    </row>
    <row r="266">
      <c r="A266" s="2"/>
      <c r="B266" s="3"/>
      <c r="C266" s="3"/>
      <c r="D266" s="3"/>
      <c r="E266" s="4"/>
      <c r="F266" s="3"/>
      <c r="G266" s="5"/>
      <c r="H266" s="3"/>
      <c r="I266" s="5"/>
      <c r="J266" s="3"/>
      <c r="K266" s="5"/>
      <c r="L266" s="3"/>
      <c r="M266" s="5"/>
      <c r="N266" s="5"/>
    </row>
    <row r="267">
      <c r="A267" s="2"/>
      <c r="B267" s="3"/>
      <c r="C267" s="3"/>
      <c r="D267" s="3"/>
      <c r="E267" s="4"/>
      <c r="F267" s="3"/>
      <c r="G267" s="5"/>
      <c r="H267" s="3"/>
      <c r="I267" s="5"/>
      <c r="J267" s="3"/>
      <c r="K267" s="5"/>
      <c r="L267" s="3"/>
      <c r="M267" s="5"/>
      <c r="N267" s="5"/>
    </row>
    <row r="268">
      <c r="A268" s="2"/>
      <c r="B268" s="3"/>
      <c r="C268" s="3"/>
      <c r="D268" s="3"/>
      <c r="E268" s="4"/>
      <c r="F268" s="3"/>
      <c r="G268" s="5"/>
      <c r="H268" s="3"/>
      <c r="I268" s="5"/>
      <c r="J268" s="3"/>
      <c r="K268" s="5"/>
      <c r="L268" s="3"/>
      <c r="M268" s="5"/>
      <c r="N268" s="5"/>
    </row>
    <row r="269">
      <c r="A269" s="2"/>
      <c r="B269" s="3"/>
      <c r="C269" s="3"/>
      <c r="D269" s="3"/>
      <c r="E269" s="4"/>
      <c r="F269" s="3"/>
      <c r="G269" s="5"/>
      <c r="H269" s="3"/>
      <c r="I269" s="5"/>
      <c r="J269" s="3"/>
      <c r="K269" s="5"/>
      <c r="L269" s="3"/>
      <c r="M269" s="5"/>
      <c r="N269" s="5"/>
    </row>
    <row r="270">
      <c r="A270" s="2"/>
      <c r="B270" s="3"/>
      <c r="C270" s="3"/>
      <c r="D270" s="3"/>
      <c r="E270" s="4"/>
      <c r="F270" s="3"/>
      <c r="G270" s="5"/>
      <c r="H270" s="3"/>
      <c r="I270" s="5"/>
      <c r="J270" s="3"/>
      <c r="K270" s="5"/>
      <c r="L270" s="3"/>
      <c r="M270" s="5"/>
      <c r="N270" s="5"/>
    </row>
    <row r="271">
      <c r="A271" s="2"/>
      <c r="B271" s="3"/>
      <c r="C271" s="3"/>
      <c r="D271" s="3"/>
      <c r="E271" s="4"/>
      <c r="F271" s="3"/>
      <c r="G271" s="5"/>
      <c r="H271" s="3"/>
      <c r="I271" s="5"/>
      <c r="J271" s="3"/>
      <c r="K271" s="5"/>
      <c r="L271" s="3"/>
      <c r="M271" s="5"/>
      <c r="N271" s="5"/>
    </row>
    <row r="272">
      <c r="A272" s="2"/>
      <c r="B272" s="3"/>
      <c r="C272" s="3"/>
      <c r="D272" s="3"/>
      <c r="E272" s="4"/>
      <c r="F272" s="3"/>
      <c r="G272" s="5"/>
      <c r="H272" s="3"/>
      <c r="I272" s="5"/>
      <c r="J272" s="3"/>
      <c r="K272" s="5"/>
      <c r="L272" s="3"/>
      <c r="M272" s="5"/>
      <c r="N272" s="5"/>
    </row>
    <row r="273">
      <c r="A273" s="2"/>
      <c r="B273" s="3"/>
      <c r="C273" s="3"/>
      <c r="D273" s="3"/>
      <c r="E273" s="4"/>
      <c r="F273" s="3"/>
      <c r="G273" s="5"/>
      <c r="H273" s="3"/>
      <c r="I273" s="5"/>
      <c r="J273" s="3"/>
      <c r="K273" s="5"/>
      <c r="L273" s="3"/>
      <c r="M273" s="5"/>
      <c r="N273" s="5"/>
    </row>
    <row r="274">
      <c r="A274" s="2"/>
      <c r="B274" s="3"/>
      <c r="C274" s="3"/>
      <c r="D274" s="3"/>
      <c r="E274" s="4"/>
      <c r="F274" s="3"/>
      <c r="G274" s="5"/>
      <c r="H274" s="3"/>
      <c r="I274" s="5"/>
      <c r="J274" s="3"/>
      <c r="K274" s="5"/>
      <c r="L274" s="3"/>
      <c r="M274" s="5"/>
      <c r="N274" s="5"/>
    </row>
    <row r="275">
      <c r="A275" s="2"/>
      <c r="B275" s="3"/>
      <c r="C275" s="3"/>
      <c r="D275" s="3"/>
      <c r="E275" s="4"/>
      <c r="F275" s="3"/>
      <c r="G275" s="5"/>
      <c r="H275" s="3"/>
      <c r="I275" s="5"/>
      <c r="J275" s="3"/>
      <c r="K275" s="5"/>
      <c r="L275" s="3"/>
      <c r="M275" s="5"/>
      <c r="N275" s="5"/>
    </row>
    <row r="276">
      <c r="A276" s="2"/>
      <c r="B276" s="3"/>
      <c r="C276" s="3"/>
      <c r="D276" s="3"/>
      <c r="E276" s="4"/>
      <c r="F276" s="3"/>
      <c r="G276" s="5"/>
      <c r="H276" s="3"/>
      <c r="I276" s="5"/>
      <c r="J276" s="3"/>
      <c r="K276" s="5"/>
      <c r="L276" s="3"/>
      <c r="M276" s="5"/>
      <c r="N276" s="5"/>
    </row>
    <row r="277">
      <c r="A277" s="2"/>
      <c r="B277" s="3"/>
      <c r="C277" s="3"/>
      <c r="D277" s="3"/>
      <c r="E277" s="4"/>
      <c r="F277" s="3"/>
      <c r="G277" s="5"/>
      <c r="H277" s="3"/>
      <c r="I277" s="5"/>
      <c r="J277" s="3"/>
      <c r="K277" s="5"/>
      <c r="L277" s="3"/>
      <c r="M277" s="5"/>
      <c r="N277" s="5"/>
    </row>
    <row r="278">
      <c r="A278" s="2"/>
      <c r="B278" s="3"/>
      <c r="C278" s="3"/>
      <c r="D278" s="3"/>
      <c r="E278" s="4"/>
      <c r="F278" s="3"/>
      <c r="G278" s="5"/>
      <c r="H278" s="3"/>
      <c r="I278" s="5"/>
      <c r="J278" s="3"/>
      <c r="K278" s="5"/>
      <c r="L278" s="3"/>
      <c r="M278" s="5"/>
      <c r="N278" s="5"/>
    </row>
    <row r="279">
      <c r="A279" s="2"/>
      <c r="B279" s="3"/>
      <c r="C279" s="3"/>
      <c r="D279" s="3"/>
      <c r="E279" s="4"/>
      <c r="F279" s="3"/>
      <c r="G279" s="5"/>
      <c r="H279" s="3"/>
      <c r="I279" s="5"/>
      <c r="J279" s="3"/>
      <c r="K279" s="5"/>
      <c r="L279" s="3"/>
      <c r="M279" s="5"/>
      <c r="N279" s="5"/>
    </row>
    <row r="280">
      <c r="A280" s="2"/>
      <c r="B280" s="3"/>
      <c r="C280" s="3"/>
      <c r="D280" s="3"/>
      <c r="E280" s="4"/>
      <c r="F280" s="3"/>
      <c r="G280" s="5"/>
      <c r="H280" s="3"/>
      <c r="I280" s="5"/>
      <c r="J280" s="3"/>
      <c r="K280" s="5"/>
      <c r="L280" s="3"/>
      <c r="M280" s="5"/>
      <c r="N280" s="5"/>
    </row>
    <row r="281">
      <c r="A281" s="2"/>
      <c r="B281" s="3"/>
      <c r="C281" s="3"/>
      <c r="D281" s="3"/>
      <c r="E281" s="4"/>
      <c r="F281" s="3"/>
      <c r="G281" s="5"/>
      <c r="H281" s="3"/>
      <c r="I281" s="5"/>
      <c r="J281" s="3"/>
      <c r="K281" s="5"/>
      <c r="L281" s="3"/>
      <c r="M281" s="5"/>
      <c r="N281" s="5"/>
    </row>
    <row r="282">
      <c r="A282" s="2"/>
      <c r="B282" s="3"/>
      <c r="C282" s="3"/>
      <c r="D282" s="3"/>
      <c r="E282" s="4"/>
      <c r="F282" s="3"/>
      <c r="G282" s="5"/>
      <c r="H282" s="3"/>
      <c r="I282" s="5"/>
      <c r="J282" s="3"/>
      <c r="K282" s="5"/>
      <c r="L282" s="3"/>
      <c r="M282" s="5"/>
      <c r="N282" s="5"/>
    </row>
    <row r="283">
      <c r="A283" s="2"/>
      <c r="B283" s="3"/>
      <c r="C283" s="3"/>
      <c r="D283" s="3"/>
      <c r="E283" s="4"/>
      <c r="F283" s="3"/>
      <c r="G283" s="5"/>
      <c r="H283" s="3"/>
      <c r="I283" s="5"/>
      <c r="J283" s="3"/>
      <c r="K283" s="5"/>
      <c r="L283" s="3"/>
      <c r="M283" s="5"/>
      <c r="N283" s="5"/>
    </row>
    <row r="284">
      <c r="A284" s="2"/>
      <c r="B284" s="3"/>
      <c r="C284" s="3"/>
      <c r="D284" s="3"/>
      <c r="E284" s="4"/>
      <c r="F284" s="3"/>
      <c r="G284" s="5"/>
      <c r="H284" s="3"/>
      <c r="I284" s="5"/>
      <c r="J284" s="3"/>
      <c r="K284" s="5"/>
      <c r="L284" s="3"/>
      <c r="M284" s="5"/>
      <c r="N284" s="5"/>
    </row>
    <row r="285">
      <c r="A285" s="2"/>
      <c r="B285" s="3"/>
      <c r="C285" s="3"/>
      <c r="D285" s="3"/>
      <c r="E285" s="4"/>
      <c r="F285" s="3"/>
      <c r="G285" s="5"/>
      <c r="H285" s="3"/>
      <c r="I285" s="5"/>
      <c r="J285" s="3"/>
      <c r="K285" s="5"/>
      <c r="L285" s="3"/>
      <c r="M285" s="5"/>
      <c r="N285" s="5"/>
    </row>
    <row r="286">
      <c r="A286" s="2"/>
      <c r="B286" s="3"/>
      <c r="C286" s="3"/>
      <c r="D286" s="3"/>
      <c r="E286" s="4"/>
      <c r="F286" s="3"/>
      <c r="G286" s="5"/>
      <c r="H286" s="3"/>
      <c r="I286" s="5"/>
      <c r="J286" s="3"/>
      <c r="K286" s="5"/>
      <c r="L286" s="3"/>
      <c r="M286" s="5"/>
      <c r="N286" s="5"/>
    </row>
    <row r="287">
      <c r="A287" s="2"/>
      <c r="B287" s="3"/>
      <c r="C287" s="3"/>
      <c r="D287" s="3"/>
      <c r="E287" s="4"/>
      <c r="F287" s="3"/>
      <c r="G287" s="5"/>
      <c r="H287" s="3"/>
      <c r="I287" s="5"/>
      <c r="J287" s="3"/>
      <c r="K287" s="5"/>
      <c r="L287" s="3"/>
      <c r="M287" s="5"/>
      <c r="N287" s="5"/>
    </row>
    <row r="288">
      <c r="A288" s="2"/>
      <c r="B288" s="3"/>
      <c r="C288" s="3"/>
      <c r="D288" s="3"/>
      <c r="E288" s="4"/>
      <c r="F288" s="3"/>
      <c r="G288" s="5"/>
      <c r="H288" s="3"/>
      <c r="I288" s="5"/>
      <c r="J288" s="3"/>
      <c r="K288" s="5"/>
      <c r="L288" s="3"/>
      <c r="M288" s="5"/>
      <c r="N288" s="5"/>
    </row>
    <row r="289">
      <c r="A289" s="2"/>
      <c r="B289" s="3"/>
      <c r="C289" s="3"/>
      <c r="D289" s="3"/>
      <c r="E289" s="4"/>
      <c r="F289" s="3"/>
      <c r="G289" s="5"/>
      <c r="H289" s="3"/>
      <c r="I289" s="5"/>
      <c r="J289" s="3"/>
      <c r="K289" s="5"/>
      <c r="L289" s="3"/>
      <c r="M289" s="5"/>
      <c r="N289" s="5"/>
    </row>
    <row r="290">
      <c r="A290" s="2"/>
      <c r="B290" s="3"/>
      <c r="C290" s="3"/>
      <c r="D290" s="3"/>
      <c r="E290" s="4"/>
      <c r="F290" s="3"/>
      <c r="G290" s="5"/>
      <c r="H290" s="3"/>
      <c r="I290" s="5"/>
      <c r="J290" s="3"/>
      <c r="K290" s="5"/>
      <c r="L290" s="3"/>
      <c r="M290" s="5"/>
      <c r="N290" s="5"/>
    </row>
    <row r="291">
      <c r="A291" s="2"/>
      <c r="B291" s="3"/>
      <c r="C291" s="3"/>
      <c r="D291" s="3"/>
      <c r="E291" s="4"/>
      <c r="F291" s="3"/>
      <c r="G291" s="5"/>
      <c r="H291" s="3"/>
      <c r="I291" s="5"/>
      <c r="J291" s="3"/>
      <c r="K291" s="5"/>
      <c r="L291" s="3"/>
      <c r="M291" s="5"/>
      <c r="N291" s="5"/>
    </row>
    <row r="292">
      <c r="A292" s="2"/>
      <c r="B292" s="3"/>
      <c r="C292" s="3"/>
      <c r="D292" s="3"/>
      <c r="E292" s="4"/>
      <c r="F292" s="3"/>
      <c r="G292" s="5"/>
      <c r="H292" s="3"/>
      <c r="I292" s="5"/>
      <c r="J292" s="3"/>
      <c r="K292" s="5"/>
      <c r="L292" s="3"/>
      <c r="M292" s="5"/>
      <c r="N292" s="5"/>
    </row>
    <row r="293">
      <c r="A293" s="2"/>
      <c r="B293" s="3"/>
      <c r="C293" s="3"/>
      <c r="D293" s="3"/>
      <c r="E293" s="4"/>
      <c r="F293" s="3"/>
      <c r="G293" s="5"/>
      <c r="H293" s="3"/>
      <c r="I293" s="5"/>
      <c r="J293" s="3"/>
      <c r="K293" s="5"/>
      <c r="L293" s="3"/>
      <c r="M293" s="5"/>
      <c r="N293" s="5"/>
    </row>
    <row r="294">
      <c r="A294" s="2"/>
      <c r="B294" s="3"/>
      <c r="C294" s="3"/>
      <c r="D294" s="3"/>
      <c r="E294" s="4"/>
      <c r="F294" s="3"/>
      <c r="G294" s="5"/>
      <c r="H294" s="3"/>
      <c r="I294" s="5"/>
      <c r="J294" s="3"/>
      <c r="K294" s="5"/>
      <c r="L294" s="3"/>
      <c r="M294" s="5"/>
      <c r="N294" s="5"/>
    </row>
    <row r="295">
      <c r="A295" s="2"/>
      <c r="B295" s="3"/>
      <c r="C295" s="3"/>
      <c r="D295" s="3"/>
      <c r="E295" s="4"/>
      <c r="F295" s="3"/>
      <c r="G295" s="5"/>
      <c r="H295" s="3"/>
      <c r="I295" s="5"/>
      <c r="J295" s="3"/>
      <c r="K295" s="5"/>
      <c r="L295" s="3"/>
      <c r="M295" s="5"/>
      <c r="N295" s="5"/>
    </row>
    <row r="296">
      <c r="A296" s="2"/>
      <c r="B296" s="3"/>
      <c r="C296" s="3"/>
      <c r="D296" s="3"/>
      <c r="E296" s="4"/>
      <c r="F296" s="3"/>
      <c r="G296" s="5"/>
      <c r="H296" s="3"/>
      <c r="I296" s="5"/>
      <c r="J296" s="3"/>
      <c r="K296" s="5"/>
      <c r="L296" s="3"/>
      <c r="M296" s="5"/>
      <c r="N296" s="5"/>
    </row>
    <row r="297">
      <c r="A297" s="2"/>
      <c r="B297" s="3"/>
      <c r="C297" s="3"/>
      <c r="D297" s="3"/>
      <c r="E297" s="4"/>
      <c r="F297" s="3"/>
      <c r="G297" s="5"/>
      <c r="H297" s="3"/>
      <c r="I297" s="5"/>
      <c r="J297" s="3"/>
      <c r="K297" s="5"/>
      <c r="L297" s="3"/>
      <c r="M297" s="5"/>
      <c r="N297" s="5"/>
    </row>
    <row r="298">
      <c r="A298" s="2"/>
      <c r="B298" s="3"/>
      <c r="C298" s="3"/>
      <c r="D298" s="3"/>
      <c r="E298" s="4"/>
      <c r="F298" s="3"/>
      <c r="G298" s="5"/>
      <c r="H298" s="3"/>
      <c r="I298" s="5"/>
      <c r="J298" s="3"/>
      <c r="K298" s="5"/>
      <c r="L298" s="3"/>
      <c r="M298" s="5"/>
      <c r="N298" s="5"/>
    </row>
    <row r="299">
      <c r="A299" s="2"/>
      <c r="B299" s="3"/>
      <c r="C299" s="3"/>
      <c r="D299" s="3"/>
      <c r="E299" s="4"/>
      <c r="F299" s="3"/>
      <c r="G299" s="5"/>
      <c r="H299" s="3"/>
      <c r="I299" s="5"/>
      <c r="J299" s="3"/>
      <c r="K299" s="5"/>
      <c r="L299" s="3"/>
      <c r="M299" s="5"/>
      <c r="N299" s="5"/>
    </row>
    <row r="300">
      <c r="A300" s="2"/>
      <c r="B300" s="3"/>
      <c r="C300" s="3"/>
      <c r="D300" s="3"/>
      <c r="E300" s="4"/>
      <c r="F300" s="3"/>
      <c r="G300" s="5"/>
      <c r="H300" s="3"/>
      <c r="I300" s="5"/>
      <c r="J300" s="3"/>
      <c r="K300" s="5"/>
      <c r="L300" s="3"/>
      <c r="M300" s="5"/>
      <c r="N300" s="5"/>
    </row>
    <row r="301">
      <c r="A301" s="2"/>
      <c r="B301" s="3"/>
      <c r="C301" s="3"/>
      <c r="D301" s="3"/>
      <c r="E301" s="4"/>
      <c r="F301" s="3"/>
      <c r="G301" s="5"/>
      <c r="H301" s="3"/>
      <c r="I301" s="5"/>
      <c r="J301" s="3"/>
      <c r="K301" s="5"/>
      <c r="L301" s="3"/>
      <c r="M301" s="5"/>
      <c r="N301" s="5"/>
    </row>
    <row r="302">
      <c r="A302" s="2"/>
      <c r="B302" s="3"/>
      <c r="C302" s="3"/>
      <c r="D302" s="3"/>
      <c r="E302" s="4"/>
      <c r="F302" s="3"/>
      <c r="G302" s="5"/>
      <c r="H302" s="3"/>
      <c r="I302" s="5"/>
      <c r="J302" s="3"/>
      <c r="K302" s="5"/>
      <c r="L302" s="3"/>
      <c r="M302" s="5"/>
      <c r="N302" s="5"/>
    </row>
    <row r="303">
      <c r="A303" s="2"/>
      <c r="B303" s="3"/>
      <c r="C303" s="3"/>
      <c r="D303" s="3"/>
      <c r="E303" s="4"/>
      <c r="F303" s="3"/>
      <c r="G303" s="5"/>
      <c r="H303" s="3"/>
      <c r="I303" s="5"/>
      <c r="J303" s="3"/>
      <c r="K303" s="5"/>
      <c r="L303" s="3"/>
      <c r="M303" s="5"/>
      <c r="N303" s="5"/>
    </row>
    <row r="304">
      <c r="A304" s="2"/>
      <c r="B304" s="3"/>
      <c r="C304" s="3"/>
      <c r="D304" s="3"/>
      <c r="E304" s="4"/>
      <c r="F304" s="3"/>
      <c r="G304" s="5"/>
      <c r="H304" s="3"/>
      <c r="I304" s="5"/>
      <c r="J304" s="3"/>
      <c r="K304" s="5"/>
      <c r="L304" s="3"/>
      <c r="M304" s="5"/>
      <c r="N304" s="5"/>
    </row>
    <row r="305">
      <c r="A305" s="2"/>
      <c r="B305" s="3"/>
      <c r="C305" s="3"/>
      <c r="D305" s="3"/>
      <c r="E305" s="4"/>
      <c r="F305" s="3"/>
      <c r="G305" s="5"/>
      <c r="H305" s="3"/>
      <c r="I305" s="5"/>
      <c r="J305" s="3"/>
      <c r="K305" s="5"/>
      <c r="L305" s="3"/>
      <c r="M305" s="5"/>
      <c r="N305" s="5"/>
    </row>
    <row r="306">
      <c r="A306" s="2"/>
      <c r="B306" s="3"/>
      <c r="C306" s="3"/>
      <c r="D306" s="3"/>
      <c r="E306" s="4"/>
      <c r="F306" s="3"/>
      <c r="G306" s="5"/>
      <c r="H306" s="3"/>
      <c r="I306" s="5"/>
      <c r="J306" s="3"/>
      <c r="K306" s="5"/>
      <c r="L306" s="3"/>
      <c r="M306" s="5"/>
      <c r="N306" s="5"/>
    </row>
    <row r="307">
      <c r="A307" s="2"/>
      <c r="B307" s="3"/>
      <c r="C307" s="3"/>
      <c r="D307" s="3"/>
      <c r="E307" s="4"/>
      <c r="F307" s="3"/>
      <c r="G307" s="5"/>
      <c r="H307" s="3"/>
      <c r="I307" s="5"/>
      <c r="J307" s="3"/>
      <c r="K307" s="5"/>
      <c r="L307" s="3"/>
      <c r="M307" s="5"/>
      <c r="N307" s="5"/>
    </row>
    <row r="308">
      <c r="A308" s="2"/>
      <c r="B308" s="3"/>
      <c r="C308" s="3"/>
      <c r="D308" s="3"/>
      <c r="E308" s="4"/>
      <c r="F308" s="3"/>
      <c r="G308" s="5"/>
      <c r="H308" s="3"/>
      <c r="I308" s="5"/>
      <c r="J308" s="3"/>
      <c r="K308" s="5"/>
      <c r="L308" s="3"/>
      <c r="M308" s="5"/>
      <c r="N308" s="5"/>
    </row>
    <row r="309">
      <c r="A309" s="2"/>
      <c r="B309" s="3"/>
      <c r="C309" s="3"/>
      <c r="D309" s="3"/>
      <c r="E309" s="4"/>
      <c r="F309" s="3"/>
      <c r="G309" s="5"/>
      <c r="H309" s="3"/>
      <c r="I309" s="5"/>
      <c r="J309" s="3"/>
      <c r="K309" s="5"/>
      <c r="L309" s="3"/>
      <c r="M309" s="5"/>
      <c r="N309" s="5"/>
    </row>
    <row r="310">
      <c r="A310" s="2"/>
      <c r="B310" s="3"/>
      <c r="C310" s="3"/>
      <c r="D310" s="3"/>
      <c r="E310" s="4"/>
      <c r="F310" s="3"/>
      <c r="G310" s="5"/>
      <c r="H310" s="3"/>
      <c r="I310" s="5"/>
      <c r="J310" s="3"/>
      <c r="K310" s="5"/>
      <c r="L310" s="3"/>
      <c r="M310" s="5"/>
      <c r="N310" s="5"/>
    </row>
    <row r="311">
      <c r="A311" s="2"/>
      <c r="B311" s="3"/>
      <c r="C311" s="3"/>
      <c r="D311" s="3"/>
      <c r="E311" s="4"/>
      <c r="F311" s="3"/>
      <c r="G311" s="5"/>
      <c r="H311" s="3"/>
      <c r="I311" s="5"/>
      <c r="J311" s="3"/>
      <c r="K311" s="5"/>
      <c r="L311" s="3"/>
      <c r="M311" s="5"/>
      <c r="N311" s="5"/>
    </row>
    <row r="312">
      <c r="A312" s="2"/>
      <c r="B312" s="3"/>
      <c r="C312" s="3"/>
      <c r="D312" s="3"/>
      <c r="E312" s="4"/>
      <c r="F312" s="3"/>
      <c r="G312" s="5"/>
      <c r="H312" s="3"/>
      <c r="I312" s="5"/>
      <c r="J312" s="3"/>
      <c r="K312" s="5"/>
      <c r="L312" s="3"/>
      <c r="M312" s="5"/>
      <c r="N312" s="5"/>
    </row>
    <row r="313">
      <c r="A313" s="2"/>
      <c r="B313" s="3"/>
      <c r="C313" s="3"/>
      <c r="D313" s="3"/>
      <c r="E313" s="4"/>
      <c r="F313" s="3"/>
      <c r="G313" s="5"/>
      <c r="H313" s="3"/>
      <c r="I313" s="5"/>
      <c r="J313" s="3"/>
      <c r="K313" s="5"/>
      <c r="L313" s="3"/>
      <c r="M313" s="5"/>
      <c r="N313" s="5"/>
    </row>
    <row r="314">
      <c r="A314" s="2"/>
      <c r="B314" s="3"/>
      <c r="C314" s="3"/>
      <c r="D314" s="3"/>
      <c r="E314" s="4"/>
      <c r="F314" s="3"/>
      <c r="G314" s="5"/>
      <c r="H314" s="3"/>
      <c r="I314" s="5"/>
      <c r="J314" s="3"/>
      <c r="K314" s="5"/>
      <c r="L314" s="3"/>
      <c r="M314" s="5"/>
      <c r="N314" s="5"/>
    </row>
    <row r="315">
      <c r="A315" s="2"/>
      <c r="B315" s="3"/>
      <c r="C315" s="3"/>
      <c r="D315" s="3"/>
      <c r="E315" s="4"/>
      <c r="F315" s="3"/>
      <c r="G315" s="5"/>
      <c r="H315" s="3"/>
      <c r="I315" s="5"/>
      <c r="J315" s="3"/>
      <c r="K315" s="5"/>
      <c r="L315" s="3"/>
      <c r="M315" s="5"/>
      <c r="N315" s="5"/>
    </row>
    <row r="316">
      <c r="A316" s="2"/>
      <c r="B316" s="3"/>
      <c r="C316" s="3"/>
      <c r="D316" s="3"/>
      <c r="E316" s="4"/>
      <c r="F316" s="3"/>
      <c r="G316" s="5"/>
      <c r="H316" s="3"/>
      <c r="I316" s="5"/>
      <c r="J316" s="3"/>
      <c r="K316" s="5"/>
      <c r="L316" s="3"/>
      <c r="M316" s="5"/>
      <c r="N316" s="5"/>
    </row>
    <row r="317">
      <c r="A317" s="2"/>
      <c r="B317" s="3"/>
      <c r="C317" s="3"/>
      <c r="D317" s="3"/>
      <c r="E317" s="4"/>
      <c r="F317" s="3"/>
      <c r="G317" s="5"/>
      <c r="H317" s="3"/>
      <c r="I317" s="5"/>
      <c r="J317" s="3"/>
      <c r="K317" s="5"/>
      <c r="L317" s="3"/>
      <c r="M317" s="5"/>
      <c r="N317" s="5"/>
    </row>
    <row r="318">
      <c r="A318" s="2"/>
      <c r="B318" s="3"/>
      <c r="C318" s="3"/>
      <c r="D318" s="3"/>
      <c r="E318" s="4"/>
      <c r="F318" s="3"/>
      <c r="G318" s="5"/>
      <c r="H318" s="3"/>
      <c r="I318" s="5"/>
      <c r="J318" s="3"/>
      <c r="K318" s="5"/>
      <c r="L318" s="3"/>
      <c r="M318" s="5"/>
      <c r="N318" s="5"/>
    </row>
    <row r="319">
      <c r="A319" s="2"/>
      <c r="B319" s="3"/>
      <c r="C319" s="3"/>
      <c r="D319" s="3"/>
      <c r="E319" s="4"/>
      <c r="F319" s="3"/>
      <c r="G319" s="5"/>
      <c r="H319" s="3"/>
      <c r="I319" s="5"/>
      <c r="J319" s="3"/>
      <c r="K319" s="5"/>
      <c r="L319" s="3"/>
      <c r="M319" s="5"/>
      <c r="N319" s="5"/>
    </row>
    <row r="320">
      <c r="A320" s="2"/>
      <c r="B320" s="3"/>
      <c r="C320" s="3"/>
      <c r="D320" s="3"/>
      <c r="E320" s="4"/>
      <c r="F320" s="3"/>
      <c r="G320" s="5"/>
      <c r="H320" s="3"/>
      <c r="I320" s="5"/>
      <c r="J320" s="3"/>
      <c r="K320" s="5"/>
      <c r="L320" s="3"/>
      <c r="M320" s="5"/>
      <c r="N320" s="5"/>
    </row>
    <row r="321">
      <c r="A321" s="2"/>
      <c r="B321" s="3"/>
      <c r="C321" s="3"/>
      <c r="D321" s="3"/>
      <c r="E321" s="4"/>
      <c r="F321" s="3"/>
      <c r="G321" s="5"/>
      <c r="H321" s="3"/>
      <c r="I321" s="5"/>
      <c r="J321" s="3"/>
      <c r="K321" s="5"/>
      <c r="L321" s="3"/>
      <c r="M321" s="5"/>
      <c r="N321" s="5"/>
    </row>
    <row r="322">
      <c r="A322" s="2"/>
      <c r="B322" s="3"/>
      <c r="C322" s="3"/>
      <c r="D322" s="3"/>
      <c r="E322" s="4"/>
      <c r="F322" s="3"/>
      <c r="G322" s="5"/>
      <c r="H322" s="3"/>
      <c r="I322" s="5"/>
      <c r="J322" s="3"/>
      <c r="K322" s="5"/>
      <c r="L322" s="3"/>
      <c r="M322" s="5"/>
      <c r="N322" s="5"/>
    </row>
    <row r="323">
      <c r="A323" s="2"/>
      <c r="B323" s="3"/>
      <c r="C323" s="3"/>
      <c r="D323" s="3"/>
      <c r="E323" s="4"/>
      <c r="F323" s="3"/>
      <c r="G323" s="5"/>
      <c r="H323" s="3"/>
      <c r="I323" s="5"/>
      <c r="J323" s="3"/>
      <c r="K323" s="5"/>
      <c r="L323" s="3"/>
      <c r="M323" s="5"/>
      <c r="N323" s="5"/>
    </row>
    <row r="324">
      <c r="A324" s="2"/>
      <c r="B324" s="3"/>
      <c r="C324" s="3"/>
      <c r="D324" s="3"/>
      <c r="E324" s="4"/>
      <c r="F324" s="3"/>
      <c r="G324" s="5"/>
      <c r="H324" s="3"/>
      <c r="I324" s="5"/>
      <c r="J324" s="3"/>
      <c r="K324" s="5"/>
      <c r="L324" s="3"/>
      <c r="M324" s="5"/>
      <c r="N324" s="5"/>
    </row>
    <row r="325">
      <c r="A325" s="2"/>
      <c r="B325" s="3"/>
      <c r="C325" s="3"/>
      <c r="D325" s="3"/>
      <c r="E325" s="4"/>
      <c r="F325" s="3"/>
      <c r="G325" s="5"/>
      <c r="H325" s="3"/>
      <c r="I325" s="5"/>
      <c r="J325" s="3"/>
      <c r="K325" s="5"/>
      <c r="L325" s="3"/>
      <c r="M325" s="5"/>
      <c r="N325" s="5"/>
    </row>
    <row r="326">
      <c r="A326" s="2"/>
      <c r="B326" s="3"/>
      <c r="C326" s="3"/>
      <c r="D326" s="3"/>
      <c r="E326" s="4"/>
      <c r="F326" s="3"/>
      <c r="G326" s="5"/>
      <c r="H326" s="3"/>
      <c r="I326" s="5"/>
      <c r="J326" s="3"/>
      <c r="K326" s="5"/>
      <c r="L326" s="3"/>
      <c r="M326" s="5"/>
      <c r="N326" s="5"/>
    </row>
    <row r="327">
      <c r="A327" s="2"/>
      <c r="B327" s="3"/>
      <c r="C327" s="3"/>
      <c r="D327" s="3"/>
      <c r="E327" s="4"/>
      <c r="F327" s="3"/>
      <c r="G327" s="5"/>
      <c r="H327" s="3"/>
      <c r="I327" s="5"/>
      <c r="J327" s="3"/>
      <c r="K327" s="5"/>
      <c r="L327" s="3"/>
      <c r="M327" s="5"/>
      <c r="N327" s="5"/>
    </row>
    <row r="328">
      <c r="A328" s="2"/>
      <c r="B328" s="3"/>
      <c r="C328" s="3"/>
      <c r="D328" s="3"/>
      <c r="E328" s="4"/>
      <c r="F328" s="3"/>
      <c r="G328" s="5"/>
      <c r="H328" s="3"/>
      <c r="I328" s="5"/>
      <c r="J328" s="3"/>
      <c r="K328" s="5"/>
      <c r="L328" s="3"/>
      <c r="M328" s="5"/>
      <c r="N328" s="5"/>
    </row>
    <row r="329">
      <c r="A329" s="2"/>
      <c r="B329" s="3"/>
      <c r="C329" s="3"/>
      <c r="D329" s="3"/>
      <c r="E329" s="4"/>
      <c r="F329" s="3"/>
      <c r="G329" s="5"/>
      <c r="H329" s="3"/>
      <c r="I329" s="5"/>
      <c r="J329" s="3"/>
      <c r="K329" s="5"/>
      <c r="L329" s="3"/>
      <c r="M329" s="5"/>
      <c r="N329" s="5"/>
    </row>
    <row r="330">
      <c r="A330" s="2"/>
      <c r="B330" s="3"/>
      <c r="C330" s="3"/>
      <c r="D330" s="3"/>
      <c r="E330" s="4"/>
      <c r="F330" s="3"/>
      <c r="G330" s="5"/>
      <c r="H330" s="3"/>
      <c r="I330" s="5"/>
      <c r="J330" s="3"/>
      <c r="K330" s="5"/>
      <c r="L330" s="3"/>
      <c r="M330" s="5"/>
      <c r="N330" s="5"/>
    </row>
    <row r="331">
      <c r="A331" s="2"/>
      <c r="B331" s="3"/>
      <c r="C331" s="3"/>
      <c r="D331" s="3"/>
      <c r="E331" s="4"/>
      <c r="F331" s="3"/>
      <c r="G331" s="5"/>
      <c r="H331" s="3"/>
      <c r="I331" s="5"/>
      <c r="J331" s="3"/>
      <c r="K331" s="5"/>
      <c r="L331" s="3"/>
      <c r="M331" s="5"/>
      <c r="N331" s="5"/>
    </row>
    <row r="332">
      <c r="A332" s="2"/>
      <c r="B332" s="3"/>
      <c r="C332" s="3"/>
      <c r="D332" s="3"/>
      <c r="E332" s="4"/>
      <c r="F332" s="3"/>
      <c r="G332" s="5"/>
      <c r="H332" s="3"/>
      <c r="I332" s="5"/>
      <c r="J332" s="3"/>
      <c r="K332" s="5"/>
      <c r="L332" s="3"/>
      <c r="M332" s="5"/>
      <c r="N332" s="5"/>
    </row>
    <row r="333">
      <c r="A333" s="2"/>
      <c r="B333" s="3"/>
      <c r="C333" s="3"/>
      <c r="D333" s="3"/>
      <c r="E333" s="4"/>
      <c r="F333" s="3"/>
      <c r="G333" s="5"/>
      <c r="H333" s="3"/>
      <c r="I333" s="5"/>
      <c r="J333" s="3"/>
      <c r="K333" s="5"/>
      <c r="L333" s="3"/>
      <c r="M333" s="5"/>
      <c r="N333" s="5"/>
    </row>
    <row r="334">
      <c r="A334" s="2"/>
      <c r="B334" s="3"/>
      <c r="C334" s="3"/>
      <c r="D334" s="3"/>
      <c r="E334" s="4"/>
      <c r="F334" s="3"/>
      <c r="G334" s="5"/>
      <c r="H334" s="3"/>
      <c r="I334" s="5"/>
      <c r="J334" s="3"/>
      <c r="K334" s="5"/>
      <c r="L334" s="3"/>
      <c r="M334" s="5"/>
      <c r="N334" s="5"/>
    </row>
    <row r="335">
      <c r="A335" s="2"/>
      <c r="B335" s="3"/>
      <c r="C335" s="3"/>
      <c r="D335" s="3"/>
      <c r="E335" s="4"/>
      <c r="F335" s="3"/>
      <c r="G335" s="5"/>
      <c r="H335" s="3"/>
      <c r="I335" s="5"/>
      <c r="J335" s="3"/>
      <c r="K335" s="5"/>
      <c r="L335" s="3"/>
      <c r="M335" s="5"/>
      <c r="N335" s="5"/>
    </row>
    <row r="336">
      <c r="A336" s="2"/>
      <c r="B336" s="3"/>
      <c r="C336" s="3"/>
      <c r="D336" s="3"/>
      <c r="E336" s="4"/>
      <c r="F336" s="3"/>
      <c r="G336" s="5"/>
      <c r="H336" s="3"/>
      <c r="I336" s="5"/>
      <c r="J336" s="3"/>
      <c r="K336" s="5"/>
      <c r="L336" s="3"/>
      <c r="M336" s="5"/>
      <c r="N336" s="5"/>
    </row>
    <row r="337">
      <c r="A337" s="2"/>
      <c r="B337" s="3"/>
      <c r="C337" s="3"/>
      <c r="D337" s="3"/>
      <c r="E337" s="4"/>
      <c r="F337" s="3"/>
      <c r="G337" s="5"/>
      <c r="H337" s="3"/>
      <c r="I337" s="5"/>
      <c r="J337" s="3"/>
      <c r="K337" s="5"/>
      <c r="L337" s="3"/>
      <c r="M337" s="5"/>
      <c r="N337" s="5"/>
    </row>
    <row r="338">
      <c r="A338" s="2"/>
      <c r="B338" s="3"/>
      <c r="C338" s="3"/>
      <c r="D338" s="3"/>
      <c r="E338" s="4"/>
      <c r="F338" s="3"/>
      <c r="G338" s="5"/>
      <c r="H338" s="3"/>
      <c r="I338" s="5"/>
      <c r="J338" s="3"/>
      <c r="K338" s="5"/>
      <c r="L338" s="3"/>
      <c r="M338" s="5"/>
      <c r="N338" s="5"/>
    </row>
    <row r="339">
      <c r="A339" s="2"/>
      <c r="B339" s="3"/>
      <c r="C339" s="3"/>
      <c r="D339" s="3"/>
      <c r="E339" s="4"/>
      <c r="F339" s="3"/>
      <c r="G339" s="5"/>
      <c r="H339" s="3"/>
      <c r="I339" s="5"/>
      <c r="J339" s="3"/>
      <c r="K339" s="5"/>
      <c r="L339" s="3"/>
      <c r="M339" s="5"/>
      <c r="N339" s="5"/>
    </row>
    <row r="340">
      <c r="A340" s="2"/>
      <c r="B340" s="3"/>
      <c r="C340" s="3"/>
      <c r="D340" s="3"/>
      <c r="E340" s="4"/>
      <c r="F340" s="3"/>
      <c r="G340" s="5"/>
      <c r="H340" s="3"/>
      <c r="I340" s="5"/>
      <c r="J340" s="3"/>
      <c r="K340" s="5"/>
      <c r="L340" s="3"/>
      <c r="M340" s="5"/>
      <c r="N340" s="5"/>
    </row>
    <row r="341">
      <c r="A341" s="2"/>
      <c r="B341" s="3"/>
      <c r="C341" s="3"/>
      <c r="D341" s="3"/>
      <c r="E341" s="4"/>
      <c r="F341" s="3"/>
      <c r="G341" s="5"/>
      <c r="H341" s="3"/>
      <c r="I341" s="5"/>
      <c r="J341" s="3"/>
      <c r="K341" s="5"/>
      <c r="L341" s="3"/>
      <c r="M341" s="5"/>
      <c r="N341" s="5"/>
    </row>
    <row r="342">
      <c r="A342" s="2"/>
      <c r="B342" s="3"/>
      <c r="C342" s="3"/>
      <c r="D342" s="3"/>
      <c r="E342" s="4"/>
      <c r="F342" s="3"/>
      <c r="G342" s="5"/>
      <c r="H342" s="3"/>
      <c r="I342" s="5"/>
      <c r="J342" s="3"/>
      <c r="K342" s="5"/>
      <c r="L342" s="3"/>
      <c r="M342" s="5"/>
      <c r="N342" s="5"/>
    </row>
    <row r="343">
      <c r="A343" s="2"/>
      <c r="B343" s="3"/>
      <c r="C343" s="3"/>
      <c r="D343" s="3"/>
      <c r="E343" s="4"/>
      <c r="F343" s="3"/>
      <c r="G343" s="5"/>
      <c r="H343" s="3"/>
      <c r="I343" s="5"/>
      <c r="J343" s="3"/>
      <c r="K343" s="5"/>
      <c r="L343" s="3"/>
      <c r="M343" s="5"/>
      <c r="N343" s="5"/>
    </row>
    <row r="344">
      <c r="A344" s="2"/>
      <c r="B344" s="3"/>
      <c r="C344" s="3"/>
      <c r="D344" s="3"/>
      <c r="E344" s="4"/>
      <c r="F344" s="3"/>
      <c r="G344" s="5"/>
      <c r="H344" s="3"/>
      <c r="I344" s="5"/>
      <c r="J344" s="3"/>
      <c r="K344" s="5"/>
      <c r="L344" s="3"/>
      <c r="M344" s="5"/>
      <c r="N344" s="5"/>
    </row>
    <row r="345">
      <c r="A345" s="2"/>
      <c r="B345" s="3"/>
      <c r="C345" s="3"/>
      <c r="D345" s="3"/>
      <c r="E345" s="4"/>
      <c r="F345" s="3"/>
      <c r="G345" s="5"/>
      <c r="H345" s="3"/>
      <c r="I345" s="5"/>
      <c r="J345" s="3"/>
      <c r="K345" s="5"/>
      <c r="L345" s="3"/>
      <c r="M345" s="5"/>
      <c r="N345" s="5"/>
    </row>
    <row r="346">
      <c r="A346" s="2"/>
      <c r="B346" s="3"/>
      <c r="C346" s="3"/>
      <c r="D346" s="3"/>
      <c r="E346" s="4"/>
      <c r="F346" s="3"/>
      <c r="G346" s="5"/>
      <c r="H346" s="3"/>
      <c r="I346" s="5"/>
      <c r="J346" s="3"/>
      <c r="K346" s="5"/>
      <c r="L346" s="3"/>
      <c r="M346" s="5"/>
      <c r="N346" s="5"/>
    </row>
    <row r="347">
      <c r="A347" s="2"/>
      <c r="B347" s="3"/>
      <c r="C347" s="3"/>
      <c r="D347" s="3"/>
      <c r="E347" s="4"/>
      <c r="F347" s="3"/>
      <c r="G347" s="5"/>
      <c r="H347" s="3"/>
      <c r="I347" s="5"/>
      <c r="J347" s="3"/>
      <c r="K347" s="5"/>
      <c r="L347" s="3"/>
      <c r="M347" s="5"/>
      <c r="N347" s="5"/>
    </row>
    <row r="348">
      <c r="A348" s="2"/>
      <c r="B348" s="3"/>
      <c r="C348" s="3"/>
      <c r="D348" s="3"/>
      <c r="E348" s="4"/>
      <c r="F348" s="3"/>
      <c r="G348" s="5"/>
      <c r="H348" s="3"/>
      <c r="I348" s="5"/>
      <c r="J348" s="3"/>
      <c r="K348" s="5"/>
      <c r="L348" s="3"/>
      <c r="M348" s="5"/>
      <c r="N348" s="5"/>
    </row>
    <row r="349">
      <c r="A349" s="2"/>
      <c r="B349" s="3"/>
      <c r="C349" s="3"/>
      <c r="D349" s="3"/>
      <c r="E349" s="4"/>
      <c r="F349" s="3"/>
      <c r="G349" s="5"/>
      <c r="H349" s="3"/>
      <c r="I349" s="5"/>
      <c r="J349" s="3"/>
      <c r="K349" s="5"/>
      <c r="L349" s="3"/>
      <c r="M349" s="5"/>
      <c r="N349" s="5"/>
    </row>
    <row r="350">
      <c r="A350" s="2"/>
      <c r="B350" s="3"/>
      <c r="C350" s="3"/>
      <c r="D350" s="3"/>
      <c r="E350" s="4"/>
      <c r="F350" s="3"/>
      <c r="G350" s="5"/>
      <c r="H350" s="3"/>
      <c r="I350" s="5"/>
      <c r="J350" s="3"/>
      <c r="K350" s="5"/>
      <c r="L350" s="3"/>
      <c r="M350" s="5"/>
      <c r="N350" s="5"/>
    </row>
    <row r="351">
      <c r="A351" s="2"/>
      <c r="B351" s="3"/>
      <c r="C351" s="3"/>
      <c r="D351" s="3"/>
      <c r="E351" s="4"/>
      <c r="F351" s="3"/>
      <c r="G351" s="5"/>
      <c r="H351" s="3"/>
      <c r="I351" s="5"/>
      <c r="J351" s="3"/>
      <c r="K351" s="5"/>
      <c r="L351" s="3"/>
      <c r="M351" s="5"/>
      <c r="N351" s="5"/>
    </row>
    <row r="352">
      <c r="A352" s="2"/>
      <c r="B352" s="3"/>
      <c r="C352" s="3"/>
      <c r="D352" s="3"/>
      <c r="E352" s="4"/>
      <c r="F352" s="3"/>
      <c r="G352" s="5"/>
      <c r="H352" s="3"/>
      <c r="I352" s="5"/>
      <c r="J352" s="3"/>
      <c r="K352" s="5"/>
      <c r="L352" s="3"/>
      <c r="M352" s="5"/>
      <c r="N352" s="5"/>
    </row>
    <row r="353">
      <c r="A353" s="2"/>
      <c r="B353" s="3"/>
      <c r="C353" s="3"/>
      <c r="D353" s="3"/>
      <c r="E353" s="4"/>
      <c r="F353" s="3"/>
      <c r="G353" s="5"/>
      <c r="H353" s="3"/>
      <c r="I353" s="5"/>
      <c r="J353" s="3"/>
      <c r="K353" s="5"/>
      <c r="L353" s="3"/>
      <c r="M353" s="5"/>
      <c r="N353" s="5"/>
    </row>
    <row r="354">
      <c r="A354" s="2"/>
      <c r="B354" s="3"/>
      <c r="C354" s="3"/>
      <c r="D354" s="3"/>
      <c r="E354" s="4"/>
      <c r="F354" s="3"/>
      <c r="G354" s="5"/>
      <c r="H354" s="3"/>
      <c r="I354" s="5"/>
      <c r="J354" s="3"/>
      <c r="K354" s="5"/>
      <c r="L354" s="3"/>
      <c r="M354" s="5"/>
      <c r="N354" s="5"/>
    </row>
    <row r="355">
      <c r="A355" s="2"/>
      <c r="B355" s="3"/>
      <c r="C355" s="3"/>
      <c r="D355" s="3"/>
      <c r="E355" s="4"/>
      <c r="F355" s="3"/>
      <c r="G355" s="5"/>
      <c r="H355" s="3"/>
      <c r="I355" s="5"/>
      <c r="J355" s="3"/>
      <c r="K355" s="5"/>
      <c r="L355" s="3"/>
      <c r="M355" s="5"/>
      <c r="N355" s="5"/>
    </row>
    <row r="356">
      <c r="A356" s="2"/>
      <c r="B356" s="3"/>
      <c r="C356" s="3"/>
      <c r="D356" s="3"/>
      <c r="E356" s="4"/>
      <c r="F356" s="3"/>
      <c r="G356" s="5"/>
      <c r="H356" s="3"/>
      <c r="I356" s="5"/>
      <c r="J356" s="3"/>
      <c r="K356" s="5"/>
      <c r="L356" s="3"/>
      <c r="M356" s="5"/>
      <c r="N356" s="5"/>
    </row>
    <row r="357">
      <c r="A357" s="2"/>
      <c r="B357" s="3"/>
      <c r="C357" s="3"/>
      <c r="D357" s="3"/>
      <c r="E357" s="4"/>
      <c r="F357" s="3"/>
      <c r="G357" s="5"/>
      <c r="H357" s="3"/>
      <c r="I357" s="5"/>
      <c r="J357" s="3"/>
      <c r="K357" s="5"/>
      <c r="L357" s="3"/>
      <c r="M357" s="5"/>
      <c r="N357" s="5"/>
    </row>
    <row r="358">
      <c r="A358" s="2"/>
      <c r="B358" s="3"/>
      <c r="C358" s="3"/>
      <c r="D358" s="3"/>
      <c r="E358" s="4"/>
      <c r="F358" s="3"/>
      <c r="G358" s="5"/>
      <c r="H358" s="3"/>
      <c r="I358" s="5"/>
      <c r="J358" s="3"/>
      <c r="K358" s="5"/>
      <c r="L358" s="3"/>
      <c r="M358" s="5"/>
      <c r="N358" s="5"/>
    </row>
    <row r="359">
      <c r="A359" s="2"/>
      <c r="B359" s="3"/>
      <c r="C359" s="3"/>
      <c r="D359" s="3"/>
      <c r="E359" s="4"/>
      <c r="F359" s="3"/>
      <c r="G359" s="5"/>
      <c r="H359" s="3"/>
      <c r="I359" s="5"/>
      <c r="J359" s="3"/>
      <c r="K359" s="5"/>
      <c r="L359" s="3"/>
      <c r="M359" s="5"/>
      <c r="N359" s="5"/>
    </row>
    <row r="360">
      <c r="A360" s="2"/>
      <c r="B360" s="3"/>
      <c r="C360" s="3"/>
      <c r="D360" s="3"/>
      <c r="E360" s="4"/>
      <c r="F360" s="3"/>
      <c r="G360" s="5"/>
      <c r="H360" s="3"/>
      <c r="I360" s="5"/>
      <c r="J360" s="3"/>
      <c r="K360" s="5"/>
      <c r="L360" s="3"/>
      <c r="M360" s="5"/>
      <c r="N360" s="5"/>
    </row>
    <row r="361">
      <c r="A361" s="2"/>
      <c r="B361" s="3"/>
      <c r="C361" s="3"/>
      <c r="D361" s="3"/>
      <c r="E361" s="4"/>
      <c r="F361" s="3"/>
      <c r="G361" s="5"/>
      <c r="H361" s="3"/>
      <c r="I361" s="5"/>
      <c r="J361" s="3"/>
      <c r="K361" s="5"/>
      <c r="L361" s="3"/>
      <c r="M361" s="5"/>
      <c r="N361" s="5"/>
    </row>
    <row r="362">
      <c r="A362" s="2"/>
      <c r="B362" s="3"/>
      <c r="C362" s="3"/>
      <c r="D362" s="3"/>
      <c r="E362" s="4"/>
      <c r="F362" s="3"/>
      <c r="G362" s="5"/>
      <c r="H362" s="3"/>
      <c r="I362" s="5"/>
      <c r="J362" s="3"/>
      <c r="K362" s="5"/>
      <c r="L362" s="3"/>
      <c r="M362" s="5"/>
      <c r="N362" s="5"/>
    </row>
    <row r="363">
      <c r="A363" s="2"/>
      <c r="B363" s="3"/>
      <c r="C363" s="3"/>
      <c r="D363" s="3"/>
      <c r="E363" s="4"/>
      <c r="F363" s="3"/>
      <c r="G363" s="5"/>
      <c r="H363" s="3"/>
      <c r="I363" s="5"/>
      <c r="J363" s="3"/>
      <c r="K363" s="5"/>
      <c r="L363" s="3"/>
      <c r="M363" s="5"/>
      <c r="N363" s="5"/>
    </row>
    <row r="364">
      <c r="A364" s="2"/>
      <c r="B364" s="3"/>
      <c r="C364" s="3"/>
      <c r="D364" s="3"/>
      <c r="E364" s="4"/>
      <c r="F364" s="3"/>
      <c r="G364" s="5"/>
      <c r="H364" s="3"/>
      <c r="I364" s="5"/>
      <c r="J364" s="3"/>
      <c r="K364" s="5"/>
      <c r="L364" s="3"/>
      <c r="M364" s="5"/>
      <c r="N364" s="5"/>
    </row>
    <row r="365">
      <c r="A365" s="2"/>
      <c r="B365" s="3"/>
      <c r="C365" s="3"/>
      <c r="D365" s="3"/>
      <c r="E365" s="4"/>
      <c r="F365" s="3"/>
      <c r="G365" s="5"/>
      <c r="H365" s="3"/>
      <c r="I365" s="5"/>
      <c r="J365" s="3"/>
      <c r="K365" s="5"/>
      <c r="L365" s="3"/>
      <c r="M365" s="5"/>
      <c r="N365" s="5"/>
    </row>
    <row r="366">
      <c r="A366" s="2"/>
      <c r="B366" s="3"/>
      <c r="C366" s="3"/>
      <c r="D366" s="3"/>
      <c r="E366" s="4"/>
      <c r="F366" s="3"/>
      <c r="G366" s="5"/>
      <c r="H366" s="3"/>
      <c r="I366" s="5"/>
      <c r="J366" s="3"/>
      <c r="K366" s="5"/>
      <c r="L366" s="3"/>
      <c r="M366" s="5"/>
      <c r="N366" s="5"/>
    </row>
    <row r="367">
      <c r="A367" s="2"/>
      <c r="B367" s="3"/>
      <c r="C367" s="3"/>
      <c r="D367" s="3"/>
      <c r="E367" s="4"/>
      <c r="F367" s="3"/>
      <c r="G367" s="5"/>
      <c r="H367" s="3"/>
      <c r="I367" s="5"/>
      <c r="J367" s="3"/>
      <c r="K367" s="5"/>
      <c r="L367" s="3"/>
      <c r="M367" s="5"/>
      <c r="N367" s="5"/>
    </row>
    <row r="368">
      <c r="A368" s="2"/>
      <c r="B368" s="3"/>
      <c r="C368" s="3"/>
      <c r="D368" s="3"/>
      <c r="E368" s="4"/>
      <c r="F368" s="3"/>
      <c r="G368" s="5"/>
      <c r="H368" s="3"/>
      <c r="I368" s="5"/>
      <c r="J368" s="3"/>
      <c r="K368" s="5"/>
      <c r="L368" s="3"/>
      <c r="M368" s="5"/>
      <c r="N368" s="5"/>
    </row>
    <row r="369">
      <c r="A369" s="2"/>
      <c r="B369" s="3"/>
      <c r="C369" s="3"/>
      <c r="D369" s="3"/>
      <c r="E369" s="4"/>
      <c r="F369" s="3"/>
      <c r="G369" s="5"/>
      <c r="H369" s="3"/>
      <c r="I369" s="5"/>
      <c r="J369" s="3"/>
      <c r="K369" s="5"/>
      <c r="L369" s="3"/>
      <c r="M369" s="5"/>
      <c r="N369" s="5"/>
    </row>
    <row r="370">
      <c r="A370" s="2"/>
      <c r="B370" s="3"/>
      <c r="C370" s="3"/>
      <c r="D370" s="3"/>
      <c r="E370" s="4"/>
      <c r="F370" s="3"/>
      <c r="G370" s="5"/>
      <c r="H370" s="3"/>
      <c r="I370" s="5"/>
      <c r="J370" s="3"/>
      <c r="K370" s="5"/>
      <c r="L370" s="3"/>
      <c r="M370" s="5"/>
      <c r="N370" s="5"/>
    </row>
    <row r="371">
      <c r="A371" s="2"/>
      <c r="B371" s="3"/>
      <c r="C371" s="3"/>
      <c r="D371" s="3"/>
      <c r="E371" s="4"/>
      <c r="F371" s="3"/>
      <c r="G371" s="5"/>
      <c r="H371" s="3"/>
      <c r="I371" s="5"/>
      <c r="J371" s="3"/>
      <c r="K371" s="5"/>
      <c r="L371" s="3"/>
      <c r="M371" s="5"/>
      <c r="N371" s="5"/>
    </row>
    <row r="372">
      <c r="A372" s="2"/>
      <c r="B372" s="3"/>
      <c r="C372" s="3"/>
      <c r="D372" s="3"/>
      <c r="E372" s="4"/>
      <c r="F372" s="3"/>
      <c r="G372" s="5"/>
      <c r="H372" s="3"/>
      <c r="I372" s="5"/>
      <c r="J372" s="3"/>
      <c r="K372" s="5"/>
      <c r="L372" s="3"/>
      <c r="M372" s="5"/>
      <c r="N372" s="5"/>
    </row>
    <row r="373">
      <c r="A373" s="2"/>
      <c r="B373" s="3"/>
      <c r="C373" s="3"/>
      <c r="D373" s="3"/>
      <c r="E373" s="4"/>
      <c r="F373" s="3"/>
      <c r="G373" s="5"/>
      <c r="H373" s="3"/>
      <c r="I373" s="5"/>
      <c r="J373" s="3"/>
      <c r="K373" s="5"/>
      <c r="L373" s="3"/>
      <c r="M373" s="5"/>
      <c r="N373" s="5"/>
    </row>
    <row r="374">
      <c r="A374" s="2"/>
      <c r="B374" s="3"/>
      <c r="C374" s="3"/>
      <c r="D374" s="3"/>
      <c r="E374" s="4"/>
      <c r="F374" s="3"/>
      <c r="G374" s="5"/>
      <c r="H374" s="3"/>
      <c r="I374" s="5"/>
      <c r="J374" s="3"/>
      <c r="K374" s="5"/>
      <c r="L374" s="3"/>
      <c r="M374" s="5"/>
      <c r="N374" s="5"/>
    </row>
    <row r="375">
      <c r="A375" s="2"/>
      <c r="B375" s="3"/>
      <c r="C375" s="3"/>
      <c r="D375" s="3"/>
      <c r="E375" s="4"/>
      <c r="F375" s="3"/>
      <c r="G375" s="5"/>
      <c r="H375" s="3"/>
      <c r="I375" s="5"/>
      <c r="J375" s="3"/>
      <c r="K375" s="5"/>
      <c r="L375" s="3"/>
      <c r="M375" s="5"/>
      <c r="N375" s="5"/>
    </row>
    <row r="376">
      <c r="A376" s="2"/>
      <c r="B376" s="3"/>
      <c r="C376" s="3"/>
      <c r="D376" s="3"/>
      <c r="E376" s="4"/>
      <c r="F376" s="3"/>
      <c r="G376" s="5"/>
      <c r="H376" s="3"/>
      <c r="I376" s="5"/>
      <c r="J376" s="3"/>
      <c r="K376" s="5"/>
      <c r="L376" s="3"/>
      <c r="M376" s="5"/>
      <c r="N376" s="5"/>
    </row>
    <row r="377">
      <c r="A377" s="2"/>
      <c r="B377" s="3"/>
      <c r="C377" s="3"/>
      <c r="D377" s="3"/>
      <c r="E377" s="4"/>
      <c r="F377" s="3"/>
      <c r="G377" s="5"/>
      <c r="H377" s="3"/>
      <c r="I377" s="5"/>
      <c r="J377" s="3"/>
      <c r="K377" s="5"/>
      <c r="L377" s="3"/>
      <c r="M377" s="5"/>
      <c r="N377" s="5"/>
    </row>
    <row r="378">
      <c r="A378" s="2"/>
      <c r="B378" s="3"/>
      <c r="C378" s="3"/>
      <c r="D378" s="3"/>
      <c r="E378" s="4"/>
      <c r="F378" s="3"/>
      <c r="G378" s="5"/>
      <c r="H378" s="3"/>
      <c r="I378" s="5"/>
      <c r="J378" s="3"/>
      <c r="K378" s="5"/>
      <c r="L378" s="3"/>
      <c r="M378" s="5"/>
      <c r="N378" s="5"/>
    </row>
    <row r="379">
      <c r="A379" s="2"/>
      <c r="B379" s="3"/>
      <c r="C379" s="3"/>
      <c r="D379" s="3"/>
      <c r="E379" s="4"/>
      <c r="F379" s="3"/>
      <c r="G379" s="5"/>
      <c r="H379" s="3"/>
      <c r="I379" s="5"/>
      <c r="J379" s="3"/>
      <c r="K379" s="5"/>
      <c r="L379" s="3"/>
      <c r="M379" s="5"/>
      <c r="N379" s="5"/>
    </row>
    <row r="380">
      <c r="A380" s="2"/>
      <c r="B380" s="3"/>
      <c r="C380" s="3"/>
      <c r="D380" s="3"/>
      <c r="E380" s="4"/>
      <c r="F380" s="3"/>
      <c r="G380" s="5"/>
      <c r="H380" s="3"/>
      <c r="I380" s="5"/>
      <c r="J380" s="3"/>
      <c r="K380" s="5"/>
      <c r="L380" s="3"/>
      <c r="M380" s="5"/>
      <c r="N380" s="5"/>
    </row>
    <row r="381">
      <c r="A381" s="2"/>
      <c r="B381" s="3"/>
      <c r="C381" s="3"/>
      <c r="D381" s="3"/>
      <c r="E381" s="4"/>
      <c r="F381" s="3"/>
      <c r="G381" s="5"/>
      <c r="H381" s="3"/>
      <c r="I381" s="5"/>
      <c r="J381" s="3"/>
      <c r="K381" s="5"/>
      <c r="L381" s="3"/>
      <c r="M381" s="5"/>
      <c r="N381" s="5"/>
    </row>
    <row r="382">
      <c r="A382" s="2"/>
      <c r="B382" s="3"/>
      <c r="C382" s="3"/>
      <c r="D382" s="3"/>
      <c r="E382" s="4"/>
      <c r="F382" s="3"/>
      <c r="G382" s="5"/>
      <c r="H382" s="3"/>
      <c r="I382" s="5"/>
      <c r="J382" s="3"/>
      <c r="K382" s="5"/>
      <c r="L382" s="3"/>
      <c r="M382" s="5"/>
      <c r="N382" s="5"/>
    </row>
    <row r="383">
      <c r="A383" s="2"/>
      <c r="B383" s="3"/>
      <c r="C383" s="3"/>
      <c r="D383" s="3"/>
      <c r="E383" s="4"/>
      <c r="F383" s="3"/>
      <c r="G383" s="5"/>
      <c r="H383" s="3"/>
      <c r="I383" s="5"/>
      <c r="J383" s="3"/>
      <c r="K383" s="5"/>
      <c r="L383" s="3"/>
      <c r="M383" s="5"/>
      <c r="N383" s="5"/>
    </row>
    <row r="384">
      <c r="A384" s="2"/>
      <c r="B384" s="3"/>
      <c r="C384" s="3"/>
      <c r="D384" s="3"/>
      <c r="E384" s="4"/>
      <c r="F384" s="3"/>
      <c r="G384" s="5"/>
      <c r="H384" s="3"/>
      <c r="I384" s="5"/>
      <c r="J384" s="3"/>
      <c r="K384" s="5"/>
      <c r="L384" s="3"/>
      <c r="M384" s="5"/>
      <c r="N384" s="5"/>
    </row>
    <row r="385">
      <c r="A385" s="2"/>
      <c r="B385" s="3"/>
      <c r="C385" s="3"/>
      <c r="D385" s="3"/>
      <c r="E385" s="4"/>
      <c r="F385" s="3"/>
      <c r="G385" s="5"/>
      <c r="H385" s="3"/>
      <c r="I385" s="5"/>
      <c r="J385" s="3"/>
      <c r="K385" s="5"/>
      <c r="L385" s="3"/>
      <c r="M385" s="5"/>
      <c r="N385" s="5"/>
    </row>
    <row r="386">
      <c r="A386" s="2"/>
      <c r="B386" s="3"/>
      <c r="C386" s="3"/>
      <c r="D386" s="3"/>
      <c r="E386" s="4"/>
      <c r="F386" s="3"/>
      <c r="G386" s="5"/>
      <c r="H386" s="3"/>
      <c r="I386" s="5"/>
      <c r="J386" s="3"/>
      <c r="K386" s="5"/>
      <c r="L386" s="3"/>
      <c r="M386" s="5"/>
      <c r="N386" s="5"/>
    </row>
    <row r="387">
      <c r="A387" s="2"/>
      <c r="B387" s="3"/>
      <c r="C387" s="3"/>
      <c r="D387" s="3"/>
      <c r="E387" s="4"/>
      <c r="F387" s="3"/>
      <c r="G387" s="5"/>
      <c r="H387" s="3"/>
      <c r="I387" s="5"/>
      <c r="J387" s="3"/>
      <c r="K387" s="5"/>
      <c r="L387" s="3"/>
      <c r="M387" s="5"/>
      <c r="N387" s="5"/>
    </row>
    <row r="388">
      <c r="A388" s="2"/>
      <c r="B388" s="3"/>
      <c r="C388" s="3"/>
      <c r="D388" s="3"/>
      <c r="E388" s="4"/>
      <c r="F388" s="3"/>
      <c r="G388" s="5"/>
      <c r="H388" s="3"/>
      <c r="I388" s="5"/>
      <c r="J388" s="3"/>
      <c r="K388" s="5"/>
      <c r="L388" s="3"/>
      <c r="M388" s="5"/>
      <c r="N388" s="5"/>
    </row>
    <row r="389">
      <c r="A389" s="2"/>
      <c r="B389" s="3"/>
      <c r="C389" s="3"/>
      <c r="D389" s="3"/>
      <c r="E389" s="4"/>
      <c r="F389" s="3"/>
      <c r="G389" s="5"/>
      <c r="H389" s="3"/>
      <c r="I389" s="5"/>
      <c r="J389" s="3"/>
      <c r="K389" s="5"/>
      <c r="L389" s="3"/>
      <c r="M389" s="5"/>
      <c r="N389" s="5"/>
    </row>
    <row r="390">
      <c r="A390" s="2"/>
      <c r="B390" s="3"/>
      <c r="C390" s="3"/>
      <c r="D390" s="3"/>
      <c r="E390" s="4"/>
      <c r="F390" s="3"/>
      <c r="G390" s="5"/>
      <c r="H390" s="3"/>
      <c r="I390" s="5"/>
      <c r="J390" s="3"/>
      <c r="K390" s="5"/>
      <c r="L390" s="3"/>
      <c r="M390" s="5"/>
      <c r="N390" s="5"/>
    </row>
    <row r="391">
      <c r="A391" s="2"/>
      <c r="B391" s="3"/>
      <c r="C391" s="3"/>
      <c r="D391" s="3"/>
      <c r="E391" s="4"/>
      <c r="F391" s="3"/>
      <c r="G391" s="5"/>
      <c r="H391" s="3"/>
      <c r="I391" s="5"/>
      <c r="J391" s="3"/>
      <c r="K391" s="5"/>
      <c r="L391" s="3"/>
      <c r="M391" s="5"/>
      <c r="N391" s="5"/>
    </row>
    <row r="392">
      <c r="A392" s="2"/>
      <c r="B392" s="3"/>
      <c r="C392" s="3"/>
      <c r="D392" s="3"/>
      <c r="E392" s="4"/>
      <c r="F392" s="3"/>
      <c r="G392" s="5"/>
      <c r="H392" s="3"/>
      <c r="I392" s="5"/>
      <c r="J392" s="3"/>
      <c r="K392" s="5"/>
      <c r="L392" s="3"/>
      <c r="M392" s="5"/>
      <c r="N392" s="5"/>
    </row>
    <row r="393">
      <c r="A393" s="2"/>
      <c r="B393" s="3"/>
      <c r="C393" s="3"/>
      <c r="D393" s="3"/>
      <c r="E393" s="4"/>
      <c r="F393" s="3"/>
      <c r="G393" s="5"/>
      <c r="H393" s="3"/>
      <c r="I393" s="5"/>
      <c r="J393" s="3"/>
      <c r="K393" s="5"/>
      <c r="L393" s="3"/>
      <c r="M393" s="5"/>
      <c r="N393" s="5"/>
    </row>
    <row r="394">
      <c r="A394" s="2"/>
      <c r="B394" s="3"/>
      <c r="C394" s="3"/>
      <c r="D394" s="3"/>
      <c r="E394" s="4"/>
      <c r="F394" s="3"/>
      <c r="G394" s="5"/>
      <c r="H394" s="3"/>
      <c r="I394" s="5"/>
      <c r="J394" s="3"/>
      <c r="K394" s="5"/>
      <c r="L394" s="3"/>
      <c r="M394" s="5"/>
      <c r="N394" s="5"/>
    </row>
    <row r="395">
      <c r="A395" s="2"/>
      <c r="B395" s="3"/>
      <c r="C395" s="3"/>
      <c r="D395" s="3"/>
      <c r="E395" s="4"/>
      <c r="F395" s="3"/>
      <c r="G395" s="5"/>
      <c r="H395" s="3"/>
      <c r="I395" s="5"/>
      <c r="J395" s="3"/>
      <c r="K395" s="5"/>
      <c r="L395" s="3"/>
      <c r="M395" s="5"/>
      <c r="N395" s="5"/>
    </row>
    <row r="396">
      <c r="A396" s="2"/>
      <c r="B396" s="3"/>
      <c r="C396" s="3"/>
      <c r="D396" s="3"/>
      <c r="E396" s="4"/>
      <c r="F396" s="3"/>
      <c r="G396" s="5"/>
      <c r="H396" s="3"/>
      <c r="I396" s="5"/>
      <c r="J396" s="3"/>
      <c r="K396" s="5"/>
      <c r="L396" s="3"/>
      <c r="M396" s="5"/>
      <c r="N396" s="5"/>
    </row>
    <row r="397">
      <c r="A397" s="2"/>
      <c r="B397" s="3"/>
      <c r="C397" s="3"/>
      <c r="D397" s="3"/>
      <c r="E397" s="4"/>
      <c r="F397" s="3"/>
      <c r="G397" s="5"/>
      <c r="H397" s="3"/>
      <c r="I397" s="5"/>
      <c r="J397" s="3"/>
      <c r="K397" s="5"/>
      <c r="L397" s="3"/>
      <c r="M397" s="5"/>
      <c r="N397" s="5"/>
    </row>
    <row r="398">
      <c r="A398" s="2"/>
      <c r="B398" s="3"/>
      <c r="C398" s="3"/>
      <c r="D398" s="3"/>
      <c r="E398" s="4"/>
      <c r="F398" s="3"/>
      <c r="G398" s="5"/>
      <c r="H398" s="3"/>
      <c r="I398" s="5"/>
      <c r="J398" s="3"/>
      <c r="K398" s="5"/>
      <c r="L398" s="3"/>
      <c r="M398" s="5"/>
      <c r="N398" s="5"/>
    </row>
    <row r="399">
      <c r="A399" s="2"/>
      <c r="B399" s="3"/>
      <c r="C399" s="3"/>
      <c r="D399" s="3"/>
      <c r="E399" s="4"/>
      <c r="F399" s="3"/>
      <c r="G399" s="5"/>
      <c r="H399" s="3"/>
      <c r="I399" s="5"/>
      <c r="J399" s="3"/>
      <c r="K399" s="5"/>
      <c r="L399" s="3"/>
      <c r="M399" s="5"/>
      <c r="N399" s="5"/>
    </row>
    <row r="400">
      <c r="A400" s="2"/>
      <c r="B400" s="3"/>
      <c r="C400" s="3"/>
      <c r="D400" s="3"/>
      <c r="E400" s="4"/>
      <c r="F400" s="3"/>
      <c r="G400" s="5"/>
      <c r="H400" s="3"/>
      <c r="I400" s="5"/>
      <c r="J400" s="3"/>
      <c r="K400" s="5"/>
      <c r="L400" s="3"/>
      <c r="M400" s="5"/>
      <c r="N400" s="5"/>
    </row>
    <row r="401">
      <c r="A401" s="2"/>
      <c r="B401" s="3"/>
      <c r="C401" s="3"/>
      <c r="D401" s="3"/>
      <c r="E401" s="4"/>
      <c r="F401" s="3"/>
      <c r="G401" s="5"/>
      <c r="H401" s="3"/>
      <c r="I401" s="5"/>
      <c r="J401" s="3"/>
      <c r="K401" s="5"/>
      <c r="L401" s="3"/>
      <c r="M401" s="5"/>
      <c r="N401" s="5"/>
    </row>
    <row r="402">
      <c r="A402" s="2"/>
      <c r="B402" s="3"/>
      <c r="C402" s="3"/>
      <c r="D402" s="3"/>
      <c r="E402" s="4"/>
      <c r="F402" s="3"/>
      <c r="G402" s="5"/>
      <c r="H402" s="3"/>
      <c r="I402" s="5"/>
      <c r="J402" s="3"/>
      <c r="K402" s="5"/>
      <c r="L402" s="3"/>
      <c r="M402" s="5"/>
      <c r="N402" s="5"/>
    </row>
    <row r="403">
      <c r="A403" s="2"/>
      <c r="B403" s="3"/>
      <c r="C403" s="3"/>
      <c r="D403" s="3"/>
      <c r="E403" s="4"/>
      <c r="F403" s="3"/>
      <c r="G403" s="5"/>
      <c r="H403" s="3"/>
      <c r="I403" s="5"/>
      <c r="J403" s="3"/>
      <c r="K403" s="5"/>
      <c r="L403" s="3"/>
      <c r="M403" s="5"/>
      <c r="N403" s="5"/>
    </row>
    <row r="404">
      <c r="A404" s="2"/>
      <c r="B404" s="3"/>
      <c r="C404" s="3"/>
      <c r="D404" s="3"/>
      <c r="E404" s="4"/>
      <c r="F404" s="3"/>
      <c r="G404" s="5"/>
      <c r="H404" s="3"/>
      <c r="I404" s="5"/>
      <c r="J404" s="3"/>
      <c r="K404" s="5"/>
      <c r="L404" s="3"/>
      <c r="M404" s="5"/>
      <c r="N404" s="5"/>
    </row>
    <row r="405">
      <c r="A405" s="2"/>
      <c r="B405" s="3"/>
      <c r="C405" s="3"/>
      <c r="D405" s="3"/>
      <c r="E405" s="4"/>
      <c r="F405" s="3"/>
      <c r="G405" s="5"/>
      <c r="H405" s="3"/>
      <c r="I405" s="5"/>
      <c r="J405" s="3"/>
      <c r="K405" s="5"/>
      <c r="L405" s="3"/>
      <c r="M405" s="5"/>
      <c r="N405" s="5"/>
    </row>
    <row r="406">
      <c r="A406" s="2"/>
      <c r="B406" s="3"/>
      <c r="C406" s="3"/>
      <c r="D406" s="3"/>
      <c r="E406" s="4"/>
      <c r="F406" s="3"/>
      <c r="G406" s="5"/>
      <c r="H406" s="3"/>
      <c r="I406" s="5"/>
      <c r="J406" s="3"/>
      <c r="K406" s="5"/>
      <c r="L406" s="3"/>
      <c r="M406" s="5"/>
      <c r="N406" s="5"/>
    </row>
    <row r="407">
      <c r="A407" s="2"/>
      <c r="B407" s="3"/>
      <c r="C407" s="3"/>
      <c r="D407" s="3"/>
      <c r="E407" s="4"/>
      <c r="F407" s="3"/>
      <c r="G407" s="5"/>
      <c r="H407" s="3"/>
      <c r="I407" s="5"/>
      <c r="J407" s="3"/>
      <c r="K407" s="5"/>
      <c r="L407" s="3"/>
      <c r="M407" s="5"/>
      <c r="N407" s="5"/>
    </row>
    <row r="408">
      <c r="A408" s="2"/>
      <c r="B408" s="3"/>
      <c r="C408" s="3"/>
      <c r="D408" s="3"/>
      <c r="E408" s="4"/>
      <c r="F408" s="3"/>
      <c r="G408" s="5"/>
      <c r="H408" s="3"/>
      <c r="I408" s="5"/>
      <c r="J408" s="3"/>
      <c r="K408" s="5"/>
      <c r="L408" s="3"/>
      <c r="M408" s="5"/>
      <c r="N408" s="5"/>
    </row>
    <row r="409">
      <c r="A409" s="2"/>
      <c r="B409" s="3"/>
      <c r="C409" s="3"/>
      <c r="D409" s="3"/>
      <c r="E409" s="4"/>
      <c r="F409" s="3"/>
      <c r="G409" s="5"/>
      <c r="H409" s="3"/>
      <c r="I409" s="5"/>
      <c r="J409" s="3"/>
      <c r="K409" s="5"/>
      <c r="L409" s="3"/>
      <c r="M409" s="5"/>
      <c r="N409" s="5"/>
    </row>
    <row r="410">
      <c r="A410" s="2"/>
      <c r="B410" s="3"/>
      <c r="C410" s="3"/>
      <c r="D410" s="3"/>
      <c r="E410" s="4"/>
      <c r="F410" s="3"/>
      <c r="G410" s="5"/>
      <c r="H410" s="3"/>
      <c r="I410" s="5"/>
      <c r="J410" s="3"/>
      <c r="K410" s="5"/>
      <c r="L410" s="3"/>
      <c r="M410" s="5"/>
      <c r="N410" s="5"/>
    </row>
    <row r="411">
      <c r="A411" s="2"/>
      <c r="B411" s="3"/>
      <c r="C411" s="3"/>
      <c r="D411" s="3"/>
      <c r="E411" s="4"/>
      <c r="F411" s="3"/>
      <c r="G411" s="5"/>
      <c r="H411" s="3"/>
      <c r="I411" s="5"/>
      <c r="J411" s="3"/>
      <c r="K411" s="5"/>
      <c r="L411" s="3"/>
      <c r="M411" s="5"/>
      <c r="N411" s="5"/>
    </row>
    <row r="412">
      <c r="A412" s="2"/>
      <c r="B412" s="3"/>
      <c r="C412" s="3"/>
      <c r="D412" s="3"/>
      <c r="E412" s="4"/>
      <c r="F412" s="3"/>
      <c r="G412" s="5"/>
      <c r="H412" s="3"/>
      <c r="I412" s="5"/>
      <c r="J412" s="3"/>
      <c r="K412" s="5"/>
      <c r="L412" s="3"/>
      <c r="M412" s="5"/>
      <c r="N412" s="5"/>
    </row>
    <row r="413">
      <c r="A413" s="2"/>
      <c r="B413" s="3"/>
      <c r="C413" s="3"/>
      <c r="D413" s="3"/>
      <c r="E413" s="4"/>
      <c r="F413" s="3"/>
      <c r="G413" s="5"/>
      <c r="H413" s="3"/>
      <c r="I413" s="5"/>
      <c r="J413" s="3"/>
      <c r="K413" s="5"/>
      <c r="L413" s="3"/>
      <c r="M413" s="5"/>
      <c r="N413" s="5"/>
    </row>
    <row r="414">
      <c r="A414" s="2"/>
      <c r="B414" s="3"/>
      <c r="C414" s="3"/>
      <c r="D414" s="3"/>
      <c r="E414" s="4"/>
      <c r="F414" s="3"/>
      <c r="G414" s="5"/>
      <c r="H414" s="3"/>
      <c r="I414" s="5"/>
      <c r="J414" s="3"/>
      <c r="K414" s="5"/>
      <c r="L414" s="3"/>
      <c r="M414" s="5"/>
      <c r="N414" s="5"/>
    </row>
    <row r="415">
      <c r="A415" s="2"/>
      <c r="B415" s="3"/>
      <c r="C415" s="3"/>
      <c r="D415" s="3"/>
      <c r="E415" s="4"/>
      <c r="F415" s="3"/>
      <c r="G415" s="5"/>
      <c r="H415" s="3"/>
      <c r="I415" s="5"/>
      <c r="J415" s="3"/>
      <c r="K415" s="5"/>
      <c r="L415" s="3"/>
      <c r="M415" s="5"/>
      <c r="N415" s="5"/>
    </row>
    <row r="416">
      <c r="A416" s="2"/>
      <c r="B416" s="3"/>
      <c r="C416" s="3"/>
      <c r="D416" s="3"/>
      <c r="E416" s="4"/>
      <c r="F416" s="3"/>
      <c r="G416" s="5"/>
      <c r="H416" s="3"/>
      <c r="I416" s="5"/>
      <c r="J416" s="3"/>
      <c r="K416" s="5"/>
      <c r="L416" s="3"/>
      <c r="M416" s="5"/>
      <c r="N416" s="5"/>
    </row>
    <row r="417">
      <c r="A417" s="2"/>
      <c r="B417" s="3"/>
      <c r="C417" s="3"/>
      <c r="D417" s="3"/>
      <c r="E417" s="4"/>
      <c r="F417" s="3"/>
      <c r="G417" s="5"/>
      <c r="H417" s="3"/>
      <c r="I417" s="5"/>
      <c r="J417" s="3"/>
      <c r="K417" s="5"/>
      <c r="L417" s="3"/>
      <c r="M417" s="5"/>
      <c r="N417" s="5"/>
    </row>
    <row r="418">
      <c r="A418" s="2"/>
      <c r="B418" s="3"/>
      <c r="C418" s="3"/>
      <c r="D418" s="3"/>
      <c r="E418" s="4"/>
      <c r="F418" s="3"/>
      <c r="G418" s="5"/>
      <c r="H418" s="3"/>
      <c r="I418" s="5"/>
      <c r="J418" s="3"/>
      <c r="K418" s="5"/>
      <c r="L418" s="3"/>
      <c r="M418" s="5"/>
      <c r="N418" s="5"/>
    </row>
    <row r="419">
      <c r="A419" s="2"/>
      <c r="B419" s="3"/>
      <c r="C419" s="3"/>
      <c r="D419" s="3"/>
      <c r="E419" s="4"/>
      <c r="F419" s="3"/>
      <c r="G419" s="5"/>
      <c r="H419" s="3"/>
      <c r="I419" s="5"/>
      <c r="J419" s="3"/>
      <c r="K419" s="5"/>
      <c r="L419" s="3"/>
      <c r="M419" s="5"/>
      <c r="N419" s="5"/>
    </row>
    <row r="420">
      <c r="A420" s="2"/>
      <c r="B420" s="3"/>
      <c r="C420" s="3"/>
      <c r="D420" s="3"/>
      <c r="E420" s="4"/>
      <c r="F420" s="3"/>
      <c r="G420" s="5"/>
      <c r="H420" s="3"/>
      <c r="I420" s="5"/>
      <c r="J420" s="3"/>
      <c r="K420" s="5"/>
      <c r="L420" s="3"/>
      <c r="M420" s="5"/>
      <c r="N420" s="5"/>
    </row>
    <row r="421">
      <c r="A421" s="2"/>
      <c r="B421" s="3"/>
      <c r="C421" s="3"/>
      <c r="D421" s="3"/>
      <c r="E421" s="4"/>
      <c r="F421" s="3"/>
      <c r="G421" s="5"/>
      <c r="H421" s="3"/>
      <c r="I421" s="5"/>
      <c r="J421" s="3"/>
      <c r="K421" s="5"/>
      <c r="L421" s="3"/>
      <c r="M421" s="5"/>
      <c r="N421" s="5"/>
    </row>
    <row r="422">
      <c r="A422" s="2"/>
      <c r="B422" s="3"/>
      <c r="C422" s="3"/>
      <c r="D422" s="3"/>
      <c r="E422" s="4"/>
      <c r="F422" s="3"/>
      <c r="G422" s="5"/>
      <c r="H422" s="3"/>
      <c r="I422" s="5"/>
      <c r="J422" s="3"/>
      <c r="K422" s="5"/>
      <c r="L422" s="3"/>
      <c r="M422" s="5"/>
      <c r="N422" s="5"/>
    </row>
    <row r="423">
      <c r="A423" s="2"/>
      <c r="B423" s="3"/>
      <c r="C423" s="3"/>
      <c r="D423" s="3"/>
      <c r="E423" s="4"/>
      <c r="F423" s="3"/>
      <c r="G423" s="5"/>
      <c r="H423" s="3"/>
      <c r="I423" s="5"/>
      <c r="J423" s="3"/>
      <c r="K423" s="5"/>
      <c r="L423" s="3"/>
      <c r="M423" s="5"/>
      <c r="N423" s="5"/>
    </row>
    <row r="424">
      <c r="A424" s="2"/>
      <c r="B424" s="3"/>
      <c r="C424" s="3"/>
      <c r="D424" s="3"/>
      <c r="E424" s="4"/>
      <c r="F424" s="3"/>
      <c r="G424" s="5"/>
      <c r="H424" s="3"/>
      <c r="I424" s="5"/>
      <c r="J424" s="3"/>
      <c r="K424" s="5"/>
      <c r="L424" s="3"/>
      <c r="M424" s="5"/>
      <c r="N424" s="5"/>
    </row>
    <row r="425">
      <c r="A425" s="2"/>
      <c r="B425" s="3"/>
      <c r="C425" s="3"/>
      <c r="D425" s="3"/>
      <c r="E425" s="4"/>
      <c r="F425" s="3"/>
      <c r="G425" s="5"/>
      <c r="H425" s="3"/>
      <c r="I425" s="5"/>
      <c r="J425" s="3"/>
      <c r="K425" s="5"/>
      <c r="L425" s="3"/>
      <c r="M425" s="5"/>
      <c r="N425" s="5"/>
    </row>
    <row r="426">
      <c r="A426" s="2"/>
      <c r="B426" s="3"/>
      <c r="C426" s="3"/>
      <c r="D426" s="3"/>
      <c r="E426" s="4"/>
      <c r="F426" s="3"/>
      <c r="G426" s="5"/>
      <c r="H426" s="3"/>
      <c r="I426" s="5"/>
      <c r="J426" s="3"/>
      <c r="K426" s="5"/>
      <c r="L426" s="3"/>
      <c r="M426" s="5"/>
      <c r="N426" s="5"/>
    </row>
    <row r="427">
      <c r="A427" s="2"/>
      <c r="B427" s="3"/>
      <c r="C427" s="3"/>
      <c r="D427" s="3"/>
      <c r="E427" s="4"/>
      <c r="F427" s="3"/>
      <c r="G427" s="5"/>
      <c r="H427" s="3"/>
      <c r="I427" s="5"/>
      <c r="J427" s="3"/>
      <c r="K427" s="5"/>
      <c r="L427" s="3"/>
      <c r="M427" s="5"/>
      <c r="N427" s="5"/>
    </row>
    <row r="428">
      <c r="A428" s="2"/>
      <c r="B428" s="3"/>
      <c r="C428" s="3"/>
      <c r="D428" s="3"/>
      <c r="E428" s="4"/>
      <c r="F428" s="3"/>
      <c r="G428" s="5"/>
      <c r="H428" s="3"/>
      <c r="I428" s="5"/>
      <c r="J428" s="3"/>
      <c r="K428" s="5"/>
      <c r="L428" s="3"/>
      <c r="M428" s="5"/>
      <c r="N428" s="5"/>
    </row>
    <row r="429">
      <c r="A429" s="2"/>
      <c r="B429" s="3"/>
      <c r="C429" s="3"/>
      <c r="D429" s="3"/>
      <c r="E429" s="4"/>
      <c r="F429" s="3"/>
      <c r="G429" s="5"/>
      <c r="H429" s="3"/>
      <c r="I429" s="5"/>
      <c r="J429" s="3"/>
      <c r="K429" s="5"/>
      <c r="L429" s="3"/>
      <c r="M429" s="5"/>
      <c r="N429" s="5"/>
    </row>
    <row r="430">
      <c r="A430" s="2"/>
      <c r="B430" s="3"/>
      <c r="C430" s="3"/>
      <c r="D430" s="3"/>
      <c r="E430" s="4"/>
      <c r="F430" s="3"/>
      <c r="G430" s="5"/>
      <c r="H430" s="3"/>
      <c r="I430" s="5"/>
      <c r="J430" s="3"/>
      <c r="K430" s="5"/>
      <c r="L430" s="3"/>
      <c r="M430" s="5"/>
      <c r="N430" s="5"/>
    </row>
    <row r="431">
      <c r="A431" s="2"/>
      <c r="B431" s="3"/>
      <c r="C431" s="3"/>
      <c r="D431" s="3"/>
      <c r="E431" s="4"/>
      <c r="F431" s="3"/>
      <c r="G431" s="5"/>
      <c r="H431" s="3"/>
      <c r="I431" s="5"/>
      <c r="J431" s="3"/>
      <c r="K431" s="5"/>
      <c r="L431" s="3"/>
      <c r="M431" s="5"/>
      <c r="N431" s="5"/>
    </row>
    <row r="432">
      <c r="A432" s="2"/>
      <c r="B432" s="3"/>
      <c r="C432" s="3"/>
      <c r="D432" s="3"/>
      <c r="E432" s="4"/>
      <c r="F432" s="3"/>
      <c r="G432" s="5"/>
      <c r="H432" s="3"/>
      <c r="I432" s="5"/>
      <c r="J432" s="3"/>
      <c r="K432" s="5"/>
      <c r="L432" s="3"/>
      <c r="M432" s="5"/>
      <c r="N432" s="5"/>
    </row>
    <row r="433">
      <c r="A433" s="2"/>
      <c r="B433" s="3"/>
      <c r="C433" s="3"/>
      <c r="D433" s="3"/>
      <c r="E433" s="4"/>
      <c r="F433" s="3"/>
      <c r="G433" s="5"/>
      <c r="H433" s="3"/>
      <c r="I433" s="5"/>
      <c r="J433" s="3"/>
      <c r="K433" s="5"/>
      <c r="L433" s="3"/>
      <c r="M433" s="5"/>
      <c r="N433" s="5"/>
    </row>
    <row r="434">
      <c r="A434" s="2"/>
      <c r="B434" s="3"/>
      <c r="C434" s="3"/>
      <c r="D434" s="3"/>
      <c r="E434" s="4"/>
      <c r="F434" s="3"/>
      <c r="G434" s="5"/>
      <c r="H434" s="3"/>
      <c r="I434" s="5"/>
      <c r="J434" s="3"/>
      <c r="K434" s="5"/>
      <c r="L434" s="3"/>
      <c r="M434" s="5"/>
      <c r="N434" s="5"/>
    </row>
    <row r="435">
      <c r="A435" s="2"/>
      <c r="B435" s="3"/>
      <c r="C435" s="3"/>
      <c r="D435" s="3"/>
      <c r="E435" s="4"/>
      <c r="F435" s="3"/>
      <c r="G435" s="5"/>
      <c r="H435" s="3"/>
      <c r="I435" s="5"/>
      <c r="J435" s="3"/>
      <c r="K435" s="5"/>
      <c r="L435" s="3"/>
      <c r="M435" s="5"/>
      <c r="N435" s="5"/>
    </row>
    <row r="436">
      <c r="A436" s="2"/>
      <c r="B436" s="3"/>
      <c r="C436" s="3"/>
      <c r="D436" s="3"/>
      <c r="E436" s="4"/>
      <c r="F436" s="3"/>
      <c r="G436" s="5"/>
      <c r="H436" s="3"/>
      <c r="I436" s="5"/>
      <c r="J436" s="3"/>
      <c r="K436" s="5"/>
      <c r="L436" s="3"/>
      <c r="M436" s="5"/>
      <c r="N436" s="5"/>
    </row>
    <row r="437">
      <c r="A437" s="2"/>
      <c r="B437" s="3"/>
      <c r="C437" s="3"/>
      <c r="D437" s="3"/>
      <c r="E437" s="4"/>
      <c r="F437" s="3"/>
      <c r="G437" s="5"/>
      <c r="H437" s="3"/>
      <c r="I437" s="5"/>
      <c r="J437" s="3"/>
      <c r="K437" s="5"/>
      <c r="L437" s="3"/>
      <c r="M437" s="5"/>
      <c r="N437" s="5"/>
    </row>
    <row r="438">
      <c r="A438" s="2"/>
      <c r="B438" s="3"/>
      <c r="C438" s="3"/>
      <c r="D438" s="3"/>
      <c r="E438" s="4"/>
      <c r="F438" s="3"/>
      <c r="G438" s="5"/>
      <c r="H438" s="3"/>
      <c r="I438" s="5"/>
      <c r="J438" s="3"/>
      <c r="K438" s="5"/>
      <c r="L438" s="3"/>
      <c r="M438" s="5"/>
      <c r="N438" s="5"/>
    </row>
    <row r="439">
      <c r="A439" s="2"/>
      <c r="B439" s="3"/>
      <c r="C439" s="3"/>
      <c r="D439" s="3"/>
      <c r="E439" s="4"/>
      <c r="F439" s="3"/>
      <c r="G439" s="5"/>
      <c r="H439" s="3"/>
      <c r="I439" s="5"/>
      <c r="J439" s="3"/>
      <c r="K439" s="5"/>
      <c r="L439" s="3"/>
      <c r="M439" s="5"/>
      <c r="N439" s="5"/>
    </row>
    <row r="440">
      <c r="A440" s="2"/>
      <c r="B440" s="3"/>
      <c r="C440" s="3"/>
      <c r="D440" s="3"/>
      <c r="E440" s="4"/>
      <c r="F440" s="3"/>
      <c r="G440" s="5"/>
      <c r="H440" s="3"/>
      <c r="I440" s="5"/>
      <c r="J440" s="3"/>
      <c r="K440" s="5"/>
      <c r="L440" s="3"/>
      <c r="M440" s="5"/>
      <c r="N440" s="5"/>
    </row>
    <row r="441">
      <c r="A441" s="2"/>
      <c r="B441" s="3"/>
      <c r="C441" s="3"/>
      <c r="D441" s="3"/>
      <c r="E441" s="4"/>
      <c r="F441" s="3"/>
      <c r="G441" s="5"/>
      <c r="H441" s="3"/>
      <c r="I441" s="5"/>
      <c r="J441" s="3"/>
      <c r="K441" s="5"/>
      <c r="L441" s="3"/>
      <c r="M441" s="5"/>
      <c r="N441" s="5"/>
    </row>
    <row r="442">
      <c r="A442" s="2"/>
      <c r="B442" s="3"/>
      <c r="C442" s="3"/>
      <c r="D442" s="3"/>
      <c r="E442" s="4"/>
      <c r="F442" s="3"/>
      <c r="G442" s="5"/>
      <c r="H442" s="3"/>
      <c r="I442" s="5"/>
      <c r="J442" s="3"/>
      <c r="K442" s="5"/>
      <c r="L442" s="3"/>
      <c r="M442" s="5"/>
      <c r="N442" s="5"/>
    </row>
    <row r="443">
      <c r="A443" s="2"/>
      <c r="B443" s="3"/>
      <c r="C443" s="3"/>
      <c r="D443" s="3"/>
      <c r="E443" s="4"/>
      <c r="F443" s="3"/>
      <c r="G443" s="5"/>
      <c r="H443" s="3"/>
      <c r="I443" s="5"/>
      <c r="J443" s="3"/>
      <c r="K443" s="5"/>
      <c r="L443" s="3"/>
      <c r="M443" s="5"/>
      <c r="N443" s="5"/>
    </row>
    <row r="444">
      <c r="A444" s="2"/>
      <c r="B444" s="3"/>
      <c r="C444" s="3"/>
      <c r="D444" s="3"/>
      <c r="E444" s="4"/>
      <c r="F444" s="3"/>
      <c r="G444" s="5"/>
      <c r="H444" s="3"/>
      <c r="I444" s="5"/>
      <c r="J444" s="3"/>
      <c r="K444" s="5"/>
      <c r="L444" s="3"/>
      <c r="M444" s="5"/>
      <c r="N444" s="5"/>
    </row>
    <row r="445">
      <c r="A445" s="2"/>
      <c r="B445" s="3"/>
      <c r="C445" s="3"/>
      <c r="D445" s="3"/>
      <c r="E445" s="4"/>
      <c r="F445" s="3"/>
      <c r="G445" s="5"/>
      <c r="H445" s="3"/>
      <c r="I445" s="5"/>
      <c r="J445" s="3"/>
      <c r="K445" s="5"/>
      <c r="L445" s="3"/>
      <c r="M445" s="5"/>
      <c r="N445" s="5"/>
    </row>
    <row r="446">
      <c r="A446" s="2"/>
      <c r="B446" s="3"/>
      <c r="C446" s="3"/>
      <c r="D446" s="3"/>
      <c r="E446" s="4"/>
      <c r="F446" s="3"/>
      <c r="G446" s="5"/>
      <c r="H446" s="3"/>
      <c r="I446" s="5"/>
      <c r="J446" s="3"/>
      <c r="K446" s="5"/>
      <c r="L446" s="3"/>
      <c r="M446" s="5"/>
      <c r="N446" s="5"/>
    </row>
    <row r="447">
      <c r="A447" s="2"/>
      <c r="B447" s="3"/>
      <c r="C447" s="3"/>
      <c r="D447" s="3"/>
      <c r="E447" s="4"/>
      <c r="F447" s="3"/>
      <c r="G447" s="5"/>
      <c r="H447" s="3"/>
      <c r="I447" s="5"/>
      <c r="J447" s="3"/>
      <c r="K447" s="5"/>
      <c r="L447" s="3"/>
      <c r="M447" s="5"/>
      <c r="N447" s="5"/>
    </row>
    <row r="448">
      <c r="A448" s="2"/>
      <c r="B448" s="3"/>
      <c r="C448" s="3"/>
      <c r="D448" s="3"/>
      <c r="E448" s="4"/>
      <c r="F448" s="3"/>
      <c r="G448" s="5"/>
      <c r="H448" s="3"/>
      <c r="I448" s="5"/>
      <c r="J448" s="3"/>
      <c r="K448" s="5"/>
      <c r="L448" s="3"/>
      <c r="M448" s="5"/>
      <c r="N448" s="5"/>
    </row>
    <row r="449">
      <c r="A449" s="2"/>
      <c r="B449" s="3"/>
      <c r="C449" s="3"/>
      <c r="D449" s="3"/>
      <c r="E449" s="4"/>
      <c r="F449" s="3"/>
      <c r="G449" s="5"/>
      <c r="H449" s="3"/>
      <c r="I449" s="5"/>
      <c r="J449" s="3"/>
      <c r="K449" s="5"/>
      <c r="L449" s="3"/>
      <c r="M449" s="5"/>
      <c r="N449" s="5"/>
    </row>
    <row r="450">
      <c r="A450" s="2"/>
      <c r="B450" s="3"/>
      <c r="C450" s="3"/>
      <c r="D450" s="3"/>
      <c r="E450" s="4"/>
      <c r="F450" s="3"/>
      <c r="G450" s="5"/>
      <c r="H450" s="3"/>
      <c r="I450" s="5"/>
      <c r="J450" s="3"/>
      <c r="K450" s="5"/>
      <c r="L450" s="3"/>
      <c r="M450" s="5"/>
      <c r="N450" s="5"/>
    </row>
    <row r="451">
      <c r="A451" s="2"/>
      <c r="B451" s="3"/>
      <c r="C451" s="3"/>
      <c r="D451" s="3"/>
      <c r="E451" s="4"/>
      <c r="F451" s="3"/>
      <c r="G451" s="5"/>
      <c r="H451" s="3"/>
      <c r="I451" s="5"/>
      <c r="J451" s="3"/>
      <c r="K451" s="5"/>
      <c r="L451" s="3"/>
      <c r="M451" s="5"/>
      <c r="N451" s="5"/>
    </row>
    <row r="452">
      <c r="A452" s="2"/>
      <c r="B452" s="3"/>
      <c r="C452" s="3"/>
      <c r="D452" s="3"/>
      <c r="E452" s="4"/>
      <c r="F452" s="3"/>
      <c r="G452" s="5"/>
      <c r="H452" s="3"/>
      <c r="I452" s="5"/>
      <c r="J452" s="3"/>
      <c r="K452" s="5"/>
      <c r="L452" s="3"/>
      <c r="M452" s="5"/>
      <c r="N452" s="5"/>
    </row>
    <row r="453">
      <c r="A453" s="2"/>
      <c r="B453" s="3"/>
      <c r="C453" s="3"/>
      <c r="D453" s="3"/>
      <c r="E453" s="4"/>
      <c r="F453" s="3"/>
      <c r="G453" s="5"/>
      <c r="H453" s="3"/>
      <c r="I453" s="5"/>
      <c r="J453" s="3"/>
      <c r="K453" s="5"/>
      <c r="L453" s="3"/>
      <c r="M453" s="5"/>
      <c r="N453" s="5"/>
    </row>
    <row r="454">
      <c r="A454" s="2"/>
      <c r="B454" s="3"/>
      <c r="C454" s="3"/>
      <c r="D454" s="3"/>
      <c r="E454" s="4"/>
      <c r="F454" s="3"/>
      <c r="G454" s="5"/>
      <c r="H454" s="3"/>
      <c r="I454" s="5"/>
      <c r="J454" s="3"/>
      <c r="K454" s="5"/>
      <c r="L454" s="3"/>
      <c r="M454" s="5"/>
      <c r="N454" s="5"/>
    </row>
    <row r="455">
      <c r="A455" s="2"/>
      <c r="B455" s="3"/>
      <c r="C455" s="3"/>
      <c r="D455" s="3"/>
      <c r="E455" s="4"/>
      <c r="F455" s="3"/>
      <c r="G455" s="5"/>
      <c r="H455" s="3"/>
      <c r="I455" s="5"/>
      <c r="J455" s="3"/>
      <c r="K455" s="5"/>
      <c r="L455" s="3"/>
      <c r="M455" s="5"/>
      <c r="N455" s="5"/>
    </row>
    <row r="456">
      <c r="A456" s="2"/>
      <c r="B456" s="3"/>
      <c r="C456" s="3"/>
      <c r="D456" s="3"/>
      <c r="E456" s="4"/>
      <c r="F456" s="3"/>
      <c r="G456" s="5"/>
      <c r="H456" s="3"/>
      <c r="I456" s="5"/>
      <c r="J456" s="3"/>
      <c r="K456" s="5"/>
      <c r="L456" s="3"/>
      <c r="M456" s="5"/>
      <c r="N456" s="5"/>
    </row>
    <row r="457">
      <c r="A457" s="2"/>
      <c r="B457" s="3"/>
      <c r="C457" s="3"/>
      <c r="D457" s="3"/>
      <c r="E457" s="4"/>
      <c r="F457" s="3"/>
      <c r="G457" s="5"/>
      <c r="H457" s="3"/>
      <c r="I457" s="5"/>
      <c r="J457" s="3"/>
      <c r="K457" s="5"/>
      <c r="L457" s="3"/>
      <c r="M457" s="5"/>
      <c r="N457" s="5"/>
    </row>
    <row r="458">
      <c r="A458" s="2"/>
      <c r="B458" s="3"/>
      <c r="C458" s="3"/>
      <c r="D458" s="3"/>
      <c r="E458" s="4"/>
      <c r="F458" s="3"/>
      <c r="G458" s="5"/>
      <c r="H458" s="3"/>
      <c r="I458" s="5"/>
      <c r="J458" s="3"/>
      <c r="K458" s="5"/>
      <c r="L458" s="3"/>
      <c r="M458" s="5"/>
      <c r="N458" s="5"/>
    </row>
    <row r="459">
      <c r="A459" s="2"/>
      <c r="B459" s="3"/>
      <c r="C459" s="3"/>
      <c r="D459" s="3"/>
      <c r="E459" s="4"/>
      <c r="F459" s="3"/>
      <c r="G459" s="5"/>
      <c r="H459" s="3"/>
      <c r="I459" s="5"/>
      <c r="J459" s="3"/>
      <c r="K459" s="5"/>
      <c r="L459" s="3"/>
      <c r="M459" s="5"/>
      <c r="N459" s="5"/>
    </row>
    <row r="460">
      <c r="A460" s="2"/>
      <c r="B460" s="3"/>
      <c r="C460" s="3"/>
      <c r="D460" s="3"/>
      <c r="E460" s="4"/>
      <c r="F460" s="3"/>
      <c r="G460" s="5"/>
      <c r="H460" s="3"/>
      <c r="I460" s="5"/>
      <c r="J460" s="3"/>
      <c r="K460" s="5"/>
      <c r="L460" s="3"/>
      <c r="M460" s="5"/>
      <c r="N460" s="5"/>
    </row>
    <row r="461">
      <c r="A461" s="2"/>
      <c r="B461" s="3"/>
      <c r="C461" s="3"/>
      <c r="D461" s="3"/>
      <c r="E461" s="4"/>
      <c r="F461" s="3"/>
      <c r="G461" s="5"/>
      <c r="H461" s="3"/>
      <c r="I461" s="5"/>
      <c r="J461" s="3"/>
      <c r="K461" s="5"/>
      <c r="L461" s="3"/>
      <c r="M461" s="5"/>
      <c r="N461" s="5"/>
    </row>
    <row r="462">
      <c r="A462" s="2"/>
      <c r="B462" s="3"/>
      <c r="C462" s="3"/>
      <c r="D462" s="3"/>
      <c r="E462" s="4"/>
      <c r="F462" s="3"/>
      <c r="G462" s="5"/>
      <c r="H462" s="3"/>
      <c r="I462" s="5"/>
      <c r="J462" s="3"/>
      <c r="K462" s="5"/>
      <c r="L462" s="3"/>
      <c r="M462" s="5"/>
      <c r="N462" s="5"/>
    </row>
    <row r="463">
      <c r="A463" s="2"/>
      <c r="B463" s="3"/>
      <c r="C463" s="3"/>
      <c r="D463" s="3"/>
      <c r="E463" s="4"/>
      <c r="F463" s="3"/>
      <c r="G463" s="5"/>
      <c r="H463" s="3"/>
      <c r="I463" s="5"/>
      <c r="J463" s="3"/>
      <c r="K463" s="5"/>
      <c r="L463" s="3"/>
      <c r="M463" s="5"/>
      <c r="N463" s="5"/>
    </row>
    <row r="464">
      <c r="A464" s="2"/>
      <c r="B464" s="3"/>
      <c r="C464" s="3"/>
      <c r="D464" s="3"/>
      <c r="E464" s="4"/>
      <c r="F464" s="3"/>
      <c r="G464" s="5"/>
      <c r="H464" s="3"/>
      <c r="I464" s="5"/>
      <c r="J464" s="3"/>
      <c r="K464" s="5"/>
      <c r="L464" s="3"/>
      <c r="M464" s="5"/>
      <c r="N464" s="5"/>
    </row>
    <row r="465">
      <c r="A465" s="2"/>
      <c r="B465" s="3"/>
      <c r="C465" s="3"/>
      <c r="D465" s="3"/>
      <c r="E465" s="4"/>
      <c r="F465" s="3"/>
      <c r="G465" s="5"/>
      <c r="H465" s="3"/>
      <c r="I465" s="5"/>
      <c r="J465" s="3"/>
      <c r="K465" s="5"/>
      <c r="L465" s="3"/>
      <c r="M465" s="5"/>
      <c r="N465" s="5"/>
    </row>
    <row r="466">
      <c r="A466" s="2"/>
      <c r="B466" s="3"/>
      <c r="C466" s="3"/>
      <c r="D466" s="3"/>
      <c r="E466" s="4"/>
      <c r="F466" s="3"/>
      <c r="G466" s="5"/>
      <c r="H466" s="3"/>
      <c r="I466" s="5"/>
      <c r="J466" s="3"/>
      <c r="K466" s="5"/>
      <c r="L466" s="3"/>
      <c r="M466" s="5"/>
      <c r="N466" s="5"/>
    </row>
    <row r="467">
      <c r="A467" s="2"/>
      <c r="B467" s="3"/>
      <c r="C467" s="3"/>
      <c r="D467" s="3"/>
      <c r="E467" s="4"/>
      <c r="F467" s="3"/>
      <c r="G467" s="5"/>
      <c r="H467" s="3"/>
      <c r="I467" s="5"/>
      <c r="J467" s="3"/>
      <c r="K467" s="5"/>
      <c r="L467" s="3"/>
      <c r="M467" s="5"/>
      <c r="N467" s="5"/>
    </row>
    <row r="468">
      <c r="A468" s="2"/>
      <c r="B468" s="3"/>
      <c r="C468" s="3"/>
      <c r="D468" s="3"/>
      <c r="E468" s="4"/>
      <c r="F468" s="3"/>
      <c r="G468" s="5"/>
      <c r="H468" s="3"/>
      <c r="I468" s="5"/>
      <c r="J468" s="3"/>
      <c r="K468" s="5"/>
      <c r="L468" s="3"/>
      <c r="M468" s="5"/>
      <c r="N468" s="5"/>
    </row>
    <row r="469">
      <c r="A469" s="2"/>
      <c r="B469" s="3"/>
      <c r="C469" s="3"/>
      <c r="D469" s="3"/>
      <c r="E469" s="4"/>
      <c r="F469" s="3"/>
      <c r="G469" s="5"/>
      <c r="H469" s="3"/>
      <c r="I469" s="5"/>
      <c r="J469" s="3"/>
      <c r="K469" s="5"/>
      <c r="L469" s="3"/>
      <c r="M469" s="5"/>
      <c r="N469" s="5"/>
    </row>
    <row r="470">
      <c r="A470" s="2"/>
      <c r="B470" s="3"/>
      <c r="C470" s="3"/>
      <c r="D470" s="3"/>
      <c r="E470" s="4"/>
      <c r="F470" s="3"/>
      <c r="G470" s="5"/>
      <c r="H470" s="3"/>
      <c r="I470" s="5"/>
      <c r="J470" s="3"/>
      <c r="K470" s="5"/>
      <c r="L470" s="3"/>
      <c r="M470" s="5"/>
      <c r="N470" s="5"/>
    </row>
    <row r="471">
      <c r="A471" s="2"/>
      <c r="B471" s="3"/>
      <c r="C471" s="3"/>
      <c r="D471" s="3"/>
      <c r="E471" s="4"/>
      <c r="F471" s="3"/>
      <c r="G471" s="5"/>
      <c r="H471" s="3"/>
      <c r="I471" s="5"/>
      <c r="J471" s="3"/>
      <c r="K471" s="5"/>
      <c r="L471" s="3"/>
      <c r="M471" s="5"/>
      <c r="N471" s="5"/>
    </row>
    <row r="472">
      <c r="A472" s="2"/>
      <c r="B472" s="3"/>
      <c r="C472" s="3"/>
      <c r="D472" s="3"/>
      <c r="E472" s="4"/>
      <c r="F472" s="3"/>
      <c r="G472" s="5"/>
      <c r="H472" s="3"/>
      <c r="I472" s="5"/>
      <c r="J472" s="3"/>
      <c r="K472" s="5"/>
      <c r="L472" s="3"/>
      <c r="M472" s="5"/>
      <c r="N472" s="5"/>
    </row>
    <row r="473">
      <c r="A473" s="2"/>
      <c r="B473" s="3"/>
      <c r="C473" s="3"/>
      <c r="D473" s="3"/>
      <c r="E473" s="4"/>
      <c r="F473" s="3"/>
      <c r="G473" s="5"/>
      <c r="H473" s="3"/>
      <c r="I473" s="5"/>
      <c r="J473" s="3"/>
      <c r="K473" s="5"/>
      <c r="L473" s="3"/>
      <c r="M473" s="5"/>
      <c r="N473" s="5"/>
    </row>
    <row r="474">
      <c r="A474" s="2"/>
      <c r="B474" s="3"/>
      <c r="C474" s="3"/>
      <c r="D474" s="3"/>
      <c r="E474" s="4"/>
      <c r="F474" s="3"/>
      <c r="G474" s="5"/>
      <c r="H474" s="3"/>
      <c r="I474" s="5"/>
      <c r="J474" s="3"/>
      <c r="K474" s="5"/>
      <c r="L474" s="3"/>
      <c r="M474" s="5"/>
      <c r="N474" s="5"/>
    </row>
    <row r="475">
      <c r="A475" s="2"/>
      <c r="B475" s="3"/>
      <c r="C475" s="3"/>
      <c r="D475" s="3"/>
      <c r="E475" s="4"/>
      <c r="F475" s="3"/>
      <c r="G475" s="5"/>
      <c r="H475" s="3"/>
      <c r="I475" s="5"/>
      <c r="J475" s="3"/>
      <c r="K475" s="5"/>
      <c r="L475" s="3"/>
      <c r="M475" s="5"/>
      <c r="N475" s="5"/>
    </row>
    <row r="476">
      <c r="A476" s="2"/>
      <c r="B476" s="3"/>
      <c r="C476" s="3"/>
      <c r="D476" s="3"/>
      <c r="E476" s="4"/>
      <c r="F476" s="3"/>
      <c r="G476" s="5"/>
      <c r="H476" s="3"/>
      <c r="I476" s="5"/>
      <c r="J476" s="3"/>
      <c r="K476" s="5"/>
      <c r="L476" s="3"/>
      <c r="M476" s="5"/>
      <c r="N476" s="5"/>
    </row>
    <row r="477">
      <c r="A477" s="2"/>
      <c r="B477" s="3"/>
      <c r="C477" s="3"/>
      <c r="D477" s="3"/>
      <c r="E477" s="4"/>
      <c r="F477" s="3"/>
      <c r="G477" s="5"/>
      <c r="H477" s="3"/>
      <c r="I477" s="5"/>
      <c r="J477" s="3"/>
      <c r="K477" s="5"/>
      <c r="L477" s="3"/>
      <c r="M477" s="5"/>
      <c r="N477" s="5"/>
    </row>
    <row r="478">
      <c r="A478" s="2"/>
      <c r="B478" s="3"/>
      <c r="C478" s="3"/>
      <c r="D478" s="3"/>
      <c r="E478" s="4"/>
      <c r="F478" s="3"/>
      <c r="G478" s="5"/>
      <c r="H478" s="3"/>
      <c r="I478" s="5"/>
      <c r="J478" s="3"/>
      <c r="K478" s="5"/>
      <c r="L478" s="3"/>
      <c r="M478" s="5"/>
      <c r="N478" s="5"/>
    </row>
    <row r="479">
      <c r="A479" s="2"/>
      <c r="B479" s="3"/>
      <c r="C479" s="3"/>
      <c r="D479" s="3"/>
      <c r="E479" s="4"/>
      <c r="F479" s="3"/>
      <c r="G479" s="5"/>
      <c r="H479" s="3"/>
      <c r="I479" s="5"/>
      <c r="J479" s="3"/>
      <c r="K479" s="5"/>
      <c r="L479" s="3"/>
      <c r="M479" s="5"/>
      <c r="N479" s="5"/>
    </row>
    <row r="480">
      <c r="A480" s="2"/>
      <c r="B480" s="3"/>
      <c r="C480" s="3"/>
      <c r="D480" s="3"/>
      <c r="E480" s="4"/>
      <c r="F480" s="3"/>
      <c r="G480" s="5"/>
      <c r="H480" s="3"/>
      <c r="I480" s="5"/>
      <c r="J480" s="3"/>
      <c r="K480" s="5"/>
      <c r="L480" s="3"/>
      <c r="M480" s="5"/>
      <c r="N480" s="5"/>
    </row>
    <row r="481">
      <c r="A481" s="2"/>
      <c r="B481" s="3"/>
      <c r="C481" s="3"/>
      <c r="D481" s="3"/>
      <c r="E481" s="4"/>
      <c r="F481" s="3"/>
      <c r="G481" s="5"/>
      <c r="H481" s="3"/>
      <c r="I481" s="5"/>
      <c r="J481" s="3"/>
      <c r="K481" s="5"/>
      <c r="L481" s="3"/>
      <c r="M481" s="5"/>
      <c r="N481" s="5"/>
    </row>
    <row r="482">
      <c r="A482" s="2"/>
      <c r="B482" s="3"/>
      <c r="C482" s="3"/>
      <c r="D482" s="3"/>
      <c r="E482" s="4"/>
      <c r="F482" s="3"/>
      <c r="G482" s="5"/>
      <c r="H482" s="3"/>
      <c r="I482" s="5"/>
      <c r="J482" s="3"/>
      <c r="K482" s="5"/>
      <c r="L482" s="3"/>
      <c r="M482" s="5"/>
      <c r="N482" s="5"/>
    </row>
    <row r="483">
      <c r="A483" s="2"/>
      <c r="B483" s="3"/>
      <c r="C483" s="3"/>
      <c r="D483" s="3"/>
      <c r="E483" s="4"/>
      <c r="F483" s="3"/>
      <c r="G483" s="5"/>
      <c r="H483" s="3"/>
      <c r="I483" s="5"/>
      <c r="J483" s="3"/>
      <c r="K483" s="5"/>
      <c r="L483" s="3"/>
      <c r="M483" s="5"/>
      <c r="N483" s="5"/>
    </row>
    <row r="484">
      <c r="A484" s="2"/>
      <c r="B484" s="3"/>
      <c r="C484" s="3"/>
      <c r="D484" s="3"/>
      <c r="E484" s="4"/>
      <c r="F484" s="3"/>
      <c r="G484" s="5"/>
      <c r="H484" s="3"/>
      <c r="I484" s="5"/>
      <c r="J484" s="3"/>
      <c r="K484" s="5"/>
      <c r="L484" s="3"/>
      <c r="M484" s="5"/>
      <c r="N484" s="5"/>
    </row>
    <row r="485">
      <c r="A485" s="2"/>
      <c r="B485" s="3"/>
      <c r="C485" s="3"/>
      <c r="D485" s="3"/>
      <c r="E485" s="4"/>
      <c r="F485" s="3"/>
      <c r="G485" s="5"/>
      <c r="H485" s="3"/>
      <c r="I485" s="5"/>
      <c r="J485" s="3"/>
      <c r="K485" s="5"/>
      <c r="L485" s="3"/>
      <c r="M485" s="5"/>
      <c r="N485" s="5"/>
    </row>
    <row r="486">
      <c r="A486" s="2"/>
      <c r="B486" s="3"/>
      <c r="C486" s="3"/>
      <c r="D486" s="3"/>
      <c r="E486" s="4"/>
      <c r="F486" s="3"/>
      <c r="G486" s="5"/>
      <c r="H486" s="3"/>
      <c r="I486" s="5"/>
      <c r="J486" s="3"/>
      <c r="K486" s="5"/>
      <c r="L486" s="3"/>
      <c r="M486" s="5"/>
      <c r="N486" s="5"/>
    </row>
    <row r="487">
      <c r="A487" s="2"/>
      <c r="B487" s="3"/>
      <c r="C487" s="3"/>
      <c r="D487" s="3"/>
      <c r="E487" s="4"/>
      <c r="F487" s="3"/>
      <c r="G487" s="5"/>
      <c r="H487" s="3"/>
      <c r="I487" s="5"/>
      <c r="J487" s="3"/>
      <c r="K487" s="5"/>
      <c r="L487" s="3"/>
      <c r="M487" s="5"/>
      <c r="N487" s="5"/>
    </row>
    <row r="488">
      <c r="A488" s="2"/>
      <c r="B488" s="3"/>
      <c r="C488" s="3"/>
      <c r="D488" s="3"/>
      <c r="E488" s="4"/>
      <c r="F488" s="3"/>
      <c r="G488" s="5"/>
      <c r="H488" s="3"/>
      <c r="I488" s="5"/>
      <c r="J488" s="3"/>
      <c r="K488" s="5"/>
      <c r="L488" s="3"/>
      <c r="M488" s="5"/>
      <c r="N488" s="5"/>
    </row>
    <row r="489">
      <c r="A489" s="2"/>
      <c r="B489" s="3"/>
      <c r="C489" s="3"/>
      <c r="D489" s="3"/>
      <c r="E489" s="4"/>
      <c r="F489" s="3"/>
      <c r="G489" s="5"/>
      <c r="H489" s="3"/>
      <c r="I489" s="5"/>
      <c r="J489" s="3"/>
      <c r="K489" s="5"/>
      <c r="L489" s="3"/>
      <c r="M489" s="5"/>
      <c r="N489" s="5"/>
    </row>
    <row r="490">
      <c r="A490" s="2"/>
      <c r="B490" s="3"/>
      <c r="C490" s="3"/>
      <c r="D490" s="3"/>
      <c r="E490" s="4"/>
      <c r="F490" s="3"/>
      <c r="G490" s="5"/>
      <c r="H490" s="3"/>
      <c r="I490" s="5"/>
      <c r="J490" s="3"/>
      <c r="K490" s="5"/>
      <c r="L490" s="3"/>
      <c r="M490" s="5"/>
      <c r="N490" s="5"/>
    </row>
    <row r="491">
      <c r="A491" s="2"/>
      <c r="B491" s="3"/>
      <c r="C491" s="3"/>
      <c r="D491" s="3"/>
      <c r="E491" s="4"/>
      <c r="F491" s="3"/>
      <c r="G491" s="5"/>
      <c r="H491" s="3"/>
      <c r="I491" s="5"/>
      <c r="J491" s="3"/>
      <c r="K491" s="5"/>
      <c r="L491" s="3"/>
      <c r="M491" s="5"/>
      <c r="N491" s="5"/>
    </row>
    <row r="492">
      <c r="A492" s="2"/>
      <c r="B492" s="3"/>
      <c r="C492" s="3"/>
      <c r="D492" s="3"/>
      <c r="E492" s="4"/>
      <c r="F492" s="3"/>
      <c r="G492" s="5"/>
      <c r="H492" s="3"/>
      <c r="I492" s="5"/>
      <c r="J492" s="3"/>
      <c r="K492" s="5"/>
      <c r="L492" s="3"/>
      <c r="M492" s="5"/>
      <c r="N492" s="5"/>
    </row>
    <row r="493">
      <c r="A493" s="2"/>
      <c r="B493" s="3"/>
      <c r="C493" s="3"/>
      <c r="D493" s="3"/>
      <c r="E493" s="4"/>
      <c r="F493" s="3"/>
      <c r="G493" s="5"/>
      <c r="H493" s="3"/>
      <c r="I493" s="5"/>
      <c r="J493" s="3"/>
      <c r="K493" s="5"/>
      <c r="L493" s="3"/>
      <c r="M493" s="5"/>
      <c r="N493" s="5"/>
    </row>
    <row r="494">
      <c r="A494" s="2"/>
      <c r="B494" s="3"/>
      <c r="C494" s="3"/>
      <c r="D494" s="3"/>
      <c r="E494" s="4"/>
      <c r="F494" s="3"/>
      <c r="G494" s="5"/>
      <c r="H494" s="3"/>
      <c r="I494" s="5"/>
      <c r="J494" s="3"/>
      <c r="K494" s="5"/>
      <c r="L494" s="3"/>
      <c r="M494" s="5"/>
      <c r="N494" s="5"/>
    </row>
    <row r="495">
      <c r="A495" s="2"/>
      <c r="B495" s="3"/>
      <c r="C495" s="3"/>
      <c r="D495" s="3"/>
      <c r="E495" s="4"/>
      <c r="F495" s="3"/>
      <c r="G495" s="5"/>
      <c r="H495" s="3"/>
      <c r="I495" s="5"/>
      <c r="J495" s="3"/>
      <c r="K495" s="5"/>
      <c r="L495" s="3"/>
      <c r="M495" s="5"/>
      <c r="N495" s="5"/>
    </row>
    <row r="496">
      <c r="A496" s="2"/>
      <c r="B496" s="3"/>
      <c r="C496" s="3"/>
      <c r="D496" s="3"/>
      <c r="E496" s="4"/>
      <c r="F496" s="3"/>
      <c r="G496" s="5"/>
      <c r="H496" s="3"/>
      <c r="I496" s="5"/>
      <c r="J496" s="3"/>
      <c r="K496" s="5"/>
      <c r="L496" s="3"/>
      <c r="M496" s="5"/>
      <c r="N496" s="5"/>
    </row>
    <row r="497">
      <c r="A497" s="2"/>
      <c r="B497" s="3"/>
      <c r="C497" s="3"/>
      <c r="D497" s="3"/>
      <c r="E497" s="4"/>
      <c r="F497" s="3"/>
      <c r="G497" s="5"/>
      <c r="H497" s="3"/>
      <c r="I497" s="5"/>
      <c r="J497" s="3"/>
      <c r="K497" s="5"/>
      <c r="L497" s="3"/>
      <c r="M497" s="5"/>
      <c r="N497" s="5"/>
    </row>
    <row r="498">
      <c r="A498" s="2"/>
      <c r="B498" s="3"/>
      <c r="C498" s="3"/>
      <c r="D498" s="3"/>
      <c r="E498" s="4"/>
      <c r="F498" s="3"/>
      <c r="G498" s="5"/>
      <c r="H498" s="3"/>
      <c r="I498" s="5"/>
      <c r="J498" s="3"/>
      <c r="K498" s="5"/>
      <c r="L498" s="3"/>
      <c r="M498" s="5"/>
      <c r="N498" s="5"/>
    </row>
    <row r="499">
      <c r="A499" s="2"/>
      <c r="B499" s="3"/>
      <c r="C499" s="3"/>
      <c r="D499" s="3"/>
      <c r="E499" s="4"/>
      <c r="F499" s="3"/>
      <c r="G499" s="5"/>
      <c r="H499" s="3"/>
      <c r="I499" s="5"/>
      <c r="J499" s="3"/>
      <c r="K499" s="5"/>
      <c r="L499" s="3"/>
      <c r="M499" s="5"/>
      <c r="N499" s="5"/>
    </row>
    <row r="500">
      <c r="A500" s="2"/>
      <c r="B500" s="3"/>
      <c r="C500" s="3"/>
      <c r="D500" s="3"/>
      <c r="E500" s="4"/>
      <c r="F500" s="3"/>
      <c r="G500" s="5"/>
      <c r="H500" s="3"/>
      <c r="I500" s="5"/>
      <c r="J500" s="3"/>
      <c r="K500" s="5"/>
      <c r="L500" s="3"/>
      <c r="M500" s="5"/>
      <c r="N500" s="5"/>
    </row>
    <row r="501">
      <c r="A501" s="2"/>
      <c r="B501" s="3"/>
      <c r="C501" s="3"/>
      <c r="D501" s="3"/>
      <c r="E501" s="4"/>
      <c r="F501" s="3"/>
      <c r="G501" s="5"/>
      <c r="H501" s="3"/>
      <c r="I501" s="5"/>
      <c r="J501" s="3"/>
      <c r="K501" s="5"/>
      <c r="L501" s="3"/>
      <c r="M501" s="5"/>
      <c r="N501" s="5"/>
    </row>
    <row r="502">
      <c r="A502" s="2"/>
      <c r="B502" s="3"/>
      <c r="C502" s="3"/>
      <c r="D502" s="3"/>
      <c r="E502" s="4"/>
      <c r="F502" s="3"/>
      <c r="G502" s="5"/>
      <c r="H502" s="3"/>
      <c r="I502" s="5"/>
      <c r="J502" s="3"/>
      <c r="K502" s="5"/>
      <c r="L502" s="3"/>
      <c r="M502" s="5"/>
      <c r="N502" s="5"/>
    </row>
    <row r="503">
      <c r="A503" s="2"/>
      <c r="B503" s="3"/>
      <c r="C503" s="3"/>
      <c r="D503" s="3"/>
      <c r="E503" s="4"/>
      <c r="F503" s="3"/>
      <c r="G503" s="5"/>
      <c r="H503" s="3"/>
      <c r="I503" s="5"/>
      <c r="J503" s="3"/>
      <c r="K503" s="5"/>
      <c r="L503" s="3"/>
      <c r="M503" s="5"/>
      <c r="N503" s="5"/>
    </row>
    <row r="504">
      <c r="A504" s="2"/>
      <c r="B504" s="3"/>
      <c r="C504" s="3"/>
      <c r="D504" s="3"/>
      <c r="E504" s="4"/>
      <c r="F504" s="3"/>
      <c r="G504" s="5"/>
      <c r="H504" s="3"/>
      <c r="I504" s="5"/>
      <c r="J504" s="3"/>
      <c r="K504" s="5"/>
      <c r="L504" s="3"/>
      <c r="M504" s="5"/>
      <c r="N504" s="5"/>
    </row>
    <row r="505">
      <c r="A505" s="2"/>
      <c r="B505" s="3"/>
      <c r="C505" s="3"/>
      <c r="D505" s="3"/>
      <c r="E505" s="4"/>
      <c r="F505" s="3"/>
      <c r="G505" s="5"/>
      <c r="H505" s="3"/>
      <c r="I505" s="5"/>
      <c r="J505" s="3"/>
      <c r="K505" s="5"/>
      <c r="L505" s="3"/>
      <c r="M505" s="5"/>
      <c r="N505" s="5"/>
    </row>
    <row r="506">
      <c r="A506" s="2"/>
      <c r="B506" s="3"/>
      <c r="C506" s="3"/>
      <c r="D506" s="3"/>
      <c r="E506" s="4"/>
      <c r="F506" s="3"/>
      <c r="G506" s="5"/>
      <c r="H506" s="3"/>
      <c r="I506" s="5"/>
      <c r="J506" s="3"/>
      <c r="K506" s="5"/>
      <c r="L506" s="3"/>
      <c r="M506" s="5"/>
      <c r="N506" s="5"/>
    </row>
    <row r="507">
      <c r="A507" s="2"/>
      <c r="B507" s="3"/>
      <c r="C507" s="3"/>
      <c r="D507" s="3"/>
      <c r="E507" s="4"/>
      <c r="F507" s="3"/>
      <c r="G507" s="5"/>
      <c r="H507" s="3"/>
      <c r="I507" s="5"/>
      <c r="J507" s="3"/>
      <c r="K507" s="5"/>
      <c r="L507" s="3"/>
      <c r="M507" s="5"/>
      <c r="N507" s="5"/>
    </row>
    <row r="508">
      <c r="A508" s="2"/>
      <c r="B508" s="3"/>
      <c r="C508" s="3"/>
      <c r="D508" s="3"/>
      <c r="E508" s="4"/>
      <c r="F508" s="3"/>
      <c r="G508" s="5"/>
      <c r="H508" s="3"/>
      <c r="I508" s="5"/>
      <c r="J508" s="3"/>
      <c r="K508" s="5"/>
      <c r="L508" s="3"/>
      <c r="M508" s="5"/>
      <c r="N508" s="5"/>
    </row>
    <row r="509">
      <c r="A509" s="2"/>
      <c r="B509" s="3"/>
      <c r="C509" s="3"/>
      <c r="D509" s="3"/>
      <c r="E509" s="4"/>
      <c r="F509" s="3"/>
      <c r="G509" s="5"/>
      <c r="H509" s="3"/>
      <c r="I509" s="5"/>
      <c r="J509" s="3"/>
      <c r="K509" s="5"/>
      <c r="L509" s="3"/>
      <c r="M509" s="5"/>
      <c r="N509" s="5"/>
    </row>
    <row r="510">
      <c r="A510" s="2"/>
      <c r="B510" s="3"/>
      <c r="C510" s="3"/>
      <c r="D510" s="3"/>
      <c r="E510" s="4"/>
      <c r="F510" s="3"/>
      <c r="G510" s="5"/>
      <c r="H510" s="3"/>
      <c r="I510" s="5"/>
      <c r="J510" s="3"/>
      <c r="K510" s="5"/>
      <c r="L510" s="3"/>
      <c r="M510" s="5"/>
      <c r="N510" s="5"/>
    </row>
    <row r="511">
      <c r="A511" s="2"/>
      <c r="B511" s="3"/>
      <c r="C511" s="3"/>
      <c r="D511" s="3"/>
      <c r="E511" s="4"/>
      <c r="F511" s="3"/>
      <c r="G511" s="5"/>
      <c r="H511" s="3"/>
      <c r="I511" s="5"/>
      <c r="J511" s="3"/>
      <c r="K511" s="5"/>
      <c r="L511" s="3"/>
      <c r="M511" s="5"/>
      <c r="N511" s="5"/>
    </row>
    <row r="512">
      <c r="A512" s="2"/>
      <c r="B512" s="3"/>
      <c r="C512" s="3"/>
      <c r="D512" s="3"/>
      <c r="E512" s="4"/>
      <c r="F512" s="3"/>
      <c r="G512" s="5"/>
      <c r="H512" s="3"/>
      <c r="I512" s="5"/>
      <c r="J512" s="3"/>
      <c r="K512" s="5"/>
      <c r="L512" s="3"/>
      <c r="M512" s="5"/>
      <c r="N512" s="5"/>
    </row>
    <row r="513">
      <c r="A513" s="2"/>
      <c r="B513" s="3"/>
      <c r="C513" s="3"/>
      <c r="D513" s="3"/>
      <c r="E513" s="4"/>
      <c r="F513" s="3"/>
      <c r="G513" s="5"/>
      <c r="H513" s="3"/>
      <c r="I513" s="5"/>
      <c r="J513" s="3"/>
      <c r="K513" s="5"/>
      <c r="L513" s="3"/>
      <c r="M513" s="5"/>
      <c r="N513" s="5"/>
    </row>
    <row r="514">
      <c r="A514" s="2"/>
      <c r="B514" s="3"/>
      <c r="C514" s="3"/>
      <c r="D514" s="3"/>
      <c r="E514" s="4"/>
      <c r="F514" s="3"/>
      <c r="G514" s="5"/>
      <c r="H514" s="3"/>
      <c r="I514" s="5"/>
      <c r="J514" s="3"/>
      <c r="K514" s="5"/>
      <c r="L514" s="3"/>
      <c r="M514" s="5"/>
      <c r="N514" s="5"/>
    </row>
    <row r="515">
      <c r="A515" s="2"/>
      <c r="B515" s="3"/>
      <c r="C515" s="3"/>
      <c r="D515" s="3"/>
      <c r="E515" s="4"/>
      <c r="F515" s="3"/>
      <c r="G515" s="5"/>
      <c r="H515" s="3"/>
      <c r="I515" s="5"/>
      <c r="J515" s="3"/>
      <c r="K515" s="5"/>
      <c r="L515" s="3"/>
      <c r="M515" s="5"/>
      <c r="N515" s="5"/>
    </row>
    <row r="516">
      <c r="A516" s="2"/>
      <c r="B516" s="3"/>
      <c r="C516" s="3"/>
      <c r="D516" s="3"/>
      <c r="E516" s="4"/>
      <c r="F516" s="3"/>
      <c r="G516" s="5"/>
      <c r="H516" s="3"/>
      <c r="I516" s="5"/>
      <c r="J516" s="3"/>
      <c r="K516" s="5"/>
      <c r="L516" s="3"/>
      <c r="M516" s="5"/>
      <c r="N516" s="5"/>
    </row>
    <row r="517">
      <c r="A517" s="2"/>
      <c r="B517" s="3"/>
      <c r="C517" s="3"/>
      <c r="D517" s="3"/>
      <c r="E517" s="4"/>
      <c r="F517" s="3"/>
      <c r="G517" s="5"/>
      <c r="H517" s="3"/>
      <c r="I517" s="5"/>
      <c r="J517" s="3"/>
      <c r="K517" s="5"/>
      <c r="L517" s="3"/>
      <c r="M517" s="5"/>
      <c r="N517" s="5"/>
    </row>
    <row r="518">
      <c r="A518" s="2"/>
      <c r="B518" s="3"/>
      <c r="C518" s="3"/>
      <c r="D518" s="3"/>
      <c r="E518" s="4"/>
      <c r="F518" s="3"/>
      <c r="G518" s="5"/>
      <c r="H518" s="3"/>
      <c r="I518" s="5"/>
      <c r="J518" s="3"/>
      <c r="K518" s="5"/>
      <c r="L518" s="3"/>
      <c r="M518" s="5"/>
      <c r="N518" s="5"/>
    </row>
    <row r="519">
      <c r="A519" s="2"/>
      <c r="B519" s="3"/>
      <c r="C519" s="3"/>
      <c r="D519" s="3"/>
      <c r="E519" s="4"/>
      <c r="F519" s="3"/>
      <c r="G519" s="5"/>
      <c r="H519" s="3"/>
      <c r="I519" s="5"/>
      <c r="J519" s="3"/>
      <c r="K519" s="5"/>
      <c r="L519" s="3"/>
      <c r="M519" s="5"/>
      <c r="N519" s="5"/>
    </row>
    <row r="520">
      <c r="A520" s="2"/>
      <c r="B520" s="3"/>
      <c r="C520" s="3"/>
      <c r="D520" s="3"/>
      <c r="E520" s="4"/>
      <c r="F520" s="3"/>
      <c r="G520" s="5"/>
      <c r="H520" s="3"/>
      <c r="I520" s="5"/>
      <c r="J520" s="3"/>
      <c r="K520" s="5"/>
      <c r="L520" s="3"/>
      <c r="M520" s="5"/>
      <c r="N520" s="5"/>
    </row>
    <row r="521">
      <c r="A521" s="2"/>
      <c r="B521" s="3"/>
      <c r="C521" s="3"/>
      <c r="D521" s="3"/>
      <c r="E521" s="4"/>
      <c r="F521" s="3"/>
      <c r="G521" s="5"/>
      <c r="H521" s="3"/>
      <c r="I521" s="5"/>
      <c r="J521" s="3"/>
      <c r="K521" s="5"/>
      <c r="L521" s="3"/>
      <c r="M521" s="5"/>
      <c r="N521" s="5"/>
    </row>
    <row r="522">
      <c r="A522" s="2"/>
      <c r="B522" s="3"/>
      <c r="C522" s="3"/>
      <c r="D522" s="3"/>
      <c r="E522" s="4"/>
      <c r="F522" s="3"/>
      <c r="G522" s="5"/>
      <c r="H522" s="3"/>
      <c r="I522" s="5"/>
      <c r="J522" s="3"/>
      <c r="K522" s="5"/>
      <c r="L522" s="3"/>
      <c r="M522" s="5"/>
      <c r="N522" s="5"/>
    </row>
    <row r="523">
      <c r="A523" s="2"/>
      <c r="B523" s="3"/>
      <c r="C523" s="3"/>
      <c r="D523" s="3"/>
      <c r="E523" s="4"/>
      <c r="F523" s="3"/>
      <c r="G523" s="5"/>
      <c r="H523" s="3"/>
      <c r="I523" s="5"/>
      <c r="J523" s="3"/>
      <c r="K523" s="5"/>
      <c r="L523" s="3"/>
      <c r="M523" s="5"/>
      <c r="N523" s="5"/>
    </row>
    <row r="524">
      <c r="A524" s="2"/>
      <c r="B524" s="3"/>
      <c r="C524" s="3"/>
      <c r="D524" s="3"/>
      <c r="E524" s="4"/>
      <c r="F524" s="3"/>
      <c r="G524" s="5"/>
      <c r="H524" s="3"/>
      <c r="I524" s="5"/>
      <c r="J524" s="3"/>
      <c r="K524" s="5"/>
      <c r="L524" s="3"/>
      <c r="M524" s="5"/>
      <c r="N524" s="5"/>
    </row>
    <row r="525">
      <c r="A525" s="2"/>
      <c r="B525" s="3"/>
      <c r="C525" s="3"/>
      <c r="D525" s="3"/>
      <c r="E525" s="4"/>
      <c r="F525" s="3"/>
      <c r="G525" s="5"/>
      <c r="H525" s="3"/>
      <c r="I525" s="5"/>
      <c r="J525" s="3"/>
      <c r="K525" s="5"/>
      <c r="L525" s="3"/>
      <c r="M525" s="5"/>
      <c r="N525" s="5"/>
    </row>
    <row r="526">
      <c r="A526" s="2"/>
      <c r="B526" s="3"/>
      <c r="C526" s="3"/>
      <c r="D526" s="3"/>
      <c r="E526" s="4"/>
      <c r="F526" s="3"/>
      <c r="G526" s="5"/>
      <c r="H526" s="3"/>
      <c r="I526" s="5"/>
      <c r="J526" s="3"/>
      <c r="K526" s="5"/>
      <c r="L526" s="3"/>
      <c r="M526" s="5"/>
      <c r="N526" s="5"/>
    </row>
    <row r="527">
      <c r="A527" s="2"/>
      <c r="B527" s="3"/>
      <c r="C527" s="3"/>
      <c r="D527" s="3"/>
      <c r="E527" s="4"/>
      <c r="F527" s="3"/>
      <c r="G527" s="5"/>
      <c r="H527" s="3"/>
      <c r="I527" s="5"/>
      <c r="J527" s="3"/>
      <c r="K527" s="5"/>
      <c r="L527" s="3"/>
      <c r="M527" s="5"/>
      <c r="N527" s="5"/>
    </row>
    <row r="528">
      <c r="A528" s="2"/>
      <c r="B528" s="3"/>
      <c r="C528" s="3"/>
      <c r="D528" s="3"/>
      <c r="E528" s="4"/>
      <c r="F528" s="3"/>
      <c r="G528" s="5"/>
      <c r="H528" s="3"/>
      <c r="I528" s="5"/>
      <c r="J528" s="3"/>
      <c r="K528" s="5"/>
      <c r="L528" s="3"/>
      <c r="M528" s="5"/>
      <c r="N528" s="5"/>
    </row>
    <row r="529">
      <c r="A529" s="2"/>
      <c r="B529" s="3"/>
      <c r="C529" s="3"/>
      <c r="D529" s="3"/>
      <c r="E529" s="4"/>
      <c r="F529" s="3"/>
      <c r="G529" s="5"/>
      <c r="H529" s="3"/>
      <c r="I529" s="5"/>
      <c r="J529" s="3"/>
      <c r="K529" s="5"/>
      <c r="L529" s="3"/>
      <c r="M529" s="5"/>
      <c r="N529" s="5"/>
    </row>
    <row r="530">
      <c r="A530" s="2"/>
      <c r="B530" s="3"/>
      <c r="C530" s="3"/>
      <c r="D530" s="3"/>
      <c r="E530" s="4"/>
      <c r="F530" s="3"/>
      <c r="G530" s="5"/>
      <c r="H530" s="3"/>
      <c r="I530" s="5"/>
      <c r="J530" s="3"/>
      <c r="K530" s="5"/>
      <c r="L530" s="3"/>
      <c r="M530" s="5"/>
      <c r="N530" s="5"/>
    </row>
    <row r="531">
      <c r="A531" s="2"/>
      <c r="B531" s="3"/>
      <c r="C531" s="3"/>
      <c r="D531" s="3"/>
      <c r="E531" s="4"/>
      <c r="F531" s="3"/>
      <c r="G531" s="5"/>
      <c r="H531" s="3"/>
      <c r="I531" s="5"/>
      <c r="J531" s="3"/>
      <c r="K531" s="5"/>
      <c r="L531" s="3"/>
      <c r="M531" s="5"/>
      <c r="N531" s="5"/>
    </row>
    <row r="532">
      <c r="A532" s="2"/>
      <c r="B532" s="3"/>
      <c r="C532" s="3"/>
      <c r="D532" s="3"/>
      <c r="E532" s="4"/>
      <c r="F532" s="3"/>
      <c r="G532" s="5"/>
      <c r="H532" s="3"/>
      <c r="I532" s="5"/>
      <c r="J532" s="3"/>
      <c r="K532" s="5"/>
      <c r="L532" s="3"/>
      <c r="M532" s="5"/>
      <c r="N532" s="5"/>
    </row>
    <row r="533">
      <c r="A533" s="2"/>
      <c r="B533" s="3"/>
      <c r="C533" s="3"/>
      <c r="D533" s="3"/>
      <c r="E533" s="4"/>
      <c r="F533" s="3"/>
      <c r="G533" s="5"/>
      <c r="H533" s="3"/>
      <c r="I533" s="5"/>
      <c r="J533" s="3"/>
      <c r="K533" s="5"/>
      <c r="L533" s="3"/>
      <c r="M533" s="5"/>
      <c r="N533" s="5"/>
    </row>
    <row r="534">
      <c r="A534" s="2"/>
      <c r="B534" s="3"/>
      <c r="C534" s="3"/>
      <c r="D534" s="3"/>
      <c r="E534" s="4"/>
      <c r="F534" s="3"/>
      <c r="G534" s="5"/>
      <c r="H534" s="3"/>
      <c r="I534" s="5"/>
      <c r="J534" s="3"/>
      <c r="K534" s="5"/>
      <c r="L534" s="3"/>
      <c r="M534" s="5"/>
      <c r="N534" s="5"/>
    </row>
    <row r="535">
      <c r="A535" s="2"/>
      <c r="B535" s="3"/>
      <c r="C535" s="3"/>
      <c r="D535" s="3"/>
      <c r="E535" s="4"/>
      <c r="F535" s="3"/>
      <c r="G535" s="5"/>
      <c r="H535" s="3"/>
      <c r="I535" s="5"/>
      <c r="J535" s="3"/>
      <c r="K535" s="5"/>
      <c r="L535" s="3"/>
      <c r="M535" s="5"/>
      <c r="N535" s="5"/>
    </row>
    <row r="536">
      <c r="A536" s="2"/>
      <c r="B536" s="3"/>
      <c r="C536" s="3"/>
      <c r="D536" s="3"/>
      <c r="E536" s="4"/>
      <c r="F536" s="3"/>
      <c r="G536" s="5"/>
      <c r="H536" s="3"/>
      <c r="I536" s="5"/>
      <c r="J536" s="3"/>
      <c r="K536" s="5"/>
      <c r="L536" s="3"/>
      <c r="M536" s="5"/>
      <c r="N536" s="5"/>
    </row>
    <row r="537">
      <c r="A537" s="2"/>
      <c r="B537" s="3"/>
      <c r="C537" s="3"/>
      <c r="D537" s="3"/>
      <c r="E537" s="4"/>
      <c r="F537" s="3"/>
      <c r="G537" s="5"/>
      <c r="H537" s="3"/>
      <c r="I537" s="5"/>
      <c r="J537" s="3"/>
      <c r="K537" s="5"/>
      <c r="L537" s="3"/>
      <c r="M537" s="5"/>
      <c r="N537" s="5"/>
    </row>
    <row r="538">
      <c r="A538" s="2"/>
      <c r="B538" s="3"/>
      <c r="C538" s="3"/>
      <c r="D538" s="3"/>
      <c r="E538" s="4"/>
      <c r="F538" s="3"/>
      <c r="G538" s="5"/>
      <c r="H538" s="3"/>
      <c r="I538" s="5"/>
      <c r="J538" s="3"/>
      <c r="K538" s="5"/>
      <c r="L538" s="3"/>
      <c r="M538" s="5"/>
      <c r="N538" s="5"/>
    </row>
    <row r="539">
      <c r="A539" s="2"/>
      <c r="B539" s="3"/>
      <c r="C539" s="3"/>
      <c r="D539" s="3"/>
      <c r="E539" s="4"/>
      <c r="F539" s="3"/>
      <c r="G539" s="5"/>
      <c r="H539" s="3"/>
      <c r="I539" s="5"/>
      <c r="J539" s="3"/>
      <c r="K539" s="5"/>
      <c r="L539" s="3"/>
      <c r="M539" s="5"/>
      <c r="N539" s="5"/>
    </row>
    <row r="540">
      <c r="A540" s="2"/>
      <c r="B540" s="3"/>
      <c r="C540" s="3"/>
      <c r="D540" s="3"/>
      <c r="E540" s="4"/>
      <c r="F540" s="3"/>
      <c r="G540" s="5"/>
      <c r="H540" s="3"/>
      <c r="I540" s="5"/>
      <c r="J540" s="3"/>
      <c r="K540" s="5"/>
      <c r="L540" s="3"/>
      <c r="M540" s="5"/>
      <c r="N540" s="5"/>
    </row>
    <row r="541">
      <c r="A541" s="2"/>
      <c r="B541" s="3"/>
      <c r="C541" s="3"/>
      <c r="D541" s="3"/>
      <c r="E541" s="4"/>
      <c r="F541" s="3"/>
      <c r="G541" s="5"/>
      <c r="H541" s="3"/>
      <c r="I541" s="5"/>
      <c r="J541" s="3"/>
      <c r="K541" s="5"/>
      <c r="L541" s="3"/>
      <c r="M541" s="5"/>
      <c r="N541" s="5"/>
    </row>
    <row r="542">
      <c r="A542" s="2"/>
      <c r="B542" s="3"/>
      <c r="C542" s="3"/>
      <c r="D542" s="3"/>
      <c r="E542" s="4"/>
      <c r="F542" s="3"/>
      <c r="G542" s="5"/>
      <c r="H542" s="3"/>
      <c r="I542" s="5"/>
      <c r="J542" s="3"/>
      <c r="K542" s="5"/>
      <c r="L542" s="3"/>
      <c r="M542" s="5"/>
      <c r="N542" s="5"/>
    </row>
    <row r="543">
      <c r="A543" s="2"/>
      <c r="B543" s="3"/>
      <c r="C543" s="3"/>
      <c r="D543" s="3"/>
      <c r="E543" s="4"/>
      <c r="F543" s="3"/>
      <c r="G543" s="5"/>
      <c r="H543" s="3"/>
      <c r="I543" s="5"/>
      <c r="J543" s="3"/>
      <c r="K543" s="5"/>
      <c r="L543" s="3"/>
      <c r="M543" s="5"/>
      <c r="N543" s="5"/>
    </row>
    <row r="544">
      <c r="A544" s="2"/>
      <c r="B544" s="3"/>
      <c r="C544" s="3"/>
      <c r="D544" s="3"/>
      <c r="E544" s="4"/>
      <c r="F544" s="3"/>
      <c r="G544" s="5"/>
      <c r="H544" s="3"/>
      <c r="I544" s="5"/>
      <c r="J544" s="3"/>
      <c r="K544" s="5"/>
      <c r="L544" s="3"/>
      <c r="M544" s="5"/>
      <c r="N544" s="5"/>
    </row>
    <row r="545">
      <c r="A545" s="2"/>
      <c r="B545" s="3"/>
      <c r="C545" s="3"/>
      <c r="D545" s="3"/>
      <c r="E545" s="4"/>
      <c r="F545" s="3"/>
      <c r="G545" s="5"/>
      <c r="H545" s="3"/>
      <c r="I545" s="5"/>
      <c r="J545" s="3"/>
      <c r="K545" s="5"/>
      <c r="L545" s="3"/>
      <c r="M545" s="5"/>
      <c r="N545" s="5"/>
    </row>
    <row r="546">
      <c r="A546" s="2"/>
      <c r="B546" s="3"/>
      <c r="C546" s="3"/>
      <c r="D546" s="3"/>
      <c r="E546" s="4"/>
      <c r="F546" s="3"/>
      <c r="G546" s="5"/>
      <c r="H546" s="3"/>
      <c r="I546" s="5"/>
      <c r="J546" s="3"/>
      <c r="K546" s="5"/>
      <c r="L546" s="3"/>
      <c r="M546" s="5"/>
      <c r="N546" s="5"/>
    </row>
    <row r="547">
      <c r="A547" s="2"/>
      <c r="B547" s="3"/>
      <c r="C547" s="3"/>
      <c r="D547" s="3"/>
      <c r="E547" s="4"/>
      <c r="F547" s="3"/>
      <c r="G547" s="5"/>
      <c r="H547" s="3"/>
      <c r="I547" s="5"/>
      <c r="J547" s="3"/>
      <c r="K547" s="5"/>
      <c r="L547" s="3"/>
      <c r="M547" s="5"/>
      <c r="N547" s="5"/>
    </row>
    <row r="548">
      <c r="A548" s="2"/>
      <c r="B548" s="3"/>
      <c r="C548" s="3"/>
      <c r="D548" s="3"/>
      <c r="E548" s="4"/>
      <c r="F548" s="3"/>
      <c r="G548" s="5"/>
      <c r="H548" s="3"/>
      <c r="I548" s="5"/>
      <c r="J548" s="3"/>
      <c r="K548" s="5"/>
      <c r="L548" s="3"/>
      <c r="M548" s="5"/>
      <c r="N548" s="5"/>
    </row>
    <row r="549">
      <c r="A549" s="2"/>
      <c r="B549" s="3"/>
      <c r="C549" s="3"/>
      <c r="D549" s="3"/>
      <c r="E549" s="4"/>
      <c r="F549" s="3"/>
      <c r="G549" s="5"/>
      <c r="H549" s="3"/>
      <c r="I549" s="5"/>
      <c r="J549" s="3"/>
      <c r="K549" s="5"/>
      <c r="L549" s="3"/>
      <c r="M549" s="5"/>
      <c r="N549" s="5"/>
    </row>
    <row r="550">
      <c r="A550" s="2"/>
      <c r="B550" s="3"/>
      <c r="C550" s="3"/>
      <c r="D550" s="3"/>
      <c r="E550" s="4"/>
      <c r="F550" s="3"/>
      <c r="G550" s="5"/>
      <c r="H550" s="3"/>
      <c r="I550" s="5"/>
      <c r="J550" s="3"/>
      <c r="K550" s="5"/>
      <c r="L550" s="3"/>
      <c r="M550" s="5"/>
      <c r="N550" s="5"/>
    </row>
    <row r="551">
      <c r="A551" s="2"/>
      <c r="B551" s="3"/>
      <c r="C551" s="3"/>
      <c r="D551" s="3"/>
      <c r="E551" s="4"/>
      <c r="F551" s="3"/>
      <c r="G551" s="5"/>
      <c r="H551" s="3"/>
      <c r="I551" s="5"/>
      <c r="J551" s="3"/>
      <c r="K551" s="5"/>
      <c r="L551" s="3"/>
      <c r="M551" s="5"/>
      <c r="N551" s="5"/>
    </row>
    <row r="552">
      <c r="A552" s="2"/>
      <c r="B552" s="3"/>
      <c r="C552" s="3"/>
      <c r="D552" s="3"/>
      <c r="E552" s="4"/>
      <c r="F552" s="3"/>
      <c r="G552" s="5"/>
      <c r="H552" s="3"/>
      <c r="I552" s="5"/>
      <c r="J552" s="3"/>
      <c r="K552" s="5"/>
      <c r="L552" s="3"/>
      <c r="M552" s="5"/>
      <c r="N552" s="5"/>
    </row>
    <row r="553">
      <c r="A553" s="2"/>
      <c r="B553" s="3"/>
      <c r="C553" s="3"/>
      <c r="D553" s="3"/>
      <c r="E553" s="4"/>
      <c r="F553" s="3"/>
      <c r="G553" s="5"/>
      <c r="H553" s="3"/>
      <c r="I553" s="5"/>
      <c r="J553" s="3"/>
      <c r="K553" s="5"/>
      <c r="L553" s="3"/>
      <c r="M553" s="5"/>
      <c r="N553" s="5"/>
    </row>
    <row r="554">
      <c r="A554" s="2"/>
      <c r="B554" s="3"/>
      <c r="C554" s="3"/>
      <c r="D554" s="3"/>
      <c r="E554" s="4"/>
      <c r="F554" s="3"/>
      <c r="G554" s="5"/>
      <c r="H554" s="3"/>
      <c r="I554" s="5"/>
      <c r="J554" s="3"/>
      <c r="K554" s="5"/>
      <c r="L554" s="3"/>
      <c r="M554" s="5"/>
      <c r="N554" s="5"/>
    </row>
    <row r="555">
      <c r="A555" s="2"/>
      <c r="B555" s="3"/>
      <c r="C555" s="3"/>
      <c r="D555" s="3"/>
      <c r="E555" s="4"/>
      <c r="F555" s="3"/>
      <c r="G555" s="5"/>
      <c r="H555" s="3"/>
      <c r="I555" s="5"/>
      <c r="J555" s="3"/>
      <c r="K555" s="5"/>
      <c r="L555" s="3"/>
      <c r="M555" s="5"/>
      <c r="N555" s="5"/>
    </row>
    <row r="556">
      <c r="A556" s="2"/>
      <c r="B556" s="3"/>
      <c r="C556" s="3"/>
      <c r="D556" s="3"/>
      <c r="E556" s="4"/>
      <c r="F556" s="3"/>
      <c r="G556" s="5"/>
      <c r="H556" s="3"/>
      <c r="I556" s="5"/>
      <c r="J556" s="3"/>
      <c r="K556" s="5"/>
      <c r="L556" s="3"/>
      <c r="M556" s="5"/>
      <c r="N556" s="5"/>
    </row>
    <row r="557">
      <c r="A557" s="2"/>
      <c r="B557" s="3"/>
      <c r="C557" s="3"/>
      <c r="D557" s="3"/>
      <c r="E557" s="4"/>
      <c r="F557" s="3"/>
      <c r="G557" s="5"/>
      <c r="H557" s="3"/>
      <c r="I557" s="5"/>
      <c r="J557" s="3"/>
      <c r="K557" s="5"/>
      <c r="L557" s="3"/>
      <c r="M557" s="5"/>
      <c r="N557" s="5"/>
    </row>
    <row r="558">
      <c r="A558" s="2"/>
      <c r="B558" s="3"/>
      <c r="C558" s="3"/>
      <c r="D558" s="3"/>
      <c r="E558" s="4"/>
      <c r="F558" s="3"/>
      <c r="G558" s="5"/>
      <c r="H558" s="3"/>
      <c r="I558" s="5"/>
      <c r="J558" s="3"/>
      <c r="K558" s="5"/>
      <c r="L558" s="3"/>
      <c r="M558" s="5"/>
      <c r="N558" s="5"/>
    </row>
    <row r="559">
      <c r="A559" s="2"/>
      <c r="B559" s="3"/>
      <c r="C559" s="3"/>
      <c r="D559" s="3"/>
      <c r="E559" s="4"/>
      <c r="F559" s="3"/>
      <c r="G559" s="5"/>
      <c r="H559" s="3"/>
      <c r="I559" s="5"/>
      <c r="J559" s="3"/>
      <c r="K559" s="5"/>
      <c r="L559" s="3"/>
      <c r="M559" s="5"/>
      <c r="N559" s="5"/>
    </row>
    <row r="560">
      <c r="A560" s="2"/>
      <c r="B560" s="3"/>
      <c r="C560" s="3"/>
      <c r="D560" s="3"/>
      <c r="E560" s="4"/>
      <c r="F560" s="3"/>
      <c r="G560" s="5"/>
      <c r="H560" s="3"/>
      <c r="I560" s="5"/>
      <c r="J560" s="3"/>
      <c r="K560" s="5"/>
      <c r="L560" s="3"/>
      <c r="M560" s="5"/>
      <c r="N560" s="5"/>
    </row>
    <row r="561">
      <c r="A561" s="2"/>
      <c r="B561" s="3"/>
      <c r="C561" s="3"/>
      <c r="D561" s="3"/>
      <c r="E561" s="4"/>
      <c r="F561" s="3"/>
      <c r="G561" s="5"/>
      <c r="H561" s="3"/>
      <c r="I561" s="5"/>
      <c r="J561" s="3"/>
      <c r="K561" s="5"/>
      <c r="L561" s="3"/>
      <c r="M561" s="5"/>
      <c r="N561" s="5"/>
    </row>
    <row r="562">
      <c r="A562" s="2"/>
      <c r="B562" s="3"/>
      <c r="C562" s="3"/>
      <c r="D562" s="3"/>
      <c r="E562" s="4"/>
      <c r="F562" s="3"/>
      <c r="G562" s="5"/>
      <c r="H562" s="3"/>
      <c r="I562" s="5"/>
      <c r="J562" s="3"/>
      <c r="K562" s="5"/>
      <c r="L562" s="3"/>
      <c r="M562" s="5"/>
      <c r="N562" s="5"/>
    </row>
    <row r="563">
      <c r="A563" s="2"/>
      <c r="B563" s="3"/>
      <c r="C563" s="3"/>
      <c r="D563" s="3"/>
      <c r="E563" s="4"/>
      <c r="F563" s="3"/>
      <c r="G563" s="5"/>
      <c r="H563" s="3"/>
      <c r="I563" s="5"/>
      <c r="J563" s="3"/>
      <c r="K563" s="5"/>
      <c r="L563" s="3"/>
      <c r="M563" s="5"/>
      <c r="N563" s="5"/>
    </row>
    <row r="564">
      <c r="A564" s="2"/>
      <c r="B564" s="3"/>
      <c r="C564" s="3"/>
      <c r="D564" s="3"/>
      <c r="E564" s="4"/>
      <c r="F564" s="3"/>
      <c r="G564" s="5"/>
      <c r="H564" s="3"/>
      <c r="I564" s="5"/>
      <c r="J564" s="3"/>
      <c r="K564" s="5"/>
      <c r="L564" s="3"/>
      <c r="M564" s="5"/>
      <c r="N564" s="5"/>
    </row>
    <row r="565">
      <c r="A565" s="2"/>
      <c r="B565" s="3"/>
      <c r="C565" s="3"/>
      <c r="D565" s="3"/>
      <c r="E565" s="4"/>
      <c r="F565" s="3"/>
      <c r="G565" s="5"/>
      <c r="H565" s="3"/>
      <c r="I565" s="5"/>
      <c r="J565" s="3"/>
      <c r="K565" s="5"/>
      <c r="L565" s="3"/>
      <c r="M565" s="5"/>
      <c r="N565" s="5"/>
    </row>
    <row r="566">
      <c r="A566" s="2"/>
      <c r="B566" s="3"/>
      <c r="C566" s="3"/>
      <c r="D566" s="3"/>
      <c r="E566" s="4"/>
      <c r="F566" s="3"/>
      <c r="G566" s="5"/>
      <c r="H566" s="3"/>
      <c r="I566" s="5"/>
      <c r="J566" s="3"/>
      <c r="K566" s="5"/>
      <c r="L566" s="3"/>
      <c r="M566" s="5"/>
      <c r="N566" s="5"/>
    </row>
    <row r="567">
      <c r="A567" s="2"/>
      <c r="B567" s="3"/>
      <c r="C567" s="3"/>
      <c r="D567" s="3"/>
      <c r="E567" s="4"/>
      <c r="F567" s="3"/>
      <c r="G567" s="5"/>
      <c r="H567" s="3"/>
      <c r="I567" s="5"/>
      <c r="J567" s="3"/>
      <c r="K567" s="5"/>
      <c r="L567" s="3"/>
      <c r="M567" s="5"/>
      <c r="N567" s="5"/>
    </row>
    <row r="568">
      <c r="A568" s="2"/>
      <c r="B568" s="3"/>
      <c r="C568" s="3"/>
      <c r="D568" s="3"/>
      <c r="E568" s="4"/>
      <c r="F568" s="3"/>
      <c r="G568" s="5"/>
      <c r="H568" s="3"/>
      <c r="I568" s="5"/>
      <c r="J568" s="3"/>
      <c r="K568" s="5"/>
      <c r="L568" s="3"/>
      <c r="M568" s="5"/>
      <c r="N568" s="5"/>
    </row>
    <row r="569">
      <c r="A569" s="2"/>
      <c r="B569" s="3"/>
      <c r="C569" s="3"/>
      <c r="D569" s="3"/>
      <c r="E569" s="4"/>
      <c r="F569" s="3"/>
      <c r="G569" s="5"/>
      <c r="H569" s="3"/>
      <c r="I569" s="5"/>
      <c r="J569" s="3"/>
      <c r="K569" s="5"/>
      <c r="L569" s="3"/>
      <c r="M569" s="5"/>
      <c r="N569" s="5"/>
    </row>
    <row r="570">
      <c r="A570" s="2"/>
      <c r="B570" s="3"/>
      <c r="C570" s="3"/>
      <c r="D570" s="3"/>
      <c r="E570" s="4"/>
      <c r="F570" s="3"/>
      <c r="G570" s="5"/>
      <c r="H570" s="3"/>
      <c r="I570" s="5"/>
      <c r="J570" s="3"/>
      <c r="K570" s="5"/>
      <c r="L570" s="3"/>
      <c r="M570" s="5"/>
      <c r="N570" s="5"/>
    </row>
    <row r="571">
      <c r="A571" s="2"/>
      <c r="B571" s="3"/>
      <c r="C571" s="3"/>
      <c r="D571" s="3"/>
      <c r="E571" s="4"/>
      <c r="F571" s="3"/>
      <c r="G571" s="5"/>
      <c r="H571" s="3"/>
      <c r="I571" s="5"/>
      <c r="J571" s="3"/>
      <c r="K571" s="5"/>
      <c r="L571" s="3"/>
      <c r="M571" s="5"/>
      <c r="N571" s="5"/>
    </row>
    <row r="572">
      <c r="A572" s="2"/>
      <c r="B572" s="3"/>
      <c r="C572" s="3"/>
      <c r="D572" s="3"/>
      <c r="E572" s="4"/>
      <c r="F572" s="3"/>
      <c r="G572" s="5"/>
      <c r="H572" s="3"/>
      <c r="I572" s="5"/>
      <c r="J572" s="3"/>
      <c r="K572" s="5"/>
      <c r="L572" s="3"/>
      <c r="M572" s="5"/>
      <c r="N572" s="5"/>
    </row>
    <row r="573">
      <c r="A573" s="2"/>
      <c r="B573" s="3"/>
      <c r="C573" s="3"/>
      <c r="D573" s="3"/>
      <c r="E573" s="4"/>
      <c r="F573" s="3"/>
      <c r="G573" s="5"/>
      <c r="H573" s="3"/>
      <c r="I573" s="5"/>
      <c r="J573" s="3"/>
      <c r="K573" s="5"/>
      <c r="L573" s="3"/>
      <c r="M573" s="5"/>
      <c r="N573" s="5"/>
    </row>
    <row r="574">
      <c r="A574" s="2"/>
      <c r="B574" s="3"/>
      <c r="C574" s="3"/>
      <c r="D574" s="3"/>
      <c r="E574" s="4"/>
      <c r="F574" s="3"/>
      <c r="G574" s="5"/>
      <c r="H574" s="3"/>
      <c r="I574" s="5"/>
      <c r="J574" s="3"/>
      <c r="K574" s="5"/>
      <c r="L574" s="3"/>
      <c r="M574" s="5"/>
      <c r="N574" s="5"/>
    </row>
    <row r="575">
      <c r="A575" s="2"/>
      <c r="B575" s="3"/>
      <c r="C575" s="3"/>
      <c r="D575" s="3"/>
      <c r="E575" s="4"/>
      <c r="F575" s="3"/>
      <c r="G575" s="5"/>
      <c r="H575" s="3"/>
      <c r="I575" s="5"/>
      <c r="J575" s="3"/>
      <c r="K575" s="5"/>
      <c r="L575" s="3"/>
      <c r="M575" s="5"/>
      <c r="N575" s="5"/>
    </row>
    <row r="576">
      <c r="A576" s="2"/>
      <c r="B576" s="3"/>
      <c r="C576" s="3"/>
      <c r="D576" s="3"/>
      <c r="E576" s="4"/>
      <c r="F576" s="3"/>
      <c r="G576" s="5"/>
      <c r="H576" s="3"/>
      <c r="I576" s="5"/>
      <c r="J576" s="3"/>
      <c r="K576" s="5"/>
      <c r="L576" s="3"/>
      <c r="M576" s="5"/>
      <c r="N576" s="5"/>
    </row>
    <row r="577">
      <c r="A577" s="2"/>
      <c r="B577" s="3"/>
      <c r="C577" s="3"/>
      <c r="D577" s="3"/>
      <c r="E577" s="4"/>
      <c r="F577" s="3"/>
      <c r="G577" s="5"/>
      <c r="H577" s="3"/>
      <c r="I577" s="5"/>
      <c r="J577" s="3"/>
      <c r="K577" s="5"/>
      <c r="L577" s="3"/>
      <c r="M577" s="5"/>
      <c r="N577" s="5"/>
    </row>
    <row r="578">
      <c r="A578" s="2"/>
      <c r="B578" s="3"/>
      <c r="C578" s="3"/>
      <c r="D578" s="3"/>
      <c r="E578" s="4"/>
      <c r="F578" s="3"/>
      <c r="G578" s="5"/>
      <c r="H578" s="3"/>
      <c r="I578" s="5"/>
      <c r="J578" s="3"/>
      <c r="K578" s="5"/>
      <c r="L578" s="3"/>
      <c r="M578" s="5"/>
      <c r="N578" s="5"/>
    </row>
    <row r="579">
      <c r="A579" s="2"/>
      <c r="B579" s="3"/>
      <c r="C579" s="3"/>
      <c r="D579" s="3"/>
      <c r="E579" s="4"/>
      <c r="F579" s="3"/>
      <c r="G579" s="5"/>
      <c r="H579" s="3"/>
      <c r="I579" s="5"/>
      <c r="J579" s="3"/>
      <c r="K579" s="5"/>
      <c r="L579" s="3"/>
      <c r="M579" s="5"/>
      <c r="N579" s="5"/>
    </row>
    <row r="580">
      <c r="A580" s="2"/>
      <c r="B580" s="3"/>
      <c r="C580" s="3"/>
      <c r="D580" s="3"/>
      <c r="E580" s="4"/>
      <c r="F580" s="3"/>
      <c r="G580" s="5"/>
      <c r="H580" s="3"/>
      <c r="I580" s="5"/>
      <c r="J580" s="3"/>
      <c r="K580" s="5"/>
      <c r="L580" s="3"/>
      <c r="M580" s="5"/>
      <c r="N580" s="5"/>
    </row>
    <row r="581">
      <c r="A581" s="2"/>
      <c r="B581" s="3"/>
      <c r="C581" s="3"/>
      <c r="D581" s="3"/>
      <c r="E581" s="4"/>
      <c r="F581" s="3"/>
      <c r="G581" s="5"/>
      <c r="H581" s="3"/>
      <c r="I581" s="5"/>
      <c r="J581" s="3"/>
      <c r="K581" s="5"/>
      <c r="L581" s="3"/>
      <c r="M581" s="5"/>
      <c r="N581" s="5"/>
    </row>
    <row r="582">
      <c r="A582" s="2"/>
      <c r="B582" s="3"/>
      <c r="C582" s="3"/>
      <c r="D582" s="3"/>
      <c r="E582" s="4"/>
      <c r="F582" s="3"/>
      <c r="G582" s="5"/>
      <c r="H582" s="3"/>
      <c r="I582" s="5"/>
      <c r="J582" s="3"/>
      <c r="K582" s="5"/>
      <c r="L582" s="3"/>
      <c r="M582" s="5"/>
      <c r="N582" s="5"/>
    </row>
    <row r="583">
      <c r="A583" s="2"/>
      <c r="B583" s="3"/>
      <c r="C583" s="3"/>
      <c r="D583" s="3"/>
      <c r="E583" s="4"/>
      <c r="F583" s="3"/>
      <c r="G583" s="5"/>
      <c r="H583" s="3"/>
      <c r="I583" s="5"/>
      <c r="J583" s="3"/>
      <c r="K583" s="5"/>
      <c r="L583" s="3"/>
      <c r="M583" s="5"/>
      <c r="N583" s="5"/>
    </row>
    <row r="584">
      <c r="A584" s="2"/>
      <c r="B584" s="3"/>
      <c r="C584" s="3"/>
      <c r="D584" s="3"/>
      <c r="E584" s="4"/>
      <c r="F584" s="3"/>
      <c r="G584" s="5"/>
      <c r="H584" s="3"/>
      <c r="I584" s="5"/>
      <c r="J584" s="3"/>
      <c r="K584" s="5"/>
      <c r="L584" s="3"/>
      <c r="M584" s="5"/>
      <c r="N584" s="5"/>
    </row>
    <row r="585">
      <c r="A585" s="2"/>
      <c r="B585" s="3"/>
      <c r="C585" s="3"/>
      <c r="D585" s="3"/>
      <c r="E585" s="4"/>
      <c r="F585" s="3"/>
      <c r="G585" s="5"/>
      <c r="H585" s="3"/>
      <c r="I585" s="5"/>
      <c r="J585" s="3"/>
      <c r="K585" s="5"/>
      <c r="L585" s="3"/>
      <c r="M585" s="5"/>
      <c r="N585" s="5"/>
    </row>
    <row r="586">
      <c r="A586" s="2"/>
      <c r="B586" s="3"/>
      <c r="C586" s="3"/>
      <c r="D586" s="3"/>
      <c r="E586" s="4"/>
      <c r="F586" s="3"/>
      <c r="G586" s="5"/>
      <c r="H586" s="3"/>
      <c r="I586" s="5"/>
      <c r="J586" s="3"/>
      <c r="K586" s="5"/>
      <c r="L586" s="3"/>
      <c r="M586" s="5"/>
      <c r="N586" s="5"/>
    </row>
    <row r="587">
      <c r="A587" s="2"/>
      <c r="B587" s="3"/>
      <c r="C587" s="3"/>
      <c r="D587" s="3"/>
      <c r="E587" s="4"/>
      <c r="F587" s="3"/>
      <c r="G587" s="5"/>
      <c r="H587" s="3"/>
      <c r="I587" s="5"/>
      <c r="J587" s="3"/>
      <c r="K587" s="5"/>
      <c r="L587" s="3"/>
      <c r="M587" s="5"/>
      <c r="N587" s="5"/>
    </row>
    <row r="588">
      <c r="A588" s="2"/>
      <c r="B588" s="3"/>
      <c r="C588" s="3"/>
      <c r="D588" s="3"/>
      <c r="E588" s="4"/>
      <c r="F588" s="3"/>
      <c r="G588" s="5"/>
      <c r="H588" s="3"/>
      <c r="I588" s="5"/>
      <c r="J588" s="3"/>
      <c r="K588" s="5"/>
      <c r="L588" s="3"/>
      <c r="M588" s="5"/>
      <c r="N588" s="5"/>
    </row>
    <row r="589">
      <c r="A589" s="2"/>
      <c r="B589" s="3"/>
      <c r="C589" s="3"/>
      <c r="D589" s="3"/>
      <c r="E589" s="4"/>
      <c r="F589" s="3"/>
      <c r="G589" s="5"/>
      <c r="H589" s="3"/>
      <c r="I589" s="5"/>
      <c r="J589" s="3"/>
      <c r="K589" s="5"/>
      <c r="L589" s="3"/>
      <c r="M589" s="5"/>
      <c r="N589" s="5"/>
    </row>
    <row r="590">
      <c r="A590" s="2"/>
      <c r="B590" s="3"/>
      <c r="C590" s="3"/>
      <c r="D590" s="3"/>
      <c r="E590" s="4"/>
      <c r="F590" s="3"/>
      <c r="G590" s="5"/>
      <c r="H590" s="3"/>
      <c r="I590" s="5"/>
      <c r="J590" s="3"/>
      <c r="K590" s="5"/>
      <c r="L590" s="3"/>
      <c r="M590" s="5"/>
      <c r="N590" s="5"/>
    </row>
    <row r="591">
      <c r="A591" s="2"/>
      <c r="B591" s="3"/>
      <c r="C591" s="3"/>
      <c r="D591" s="3"/>
      <c r="E591" s="4"/>
      <c r="F591" s="3"/>
      <c r="G591" s="5"/>
      <c r="H591" s="3"/>
      <c r="I591" s="5"/>
      <c r="J591" s="3"/>
      <c r="K591" s="5"/>
      <c r="L591" s="3"/>
      <c r="M591" s="5"/>
      <c r="N591" s="5"/>
    </row>
    <row r="592">
      <c r="A592" s="2"/>
      <c r="B592" s="3"/>
      <c r="C592" s="3"/>
      <c r="D592" s="3"/>
      <c r="E592" s="4"/>
      <c r="F592" s="3"/>
      <c r="G592" s="5"/>
      <c r="H592" s="3"/>
      <c r="I592" s="5"/>
      <c r="J592" s="3"/>
      <c r="K592" s="5"/>
      <c r="L592" s="3"/>
      <c r="M592" s="5"/>
      <c r="N592" s="5"/>
    </row>
    <row r="593">
      <c r="A593" s="2"/>
      <c r="B593" s="3"/>
      <c r="C593" s="3"/>
      <c r="D593" s="3"/>
      <c r="E593" s="4"/>
      <c r="F593" s="3"/>
      <c r="G593" s="5"/>
      <c r="H593" s="3"/>
      <c r="I593" s="5"/>
      <c r="J593" s="3"/>
      <c r="K593" s="5"/>
      <c r="L593" s="3"/>
      <c r="M593" s="5"/>
      <c r="N593" s="5"/>
    </row>
    <row r="594">
      <c r="A594" s="2"/>
      <c r="B594" s="3"/>
      <c r="C594" s="3"/>
      <c r="D594" s="3"/>
      <c r="E594" s="4"/>
      <c r="F594" s="3"/>
      <c r="G594" s="5"/>
      <c r="H594" s="3"/>
      <c r="I594" s="5"/>
      <c r="J594" s="3"/>
      <c r="K594" s="5"/>
      <c r="L594" s="3"/>
      <c r="M594" s="5"/>
      <c r="N594" s="5"/>
    </row>
    <row r="595">
      <c r="A595" s="2"/>
      <c r="B595" s="3"/>
      <c r="C595" s="3"/>
      <c r="D595" s="3"/>
      <c r="E595" s="4"/>
      <c r="F595" s="3"/>
      <c r="G595" s="5"/>
      <c r="H595" s="3"/>
      <c r="I595" s="5"/>
      <c r="J595" s="3"/>
      <c r="K595" s="5"/>
      <c r="L595" s="3"/>
      <c r="M595" s="5"/>
      <c r="N595" s="5"/>
    </row>
    <row r="596">
      <c r="A596" s="2"/>
      <c r="B596" s="3"/>
      <c r="C596" s="3"/>
      <c r="D596" s="3"/>
      <c r="E596" s="4"/>
      <c r="F596" s="3"/>
      <c r="G596" s="5"/>
      <c r="H596" s="3"/>
      <c r="I596" s="5"/>
      <c r="J596" s="3"/>
      <c r="K596" s="5"/>
      <c r="L596" s="3"/>
      <c r="M596" s="5"/>
      <c r="N596" s="5"/>
    </row>
    <row r="597">
      <c r="A597" s="2"/>
      <c r="B597" s="3"/>
      <c r="C597" s="3"/>
      <c r="D597" s="3"/>
      <c r="E597" s="4"/>
      <c r="F597" s="3"/>
      <c r="G597" s="5"/>
      <c r="H597" s="3"/>
      <c r="I597" s="5"/>
      <c r="J597" s="3"/>
      <c r="K597" s="5"/>
      <c r="L597" s="3"/>
      <c r="M597" s="5"/>
      <c r="N597" s="5"/>
    </row>
    <row r="598">
      <c r="A598" s="2"/>
      <c r="B598" s="3"/>
      <c r="C598" s="3"/>
      <c r="D598" s="3"/>
      <c r="E598" s="4"/>
      <c r="F598" s="3"/>
      <c r="G598" s="5"/>
      <c r="H598" s="3"/>
      <c r="I598" s="5"/>
      <c r="J598" s="3"/>
      <c r="K598" s="5"/>
      <c r="L598" s="3"/>
      <c r="M598" s="5"/>
      <c r="N598" s="5"/>
    </row>
    <row r="599">
      <c r="A599" s="2"/>
      <c r="B599" s="3"/>
      <c r="C599" s="3"/>
      <c r="D599" s="3"/>
      <c r="E599" s="4"/>
      <c r="F599" s="3"/>
      <c r="G599" s="5"/>
      <c r="H599" s="3"/>
      <c r="I599" s="5"/>
      <c r="J599" s="3"/>
      <c r="K599" s="5"/>
      <c r="L599" s="3"/>
      <c r="M599" s="5"/>
      <c r="N599" s="5"/>
    </row>
    <row r="600">
      <c r="A600" s="2"/>
      <c r="B600" s="3"/>
      <c r="C600" s="3"/>
      <c r="D600" s="3"/>
      <c r="E600" s="4"/>
      <c r="F600" s="3"/>
      <c r="G600" s="5"/>
      <c r="H600" s="3"/>
      <c r="I600" s="5"/>
      <c r="J600" s="3"/>
      <c r="K600" s="5"/>
      <c r="L600" s="3"/>
      <c r="M600" s="5"/>
      <c r="N600" s="5"/>
    </row>
    <row r="601">
      <c r="A601" s="2"/>
      <c r="B601" s="3"/>
      <c r="C601" s="3"/>
      <c r="D601" s="3"/>
      <c r="E601" s="4"/>
      <c r="F601" s="3"/>
      <c r="G601" s="5"/>
      <c r="H601" s="3"/>
      <c r="I601" s="5"/>
      <c r="J601" s="3"/>
      <c r="K601" s="5"/>
      <c r="L601" s="3"/>
      <c r="M601" s="5"/>
      <c r="N601" s="5"/>
    </row>
    <row r="602">
      <c r="A602" s="2"/>
      <c r="B602" s="3"/>
      <c r="C602" s="3"/>
      <c r="D602" s="3"/>
      <c r="E602" s="4"/>
      <c r="F602" s="3"/>
      <c r="G602" s="5"/>
      <c r="H602" s="3"/>
      <c r="I602" s="5"/>
      <c r="J602" s="3"/>
      <c r="K602" s="5"/>
      <c r="L602" s="3"/>
      <c r="M602" s="5"/>
      <c r="N602" s="5"/>
    </row>
    <row r="603">
      <c r="A603" s="2"/>
      <c r="B603" s="3"/>
      <c r="C603" s="3"/>
      <c r="D603" s="3"/>
      <c r="E603" s="4"/>
      <c r="F603" s="3"/>
      <c r="G603" s="5"/>
      <c r="H603" s="3"/>
      <c r="I603" s="5"/>
      <c r="J603" s="3"/>
      <c r="K603" s="5"/>
      <c r="L603" s="3"/>
      <c r="M603" s="5"/>
      <c r="N603" s="5"/>
    </row>
    <row r="604">
      <c r="A604" s="2"/>
      <c r="B604" s="3"/>
      <c r="C604" s="3"/>
      <c r="D604" s="3"/>
      <c r="E604" s="4"/>
      <c r="F604" s="3"/>
      <c r="G604" s="5"/>
      <c r="H604" s="3"/>
      <c r="I604" s="5"/>
      <c r="J604" s="3"/>
      <c r="K604" s="5"/>
      <c r="L604" s="3"/>
      <c r="M604" s="5"/>
      <c r="N604" s="5"/>
    </row>
    <row r="605">
      <c r="A605" s="2"/>
      <c r="B605" s="3"/>
      <c r="C605" s="3"/>
      <c r="D605" s="3"/>
      <c r="E605" s="4"/>
      <c r="F605" s="3"/>
      <c r="G605" s="5"/>
      <c r="H605" s="3"/>
      <c r="I605" s="5"/>
      <c r="J605" s="3"/>
      <c r="K605" s="5"/>
      <c r="L605" s="3"/>
      <c r="M605" s="5"/>
      <c r="N605" s="5"/>
    </row>
    <row r="606">
      <c r="A606" s="2"/>
      <c r="B606" s="3"/>
      <c r="C606" s="3"/>
      <c r="D606" s="3"/>
      <c r="E606" s="4"/>
      <c r="F606" s="3"/>
      <c r="G606" s="5"/>
      <c r="H606" s="3"/>
      <c r="I606" s="5"/>
      <c r="J606" s="3"/>
      <c r="K606" s="5"/>
      <c r="L606" s="3"/>
      <c r="M606" s="5"/>
      <c r="N606" s="5"/>
    </row>
    <row r="607">
      <c r="A607" s="2"/>
      <c r="B607" s="3"/>
      <c r="C607" s="3"/>
      <c r="D607" s="3"/>
      <c r="E607" s="4"/>
      <c r="F607" s="3"/>
      <c r="G607" s="5"/>
      <c r="H607" s="3"/>
      <c r="I607" s="5"/>
      <c r="J607" s="3"/>
      <c r="K607" s="5"/>
      <c r="L607" s="3"/>
      <c r="M607" s="5"/>
      <c r="N607" s="5"/>
    </row>
    <row r="608">
      <c r="A608" s="2"/>
      <c r="B608" s="3"/>
      <c r="C608" s="3"/>
      <c r="D608" s="3"/>
      <c r="E608" s="4"/>
      <c r="F608" s="3"/>
      <c r="G608" s="5"/>
      <c r="H608" s="3"/>
      <c r="I608" s="5"/>
      <c r="J608" s="3"/>
      <c r="K608" s="5"/>
      <c r="L608" s="3"/>
      <c r="M608" s="5"/>
      <c r="N608" s="5"/>
    </row>
    <row r="609">
      <c r="A609" s="2"/>
      <c r="B609" s="3"/>
      <c r="C609" s="3"/>
      <c r="D609" s="3"/>
      <c r="E609" s="4"/>
      <c r="F609" s="3"/>
      <c r="G609" s="5"/>
      <c r="H609" s="3"/>
      <c r="I609" s="5"/>
      <c r="J609" s="3"/>
      <c r="K609" s="5"/>
      <c r="L609" s="3"/>
      <c r="M609" s="5"/>
      <c r="N609" s="5"/>
    </row>
    <row r="610">
      <c r="A610" s="2"/>
      <c r="B610" s="3"/>
      <c r="C610" s="3"/>
      <c r="D610" s="3"/>
      <c r="E610" s="4"/>
      <c r="F610" s="3"/>
      <c r="G610" s="5"/>
      <c r="H610" s="3"/>
      <c r="I610" s="5"/>
      <c r="J610" s="3"/>
      <c r="K610" s="5"/>
      <c r="L610" s="3"/>
      <c r="M610" s="5"/>
      <c r="N610" s="5"/>
    </row>
    <row r="611">
      <c r="A611" s="2"/>
      <c r="B611" s="3"/>
      <c r="C611" s="3"/>
      <c r="D611" s="3"/>
      <c r="E611" s="4"/>
      <c r="F611" s="3"/>
      <c r="G611" s="5"/>
      <c r="H611" s="3"/>
      <c r="I611" s="5"/>
      <c r="J611" s="3"/>
      <c r="K611" s="5"/>
      <c r="L611" s="3"/>
      <c r="M611" s="5"/>
      <c r="N611" s="5"/>
    </row>
    <row r="612">
      <c r="A612" s="2"/>
      <c r="B612" s="3"/>
      <c r="C612" s="3"/>
      <c r="D612" s="3"/>
      <c r="E612" s="4"/>
      <c r="F612" s="3"/>
      <c r="G612" s="5"/>
      <c r="H612" s="3"/>
      <c r="I612" s="5"/>
      <c r="J612" s="3"/>
      <c r="K612" s="5"/>
      <c r="L612" s="3"/>
      <c r="M612" s="5"/>
      <c r="N612" s="5"/>
    </row>
    <row r="613">
      <c r="A613" s="2"/>
      <c r="B613" s="3"/>
      <c r="C613" s="3"/>
      <c r="D613" s="3"/>
      <c r="E613" s="4"/>
      <c r="F613" s="3"/>
      <c r="G613" s="5"/>
      <c r="H613" s="3"/>
      <c r="I613" s="5"/>
      <c r="J613" s="3"/>
      <c r="K613" s="5"/>
      <c r="L613" s="3"/>
      <c r="M613" s="5"/>
      <c r="N613" s="5"/>
    </row>
    <row r="614">
      <c r="A614" s="2"/>
      <c r="B614" s="3"/>
      <c r="C614" s="3"/>
      <c r="D614" s="3"/>
      <c r="E614" s="4"/>
      <c r="F614" s="3"/>
      <c r="G614" s="5"/>
      <c r="H614" s="3"/>
      <c r="I614" s="5"/>
      <c r="J614" s="3"/>
      <c r="K614" s="5"/>
      <c r="L614" s="3"/>
      <c r="M614" s="5"/>
      <c r="N614" s="5"/>
    </row>
    <row r="615">
      <c r="A615" s="2"/>
      <c r="B615" s="3"/>
      <c r="C615" s="3"/>
      <c r="D615" s="3"/>
      <c r="E615" s="4"/>
      <c r="F615" s="3"/>
      <c r="G615" s="5"/>
      <c r="H615" s="3"/>
      <c r="I615" s="5"/>
      <c r="J615" s="3"/>
      <c r="K615" s="5"/>
      <c r="L615" s="3"/>
      <c r="M615" s="5"/>
      <c r="N615" s="5"/>
    </row>
    <row r="616">
      <c r="A616" s="2"/>
      <c r="B616" s="3"/>
      <c r="C616" s="3"/>
      <c r="D616" s="3"/>
      <c r="E616" s="4"/>
      <c r="F616" s="3"/>
      <c r="G616" s="5"/>
      <c r="H616" s="3"/>
      <c r="I616" s="5"/>
      <c r="J616" s="3"/>
      <c r="K616" s="5"/>
      <c r="L616" s="3"/>
      <c r="M616" s="5"/>
      <c r="N616" s="5"/>
    </row>
    <row r="617">
      <c r="A617" s="2"/>
      <c r="B617" s="3"/>
      <c r="C617" s="3"/>
      <c r="D617" s="3"/>
      <c r="E617" s="4"/>
      <c r="F617" s="3"/>
      <c r="G617" s="5"/>
      <c r="H617" s="3"/>
      <c r="I617" s="5"/>
      <c r="J617" s="3"/>
      <c r="K617" s="5"/>
      <c r="L617" s="3"/>
      <c r="M617" s="5"/>
      <c r="N617" s="5"/>
    </row>
    <row r="618">
      <c r="A618" s="2"/>
      <c r="B618" s="3"/>
      <c r="C618" s="3"/>
      <c r="D618" s="3"/>
      <c r="E618" s="4"/>
      <c r="F618" s="3"/>
      <c r="G618" s="5"/>
      <c r="H618" s="3"/>
      <c r="I618" s="5"/>
      <c r="J618" s="3"/>
      <c r="K618" s="5"/>
      <c r="L618" s="3"/>
      <c r="M618" s="5"/>
      <c r="N618" s="5"/>
    </row>
    <row r="619">
      <c r="A619" s="2"/>
      <c r="B619" s="3"/>
      <c r="C619" s="3"/>
      <c r="D619" s="3"/>
      <c r="E619" s="4"/>
      <c r="F619" s="3"/>
      <c r="G619" s="5"/>
      <c r="H619" s="3"/>
      <c r="I619" s="5"/>
      <c r="J619" s="3"/>
      <c r="K619" s="5"/>
      <c r="L619" s="3"/>
      <c r="M619" s="5"/>
      <c r="N619" s="5"/>
    </row>
    <row r="620">
      <c r="A620" s="2"/>
      <c r="B620" s="3"/>
      <c r="C620" s="3"/>
      <c r="D620" s="3"/>
      <c r="E620" s="4"/>
      <c r="F620" s="3"/>
      <c r="G620" s="5"/>
      <c r="H620" s="3"/>
      <c r="I620" s="5"/>
      <c r="J620" s="3"/>
      <c r="K620" s="5"/>
      <c r="L620" s="3"/>
      <c r="M620" s="5"/>
      <c r="N620" s="5"/>
    </row>
    <row r="621">
      <c r="A621" s="2"/>
      <c r="B621" s="3"/>
      <c r="C621" s="3"/>
      <c r="D621" s="3"/>
      <c r="E621" s="4"/>
      <c r="F621" s="3"/>
      <c r="G621" s="5"/>
      <c r="H621" s="3"/>
      <c r="I621" s="5"/>
      <c r="J621" s="3"/>
      <c r="K621" s="5"/>
      <c r="L621" s="3"/>
      <c r="M621" s="5"/>
      <c r="N621" s="5"/>
    </row>
    <row r="622">
      <c r="A622" s="2"/>
      <c r="B622" s="3"/>
      <c r="C622" s="3"/>
      <c r="D622" s="3"/>
      <c r="E622" s="4"/>
      <c r="F622" s="3"/>
      <c r="G622" s="5"/>
      <c r="H622" s="3"/>
      <c r="I622" s="5"/>
      <c r="J622" s="3"/>
      <c r="K622" s="5"/>
      <c r="L622" s="3"/>
      <c r="M622" s="5"/>
      <c r="N622" s="5"/>
    </row>
    <row r="623">
      <c r="A623" s="2"/>
      <c r="B623" s="3"/>
      <c r="C623" s="3"/>
      <c r="D623" s="3"/>
      <c r="E623" s="4"/>
      <c r="F623" s="3"/>
      <c r="G623" s="5"/>
      <c r="H623" s="3"/>
      <c r="I623" s="5"/>
      <c r="J623" s="3"/>
      <c r="K623" s="5"/>
      <c r="L623" s="3"/>
      <c r="M623" s="5"/>
      <c r="N623" s="5"/>
    </row>
    <row r="624">
      <c r="A624" s="2"/>
      <c r="B624" s="3"/>
      <c r="C624" s="3"/>
      <c r="D624" s="3"/>
      <c r="E624" s="4"/>
      <c r="F624" s="3"/>
      <c r="G624" s="5"/>
      <c r="H624" s="3"/>
      <c r="I624" s="5"/>
      <c r="J624" s="3"/>
      <c r="K624" s="5"/>
      <c r="L624" s="3"/>
      <c r="M624" s="5"/>
      <c r="N624" s="5"/>
    </row>
    <row r="625">
      <c r="A625" s="2"/>
      <c r="B625" s="3"/>
      <c r="C625" s="3"/>
      <c r="D625" s="3"/>
      <c r="E625" s="4"/>
      <c r="F625" s="3"/>
      <c r="G625" s="5"/>
      <c r="H625" s="3"/>
      <c r="I625" s="5"/>
      <c r="J625" s="3"/>
      <c r="K625" s="5"/>
      <c r="L625" s="3"/>
      <c r="M625" s="5"/>
      <c r="N625" s="5"/>
    </row>
    <row r="626">
      <c r="A626" s="2"/>
      <c r="B626" s="3"/>
      <c r="C626" s="3"/>
      <c r="D626" s="3"/>
      <c r="E626" s="4"/>
      <c r="F626" s="3"/>
      <c r="G626" s="5"/>
      <c r="H626" s="3"/>
      <c r="I626" s="5"/>
      <c r="J626" s="3"/>
      <c r="K626" s="5"/>
      <c r="L626" s="3"/>
      <c r="M626" s="5"/>
      <c r="N626" s="5"/>
    </row>
    <row r="627">
      <c r="A627" s="2"/>
      <c r="B627" s="3"/>
      <c r="C627" s="3"/>
      <c r="D627" s="3"/>
      <c r="E627" s="4"/>
      <c r="F627" s="3"/>
      <c r="G627" s="5"/>
      <c r="H627" s="3"/>
      <c r="I627" s="5"/>
      <c r="J627" s="3"/>
      <c r="K627" s="5"/>
      <c r="L627" s="3"/>
      <c r="M627" s="5"/>
      <c r="N627" s="5"/>
    </row>
    <row r="628">
      <c r="A628" s="2"/>
      <c r="B628" s="3"/>
      <c r="C628" s="3"/>
      <c r="D628" s="3"/>
      <c r="E628" s="4"/>
      <c r="F628" s="3"/>
      <c r="G628" s="5"/>
      <c r="H628" s="3"/>
      <c r="I628" s="5"/>
      <c r="J628" s="3"/>
      <c r="K628" s="5"/>
      <c r="L628" s="3"/>
      <c r="M628" s="5"/>
      <c r="N628" s="5"/>
    </row>
    <row r="629">
      <c r="A629" s="2"/>
      <c r="B629" s="3"/>
      <c r="C629" s="3"/>
      <c r="D629" s="3"/>
      <c r="E629" s="4"/>
      <c r="F629" s="3"/>
      <c r="G629" s="5"/>
      <c r="H629" s="3"/>
      <c r="I629" s="5"/>
      <c r="J629" s="3"/>
      <c r="K629" s="5"/>
      <c r="L629" s="3"/>
      <c r="M629" s="5"/>
      <c r="N629" s="5"/>
    </row>
    <row r="630">
      <c r="A630" s="2"/>
      <c r="B630" s="3"/>
      <c r="C630" s="3"/>
      <c r="D630" s="3"/>
      <c r="E630" s="4"/>
      <c r="F630" s="3"/>
      <c r="G630" s="5"/>
      <c r="H630" s="3"/>
      <c r="I630" s="5"/>
      <c r="J630" s="3"/>
      <c r="K630" s="5"/>
      <c r="L630" s="3"/>
      <c r="M630" s="5"/>
      <c r="N630" s="5"/>
    </row>
    <row r="631">
      <c r="A631" s="2"/>
      <c r="B631" s="3"/>
      <c r="C631" s="3"/>
      <c r="D631" s="3"/>
      <c r="E631" s="4"/>
      <c r="F631" s="3"/>
      <c r="G631" s="5"/>
      <c r="H631" s="3"/>
      <c r="I631" s="5"/>
      <c r="J631" s="3"/>
      <c r="K631" s="5"/>
      <c r="L631" s="3"/>
      <c r="M631" s="5"/>
      <c r="N631" s="5"/>
    </row>
    <row r="632">
      <c r="A632" s="2"/>
      <c r="B632" s="3"/>
      <c r="C632" s="3"/>
      <c r="D632" s="3"/>
      <c r="E632" s="4"/>
      <c r="F632" s="3"/>
      <c r="G632" s="5"/>
      <c r="H632" s="3"/>
      <c r="I632" s="5"/>
      <c r="J632" s="3"/>
      <c r="K632" s="5"/>
      <c r="L632" s="3"/>
      <c r="M632" s="5"/>
      <c r="N632" s="5"/>
    </row>
    <row r="633">
      <c r="A633" s="2"/>
      <c r="B633" s="3"/>
      <c r="C633" s="3"/>
      <c r="D633" s="3"/>
      <c r="E633" s="4"/>
      <c r="F633" s="3"/>
      <c r="G633" s="5"/>
      <c r="H633" s="3"/>
      <c r="I633" s="5"/>
      <c r="J633" s="3"/>
      <c r="K633" s="5"/>
      <c r="L633" s="3"/>
      <c r="M633" s="5"/>
      <c r="N633" s="5"/>
    </row>
    <row r="634">
      <c r="A634" s="2"/>
      <c r="B634" s="3"/>
      <c r="C634" s="3"/>
      <c r="D634" s="3"/>
      <c r="E634" s="4"/>
      <c r="F634" s="3"/>
      <c r="G634" s="5"/>
      <c r="H634" s="3"/>
      <c r="I634" s="5"/>
      <c r="J634" s="3"/>
      <c r="K634" s="5"/>
      <c r="L634" s="3"/>
      <c r="M634" s="5"/>
      <c r="N634" s="5"/>
    </row>
    <row r="635">
      <c r="A635" s="2"/>
      <c r="B635" s="3"/>
      <c r="C635" s="3"/>
      <c r="D635" s="3"/>
      <c r="E635" s="4"/>
      <c r="F635" s="3"/>
      <c r="G635" s="5"/>
      <c r="H635" s="3"/>
      <c r="I635" s="5"/>
      <c r="J635" s="3"/>
      <c r="K635" s="5"/>
      <c r="L635" s="3"/>
      <c r="M635" s="5"/>
      <c r="N635" s="5"/>
    </row>
    <row r="636">
      <c r="A636" s="2"/>
      <c r="B636" s="3"/>
      <c r="C636" s="3"/>
      <c r="D636" s="3"/>
      <c r="E636" s="4"/>
      <c r="F636" s="3"/>
      <c r="G636" s="5"/>
      <c r="H636" s="3"/>
      <c r="I636" s="5"/>
      <c r="J636" s="3"/>
      <c r="K636" s="5"/>
      <c r="L636" s="3"/>
      <c r="M636" s="5"/>
      <c r="N636" s="5"/>
    </row>
    <row r="637">
      <c r="A637" s="2"/>
      <c r="B637" s="3"/>
      <c r="C637" s="3"/>
      <c r="D637" s="3"/>
      <c r="E637" s="4"/>
      <c r="F637" s="3"/>
      <c r="G637" s="5"/>
      <c r="H637" s="3"/>
      <c r="I637" s="5"/>
      <c r="J637" s="3"/>
      <c r="K637" s="5"/>
      <c r="L637" s="3"/>
      <c r="M637" s="5"/>
      <c r="N637" s="5"/>
    </row>
    <row r="638">
      <c r="A638" s="2"/>
      <c r="B638" s="3"/>
      <c r="C638" s="3"/>
      <c r="D638" s="3"/>
      <c r="E638" s="4"/>
      <c r="F638" s="3"/>
      <c r="G638" s="5"/>
      <c r="H638" s="3"/>
      <c r="I638" s="5"/>
      <c r="J638" s="3"/>
      <c r="K638" s="5"/>
      <c r="L638" s="3"/>
      <c r="M638" s="5"/>
      <c r="N638" s="5"/>
    </row>
    <row r="639">
      <c r="A639" s="2"/>
      <c r="B639" s="3"/>
      <c r="C639" s="3"/>
      <c r="D639" s="3"/>
      <c r="E639" s="4"/>
      <c r="F639" s="3"/>
      <c r="G639" s="5"/>
      <c r="H639" s="3"/>
      <c r="I639" s="5"/>
      <c r="J639" s="3"/>
      <c r="K639" s="5"/>
      <c r="L639" s="3"/>
      <c r="M639" s="5"/>
      <c r="N639" s="5"/>
    </row>
    <row r="640">
      <c r="A640" s="2"/>
      <c r="B640" s="3"/>
      <c r="C640" s="3"/>
      <c r="D640" s="3"/>
      <c r="E640" s="4"/>
      <c r="F640" s="3"/>
      <c r="G640" s="5"/>
      <c r="H640" s="3"/>
      <c r="I640" s="5"/>
      <c r="J640" s="3"/>
      <c r="K640" s="5"/>
      <c r="L640" s="3"/>
      <c r="M640" s="5"/>
      <c r="N640" s="5"/>
    </row>
    <row r="641">
      <c r="A641" s="2"/>
      <c r="B641" s="3"/>
      <c r="C641" s="3"/>
      <c r="D641" s="3"/>
      <c r="E641" s="4"/>
      <c r="F641" s="3"/>
      <c r="G641" s="5"/>
      <c r="H641" s="3"/>
      <c r="I641" s="5"/>
      <c r="J641" s="3"/>
      <c r="K641" s="5"/>
      <c r="L641" s="3"/>
      <c r="M641" s="5"/>
      <c r="N641" s="5"/>
    </row>
    <row r="642">
      <c r="A642" s="2"/>
      <c r="B642" s="3"/>
      <c r="C642" s="3"/>
      <c r="D642" s="3"/>
      <c r="E642" s="4"/>
      <c r="F642" s="3"/>
      <c r="G642" s="5"/>
      <c r="H642" s="3"/>
      <c r="I642" s="5"/>
      <c r="J642" s="3"/>
      <c r="K642" s="5"/>
      <c r="L642" s="3"/>
      <c r="M642" s="5"/>
      <c r="N642" s="5"/>
    </row>
    <row r="643">
      <c r="A643" s="2"/>
      <c r="B643" s="3"/>
      <c r="C643" s="3"/>
      <c r="D643" s="3"/>
      <c r="E643" s="4"/>
      <c r="F643" s="3"/>
      <c r="G643" s="5"/>
      <c r="H643" s="3"/>
      <c r="I643" s="5"/>
      <c r="J643" s="3"/>
      <c r="K643" s="5"/>
      <c r="L643" s="3"/>
      <c r="M643" s="5"/>
      <c r="N643" s="5"/>
    </row>
    <row r="644">
      <c r="A644" s="2"/>
      <c r="B644" s="3"/>
      <c r="C644" s="3"/>
      <c r="D644" s="3"/>
      <c r="E644" s="4"/>
      <c r="F644" s="3"/>
      <c r="G644" s="5"/>
      <c r="H644" s="3"/>
      <c r="I644" s="5"/>
      <c r="J644" s="3"/>
      <c r="K644" s="5"/>
      <c r="L644" s="3"/>
      <c r="M644" s="5"/>
      <c r="N644" s="5"/>
    </row>
    <row r="645">
      <c r="A645" s="2"/>
      <c r="B645" s="3"/>
      <c r="C645" s="3"/>
      <c r="D645" s="3"/>
      <c r="E645" s="4"/>
      <c r="F645" s="3"/>
      <c r="G645" s="5"/>
      <c r="H645" s="3"/>
      <c r="I645" s="5"/>
      <c r="J645" s="3"/>
      <c r="K645" s="5"/>
      <c r="L645" s="3"/>
      <c r="M645" s="5"/>
      <c r="N645" s="5"/>
    </row>
    <row r="646">
      <c r="A646" s="2"/>
      <c r="B646" s="3"/>
      <c r="C646" s="3"/>
      <c r="D646" s="3"/>
      <c r="E646" s="4"/>
      <c r="F646" s="3"/>
      <c r="G646" s="5"/>
      <c r="H646" s="3"/>
      <c r="I646" s="5"/>
      <c r="J646" s="3"/>
      <c r="K646" s="5"/>
      <c r="L646" s="3"/>
      <c r="M646" s="5"/>
      <c r="N646" s="5"/>
    </row>
    <row r="647">
      <c r="A647" s="2"/>
      <c r="B647" s="3"/>
      <c r="C647" s="3"/>
      <c r="D647" s="3"/>
      <c r="E647" s="4"/>
      <c r="F647" s="3"/>
      <c r="G647" s="5"/>
      <c r="H647" s="3"/>
      <c r="I647" s="5"/>
      <c r="J647" s="3"/>
      <c r="K647" s="5"/>
      <c r="L647" s="3"/>
      <c r="M647" s="5"/>
      <c r="N647" s="5"/>
    </row>
    <row r="648">
      <c r="A648" s="2"/>
      <c r="B648" s="3"/>
      <c r="C648" s="3"/>
      <c r="D648" s="3"/>
      <c r="E648" s="4"/>
      <c r="F648" s="3"/>
      <c r="G648" s="5"/>
      <c r="H648" s="3"/>
      <c r="I648" s="5"/>
      <c r="J648" s="3"/>
      <c r="K648" s="5"/>
      <c r="L648" s="3"/>
      <c r="M648" s="5"/>
      <c r="N648" s="5"/>
    </row>
    <row r="649">
      <c r="A649" s="2"/>
      <c r="B649" s="3"/>
      <c r="C649" s="3"/>
      <c r="D649" s="3"/>
      <c r="E649" s="4"/>
      <c r="F649" s="3"/>
      <c r="G649" s="5"/>
      <c r="H649" s="3"/>
      <c r="I649" s="5"/>
      <c r="J649" s="3"/>
      <c r="K649" s="5"/>
      <c r="L649" s="3"/>
      <c r="M649" s="5"/>
      <c r="N649" s="5"/>
    </row>
    <row r="650">
      <c r="A650" s="2"/>
      <c r="B650" s="3"/>
      <c r="C650" s="3"/>
      <c r="D650" s="3"/>
      <c r="E650" s="4"/>
      <c r="F650" s="3"/>
      <c r="G650" s="5"/>
      <c r="H650" s="3"/>
      <c r="I650" s="5"/>
      <c r="J650" s="3"/>
      <c r="K650" s="5"/>
      <c r="L650" s="3"/>
      <c r="M650" s="5"/>
      <c r="N650" s="5"/>
    </row>
    <row r="651">
      <c r="A651" s="2"/>
      <c r="B651" s="3"/>
      <c r="C651" s="3"/>
      <c r="D651" s="3"/>
      <c r="E651" s="4"/>
      <c r="F651" s="3"/>
      <c r="G651" s="5"/>
      <c r="H651" s="3"/>
      <c r="I651" s="5"/>
      <c r="J651" s="3"/>
      <c r="K651" s="5"/>
      <c r="L651" s="3"/>
      <c r="M651" s="5"/>
      <c r="N651" s="5"/>
    </row>
    <row r="652">
      <c r="A652" s="2"/>
      <c r="B652" s="3"/>
      <c r="C652" s="3"/>
      <c r="D652" s="3"/>
      <c r="E652" s="4"/>
      <c r="F652" s="3"/>
      <c r="G652" s="5"/>
      <c r="H652" s="3"/>
      <c r="I652" s="5"/>
      <c r="J652" s="3"/>
      <c r="K652" s="5"/>
      <c r="L652" s="3"/>
      <c r="M652" s="5"/>
      <c r="N652" s="5"/>
    </row>
    <row r="653">
      <c r="A653" s="2"/>
      <c r="B653" s="3"/>
      <c r="C653" s="3"/>
      <c r="D653" s="3"/>
      <c r="E653" s="4"/>
      <c r="F653" s="3"/>
      <c r="G653" s="5"/>
      <c r="H653" s="3"/>
      <c r="I653" s="5"/>
      <c r="J653" s="3"/>
      <c r="K653" s="5"/>
      <c r="L653" s="3"/>
      <c r="M653" s="5"/>
      <c r="N653" s="5"/>
    </row>
    <row r="654">
      <c r="A654" s="2"/>
      <c r="B654" s="3"/>
      <c r="C654" s="3"/>
      <c r="D654" s="3"/>
      <c r="E654" s="4"/>
      <c r="F654" s="3"/>
      <c r="G654" s="5"/>
      <c r="H654" s="3"/>
      <c r="I654" s="5"/>
      <c r="J654" s="3"/>
      <c r="K654" s="5"/>
      <c r="L654" s="3"/>
      <c r="M654" s="5"/>
      <c r="N654" s="5"/>
    </row>
    <row r="655">
      <c r="A655" s="2"/>
      <c r="B655" s="3"/>
      <c r="C655" s="3"/>
      <c r="D655" s="3"/>
      <c r="E655" s="4"/>
      <c r="F655" s="3"/>
      <c r="G655" s="5"/>
      <c r="H655" s="3"/>
      <c r="I655" s="5"/>
      <c r="J655" s="3"/>
      <c r="K655" s="5"/>
      <c r="L655" s="3"/>
      <c r="M655" s="5"/>
      <c r="N655" s="5"/>
    </row>
    <row r="656">
      <c r="A656" s="2"/>
      <c r="B656" s="3"/>
      <c r="C656" s="3"/>
      <c r="D656" s="3"/>
      <c r="E656" s="4"/>
      <c r="F656" s="3"/>
      <c r="G656" s="5"/>
      <c r="H656" s="3"/>
      <c r="I656" s="5"/>
      <c r="J656" s="3"/>
      <c r="K656" s="5"/>
      <c r="L656" s="3"/>
      <c r="M656" s="5"/>
      <c r="N656" s="5"/>
    </row>
    <row r="657">
      <c r="A657" s="2"/>
      <c r="B657" s="3"/>
      <c r="C657" s="3"/>
      <c r="D657" s="3"/>
      <c r="E657" s="4"/>
      <c r="F657" s="3"/>
      <c r="G657" s="5"/>
      <c r="H657" s="3"/>
      <c r="I657" s="5"/>
      <c r="J657" s="3"/>
      <c r="K657" s="5"/>
      <c r="L657" s="3"/>
      <c r="M657" s="5"/>
      <c r="N657" s="5"/>
    </row>
    <row r="658">
      <c r="A658" s="2"/>
      <c r="B658" s="3"/>
      <c r="C658" s="3"/>
      <c r="D658" s="3"/>
      <c r="E658" s="4"/>
      <c r="F658" s="3"/>
      <c r="G658" s="5"/>
      <c r="H658" s="3"/>
      <c r="I658" s="5"/>
      <c r="J658" s="3"/>
      <c r="K658" s="5"/>
      <c r="L658" s="3"/>
      <c r="M658" s="5"/>
      <c r="N658" s="5"/>
    </row>
    <row r="659">
      <c r="A659" s="2"/>
      <c r="B659" s="3"/>
      <c r="C659" s="3"/>
      <c r="D659" s="3"/>
      <c r="E659" s="4"/>
      <c r="F659" s="3"/>
      <c r="G659" s="5"/>
      <c r="H659" s="3"/>
      <c r="I659" s="5"/>
      <c r="J659" s="3"/>
      <c r="K659" s="5"/>
      <c r="L659" s="3"/>
      <c r="M659" s="5"/>
      <c r="N659" s="5"/>
    </row>
    <row r="660">
      <c r="A660" s="2"/>
      <c r="B660" s="3"/>
      <c r="C660" s="3"/>
      <c r="D660" s="3"/>
      <c r="E660" s="4"/>
      <c r="F660" s="3"/>
      <c r="G660" s="5"/>
      <c r="H660" s="3"/>
      <c r="I660" s="5"/>
      <c r="J660" s="3"/>
      <c r="K660" s="5"/>
      <c r="L660" s="3"/>
      <c r="M660" s="5"/>
      <c r="N660" s="5"/>
    </row>
    <row r="661">
      <c r="A661" s="2"/>
      <c r="B661" s="3"/>
      <c r="C661" s="3"/>
      <c r="D661" s="3"/>
      <c r="E661" s="4"/>
      <c r="F661" s="3"/>
      <c r="G661" s="5"/>
      <c r="H661" s="3"/>
      <c r="I661" s="5"/>
      <c r="J661" s="3"/>
      <c r="K661" s="5"/>
      <c r="L661" s="3"/>
      <c r="M661" s="5"/>
      <c r="N661" s="5"/>
    </row>
    <row r="662">
      <c r="A662" s="2"/>
      <c r="B662" s="3"/>
      <c r="C662" s="3"/>
      <c r="D662" s="3"/>
      <c r="E662" s="4"/>
      <c r="F662" s="3"/>
      <c r="G662" s="5"/>
      <c r="H662" s="3"/>
      <c r="I662" s="5"/>
      <c r="J662" s="3"/>
      <c r="K662" s="5"/>
      <c r="L662" s="3"/>
      <c r="M662" s="5"/>
      <c r="N662" s="5"/>
    </row>
    <row r="663">
      <c r="A663" s="2"/>
      <c r="B663" s="3"/>
      <c r="C663" s="3"/>
      <c r="D663" s="3"/>
      <c r="E663" s="4"/>
      <c r="F663" s="3"/>
      <c r="G663" s="5"/>
      <c r="H663" s="3"/>
      <c r="I663" s="5"/>
      <c r="J663" s="3"/>
      <c r="K663" s="5"/>
      <c r="L663" s="3"/>
      <c r="M663" s="5"/>
      <c r="N663" s="5"/>
    </row>
    <row r="664">
      <c r="A664" s="2"/>
      <c r="B664" s="3"/>
      <c r="C664" s="3"/>
      <c r="D664" s="3"/>
      <c r="E664" s="4"/>
      <c r="F664" s="3"/>
      <c r="G664" s="5"/>
      <c r="H664" s="3"/>
      <c r="I664" s="5"/>
      <c r="J664" s="3"/>
      <c r="K664" s="5"/>
      <c r="L664" s="3"/>
      <c r="M664" s="5"/>
      <c r="N664" s="5"/>
    </row>
    <row r="665">
      <c r="A665" s="2"/>
      <c r="B665" s="3"/>
      <c r="C665" s="3"/>
      <c r="D665" s="3"/>
      <c r="E665" s="4"/>
      <c r="F665" s="3"/>
      <c r="G665" s="5"/>
      <c r="H665" s="3"/>
      <c r="I665" s="5"/>
      <c r="J665" s="3"/>
      <c r="K665" s="5"/>
      <c r="L665" s="3"/>
      <c r="M665" s="5"/>
      <c r="N665" s="5"/>
    </row>
    <row r="666">
      <c r="A666" s="2"/>
      <c r="B666" s="3"/>
      <c r="C666" s="3"/>
      <c r="D666" s="3"/>
      <c r="E666" s="4"/>
      <c r="F666" s="3"/>
      <c r="G666" s="5"/>
      <c r="H666" s="3"/>
      <c r="I666" s="5"/>
      <c r="J666" s="3"/>
      <c r="K666" s="5"/>
      <c r="L666" s="3"/>
      <c r="M666" s="5"/>
      <c r="N666" s="5"/>
    </row>
    <row r="667">
      <c r="A667" s="2"/>
      <c r="B667" s="3"/>
      <c r="C667" s="3"/>
      <c r="D667" s="3"/>
      <c r="E667" s="4"/>
      <c r="F667" s="3"/>
      <c r="G667" s="5"/>
      <c r="H667" s="3"/>
      <c r="I667" s="5"/>
      <c r="J667" s="3"/>
      <c r="K667" s="5"/>
      <c r="L667" s="3"/>
      <c r="M667" s="5"/>
      <c r="N667" s="5"/>
    </row>
    <row r="668">
      <c r="A668" s="2"/>
      <c r="B668" s="3"/>
      <c r="C668" s="3"/>
      <c r="D668" s="3"/>
      <c r="E668" s="4"/>
      <c r="F668" s="3"/>
      <c r="G668" s="5"/>
      <c r="H668" s="3"/>
      <c r="I668" s="5"/>
      <c r="J668" s="3"/>
      <c r="K668" s="5"/>
      <c r="L668" s="3"/>
      <c r="M668" s="5"/>
      <c r="N668" s="5"/>
    </row>
    <row r="669">
      <c r="A669" s="2"/>
      <c r="B669" s="3"/>
      <c r="C669" s="3"/>
      <c r="D669" s="3"/>
      <c r="E669" s="4"/>
      <c r="F669" s="3"/>
      <c r="G669" s="5"/>
      <c r="H669" s="3"/>
      <c r="I669" s="5"/>
      <c r="J669" s="3"/>
      <c r="K669" s="5"/>
      <c r="L669" s="3"/>
      <c r="M669" s="5"/>
      <c r="N669" s="5"/>
    </row>
    <row r="670">
      <c r="A670" s="2"/>
      <c r="B670" s="3"/>
      <c r="C670" s="3"/>
      <c r="D670" s="3"/>
      <c r="E670" s="4"/>
      <c r="F670" s="3"/>
      <c r="G670" s="5"/>
      <c r="H670" s="3"/>
      <c r="I670" s="5"/>
      <c r="J670" s="3"/>
      <c r="K670" s="5"/>
      <c r="L670" s="3"/>
      <c r="M670" s="5"/>
      <c r="N670" s="5"/>
    </row>
    <row r="671">
      <c r="A671" s="2"/>
      <c r="B671" s="3"/>
      <c r="C671" s="3"/>
      <c r="D671" s="3"/>
      <c r="E671" s="4"/>
      <c r="F671" s="3"/>
      <c r="G671" s="5"/>
      <c r="H671" s="3"/>
      <c r="I671" s="5"/>
      <c r="J671" s="3"/>
      <c r="K671" s="5"/>
      <c r="L671" s="3"/>
      <c r="M671" s="5"/>
      <c r="N671" s="5"/>
    </row>
    <row r="672">
      <c r="A672" s="2"/>
      <c r="B672" s="3"/>
      <c r="C672" s="3"/>
      <c r="D672" s="3"/>
      <c r="E672" s="4"/>
      <c r="F672" s="3"/>
      <c r="G672" s="5"/>
      <c r="H672" s="3"/>
      <c r="I672" s="5"/>
      <c r="J672" s="3"/>
      <c r="K672" s="5"/>
      <c r="L672" s="3"/>
      <c r="M672" s="5"/>
      <c r="N672" s="5"/>
    </row>
    <row r="673">
      <c r="A673" s="2"/>
      <c r="B673" s="3"/>
      <c r="C673" s="3"/>
      <c r="D673" s="3"/>
      <c r="E673" s="4"/>
      <c r="F673" s="3"/>
      <c r="G673" s="5"/>
      <c r="H673" s="3"/>
      <c r="I673" s="5"/>
      <c r="J673" s="3"/>
      <c r="K673" s="5"/>
      <c r="L673" s="3"/>
      <c r="M673" s="5"/>
      <c r="N673" s="5"/>
    </row>
    <row r="674">
      <c r="A674" s="2"/>
      <c r="B674" s="3"/>
      <c r="C674" s="3"/>
      <c r="D674" s="3"/>
      <c r="E674" s="4"/>
      <c r="F674" s="3"/>
      <c r="G674" s="5"/>
      <c r="H674" s="3"/>
      <c r="I674" s="5"/>
      <c r="J674" s="3"/>
      <c r="K674" s="5"/>
      <c r="L674" s="3"/>
      <c r="M674" s="5"/>
      <c r="N674" s="5"/>
    </row>
    <row r="675">
      <c r="A675" s="2"/>
      <c r="B675" s="3"/>
      <c r="C675" s="3"/>
      <c r="D675" s="3"/>
      <c r="E675" s="4"/>
      <c r="F675" s="3"/>
      <c r="G675" s="5"/>
      <c r="H675" s="3"/>
      <c r="I675" s="5"/>
      <c r="J675" s="3"/>
      <c r="K675" s="5"/>
      <c r="L675" s="3"/>
      <c r="M675" s="5"/>
      <c r="N675" s="5"/>
    </row>
    <row r="676">
      <c r="A676" s="2"/>
      <c r="B676" s="3"/>
      <c r="C676" s="3"/>
      <c r="D676" s="3"/>
      <c r="E676" s="4"/>
      <c r="F676" s="3"/>
      <c r="G676" s="5"/>
      <c r="H676" s="3"/>
      <c r="I676" s="5"/>
      <c r="J676" s="3"/>
      <c r="K676" s="5"/>
      <c r="L676" s="3"/>
      <c r="M676" s="5"/>
      <c r="N676" s="5"/>
    </row>
    <row r="677">
      <c r="A677" s="2"/>
      <c r="B677" s="3"/>
      <c r="C677" s="3"/>
      <c r="D677" s="3"/>
      <c r="E677" s="4"/>
      <c r="F677" s="3"/>
      <c r="G677" s="5"/>
      <c r="H677" s="3"/>
      <c r="I677" s="5"/>
      <c r="J677" s="3"/>
      <c r="K677" s="5"/>
      <c r="L677" s="3"/>
      <c r="M677" s="5"/>
      <c r="N677" s="5"/>
    </row>
    <row r="678">
      <c r="A678" s="2"/>
      <c r="B678" s="3"/>
      <c r="C678" s="3"/>
      <c r="D678" s="3"/>
      <c r="E678" s="4"/>
      <c r="F678" s="3"/>
      <c r="G678" s="5"/>
      <c r="H678" s="3"/>
      <c r="I678" s="5"/>
      <c r="J678" s="3"/>
      <c r="K678" s="5"/>
      <c r="L678" s="3"/>
      <c r="M678" s="5"/>
      <c r="N678" s="5"/>
    </row>
    <row r="679">
      <c r="A679" s="2"/>
      <c r="B679" s="3"/>
      <c r="C679" s="3"/>
      <c r="D679" s="3"/>
      <c r="E679" s="4"/>
      <c r="F679" s="3"/>
      <c r="G679" s="5"/>
      <c r="H679" s="3"/>
      <c r="I679" s="5"/>
      <c r="J679" s="3"/>
      <c r="K679" s="5"/>
      <c r="L679" s="3"/>
      <c r="M679" s="5"/>
      <c r="N679" s="5"/>
    </row>
    <row r="680">
      <c r="A680" s="2"/>
      <c r="B680" s="3"/>
      <c r="C680" s="3"/>
      <c r="D680" s="3"/>
      <c r="E680" s="4"/>
      <c r="F680" s="3"/>
      <c r="G680" s="5"/>
      <c r="H680" s="3"/>
      <c r="I680" s="5"/>
      <c r="J680" s="3"/>
      <c r="K680" s="5"/>
      <c r="L680" s="3"/>
      <c r="M680" s="5"/>
      <c r="N680" s="5"/>
    </row>
    <row r="681">
      <c r="A681" s="2"/>
      <c r="B681" s="3"/>
      <c r="C681" s="3"/>
      <c r="D681" s="3"/>
      <c r="E681" s="4"/>
      <c r="F681" s="3"/>
      <c r="G681" s="5"/>
      <c r="H681" s="3"/>
      <c r="I681" s="5"/>
      <c r="J681" s="3"/>
      <c r="K681" s="5"/>
      <c r="L681" s="3"/>
      <c r="M681" s="5"/>
      <c r="N681" s="5"/>
    </row>
    <row r="682">
      <c r="A682" s="2"/>
      <c r="B682" s="3"/>
      <c r="C682" s="3"/>
      <c r="D682" s="3"/>
      <c r="E682" s="4"/>
      <c r="F682" s="3"/>
      <c r="G682" s="5"/>
      <c r="H682" s="3"/>
      <c r="I682" s="5"/>
      <c r="J682" s="3"/>
      <c r="K682" s="5"/>
      <c r="L682" s="3"/>
      <c r="M682" s="5"/>
      <c r="N682" s="5"/>
    </row>
    <row r="683">
      <c r="A683" s="2"/>
      <c r="B683" s="3"/>
      <c r="C683" s="3"/>
      <c r="D683" s="3"/>
      <c r="E683" s="4"/>
      <c r="F683" s="3"/>
      <c r="G683" s="5"/>
      <c r="H683" s="3"/>
      <c r="I683" s="5"/>
      <c r="J683" s="3"/>
      <c r="K683" s="5"/>
      <c r="L683" s="3"/>
      <c r="M683" s="5"/>
      <c r="N683" s="5"/>
    </row>
    <row r="684">
      <c r="A684" s="2"/>
      <c r="B684" s="3"/>
      <c r="C684" s="3"/>
      <c r="D684" s="3"/>
      <c r="E684" s="4"/>
      <c r="F684" s="3"/>
      <c r="G684" s="5"/>
      <c r="H684" s="3"/>
      <c r="I684" s="5"/>
      <c r="J684" s="3"/>
      <c r="K684" s="5"/>
      <c r="L684" s="3"/>
      <c r="M684" s="5"/>
      <c r="N684" s="5"/>
    </row>
    <row r="685">
      <c r="A685" s="2"/>
      <c r="B685" s="3"/>
      <c r="C685" s="3"/>
      <c r="D685" s="3"/>
      <c r="E685" s="4"/>
      <c r="F685" s="3"/>
      <c r="G685" s="5"/>
      <c r="H685" s="3"/>
      <c r="I685" s="5"/>
      <c r="J685" s="3"/>
      <c r="K685" s="5"/>
      <c r="L685" s="3"/>
      <c r="M685" s="5"/>
      <c r="N685" s="5"/>
    </row>
    <row r="686">
      <c r="A686" s="2"/>
      <c r="B686" s="3"/>
      <c r="C686" s="3"/>
      <c r="D686" s="3"/>
      <c r="E686" s="4"/>
      <c r="F686" s="3"/>
      <c r="G686" s="5"/>
      <c r="H686" s="3"/>
      <c r="I686" s="5"/>
      <c r="J686" s="3"/>
      <c r="K686" s="5"/>
      <c r="L686" s="3"/>
      <c r="M686" s="5"/>
      <c r="N686" s="5"/>
    </row>
    <row r="687">
      <c r="A687" s="2"/>
      <c r="B687" s="3"/>
      <c r="C687" s="3"/>
      <c r="D687" s="3"/>
      <c r="E687" s="4"/>
      <c r="F687" s="3"/>
      <c r="G687" s="5"/>
      <c r="H687" s="3"/>
      <c r="I687" s="5"/>
      <c r="J687" s="3"/>
      <c r="K687" s="5"/>
      <c r="L687" s="3"/>
      <c r="M687" s="5"/>
      <c r="N687" s="5"/>
    </row>
    <row r="688">
      <c r="A688" s="2"/>
      <c r="B688" s="3"/>
      <c r="C688" s="3"/>
      <c r="D688" s="3"/>
      <c r="E688" s="4"/>
      <c r="F688" s="3"/>
      <c r="G688" s="5"/>
      <c r="H688" s="3"/>
      <c r="I688" s="5"/>
      <c r="J688" s="3"/>
      <c r="K688" s="5"/>
      <c r="L688" s="3"/>
      <c r="M688" s="5"/>
      <c r="N688" s="5"/>
    </row>
    <row r="689">
      <c r="A689" s="2"/>
      <c r="B689" s="3"/>
      <c r="C689" s="3"/>
      <c r="D689" s="3"/>
      <c r="E689" s="4"/>
      <c r="F689" s="3"/>
      <c r="G689" s="5"/>
      <c r="H689" s="3"/>
      <c r="I689" s="5"/>
      <c r="J689" s="3"/>
      <c r="K689" s="5"/>
      <c r="L689" s="3"/>
      <c r="M689" s="5"/>
      <c r="N689" s="5"/>
    </row>
    <row r="690">
      <c r="A690" s="2"/>
      <c r="B690" s="3"/>
      <c r="C690" s="3"/>
      <c r="D690" s="3"/>
      <c r="E690" s="4"/>
      <c r="F690" s="3"/>
      <c r="G690" s="5"/>
      <c r="H690" s="3"/>
      <c r="I690" s="5"/>
      <c r="J690" s="3"/>
      <c r="K690" s="5"/>
      <c r="L690" s="3"/>
      <c r="M690" s="5"/>
      <c r="N690" s="5"/>
    </row>
    <row r="691">
      <c r="A691" s="2"/>
      <c r="B691" s="3"/>
      <c r="C691" s="3"/>
      <c r="D691" s="3"/>
      <c r="E691" s="4"/>
      <c r="F691" s="3"/>
      <c r="G691" s="5"/>
      <c r="H691" s="3"/>
      <c r="I691" s="5"/>
      <c r="J691" s="3"/>
      <c r="K691" s="5"/>
      <c r="L691" s="3"/>
      <c r="M691" s="5"/>
      <c r="N691" s="5"/>
    </row>
    <row r="692">
      <c r="A692" s="2"/>
      <c r="B692" s="3"/>
      <c r="C692" s="3"/>
      <c r="D692" s="3"/>
      <c r="E692" s="4"/>
      <c r="F692" s="3"/>
      <c r="G692" s="5"/>
      <c r="H692" s="3"/>
      <c r="I692" s="5"/>
      <c r="J692" s="3"/>
      <c r="K692" s="5"/>
      <c r="L692" s="3"/>
      <c r="M692" s="5"/>
      <c r="N692" s="5"/>
    </row>
    <row r="693">
      <c r="A693" s="2"/>
      <c r="B693" s="3"/>
      <c r="C693" s="3"/>
      <c r="D693" s="3"/>
      <c r="E693" s="4"/>
      <c r="F693" s="3"/>
      <c r="G693" s="5"/>
      <c r="H693" s="3"/>
      <c r="I693" s="5"/>
      <c r="J693" s="3"/>
      <c r="K693" s="5"/>
      <c r="L693" s="3"/>
      <c r="M693" s="5"/>
      <c r="N693" s="5"/>
    </row>
    <row r="694">
      <c r="A694" s="2"/>
      <c r="B694" s="3"/>
      <c r="C694" s="3"/>
      <c r="D694" s="3"/>
      <c r="E694" s="4"/>
      <c r="F694" s="3"/>
      <c r="G694" s="5"/>
      <c r="H694" s="3"/>
      <c r="I694" s="5"/>
      <c r="J694" s="3"/>
      <c r="K694" s="5"/>
      <c r="L694" s="3"/>
      <c r="M694" s="5"/>
      <c r="N694" s="5"/>
    </row>
    <row r="695">
      <c r="A695" s="2"/>
      <c r="B695" s="3"/>
      <c r="C695" s="3"/>
      <c r="D695" s="3"/>
      <c r="E695" s="4"/>
      <c r="F695" s="3"/>
      <c r="G695" s="5"/>
      <c r="H695" s="3"/>
      <c r="I695" s="5"/>
      <c r="J695" s="3"/>
      <c r="K695" s="5"/>
      <c r="L695" s="3"/>
      <c r="M695" s="5"/>
      <c r="N695" s="5"/>
    </row>
    <row r="696">
      <c r="A696" s="2"/>
      <c r="B696" s="3"/>
      <c r="C696" s="3"/>
      <c r="D696" s="3"/>
      <c r="E696" s="4"/>
      <c r="F696" s="3"/>
      <c r="G696" s="5"/>
      <c r="H696" s="3"/>
      <c r="I696" s="5"/>
      <c r="J696" s="3"/>
      <c r="K696" s="5"/>
      <c r="L696" s="3"/>
      <c r="M696" s="5"/>
      <c r="N696" s="5"/>
    </row>
    <row r="697">
      <c r="A697" s="2"/>
      <c r="B697" s="3"/>
      <c r="C697" s="3"/>
      <c r="D697" s="3"/>
      <c r="E697" s="4"/>
      <c r="F697" s="3"/>
      <c r="G697" s="5"/>
      <c r="H697" s="3"/>
      <c r="I697" s="5"/>
      <c r="J697" s="3"/>
      <c r="K697" s="5"/>
      <c r="L697" s="3"/>
      <c r="M697" s="5"/>
      <c r="N697" s="5"/>
    </row>
    <row r="698">
      <c r="A698" s="2"/>
      <c r="B698" s="3"/>
      <c r="C698" s="3"/>
      <c r="D698" s="3"/>
      <c r="E698" s="4"/>
      <c r="F698" s="3"/>
      <c r="G698" s="5"/>
      <c r="H698" s="3"/>
      <c r="I698" s="5"/>
      <c r="J698" s="3"/>
      <c r="K698" s="5"/>
      <c r="L698" s="3"/>
      <c r="M698" s="5"/>
      <c r="N698" s="5"/>
    </row>
    <row r="699">
      <c r="A699" s="2"/>
      <c r="B699" s="3"/>
      <c r="C699" s="3"/>
      <c r="D699" s="3"/>
      <c r="E699" s="4"/>
      <c r="F699" s="3"/>
      <c r="G699" s="5"/>
      <c r="H699" s="3"/>
      <c r="I699" s="5"/>
      <c r="J699" s="3"/>
      <c r="K699" s="5"/>
      <c r="L699" s="3"/>
      <c r="M699" s="5"/>
      <c r="N699" s="5"/>
    </row>
    <row r="700">
      <c r="A700" s="2"/>
      <c r="B700" s="3"/>
      <c r="C700" s="3"/>
      <c r="D700" s="3"/>
      <c r="E700" s="4"/>
      <c r="F700" s="3"/>
      <c r="G700" s="5"/>
      <c r="H700" s="3"/>
      <c r="I700" s="5"/>
      <c r="J700" s="3"/>
      <c r="K700" s="5"/>
      <c r="L700" s="3"/>
      <c r="M700" s="5"/>
      <c r="N700" s="5"/>
    </row>
    <row r="701">
      <c r="A701" s="2"/>
      <c r="B701" s="3"/>
      <c r="C701" s="3"/>
      <c r="D701" s="3"/>
      <c r="E701" s="4"/>
      <c r="F701" s="3"/>
      <c r="G701" s="5"/>
      <c r="H701" s="3"/>
      <c r="I701" s="5"/>
      <c r="J701" s="3"/>
      <c r="K701" s="5"/>
      <c r="L701" s="3"/>
      <c r="M701" s="5"/>
      <c r="N701" s="5"/>
    </row>
    <row r="702">
      <c r="A702" s="2"/>
      <c r="B702" s="3"/>
      <c r="C702" s="3"/>
      <c r="D702" s="3"/>
      <c r="E702" s="4"/>
      <c r="F702" s="3"/>
      <c r="G702" s="5"/>
      <c r="H702" s="3"/>
      <c r="I702" s="5"/>
      <c r="J702" s="3"/>
      <c r="K702" s="5"/>
      <c r="L702" s="3"/>
      <c r="M702" s="5"/>
      <c r="N702" s="5"/>
    </row>
    <row r="703">
      <c r="A703" s="2"/>
      <c r="B703" s="3"/>
      <c r="C703" s="3"/>
      <c r="D703" s="3"/>
      <c r="E703" s="4"/>
      <c r="F703" s="3"/>
      <c r="G703" s="5"/>
      <c r="H703" s="3"/>
      <c r="I703" s="5"/>
      <c r="J703" s="3"/>
      <c r="K703" s="5"/>
      <c r="L703" s="3"/>
      <c r="M703" s="5"/>
      <c r="N703" s="5"/>
    </row>
    <row r="704">
      <c r="A704" s="2"/>
      <c r="B704" s="3"/>
      <c r="C704" s="3"/>
      <c r="D704" s="3"/>
      <c r="E704" s="4"/>
      <c r="F704" s="3"/>
      <c r="G704" s="5"/>
      <c r="H704" s="3"/>
      <c r="I704" s="5"/>
      <c r="J704" s="3"/>
      <c r="K704" s="5"/>
      <c r="L704" s="3"/>
      <c r="M704" s="5"/>
      <c r="N704" s="5"/>
    </row>
    <row r="705">
      <c r="A705" s="2"/>
      <c r="B705" s="3"/>
      <c r="C705" s="3"/>
      <c r="D705" s="3"/>
      <c r="E705" s="4"/>
      <c r="F705" s="3"/>
      <c r="G705" s="5"/>
      <c r="H705" s="3"/>
      <c r="I705" s="5"/>
      <c r="J705" s="3"/>
      <c r="K705" s="5"/>
      <c r="L705" s="3"/>
      <c r="M705" s="5"/>
      <c r="N705" s="5"/>
    </row>
    <row r="706">
      <c r="A706" s="2"/>
      <c r="B706" s="3"/>
      <c r="C706" s="3"/>
      <c r="D706" s="3"/>
      <c r="E706" s="4"/>
      <c r="F706" s="3"/>
      <c r="G706" s="5"/>
      <c r="H706" s="3"/>
      <c r="I706" s="5"/>
      <c r="J706" s="3"/>
      <c r="K706" s="5"/>
      <c r="L706" s="3"/>
      <c r="M706" s="5"/>
      <c r="N706" s="5"/>
    </row>
    <row r="707">
      <c r="A707" s="2"/>
      <c r="B707" s="3"/>
      <c r="C707" s="3"/>
      <c r="D707" s="3"/>
      <c r="E707" s="4"/>
      <c r="F707" s="3"/>
      <c r="G707" s="5"/>
      <c r="H707" s="3"/>
      <c r="I707" s="5"/>
      <c r="J707" s="3"/>
      <c r="K707" s="5"/>
      <c r="L707" s="3"/>
      <c r="M707" s="5"/>
      <c r="N707" s="5"/>
    </row>
    <row r="708">
      <c r="A708" s="2"/>
      <c r="B708" s="3"/>
      <c r="C708" s="3"/>
      <c r="D708" s="3"/>
      <c r="E708" s="4"/>
      <c r="F708" s="3"/>
      <c r="G708" s="5"/>
      <c r="H708" s="3"/>
      <c r="I708" s="5"/>
      <c r="J708" s="3"/>
      <c r="K708" s="5"/>
      <c r="L708" s="3"/>
      <c r="M708" s="5"/>
      <c r="N708" s="5"/>
    </row>
    <row r="709">
      <c r="A709" s="2"/>
      <c r="B709" s="3"/>
      <c r="C709" s="3"/>
      <c r="D709" s="3"/>
      <c r="E709" s="4"/>
      <c r="F709" s="3"/>
      <c r="G709" s="5"/>
      <c r="H709" s="3"/>
      <c r="I709" s="5"/>
      <c r="J709" s="3"/>
      <c r="K709" s="5"/>
      <c r="L709" s="3"/>
      <c r="M709" s="5"/>
      <c r="N709" s="5"/>
    </row>
    <row r="710">
      <c r="A710" s="2"/>
      <c r="B710" s="3"/>
      <c r="C710" s="3"/>
      <c r="D710" s="3"/>
      <c r="E710" s="4"/>
      <c r="F710" s="3"/>
      <c r="G710" s="5"/>
      <c r="H710" s="3"/>
      <c r="I710" s="5"/>
      <c r="J710" s="3"/>
      <c r="K710" s="5"/>
      <c r="L710" s="3"/>
      <c r="M710" s="5"/>
      <c r="N710" s="5"/>
    </row>
    <row r="711">
      <c r="A711" s="2"/>
      <c r="B711" s="3"/>
      <c r="C711" s="3"/>
      <c r="D711" s="3"/>
      <c r="E711" s="4"/>
      <c r="F711" s="3"/>
      <c r="G711" s="5"/>
      <c r="H711" s="3"/>
      <c r="I711" s="5"/>
      <c r="J711" s="3"/>
      <c r="K711" s="5"/>
      <c r="L711" s="3"/>
      <c r="M711" s="5"/>
      <c r="N711" s="5"/>
    </row>
    <row r="712">
      <c r="A712" s="2"/>
      <c r="B712" s="3"/>
      <c r="C712" s="3"/>
      <c r="D712" s="3"/>
      <c r="E712" s="4"/>
      <c r="F712" s="3"/>
      <c r="G712" s="5"/>
      <c r="H712" s="3"/>
      <c r="I712" s="5"/>
      <c r="J712" s="3"/>
      <c r="K712" s="5"/>
      <c r="L712" s="3"/>
      <c r="M712" s="5"/>
      <c r="N712" s="5"/>
    </row>
    <row r="713">
      <c r="A713" s="2"/>
      <c r="B713" s="3"/>
      <c r="C713" s="3"/>
      <c r="D713" s="3"/>
      <c r="E713" s="4"/>
      <c r="F713" s="3"/>
      <c r="G713" s="5"/>
      <c r="H713" s="3"/>
      <c r="I713" s="5"/>
      <c r="J713" s="3"/>
      <c r="K713" s="5"/>
      <c r="L713" s="3"/>
      <c r="M713" s="5"/>
      <c r="N713" s="5"/>
    </row>
    <row r="714">
      <c r="A714" s="2"/>
      <c r="B714" s="3"/>
      <c r="C714" s="3"/>
      <c r="D714" s="3"/>
      <c r="E714" s="4"/>
      <c r="F714" s="3"/>
      <c r="G714" s="5"/>
      <c r="H714" s="3"/>
      <c r="I714" s="5"/>
      <c r="J714" s="3"/>
      <c r="K714" s="5"/>
      <c r="L714" s="3"/>
      <c r="M714" s="5"/>
      <c r="N714" s="5"/>
    </row>
    <row r="715">
      <c r="A715" s="2"/>
      <c r="B715" s="3"/>
      <c r="C715" s="3"/>
      <c r="D715" s="3"/>
      <c r="E715" s="4"/>
      <c r="F715" s="3"/>
      <c r="G715" s="5"/>
      <c r="H715" s="3"/>
      <c r="I715" s="5"/>
      <c r="J715" s="3"/>
      <c r="K715" s="5"/>
      <c r="L715" s="3"/>
      <c r="M715" s="5"/>
      <c r="N715" s="5"/>
    </row>
    <row r="716">
      <c r="A716" s="2"/>
      <c r="B716" s="3"/>
      <c r="C716" s="3"/>
      <c r="D716" s="3"/>
      <c r="E716" s="4"/>
      <c r="F716" s="3"/>
      <c r="G716" s="5"/>
      <c r="H716" s="3"/>
      <c r="I716" s="5"/>
      <c r="J716" s="3"/>
      <c r="K716" s="5"/>
      <c r="L716" s="3"/>
      <c r="M716" s="5"/>
      <c r="N716" s="5"/>
    </row>
    <row r="717">
      <c r="A717" s="2"/>
      <c r="B717" s="3"/>
      <c r="C717" s="3"/>
      <c r="D717" s="3"/>
      <c r="E717" s="4"/>
      <c r="F717" s="3"/>
      <c r="G717" s="5"/>
      <c r="H717" s="3"/>
      <c r="I717" s="5"/>
      <c r="J717" s="3"/>
      <c r="K717" s="5"/>
      <c r="L717" s="3"/>
      <c r="M717" s="5"/>
      <c r="N717" s="5"/>
    </row>
    <row r="718">
      <c r="A718" s="2"/>
      <c r="B718" s="3"/>
      <c r="C718" s="3"/>
      <c r="D718" s="3"/>
      <c r="E718" s="4"/>
      <c r="F718" s="3"/>
      <c r="G718" s="5"/>
      <c r="H718" s="3"/>
      <c r="I718" s="5"/>
      <c r="J718" s="3"/>
      <c r="K718" s="5"/>
      <c r="L718" s="3"/>
      <c r="M718" s="5"/>
      <c r="N718" s="5"/>
    </row>
    <row r="719">
      <c r="A719" s="2"/>
      <c r="B719" s="3"/>
      <c r="C719" s="3"/>
      <c r="D719" s="3"/>
      <c r="E719" s="4"/>
      <c r="F719" s="3"/>
      <c r="G719" s="5"/>
      <c r="H719" s="3"/>
      <c r="I719" s="5"/>
      <c r="J719" s="3"/>
      <c r="K719" s="5"/>
      <c r="L719" s="3"/>
      <c r="M719" s="5"/>
      <c r="N719" s="5"/>
    </row>
    <row r="720">
      <c r="A720" s="2"/>
      <c r="B720" s="3"/>
      <c r="C720" s="3"/>
      <c r="D720" s="3"/>
      <c r="E720" s="4"/>
      <c r="F720" s="3"/>
      <c r="G720" s="5"/>
      <c r="H720" s="3"/>
      <c r="I720" s="5"/>
      <c r="J720" s="3"/>
      <c r="K720" s="5"/>
      <c r="L720" s="3"/>
      <c r="M720" s="5"/>
      <c r="N720" s="5"/>
    </row>
    <row r="721">
      <c r="A721" s="2"/>
      <c r="B721" s="3"/>
      <c r="C721" s="3"/>
      <c r="D721" s="3"/>
      <c r="E721" s="4"/>
      <c r="F721" s="3"/>
      <c r="G721" s="5"/>
      <c r="H721" s="3"/>
      <c r="I721" s="5"/>
      <c r="J721" s="3"/>
      <c r="K721" s="5"/>
      <c r="L721" s="3"/>
      <c r="M721" s="5"/>
      <c r="N721" s="5"/>
    </row>
    <row r="722">
      <c r="A722" s="2"/>
      <c r="B722" s="3"/>
      <c r="C722" s="3"/>
      <c r="D722" s="3"/>
      <c r="E722" s="4"/>
      <c r="F722" s="3"/>
      <c r="G722" s="5"/>
      <c r="H722" s="3"/>
      <c r="I722" s="5"/>
      <c r="J722" s="3"/>
      <c r="K722" s="5"/>
      <c r="L722" s="3"/>
      <c r="M722" s="5"/>
      <c r="N722" s="5"/>
    </row>
    <row r="723">
      <c r="A723" s="2"/>
      <c r="B723" s="3"/>
      <c r="C723" s="3"/>
      <c r="D723" s="3"/>
      <c r="E723" s="4"/>
      <c r="F723" s="3"/>
      <c r="G723" s="5"/>
      <c r="H723" s="3"/>
      <c r="I723" s="5"/>
      <c r="J723" s="3"/>
      <c r="K723" s="5"/>
      <c r="L723" s="3"/>
      <c r="M723" s="5"/>
      <c r="N723" s="5"/>
    </row>
    <row r="724">
      <c r="A724" s="2"/>
      <c r="B724" s="3"/>
      <c r="C724" s="3"/>
      <c r="D724" s="3"/>
      <c r="E724" s="4"/>
      <c r="F724" s="3"/>
      <c r="G724" s="5"/>
      <c r="H724" s="3"/>
      <c r="I724" s="5"/>
      <c r="J724" s="3"/>
      <c r="K724" s="5"/>
      <c r="L724" s="3"/>
      <c r="M724" s="5"/>
      <c r="N724" s="5"/>
    </row>
    <row r="725">
      <c r="A725" s="2"/>
      <c r="B725" s="3"/>
      <c r="C725" s="3"/>
      <c r="D725" s="3"/>
      <c r="E725" s="4"/>
      <c r="F725" s="3"/>
      <c r="G725" s="5"/>
      <c r="H725" s="3"/>
      <c r="I725" s="5"/>
      <c r="J725" s="3"/>
      <c r="K725" s="5"/>
      <c r="L725" s="3"/>
      <c r="M725" s="5"/>
      <c r="N725" s="5"/>
    </row>
    <row r="726">
      <c r="A726" s="2"/>
      <c r="B726" s="3"/>
      <c r="C726" s="3"/>
      <c r="D726" s="3"/>
      <c r="E726" s="4"/>
      <c r="F726" s="3"/>
      <c r="G726" s="5"/>
      <c r="H726" s="3"/>
      <c r="I726" s="5"/>
      <c r="J726" s="3"/>
      <c r="K726" s="5"/>
      <c r="L726" s="3"/>
      <c r="M726" s="5"/>
      <c r="N726" s="5"/>
    </row>
    <row r="727">
      <c r="A727" s="2"/>
      <c r="B727" s="3"/>
      <c r="C727" s="3"/>
      <c r="D727" s="3"/>
      <c r="E727" s="4"/>
      <c r="F727" s="3"/>
      <c r="G727" s="5"/>
      <c r="H727" s="3"/>
      <c r="I727" s="5"/>
      <c r="J727" s="3"/>
      <c r="K727" s="5"/>
      <c r="L727" s="3"/>
      <c r="M727" s="5"/>
      <c r="N727" s="5"/>
    </row>
    <row r="728">
      <c r="A728" s="2"/>
      <c r="B728" s="3"/>
      <c r="C728" s="3"/>
      <c r="D728" s="3"/>
      <c r="E728" s="4"/>
      <c r="F728" s="3"/>
      <c r="G728" s="5"/>
      <c r="H728" s="3"/>
      <c r="I728" s="5"/>
      <c r="J728" s="3"/>
      <c r="K728" s="5"/>
      <c r="L728" s="3"/>
      <c r="M728" s="5"/>
      <c r="N728" s="5"/>
    </row>
    <row r="729">
      <c r="A729" s="2"/>
      <c r="B729" s="3"/>
      <c r="C729" s="3"/>
      <c r="D729" s="3"/>
      <c r="E729" s="4"/>
      <c r="F729" s="3"/>
      <c r="G729" s="5"/>
      <c r="H729" s="3"/>
      <c r="I729" s="5"/>
      <c r="J729" s="3"/>
      <c r="K729" s="5"/>
      <c r="L729" s="3"/>
      <c r="M729" s="5"/>
      <c r="N729" s="5"/>
    </row>
    <row r="730">
      <c r="A730" s="2"/>
      <c r="B730" s="3"/>
      <c r="C730" s="3"/>
      <c r="D730" s="3"/>
      <c r="E730" s="4"/>
      <c r="F730" s="3"/>
      <c r="G730" s="5"/>
      <c r="H730" s="3"/>
      <c r="I730" s="5"/>
      <c r="J730" s="3"/>
      <c r="K730" s="5"/>
      <c r="L730" s="3"/>
      <c r="M730" s="5"/>
      <c r="N730" s="5"/>
    </row>
    <row r="731">
      <c r="A731" s="2"/>
      <c r="B731" s="3"/>
      <c r="C731" s="3"/>
      <c r="D731" s="3"/>
      <c r="E731" s="4"/>
      <c r="F731" s="3"/>
      <c r="G731" s="5"/>
      <c r="H731" s="3"/>
      <c r="I731" s="5"/>
      <c r="J731" s="3"/>
      <c r="K731" s="5"/>
      <c r="L731" s="3"/>
      <c r="M731" s="5"/>
      <c r="N731" s="5"/>
    </row>
    <row r="732">
      <c r="A732" s="2"/>
      <c r="B732" s="3"/>
      <c r="C732" s="3"/>
      <c r="D732" s="3"/>
      <c r="E732" s="4"/>
      <c r="F732" s="3"/>
      <c r="G732" s="5"/>
      <c r="H732" s="3"/>
      <c r="I732" s="5"/>
      <c r="J732" s="3"/>
      <c r="K732" s="5"/>
      <c r="L732" s="3"/>
      <c r="M732" s="5"/>
      <c r="N732" s="5"/>
    </row>
    <row r="733">
      <c r="A733" s="2"/>
      <c r="B733" s="3"/>
      <c r="C733" s="3"/>
      <c r="D733" s="3"/>
      <c r="E733" s="4"/>
      <c r="F733" s="3"/>
      <c r="G733" s="5"/>
      <c r="H733" s="3"/>
      <c r="I733" s="5"/>
      <c r="J733" s="3"/>
      <c r="K733" s="5"/>
      <c r="L733" s="3"/>
      <c r="M733" s="5"/>
      <c r="N733" s="5"/>
    </row>
    <row r="734">
      <c r="A734" s="2"/>
      <c r="B734" s="3"/>
      <c r="C734" s="3"/>
      <c r="D734" s="3"/>
      <c r="E734" s="4"/>
      <c r="F734" s="3"/>
      <c r="G734" s="5"/>
      <c r="H734" s="3"/>
      <c r="I734" s="5"/>
      <c r="J734" s="3"/>
      <c r="K734" s="5"/>
      <c r="L734" s="3"/>
      <c r="M734" s="5"/>
      <c r="N734" s="5"/>
    </row>
    <row r="735">
      <c r="A735" s="2"/>
      <c r="B735" s="3"/>
      <c r="C735" s="3"/>
      <c r="D735" s="3"/>
      <c r="E735" s="4"/>
      <c r="F735" s="3"/>
      <c r="G735" s="5"/>
      <c r="H735" s="3"/>
      <c r="I735" s="5"/>
      <c r="J735" s="3"/>
      <c r="K735" s="5"/>
      <c r="L735" s="3"/>
      <c r="M735" s="5"/>
      <c r="N735" s="5"/>
    </row>
    <row r="736">
      <c r="A736" s="2"/>
      <c r="B736" s="3"/>
      <c r="C736" s="3"/>
      <c r="D736" s="3"/>
      <c r="E736" s="4"/>
      <c r="F736" s="3"/>
      <c r="G736" s="5"/>
      <c r="H736" s="3"/>
      <c r="I736" s="5"/>
      <c r="J736" s="3"/>
      <c r="K736" s="5"/>
      <c r="L736" s="3"/>
      <c r="M736" s="5"/>
      <c r="N736" s="5"/>
    </row>
    <row r="737">
      <c r="A737" s="2"/>
      <c r="B737" s="3"/>
      <c r="C737" s="3"/>
      <c r="D737" s="3"/>
      <c r="E737" s="4"/>
      <c r="F737" s="3"/>
      <c r="G737" s="5"/>
      <c r="H737" s="3"/>
      <c r="I737" s="5"/>
      <c r="J737" s="3"/>
      <c r="K737" s="5"/>
      <c r="L737" s="3"/>
      <c r="M737" s="5"/>
      <c r="N737" s="5"/>
    </row>
    <row r="738">
      <c r="A738" s="2"/>
      <c r="B738" s="3"/>
      <c r="C738" s="3"/>
      <c r="D738" s="3"/>
      <c r="E738" s="4"/>
      <c r="F738" s="3"/>
      <c r="G738" s="5"/>
      <c r="H738" s="3"/>
      <c r="I738" s="5"/>
      <c r="J738" s="3"/>
      <c r="K738" s="5"/>
      <c r="L738" s="3"/>
      <c r="M738" s="5"/>
      <c r="N738" s="5"/>
    </row>
    <row r="739">
      <c r="A739" s="2"/>
      <c r="B739" s="3"/>
      <c r="C739" s="3"/>
      <c r="D739" s="3"/>
      <c r="E739" s="4"/>
      <c r="F739" s="3"/>
      <c r="G739" s="5"/>
      <c r="H739" s="3"/>
      <c r="I739" s="5"/>
      <c r="J739" s="3"/>
      <c r="K739" s="5"/>
      <c r="L739" s="3"/>
      <c r="M739" s="5"/>
      <c r="N739" s="5"/>
    </row>
    <row r="740">
      <c r="A740" s="2"/>
      <c r="B740" s="3"/>
      <c r="C740" s="3"/>
      <c r="D740" s="3"/>
      <c r="E740" s="4"/>
      <c r="F740" s="3"/>
      <c r="G740" s="5"/>
      <c r="H740" s="3"/>
      <c r="I740" s="5"/>
      <c r="J740" s="3"/>
      <c r="K740" s="5"/>
      <c r="L740" s="3"/>
      <c r="M740" s="5"/>
      <c r="N740" s="5"/>
    </row>
    <row r="741">
      <c r="A741" s="2"/>
      <c r="B741" s="3"/>
      <c r="C741" s="3"/>
      <c r="D741" s="3"/>
      <c r="E741" s="4"/>
      <c r="F741" s="3"/>
      <c r="G741" s="5"/>
      <c r="H741" s="3"/>
      <c r="I741" s="5"/>
      <c r="J741" s="3"/>
      <c r="K741" s="5"/>
      <c r="L741" s="3"/>
      <c r="M741" s="5"/>
      <c r="N741" s="5"/>
    </row>
    <row r="742">
      <c r="A742" s="2"/>
      <c r="B742" s="3"/>
      <c r="C742" s="3"/>
      <c r="D742" s="3"/>
      <c r="E742" s="4"/>
      <c r="F742" s="3"/>
      <c r="G742" s="5"/>
      <c r="H742" s="3"/>
      <c r="I742" s="5"/>
      <c r="J742" s="3"/>
      <c r="K742" s="5"/>
      <c r="L742" s="3"/>
      <c r="M742" s="5"/>
      <c r="N742" s="5"/>
    </row>
    <row r="743">
      <c r="A743" s="2"/>
      <c r="B743" s="3"/>
      <c r="C743" s="3"/>
      <c r="D743" s="3"/>
      <c r="E743" s="4"/>
      <c r="F743" s="3"/>
      <c r="G743" s="5"/>
      <c r="H743" s="3"/>
      <c r="I743" s="5"/>
      <c r="J743" s="3"/>
      <c r="K743" s="5"/>
      <c r="L743" s="3"/>
      <c r="M743" s="5"/>
      <c r="N743" s="5"/>
    </row>
    <row r="744">
      <c r="A744" s="2"/>
      <c r="B744" s="3"/>
      <c r="C744" s="3"/>
      <c r="D744" s="3"/>
      <c r="E744" s="4"/>
      <c r="F744" s="3"/>
      <c r="G744" s="5"/>
      <c r="H744" s="3"/>
      <c r="I744" s="5"/>
      <c r="J744" s="3"/>
      <c r="K744" s="5"/>
      <c r="L744" s="3"/>
      <c r="M744" s="5"/>
      <c r="N744" s="5"/>
    </row>
    <row r="745">
      <c r="A745" s="2"/>
      <c r="B745" s="3"/>
      <c r="C745" s="3"/>
      <c r="D745" s="3"/>
      <c r="E745" s="4"/>
      <c r="F745" s="3"/>
      <c r="G745" s="5"/>
      <c r="H745" s="3"/>
      <c r="I745" s="5"/>
      <c r="J745" s="3"/>
      <c r="K745" s="5"/>
      <c r="L745" s="3"/>
      <c r="M745" s="5"/>
      <c r="N745" s="5"/>
    </row>
    <row r="746">
      <c r="A746" s="2"/>
      <c r="B746" s="3"/>
      <c r="C746" s="3"/>
      <c r="D746" s="3"/>
      <c r="E746" s="4"/>
      <c r="F746" s="3"/>
      <c r="G746" s="5"/>
      <c r="H746" s="3"/>
      <c r="I746" s="5"/>
      <c r="J746" s="3"/>
      <c r="K746" s="5"/>
      <c r="L746" s="3"/>
      <c r="M746" s="5"/>
      <c r="N746" s="5"/>
    </row>
    <row r="747">
      <c r="A747" s="2"/>
      <c r="B747" s="3"/>
      <c r="C747" s="3"/>
      <c r="D747" s="3"/>
      <c r="E747" s="4"/>
      <c r="F747" s="3"/>
      <c r="G747" s="5"/>
      <c r="H747" s="3"/>
      <c r="I747" s="5"/>
      <c r="J747" s="3"/>
      <c r="K747" s="5"/>
      <c r="L747" s="3"/>
      <c r="M747" s="5"/>
      <c r="N747" s="5"/>
    </row>
    <row r="748">
      <c r="A748" s="2"/>
      <c r="B748" s="3"/>
      <c r="C748" s="3"/>
      <c r="D748" s="3"/>
      <c r="E748" s="4"/>
      <c r="F748" s="3"/>
      <c r="G748" s="5"/>
      <c r="H748" s="3"/>
      <c r="I748" s="5"/>
      <c r="J748" s="3"/>
      <c r="K748" s="5"/>
      <c r="L748" s="3"/>
      <c r="M748" s="5"/>
      <c r="N748" s="5"/>
    </row>
    <row r="749">
      <c r="A749" s="2"/>
      <c r="B749" s="3"/>
      <c r="C749" s="3"/>
      <c r="D749" s="3"/>
      <c r="E749" s="4"/>
      <c r="F749" s="3"/>
      <c r="G749" s="5"/>
      <c r="H749" s="3"/>
      <c r="I749" s="5"/>
      <c r="J749" s="3"/>
      <c r="K749" s="5"/>
      <c r="L749" s="3"/>
      <c r="M749" s="5"/>
      <c r="N749" s="5"/>
    </row>
    <row r="750">
      <c r="A750" s="2"/>
      <c r="B750" s="3"/>
      <c r="C750" s="3"/>
      <c r="D750" s="3"/>
      <c r="E750" s="4"/>
      <c r="F750" s="3"/>
      <c r="G750" s="5"/>
      <c r="H750" s="3"/>
      <c r="I750" s="5"/>
      <c r="J750" s="3"/>
      <c r="K750" s="5"/>
      <c r="L750" s="3"/>
      <c r="M750" s="5"/>
      <c r="N750" s="5"/>
    </row>
    <row r="751">
      <c r="A751" s="2"/>
      <c r="B751" s="3"/>
      <c r="C751" s="3"/>
      <c r="D751" s="3"/>
      <c r="E751" s="4"/>
      <c r="F751" s="3"/>
      <c r="G751" s="5"/>
      <c r="H751" s="3"/>
      <c r="I751" s="5"/>
      <c r="J751" s="3"/>
      <c r="K751" s="5"/>
      <c r="L751" s="3"/>
      <c r="M751" s="5"/>
      <c r="N751" s="5"/>
    </row>
    <row r="752">
      <c r="A752" s="2"/>
      <c r="B752" s="3"/>
      <c r="C752" s="3"/>
      <c r="D752" s="3"/>
      <c r="E752" s="4"/>
      <c r="F752" s="3"/>
      <c r="G752" s="5"/>
      <c r="H752" s="3"/>
      <c r="I752" s="5"/>
      <c r="J752" s="3"/>
      <c r="K752" s="5"/>
      <c r="L752" s="3"/>
      <c r="M752" s="5"/>
      <c r="N752" s="5"/>
    </row>
    <row r="753">
      <c r="A753" s="2"/>
      <c r="B753" s="3"/>
      <c r="C753" s="3"/>
      <c r="D753" s="3"/>
      <c r="E753" s="4"/>
      <c r="F753" s="3"/>
      <c r="G753" s="5"/>
      <c r="H753" s="3"/>
      <c r="I753" s="5"/>
      <c r="J753" s="3"/>
      <c r="K753" s="5"/>
      <c r="L753" s="3"/>
      <c r="M753" s="5"/>
      <c r="N753" s="5"/>
    </row>
    <row r="754">
      <c r="A754" s="2"/>
      <c r="B754" s="3"/>
      <c r="C754" s="3"/>
      <c r="D754" s="3"/>
      <c r="E754" s="4"/>
      <c r="F754" s="3"/>
      <c r="G754" s="5"/>
      <c r="H754" s="3"/>
      <c r="I754" s="5"/>
      <c r="J754" s="3"/>
      <c r="K754" s="5"/>
      <c r="L754" s="3"/>
      <c r="M754" s="5"/>
      <c r="N754" s="5"/>
    </row>
    <row r="755">
      <c r="A755" s="2"/>
      <c r="B755" s="3"/>
      <c r="C755" s="3"/>
      <c r="D755" s="3"/>
      <c r="E755" s="4"/>
      <c r="F755" s="3"/>
      <c r="G755" s="5"/>
      <c r="H755" s="3"/>
      <c r="I755" s="5"/>
      <c r="J755" s="3"/>
      <c r="K755" s="5"/>
      <c r="L755" s="3"/>
      <c r="M755" s="5"/>
      <c r="N755" s="5"/>
    </row>
    <row r="756">
      <c r="A756" s="2"/>
      <c r="B756" s="3"/>
      <c r="C756" s="3"/>
      <c r="D756" s="3"/>
      <c r="E756" s="4"/>
      <c r="F756" s="3"/>
      <c r="G756" s="5"/>
      <c r="H756" s="3"/>
      <c r="I756" s="5"/>
      <c r="J756" s="3"/>
      <c r="K756" s="5"/>
      <c r="L756" s="3"/>
      <c r="M756" s="5"/>
      <c r="N756" s="5"/>
    </row>
    <row r="757">
      <c r="A757" s="2"/>
      <c r="B757" s="3"/>
      <c r="C757" s="3"/>
      <c r="D757" s="3"/>
      <c r="E757" s="4"/>
      <c r="F757" s="3"/>
      <c r="G757" s="5"/>
      <c r="H757" s="3"/>
      <c r="I757" s="5"/>
      <c r="J757" s="3"/>
      <c r="K757" s="5"/>
      <c r="L757" s="3"/>
      <c r="M757" s="5"/>
      <c r="N757" s="5"/>
    </row>
    <row r="758">
      <c r="A758" s="2"/>
      <c r="B758" s="3"/>
      <c r="C758" s="3"/>
      <c r="D758" s="3"/>
      <c r="E758" s="4"/>
      <c r="F758" s="3"/>
      <c r="G758" s="5"/>
      <c r="H758" s="3"/>
      <c r="I758" s="5"/>
      <c r="J758" s="3"/>
      <c r="K758" s="5"/>
      <c r="L758" s="3"/>
      <c r="M758" s="5"/>
      <c r="N758" s="5"/>
    </row>
    <row r="759">
      <c r="A759" s="2"/>
      <c r="B759" s="3"/>
      <c r="C759" s="3"/>
      <c r="D759" s="3"/>
      <c r="E759" s="4"/>
      <c r="F759" s="3"/>
      <c r="G759" s="5"/>
      <c r="H759" s="3"/>
      <c r="I759" s="5"/>
      <c r="J759" s="3"/>
      <c r="K759" s="5"/>
      <c r="L759" s="3"/>
      <c r="M759" s="5"/>
      <c r="N759" s="5"/>
    </row>
    <row r="760">
      <c r="A760" s="2"/>
      <c r="B760" s="3"/>
      <c r="C760" s="3"/>
      <c r="D760" s="3"/>
      <c r="E760" s="4"/>
      <c r="F760" s="3"/>
      <c r="G760" s="5"/>
      <c r="H760" s="3"/>
      <c r="I760" s="5"/>
      <c r="J760" s="3"/>
      <c r="K760" s="5"/>
      <c r="L760" s="3"/>
      <c r="M760" s="5"/>
      <c r="N760" s="5"/>
    </row>
    <row r="761">
      <c r="A761" s="2"/>
      <c r="B761" s="3"/>
      <c r="C761" s="3"/>
      <c r="D761" s="3"/>
      <c r="E761" s="4"/>
      <c r="F761" s="3"/>
      <c r="G761" s="5"/>
      <c r="H761" s="3"/>
      <c r="I761" s="5"/>
      <c r="J761" s="3"/>
      <c r="K761" s="5"/>
      <c r="L761" s="3"/>
      <c r="M761" s="5"/>
      <c r="N761" s="5"/>
    </row>
    <row r="762">
      <c r="A762" s="2"/>
      <c r="B762" s="3"/>
      <c r="C762" s="3"/>
      <c r="D762" s="3"/>
      <c r="E762" s="4"/>
      <c r="F762" s="3"/>
      <c r="G762" s="5"/>
      <c r="H762" s="3"/>
      <c r="I762" s="5"/>
      <c r="J762" s="3"/>
      <c r="K762" s="5"/>
      <c r="L762" s="3"/>
      <c r="M762" s="5"/>
      <c r="N762" s="5"/>
    </row>
    <row r="763">
      <c r="A763" s="2"/>
      <c r="B763" s="3"/>
      <c r="C763" s="3"/>
      <c r="D763" s="3"/>
      <c r="E763" s="4"/>
      <c r="F763" s="3"/>
      <c r="G763" s="5"/>
      <c r="H763" s="3"/>
      <c r="I763" s="5"/>
      <c r="J763" s="3"/>
      <c r="K763" s="5"/>
      <c r="L763" s="3"/>
      <c r="M763" s="5"/>
      <c r="N763" s="5"/>
    </row>
    <row r="764">
      <c r="A764" s="2"/>
      <c r="B764" s="3"/>
      <c r="C764" s="3"/>
      <c r="D764" s="3"/>
      <c r="E764" s="4"/>
      <c r="F764" s="3"/>
      <c r="G764" s="5"/>
      <c r="H764" s="3"/>
      <c r="I764" s="5"/>
      <c r="J764" s="3"/>
      <c r="K764" s="5"/>
      <c r="L764" s="3"/>
      <c r="M764" s="5"/>
      <c r="N764" s="5"/>
    </row>
    <row r="765">
      <c r="A765" s="2"/>
      <c r="B765" s="3"/>
      <c r="C765" s="3"/>
      <c r="D765" s="3"/>
      <c r="E765" s="4"/>
      <c r="F765" s="3"/>
      <c r="G765" s="5"/>
      <c r="H765" s="3"/>
      <c r="I765" s="5"/>
      <c r="J765" s="3"/>
      <c r="K765" s="5"/>
      <c r="L765" s="3"/>
      <c r="M765" s="5"/>
      <c r="N765" s="5"/>
    </row>
    <row r="766">
      <c r="A766" s="2"/>
      <c r="B766" s="3"/>
      <c r="C766" s="3"/>
      <c r="D766" s="3"/>
      <c r="E766" s="4"/>
      <c r="F766" s="3"/>
      <c r="G766" s="5"/>
      <c r="H766" s="3"/>
      <c r="I766" s="5"/>
      <c r="J766" s="3"/>
      <c r="K766" s="5"/>
      <c r="L766" s="3"/>
      <c r="M766" s="5"/>
      <c r="N766" s="5"/>
    </row>
    <row r="767">
      <c r="A767" s="2"/>
      <c r="B767" s="3"/>
      <c r="C767" s="3"/>
      <c r="D767" s="3"/>
      <c r="E767" s="4"/>
      <c r="F767" s="3"/>
      <c r="G767" s="5"/>
      <c r="H767" s="3"/>
      <c r="I767" s="5"/>
      <c r="J767" s="3"/>
      <c r="K767" s="5"/>
      <c r="L767" s="3"/>
      <c r="M767" s="5"/>
      <c r="N767" s="5"/>
    </row>
    <row r="768">
      <c r="A768" s="2"/>
      <c r="B768" s="3"/>
      <c r="C768" s="3"/>
      <c r="D768" s="3"/>
      <c r="E768" s="4"/>
      <c r="F768" s="3"/>
      <c r="G768" s="5"/>
      <c r="H768" s="3"/>
      <c r="I768" s="5"/>
      <c r="J768" s="3"/>
      <c r="K768" s="5"/>
      <c r="L768" s="3"/>
      <c r="M768" s="5"/>
      <c r="N768" s="5"/>
    </row>
    <row r="769">
      <c r="A769" s="2"/>
      <c r="B769" s="3"/>
      <c r="C769" s="3"/>
      <c r="D769" s="3"/>
      <c r="E769" s="4"/>
      <c r="F769" s="3"/>
      <c r="G769" s="5"/>
      <c r="H769" s="3"/>
      <c r="I769" s="5"/>
      <c r="J769" s="3"/>
      <c r="K769" s="5"/>
      <c r="L769" s="3"/>
      <c r="M769" s="5"/>
      <c r="N769" s="5"/>
    </row>
    <row r="770">
      <c r="A770" s="2"/>
      <c r="B770" s="3"/>
      <c r="C770" s="3"/>
      <c r="D770" s="3"/>
      <c r="E770" s="4"/>
      <c r="F770" s="3"/>
      <c r="G770" s="5"/>
      <c r="H770" s="3"/>
      <c r="I770" s="5"/>
      <c r="J770" s="3"/>
      <c r="K770" s="5"/>
      <c r="L770" s="3"/>
      <c r="M770" s="5"/>
      <c r="N770" s="5"/>
    </row>
    <row r="771">
      <c r="A771" s="2"/>
      <c r="B771" s="3"/>
      <c r="C771" s="3"/>
      <c r="D771" s="3"/>
      <c r="E771" s="4"/>
      <c r="F771" s="3"/>
      <c r="G771" s="5"/>
      <c r="H771" s="3"/>
      <c r="I771" s="5"/>
      <c r="J771" s="3"/>
      <c r="K771" s="5"/>
      <c r="L771" s="3"/>
      <c r="M771" s="5"/>
      <c r="N771" s="5"/>
    </row>
    <row r="772">
      <c r="A772" s="2"/>
      <c r="B772" s="3"/>
      <c r="C772" s="3"/>
      <c r="D772" s="3"/>
      <c r="E772" s="4"/>
      <c r="F772" s="3"/>
      <c r="G772" s="5"/>
      <c r="H772" s="3"/>
      <c r="I772" s="5"/>
      <c r="J772" s="3"/>
      <c r="K772" s="5"/>
      <c r="L772" s="3"/>
      <c r="M772" s="5"/>
      <c r="N772" s="5"/>
    </row>
    <row r="773">
      <c r="A773" s="2"/>
      <c r="B773" s="3"/>
      <c r="C773" s="3"/>
      <c r="D773" s="3"/>
      <c r="E773" s="4"/>
      <c r="F773" s="3"/>
      <c r="G773" s="5"/>
      <c r="H773" s="3"/>
      <c r="I773" s="5"/>
      <c r="J773" s="3"/>
      <c r="K773" s="5"/>
      <c r="L773" s="3"/>
      <c r="M773" s="5"/>
      <c r="N773" s="5"/>
    </row>
    <row r="774">
      <c r="A774" s="2"/>
      <c r="B774" s="3"/>
      <c r="C774" s="3"/>
      <c r="D774" s="3"/>
      <c r="E774" s="4"/>
      <c r="F774" s="3"/>
      <c r="G774" s="5"/>
      <c r="H774" s="3"/>
      <c r="I774" s="5"/>
      <c r="J774" s="3"/>
      <c r="K774" s="5"/>
      <c r="L774" s="3"/>
      <c r="M774" s="5"/>
      <c r="N774" s="5"/>
    </row>
    <row r="775">
      <c r="A775" s="2"/>
      <c r="B775" s="3"/>
      <c r="C775" s="3"/>
      <c r="D775" s="3"/>
      <c r="E775" s="4"/>
      <c r="F775" s="3"/>
      <c r="G775" s="5"/>
      <c r="H775" s="3"/>
      <c r="I775" s="5"/>
      <c r="J775" s="3"/>
      <c r="K775" s="5"/>
      <c r="L775" s="3"/>
      <c r="M775" s="5"/>
      <c r="N775" s="5"/>
    </row>
    <row r="776">
      <c r="A776" s="2"/>
      <c r="B776" s="3"/>
      <c r="C776" s="3"/>
      <c r="D776" s="3"/>
      <c r="E776" s="4"/>
      <c r="F776" s="3"/>
      <c r="G776" s="5"/>
      <c r="H776" s="3"/>
      <c r="I776" s="5"/>
      <c r="J776" s="3"/>
      <c r="K776" s="5"/>
      <c r="L776" s="3"/>
      <c r="M776" s="5"/>
      <c r="N776" s="5"/>
    </row>
    <row r="777">
      <c r="A777" s="2"/>
      <c r="B777" s="3"/>
      <c r="C777" s="3"/>
      <c r="D777" s="3"/>
      <c r="E777" s="4"/>
      <c r="F777" s="3"/>
      <c r="G777" s="5"/>
      <c r="H777" s="3"/>
      <c r="I777" s="5"/>
      <c r="J777" s="3"/>
      <c r="K777" s="5"/>
      <c r="L777" s="3"/>
      <c r="M777" s="5"/>
      <c r="N777" s="5"/>
    </row>
    <row r="778">
      <c r="A778" s="2"/>
      <c r="B778" s="3"/>
      <c r="C778" s="3"/>
      <c r="D778" s="3"/>
      <c r="E778" s="4"/>
      <c r="F778" s="3"/>
      <c r="G778" s="5"/>
      <c r="H778" s="3"/>
      <c r="I778" s="5"/>
      <c r="J778" s="3"/>
      <c r="K778" s="5"/>
      <c r="L778" s="3"/>
      <c r="M778" s="5"/>
      <c r="N778" s="5"/>
    </row>
    <row r="779">
      <c r="A779" s="2"/>
      <c r="B779" s="3"/>
      <c r="C779" s="3"/>
      <c r="D779" s="3"/>
      <c r="E779" s="4"/>
      <c r="F779" s="3"/>
      <c r="G779" s="5"/>
      <c r="H779" s="3"/>
      <c r="I779" s="5"/>
      <c r="J779" s="3"/>
      <c r="K779" s="5"/>
      <c r="L779" s="3"/>
      <c r="M779" s="5"/>
      <c r="N779" s="5"/>
    </row>
    <row r="780">
      <c r="A780" s="2"/>
      <c r="B780" s="3"/>
      <c r="C780" s="3"/>
      <c r="D780" s="3"/>
      <c r="E780" s="4"/>
      <c r="F780" s="3"/>
      <c r="G780" s="5"/>
      <c r="H780" s="3"/>
      <c r="I780" s="5"/>
      <c r="J780" s="3"/>
      <c r="K780" s="5"/>
      <c r="L780" s="3"/>
      <c r="M780" s="5"/>
      <c r="N780" s="5"/>
    </row>
    <row r="781">
      <c r="A781" s="2"/>
      <c r="B781" s="3"/>
      <c r="C781" s="3"/>
      <c r="D781" s="3"/>
      <c r="E781" s="4"/>
      <c r="F781" s="3"/>
      <c r="G781" s="5"/>
      <c r="H781" s="3"/>
      <c r="I781" s="5"/>
      <c r="J781" s="3"/>
      <c r="K781" s="5"/>
      <c r="L781" s="3"/>
      <c r="M781" s="5"/>
      <c r="N781" s="5"/>
    </row>
    <row r="782">
      <c r="A782" s="2"/>
      <c r="B782" s="3"/>
      <c r="C782" s="3"/>
      <c r="D782" s="3"/>
      <c r="E782" s="4"/>
      <c r="F782" s="3"/>
      <c r="G782" s="5"/>
      <c r="H782" s="3"/>
      <c r="I782" s="5"/>
      <c r="J782" s="3"/>
      <c r="K782" s="5"/>
      <c r="L782" s="3"/>
      <c r="M782" s="5"/>
      <c r="N782" s="5"/>
    </row>
    <row r="783">
      <c r="A783" s="2"/>
      <c r="B783" s="3"/>
      <c r="C783" s="3"/>
      <c r="D783" s="3"/>
      <c r="E783" s="4"/>
      <c r="F783" s="3"/>
      <c r="G783" s="5"/>
      <c r="H783" s="3"/>
      <c r="I783" s="5"/>
      <c r="J783" s="3"/>
      <c r="K783" s="5"/>
      <c r="L783" s="3"/>
      <c r="M783" s="5"/>
      <c r="N783" s="5"/>
    </row>
    <row r="784">
      <c r="A784" s="2"/>
      <c r="B784" s="3"/>
      <c r="C784" s="3"/>
      <c r="D784" s="3"/>
      <c r="E784" s="4"/>
      <c r="F784" s="3"/>
      <c r="G784" s="5"/>
      <c r="H784" s="3"/>
      <c r="I784" s="5"/>
      <c r="J784" s="3"/>
      <c r="K784" s="5"/>
      <c r="L784" s="3"/>
      <c r="M784" s="5"/>
      <c r="N784" s="5"/>
    </row>
    <row r="785">
      <c r="A785" s="2"/>
      <c r="B785" s="3"/>
      <c r="C785" s="3"/>
      <c r="D785" s="3"/>
      <c r="E785" s="4"/>
      <c r="F785" s="3"/>
      <c r="G785" s="5"/>
      <c r="H785" s="3"/>
      <c r="I785" s="5"/>
      <c r="J785" s="3"/>
      <c r="K785" s="5"/>
      <c r="L785" s="3"/>
      <c r="M785" s="5"/>
      <c r="N785" s="5"/>
    </row>
    <row r="786">
      <c r="A786" s="2"/>
      <c r="B786" s="3"/>
      <c r="C786" s="3"/>
      <c r="D786" s="3"/>
      <c r="E786" s="4"/>
      <c r="F786" s="3"/>
      <c r="G786" s="5"/>
      <c r="H786" s="3"/>
      <c r="I786" s="5"/>
      <c r="J786" s="3"/>
      <c r="K786" s="5"/>
      <c r="L786" s="3"/>
      <c r="M786" s="5"/>
      <c r="N786" s="5"/>
    </row>
    <row r="787">
      <c r="A787" s="2"/>
      <c r="B787" s="3"/>
      <c r="C787" s="3"/>
      <c r="D787" s="3"/>
      <c r="E787" s="4"/>
      <c r="F787" s="3"/>
      <c r="G787" s="5"/>
      <c r="H787" s="3"/>
      <c r="I787" s="5"/>
      <c r="J787" s="3"/>
      <c r="K787" s="5"/>
      <c r="L787" s="3"/>
      <c r="M787" s="5"/>
      <c r="N787" s="5"/>
    </row>
    <row r="788">
      <c r="A788" s="2"/>
      <c r="B788" s="3"/>
      <c r="C788" s="3"/>
      <c r="D788" s="3"/>
      <c r="E788" s="4"/>
      <c r="F788" s="3"/>
      <c r="G788" s="5"/>
      <c r="H788" s="3"/>
      <c r="I788" s="5"/>
      <c r="J788" s="3"/>
      <c r="K788" s="5"/>
      <c r="L788" s="3"/>
      <c r="M788" s="5"/>
      <c r="N788" s="5"/>
    </row>
    <row r="789">
      <c r="A789" s="2"/>
      <c r="B789" s="3"/>
      <c r="C789" s="3"/>
      <c r="D789" s="3"/>
      <c r="E789" s="4"/>
      <c r="F789" s="3"/>
      <c r="G789" s="5"/>
      <c r="H789" s="3"/>
      <c r="I789" s="5"/>
      <c r="J789" s="3"/>
      <c r="K789" s="5"/>
      <c r="L789" s="3"/>
      <c r="M789" s="5"/>
      <c r="N789" s="5"/>
    </row>
    <row r="790">
      <c r="A790" s="2"/>
      <c r="B790" s="3"/>
      <c r="C790" s="3"/>
      <c r="D790" s="3"/>
      <c r="E790" s="4"/>
      <c r="F790" s="3"/>
      <c r="G790" s="5"/>
      <c r="H790" s="3"/>
      <c r="I790" s="5"/>
      <c r="J790" s="3"/>
      <c r="K790" s="5"/>
      <c r="L790" s="3"/>
      <c r="M790" s="5"/>
      <c r="N790" s="5"/>
    </row>
    <row r="791">
      <c r="A791" s="2"/>
      <c r="B791" s="3"/>
      <c r="C791" s="3"/>
      <c r="D791" s="3"/>
      <c r="E791" s="4"/>
      <c r="F791" s="3"/>
      <c r="G791" s="5"/>
      <c r="H791" s="3"/>
      <c r="I791" s="5"/>
      <c r="J791" s="3"/>
      <c r="K791" s="5"/>
      <c r="L791" s="3"/>
      <c r="M791" s="5"/>
      <c r="N791" s="5"/>
    </row>
    <row r="792">
      <c r="A792" s="2"/>
      <c r="B792" s="3"/>
      <c r="C792" s="3"/>
      <c r="D792" s="3"/>
      <c r="E792" s="4"/>
      <c r="F792" s="3"/>
      <c r="G792" s="5"/>
      <c r="H792" s="3"/>
      <c r="I792" s="5"/>
      <c r="J792" s="3"/>
      <c r="K792" s="5"/>
      <c r="L792" s="3"/>
      <c r="M792" s="5"/>
      <c r="N792" s="5"/>
    </row>
    <row r="793">
      <c r="A793" s="2"/>
      <c r="B793" s="3"/>
      <c r="C793" s="3"/>
      <c r="D793" s="3"/>
      <c r="E793" s="4"/>
      <c r="F793" s="3"/>
      <c r="G793" s="5"/>
      <c r="H793" s="3"/>
      <c r="I793" s="5"/>
      <c r="J793" s="3"/>
      <c r="K793" s="5"/>
      <c r="L793" s="3"/>
      <c r="M793" s="5"/>
      <c r="N793" s="5"/>
    </row>
    <row r="794">
      <c r="A794" s="2"/>
      <c r="B794" s="3"/>
      <c r="C794" s="3"/>
      <c r="D794" s="3"/>
      <c r="E794" s="4"/>
      <c r="F794" s="3"/>
      <c r="G794" s="5"/>
      <c r="H794" s="3"/>
      <c r="I794" s="5"/>
      <c r="J794" s="3"/>
      <c r="K794" s="5"/>
      <c r="L794" s="3"/>
      <c r="M794" s="5"/>
      <c r="N794" s="5"/>
    </row>
    <row r="795">
      <c r="A795" s="2"/>
      <c r="B795" s="3"/>
      <c r="C795" s="3"/>
      <c r="D795" s="3"/>
      <c r="E795" s="4"/>
      <c r="F795" s="3"/>
      <c r="G795" s="5"/>
      <c r="H795" s="3"/>
      <c r="I795" s="5"/>
      <c r="J795" s="3"/>
      <c r="K795" s="5"/>
      <c r="L795" s="3"/>
      <c r="M795" s="5"/>
      <c r="N795" s="5"/>
    </row>
    <row r="796">
      <c r="A796" s="2"/>
      <c r="B796" s="3"/>
      <c r="C796" s="3"/>
      <c r="D796" s="3"/>
      <c r="E796" s="4"/>
      <c r="F796" s="3"/>
      <c r="G796" s="5"/>
      <c r="H796" s="3"/>
      <c r="I796" s="5"/>
      <c r="J796" s="3"/>
      <c r="K796" s="5"/>
      <c r="L796" s="3"/>
      <c r="M796" s="5"/>
      <c r="N796" s="5"/>
    </row>
    <row r="797">
      <c r="A797" s="2"/>
      <c r="B797" s="3"/>
      <c r="C797" s="3"/>
      <c r="D797" s="3"/>
      <c r="E797" s="4"/>
      <c r="F797" s="3"/>
      <c r="G797" s="5"/>
      <c r="H797" s="3"/>
      <c r="I797" s="5"/>
      <c r="J797" s="3"/>
      <c r="K797" s="5"/>
      <c r="L797" s="3"/>
      <c r="M797" s="5"/>
      <c r="N797" s="5"/>
    </row>
    <row r="798">
      <c r="A798" s="2"/>
      <c r="B798" s="3"/>
      <c r="C798" s="3"/>
      <c r="D798" s="3"/>
      <c r="E798" s="4"/>
      <c r="F798" s="3"/>
      <c r="G798" s="5"/>
      <c r="H798" s="3"/>
      <c r="I798" s="5"/>
      <c r="J798" s="3"/>
      <c r="K798" s="5"/>
      <c r="L798" s="3"/>
      <c r="M798" s="5"/>
      <c r="N798" s="5"/>
    </row>
    <row r="799">
      <c r="A799" s="2"/>
      <c r="B799" s="3"/>
      <c r="C799" s="3"/>
      <c r="D799" s="3"/>
      <c r="E799" s="4"/>
      <c r="F799" s="3"/>
      <c r="G799" s="5"/>
      <c r="H799" s="3"/>
      <c r="I799" s="5"/>
      <c r="J799" s="3"/>
      <c r="K799" s="5"/>
      <c r="L799" s="3"/>
      <c r="M799" s="5"/>
      <c r="N799" s="5"/>
    </row>
    <row r="800">
      <c r="A800" s="2"/>
      <c r="B800" s="3"/>
      <c r="C800" s="3"/>
      <c r="D800" s="3"/>
      <c r="E800" s="4"/>
      <c r="F800" s="3"/>
      <c r="G800" s="5"/>
      <c r="H800" s="3"/>
      <c r="I800" s="5"/>
      <c r="J800" s="3"/>
      <c r="K800" s="5"/>
      <c r="L800" s="3"/>
      <c r="M800" s="5"/>
      <c r="N800" s="5"/>
    </row>
    <row r="801">
      <c r="A801" s="2"/>
      <c r="B801" s="3"/>
      <c r="C801" s="3"/>
      <c r="D801" s="3"/>
      <c r="E801" s="4"/>
      <c r="F801" s="3"/>
      <c r="G801" s="5"/>
      <c r="H801" s="3"/>
      <c r="I801" s="5"/>
      <c r="J801" s="3"/>
      <c r="K801" s="5"/>
      <c r="L801" s="3"/>
      <c r="M801" s="5"/>
      <c r="N801" s="5"/>
    </row>
    <row r="802">
      <c r="A802" s="2"/>
      <c r="B802" s="3"/>
      <c r="C802" s="3"/>
      <c r="D802" s="3"/>
      <c r="E802" s="4"/>
      <c r="F802" s="3"/>
      <c r="G802" s="5"/>
      <c r="H802" s="3"/>
      <c r="I802" s="5"/>
      <c r="J802" s="3"/>
      <c r="K802" s="5"/>
      <c r="L802" s="3"/>
      <c r="M802" s="5"/>
      <c r="N802" s="5"/>
    </row>
    <row r="803">
      <c r="A803" s="2"/>
      <c r="B803" s="3"/>
      <c r="C803" s="3"/>
      <c r="D803" s="3"/>
      <c r="E803" s="4"/>
      <c r="F803" s="3"/>
      <c r="G803" s="5"/>
      <c r="H803" s="3"/>
      <c r="I803" s="5"/>
      <c r="J803" s="3"/>
      <c r="K803" s="5"/>
      <c r="L803" s="3"/>
      <c r="M803" s="5"/>
      <c r="N803" s="5"/>
    </row>
    <row r="804">
      <c r="A804" s="2"/>
      <c r="B804" s="3"/>
      <c r="C804" s="3"/>
      <c r="D804" s="3"/>
      <c r="E804" s="4"/>
      <c r="F804" s="3"/>
      <c r="G804" s="5"/>
      <c r="H804" s="3"/>
      <c r="I804" s="5"/>
      <c r="J804" s="3"/>
      <c r="K804" s="5"/>
      <c r="L804" s="3"/>
      <c r="M804" s="5"/>
      <c r="N804" s="5"/>
    </row>
    <row r="805">
      <c r="A805" s="2"/>
      <c r="B805" s="3"/>
      <c r="C805" s="3"/>
      <c r="D805" s="3"/>
      <c r="E805" s="4"/>
      <c r="F805" s="3"/>
      <c r="G805" s="5"/>
      <c r="H805" s="3"/>
      <c r="I805" s="5"/>
      <c r="J805" s="3"/>
      <c r="K805" s="5"/>
      <c r="L805" s="3"/>
      <c r="M805" s="5"/>
      <c r="N805" s="5"/>
    </row>
    <row r="806">
      <c r="A806" s="2"/>
      <c r="B806" s="3"/>
      <c r="C806" s="3"/>
      <c r="D806" s="3"/>
      <c r="E806" s="4"/>
      <c r="F806" s="3"/>
      <c r="G806" s="5"/>
      <c r="H806" s="3"/>
      <c r="I806" s="5"/>
      <c r="J806" s="3"/>
      <c r="K806" s="5"/>
      <c r="L806" s="3"/>
      <c r="M806" s="5"/>
      <c r="N806" s="5"/>
    </row>
    <row r="807">
      <c r="A807" s="2"/>
      <c r="B807" s="3"/>
      <c r="C807" s="3"/>
      <c r="D807" s="3"/>
      <c r="E807" s="4"/>
      <c r="F807" s="3"/>
      <c r="G807" s="5"/>
      <c r="H807" s="3"/>
      <c r="I807" s="5"/>
      <c r="J807" s="3"/>
      <c r="K807" s="5"/>
      <c r="L807" s="3"/>
      <c r="M807" s="5"/>
      <c r="N807" s="5"/>
    </row>
    <row r="808">
      <c r="A808" s="2"/>
      <c r="B808" s="3"/>
      <c r="C808" s="3"/>
      <c r="D808" s="3"/>
      <c r="E808" s="4"/>
      <c r="F808" s="3"/>
      <c r="G808" s="5"/>
      <c r="H808" s="3"/>
      <c r="I808" s="5"/>
      <c r="J808" s="3"/>
      <c r="K808" s="5"/>
      <c r="L808" s="3"/>
      <c r="M808" s="5"/>
      <c r="N808" s="5"/>
    </row>
    <row r="809">
      <c r="A809" s="2"/>
      <c r="B809" s="3"/>
      <c r="C809" s="3"/>
      <c r="D809" s="3"/>
      <c r="E809" s="4"/>
      <c r="F809" s="3"/>
      <c r="G809" s="5"/>
      <c r="H809" s="3"/>
      <c r="I809" s="5"/>
      <c r="J809" s="3"/>
      <c r="K809" s="5"/>
      <c r="L809" s="3"/>
      <c r="M809" s="5"/>
      <c r="N809" s="5"/>
    </row>
    <row r="810">
      <c r="A810" s="2"/>
      <c r="B810" s="3"/>
      <c r="C810" s="3"/>
      <c r="D810" s="3"/>
      <c r="E810" s="4"/>
      <c r="F810" s="3"/>
      <c r="G810" s="5"/>
      <c r="H810" s="3"/>
      <c r="I810" s="5"/>
      <c r="J810" s="3"/>
      <c r="K810" s="5"/>
      <c r="L810" s="3"/>
      <c r="M810" s="5"/>
      <c r="N810" s="5"/>
    </row>
    <row r="811">
      <c r="A811" s="2"/>
      <c r="B811" s="3"/>
      <c r="C811" s="3"/>
      <c r="D811" s="3"/>
      <c r="E811" s="4"/>
      <c r="F811" s="3"/>
      <c r="G811" s="5"/>
      <c r="H811" s="3"/>
      <c r="I811" s="5"/>
      <c r="J811" s="3"/>
      <c r="K811" s="5"/>
      <c r="L811" s="3"/>
      <c r="M811" s="5"/>
      <c r="N811" s="5"/>
    </row>
    <row r="812">
      <c r="A812" s="2"/>
      <c r="B812" s="3"/>
      <c r="C812" s="3"/>
      <c r="D812" s="3"/>
      <c r="E812" s="4"/>
      <c r="F812" s="3"/>
      <c r="G812" s="5"/>
      <c r="H812" s="3"/>
      <c r="I812" s="5"/>
      <c r="J812" s="3"/>
      <c r="K812" s="5"/>
      <c r="L812" s="3"/>
      <c r="M812" s="5"/>
      <c r="N812" s="5"/>
    </row>
    <row r="813">
      <c r="A813" s="2"/>
      <c r="B813" s="3"/>
      <c r="C813" s="3"/>
      <c r="D813" s="3"/>
      <c r="E813" s="4"/>
      <c r="F813" s="3"/>
      <c r="G813" s="5"/>
      <c r="H813" s="3"/>
      <c r="I813" s="5"/>
      <c r="J813" s="3"/>
      <c r="K813" s="5"/>
      <c r="L813" s="3"/>
      <c r="M813" s="5"/>
      <c r="N813" s="5"/>
    </row>
    <row r="814">
      <c r="A814" s="2"/>
      <c r="B814" s="3"/>
      <c r="C814" s="3"/>
      <c r="D814" s="3"/>
      <c r="E814" s="4"/>
      <c r="F814" s="3"/>
      <c r="G814" s="5"/>
      <c r="H814" s="3"/>
      <c r="I814" s="5"/>
      <c r="J814" s="3"/>
      <c r="K814" s="5"/>
      <c r="L814" s="3"/>
      <c r="M814" s="5"/>
      <c r="N814" s="5"/>
    </row>
    <row r="815">
      <c r="A815" s="2"/>
      <c r="B815" s="3"/>
      <c r="C815" s="3"/>
      <c r="D815" s="3"/>
      <c r="E815" s="4"/>
      <c r="F815" s="3"/>
      <c r="G815" s="5"/>
      <c r="H815" s="3"/>
      <c r="I815" s="5"/>
      <c r="J815" s="3"/>
      <c r="K815" s="5"/>
      <c r="L815" s="3"/>
      <c r="M815" s="5"/>
      <c r="N815" s="5"/>
    </row>
    <row r="816">
      <c r="A816" s="2"/>
      <c r="B816" s="3"/>
      <c r="C816" s="3"/>
      <c r="D816" s="3"/>
      <c r="E816" s="4"/>
      <c r="F816" s="3"/>
      <c r="G816" s="5"/>
      <c r="H816" s="3"/>
      <c r="I816" s="5"/>
      <c r="J816" s="3"/>
      <c r="K816" s="5"/>
      <c r="L816" s="3"/>
      <c r="M816" s="5"/>
      <c r="N816" s="5"/>
    </row>
    <row r="817">
      <c r="A817" s="2"/>
      <c r="B817" s="3"/>
      <c r="C817" s="3"/>
      <c r="D817" s="3"/>
      <c r="E817" s="4"/>
      <c r="F817" s="3"/>
      <c r="G817" s="5"/>
      <c r="H817" s="3"/>
      <c r="I817" s="5"/>
      <c r="J817" s="3"/>
      <c r="K817" s="5"/>
      <c r="L817" s="3"/>
      <c r="M817" s="5"/>
      <c r="N817" s="5"/>
    </row>
    <row r="818">
      <c r="A818" s="2"/>
      <c r="B818" s="3"/>
      <c r="C818" s="3"/>
      <c r="D818" s="3"/>
      <c r="E818" s="4"/>
      <c r="F818" s="3"/>
      <c r="G818" s="5"/>
      <c r="H818" s="3"/>
      <c r="I818" s="5"/>
      <c r="J818" s="3"/>
      <c r="K818" s="5"/>
      <c r="L818" s="3"/>
      <c r="M818" s="5"/>
      <c r="N818" s="5"/>
    </row>
    <row r="819">
      <c r="A819" s="2"/>
      <c r="B819" s="3"/>
      <c r="C819" s="3"/>
      <c r="D819" s="3"/>
      <c r="E819" s="4"/>
      <c r="F819" s="3"/>
      <c r="G819" s="5"/>
      <c r="H819" s="3"/>
      <c r="I819" s="5"/>
      <c r="J819" s="3"/>
      <c r="K819" s="5"/>
      <c r="L819" s="3"/>
      <c r="M819" s="5"/>
      <c r="N819" s="5"/>
    </row>
    <row r="820">
      <c r="A820" s="2"/>
      <c r="B820" s="3"/>
      <c r="C820" s="3"/>
      <c r="D820" s="3"/>
      <c r="E820" s="4"/>
      <c r="F820" s="3"/>
      <c r="G820" s="5"/>
      <c r="H820" s="3"/>
      <c r="I820" s="5"/>
      <c r="J820" s="3"/>
      <c r="K820" s="5"/>
      <c r="L820" s="3"/>
      <c r="M820" s="5"/>
      <c r="N820" s="5"/>
    </row>
    <row r="821">
      <c r="A821" s="2"/>
      <c r="B821" s="3"/>
      <c r="C821" s="3"/>
      <c r="D821" s="3"/>
      <c r="E821" s="4"/>
      <c r="F821" s="3"/>
      <c r="G821" s="5"/>
      <c r="H821" s="3"/>
      <c r="I821" s="5"/>
      <c r="J821" s="3"/>
      <c r="K821" s="5"/>
      <c r="L821" s="3"/>
      <c r="M821" s="5"/>
      <c r="N821" s="5"/>
    </row>
    <row r="822">
      <c r="A822" s="2"/>
      <c r="B822" s="3"/>
      <c r="C822" s="3"/>
      <c r="D822" s="3"/>
      <c r="E822" s="4"/>
      <c r="F822" s="3"/>
      <c r="G822" s="5"/>
      <c r="H822" s="3"/>
      <c r="I822" s="5"/>
      <c r="J822" s="3"/>
      <c r="K822" s="5"/>
      <c r="L822" s="3"/>
      <c r="M822" s="5"/>
      <c r="N822" s="5"/>
    </row>
    <row r="823">
      <c r="A823" s="2"/>
      <c r="B823" s="3"/>
      <c r="C823" s="3"/>
      <c r="D823" s="3"/>
      <c r="E823" s="4"/>
      <c r="F823" s="3"/>
      <c r="G823" s="5"/>
      <c r="H823" s="3"/>
      <c r="I823" s="5"/>
      <c r="J823" s="3"/>
      <c r="K823" s="5"/>
      <c r="L823" s="3"/>
      <c r="M823" s="5"/>
      <c r="N823" s="5"/>
    </row>
    <row r="824">
      <c r="A824" s="2"/>
      <c r="B824" s="3"/>
      <c r="C824" s="3"/>
      <c r="D824" s="3"/>
      <c r="E824" s="4"/>
      <c r="F824" s="3"/>
      <c r="G824" s="5"/>
      <c r="H824" s="3"/>
      <c r="I824" s="5"/>
      <c r="J824" s="3"/>
      <c r="K824" s="5"/>
      <c r="L824" s="3"/>
      <c r="M824" s="5"/>
      <c r="N824" s="5"/>
    </row>
    <row r="825">
      <c r="A825" s="2"/>
      <c r="B825" s="3"/>
      <c r="C825" s="3"/>
      <c r="D825" s="3"/>
      <c r="E825" s="4"/>
      <c r="F825" s="3"/>
      <c r="G825" s="5"/>
      <c r="H825" s="3"/>
      <c r="I825" s="5"/>
      <c r="J825" s="3"/>
      <c r="K825" s="5"/>
      <c r="L825" s="3"/>
      <c r="M825" s="5"/>
      <c r="N825" s="5"/>
    </row>
    <row r="826">
      <c r="A826" s="2"/>
      <c r="B826" s="3"/>
      <c r="C826" s="3"/>
      <c r="D826" s="3"/>
      <c r="E826" s="4"/>
      <c r="F826" s="3"/>
      <c r="G826" s="5"/>
      <c r="H826" s="3"/>
      <c r="I826" s="5"/>
      <c r="J826" s="3"/>
      <c r="K826" s="5"/>
      <c r="L826" s="3"/>
      <c r="M826" s="5"/>
      <c r="N826" s="5"/>
    </row>
    <row r="827">
      <c r="A827" s="2"/>
      <c r="B827" s="3"/>
      <c r="C827" s="3"/>
      <c r="D827" s="3"/>
      <c r="E827" s="4"/>
      <c r="F827" s="3"/>
      <c r="G827" s="5"/>
      <c r="H827" s="3"/>
      <c r="I827" s="5"/>
      <c r="J827" s="3"/>
      <c r="K827" s="5"/>
      <c r="L827" s="3"/>
      <c r="M827" s="5"/>
      <c r="N827" s="5"/>
    </row>
    <row r="828">
      <c r="A828" s="2"/>
      <c r="B828" s="3"/>
      <c r="C828" s="3"/>
      <c r="D828" s="3"/>
      <c r="E828" s="4"/>
      <c r="F828" s="3"/>
      <c r="G828" s="5"/>
      <c r="H828" s="3"/>
      <c r="I828" s="5"/>
      <c r="J828" s="3"/>
      <c r="K828" s="5"/>
      <c r="L828" s="3"/>
      <c r="M828" s="5"/>
      <c r="N828" s="5"/>
    </row>
    <row r="829">
      <c r="A829" s="2"/>
      <c r="B829" s="3"/>
      <c r="C829" s="3"/>
      <c r="D829" s="3"/>
      <c r="E829" s="4"/>
      <c r="F829" s="3"/>
      <c r="G829" s="5"/>
      <c r="H829" s="3"/>
      <c r="I829" s="5"/>
      <c r="J829" s="3"/>
      <c r="K829" s="5"/>
      <c r="L829" s="3"/>
      <c r="M829" s="5"/>
      <c r="N829" s="5"/>
    </row>
    <row r="830">
      <c r="A830" s="2"/>
      <c r="B830" s="3"/>
      <c r="C830" s="3"/>
      <c r="D830" s="3"/>
      <c r="E830" s="4"/>
      <c r="F830" s="3"/>
      <c r="G830" s="5"/>
      <c r="H830" s="3"/>
      <c r="I830" s="5"/>
      <c r="J830" s="3"/>
      <c r="K830" s="5"/>
      <c r="L830" s="3"/>
      <c r="M830" s="5"/>
      <c r="N830" s="5"/>
    </row>
    <row r="831">
      <c r="A831" s="2"/>
      <c r="B831" s="3"/>
      <c r="C831" s="3"/>
      <c r="D831" s="3"/>
      <c r="E831" s="4"/>
      <c r="F831" s="3"/>
      <c r="G831" s="5"/>
      <c r="H831" s="3"/>
      <c r="I831" s="5"/>
      <c r="J831" s="3"/>
      <c r="K831" s="5"/>
      <c r="L831" s="3"/>
      <c r="M831" s="5"/>
      <c r="N831" s="5"/>
    </row>
    <row r="832">
      <c r="A832" s="2"/>
      <c r="B832" s="3"/>
      <c r="C832" s="3"/>
      <c r="D832" s="3"/>
      <c r="E832" s="4"/>
      <c r="F832" s="3"/>
      <c r="G832" s="5"/>
      <c r="H832" s="3"/>
      <c r="I832" s="5"/>
      <c r="J832" s="3"/>
      <c r="K832" s="5"/>
      <c r="L832" s="3"/>
      <c r="M832" s="5"/>
      <c r="N832" s="5"/>
    </row>
    <row r="833">
      <c r="A833" s="2"/>
      <c r="B833" s="3"/>
      <c r="C833" s="3"/>
      <c r="D833" s="3"/>
      <c r="E833" s="4"/>
      <c r="F833" s="3"/>
      <c r="G833" s="5"/>
      <c r="H833" s="3"/>
      <c r="I833" s="5"/>
      <c r="J833" s="3"/>
      <c r="K833" s="5"/>
      <c r="L833" s="3"/>
      <c r="M833" s="5"/>
      <c r="N833" s="5"/>
    </row>
    <row r="834">
      <c r="A834" s="2"/>
      <c r="B834" s="3"/>
      <c r="C834" s="3"/>
      <c r="D834" s="3"/>
      <c r="E834" s="4"/>
      <c r="F834" s="3"/>
      <c r="G834" s="5"/>
      <c r="H834" s="3"/>
      <c r="I834" s="5"/>
      <c r="J834" s="3"/>
      <c r="K834" s="5"/>
      <c r="L834" s="3"/>
      <c r="M834" s="5"/>
      <c r="N834" s="5"/>
    </row>
    <row r="835">
      <c r="A835" s="2"/>
      <c r="B835" s="3"/>
      <c r="C835" s="3"/>
      <c r="D835" s="3"/>
      <c r="E835" s="4"/>
      <c r="F835" s="3"/>
      <c r="G835" s="5"/>
      <c r="H835" s="3"/>
      <c r="I835" s="5"/>
      <c r="J835" s="3"/>
      <c r="K835" s="5"/>
      <c r="L835" s="3"/>
      <c r="M835" s="5"/>
      <c r="N835" s="5"/>
    </row>
    <row r="836">
      <c r="A836" s="2"/>
      <c r="B836" s="3"/>
      <c r="C836" s="3"/>
      <c r="D836" s="3"/>
      <c r="E836" s="4"/>
      <c r="F836" s="3"/>
      <c r="G836" s="5"/>
      <c r="H836" s="3"/>
      <c r="I836" s="5"/>
      <c r="J836" s="3"/>
      <c r="K836" s="5"/>
      <c r="L836" s="3"/>
      <c r="M836" s="5"/>
      <c r="N836" s="5"/>
    </row>
    <row r="837">
      <c r="A837" s="2"/>
      <c r="B837" s="3"/>
      <c r="C837" s="3"/>
      <c r="D837" s="3"/>
      <c r="E837" s="4"/>
      <c r="F837" s="3"/>
      <c r="G837" s="5"/>
      <c r="H837" s="3"/>
      <c r="I837" s="5"/>
      <c r="J837" s="3"/>
      <c r="K837" s="5"/>
      <c r="L837" s="3"/>
      <c r="M837" s="5"/>
      <c r="N837" s="5"/>
    </row>
    <row r="838">
      <c r="A838" s="2"/>
      <c r="B838" s="3"/>
      <c r="C838" s="3"/>
      <c r="D838" s="3"/>
      <c r="E838" s="4"/>
      <c r="F838" s="3"/>
      <c r="G838" s="5"/>
      <c r="H838" s="3"/>
      <c r="I838" s="5"/>
      <c r="J838" s="3"/>
      <c r="K838" s="5"/>
      <c r="L838" s="3"/>
      <c r="M838" s="5"/>
      <c r="N838" s="5"/>
    </row>
    <row r="839">
      <c r="A839" s="2"/>
      <c r="B839" s="3"/>
      <c r="C839" s="3"/>
      <c r="D839" s="3"/>
      <c r="E839" s="4"/>
      <c r="F839" s="3"/>
      <c r="G839" s="5"/>
      <c r="H839" s="3"/>
      <c r="I839" s="5"/>
      <c r="J839" s="3"/>
      <c r="K839" s="5"/>
      <c r="L839" s="3"/>
      <c r="M839" s="5"/>
      <c r="N839" s="5"/>
    </row>
    <row r="840">
      <c r="A840" s="2"/>
      <c r="B840" s="3"/>
      <c r="C840" s="3"/>
      <c r="D840" s="3"/>
      <c r="E840" s="4"/>
      <c r="F840" s="3"/>
      <c r="G840" s="5"/>
      <c r="H840" s="3"/>
      <c r="I840" s="5"/>
      <c r="J840" s="3"/>
      <c r="K840" s="5"/>
      <c r="L840" s="3"/>
      <c r="M840" s="5"/>
      <c r="N840" s="5"/>
    </row>
    <row r="841">
      <c r="A841" s="2"/>
      <c r="B841" s="3"/>
      <c r="C841" s="3"/>
      <c r="D841" s="3"/>
      <c r="E841" s="4"/>
      <c r="F841" s="3"/>
      <c r="G841" s="5"/>
      <c r="H841" s="3"/>
      <c r="I841" s="5"/>
      <c r="J841" s="3"/>
      <c r="K841" s="5"/>
      <c r="L841" s="3"/>
      <c r="M841" s="5"/>
      <c r="N841" s="5"/>
    </row>
    <row r="842">
      <c r="A842" s="2"/>
      <c r="B842" s="3"/>
      <c r="C842" s="3"/>
      <c r="D842" s="3"/>
      <c r="E842" s="4"/>
      <c r="F842" s="3"/>
      <c r="G842" s="5"/>
      <c r="H842" s="3"/>
      <c r="I842" s="5"/>
      <c r="J842" s="3"/>
      <c r="K842" s="5"/>
      <c r="L842" s="3"/>
      <c r="M842" s="5"/>
      <c r="N842" s="5"/>
    </row>
    <row r="843">
      <c r="A843" s="2"/>
      <c r="B843" s="3"/>
      <c r="C843" s="3"/>
      <c r="D843" s="3"/>
      <c r="E843" s="4"/>
      <c r="F843" s="3"/>
      <c r="G843" s="5"/>
      <c r="H843" s="3"/>
      <c r="I843" s="5"/>
      <c r="J843" s="3"/>
      <c r="K843" s="5"/>
      <c r="L843" s="3"/>
      <c r="M843" s="5"/>
      <c r="N843" s="5"/>
    </row>
    <row r="844">
      <c r="A844" s="2"/>
      <c r="B844" s="3"/>
      <c r="C844" s="3"/>
      <c r="D844" s="3"/>
      <c r="E844" s="4"/>
      <c r="F844" s="3"/>
      <c r="G844" s="5"/>
      <c r="H844" s="3"/>
      <c r="I844" s="5"/>
      <c r="J844" s="3"/>
      <c r="K844" s="5"/>
      <c r="L844" s="3"/>
      <c r="M844" s="5"/>
      <c r="N844" s="5"/>
    </row>
    <row r="845">
      <c r="A845" s="2"/>
      <c r="B845" s="3"/>
      <c r="C845" s="3"/>
      <c r="D845" s="3"/>
      <c r="E845" s="4"/>
      <c r="F845" s="3"/>
      <c r="G845" s="5"/>
      <c r="H845" s="3"/>
      <c r="I845" s="5"/>
      <c r="J845" s="3"/>
      <c r="K845" s="5"/>
      <c r="L845" s="3"/>
      <c r="M845" s="5"/>
      <c r="N845" s="5"/>
    </row>
    <row r="846">
      <c r="A846" s="2"/>
      <c r="B846" s="3"/>
      <c r="C846" s="3"/>
      <c r="D846" s="3"/>
      <c r="E846" s="4"/>
      <c r="F846" s="3"/>
      <c r="G846" s="5"/>
      <c r="H846" s="3"/>
      <c r="I846" s="5"/>
      <c r="J846" s="3"/>
      <c r="K846" s="5"/>
      <c r="L846" s="3"/>
      <c r="M846" s="5"/>
      <c r="N846" s="5"/>
    </row>
    <row r="847">
      <c r="A847" s="2"/>
      <c r="B847" s="3"/>
      <c r="C847" s="3"/>
      <c r="D847" s="3"/>
      <c r="E847" s="4"/>
      <c r="F847" s="3"/>
      <c r="G847" s="5"/>
      <c r="H847" s="3"/>
      <c r="I847" s="5"/>
      <c r="J847" s="3"/>
      <c r="K847" s="5"/>
      <c r="L847" s="3"/>
      <c r="M847" s="5"/>
      <c r="N847" s="5"/>
    </row>
    <row r="848">
      <c r="A848" s="2"/>
      <c r="B848" s="3"/>
      <c r="C848" s="3"/>
      <c r="D848" s="3"/>
      <c r="E848" s="4"/>
      <c r="F848" s="3"/>
      <c r="G848" s="5"/>
      <c r="H848" s="3"/>
      <c r="I848" s="5"/>
      <c r="J848" s="3"/>
      <c r="K848" s="5"/>
      <c r="L848" s="3"/>
      <c r="M848" s="5"/>
      <c r="N848" s="5"/>
    </row>
    <row r="849">
      <c r="A849" s="2"/>
      <c r="B849" s="3"/>
      <c r="C849" s="3"/>
      <c r="D849" s="3"/>
      <c r="E849" s="4"/>
      <c r="F849" s="3"/>
      <c r="G849" s="5"/>
      <c r="H849" s="3"/>
      <c r="I849" s="5"/>
      <c r="J849" s="3"/>
      <c r="K849" s="5"/>
      <c r="L849" s="3"/>
      <c r="M849" s="5"/>
      <c r="N849" s="5"/>
    </row>
    <row r="850">
      <c r="A850" s="2"/>
      <c r="B850" s="3"/>
      <c r="C850" s="3"/>
      <c r="D850" s="3"/>
      <c r="E850" s="4"/>
      <c r="F850" s="3"/>
      <c r="G850" s="5"/>
      <c r="H850" s="3"/>
      <c r="I850" s="5"/>
      <c r="J850" s="3"/>
      <c r="K850" s="5"/>
      <c r="L850" s="3"/>
      <c r="M850" s="5"/>
      <c r="N850" s="5"/>
    </row>
    <row r="851">
      <c r="A851" s="2"/>
      <c r="B851" s="3"/>
      <c r="C851" s="3"/>
      <c r="D851" s="3"/>
      <c r="E851" s="4"/>
      <c r="F851" s="3"/>
      <c r="G851" s="5"/>
      <c r="H851" s="3"/>
      <c r="I851" s="5"/>
      <c r="J851" s="3"/>
      <c r="K851" s="5"/>
      <c r="L851" s="3"/>
      <c r="M851" s="5"/>
      <c r="N851" s="5"/>
    </row>
    <row r="852">
      <c r="A852" s="2"/>
      <c r="B852" s="3"/>
      <c r="C852" s="3"/>
      <c r="D852" s="3"/>
      <c r="E852" s="4"/>
      <c r="F852" s="3"/>
      <c r="G852" s="5"/>
      <c r="H852" s="3"/>
      <c r="I852" s="5"/>
      <c r="J852" s="3"/>
      <c r="K852" s="5"/>
      <c r="L852" s="3"/>
      <c r="M852" s="5"/>
      <c r="N852" s="5"/>
    </row>
    <row r="853">
      <c r="A853" s="2"/>
      <c r="B853" s="3"/>
      <c r="C853" s="3"/>
      <c r="D853" s="3"/>
      <c r="E853" s="4"/>
      <c r="F853" s="3"/>
      <c r="G853" s="5"/>
      <c r="H853" s="3"/>
      <c r="I853" s="5"/>
      <c r="J853" s="3"/>
      <c r="K853" s="5"/>
      <c r="L853" s="3"/>
      <c r="M853" s="5"/>
      <c r="N853" s="5"/>
    </row>
    <row r="854">
      <c r="A854" s="2"/>
      <c r="B854" s="3"/>
      <c r="C854" s="3"/>
      <c r="D854" s="3"/>
      <c r="E854" s="4"/>
      <c r="F854" s="3"/>
      <c r="G854" s="5"/>
      <c r="H854" s="3"/>
      <c r="I854" s="5"/>
      <c r="J854" s="3"/>
      <c r="K854" s="5"/>
      <c r="L854" s="3"/>
      <c r="M854" s="5"/>
      <c r="N854" s="5"/>
    </row>
    <row r="855">
      <c r="A855" s="2"/>
      <c r="B855" s="3"/>
      <c r="C855" s="3"/>
      <c r="D855" s="3"/>
      <c r="E855" s="4"/>
      <c r="F855" s="3"/>
      <c r="G855" s="5"/>
      <c r="H855" s="3"/>
      <c r="I855" s="5"/>
      <c r="J855" s="3"/>
      <c r="K855" s="5"/>
      <c r="L855" s="3"/>
      <c r="M855" s="5"/>
      <c r="N855" s="5"/>
    </row>
    <row r="856">
      <c r="A856" s="2"/>
      <c r="B856" s="3"/>
      <c r="C856" s="3"/>
      <c r="D856" s="3"/>
      <c r="E856" s="4"/>
      <c r="F856" s="3"/>
      <c r="G856" s="5"/>
      <c r="H856" s="3"/>
      <c r="I856" s="5"/>
      <c r="J856" s="3"/>
      <c r="K856" s="5"/>
      <c r="L856" s="3"/>
      <c r="M856" s="5"/>
      <c r="N856" s="5"/>
    </row>
    <row r="857">
      <c r="A857" s="2"/>
      <c r="B857" s="3"/>
      <c r="C857" s="3"/>
      <c r="D857" s="3"/>
      <c r="E857" s="4"/>
      <c r="F857" s="3"/>
      <c r="G857" s="5"/>
      <c r="H857" s="3"/>
      <c r="I857" s="5"/>
      <c r="J857" s="3"/>
      <c r="K857" s="5"/>
      <c r="L857" s="3"/>
      <c r="M857" s="5"/>
      <c r="N857" s="5"/>
    </row>
    <row r="858">
      <c r="A858" s="2"/>
      <c r="B858" s="3"/>
      <c r="C858" s="3"/>
      <c r="D858" s="3"/>
      <c r="E858" s="4"/>
      <c r="F858" s="3"/>
      <c r="G858" s="5"/>
      <c r="H858" s="3"/>
      <c r="I858" s="5"/>
      <c r="J858" s="3"/>
      <c r="K858" s="5"/>
      <c r="L858" s="3"/>
      <c r="M858" s="5"/>
      <c r="N858" s="5"/>
    </row>
    <row r="859">
      <c r="A859" s="2"/>
      <c r="B859" s="3"/>
      <c r="C859" s="3"/>
      <c r="D859" s="3"/>
      <c r="E859" s="4"/>
      <c r="F859" s="3"/>
      <c r="G859" s="5"/>
      <c r="H859" s="3"/>
      <c r="I859" s="5"/>
      <c r="J859" s="3"/>
      <c r="K859" s="5"/>
      <c r="L859" s="3"/>
      <c r="M859" s="5"/>
      <c r="N859" s="5"/>
    </row>
    <row r="860">
      <c r="A860" s="2"/>
      <c r="B860" s="3"/>
      <c r="C860" s="3"/>
      <c r="D860" s="3"/>
      <c r="E860" s="4"/>
      <c r="F860" s="3"/>
      <c r="G860" s="5"/>
      <c r="H860" s="3"/>
      <c r="I860" s="5"/>
      <c r="J860" s="3"/>
      <c r="K860" s="5"/>
      <c r="L860" s="3"/>
      <c r="M860" s="5"/>
      <c r="N860" s="5"/>
    </row>
    <row r="861">
      <c r="A861" s="2"/>
      <c r="B861" s="3"/>
      <c r="C861" s="3"/>
      <c r="D861" s="3"/>
      <c r="E861" s="4"/>
      <c r="F861" s="3"/>
      <c r="G861" s="5"/>
      <c r="H861" s="3"/>
      <c r="I861" s="5"/>
      <c r="J861" s="3"/>
      <c r="K861" s="5"/>
      <c r="L861" s="3"/>
      <c r="M861" s="5"/>
      <c r="N861" s="5"/>
    </row>
    <row r="862">
      <c r="A862" s="2"/>
      <c r="B862" s="3"/>
      <c r="C862" s="3"/>
      <c r="D862" s="3"/>
      <c r="E862" s="4"/>
      <c r="F862" s="3"/>
      <c r="G862" s="5"/>
      <c r="H862" s="3"/>
      <c r="I862" s="5"/>
      <c r="J862" s="3"/>
      <c r="K862" s="5"/>
      <c r="L862" s="3"/>
      <c r="M862" s="5"/>
      <c r="N862" s="5"/>
    </row>
    <row r="863">
      <c r="A863" s="2"/>
      <c r="B863" s="3"/>
      <c r="C863" s="3"/>
      <c r="D863" s="3"/>
      <c r="E863" s="4"/>
      <c r="F863" s="3"/>
      <c r="G863" s="5"/>
      <c r="H863" s="3"/>
      <c r="I863" s="5"/>
      <c r="J863" s="3"/>
      <c r="K863" s="5"/>
      <c r="L863" s="3"/>
      <c r="M863" s="5"/>
      <c r="N863" s="5"/>
    </row>
    <row r="864">
      <c r="A864" s="2"/>
      <c r="B864" s="3"/>
      <c r="C864" s="3"/>
      <c r="D864" s="3"/>
      <c r="E864" s="4"/>
      <c r="F864" s="3"/>
      <c r="G864" s="5"/>
      <c r="H864" s="3"/>
      <c r="I864" s="5"/>
      <c r="J864" s="3"/>
      <c r="K864" s="5"/>
      <c r="L864" s="3"/>
      <c r="M864" s="5"/>
      <c r="N864" s="5"/>
    </row>
    <row r="865">
      <c r="A865" s="2"/>
      <c r="B865" s="3"/>
      <c r="C865" s="3"/>
      <c r="D865" s="3"/>
      <c r="E865" s="4"/>
      <c r="F865" s="3"/>
      <c r="G865" s="5"/>
      <c r="H865" s="3"/>
      <c r="I865" s="5"/>
      <c r="J865" s="3"/>
      <c r="K865" s="5"/>
      <c r="L865" s="3"/>
      <c r="M865" s="5"/>
      <c r="N865" s="5"/>
    </row>
    <row r="866">
      <c r="A866" s="2"/>
      <c r="B866" s="3"/>
      <c r="C866" s="3"/>
      <c r="D866" s="3"/>
      <c r="E866" s="4"/>
      <c r="F866" s="3"/>
      <c r="G866" s="5"/>
      <c r="H866" s="3"/>
      <c r="I866" s="5"/>
      <c r="J866" s="3"/>
      <c r="K866" s="5"/>
      <c r="L866" s="3"/>
      <c r="M866" s="5"/>
      <c r="N866" s="5"/>
    </row>
    <row r="867">
      <c r="A867" s="2"/>
      <c r="B867" s="3"/>
      <c r="C867" s="3"/>
      <c r="D867" s="3"/>
      <c r="E867" s="4"/>
      <c r="F867" s="3"/>
      <c r="G867" s="5"/>
      <c r="H867" s="3"/>
      <c r="I867" s="5"/>
      <c r="J867" s="3"/>
      <c r="K867" s="5"/>
      <c r="L867" s="3"/>
      <c r="M867" s="5"/>
      <c r="N867" s="5"/>
    </row>
    <row r="868">
      <c r="A868" s="2"/>
      <c r="B868" s="3"/>
      <c r="C868" s="3"/>
      <c r="D868" s="3"/>
      <c r="E868" s="4"/>
      <c r="F868" s="3"/>
      <c r="G868" s="5"/>
      <c r="H868" s="3"/>
      <c r="I868" s="5"/>
      <c r="J868" s="3"/>
      <c r="K868" s="5"/>
      <c r="L868" s="3"/>
      <c r="M868" s="5"/>
      <c r="N868" s="5"/>
    </row>
    <row r="869">
      <c r="A869" s="2"/>
      <c r="B869" s="3"/>
      <c r="C869" s="3"/>
      <c r="D869" s="3"/>
      <c r="E869" s="4"/>
      <c r="F869" s="3"/>
      <c r="G869" s="5"/>
      <c r="H869" s="3"/>
      <c r="I869" s="5"/>
      <c r="J869" s="3"/>
      <c r="K869" s="5"/>
      <c r="L869" s="3"/>
      <c r="M869" s="5"/>
      <c r="N869" s="5"/>
    </row>
    <row r="870">
      <c r="A870" s="2"/>
      <c r="B870" s="3"/>
      <c r="C870" s="3"/>
      <c r="D870" s="3"/>
      <c r="E870" s="4"/>
      <c r="F870" s="3"/>
      <c r="G870" s="5"/>
      <c r="H870" s="3"/>
      <c r="I870" s="5"/>
      <c r="J870" s="3"/>
      <c r="K870" s="5"/>
      <c r="L870" s="3"/>
      <c r="M870" s="5"/>
      <c r="N870" s="5"/>
    </row>
    <row r="871">
      <c r="A871" s="2"/>
      <c r="B871" s="3"/>
      <c r="C871" s="3"/>
      <c r="D871" s="3"/>
      <c r="E871" s="4"/>
      <c r="F871" s="3"/>
      <c r="G871" s="5"/>
      <c r="H871" s="3"/>
      <c r="I871" s="5"/>
      <c r="J871" s="3"/>
      <c r="K871" s="5"/>
      <c r="L871" s="3"/>
      <c r="M871" s="5"/>
      <c r="N871" s="5"/>
    </row>
    <row r="872">
      <c r="A872" s="2"/>
      <c r="B872" s="3"/>
      <c r="C872" s="3"/>
      <c r="D872" s="3"/>
      <c r="E872" s="4"/>
      <c r="F872" s="3"/>
      <c r="G872" s="5"/>
      <c r="H872" s="3"/>
      <c r="I872" s="5"/>
      <c r="J872" s="3"/>
      <c r="K872" s="5"/>
      <c r="L872" s="3"/>
      <c r="M872" s="5"/>
      <c r="N872" s="5"/>
    </row>
    <row r="873">
      <c r="A873" s="2"/>
      <c r="B873" s="3"/>
      <c r="C873" s="3"/>
      <c r="D873" s="3"/>
      <c r="E873" s="4"/>
      <c r="F873" s="3"/>
      <c r="G873" s="5"/>
      <c r="H873" s="3"/>
      <c r="I873" s="5"/>
      <c r="J873" s="3"/>
      <c r="K873" s="5"/>
      <c r="L873" s="3"/>
      <c r="M873" s="5"/>
      <c r="N873" s="5"/>
    </row>
    <row r="874">
      <c r="A874" s="2"/>
      <c r="B874" s="3"/>
      <c r="C874" s="3"/>
      <c r="D874" s="3"/>
      <c r="E874" s="4"/>
      <c r="F874" s="3"/>
      <c r="G874" s="5"/>
      <c r="H874" s="3"/>
      <c r="I874" s="5"/>
      <c r="J874" s="3"/>
      <c r="K874" s="5"/>
      <c r="L874" s="3"/>
      <c r="M874" s="5"/>
      <c r="N874" s="5"/>
    </row>
    <row r="875">
      <c r="A875" s="2"/>
      <c r="B875" s="3"/>
      <c r="C875" s="3"/>
      <c r="D875" s="3"/>
      <c r="E875" s="4"/>
      <c r="F875" s="3"/>
      <c r="G875" s="5"/>
      <c r="H875" s="3"/>
      <c r="I875" s="5"/>
      <c r="J875" s="3"/>
      <c r="K875" s="5"/>
      <c r="L875" s="3"/>
      <c r="M875" s="5"/>
      <c r="N875" s="5"/>
    </row>
    <row r="876">
      <c r="A876" s="2"/>
      <c r="B876" s="3"/>
      <c r="C876" s="3"/>
      <c r="D876" s="3"/>
      <c r="E876" s="4"/>
      <c r="F876" s="3"/>
      <c r="G876" s="5"/>
      <c r="H876" s="3"/>
      <c r="I876" s="5"/>
      <c r="J876" s="3"/>
      <c r="K876" s="5"/>
      <c r="L876" s="3"/>
      <c r="M876" s="5"/>
      <c r="N876" s="5"/>
    </row>
    <row r="877">
      <c r="A877" s="2"/>
      <c r="B877" s="3"/>
      <c r="C877" s="3"/>
      <c r="D877" s="3"/>
      <c r="E877" s="4"/>
      <c r="F877" s="3"/>
      <c r="G877" s="5"/>
      <c r="H877" s="3"/>
      <c r="I877" s="5"/>
      <c r="J877" s="3"/>
      <c r="K877" s="5"/>
      <c r="L877" s="3"/>
      <c r="M877" s="5"/>
      <c r="N877" s="5"/>
    </row>
    <row r="878">
      <c r="A878" s="2"/>
      <c r="B878" s="3"/>
      <c r="C878" s="3"/>
      <c r="D878" s="3"/>
      <c r="E878" s="4"/>
      <c r="F878" s="3"/>
      <c r="G878" s="5"/>
      <c r="H878" s="3"/>
      <c r="I878" s="5"/>
      <c r="J878" s="3"/>
      <c r="K878" s="5"/>
      <c r="L878" s="3"/>
      <c r="M878" s="5"/>
      <c r="N878" s="5"/>
    </row>
    <row r="879">
      <c r="A879" s="2"/>
      <c r="B879" s="3"/>
      <c r="C879" s="3"/>
      <c r="D879" s="3"/>
      <c r="E879" s="4"/>
      <c r="F879" s="3"/>
      <c r="G879" s="5"/>
      <c r="H879" s="3"/>
      <c r="I879" s="5"/>
      <c r="J879" s="3"/>
      <c r="K879" s="5"/>
      <c r="L879" s="3"/>
      <c r="M879" s="5"/>
      <c r="N879" s="5"/>
    </row>
    <row r="880">
      <c r="A880" s="2"/>
      <c r="B880" s="3"/>
      <c r="C880" s="3"/>
      <c r="D880" s="3"/>
      <c r="E880" s="4"/>
      <c r="F880" s="3"/>
      <c r="G880" s="5"/>
      <c r="H880" s="3"/>
      <c r="I880" s="5"/>
      <c r="J880" s="3"/>
      <c r="K880" s="5"/>
      <c r="L880" s="3"/>
      <c r="M880" s="5"/>
      <c r="N880" s="5"/>
    </row>
    <row r="881">
      <c r="A881" s="2"/>
      <c r="B881" s="3"/>
      <c r="C881" s="3"/>
      <c r="D881" s="3"/>
      <c r="E881" s="4"/>
      <c r="F881" s="3"/>
      <c r="G881" s="5"/>
      <c r="H881" s="3"/>
      <c r="I881" s="5"/>
      <c r="J881" s="3"/>
      <c r="K881" s="5"/>
      <c r="L881" s="3"/>
      <c r="M881" s="5"/>
      <c r="N881" s="5"/>
    </row>
    <row r="882">
      <c r="A882" s="2"/>
      <c r="B882" s="3"/>
      <c r="C882" s="3"/>
      <c r="D882" s="3"/>
      <c r="E882" s="4"/>
      <c r="F882" s="3"/>
      <c r="G882" s="5"/>
      <c r="H882" s="3"/>
      <c r="I882" s="5"/>
      <c r="J882" s="3"/>
      <c r="K882" s="5"/>
      <c r="L882" s="3"/>
      <c r="M882" s="5"/>
      <c r="N882" s="5"/>
    </row>
    <row r="883">
      <c r="A883" s="2"/>
      <c r="B883" s="3"/>
      <c r="C883" s="3"/>
      <c r="D883" s="3"/>
      <c r="E883" s="4"/>
      <c r="F883" s="3"/>
      <c r="G883" s="5"/>
      <c r="H883" s="3"/>
      <c r="I883" s="5"/>
      <c r="J883" s="3"/>
      <c r="K883" s="5"/>
      <c r="L883" s="3"/>
      <c r="M883" s="5"/>
      <c r="N883" s="5"/>
    </row>
    <row r="884">
      <c r="A884" s="2"/>
      <c r="B884" s="3"/>
      <c r="C884" s="3"/>
      <c r="D884" s="3"/>
      <c r="E884" s="4"/>
      <c r="F884" s="3"/>
      <c r="G884" s="5"/>
      <c r="H884" s="3"/>
      <c r="I884" s="5"/>
      <c r="J884" s="3"/>
      <c r="K884" s="5"/>
      <c r="L884" s="3"/>
      <c r="M884" s="5"/>
      <c r="N884" s="5"/>
    </row>
    <row r="885">
      <c r="A885" s="2"/>
      <c r="B885" s="3"/>
      <c r="C885" s="3"/>
      <c r="D885" s="3"/>
      <c r="E885" s="4"/>
      <c r="F885" s="3"/>
      <c r="G885" s="5"/>
      <c r="H885" s="3"/>
      <c r="I885" s="5"/>
      <c r="J885" s="3"/>
      <c r="K885" s="5"/>
      <c r="L885" s="3"/>
      <c r="M885" s="5"/>
      <c r="N885" s="5"/>
    </row>
    <row r="886">
      <c r="A886" s="2"/>
      <c r="B886" s="3"/>
      <c r="C886" s="3"/>
      <c r="D886" s="3"/>
      <c r="E886" s="4"/>
      <c r="F886" s="3"/>
      <c r="G886" s="5"/>
      <c r="H886" s="3"/>
      <c r="I886" s="5"/>
      <c r="J886" s="3"/>
      <c r="K886" s="5"/>
      <c r="L886" s="3"/>
      <c r="M886" s="5"/>
      <c r="N886" s="5"/>
    </row>
    <row r="887">
      <c r="A887" s="2"/>
      <c r="B887" s="3"/>
      <c r="C887" s="3"/>
      <c r="D887" s="3"/>
      <c r="E887" s="4"/>
      <c r="F887" s="3"/>
      <c r="G887" s="5"/>
      <c r="H887" s="3"/>
      <c r="I887" s="5"/>
      <c r="J887" s="3"/>
      <c r="K887" s="5"/>
      <c r="L887" s="3"/>
      <c r="M887" s="5"/>
      <c r="N887" s="5"/>
    </row>
    <row r="888">
      <c r="A888" s="2"/>
      <c r="B888" s="3"/>
      <c r="C888" s="3"/>
      <c r="D888" s="3"/>
      <c r="E888" s="4"/>
      <c r="F888" s="3"/>
      <c r="G888" s="5"/>
      <c r="H888" s="3"/>
      <c r="I888" s="5"/>
      <c r="J888" s="3"/>
      <c r="K888" s="5"/>
      <c r="L888" s="3"/>
      <c r="M888" s="5"/>
      <c r="N888" s="5"/>
    </row>
    <row r="889">
      <c r="A889" s="2"/>
      <c r="B889" s="3"/>
      <c r="C889" s="3"/>
      <c r="D889" s="3"/>
      <c r="E889" s="4"/>
      <c r="F889" s="3"/>
      <c r="G889" s="5"/>
      <c r="H889" s="3"/>
      <c r="I889" s="5"/>
      <c r="J889" s="3"/>
      <c r="K889" s="5"/>
      <c r="L889" s="3"/>
      <c r="M889" s="5"/>
      <c r="N889" s="5"/>
    </row>
    <row r="890">
      <c r="A890" s="2"/>
      <c r="B890" s="3"/>
      <c r="C890" s="3"/>
      <c r="D890" s="3"/>
      <c r="E890" s="4"/>
      <c r="F890" s="3"/>
      <c r="G890" s="5"/>
      <c r="H890" s="3"/>
      <c r="I890" s="5"/>
      <c r="J890" s="3"/>
      <c r="K890" s="5"/>
      <c r="L890" s="3"/>
      <c r="M890" s="5"/>
      <c r="N890" s="5"/>
    </row>
    <row r="891">
      <c r="A891" s="2"/>
      <c r="B891" s="3"/>
      <c r="C891" s="3"/>
      <c r="D891" s="3"/>
      <c r="E891" s="4"/>
      <c r="F891" s="3"/>
      <c r="G891" s="5"/>
      <c r="H891" s="3"/>
      <c r="I891" s="5"/>
      <c r="J891" s="3"/>
      <c r="K891" s="5"/>
      <c r="L891" s="3"/>
      <c r="M891" s="5"/>
      <c r="N891" s="5"/>
    </row>
    <row r="892">
      <c r="A892" s="2"/>
      <c r="B892" s="3"/>
      <c r="C892" s="3"/>
      <c r="D892" s="3"/>
      <c r="E892" s="4"/>
      <c r="F892" s="3"/>
      <c r="G892" s="5"/>
      <c r="H892" s="3"/>
      <c r="I892" s="5"/>
      <c r="J892" s="3"/>
      <c r="K892" s="5"/>
      <c r="L892" s="3"/>
      <c r="M892" s="5"/>
      <c r="N892" s="5"/>
    </row>
    <row r="893">
      <c r="A893" s="2"/>
      <c r="B893" s="3"/>
      <c r="C893" s="3"/>
      <c r="D893" s="3"/>
      <c r="E893" s="4"/>
      <c r="F893" s="3"/>
      <c r="G893" s="5"/>
      <c r="H893" s="3"/>
      <c r="I893" s="5"/>
      <c r="J893" s="3"/>
      <c r="K893" s="5"/>
      <c r="L893" s="3"/>
      <c r="M893" s="5"/>
      <c r="N893" s="5"/>
    </row>
    <row r="894">
      <c r="A894" s="2"/>
      <c r="B894" s="3"/>
      <c r="C894" s="3"/>
      <c r="D894" s="3"/>
      <c r="E894" s="4"/>
      <c r="F894" s="3"/>
      <c r="G894" s="5"/>
      <c r="H894" s="3"/>
      <c r="I894" s="5"/>
      <c r="J894" s="3"/>
      <c r="K894" s="5"/>
      <c r="L894" s="3"/>
      <c r="M894" s="5"/>
      <c r="N894" s="5"/>
    </row>
    <row r="895">
      <c r="A895" s="2"/>
      <c r="B895" s="3"/>
      <c r="C895" s="3"/>
      <c r="D895" s="3"/>
      <c r="E895" s="4"/>
      <c r="F895" s="3"/>
      <c r="G895" s="5"/>
      <c r="H895" s="3"/>
      <c r="I895" s="5"/>
      <c r="J895" s="3"/>
      <c r="K895" s="5"/>
      <c r="L895" s="3"/>
      <c r="M895" s="5"/>
      <c r="N895" s="5"/>
    </row>
    <row r="896">
      <c r="A896" s="2"/>
      <c r="B896" s="3"/>
      <c r="C896" s="3"/>
      <c r="D896" s="3"/>
      <c r="E896" s="4"/>
      <c r="F896" s="3"/>
      <c r="G896" s="5"/>
      <c r="H896" s="3"/>
      <c r="I896" s="5"/>
      <c r="J896" s="3"/>
      <c r="K896" s="5"/>
      <c r="L896" s="3"/>
      <c r="M896" s="5"/>
      <c r="N896" s="5"/>
    </row>
    <row r="897">
      <c r="A897" s="2"/>
      <c r="B897" s="3"/>
      <c r="C897" s="3"/>
      <c r="D897" s="3"/>
      <c r="E897" s="4"/>
      <c r="F897" s="3"/>
      <c r="G897" s="5"/>
      <c r="H897" s="3"/>
      <c r="I897" s="5"/>
      <c r="J897" s="3"/>
      <c r="K897" s="5"/>
      <c r="L897" s="3"/>
      <c r="M897" s="5"/>
      <c r="N897" s="5"/>
    </row>
    <row r="898">
      <c r="A898" s="2"/>
      <c r="B898" s="3"/>
      <c r="C898" s="3"/>
      <c r="D898" s="3"/>
      <c r="E898" s="4"/>
      <c r="F898" s="3"/>
      <c r="G898" s="5"/>
      <c r="H898" s="3"/>
      <c r="I898" s="5"/>
      <c r="J898" s="3"/>
      <c r="K898" s="5"/>
      <c r="L898" s="3"/>
      <c r="M898" s="5"/>
      <c r="N898" s="5"/>
    </row>
    <row r="899">
      <c r="A899" s="2"/>
      <c r="B899" s="3"/>
      <c r="C899" s="3"/>
      <c r="D899" s="3"/>
      <c r="E899" s="4"/>
      <c r="F899" s="3"/>
      <c r="G899" s="5"/>
      <c r="H899" s="3"/>
      <c r="I899" s="5"/>
      <c r="J899" s="3"/>
      <c r="K899" s="5"/>
      <c r="L899" s="3"/>
      <c r="M899" s="5"/>
      <c r="N899" s="5"/>
    </row>
    <row r="900">
      <c r="A900" s="2"/>
      <c r="B900" s="3"/>
      <c r="C900" s="3"/>
      <c r="D900" s="3"/>
      <c r="E900" s="4"/>
      <c r="F900" s="3"/>
      <c r="G900" s="5"/>
      <c r="H900" s="3"/>
      <c r="I900" s="5"/>
      <c r="J900" s="3"/>
      <c r="K900" s="5"/>
      <c r="L900" s="3"/>
      <c r="M900" s="5"/>
      <c r="N900" s="5"/>
    </row>
    <row r="901">
      <c r="A901" s="2"/>
      <c r="B901" s="3"/>
      <c r="C901" s="3"/>
      <c r="D901" s="3"/>
      <c r="E901" s="4"/>
      <c r="F901" s="3"/>
      <c r="G901" s="5"/>
      <c r="H901" s="3"/>
      <c r="I901" s="5"/>
      <c r="J901" s="3"/>
      <c r="K901" s="5"/>
      <c r="L901" s="3"/>
      <c r="M901" s="5"/>
      <c r="N901" s="5"/>
    </row>
    <row r="902">
      <c r="A902" s="2"/>
      <c r="B902" s="3"/>
      <c r="C902" s="3"/>
      <c r="D902" s="3"/>
      <c r="E902" s="4"/>
      <c r="F902" s="3"/>
      <c r="G902" s="5"/>
      <c r="H902" s="3"/>
      <c r="I902" s="5"/>
      <c r="J902" s="3"/>
      <c r="K902" s="5"/>
      <c r="L902" s="3"/>
      <c r="M902" s="5"/>
      <c r="N902" s="5"/>
    </row>
    <row r="903">
      <c r="A903" s="2"/>
      <c r="B903" s="3"/>
      <c r="C903" s="3"/>
      <c r="D903" s="3"/>
      <c r="E903" s="4"/>
      <c r="F903" s="3"/>
      <c r="G903" s="5"/>
      <c r="H903" s="3"/>
      <c r="I903" s="5"/>
      <c r="J903" s="3"/>
      <c r="K903" s="5"/>
      <c r="L903" s="3"/>
      <c r="M903" s="5"/>
      <c r="N903" s="5"/>
    </row>
    <row r="904">
      <c r="A904" s="2"/>
      <c r="B904" s="3"/>
      <c r="C904" s="3"/>
      <c r="D904" s="3"/>
      <c r="E904" s="4"/>
      <c r="F904" s="3"/>
      <c r="G904" s="5"/>
      <c r="H904" s="3"/>
      <c r="I904" s="5"/>
      <c r="J904" s="3"/>
      <c r="K904" s="5"/>
      <c r="L904" s="3"/>
      <c r="M904" s="5"/>
      <c r="N904" s="5"/>
    </row>
    <row r="905">
      <c r="A905" s="2"/>
      <c r="B905" s="3"/>
      <c r="C905" s="3"/>
      <c r="D905" s="3"/>
      <c r="E905" s="4"/>
      <c r="F905" s="3"/>
      <c r="G905" s="5"/>
      <c r="H905" s="3"/>
      <c r="I905" s="5"/>
      <c r="J905" s="3"/>
      <c r="K905" s="5"/>
      <c r="L905" s="3"/>
      <c r="M905" s="5"/>
      <c r="N905" s="5"/>
    </row>
    <row r="906">
      <c r="A906" s="2"/>
      <c r="B906" s="3"/>
      <c r="C906" s="3"/>
      <c r="D906" s="3"/>
      <c r="E906" s="4"/>
      <c r="F906" s="3"/>
      <c r="G906" s="5"/>
      <c r="H906" s="3"/>
      <c r="I906" s="5"/>
      <c r="J906" s="3"/>
      <c r="K906" s="5"/>
      <c r="L906" s="3"/>
      <c r="M906" s="5"/>
      <c r="N906" s="5"/>
    </row>
    <row r="907">
      <c r="A907" s="2"/>
      <c r="B907" s="3"/>
      <c r="C907" s="3"/>
      <c r="D907" s="3"/>
      <c r="E907" s="4"/>
      <c r="F907" s="3"/>
      <c r="G907" s="5"/>
      <c r="H907" s="3"/>
      <c r="I907" s="5"/>
      <c r="J907" s="3"/>
      <c r="K907" s="5"/>
      <c r="L907" s="3"/>
      <c r="M907" s="5"/>
      <c r="N907" s="5"/>
    </row>
    <row r="908">
      <c r="A908" s="2"/>
      <c r="B908" s="3"/>
      <c r="C908" s="3"/>
      <c r="D908" s="3"/>
      <c r="E908" s="4"/>
      <c r="F908" s="3"/>
      <c r="G908" s="5"/>
      <c r="H908" s="3"/>
      <c r="I908" s="5"/>
      <c r="J908" s="3"/>
      <c r="K908" s="5"/>
      <c r="L908" s="3"/>
      <c r="M908" s="5"/>
      <c r="N908" s="5"/>
    </row>
    <row r="909">
      <c r="A909" s="2"/>
      <c r="B909" s="3"/>
      <c r="C909" s="3"/>
      <c r="D909" s="3"/>
      <c r="E909" s="4"/>
      <c r="F909" s="3"/>
      <c r="G909" s="5"/>
      <c r="H909" s="3"/>
      <c r="I909" s="5"/>
      <c r="J909" s="3"/>
      <c r="K909" s="5"/>
      <c r="L909" s="3"/>
      <c r="M909" s="5"/>
      <c r="N909" s="5"/>
    </row>
    <row r="910">
      <c r="A910" s="2"/>
      <c r="B910" s="3"/>
      <c r="C910" s="3"/>
      <c r="D910" s="3"/>
      <c r="E910" s="4"/>
      <c r="F910" s="3"/>
      <c r="G910" s="5"/>
      <c r="H910" s="3"/>
      <c r="I910" s="5"/>
      <c r="J910" s="3"/>
      <c r="K910" s="5"/>
      <c r="L910" s="3"/>
      <c r="M910" s="5"/>
      <c r="N910" s="5"/>
    </row>
    <row r="911">
      <c r="A911" s="2"/>
      <c r="B911" s="3"/>
      <c r="C911" s="3"/>
      <c r="D911" s="3"/>
      <c r="E911" s="4"/>
      <c r="F911" s="3"/>
      <c r="G911" s="5"/>
      <c r="H911" s="3"/>
      <c r="I911" s="5"/>
      <c r="J911" s="3"/>
      <c r="K911" s="5"/>
      <c r="L911" s="3"/>
      <c r="M911" s="5"/>
      <c r="N911" s="5"/>
    </row>
    <row r="912">
      <c r="A912" s="2"/>
      <c r="B912" s="3"/>
      <c r="C912" s="3"/>
      <c r="D912" s="3"/>
      <c r="E912" s="4"/>
      <c r="F912" s="3"/>
      <c r="G912" s="5"/>
      <c r="H912" s="3"/>
      <c r="I912" s="5"/>
      <c r="J912" s="3"/>
      <c r="K912" s="5"/>
      <c r="L912" s="3"/>
      <c r="M912" s="5"/>
      <c r="N912" s="5"/>
    </row>
    <row r="913">
      <c r="A913" s="2"/>
      <c r="B913" s="3"/>
      <c r="C913" s="3"/>
      <c r="D913" s="3"/>
      <c r="E913" s="4"/>
      <c r="F913" s="3"/>
      <c r="G913" s="5"/>
      <c r="H913" s="3"/>
      <c r="I913" s="5"/>
      <c r="J913" s="3"/>
      <c r="K913" s="5"/>
      <c r="L913" s="3"/>
      <c r="M913" s="5"/>
      <c r="N913" s="5"/>
    </row>
    <row r="914">
      <c r="A914" s="2"/>
      <c r="B914" s="3"/>
      <c r="C914" s="3"/>
      <c r="D914" s="3"/>
      <c r="E914" s="4"/>
      <c r="F914" s="3"/>
      <c r="G914" s="5"/>
      <c r="H914" s="3"/>
      <c r="I914" s="5"/>
      <c r="J914" s="3"/>
      <c r="K914" s="5"/>
      <c r="L914" s="3"/>
      <c r="M914" s="5"/>
      <c r="N914" s="5"/>
    </row>
    <row r="915">
      <c r="A915" s="2"/>
      <c r="B915" s="3"/>
      <c r="C915" s="3"/>
      <c r="D915" s="3"/>
      <c r="E915" s="4"/>
      <c r="F915" s="3"/>
      <c r="G915" s="5"/>
      <c r="H915" s="3"/>
      <c r="I915" s="5"/>
      <c r="J915" s="3"/>
      <c r="K915" s="5"/>
      <c r="L915" s="3"/>
      <c r="M915" s="5"/>
      <c r="N915" s="5"/>
    </row>
    <row r="916">
      <c r="A916" s="2"/>
      <c r="B916" s="3"/>
      <c r="C916" s="3"/>
      <c r="D916" s="3"/>
      <c r="E916" s="4"/>
      <c r="F916" s="3"/>
      <c r="G916" s="5"/>
      <c r="H916" s="3"/>
      <c r="I916" s="5"/>
      <c r="J916" s="3"/>
      <c r="K916" s="5"/>
      <c r="L916" s="3"/>
      <c r="M916" s="5"/>
      <c r="N916" s="5"/>
    </row>
    <row r="917">
      <c r="A917" s="2"/>
      <c r="B917" s="3"/>
      <c r="C917" s="3"/>
      <c r="D917" s="3"/>
      <c r="E917" s="4"/>
      <c r="F917" s="3"/>
      <c r="G917" s="5"/>
      <c r="H917" s="3"/>
      <c r="I917" s="5"/>
      <c r="J917" s="3"/>
      <c r="K917" s="5"/>
      <c r="L917" s="3"/>
      <c r="M917" s="5"/>
      <c r="N917" s="5"/>
    </row>
    <row r="918">
      <c r="A918" s="2"/>
      <c r="B918" s="3"/>
      <c r="C918" s="3"/>
      <c r="D918" s="3"/>
      <c r="E918" s="4"/>
      <c r="F918" s="3"/>
      <c r="G918" s="5"/>
      <c r="H918" s="3"/>
      <c r="I918" s="5"/>
      <c r="J918" s="3"/>
      <c r="K918" s="5"/>
      <c r="L918" s="3"/>
      <c r="M918" s="5"/>
      <c r="N918" s="5"/>
    </row>
    <row r="919">
      <c r="A919" s="2"/>
      <c r="B919" s="3"/>
      <c r="C919" s="3"/>
      <c r="D919" s="3"/>
      <c r="E919" s="4"/>
      <c r="F919" s="3"/>
      <c r="G919" s="5"/>
      <c r="H919" s="3"/>
      <c r="I919" s="5"/>
      <c r="J919" s="3"/>
      <c r="K919" s="5"/>
      <c r="L919" s="3"/>
      <c r="M919" s="5"/>
      <c r="N919" s="5"/>
    </row>
    <row r="920">
      <c r="A920" s="2"/>
      <c r="B920" s="3"/>
      <c r="C920" s="3"/>
      <c r="D920" s="3"/>
      <c r="E920" s="4"/>
      <c r="F920" s="3"/>
      <c r="G920" s="5"/>
      <c r="H920" s="3"/>
      <c r="I920" s="5"/>
      <c r="J920" s="3"/>
      <c r="K920" s="5"/>
      <c r="L920" s="3"/>
      <c r="M920" s="5"/>
      <c r="N920" s="5"/>
    </row>
    <row r="921">
      <c r="A921" s="2"/>
      <c r="B921" s="3"/>
      <c r="C921" s="3"/>
      <c r="D921" s="3"/>
      <c r="E921" s="4"/>
      <c r="F921" s="3"/>
      <c r="G921" s="5"/>
      <c r="H921" s="3"/>
      <c r="I921" s="5"/>
      <c r="J921" s="3"/>
      <c r="K921" s="5"/>
      <c r="L921" s="3"/>
      <c r="M921" s="5"/>
      <c r="N921" s="5"/>
    </row>
    <row r="922">
      <c r="A922" s="2"/>
      <c r="B922" s="3"/>
      <c r="C922" s="3"/>
      <c r="D922" s="3"/>
      <c r="E922" s="4"/>
      <c r="F922" s="3"/>
      <c r="G922" s="5"/>
      <c r="H922" s="3"/>
      <c r="I922" s="5"/>
      <c r="J922" s="3"/>
      <c r="K922" s="5"/>
      <c r="L922" s="3"/>
      <c r="M922" s="5"/>
      <c r="N922" s="5"/>
    </row>
    <row r="923">
      <c r="A923" s="2"/>
      <c r="B923" s="3"/>
      <c r="C923" s="3"/>
      <c r="D923" s="3"/>
      <c r="E923" s="4"/>
      <c r="F923" s="3"/>
      <c r="G923" s="5"/>
      <c r="H923" s="3"/>
      <c r="I923" s="5"/>
      <c r="J923" s="3"/>
      <c r="K923" s="5"/>
      <c r="L923" s="3"/>
      <c r="M923" s="5"/>
      <c r="N923" s="5"/>
    </row>
    <row r="924">
      <c r="A924" s="2"/>
      <c r="B924" s="3"/>
      <c r="C924" s="3"/>
      <c r="D924" s="3"/>
      <c r="E924" s="4"/>
      <c r="F924" s="3"/>
      <c r="G924" s="5"/>
      <c r="H924" s="3"/>
      <c r="I924" s="5"/>
      <c r="J924" s="3"/>
      <c r="K924" s="5"/>
      <c r="L924" s="3"/>
      <c r="M924" s="5"/>
      <c r="N924" s="5"/>
    </row>
    <row r="925">
      <c r="A925" s="2"/>
      <c r="B925" s="3"/>
      <c r="C925" s="3"/>
      <c r="D925" s="3"/>
      <c r="E925" s="4"/>
      <c r="F925" s="3"/>
      <c r="G925" s="5"/>
      <c r="H925" s="3"/>
      <c r="I925" s="5"/>
      <c r="J925" s="3"/>
      <c r="K925" s="5"/>
      <c r="L925" s="3"/>
      <c r="M925" s="5"/>
      <c r="N925" s="5"/>
    </row>
    <row r="926">
      <c r="A926" s="2"/>
      <c r="B926" s="3"/>
      <c r="C926" s="3"/>
      <c r="D926" s="3"/>
      <c r="E926" s="4"/>
      <c r="F926" s="3"/>
      <c r="G926" s="5"/>
      <c r="H926" s="3"/>
      <c r="I926" s="5"/>
      <c r="J926" s="3"/>
      <c r="K926" s="5"/>
      <c r="L926" s="3"/>
      <c r="M926" s="5"/>
      <c r="N926" s="5"/>
    </row>
    <row r="927">
      <c r="A927" s="2"/>
      <c r="B927" s="3"/>
      <c r="C927" s="3"/>
      <c r="D927" s="3"/>
      <c r="E927" s="4"/>
      <c r="F927" s="3"/>
      <c r="G927" s="5"/>
      <c r="H927" s="3"/>
      <c r="I927" s="5"/>
      <c r="J927" s="3"/>
      <c r="K927" s="5"/>
      <c r="L927" s="3"/>
      <c r="M927" s="5"/>
      <c r="N927" s="5"/>
    </row>
    <row r="928">
      <c r="A928" s="2"/>
      <c r="B928" s="3"/>
      <c r="C928" s="3"/>
      <c r="D928" s="3"/>
      <c r="E928" s="4"/>
      <c r="F928" s="3"/>
      <c r="G928" s="5"/>
      <c r="H928" s="3"/>
      <c r="I928" s="5"/>
      <c r="J928" s="3"/>
      <c r="K928" s="5"/>
      <c r="L928" s="3"/>
      <c r="M928" s="5"/>
      <c r="N928" s="5"/>
    </row>
    <row r="929">
      <c r="A929" s="2"/>
      <c r="B929" s="3"/>
      <c r="C929" s="3"/>
      <c r="D929" s="3"/>
      <c r="E929" s="4"/>
      <c r="F929" s="3"/>
      <c r="G929" s="5"/>
      <c r="H929" s="3"/>
      <c r="I929" s="5"/>
      <c r="J929" s="3"/>
      <c r="K929" s="5"/>
      <c r="L929" s="3"/>
      <c r="M929" s="5"/>
      <c r="N929" s="5"/>
    </row>
    <row r="930">
      <c r="A930" s="2"/>
      <c r="B930" s="3"/>
      <c r="C930" s="3"/>
      <c r="D930" s="3"/>
      <c r="E930" s="4"/>
      <c r="F930" s="3"/>
      <c r="G930" s="5"/>
      <c r="H930" s="3"/>
      <c r="I930" s="5"/>
      <c r="J930" s="3"/>
      <c r="K930" s="5"/>
      <c r="L930" s="3"/>
      <c r="M930" s="5"/>
      <c r="N930" s="5"/>
    </row>
    <row r="931">
      <c r="A931" s="2"/>
      <c r="B931" s="3"/>
      <c r="C931" s="3"/>
      <c r="D931" s="3"/>
      <c r="E931" s="4"/>
      <c r="F931" s="3"/>
      <c r="G931" s="5"/>
      <c r="H931" s="3"/>
      <c r="I931" s="5"/>
      <c r="J931" s="3"/>
      <c r="K931" s="5"/>
      <c r="L931" s="3"/>
      <c r="M931" s="5"/>
      <c r="N931" s="5"/>
    </row>
    <row r="932">
      <c r="A932" s="2"/>
      <c r="B932" s="3"/>
      <c r="C932" s="3"/>
      <c r="D932" s="3"/>
      <c r="E932" s="4"/>
      <c r="F932" s="3"/>
      <c r="G932" s="5"/>
      <c r="H932" s="3"/>
      <c r="I932" s="5"/>
      <c r="J932" s="3"/>
      <c r="K932" s="5"/>
      <c r="L932" s="3"/>
      <c r="M932" s="5"/>
      <c r="N932" s="5"/>
    </row>
    <row r="933">
      <c r="A933" s="2"/>
      <c r="B933" s="3"/>
      <c r="C933" s="3"/>
      <c r="D933" s="3"/>
      <c r="E933" s="4"/>
      <c r="F933" s="3"/>
      <c r="G933" s="5"/>
      <c r="H933" s="3"/>
      <c r="I933" s="5"/>
      <c r="J933" s="3"/>
      <c r="K933" s="5"/>
      <c r="L933" s="3"/>
      <c r="M933" s="5"/>
      <c r="N933" s="5"/>
    </row>
    <row r="934">
      <c r="A934" s="2"/>
      <c r="B934" s="3"/>
      <c r="C934" s="3"/>
      <c r="D934" s="3"/>
      <c r="E934" s="4"/>
      <c r="F934" s="3"/>
      <c r="G934" s="5"/>
      <c r="H934" s="3"/>
      <c r="I934" s="5"/>
      <c r="J934" s="3"/>
      <c r="K934" s="5"/>
      <c r="L934" s="3"/>
      <c r="M934" s="5"/>
      <c r="N934" s="5"/>
    </row>
    <row r="935">
      <c r="A935" s="2"/>
      <c r="B935" s="3"/>
      <c r="C935" s="3"/>
      <c r="D935" s="3"/>
      <c r="E935" s="4"/>
      <c r="F935" s="3"/>
      <c r="G935" s="5"/>
      <c r="H935" s="3"/>
      <c r="I935" s="5"/>
      <c r="J935" s="3"/>
      <c r="K935" s="5"/>
      <c r="L935" s="3"/>
      <c r="M935" s="5"/>
      <c r="N935" s="5"/>
    </row>
    <row r="936">
      <c r="A936" s="2"/>
      <c r="B936" s="3"/>
      <c r="C936" s="3"/>
      <c r="D936" s="3"/>
      <c r="E936" s="4"/>
      <c r="F936" s="3"/>
      <c r="G936" s="5"/>
      <c r="H936" s="3"/>
      <c r="I936" s="5"/>
      <c r="J936" s="3"/>
      <c r="K936" s="5"/>
      <c r="L936" s="3"/>
      <c r="M936" s="5"/>
      <c r="N936" s="5"/>
    </row>
    <row r="937">
      <c r="A937" s="2"/>
      <c r="B937" s="3"/>
      <c r="C937" s="3"/>
      <c r="D937" s="3"/>
      <c r="E937" s="4"/>
      <c r="F937" s="3"/>
      <c r="G937" s="5"/>
      <c r="H937" s="3"/>
      <c r="I937" s="5"/>
      <c r="J937" s="3"/>
      <c r="K937" s="5"/>
      <c r="L937" s="3"/>
      <c r="M937" s="5"/>
      <c r="N937" s="5"/>
    </row>
    <row r="938">
      <c r="A938" s="2"/>
      <c r="B938" s="3"/>
      <c r="C938" s="3"/>
      <c r="D938" s="3"/>
      <c r="E938" s="4"/>
      <c r="F938" s="3"/>
      <c r="G938" s="5"/>
      <c r="H938" s="3"/>
      <c r="I938" s="5"/>
      <c r="J938" s="3"/>
      <c r="K938" s="5"/>
      <c r="L938" s="3"/>
      <c r="M938" s="5"/>
      <c r="N938" s="5"/>
    </row>
    <row r="939">
      <c r="A939" s="2"/>
      <c r="B939" s="3"/>
      <c r="C939" s="3"/>
      <c r="D939" s="3"/>
      <c r="E939" s="4"/>
      <c r="F939" s="3"/>
      <c r="G939" s="5"/>
      <c r="H939" s="3"/>
      <c r="I939" s="5"/>
      <c r="J939" s="3"/>
      <c r="K939" s="5"/>
      <c r="L939" s="3"/>
      <c r="M939" s="5"/>
      <c r="N939" s="5"/>
    </row>
    <row r="940">
      <c r="A940" s="2"/>
      <c r="B940" s="3"/>
      <c r="C940" s="3"/>
      <c r="D940" s="3"/>
      <c r="E940" s="4"/>
      <c r="F940" s="3"/>
      <c r="G940" s="5"/>
      <c r="H940" s="3"/>
      <c r="I940" s="5"/>
      <c r="J940" s="3"/>
      <c r="K940" s="5"/>
      <c r="L940" s="3"/>
      <c r="M940" s="5"/>
      <c r="N940" s="5"/>
    </row>
    <row r="941">
      <c r="A941" s="2"/>
      <c r="B941" s="3"/>
      <c r="C941" s="3"/>
      <c r="D941" s="3"/>
      <c r="E941" s="4"/>
      <c r="F941" s="3"/>
      <c r="G941" s="5"/>
      <c r="H941" s="3"/>
      <c r="I941" s="5"/>
      <c r="J941" s="3"/>
      <c r="K941" s="5"/>
      <c r="L941" s="3"/>
      <c r="M941" s="5"/>
      <c r="N941" s="5"/>
    </row>
    <row r="942">
      <c r="A942" s="2"/>
      <c r="B942" s="3"/>
      <c r="C942" s="3"/>
      <c r="D942" s="3"/>
      <c r="E942" s="4"/>
      <c r="F942" s="3"/>
      <c r="G942" s="5"/>
      <c r="H942" s="3"/>
      <c r="I942" s="5"/>
      <c r="J942" s="3"/>
      <c r="K942" s="5"/>
      <c r="L942" s="3"/>
      <c r="M942" s="5"/>
      <c r="N942" s="5"/>
    </row>
    <row r="943">
      <c r="A943" s="2"/>
      <c r="B943" s="3"/>
      <c r="C943" s="3"/>
      <c r="D943" s="3"/>
      <c r="E943" s="4"/>
      <c r="F943" s="3"/>
      <c r="G943" s="5"/>
      <c r="H943" s="3"/>
      <c r="I943" s="5"/>
      <c r="J943" s="3"/>
      <c r="K943" s="5"/>
      <c r="L943" s="3"/>
      <c r="M943" s="5"/>
      <c r="N943" s="5"/>
    </row>
    <row r="944">
      <c r="A944" s="2"/>
      <c r="B944" s="3"/>
      <c r="C944" s="3"/>
      <c r="D944" s="3"/>
      <c r="E944" s="4"/>
      <c r="F944" s="3"/>
      <c r="G944" s="5"/>
      <c r="H944" s="3"/>
      <c r="I944" s="5"/>
      <c r="J944" s="3"/>
      <c r="K944" s="5"/>
      <c r="L944" s="3"/>
      <c r="M944" s="5"/>
      <c r="N944" s="5"/>
    </row>
    <row r="945">
      <c r="A945" s="2"/>
      <c r="B945" s="3"/>
      <c r="C945" s="3"/>
      <c r="D945" s="3"/>
      <c r="E945" s="4"/>
      <c r="F945" s="3"/>
      <c r="G945" s="5"/>
      <c r="H945" s="3"/>
      <c r="I945" s="5"/>
      <c r="J945" s="3"/>
      <c r="K945" s="5"/>
      <c r="L945" s="3"/>
      <c r="M945" s="5"/>
      <c r="N945" s="5"/>
    </row>
    <row r="946">
      <c r="A946" s="2"/>
      <c r="B946" s="3"/>
      <c r="C946" s="3"/>
      <c r="D946" s="3"/>
      <c r="E946" s="4"/>
      <c r="F946" s="3"/>
      <c r="G946" s="5"/>
      <c r="H946" s="3"/>
      <c r="I946" s="5"/>
      <c r="J946" s="3"/>
      <c r="K946" s="5"/>
      <c r="L946" s="3"/>
      <c r="M946" s="5"/>
      <c r="N946" s="5"/>
    </row>
    <row r="947">
      <c r="A947" s="2"/>
      <c r="B947" s="3"/>
      <c r="C947" s="3"/>
      <c r="D947" s="3"/>
      <c r="E947" s="4"/>
      <c r="F947" s="3"/>
      <c r="G947" s="5"/>
      <c r="H947" s="3"/>
      <c r="I947" s="5"/>
      <c r="J947" s="3"/>
      <c r="K947" s="5"/>
      <c r="L947" s="3"/>
      <c r="M947" s="5"/>
      <c r="N947" s="5"/>
    </row>
    <row r="948">
      <c r="A948" s="2"/>
      <c r="B948" s="3"/>
      <c r="C948" s="3"/>
      <c r="D948" s="3"/>
      <c r="E948" s="4"/>
      <c r="F948" s="3"/>
      <c r="G948" s="5"/>
      <c r="H948" s="3"/>
      <c r="I948" s="5"/>
      <c r="J948" s="3"/>
      <c r="K948" s="5"/>
      <c r="L948" s="3"/>
      <c r="M948" s="5"/>
      <c r="N948" s="5"/>
    </row>
    <row r="949">
      <c r="A949" s="2"/>
      <c r="B949" s="3"/>
      <c r="C949" s="3"/>
      <c r="D949" s="3"/>
      <c r="E949" s="4"/>
      <c r="F949" s="3"/>
      <c r="G949" s="5"/>
      <c r="H949" s="3"/>
      <c r="I949" s="5"/>
      <c r="J949" s="3"/>
      <c r="K949" s="5"/>
      <c r="L949" s="3"/>
      <c r="M949" s="5"/>
      <c r="N949" s="5"/>
    </row>
    <row r="950">
      <c r="A950" s="2"/>
      <c r="B950" s="3"/>
      <c r="C950" s="3"/>
      <c r="D950" s="3"/>
      <c r="E950" s="4"/>
      <c r="F950" s="3"/>
      <c r="G950" s="5"/>
      <c r="H950" s="3"/>
      <c r="I950" s="5"/>
      <c r="J950" s="3"/>
      <c r="K950" s="5"/>
      <c r="L950" s="3"/>
      <c r="M950" s="5"/>
      <c r="N950" s="5"/>
    </row>
    <row r="951">
      <c r="A951" s="2"/>
      <c r="B951" s="3"/>
      <c r="C951" s="3"/>
      <c r="D951" s="3"/>
      <c r="E951" s="4"/>
      <c r="F951" s="3"/>
      <c r="G951" s="5"/>
      <c r="H951" s="3"/>
      <c r="I951" s="5"/>
      <c r="J951" s="3"/>
      <c r="K951" s="5"/>
      <c r="L951" s="3"/>
      <c r="M951" s="5"/>
      <c r="N951" s="5"/>
    </row>
    <row r="952">
      <c r="A952" s="2"/>
      <c r="B952" s="3"/>
      <c r="C952" s="3"/>
      <c r="D952" s="3"/>
      <c r="E952" s="4"/>
      <c r="F952" s="3"/>
      <c r="G952" s="5"/>
      <c r="H952" s="3"/>
      <c r="I952" s="5"/>
      <c r="J952" s="3"/>
      <c r="K952" s="5"/>
      <c r="L952" s="3"/>
      <c r="M952" s="5"/>
      <c r="N952" s="5"/>
    </row>
    <row r="953">
      <c r="A953" s="2"/>
      <c r="B953" s="3"/>
      <c r="C953" s="3"/>
      <c r="D953" s="3"/>
      <c r="E953" s="4"/>
      <c r="F953" s="3"/>
      <c r="G953" s="5"/>
      <c r="H953" s="3"/>
      <c r="I953" s="5"/>
      <c r="J953" s="3"/>
      <c r="K953" s="5"/>
      <c r="L953" s="3"/>
      <c r="M953" s="5"/>
      <c r="N953" s="5"/>
    </row>
    <row r="954">
      <c r="A954" s="2"/>
      <c r="B954" s="3"/>
      <c r="C954" s="3"/>
      <c r="D954" s="3"/>
      <c r="E954" s="4"/>
      <c r="F954" s="3"/>
      <c r="G954" s="5"/>
      <c r="H954" s="3"/>
      <c r="I954" s="5"/>
      <c r="J954" s="3"/>
      <c r="K954" s="5"/>
      <c r="L954" s="3"/>
      <c r="M954" s="5"/>
      <c r="N954" s="5"/>
    </row>
    <row r="955">
      <c r="A955" s="2"/>
      <c r="B955" s="3"/>
      <c r="C955" s="3"/>
      <c r="D955" s="3"/>
      <c r="E955" s="4"/>
      <c r="F955" s="3"/>
      <c r="G955" s="5"/>
      <c r="H955" s="3"/>
      <c r="I955" s="5"/>
      <c r="J955" s="3"/>
      <c r="K955" s="5"/>
      <c r="L955" s="3"/>
      <c r="M955" s="5"/>
      <c r="N955" s="5"/>
    </row>
    <row r="956">
      <c r="A956" s="2"/>
      <c r="B956" s="3"/>
      <c r="C956" s="3"/>
      <c r="D956" s="3"/>
      <c r="E956" s="4"/>
      <c r="F956" s="3"/>
      <c r="G956" s="5"/>
      <c r="H956" s="3"/>
      <c r="I956" s="5"/>
      <c r="J956" s="3"/>
      <c r="K956" s="5"/>
      <c r="L956" s="3"/>
      <c r="M956" s="5"/>
      <c r="N956" s="5"/>
    </row>
    <row r="957">
      <c r="A957" s="2"/>
      <c r="B957" s="3"/>
      <c r="C957" s="3"/>
      <c r="D957" s="3"/>
      <c r="E957" s="4"/>
      <c r="F957" s="3"/>
      <c r="G957" s="5"/>
      <c r="H957" s="3"/>
      <c r="I957" s="5"/>
      <c r="J957" s="3"/>
      <c r="K957" s="5"/>
      <c r="L957" s="3"/>
      <c r="M957" s="5"/>
      <c r="N957" s="5"/>
    </row>
    <row r="958">
      <c r="A958" s="2"/>
      <c r="B958" s="3"/>
      <c r="C958" s="3"/>
      <c r="D958" s="3"/>
      <c r="E958" s="4"/>
      <c r="F958" s="3"/>
      <c r="G958" s="5"/>
      <c r="H958" s="3"/>
      <c r="I958" s="5"/>
      <c r="J958" s="3"/>
      <c r="K958" s="5"/>
      <c r="L958" s="3"/>
      <c r="M958" s="5"/>
      <c r="N958" s="5"/>
    </row>
    <row r="959">
      <c r="A959" s="2"/>
      <c r="B959" s="3"/>
      <c r="C959" s="3"/>
      <c r="D959" s="3"/>
      <c r="E959" s="4"/>
      <c r="F959" s="3"/>
      <c r="G959" s="5"/>
      <c r="H959" s="3"/>
      <c r="I959" s="5"/>
      <c r="J959" s="3"/>
      <c r="K959" s="5"/>
      <c r="L959" s="3"/>
      <c r="M959" s="5"/>
      <c r="N959" s="5"/>
    </row>
    <row r="960">
      <c r="A960" s="2"/>
      <c r="B960" s="3"/>
      <c r="C960" s="3"/>
      <c r="D960" s="3"/>
      <c r="E960" s="4"/>
      <c r="F960" s="3"/>
      <c r="G960" s="5"/>
      <c r="H960" s="3"/>
      <c r="I960" s="5"/>
      <c r="J960" s="3"/>
      <c r="K960" s="5"/>
      <c r="L960" s="3"/>
      <c r="M960" s="5"/>
      <c r="N960" s="5"/>
    </row>
    <row r="961">
      <c r="A961" s="2"/>
      <c r="B961" s="3"/>
      <c r="C961" s="3"/>
      <c r="D961" s="3"/>
      <c r="E961" s="4"/>
      <c r="F961" s="3"/>
      <c r="G961" s="5"/>
      <c r="H961" s="3"/>
      <c r="I961" s="5"/>
      <c r="J961" s="3"/>
      <c r="K961" s="5"/>
      <c r="L961" s="3"/>
      <c r="M961" s="5"/>
      <c r="N961" s="5"/>
    </row>
    <row r="962">
      <c r="A962" s="2"/>
      <c r="B962" s="3"/>
      <c r="C962" s="3"/>
      <c r="D962" s="3"/>
      <c r="E962" s="4"/>
      <c r="F962" s="3"/>
      <c r="G962" s="5"/>
      <c r="H962" s="3"/>
      <c r="I962" s="5"/>
      <c r="J962" s="3"/>
      <c r="K962" s="5"/>
      <c r="L962" s="3"/>
      <c r="M962" s="5"/>
      <c r="N962" s="5"/>
    </row>
    <row r="963">
      <c r="A963" s="2"/>
      <c r="B963" s="3"/>
      <c r="C963" s="3"/>
      <c r="D963" s="3"/>
      <c r="E963" s="4"/>
      <c r="F963" s="3"/>
      <c r="G963" s="5"/>
      <c r="H963" s="3"/>
      <c r="I963" s="5"/>
      <c r="J963" s="3"/>
      <c r="K963" s="5"/>
      <c r="L963" s="3"/>
      <c r="M963" s="5"/>
      <c r="N963" s="5"/>
    </row>
    <row r="964">
      <c r="A964" s="2"/>
      <c r="B964" s="3"/>
      <c r="C964" s="3"/>
      <c r="D964" s="3"/>
      <c r="E964" s="4"/>
      <c r="F964" s="3"/>
      <c r="G964" s="5"/>
      <c r="H964" s="3"/>
      <c r="I964" s="5"/>
      <c r="J964" s="3"/>
      <c r="K964" s="5"/>
      <c r="L964" s="3"/>
      <c r="M964" s="5"/>
      <c r="N964" s="5"/>
    </row>
    <row r="965">
      <c r="A965" s="2"/>
      <c r="B965" s="3"/>
      <c r="C965" s="3"/>
      <c r="D965" s="3"/>
      <c r="E965" s="4"/>
      <c r="F965" s="3"/>
      <c r="G965" s="5"/>
      <c r="H965" s="3"/>
      <c r="I965" s="5"/>
      <c r="J965" s="3"/>
      <c r="K965" s="5"/>
      <c r="L965" s="3"/>
      <c r="M965" s="5"/>
      <c r="N965" s="5"/>
    </row>
    <row r="966">
      <c r="A966" s="2"/>
      <c r="B966" s="3"/>
      <c r="C966" s="3"/>
      <c r="D966" s="3"/>
      <c r="E966" s="4"/>
      <c r="F966" s="3"/>
      <c r="G966" s="5"/>
      <c r="H966" s="3"/>
      <c r="I966" s="5"/>
      <c r="J966" s="3"/>
      <c r="K966" s="5"/>
      <c r="L966" s="3"/>
      <c r="M966" s="5"/>
      <c r="N966" s="5"/>
    </row>
    <row r="967">
      <c r="A967" s="2"/>
      <c r="B967" s="3"/>
      <c r="C967" s="3"/>
      <c r="D967" s="3"/>
      <c r="E967" s="4"/>
      <c r="F967" s="3"/>
      <c r="G967" s="5"/>
      <c r="H967" s="3"/>
      <c r="I967" s="5"/>
      <c r="J967" s="3"/>
      <c r="K967" s="5"/>
      <c r="L967" s="3"/>
      <c r="M967" s="5"/>
      <c r="N967" s="5"/>
    </row>
    <row r="968">
      <c r="A968" s="2"/>
      <c r="B968" s="3"/>
      <c r="C968" s="3"/>
      <c r="D968" s="3"/>
      <c r="E968" s="4"/>
      <c r="F968" s="3"/>
      <c r="G968" s="5"/>
      <c r="H968" s="3"/>
      <c r="I968" s="5"/>
      <c r="J968" s="3"/>
      <c r="K968" s="5"/>
      <c r="L968" s="3"/>
      <c r="M968" s="5"/>
      <c r="N968" s="5"/>
    </row>
    <row r="969">
      <c r="A969" s="2"/>
      <c r="B969" s="3"/>
      <c r="C969" s="3"/>
      <c r="D969" s="3"/>
      <c r="E969" s="4"/>
      <c r="F969" s="3"/>
      <c r="G969" s="5"/>
      <c r="H969" s="3"/>
      <c r="I969" s="5"/>
      <c r="J969" s="3"/>
      <c r="K969" s="5"/>
      <c r="L969" s="3"/>
      <c r="M969" s="5"/>
      <c r="N969" s="5"/>
    </row>
    <row r="970">
      <c r="A970" s="2"/>
      <c r="B970" s="3"/>
      <c r="C970" s="3"/>
      <c r="D970" s="3"/>
      <c r="E970" s="4"/>
      <c r="F970" s="3"/>
      <c r="G970" s="5"/>
      <c r="H970" s="3"/>
      <c r="I970" s="5"/>
      <c r="J970" s="3"/>
      <c r="K970" s="5"/>
      <c r="L970" s="3"/>
      <c r="M970" s="5"/>
      <c r="N970" s="5"/>
    </row>
    <row r="971">
      <c r="A971" s="2"/>
      <c r="B971" s="3"/>
      <c r="C971" s="3"/>
      <c r="D971" s="3"/>
      <c r="E971" s="4"/>
      <c r="F971" s="3"/>
      <c r="G971" s="5"/>
      <c r="H971" s="3"/>
      <c r="I971" s="5"/>
      <c r="J971" s="3"/>
      <c r="K971" s="5"/>
      <c r="L971" s="3"/>
      <c r="M971" s="5"/>
      <c r="N971" s="5"/>
    </row>
    <row r="972">
      <c r="A972" s="2"/>
      <c r="B972" s="3"/>
      <c r="C972" s="3"/>
      <c r="D972" s="3"/>
      <c r="E972" s="4"/>
      <c r="F972" s="3"/>
      <c r="G972" s="5"/>
      <c r="H972" s="3"/>
      <c r="I972" s="5"/>
      <c r="J972" s="3"/>
      <c r="K972" s="5"/>
      <c r="L972" s="3"/>
      <c r="M972" s="5"/>
      <c r="N972" s="5"/>
    </row>
    <row r="973">
      <c r="A973" s="2"/>
      <c r="B973" s="3"/>
      <c r="C973" s="3"/>
      <c r="D973" s="3"/>
      <c r="E973" s="4"/>
      <c r="F973" s="3"/>
      <c r="G973" s="5"/>
      <c r="H973" s="3"/>
      <c r="I973" s="5"/>
      <c r="J973" s="3"/>
      <c r="K973" s="5"/>
      <c r="L973" s="3"/>
      <c r="M973" s="5"/>
      <c r="N973" s="5"/>
    </row>
    <row r="974">
      <c r="A974" s="2"/>
      <c r="B974" s="3"/>
      <c r="C974" s="3"/>
      <c r="D974" s="3"/>
      <c r="E974" s="4"/>
      <c r="F974" s="3"/>
      <c r="G974" s="5"/>
      <c r="H974" s="3"/>
      <c r="I974" s="5"/>
      <c r="J974" s="3"/>
      <c r="K974" s="5"/>
      <c r="L974" s="3"/>
      <c r="M974" s="5"/>
      <c r="N974" s="5"/>
    </row>
    <row r="975">
      <c r="A975" s="2"/>
      <c r="B975" s="3"/>
      <c r="C975" s="3"/>
      <c r="D975" s="3"/>
      <c r="E975" s="4"/>
      <c r="F975" s="3"/>
      <c r="G975" s="5"/>
      <c r="H975" s="3"/>
      <c r="I975" s="5"/>
      <c r="J975" s="3"/>
      <c r="K975" s="5"/>
      <c r="L975" s="3"/>
      <c r="M975" s="5"/>
      <c r="N975" s="5"/>
    </row>
    <row r="976">
      <c r="A976" s="2"/>
      <c r="B976" s="3"/>
      <c r="C976" s="3"/>
      <c r="D976" s="3"/>
      <c r="E976" s="4"/>
      <c r="F976" s="3"/>
      <c r="G976" s="5"/>
      <c r="H976" s="3"/>
      <c r="I976" s="5"/>
      <c r="J976" s="3"/>
      <c r="K976" s="5"/>
      <c r="L976" s="3"/>
      <c r="M976" s="5"/>
      <c r="N976" s="5"/>
    </row>
    <row r="977">
      <c r="A977" s="2"/>
      <c r="B977" s="3"/>
      <c r="C977" s="3"/>
      <c r="D977" s="3"/>
      <c r="E977" s="4"/>
      <c r="F977" s="3"/>
      <c r="G977" s="5"/>
      <c r="H977" s="3"/>
      <c r="I977" s="5"/>
      <c r="J977" s="3"/>
      <c r="K977" s="5"/>
      <c r="L977" s="3"/>
      <c r="M977" s="5"/>
      <c r="N977" s="5"/>
    </row>
    <row r="978">
      <c r="A978" s="2"/>
      <c r="B978" s="3"/>
      <c r="C978" s="3"/>
      <c r="D978" s="3"/>
      <c r="E978" s="4"/>
      <c r="F978" s="3"/>
      <c r="G978" s="5"/>
      <c r="H978" s="3"/>
      <c r="I978" s="5"/>
      <c r="J978" s="3"/>
      <c r="K978" s="5"/>
      <c r="L978" s="3"/>
      <c r="M978" s="5"/>
      <c r="N978" s="5"/>
    </row>
    <row r="979">
      <c r="A979" s="2"/>
      <c r="B979" s="3"/>
      <c r="C979" s="3"/>
      <c r="D979" s="3"/>
      <c r="E979" s="4"/>
      <c r="F979" s="3"/>
      <c r="G979" s="5"/>
      <c r="H979" s="3"/>
      <c r="I979" s="5"/>
      <c r="J979" s="3"/>
      <c r="K979" s="5"/>
      <c r="L979" s="3"/>
      <c r="M979" s="5"/>
      <c r="N979" s="5"/>
    </row>
    <row r="980">
      <c r="A980" s="2"/>
      <c r="B980" s="3"/>
      <c r="C980" s="3"/>
      <c r="D980" s="3"/>
      <c r="E980" s="4"/>
      <c r="F980" s="3"/>
      <c r="G980" s="5"/>
      <c r="H980" s="3"/>
      <c r="I980" s="5"/>
      <c r="J980" s="3"/>
      <c r="K980" s="5"/>
      <c r="L980" s="3"/>
      <c r="M980" s="5"/>
      <c r="N980" s="5"/>
    </row>
    <row r="981">
      <c r="A981" s="2"/>
      <c r="B981" s="3"/>
      <c r="C981" s="3"/>
      <c r="D981" s="3"/>
      <c r="E981" s="4"/>
      <c r="F981" s="3"/>
      <c r="G981" s="5"/>
      <c r="H981" s="3"/>
      <c r="I981" s="5"/>
      <c r="J981" s="3"/>
      <c r="K981" s="5"/>
      <c r="L981" s="3"/>
      <c r="M981" s="5"/>
      <c r="N981" s="5"/>
    </row>
    <row r="982">
      <c r="A982" s="2"/>
      <c r="B982" s="3"/>
      <c r="C982" s="3"/>
      <c r="D982" s="3"/>
      <c r="E982" s="4"/>
      <c r="F982" s="3"/>
      <c r="G982" s="5"/>
      <c r="H982" s="3"/>
      <c r="I982" s="5"/>
      <c r="J982" s="3"/>
      <c r="K982" s="5"/>
      <c r="L982" s="3"/>
      <c r="M982" s="5"/>
      <c r="N982" s="5"/>
    </row>
    <row r="983">
      <c r="A983" s="2"/>
      <c r="B983" s="3"/>
      <c r="C983" s="3"/>
      <c r="D983" s="3"/>
      <c r="E983" s="4"/>
      <c r="F983" s="3"/>
      <c r="G983" s="5"/>
      <c r="H983" s="3"/>
      <c r="I983" s="5"/>
      <c r="J983" s="3"/>
      <c r="K983" s="5"/>
      <c r="L983" s="3"/>
      <c r="M983" s="5"/>
      <c r="N983" s="5"/>
    </row>
    <row r="984">
      <c r="A984" s="2"/>
      <c r="B984" s="3"/>
      <c r="C984" s="3"/>
      <c r="D984" s="3"/>
      <c r="E984" s="4"/>
      <c r="F984" s="3"/>
      <c r="G984" s="5"/>
      <c r="H984" s="3"/>
      <c r="I984" s="5"/>
      <c r="J984" s="3"/>
      <c r="K984" s="5"/>
      <c r="L984" s="3"/>
      <c r="M984" s="5"/>
      <c r="N984" s="5"/>
    </row>
    <row r="985">
      <c r="A985" s="2"/>
      <c r="B985" s="3"/>
      <c r="C985" s="3"/>
      <c r="D985" s="3"/>
      <c r="E985" s="4"/>
      <c r="F985" s="3"/>
      <c r="G985" s="5"/>
      <c r="H985" s="3"/>
      <c r="I985" s="5"/>
      <c r="J985" s="3"/>
      <c r="K985" s="5"/>
      <c r="L985" s="3"/>
      <c r="M985" s="5"/>
      <c r="N985" s="5"/>
    </row>
    <row r="986">
      <c r="A986" s="2"/>
      <c r="B986" s="3"/>
      <c r="C986" s="3"/>
      <c r="D986" s="3"/>
      <c r="E986" s="4"/>
      <c r="F986" s="3"/>
      <c r="G986" s="5"/>
      <c r="H986" s="3"/>
      <c r="I986" s="5"/>
      <c r="J986" s="3"/>
      <c r="K986" s="5"/>
      <c r="L986" s="3"/>
      <c r="M986" s="5"/>
      <c r="N986" s="5"/>
    </row>
    <row r="987">
      <c r="A987" s="2"/>
      <c r="B987" s="3"/>
      <c r="C987" s="3"/>
      <c r="D987" s="3"/>
      <c r="E987" s="4"/>
      <c r="F987" s="3"/>
      <c r="G987" s="5"/>
      <c r="H987" s="3"/>
      <c r="I987" s="5"/>
      <c r="J987" s="3"/>
      <c r="K987" s="5"/>
      <c r="L987" s="3"/>
      <c r="M987" s="5"/>
      <c r="N987" s="5"/>
    </row>
    <row r="988">
      <c r="A988" s="2"/>
      <c r="B988" s="3"/>
      <c r="C988" s="3"/>
      <c r="D988" s="3"/>
      <c r="E988" s="4"/>
      <c r="F988" s="3"/>
      <c r="G988" s="5"/>
      <c r="H988" s="3"/>
      <c r="I988" s="5"/>
      <c r="J988" s="3"/>
      <c r="K988" s="5"/>
      <c r="L988" s="3"/>
      <c r="M988" s="5"/>
      <c r="N988" s="5"/>
    </row>
    <row r="989">
      <c r="A989" s="2"/>
      <c r="B989" s="3"/>
      <c r="C989" s="3"/>
      <c r="D989" s="3"/>
      <c r="E989" s="4"/>
      <c r="F989" s="3"/>
      <c r="G989" s="5"/>
      <c r="H989" s="3"/>
      <c r="I989" s="5"/>
      <c r="J989" s="3"/>
      <c r="K989" s="5"/>
      <c r="L989" s="3"/>
      <c r="M989" s="5"/>
      <c r="N989" s="5"/>
    </row>
    <row r="990">
      <c r="A990" s="2"/>
      <c r="B990" s="3"/>
      <c r="C990" s="3"/>
      <c r="D990" s="3"/>
      <c r="E990" s="4"/>
      <c r="F990" s="3"/>
      <c r="G990" s="5"/>
      <c r="H990" s="3"/>
      <c r="I990" s="5"/>
      <c r="J990" s="3"/>
      <c r="K990" s="5"/>
      <c r="L990" s="3"/>
      <c r="M990" s="5"/>
      <c r="N990" s="5"/>
    </row>
    <row r="991">
      <c r="A991" s="2"/>
      <c r="B991" s="3"/>
      <c r="C991" s="3"/>
      <c r="D991" s="3"/>
      <c r="E991" s="4"/>
      <c r="F991" s="3"/>
      <c r="G991" s="5"/>
      <c r="H991" s="3"/>
      <c r="I991" s="5"/>
      <c r="J991" s="3"/>
      <c r="K991" s="5"/>
      <c r="L991" s="3"/>
      <c r="M991" s="5"/>
      <c r="N991" s="5"/>
    </row>
    <row r="992">
      <c r="A992" s="2"/>
      <c r="B992" s="3"/>
      <c r="C992" s="3"/>
      <c r="D992" s="3"/>
      <c r="E992" s="4"/>
      <c r="F992" s="3"/>
      <c r="G992" s="5"/>
      <c r="H992" s="3"/>
      <c r="I992" s="5"/>
      <c r="J992" s="3"/>
      <c r="K992" s="5"/>
      <c r="L992" s="3"/>
      <c r="M992" s="5"/>
      <c r="N992" s="5"/>
    </row>
    <row r="993">
      <c r="A993" s="2"/>
      <c r="B993" s="3"/>
      <c r="C993" s="3"/>
      <c r="D993" s="3"/>
      <c r="E993" s="4"/>
      <c r="F993" s="3"/>
      <c r="G993" s="5"/>
      <c r="H993" s="3"/>
      <c r="I993" s="5"/>
      <c r="J993" s="3"/>
      <c r="K993" s="5"/>
      <c r="L993" s="3"/>
      <c r="M993" s="5"/>
      <c r="N993" s="5"/>
    </row>
    <row r="994">
      <c r="A994" s="2"/>
      <c r="B994" s="3"/>
      <c r="C994" s="3"/>
      <c r="D994" s="3"/>
      <c r="E994" s="4"/>
      <c r="F994" s="3"/>
      <c r="G994" s="5"/>
      <c r="H994" s="3"/>
      <c r="I994" s="5"/>
      <c r="J994" s="3"/>
      <c r="K994" s="5"/>
      <c r="L994" s="3"/>
      <c r="M994" s="5"/>
      <c r="N994" s="5"/>
    </row>
    <row r="995">
      <c r="A995" s="2"/>
      <c r="B995" s="3"/>
      <c r="C995" s="3"/>
      <c r="D995" s="3"/>
      <c r="E995" s="4"/>
      <c r="F995" s="3"/>
      <c r="G995" s="5"/>
      <c r="H995" s="3"/>
      <c r="I995" s="5"/>
      <c r="J995" s="3"/>
      <c r="K995" s="5"/>
      <c r="L995" s="3"/>
      <c r="M995" s="5"/>
      <c r="N995" s="5"/>
    </row>
    <row r="996">
      <c r="A996" s="2"/>
      <c r="B996" s="3"/>
      <c r="C996" s="3"/>
      <c r="D996" s="3"/>
      <c r="E996" s="4"/>
      <c r="F996" s="3"/>
      <c r="G996" s="5"/>
      <c r="H996" s="3"/>
      <c r="I996" s="5"/>
      <c r="J996" s="3"/>
      <c r="K996" s="5"/>
      <c r="L996" s="3"/>
      <c r="M996" s="5"/>
      <c r="N996" s="5"/>
    </row>
    <row r="997">
      <c r="A997" s="2"/>
      <c r="B997" s="3"/>
      <c r="C997" s="3"/>
      <c r="D997" s="3"/>
      <c r="E997" s="4"/>
      <c r="F997" s="3"/>
      <c r="G997" s="5"/>
      <c r="H997" s="3"/>
      <c r="I997" s="5"/>
      <c r="J997" s="3"/>
      <c r="K997" s="5"/>
      <c r="L997" s="3"/>
      <c r="M997" s="5"/>
      <c r="N997" s="5"/>
    </row>
    <row r="998">
      <c r="A998" s="2"/>
      <c r="B998" s="3"/>
      <c r="C998" s="3"/>
      <c r="D998" s="3"/>
      <c r="E998" s="4"/>
      <c r="F998" s="3"/>
      <c r="G998" s="5"/>
      <c r="H998" s="3"/>
      <c r="I998" s="5"/>
      <c r="J998" s="3"/>
      <c r="K998" s="5"/>
      <c r="L998" s="3"/>
      <c r="M998" s="5"/>
      <c r="N998" s="5"/>
    </row>
    <row r="999">
      <c r="A999" s="2"/>
      <c r="B999" s="3"/>
      <c r="C999" s="3"/>
      <c r="D999" s="3"/>
      <c r="E999" s="4"/>
      <c r="F999" s="3"/>
      <c r="G999" s="5"/>
      <c r="H999" s="3"/>
      <c r="I999" s="5"/>
      <c r="J999" s="3"/>
      <c r="K999" s="5"/>
      <c r="L999" s="3"/>
      <c r="M999" s="5"/>
      <c r="N999" s="5"/>
    </row>
    <row r="1000">
      <c r="A1000" s="2"/>
      <c r="B1000" s="3"/>
      <c r="C1000" s="3"/>
      <c r="D1000" s="3"/>
      <c r="E1000" s="4"/>
      <c r="F1000" s="3"/>
      <c r="G1000" s="5"/>
      <c r="H1000" s="3"/>
      <c r="I1000" s="5"/>
      <c r="J1000" s="3"/>
      <c r="K1000" s="5"/>
      <c r="L1000" s="3"/>
      <c r="M1000" s="5"/>
      <c r="N1000" s="5"/>
    </row>
  </sheetData>
  <conditionalFormatting sqref="P2:P1000">
    <cfRule type="cellIs" dxfId="0" priority="1" operator="lessThan">
      <formula>0</formula>
    </cfRule>
  </conditionalFormatting>
  <conditionalFormatting sqref="P2:P1000">
    <cfRule type="cellIs" dxfId="1" priority="2" operator="greater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tr">
        <f>IFERROR(__xludf.DUMMYFUNCTION("SORT(
  UNIQUE(
    FILTER(
      Raw!L2:L1000,
      Raw!L2:L1000&lt;&gt;"""",
      Raw!F2:F1000=""2v2""
    )
  )
)
"),"Aferdita")</f>
        <v>Aferdita</v>
      </c>
      <c r="B2" s="3">
        <f t="array" ref="B2:B1000">IF(A2:A1000="",
   ,
   COUNTIFS(
     Raw!L:L, A2:A1000,
     Raw!F:F, "2v2"
   )
)
</f>
        <v>8</v>
      </c>
      <c r="C2" s="3">
        <f t="array" ref="C2:C1000">IF(A2:A1000="",
   ,
   COUNTIFS(
     Raw!L:L, A2:A1000,
     Raw!I:I, "win",
     Raw!F:F, "2v2"
   )
)
</f>
        <v>3</v>
      </c>
      <c r="D2" s="3">
        <f t="array" ref="D2:D1000">IF(A2:A1000="",
   ,
   COUNTIFS(
     Raw!L:L, A2:A1000,
     Raw!I:I, "loss",
     Raw!F:F, "2v2"
   )
)
</f>
        <v>5</v>
      </c>
      <c r="E2" s="4">
        <f t="array" ref="E2:E1000">IF(A2:A1000="",
   ,
   IF(B2:B1000=0, , C2:C1000 / B2:B1000)
)
</f>
        <v>0.375</v>
      </c>
      <c r="F2" s="3">
        <f>IFERROR(__xludf.DUMMYFUNCTION("ARRAYFORMULA(
MAP(
  A2:A1000,
  LAMBDA(id,
    IF(id="""",,
      SUM(
        FILTER(
          N(Raw!M:M),
          Raw!L:L = id,
          TRIM(SUBSTITUTE(Raw!F:F, CHAR(160), "" "")) = ""2v2""
        )
      )
    )
  )
)
)
"),15.0)</f>
        <v>15</v>
      </c>
      <c r="G2" s="5">
        <f t="array" ref="G2:G1000">IF(A2:A1000="",
   ,
   IF(B2:B1000=0, , F2:F1000 / B2:B1000)
)
</f>
        <v>1.875</v>
      </c>
      <c r="H2" s="3">
        <f>IFERROR(__xludf.DUMMYFUNCTION("ARRAYFORMULA(
MAP(
  A2:A1000,
  LAMBDA(id,
    IF(id="""",,
      SUM(
        FILTER(
          N(Raw!O:O),
          Raw!L:L = id,
          TRIM(SUBSTITUTE(Raw!F:F, CHAR(160), "" "")) = ""2v2""
        )
      )
    )
  )
)
)
"),3.0)</f>
        <v>3</v>
      </c>
      <c r="I2" s="5">
        <f t="array" ref="I2:I1000">IF(A2:A1000="",
   ,
   IF(B2:B1000=0, , H2:H1000 / B2:B1000)
)
</f>
        <v>0.375</v>
      </c>
      <c r="J2" s="3">
        <f>IFERROR(__xludf.DUMMYFUNCTION("ARRAYFORMULA(
MAP(
  A2:A1000,
  LAMBDA(id,
    IF(id="""",,
      SUM(
        FILTER(
          N(Raw!P:P),
          Raw!L:L = id,
          TRIM(SUBSTITUTE(Raw!F:F, CHAR(160), "" "")) = ""2v2""
        )
      )
    )
  )
)
)
"),12694.0)</f>
        <v>12694</v>
      </c>
      <c r="K2" s="5">
        <f t="array" ref="K2:K1000">IF(A2:A1000="",
   ,
   IF(B2:B1000=0, , J2:J1000 / B2:B1000)
)
</f>
        <v>1586.75</v>
      </c>
      <c r="L2" s="3">
        <f>IFERROR(__xludf.DUMMYFUNCTION("ARRAYFORMULA(
MAP(
  A2:A1000,
  LAMBDA(id,
    IF(id="""",,
      SUM(
        FILTER(
          N(Raw!Q:Q),
          Raw!L:L = id,
          TRIM(SUBSTITUTE(Raw!F:F, CHAR(160), "" "")) = ""2v2""
        )
      )
    )
  )
)
)
"),727.0)</f>
        <v>727</v>
      </c>
      <c r="M2" s="5">
        <f t="array" ref="M2:M1000">IF(A2:A1000="",
   ,
   IF(B2:B1000=0, , L2:L1000 / B2:B1000)
)
</f>
        <v>90.875</v>
      </c>
      <c r="N2" s="5">
        <f t="array" ref="N2:N1000">MAP(
  A2:A1000,
  LAMBDA(id,
    IF(id="",,
      IF(
        SUMIFS(
          Raw!E:E,
          Raw!L:L, id,
          Raw!F:F, "2v2"
        ) = 0,
        ,
        SUMIFS(
          Raw!P:P,
          Raw!L:L, id,
          Raw!F:F, "2v2"
        )
        /
        SUMIFS(
          Raw!E:E,
          Raw!L:L, id,
          Raw!F:F, "2v2"
        )
      )
    )
  )
)
</f>
        <v>1.939792176</v>
      </c>
    </row>
    <row r="3">
      <c r="A3" s="2" t="str">
        <f>IFERROR(__xludf.DUMMYFUNCTION("""COMPUTED_VALUE"""),"Kesny")</f>
        <v>Kesny</v>
      </c>
      <c r="B3" s="3">
        <v>35.0</v>
      </c>
      <c r="C3" s="3">
        <v>11.0</v>
      </c>
      <c r="D3" s="3">
        <v>24.0</v>
      </c>
      <c r="E3" s="4">
        <v>0.3142857142857143</v>
      </c>
      <c r="F3" s="3">
        <f>IFERROR(__xludf.DUMMYFUNCTION("""COMPUTED_VALUE"""),140.0)</f>
        <v>140</v>
      </c>
      <c r="G3" s="5">
        <v>4.0</v>
      </c>
      <c r="H3" s="3">
        <f>IFERROR(__xludf.DUMMYFUNCTION("""COMPUTED_VALUE"""),34.0)</f>
        <v>34</v>
      </c>
      <c r="I3" s="5">
        <v>0.9714285714285714</v>
      </c>
      <c r="J3" s="3">
        <f>IFERROR(__xludf.DUMMYFUNCTION("""COMPUTED_VALUE"""),52909.0)</f>
        <v>52909</v>
      </c>
      <c r="K3" s="5">
        <v>1511.6857142857143</v>
      </c>
      <c r="L3" s="3">
        <f>IFERROR(__xludf.DUMMYFUNCTION("""COMPUTED_VALUE"""),4636.0)</f>
        <v>4636</v>
      </c>
      <c r="M3" s="5">
        <v>132.45714285714286</v>
      </c>
      <c r="N3" s="5">
        <v>1.8853650714463885</v>
      </c>
    </row>
    <row r="4">
      <c r="A4" s="2" t="str">
        <f>IFERROR(__xludf.DUMMYFUNCTION("""COMPUTED_VALUE"""),"Malena")</f>
        <v>Malena</v>
      </c>
      <c r="B4" s="3">
        <v>67.0</v>
      </c>
      <c r="C4" s="3">
        <v>39.0</v>
      </c>
      <c r="D4" s="3">
        <v>28.0</v>
      </c>
      <c r="E4" s="4">
        <v>0.582089552238806</v>
      </c>
      <c r="F4" s="3">
        <f>IFERROR(__xludf.DUMMYFUNCTION("""COMPUTED_VALUE"""),375.0)</f>
        <v>375</v>
      </c>
      <c r="G4" s="5">
        <v>5.597014925373134</v>
      </c>
      <c r="H4" s="3">
        <f>IFERROR(__xludf.DUMMYFUNCTION("""COMPUTED_VALUE"""),20.0)</f>
        <v>20</v>
      </c>
      <c r="I4" s="5">
        <v>0.29850746268656714</v>
      </c>
      <c r="J4" s="3">
        <f>IFERROR(__xludf.DUMMYFUNCTION("""COMPUTED_VALUE"""),123485.0)</f>
        <v>123485</v>
      </c>
      <c r="K4" s="5">
        <v>1843.0597014925372</v>
      </c>
      <c r="L4" s="3">
        <f>IFERROR(__xludf.DUMMYFUNCTION("""COMPUTED_VALUE"""),9638.0)</f>
        <v>9638</v>
      </c>
      <c r="M4" s="5">
        <v>143.8507462686567</v>
      </c>
      <c r="N4" s="5">
        <v>2.4403667911701348</v>
      </c>
    </row>
    <row r="5">
      <c r="A5" s="2" t="str">
        <f>IFERROR(__xludf.DUMMYFUNCTION("""COMPUTED_VALUE"""),"Nebus.")</f>
        <v>Nebus.</v>
      </c>
      <c r="B5" s="3">
        <v>63.0</v>
      </c>
      <c r="C5" s="3">
        <v>39.0</v>
      </c>
      <c r="D5" s="3">
        <v>24.0</v>
      </c>
      <c r="E5" s="4">
        <v>0.6190476190476191</v>
      </c>
      <c r="F5" s="3">
        <f>IFERROR(__xludf.DUMMYFUNCTION("""COMPUTED_VALUE"""),251.0)</f>
        <v>251</v>
      </c>
      <c r="G5" s="5">
        <v>3.984126984126984</v>
      </c>
      <c r="H5" s="3">
        <f>IFERROR(__xludf.DUMMYFUNCTION("""COMPUTED_VALUE"""),26.0)</f>
        <v>26</v>
      </c>
      <c r="I5" s="5">
        <v>0.4126984126984127</v>
      </c>
      <c r="J5" s="3">
        <f>IFERROR(__xludf.DUMMYFUNCTION("""COMPUTED_VALUE"""),138056.0)</f>
        <v>138056</v>
      </c>
      <c r="K5" s="5">
        <v>2191.3650793650795</v>
      </c>
      <c r="L5" s="3">
        <f>IFERROR(__xludf.DUMMYFUNCTION("""COMPUTED_VALUE"""),8528.0)</f>
        <v>8528</v>
      </c>
      <c r="M5" s="5">
        <v>135.36507936507937</v>
      </c>
      <c r="N5" s="5">
        <v>2.9098726920158504</v>
      </c>
    </row>
    <row r="6">
      <c r="A6" s="2" t="str">
        <f>IFERROR(__xludf.DUMMYFUNCTION("""COMPUTED_VALUE"""),"Tess1509")</f>
        <v>Tess1509</v>
      </c>
      <c r="B6" s="3">
        <v>33.0</v>
      </c>
      <c r="C6" s="3">
        <v>6.0</v>
      </c>
      <c r="D6" s="3">
        <v>27.0</v>
      </c>
      <c r="E6" s="4">
        <v>0.18181818181818182</v>
      </c>
      <c r="F6" s="3">
        <f>IFERROR(__xludf.DUMMYFUNCTION("""COMPUTED_VALUE"""),46.0)</f>
        <v>46</v>
      </c>
      <c r="G6" s="5">
        <v>1.393939393939394</v>
      </c>
      <c r="H6" s="3">
        <f>IFERROR(__xludf.DUMMYFUNCTION("""COMPUTED_VALUE"""),7.0)</f>
        <v>7</v>
      </c>
      <c r="I6" s="5">
        <v>0.21212121212121213</v>
      </c>
      <c r="J6" s="3">
        <f>IFERROR(__xludf.DUMMYFUNCTION("""COMPUTED_VALUE"""),59288.0)</f>
        <v>59288</v>
      </c>
      <c r="K6" s="5">
        <v>1796.6060606060605</v>
      </c>
      <c r="L6" s="3">
        <f>IFERROR(__xludf.DUMMYFUNCTION("""COMPUTED_VALUE"""),2675.0)</f>
        <v>2675</v>
      </c>
      <c r="M6" s="5">
        <v>81.06060606060606</v>
      </c>
      <c r="N6" s="5">
        <v>2.5478298238074775</v>
      </c>
    </row>
    <row r="7">
      <c r="A7" s="2" t="str">
        <f>IFERROR(__xludf.DUMMYFUNCTION("""COMPUTED_VALUE"""),"ZeroO")</f>
        <v>ZeroO</v>
      </c>
      <c r="B7" s="3">
        <v>62.0</v>
      </c>
      <c r="C7" s="3">
        <v>36.0</v>
      </c>
      <c r="D7" s="3">
        <v>26.0</v>
      </c>
      <c r="E7" s="4">
        <v>0.5806451612903226</v>
      </c>
      <c r="F7" s="3">
        <f>IFERROR(__xludf.DUMMYFUNCTION("""COMPUTED_VALUE"""),322.0)</f>
        <v>322</v>
      </c>
      <c r="G7" s="5">
        <v>5.193548387096774</v>
      </c>
      <c r="H7" s="3">
        <f>IFERROR(__xludf.DUMMYFUNCTION("""COMPUTED_VALUE"""),27.0)</f>
        <v>27</v>
      </c>
      <c r="I7" s="5">
        <v>0.43548387096774194</v>
      </c>
      <c r="J7" s="3">
        <f>IFERROR(__xludf.DUMMYFUNCTION("""COMPUTED_VALUE"""),108680.0)</f>
        <v>108680</v>
      </c>
      <c r="K7" s="5">
        <v>1752.9032258064517</v>
      </c>
      <c r="L7" s="3">
        <f>IFERROR(__xludf.DUMMYFUNCTION("""COMPUTED_VALUE"""),8517.0)</f>
        <v>8517</v>
      </c>
      <c r="M7" s="5">
        <v>137.3709677419355</v>
      </c>
      <c r="N7" s="5">
        <v>2.3381093756723033</v>
      </c>
    </row>
    <row r="8">
      <c r="A8" s="2"/>
      <c r="B8" s="3"/>
      <c r="C8" s="3"/>
      <c r="D8" s="3"/>
      <c r="E8" s="4"/>
      <c r="F8" s="3"/>
      <c r="G8" s="5"/>
      <c r="H8" s="3"/>
      <c r="I8" s="5"/>
      <c r="J8" s="3"/>
      <c r="K8" s="5"/>
      <c r="L8" s="3"/>
      <c r="M8" s="5"/>
      <c r="N8" s="5"/>
    </row>
    <row r="9">
      <c r="A9" s="2"/>
      <c r="B9" s="3"/>
      <c r="C9" s="3"/>
      <c r="D9" s="3"/>
      <c r="E9" s="4"/>
      <c r="F9" s="3"/>
      <c r="G9" s="5"/>
      <c r="H9" s="3"/>
      <c r="I9" s="5"/>
      <c r="J9" s="3"/>
      <c r="K9" s="5"/>
      <c r="L9" s="3"/>
      <c r="M9" s="5"/>
      <c r="N9" s="5"/>
    </row>
    <row r="10">
      <c r="A10" s="2"/>
      <c r="B10" s="3"/>
      <c r="C10" s="3"/>
      <c r="D10" s="3"/>
      <c r="E10" s="4"/>
      <c r="F10" s="3"/>
      <c r="G10" s="5"/>
      <c r="H10" s="3"/>
      <c r="I10" s="5"/>
      <c r="J10" s="3"/>
      <c r="K10" s="5"/>
      <c r="L10" s="3"/>
      <c r="M10" s="5"/>
      <c r="N10" s="5"/>
    </row>
    <row r="11">
      <c r="A11" s="2"/>
      <c r="B11" s="3"/>
      <c r="C11" s="3"/>
      <c r="D11" s="3"/>
      <c r="E11" s="4"/>
      <c r="F11" s="3"/>
      <c r="G11" s="5"/>
      <c r="H11" s="3"/>
      <c r="I11" s="5"/>
      <c r="J11" s="3"/>
      <c r="K11" s="5"/>
      <c r="L11" s="3"/>
      <c r="M11" s="5"/>
      <c r="N11" s="5"/>
    </row>
    <row r="12">
      <c r="A12" s="2"/>
      <c r="B12" s="3"/>
      <c r="C12" s="3"/>
      <c r="D12" s="3"/>
      <c r="E12" s="4"/>
      <c r="F12" s="3"/>
      <c r="G12" s="5"/>
      <c r="H12" s="3"/>
      <c r="I12" s="5"/>
      <c r="J12" s="3"/>
      <c r="K12" s="5"/>
      <c r="L12" s="3"/>
      <c r="M12" s="5"/>
      <c r="N12" s="5"/>
    </row>
    <row r="13">
      <c r="A13" s="2"/>
      <c r="B13" s="3"/>
      <c r="C13" s="3"/>
      <c r="D13" s="3"/>
      <c r="E13" s="4"/>
      <c r="F13" s="3"/>
      <c r="G13" s="5"/>
      <c r="H13" s="3"/>
      <c r="I13" s="5"/>
      <c r="J13" s="3"/>
      <c r="K13" s="5"/>
      <c r="L13" s="3"/>
      <c r="M13" s="5"/>
      <c r="N13" s="5"/>
    </row>
    <row r="14">
      <c r="A14" s="2"/>
      <c r="B14" s="3"/>
      <c r="C14" s="3"/>
      <c r="D14" s="3"/>
      <c r="E14" s="4"/>
      <c r="F14" s="3"/>
      <c r="G14" s="5"/>
      <c r="H14" s="3"/>
      <c r="I14" s="5"/>
      <c r="J14" s="3"/>
      <c r="K14" s="5"/>
      <c r="L14" s="3"/>
      <c r="M14" s="5"/>
      <c r="N14" s="5"/>
    </row>
    <row r="15">
      <c r="A15" s="2"/>
      <c r="B15" s="3"/>
      <c r="C15" s="3"/>
      <c r="D15" s="3"/>
      <c r="E15" s="4"/>
      <c r="F15" s="3"/>
      <c r="G15" s="5"/>
      <c r="H15" s="3"/>
      <c r="I15" s="5"/>
      <c r="J15" s="3"/>
      <c r="K15" s="5"/>
      <c r="L15" s="3"/>
      <c r="M15" s="5"/>
      <c r="N15" s="5"/>
    </row>
    <row r="16">
      <c r="A16" s="2"/>
      <c r="B16" s="3"/>
      <c r="C16" s="3"/>
      <c r="D16" s="3"/>
      <c r="E16" s="4"/>
      <c r="F16" s="3"/>
      <c r="G16" s="5"/>
      <c r="H16" s="3"/>
      <c r="I16" s="5"/>
      <c r="J16" s="3"/>
      <c r="K16" s="5"/>
      <c r="L16" s="3"/>
      <c r="M16" s="5"/>
      <c r="N16" s="5"/>
    </row>
    <row r="17">
      <c r="A17" s="2"/>
      <c r="B17" s="3"/>
      <c r="C17" s="3"/>
      <c r="D17" s="3"/>
      <c r="E17" s="4"/>
      <c r="F17" s="3"/>
      <c r="G17" s="5"/>
      <c r="H17" s="3"/>
      <c r="I17" s="5"/>
      <c r="J17" s="3"/>
      <c r="K17" s="5"/>
      <c r="L17" s="3"/>
      <c r="M17" s="5"/>
      <c r="N17" s="5"/>
    </row>
    <row r="18">
      <c r="A18" s="2"/>
      <c r="B18" s="3"/>
      <c r="C18" s="3"/>
      <c r="D18" s="3"/>
      <c r="E18" s="4"/>
      <c r="F18" s="3"/>
      <c r="G18" s="5"/>
      <c r="H18" s="3"/>
      <c r="I18" s="5"/>
      <c r="J18" s="3"/>
      <c r="K18" s="5"/>
      <c r="L18" s="3"/>
      <c r="M18" s="5"/>
      <c r="N18" s="5"/>
    </row>
    <row r="19">
      <c r="A19" s="2"/>
      <c r="B19" s="3"/>
      <c r="C19" s="3"/>
      <c r="D19" s="3"/>
      <c r="E19" s="4"/>
      <c r="F19" s="3"/>
      <c r="G19" s="5"/>
      <c r="H19" s="3"/>
      <c r="I19" s="5"/>
      <c r="J19" s="3"/>
      <c r="K19" s="5"/>
      <c r="L19" s="3"/>
      <c r="M19" s="5"/>
      <c r="N19" s="5"/>
    </row>
    <row r="20">
      <c r="A20" s="2"/>
      <c r="B20" s="3"/>
      <c r="C20" s="3"/>
      <c r="D20" s="3"/>
      <c r="E20" s="4"/>
      <c r="F20" s="3"/>
      <c r="G20" s="5"/>
      <c r="H20" s="3"/>
      <c r="I20" s="5"/>
      <c r="J20" s="3"/>
      <c r="K20" s="5"/>
      <c r="L20" s="3"/>
      <c r="M20" s="5"/>
      <c r="N20" s="5"/>
    </row>
    <row r="21">
      <c r="A21" s="2"/>
      <c r="B21" s="3"/>
      <c r="C21" s="3"/>
      <c r="D21" s="3"/>
      <c r="E21" s="4"/>
      <c r="F21" s="3"/>
      <c r="G21" s="5"/>
      <c r="H21" s="3"/>
      <c r="I21" s="5"/>
      <c r="J21" s="3"/>
      <c r="K21" s="5"/>
      <c r="L21" s="3"/>
      <c r="M21" s="5"/>
      <c r="N21" s="5"/>
    </row>
    <row r="22">
      <c r="A22" s="2"/>
      <c r="B22" s="3"/>
      <c r="C22" s="3"/>
      <c r="D22" s="3"/>
      <c r="E22" s="4"/>
      <c r="F22" s="3"/>
      <c r="G22" s="5"/>
      <c r="H22" s="3"/>
      <c r="I22" s="5"/>
      <c r="J22" s="3"/>
      <c r="K22" s="5"/>
      <c r="L22" s="3"/>
      <c r="M22" s="5"/>
      <c r="N22" s="5"/>
    </row>
    <row r="23">
      <c r="A23" s="2"/>
      <c r="B23" s="3"/>
      <c r="C23" s="3"/>
      <c r="D23" s="3"/>
      <c r="E23" s="4"/>
      <c r="F23" s="3"/>
      <c r="G23" s="5"/>
      <c r="H23" s="3"/>
      <c r="I23" s="5"/>
      <c r="J23" s="3"/>
      <c r="K23" s="5"/>
      <c r="L23" s="3"/>
      <c r="M23" s="5"/>
      <c r="N23" s="5"/>
    </row>
    <row r="24">
      <c r="A24" s="2"/>
      <c r="B24" s="3"/>
      <c r="C24" s="3"/>
      <c r="D24" s="3"/>
      <c r="E24" s="4"/>
      <c r="F24" s="3"/>
      <c r="G24" s="5"/>
      <c r="H24" s="3"/>
      <c r="I24" s="5"/>
      <c r="J24" s="3"/>
      <c r="K24" s="5"/>
      <c r="L24" s="3"/>
      <c r="M24" s="5"/>
      <c r="N24" s="5"/>
    </row>
    <row r="25">
      <c r="A25" s="2"/>
      <c r="B25" s="3"/>
      <c r="C25" s="3"/>
      <c r="D25" s="3"/>
      <c r="E25" s="4"/>
      <c r="F25" s="3"/>
      <c r="G25" s="5"/>
      <c r="H25" s="3"/>
      <c r="I25" s="5"/>
      <c r="J25" s="3"/>
      <c r="K25" s="5"/>
      <c r="L25" s="3"/>
      <c r="M25" s="5"/>
      <c r="N25" s="5"/>
    </row>
    <row r="26">
      <c r="A26" s="2"/>
      <c r="B26" s="3"/>
      <c r="C26" s="3"/>
      <c r="D26" s="3"/>
      <c r="E26" s="4"/>
      <c r="F26" s="3"/>
      <c r="G26" s="5"/>
      <c r="H26" s="3"/>
      <c r="I26" s="5"/>
      <c r="J26" s="3"/>
      <c r="K26" s="5"/>
      <c r="L26" s="3"/>
      <c r="M26" s="5"/>
      <c r="N26" s="5"/>
    </row>
    <row r="27">
      <c r="A27" s="2"/>
      <c r="B27" s="3"/>
      <c r="C27" s="3"/>
      <c r="D27" s="3"/>
      <c r="E27" s="4"/>
      <c r="F27" s="3"/>
      <c r="G27" s="5"/>
      <c r="H27" s="3"/>
      <c r="I27" s="5"/>
      <c r="J27" s="3"/>
      <c r="K27" s="5"/>
      <c r="L27" s="3"/>
      <c r="M27" s="5"/>
      <c r="N27" s="5"/>
    </row>
    <row r="28">
      <c r="A28" s="2"/>
      <c r="B28" s="3"/>
      <c r="C28" s="3"/>
      <c r="D28" s="3"/>
      <c r="E28" s="4"/>
      <c r="F28" s="3"/>
      <c r="G28" s="5"/>
      <c r="H28" s="3"/>
      <c r="I28" s="5"/>
      <c r="J28" s="3"/>
      <c r="K28" s="5"/>
      <c r="L28" s="3"/>
      <c r="M28" s="5"/>
      <c r="N28" s="5"/>
    </row>
    <row r="29">
      <c r="A29" s="2"/>
      <c r="B29" s="3"/>
      <c r="C29" s="3"/>
      <c r="D29" s="3"/>
      <c r="E29" s="4"/>
      <c r="F29" s="3"/>
      <c r="G29" s="5"/>
      <c r="H29" s="3"/>
      <c r="I29" s="5"/>
      <c r="J29" s="3"/>
      <c r="K29" s="5"/>
      <c r="L29" s="3"/>
      <c r="M29" s="5"/>
      <c r="N29" s="5"/>
    </row>
    <row r="30">
      <c r="A30" s="2"/>
      <c r="B30" s="3"/>
      <c r="C30" s="3"/>
      <c r="D30" s="3"/>
      <c r="E30" s="4"/>
      <c r="F30" s="3"/>
      <c r="G30" s="5"/>
      <c r="H30" s="3"/>
      <c r="I30" s="5"/>
      <c r="J30" s="3"/>
      <c r="K30" s="5"/>
      <c r="L30" s="3"/>
      <c r="M30" s="5"/>
      <c r="N30" s="5"/>
    </row>
    <row r="31">
      <c r="A31" s="2"/>
      <c r="B31" s="3"/>
      <c r="C31" s="3"/>
      <c r="D31" s="3"/>
      <c r="E31" s="4"/>
      <c r="F31" s="3"/>
      <c r="G31" s="5"/>
      <c r="H31" s="3"/>
      <c r="I31" s="5"/>
      <c r="J31" s="3"/>
      <c r="K31" s="5"/>
      <c r="L31" s="3"/>
      <c r="M31" s="5"/>
      <c r="N31" s="5"/>
    </row>
    <row r="32">
      <c r="A32" s="2"/>
      <c r="B32" s="3"/>
      <c r="C32" s="3"/>
      <c r="D32" s="3"/>
      <c r="E32" s="4"/>
      <c r="F32" s="3"/>
      <c r="G32" s="5"/>
      <c r="H32" s="3"/>
      <c r="I32" s="5"/>
      <c r="J32" s="3"/>
      <c r="K32" s="5"/>
      <c r="L32" s="3"/>
      <c r="M32" s="5"/>
      <c r="N32" s="5"/>
    </row>
    <row r="33">
      <c r="A33" s="2"/>
      <c r="B33" s="3"/>
      <c r="C33" s="3"/>
      <c r="D33" s="3"/>
      <c r="E33" s="4"/>
      <c r="F33" s="3"/>
      <c r="G33" s="5"/>
      <c r="H33" s="3"/>
      <c r="I33" s="5"/>
      <c r="J33" s="3"/>
      <c r="K33" s="5"/>
      <c r="L33" s="3"/>
      <c r="M33" s="5"/>
      <c r="N33" s="5"/>
    </row>
    <row r="34">
      <c r="A34" s="2"/>
      <c r="B34" s="3"/>
      <c r="C34" s="3"/>
      <c r="D34" s="3"/>
      <c r="E34" s="4"/>
      <c r="F34" s="3"/>
      <c r="G34" s="5"/>
      <c r="H34" s="3"/>
      <c r="I34" s="5"/>
      <c r="J34" s="3"/>
      <c r="K34" s="5"/>
      <c r="L34" s="3"/>
      <c r="M34" s="5"/>
      <c r="N34" s="5"/>
    </row>
    <row r="35">
      <c r="A35" s="2"/>
      <c r="B35" s="3"/>
      <c r="C35" s="3"/>
      <c r="D35" s="3"/>
      <c r="E35" s="4"/>
      <c r="F35" s="3"/>
      <c r="G35" s="5"/>
      <c r="H35" s="3"/>
      <c r="I35" s="5"/>
      <c r="J35" s="3"/>
      <c r="K35" s="5"/>
      <c r="L35" s="3"/>
      <c r="M35" s="5"/>
      <c r="N35" s="5"/>
    </row>
    <row r="36">
      <c r="A36" s="2"/>
      <c r="B36" s="3"/>
      <c r="C36" s="3"/>
      <c r="D36" s="3"/>
      <c r="E36" s="4"/>
      <c r="F36" s="3"/>
      <c r="G36" s="5"/>
      <c r="H36" s="3"/>
      <c r="I36" s="5"/>
      <c r="J36" s="3"/>
      <c r="K36" s="5"/>
      <c r="L36" s="3"/>
      <c r="M36" s="5"/>
      <c r="N36" s="5"/>
    </row>
    <row r="37">
      <c r="A37" s="2"/>
      <c r="B37" s="3"/>
      <c r="C37" s="3"/>
      <c r="D37" s="3"/>
      <c r="E37" s="4"/>
      <c r="F37" s="3"/>
      <c r="G37" s="5"/>
      <c r="H37" s="3"/>
      <c r="I37" s="5"/>
      <c r="J37" s="3"/>
      <c r="K37" s="5"/>
      <c r="L37" s="3"/>
      <c r="M37" s="5"/>
      <c r="N37" s="5"/>
    </row>
    <row r="38">
      <c r="A38" s="2"/>
      <c r="B38" s="3"/>
      <c r="C38" s="3"/>
      <c r="D38" s="3"/>
      <c r="E38" s="4"/>
      <c r="F38" s="3"/>
      <c r="G38" s="5"/>
      <c r="H38" s="3"/>
      <c r="I38" s="5"/>
      <c r="J38" s="3"/>
      <c r="K38" s="5"/>
      <c r="L38" s="3"/>
      <c r="M38" s="5"/>
      <c r="N38" s="5"/>
    </row>
    <row r="39">
      <c r="A39" s="2"/>
      <c r="B39" s="3"/>
      <c r="C39" s="3"/>
      <c r="D39" s="3"/>
      <c r="E39" s="4"/>
      <c r="F39" s="3"/>
      <c r="G39" s="5"/>
      <c r="H39" s="3"/>
      <c r="I39" s="5"/>
      <c r="J39" s="3"/>
      <c r="K39" s="5"/>
      <c r="L39" s="3"/>
      <c r="M39" s="5"/>
      <c r="N39" s="5"/>
    </row>
    <row r="40">
      <c r="A40" s="2"/>
      <c r="B40" s="3"/>
      <c r="C40" s="3"/>
      <c r="D40" s="3"/>
      <c r="E40" s="4"/>
      <c r="F40" s="3"/>
      <c r="G40" s="5"/>
      <c r="H40" s="3"/>
      <c r="I40" s="5"/>
      <c r="J40" s="3"/>
      <c r="K40" s="5"/>
      <c r="L40" s="3"/>
      <c r="M40" s="5"/>
      <c r="N40" s="5"/>
    </row>
    <row r="41">
      <c r="A41" s="2"/>
      <c r="B41" s="3"/>
      <c r="C41" s="3"/>
      <c r="D41" s="3"/>
      <c r="E41" s="4"/>
      <c r="F41" s="3"/>
      <c r="G41" s="5"/>
      <c r="H41" s="3"/>
      <c r="I41" s="5"/>
      <c r="J41" s="3"/>
      <c r="K41" s="5"/>
      <c r="L41" s="3"/>
      <c r="M41" s="5"/>
      <c r="N41" s="5"/>
    </row>
    <row r="42">
      <c r="A42" s="2"/>
      <c r="B42" s="3"/>
      <c r="C42" s="3"/>
      <c r="D42" s="3"/>
      <c r="E42" s="4"/>
      <c r="F42" s="3"/>
      <c r="G42" s="5"/>
      <c r="H42" s="3"/>
      <c r="I42" s="5"/>
      <c r="J42" s="3"/>
      <c r="K42" s="5"/>
      <c r="L42" s="3"/>
      <c r="M42" s="5"/>
      <c r="N42" s="5"/>
    </row>
    <row r="43">
      <c r="A43" s="2"/>
      <c r="B43" s="3"/>
      <c r="C43" s="3"/>
      <c r="D43" s="3"/>
      <c r="E43" s="4"/>
      <c r="F43" s="3"/>
      <c r="G43" s="5"/>
      <c r="H43" s="3"/>
      <c r="I43" s="5"/>
      <c r="J43" s="3"/>
      <c r="K43" s="5"/>
      <c r="L43" s="3"/>
      <c r="M43" s="5"/>
      <c r="N43" s="5"/>
    </row>
    <row r="44">
      <c r="A44" s="2"/>
      <c r="B44" s="3"/>
      <c r="C44" s="3"/>
      <c r="D44" s="3"/>
      <c r="E44" s="4"/>
      <c r="F44" s="3"/>
      <c r="G44" s="5"/>
      <c r="H44" s="3"/>
      <c r="I44" s="5"/>
      <c r="J44" s="3"/>
      <c r="K44" s="5"/>
      <c r="L44" s="3"/>
      <c r="M44" s="5"/>
      <c r="N44" s="5"/>
    </row>
    <row r="45">
      <c r="A45" s="2"/>
      <c r="B45" s="3"/>
      <c r="C45" s="3"/>
      <c r="D45" s="3"/>
      <c r="E45" s="4"/>
      <c r="F45" s="3"/>
      <c r="G45" s="5"/>
      <c r="H45" s="3"/>
      <c r="I45" s="5"/>
      <c r="J45" s="3"/>
      <c r="K45" s="5"/>
      <c r="L45" s="3"/>
      <c r="M45" s="5"/>
      <c r="N45" s="5"/>
    </row>
    <row r="46">
      <c r="A46" s="2"/>
      <c r="B46" s="3"/>
      <c r="C46" s="3"/>
      <c r="D46" s="3"/>
      <c r="E46" s="4"/>
      <c r="F46" s="3"/>
      <c r="G46" s="5"/>
      <c r="H46" s="3"/>
      <c r="I46" s="5"/>
      <c r="J46" s="3"/>
      <c r="K46" s="5"/>
      <c r="L46" s="3"/>
      <c r="M46" s="5"/>
      <c r="N46" s="5"/>
    </row>
    <row r="47">
      <c r="A47" s="2"/>
      <c r="B47" s="3"/>
      <c r="C47" s="3"/>
      <c r="D47" s="3"/>
      <c r="E47" s="4"/>
      <c r="F47" s="3"/>
      <c r="G47" s="5"/>
      <c r="H47" s="3"/>
      <c r="I47" s="5"/>
      <c r="J47" s="3"/>
      <c r="K47" s="5"/>
      <c r="L47" s="3"/>
      <c r="M47" s="5"/>
      <c r="N47" s="5"/>
    </row>
    <row r="48">
      <c r="A48" s="2"/>
      <c r="B48" s="3"/>
      <c r="C48" s="3"/>
      <c r="D48" s="3"/>
      <c r="E48" s="4"/>
      <c r="F48" s="3"/>
      <c r="G48" s="5"/>
      <c r="H48" s="3"/>
      <c r="I48" s="5"/>
      <c r="J48" s="3"/>
      <c r="K48" s="5"/>
      <c r="L48" s="3"/>
      <c r="M48" s="5"/>
      <c r="N48" s="5"/>
    </row>
    <row r="49">
      <c r="A49" s="2"/>
      <c r="B49" s="3"/>
      <c r="C49" s="3"/>
      <c r="D49" s="3"/>
      <c r="E49" s="4"/>
      <c r="F49" s="3"/>
      <c r="G49" s="5"/>
      <c r="H49" s="3"/>
      <c r="I49" s="5"/>
      <c r="J49" s="3"/>
      <c r="K49" s="5"/>
      <c r="L49" s="3"/>
      <c r="M49" s="5"/>
      <c r="N49" s="5"/>
    </row>
    <row r="50">
      <c r="A50" s="2"/>
      <c r="B50" s="3"/>
      <c r="C50" s="3"/>
      <c r="D50" s="3"/>
      <c r="E50" s="4"/>
      <c r="F50" s="3"/>
      <c r="G50" s="5"/>
      <c r="H50" s="3"/>
      <c r="I50" s="5"/>
      <c r="J50" s="3"/>
      <c r="K50" s="5"/>
      <c r="L50" s="3"/>
      <c r="M50" s="5"/>
      <c r="N50" s="5"/>
    </row>
    <row r="51">
      <c r="A51" s="2"/>
      <c r="B51" s="3"/>
      <c r="C51" s="3"/>
      <c r="D51" s="3"/>
      <c r="E51" s="4"/>
      <c r="F51" s="3"/>
      <c r="G51" s="5"/>
      <c r="H51" s="3"/>
      <c r="I51" s="5"/>
      <c r="J51" s="3"/>
      <c r="K51" s="5"/>
      <c r="L51" s="3"/>
      <c r="M51" s="5"/>
      <c r="N51" s="5"/>
    </row>
    <row r="52">
      <c r="A52" s="2"/>
      <c r="B52" s="3"/>
      <c r="C52" s="3"/>
      <c r="D52" s="3"/>
      <c r="E52" s="4"/>
      <c r="F52" s="3"/>
      <c r="G52" s="5"/>
      <c r="H52" s="3"/>
      <c r="I52" s="5"/>
      <c r="J52" s="3"/>
      <c r="K52" s="5"/>
      <c r="L52" s="3"/>
      <c r="M52" s="5"/>
      <c r="N52" s="5"/>
    </row>
    <row r="53">
      <c r="A53" s="2"/>
      <c r="B53" s="3"/>
      <c r="C53" s="3"/>
      <c r="D53" s="3"/>
      <c r="E53" s="4"/>
      <c r="F53" s="3"/>
      <c r="G53" s="5"/>
      <c r="H53" s="3"/>
      <c r="I53" s="5"/>
      <c r="J53" s="3"/>
      <c r="K53" s="5"/>
      <c r="L53" s="3"/>
      <c r="M53" s="5"/>
      <c r="N53" s="5"/>
    </row>
    <row r="54">
      <c r="A54" s="2"/>
      <c r="B54" s="3"/>
      <c r="C54" s="3"/>
      <c r="D54" s="3"/>
      <c r="E54" s="4"/>
      <c r="F54" s="3"/>
      <c r="G54" s="5"/>
      <c r="H54" s="3"/>
      <c r="I54" s="5"/>
      <c r="J54" s="3"/>
      <c r="K54" s="5"/>
      <c r="L54" s="3"/>
      <c r="M54" s="5"/>
      <c r="N54" s="5"/>
    </row>
    <row r="55">
      <c r="A55" s="2"/>
      <c r="B55" s="3"/>
      <c r="C55" s="3"/>
      <c r="D55" s="3"/>
      <c r="E55" s="4"/>
      <c r="F55" s="3"/>
      <c r="G55" s="5"/>
      <c r="H55" s="3"/>
      <c r="I55" s="5"/>
      <c r="J55" s="3"/>
      <c r="K55" s="5"/>
      <c r="L55" s="3"/>
      <c r="M55" s="5"/>
      <c r="N55" s="5"/>
    </row>
    <row r="56">
      <c r="A56" s="2"/>
      <c r="B56" s="3"/>
      <c r="C56" s="3"/>
      <c r="D56" s="3"/>
      <c r="E56" s="4"/>
      <c r="F56" s="3"/>
      <c r="G56" s="5"/>
      <c r="H56" s="3"/>
      <c r="I56" s="5"/>
      <c r="J56" s="3"/>
      <c r="K56" s="5"/>
      <c r="L56" s="3"/>
      <c r="M56" s="5"/>
      <c r="N56" s="5"/>
    </row>
    <row r="57">
      <c r="A57" s="2"/>
      <c r="B57" s="3"/>
      <c r="C57" s="3"/>
      <c r="D57" s="3"/>
      <c r="E57" s="4"/>
      <c r="F57" s="3"/>
      <c r="G57" s="5"/>
      <c r="H57" s="3"/>
      <c r="I57" s="5"/>
      <c r="J57" s="3"/>
      <c r="K57" s="5"/>
      <c r="L57" s="3"/>
      <c r="M57" s="5"/>
      <c r="N57" s="5"/>
    </row>
    <row r="58">
      <c r="A58" s="2"/>
      <c r="B58" s="3"/>
      <c r="C58" s="3"/>
      <c r="D58" s="3"/>
      <c r="E58" s="4"/>
      <c r="F58" s="3"/>
      <c r="G58" s="5"/>
      <c r="H58" s="3"/>
      <c r="I58" s="5"/>
      <c r="J58" s="3"/>
      <c r="K58" s="5"/>
      <c r="L58" s="3"/>
      <c r="M58" s="5"/>
      <c r="N58" s="5"/>
    </row>
    <row r="59">
      <c r="A59" s="2"/>
      <c r="B59" s="3"/>
      <c r="C59" s="3"/>
      <c r="D59" s="3"/>
      <c r="E59" s="4"/>
      <c r="F59" s="3"/>
      <c r="G59" s="5"/>
      <c r="H59" s="3"/>
      <c r="I59" s="5"/>
      <c r="J59" s="3"/>
      <c r="K59" s="5"/>
      <c r="L59" s="3"/>
      <c r="M59" s="5"/>
      <c r="N59" s="5"/>
    </row>
    <row r="60">
      <c r="A60" s="2"/>
      <c r="B60" s="3"/>
      <c r="C60" s="3"/>
      <c r="D60" s="3"/>
      <c r="E60" s="4"/>
      <c r="F60" s="3"/>
      <c r="G60" s="5"/>
      <c r="H60" s="3"/>
      <c r="I60" s="5"/>
      <c r="J60" s="3"/>
      <c r="K60" s="5"/>
      <c r="L60" s="3"/>
      <c r="M60" s="5"/>
      <c r="N60" s="5"/>
    </row>
    <row r="61">
      <c r="A61" s="2"/>
      <c r="B61" s="3"/>
      <c r="C61" s="3"/>
      <c r="D61" s="3"/>
      <c r="E61" s="4"/>
      <c r="F61" s="3"/>
      <c r="G61" s="5"/>
      <c r="H61" s="3"/>
      <c r="I61" s="5"/>
      <c r="J61" s="3"/>
      <c r="K61" s="5"/>
      <c r="L61" s="3"/>
      <c r="M61" s="5"/>
      <c r="N61" s="5"/>
    </row>
    <row r="62">
      <c r="A62" s="2"/>
      <c r="B62" s="3"/>
      <c r="C62" s="3"/>
      <c r="D62" s="3"/>
      <c r="E62" s="4"/>
      <c r="F62" s="3"/>
      <c r="G62" s="5"/>
      <c r="H62" s="3"/>
      <c r="I62" s="5"/>
      <c r="J62" s="3"/>
      <c r="K62" s="5"/>
      <c r="L62" s="3"/>
      <c r="M62" s="5"/>
      <c r="N62" s="5"/>
    </row>
    <row r="63">
      <c r="A63" s="2"/>
      <c r="B63" s="3"/>
      <c r="C63" s="3"/>
      <c r="D63" s="3"/>
      <c r="E63" s="4"/>
      <c r="F63" s="3"/>
      <c r="G63" s="5"/>
      <c r="H63" s="3"/>
      <c r="I63" s="5"/>
      <c r="J63" s="3"/>
      <c r="K63" s="5"/>
      <c r="L63" s="3"/>
      <c r="M63" s="5"/>
      <c r="N63" s="5"/>
    </row>
    <row r="64">
      <c r="A64" s="2"/>
      <c r="B64" s="3"/>
      <c r="C64" s="3"/>
      <c r="D64" s="3"/>
      <c r="E64" s="4"/>
      <c r="F64" s="3"/>
      <c r="G64" s="5"/>
      <c r="H64" s="3"/>
      <c r="I64" s="5"/>
      <c r="J64" s="3"/>
      <c r="K64" s="5"/>
      <c r="L64" s="3"/>
      <c r="M64" s="5"/>
      <c r="N64" s="5"/>
    </row>
    <row r="65">
      <c r="A65" s="2"/>
      <c r="B65" s="3"/>
      <c r="C65" s="3"/>
      <c r="D65" s="3"/>
      <c r="E65" s="4"/>
      <c r="F65" s="3"/>
      <c r="G65" s="5"/>
      <c r="H65" s="3"/>
      <c r="I65" s="5"/>
      <c r="J65" s="3"/>
      <c r="K65" s="5"/>
      <c r="L65" s="3"/>
      <c r="M65" s="5"/>
      <c r="N65" s="5"/>
    </row>
    <row r="66">
      <c r="A66" s="2"/>
      <c r="B66" s="3"/>
      <c r="C66" s="3"/>
      <c r="D66" s="3"/>
      <c r="E66" s="4"/>
      <c r="F66" s="3"/>
      <c r="G66" s="5"/>
      <c r="H66" s="3"/>
      <c r="I66" s="5"/>
      <c r="J66" s="3"/>
      <c r="K66" s="5"/>
      <c r="L66" s="3"/>
      <c r="M66" s="5"/>
      <c r="N66" s="5"/>
    </row>
    <row r="67">
      <c r="A67" s="2"/>
      <c r="B67" s="3"/>
      <c r="C67" s="3"/>
      <c r="D67" s="3"/>
      <c r="E67" s="4"/>
      <c r="F67" s="3"/>
      <c r="G67" s="5"/>
      <c r="H67" s="3"/>
      <c r="I67" s="5"/>
      <c r="J67" s="3"/>
      <c r="K67" s="5"/>
      <c r="L67" s="3"/>
      <c r="M67" s="5"/>
      <c r="N67" s="5"/>
    </row>
    <row r="68">
      <c r="A68" s="2"/>
      <c r="B68" s="3"/>
      <c r="C68" s="3"/>
      <c r="D68" s="3"/>
      <c r="E68" s="4"/>
      <c r="F68" s="3"/>
      <c r="G68" s="5"/>
      <c r="H68" s="3"/>
      <c r="I68" s="5"/>
      <c r="J68" s="3"/>
      <c r="K68" s="5"/>
      <c r="L68" s="3"/>
      <c r="M68" s="5"/>
      <c r="N68" s="5"/>
    </row>
    <row r="69">
      <c r="A69" s="2"/>
      <c r="B69" s="3"/>
      <c r="C69" s="3"/>
      <c r="D69" s="3"/>
      <c r="E69" s="4"/>
      <c r="F69" s="3"/>
      <c r="G69" s="5"/>
      <c r="H69" s="3"/>
      <c r="I69" s="5"/>
      <c r="J69" s="3"/>
      <c r="K69" s="5"/>
      <c r="L69" s="3"/>
      <c r="M69" s="5"/>
      <c r="N69" s="5"/>
    </row>
    <row r="70">
      <c r="A70" s="2"/>
      <c r="B70" s="3"/>
      <c r="C70" s="3"/>
      <c r="D70" s="3"/>
      <c r="E70" s="4"/>
      <c r="F70" s="3"/>
      <c r="G70" s="5"/>
      <c r="H70" s="3"/>
      <c r="I70" s="5"/>
      <c r="J70" s="3"/>
      <c r="K70" s="5"/>
      <c r="L70" s="3"/>
      <c r="M70" s="5"/>
      <c r="N70" s="5"/>
    </row>
    <row r="71">
      <c r="A71" s="2"/>
      <c r="B71" s="3"/>
      <c r="C71" s="3"/>
      <c r="D71" s="3"/>
      <c r="E71" s="4"/>
      <c r="F71" s="3"/>
      <c r="G71" s="5"/>
      <c r="H71" s="3"/>
      <c r="I71" s="5"/>
      <c r="J71" s="3"/>
      <c r="K71" s="5"/>
      <c r="L71" s="3"/>
      <c r="M71" s="5"/>
      <c r="N71" s="5"/>
    </row>
    <row r="72">
      <c r="A72" s="2"/>
      <c r="B72" s="3"/>
      <c r="C72" s="3"/>
      <c r="D72" s="3"/>
      <c r="E72" s="4"/>
      <c r="F72" s="3"/>
      <c r="G72" s="5"/>
      <c r="H72" s="3"/>
      <c r="I72" s="5"/>
      <c r="J72" s="3"/>
      <c r="K72" s="5"/>
      <c r="L72" s="3"/>
      <c r="M72" s="5"/>
      <c r="N72" s="5"/>
    </row>
    <row r="73">
      <c r="A73" s="2"/>
      <c r="B73" s="3"/>
      <c r="C73" s="3"/>
      <c r="D73" s="3"/>
      <c r="E73" s="4"/>
      <c r="F73" s="3"/>
      <c r="G73" s="5"/>
      <c r="H73" s="3"/>
      <c r="I73" s="5"/>
      <c r="J73" s="3"/>
      <c r="K73" s="5"/>
      <c r="L73" s="3"/>
      <c r="M73" s="5"/>
      <c r="N73" s="5"/>
    </row>
    <row r="74">
      <c r="A74" s="2"/>
      <c r="B74" s="3"/>
      <c r="C74" s="3"/>
      <c r="D74" s="3"/>
      <c r="E74" s="4"/>
      <c r="F74" s="3"/>
      <c r="G74" s="5"/>
      <c r="H74" s="3"/>
      <c r="I74" s="5"/>
      <c r="J74" s="3"/>
      <c r="K74" s="5"/>
      <c r="L74" s="3"/>
      <c r="M74" s="5"/>
      <c r="N74" s="5"/>
    </row>
    <row r="75">
      <c r="A75" s="2"/>
      <c r="B75" s="3"/>
      <c r="C75" s="3"/>
      <c r="D75" s="3"/>
      <c r="E75" s="4"/>
      <c r="F75" s="3"/>
      <c r="G75" s="5"/>
      <c r="H75" s="3"/>
      <c r="I75" s="5"/>
      <c r="J75" s="3"/>
      <c r="K75" s="5"/>
      <c r="L75" s="3"/>
      <c r="M75" s="5"/>
      <c r="N75" s="5"/>
    </row>
    <row r="76">
      <c r="A76" s="2"/>
      <c r="B76" s="3"/>
      <c r="C76" s="3"/>
      <c r="D76" s="3"/>
      <c r="E76" s="4"/>
      <c r="F76" s="3"/>
      <c r="G76" s="5"/>
      <c r="H76" s="3"/>
      <c r="I76" s="5"/>
      <c r="J76" s="3"/>
      <c r="K76" s="5"/>
      <c r="L76" s="3"/>
      <c r="M76" s="5"/>
      <c r="N76" s="5"/>
    </row>
    <row r="77">
      <c r="A77" s="2"/>
      <c r="B77" s="3"/>
      <c r="C77" s="3"/>
      <c r="D77" s="3"/>
      <c r="E77" s="4"/>
      <c r="F77" s="3"/>
      <c r="G77" s="5"/>
      <c r="H77" s="3"/>
      <c r="I77" s="5"/>
      <c r="J77" s="3"/>
      <c r="K77" s="5"/>
      <c r="L77" s="3"/>
      <c r="M77" s="5"/>
      <c r="N77" s="5"/>
    </row>
    <row r="78">
      <c r="A78" s="2"/>
      <c r="B78" s="3"/>
      <c r="C78" s="3"/>
      <c r="D78" s="3"/>
      <c r="E78" s="4"/>
      <c r="F78" s="3"/>
      <c r="G78" s="5"/>
      <c r="H78" s="3"/>
      <c r="I78" s="5"/>
      <c r="J78" s="3"/>
      <c r="K78" s="5"/>
      <c r="L78" s="3"/>
      <c r="M78" s="5"/>
      <c r="N78" s="5"/>
    </row>
    <row r="79">
      <c r="A79" s="2"/>
      <c r="B79" s="3"/>
      <c r="C79" s="3"/>
      <c r="D79" s="3"/>
      <c r="E79" s="4"/>
      <c r="F79" s="3"/>
      <c r="G79" s="5"/>
      <c r="H79" s="3"/>
      <c r="I79" s="5"/>
      <c r="J79" s="3"/>
      <c r="K79" s="5"/>
      <c r="L79" s="3"/>
      <c r="M79" s="5"/>
      <c r="N79" s="5"/>
    </row>
    <row r="80">
      <c r="A80" s="2"/>
      <c r="B80" s="3"/>
      <c r="C80" s="3"/>
      <c r="D80" s="3"/>
      <c r="E80" s="4"/>
      <c r="F80" s="3"/>
      <c r="G80" s="5"/>
      <c r="H80" s="3"/>
      <c r="I80" s="5"/>
      <c r="J80" s="3"/>
      <c r="K80" s="5"/>
      <c r="L80" s="3"/>
      <c r="M80" s="5"/>
      <c r="N80" s="5"/>
    </row>
    <row r="81">
      <c r="A81" s="2"/>
      <c r="B81" s="3"/>
      <c r="C81" s="3"/>
      <c r="D81" s="3"/>
      <c r="E81" s="4"/>
      <c r="F81" s="3"/>
      <c r="G81" s="5"/>
      <c r="H81" s="3"/>
      <c r="I81" s="5"/>
      <c r="J81" s="3"/>
      <c r="K81" s="5"/>
      <c r="L81" s="3"/>
      <c r="M81" s="5"/>
      <c r="N81" s="5"/>
    </row>
    <row r="82">
      <c r="A82" s="2"/>
      <c r="B82" s="3"/>
      <c r="C82" s="3"/>
      <c r="D82" s="3"/>
      <c r="E82" s="4"/>
      <c r="F82" s="3"/>
      <c r="G82" s="5"/>
      <c r="H82" s="3"/>
      <c r="I82" s="5"/>
      <c r="J82" s="3"/>
      <c r="K82" s="5"/>
      <c r="L82" s="3"/>
      <c r="M82" s="5"/>
      <c r="N82" s="5"/>
    </row>
    <row r="83">
      <c r="A83" s="2"/>
      <c r="B83" s="3"/>
      <c r="C83" s="3"/>
      <c r="D83" s="3"/>
      <c r="E83" s="4"/>
      <c r="F83" s="3"/>
      <c r="G83" s="5"/>
      <c r="H83" s="3"/>
      <c r="I83" s="5"/>
      <c r="J83" s="3"/>
      <c r="K83" s="5"/>
      <c r="L83" s="3"/>
      <c r="M83" s="5"/>
      <c r="N83" s="5"/>
    </row>
    <row r="84">
      <c r="A84" s="2"/>
      <c r="B84" s="3"/>
      <c r="C84" s="3"/>
      <c r="D84" s="3"/>
      <c r="E84" s="4"/>
      <c r="F84" s="3"/>
      <c r="G84" s="5"/>
      <c r="H84" s="3"/>
      <c r="I84" s="5"/>
      <c r="J84" s="3"/>
      <c r="K84" s="5"/>
      <c r="L84" s="3"/>
      <c r="M84" s="5"/>
      <c r="N84" s="5"/>
    </row>
    <row r="85">
      <c r="A85" s="2"/>
      <c r="B85" s="3"/>
      <c r="C85" s="3"/>
      <c r="D85" s="3"/>
      <c r="E85" s="4"/>
      <c r="F85" s="3"/>
      <c r="G85" s="5"/>
      <c r="H85" s="3"/>
      <c r="I85" s="5"/>
      <c r="J85" s="3"/>
      <c r="K85" s="5"/>
      <c r="L85" s="3"/>
      <c r="M85" s="5"/>
      <c r="N85" s="5"/>
    </row>
    <row r="86">
      <c r="A86" s="2"/>
      <c r="B86" s="3"/>
      <c r="C86" s="3"/>
      <c r="D86" s="3"/>
      <c r="E86" s="4"/>
      <c r="F86" s="3"/>
      <c r="G86" s="5"/>
      <c r="H86" s="3"/>
      <c r="I86" s="5"/>
      <c r="J86" s="3"/>
      <c r="K86" s="5"/>
      <c r="L86" s="3"/>
      <c r="M86" s="5"/>
      <c r="N86" s="5"/>
    </row>
    <row r="87">
      <c r="A87" s="2"/>
      <c r="B87" s="3"/>
      <c r="C87" s="3"/>
      <c r="D87" s="3"/>
      <c r="E87" s="4"/>
      <c r="F87" s="3"/>
      <c r="G87" s="5"/>
      <c r="H87" s="3"/>
      <c r="I87" s="5"/>
      <c r="J87" s="3"/>
      <c r="K87" s="5"/>
      <c r="L87" s="3"/>
      <c r="M87" s="5"/>
      <c r="N87" s="5"/>
    </row>
    <row r="88">
      <c r="A88" s="2"/>
      <c r="B88" s="3"/>
      <c r="C88" s="3"/>
      <c r="D88" s="3"/>
      <c r="E88" s="4"/>
      <c r="F88" s="3"/>
      <c r="G88" s="5"/>
      <c r="H88" s="3"/>
      <c r="I88" s="5"/>
      <c r="J88" s="3"/>
      <c r="K88" s="5"/>
      <c r="L88" s="3"/>
      <c r="M88" s="5"/>
      <c r="N88" s="5"/>
    </row>
    <row r="89">
      <c r="A89" s="2"/>
      <c r="B89" s="3"/>
      <c r="C89" s="3"/>
      <c r="D89" s="3"/>
      <c r="E89" s="4"/>
      <c r="F89" s="3"/>
      <c r="G89" s="5"/>
      <c r="H89" s="3"/>
      <c r="I89" s="5"/>
      <c r="J89" s="3"/>
      <c r="K89" s="5"/>
      <c r="L89" s="3"/>
      <c r="M89" s="5"/>
      <c r="N89" s="5"/>
    </row>
    <row r="90">
      <c r="A90" s="2"/>
      <c r="B90" s="3"/>
      <c r="C90" s="3"/>
      <c r="D90" s="3"/>
      <c r="E90" s="4"/>
      <c r="F90" s="3"/>
      <c r="G90" s="5"/>
      <c r="H90" s="3"/>
      <c r="I90" s="5"/>
      <c r="J90" s="3"/>
      <c r="K90" s="5"/>
      <c r="L90" s="3"/>
      <c r="M90" s="5"/>
      <c r="N90" s="5"/>
    </row>
    <row r="91">
      <c r="A91" s="2"/>
      <c r="B91" s="3"/>
      <c r="C91" s="3"/>
      <c r="D91" s="3"/>
      <c r="E91" s="4"/>
      <c r="F91" s="3"/>
      <c r="G91" s="5"/>
      <c r="H91" s="3"/>
      <c r="I91" s="5"/>
      <c r="J91" s="3"/>
      <c r="K91" s="5"/>
      <c r="L91" s="3"/>
      <c r="M91" s="5"/>
      <c r="N91" s="5"/>
    </row>
    <row r="92">
      <c r="A92" s="2"/>
      <c r="B92" s="3"/>
      <c r="C92" s="3"/>
      <c r="D92" s="3"/>
      <c r="E92" s="4"/>
      <c r="F92" s="3"/>
      <c r="G92" s="5"/>
      <c r="H92" s="3"/>
      <c r="I92" s="5"/>
      <c r="J92" s="3"/>
      <c r="K92" s="5"/>
      <c r="L92" s="3"/>
      <c r="M92" s="5"/>
      <c r="N92" s="5"/>
    </row>
    <row r="93">
      <c r="A93" s="2"/>
      <c r="B93" s="3"/>
      <c r="C93" s="3"/>
      <c r="D93" s="3"/>
      <c r="E93" s="4"/>
      <c r="F93" s="3"/>
      <c r="G93" s="5"/>
      <c r="H93" s="3"/>
      <c r="I93" s="5"/>
      <c r="J93" s="3"/>
      <c r="K93" s="5"/>
      <c r="L93" s="3"/>
      <c r="M93" s="5"/>
      <c r="N93" s="5"/>
    </row>
    <row r="94">
      <c r="A94" s="2"/>
      <c r="B94" s="3"/>
      <c r="C94" s="3"/>
      <c r="D94" s="3"/>
      <c r="E94" s="4"/>
      <c r="F94" s="3"/>
      <c r="G94" s="5"/>
      <c r="H94" s="3"/>
      <c r="I94" s="5"/>
      <c r="J94" s="3"/>
      <c r="K94" s="5"/>
      <c r="L94" s="3"/>
      <c r="M94" s="5"/>
      <c r="N94" s="5"/>
    </row>
    <row r="95">
      <c r="A95" s="2"/>
      <c r="B95" s="3"/>
      <c r="C95" s="3"/>
      <c r="D95" s="3"/>
      <c r="E95" s="4"/>
      <c r="F95" s="3"/>
      <c r="G95" s="5"/>
      <c r="H95" s="3"/>
      <c r="I95" s="5"/>
      <c r="J95" s="3"/>
      <c r="K95" s="5"/>
      <c r="L95" s="3"/>
      <c r="M95" s="5"/>
      <c r="N95" s="5"/>
    </row>
    <row r="96">
      <c r="A96" s="2"/>
      <c r="B96" s="3"/>
      <c r="C96" s="3"/>
      <c r="D96" s="3"/>
      <c r="E96" s="4"/>
      <c r="F96" s="3"/>
      <c r="G96" s="5"/>
      <c r="H96" s="3"/>
      <c r="I96" s="5"/>
      <c r="J96" s="3"/>
      <c r="K96" s="5"/>
      <c r="L96" s="3"/>
      <c r="M96" s="5"/>
      <c r="N96" s="5"/>
    </row>
    <row r="97">
      <c r="A97" s="2"/>
      <c r="B97" s="3"/>
      <c r="C97" s="3"/>
      <c r="D97" s="3"/>
      <c r="E97" s="4"/>
      <c r="F97" s="3"/>
      <c r="G97" s="5"/>
      <c r="H97" s="3"/>
      <c r="I97" s="5"/>
      <c r="J97" s="3"/>
      <c r="K97" s="5"/>
      <c r="L97" s="3"/>
      <c r="M97" s="5"/>
      <c r="N97" s="5"/>
    </row>
    <row r="98">
      <c r="A98" s="2"/>
      <c r="B98" s="3"/>
      <c r="C98" s="3"/>
      <c r="D98" s="3"/>
      <c r="E98" s="4"/>
      <c r="F98" s="3"/>
      <c r="G98" s="5"/>
      <c r="H98" s="3"/>
      <c r="I98" s="5"/>
      <c r="J98" s="3"/>
      <c r="K98" s="5"/>
      <c r="L98" s="3"/>
      <c r="M98" s="5"/>
      <c r="N98" s="5"/>
    </row>
    <row r="99">
      <c r="A99" s="2"/>
      <c r="B99" s="3"/>
      <c r="C99" s="3"/>
      <c r="D99" s="3"/>
      <c r="E99" s="4"/>
      <c r="F99" s="3"/>
      <c r="G99" s="5"/>
      <c r="H99" s="3"/>
      <c r="I99" s="5"/>
      <c r="J99" s="3"/>
      <c r="K99" s="5"/>
      <c r="L99" s="3"/>
      <c r="M99" s="5"/>
      <c r="N99" s="5"/>
    </row>
    <row r="100">
      <c r="A100" s="2"/>
      <c r="B100" s="3"/>
      <c r="C100" s="3"/>
      <c r="D100" s="3"/>
      <c r="E100" s="4"/>
      <c r="F100" s="3"/>
      <c r="G100" s="5"/>
      <c r="H100" s="3"/>
      <c r="I100" s="5"/>
      <c r="J100" s="3"/>
      <c r="K100" s="5"/>
      <c r="L100" s="3"/>
      <c r="M100" s="5"/>
      <c r="N100" s="5"/>
    </row>
    <row r="101">
      <c r="A101" s="2"/>
      <c r="B101" s="3"/>
      <c r="C101" s="3"/>
      <c r="D101" s="3"/>
      <c r="E101" s="4"/>
      <c r="F101" s="3"/>
      <c r="G101" s="5"/>
      <c r="H101" s="3"/>
      <c r="I101" s="5"/>
      <c r="J101" s="3"/>
      <c r="K101" s="5"/>
      <c r="L101" s="3"/>
      <c r="M101" s="5"/>
      <c r="N101" s="5"/>
    </row>
    <row r="102">
      <c r="A102" s="2"/>
      <c r="B102" s="3"/>
      <c r="C102" s="3"/>
      <c r="D102" s="3"/>
      <c r="E102" s="4"/>
      <c r="F102" s="3"/>
      <c r="G102" s="5"/>
      <c r="H102" s="3"/>
      <c r="I102" s="5"/>
      <c r="J102" s="3"/>
      <c r="K102" s="5"/>
      <c r="L102" s="3"/>
      <c r="M102" s="5"/>
      <c r="N102" s="5"/>
    </row>
    <row r="103">
      <c r="A103" s="2"/>
      <c r="B103" s="3"/>
      <c r="C103" s="3"/>
      <c r="D103" s="3"/>
      <c r="E103" s="4"/>
      <c r="F103" s="3"/>
      <c r="G103" s="5"/>
      <c r="H103" s="3"/>
      <c r="I103" s="5"/>
      <c r="J103" s="3"/>
      <c r="K103" s="5"/>
      <c r="L103" s="3"/>
      <c r="M103" s="5"/>
      <c r="N103" s="5"/>
    </row>
    <row r="104">
      <c r="A104" s="2"/>
      <c r="B104" s="3"/>
      <c r="C104" s="3"/>
      <c r="D104" s="3"/>
      <c r="E104" s="4"/>
      <c r="F104" s="3"/>
      <c r="G104" s="5"/>
      <c r="H104" s="3"/>
      <c r="I104" s="5"/>
      <c r="J104" s="3"/>
      <c r="K104" s="5"/>
      <c r="L104" s="3"/>
      <c r="M104" s="5"/>
      <c r="N104" s="5"/>
    </row>
    <row r="105">
      <c r="A105" s="2"/>
      <c r="B105" s="3"/>
      <c r="C105" s="3"/>
      <c r="D105" s="3"/>
      <c r="E105" s="4"/>
      <c r="F105" s="3"/>
      <c r="G105" s="5"/>
      <c r="H105" s="3"/>
      <c r="I105" s="5"/>
      <c r="J105" s="3"/>
      <c r="K105" s="5"/>
      <c r="L105" s="3"/>
      <c r="M105" s="5"/>
      <c r="N105" s="5"/>
    </row>
    <row r="106">
      <c r="A106" s="2"/>
      <c r="B106" s="3"/>
      <c r="C106" s="3"/>
      <c r="D106" s="3"/>
      <c r="E106" s="4"/>
      <c r="F106" s="3"/>
      <c r="G106" s="5"/>
      <c r="H106" s="3"/>
      <c r="I106" s="5"/>
      <c r="J106" s="3"/>
      <c r="K106" s="5"/>
      <c r="L106" s="3"/>
      <c r="M106" s="5"/>
      <c r="N106" s="5"/>
    </row>
    <row r="107">
      <c r="A107" s="2"/>
      <c r="B107" s="3"/>
      <c r="C107" s="3"/>
      <c r="D107" s="3"/>
      <c r="E107" s="4"/>
      <c r="F107" s="3"/>
      <c r="G107" s="5"/>
      <c r="H107" s="3"/>
      <c r="I107" s="5"/>
      <c r="J107" s="3"/>
      <c r="K107" s="5"/>
      <c r="L107" s="3"/>
      <c r="M107" s="5"/>
      <c r="N107" s="5"/>
    </row>
    <row r="108">
      <c r="A108" s="2"/>
      <c r="B108" s="3"/>
      <c r="C108" s="3"/>
      <c r="D108" s="3"/>
      <c r="E108" s="4"/>
      <c r="F108" s="3"/>
      <c r="G108" s="5"/>
      <c r="H108" s="3"/>
      <c r="I108" s="5"/>
      <c r="J108" s="3"/>
      <c r="K108" s="5"/>
      <c r="L108" s="3"/>
      <c r="M108" s="5"/>
      <c r="N108" s="5"/>
    </row>
    <row r="109">
      <c r="A109" s="2"/>
      <c r="B109" s="3"/>
      <c r="C109" s="3"/>
      <c r="D109" s="3"/>
      <c r="E109" s="4"/>
      <c r="F109" s="3"/>
      <c r="G109" s="5"/>
      <c r="H109" s="3"/>
      <c r="I109" s="5"/>
      <c r="J109" s="3"/>
      <c r="K109" s="5"/>
      <c r="L109" s="3"/>
      <c r="M109" s="5"/>
      <c r="N109" s="5"/>
    </row>
    <row r="110">
      <c r="A110" s="2"/>
      <c r="B110" s="3"/>
      <c r="C110" s="3"/>
      <c r="D110" s="3"/>
      <c r="E110" s="4"/>
      <c r="F110" s="3"/>
      <c r="G110" s="5"/>
      <c r="H110" s="3"/>
      <c r="I110" s="5"/>
      <c r="J110" s="3"/>
      <c r="K110" s="5"/>
      <c r="L110" s="3"/>
      <c r="M110" s="5"/>
      <c r="N110" s="5"/>
    </row>
    <row r="111">
      <c r="A111" s="2"/>
      <c r="B111" s="3"/>
      <c r="C111" s="3"/>
      <c r="D111" s="3"/>
      <c r="E111" s="4"/>
      <c r="F111" s="3"/>
      <c r="G111" s="5"/>
      <c r="H111" s="3"/>
      <c r="I111" s="5"/>
      <c r="J111" s="3"/>
      <c r="K111" s="5"/>
      <c r="L111" s="3"/>
      <c r="M111" s="5"/>
      <c r="N111" s="5"/>
    </row>
    <row r="112">
      <c r="A112" s="2"/>
      <c r="B112" s="3"/>
      <c r="C112" s="3"/>
      <c r="D112" s="3"/>
      <c r="E112" s="4"/>
      <c r="F112" s="3"/>
      <c r="G112" s="5"/>
      <c r="H112" s="3"/>
      <c r="I112" s="5"/>
      <c r="J112" s="3"/>
      <c r="K112" s="5"/>
      <c r="L112" s="3"/>
      <c r="M112" s="5"/>
      <c r="N112" s="5"/>
    </row>
    <row r="113">
      <c r="A113" s="2"/>
      <c r="B113" s="3"/>
      <c r="C113" s="3"/>
      <c r="D113" s="3"/>
      <c r="E113" s="4"/>
      <c r="F113" s="3"/>
      <c r="G113" s="5"/>
      <c r="H113" s="3"/>
      <c r="I113" s="5"/>
      <c r="J113" s="3"/>
      <c r="K113" s="5"/>
      <c r="L113" s="3"/>
      <c r="M113" s="5"/>
      <c r="N113" s="5"/>
    </row>
    <row r="114">
      <c r="A114" s="2"/>
      <c r="B114" s="3"/>
      <c r="C114" s="3"/>
      <c r="D114" s="3"/>
      <c r="E114" s="4"/>
      <c r="F114" s="3"/>
      <c r="G114" s="5"/>
      <c r="H114" s="3"/>
      <c r="I114" s="5"/>
      <c r="J114" s="3"/>
      <c r="K114" s="5"/>
      <c r="L114" s="3"/>
      <c r="M114" s="5"/>
      <c r="N114" s="5"/>
    </row>
    <row r="115">
      <c r="A115" s="2"/>
      <c r="B115" s="3"/>
      <c r="C115" s="3"/>
      <c r="D115" s="3"/>
      <c r="E115" s="4"/>
      <c r="F115" s="3"/>
      <c r="G115" s="5"/>
      <c r="H115" s="3"/>
      <c r="I115" s="5"/>
      <c r="J115" s="3"/>
      <c r="K115" s="5"/>
      <c r="L115" s="3"/>
      <c r="M115" s="5"/>
      <c r="N115" s="5"/>
    </row>
    <row r="116">
      <c r="A116" s="2"/>
      <c r="B116" s="3"/>
      <c r="C116" s="3"/>
      <c r="D116" s="3"/>
      <c r="E116" s="4"/>
      <c r="F116" s="3"/>
      <c r="G116" s="5"/>
      <c r="H116" s="3"/>
      <c r="I116" s="5"/>
      <c r="J116" s="3"/>
      <c r="K116" s="5"/>
      <c r="L116" s="3"/>
      <c r="M116" s="5"/>
      <c r="N116" s="5"/>
    </row>
    <row r="117">
      <c r="A117" s="2"/>
      <c r="B117" s="3"/>
      <c r="C117" s="3"/>
      <c r="D117" s="3"/>
      <c r="E117" s="4"/>
      <c r="F117" s="3"/>
      <c r="G117" s="5"/>
      <c r="H117" s="3"/>
      <c r="I117" s="5"/>
      <c r="J117" s="3"/>
      <c r="K117" s="5"/>
      <c r="L117" s="3"/>
      <c r="M117" s="5"/>
      <c r="N117" s="5"/>
    </row>
    <row r="118">
      <c r="A118" s="2"/>
      <c r="B118" s="3"/>
      <c r="C118" s="3"/>
      <c r="D118" s="3"/>
      <c r="E118" s="4"/>
      <c r="F118" s="3"/>
      <c r="G118" s="5"/>
      <c r="H118" s="3"/>
      <c r="I118" s="5"/>
      <c r="J118" s="3"/>
      <c r="K118" s="5"/>
      <c r="L118" s="3"/>
      <c r="M118" s="5"/>
      <c r="N118" s="5"/>
    </row>
    <row r="119">
      <c r="A119" s="2"/>
      <c r="B119" s="3"/>
      <c r="C119" s="3"/>
      <c r="D119" s="3"/>
      <c r="E119" s="4"/>
      <c r="F119" s="3"/>
      <c r="G119" s="5"/>
      <c r="H119" s="3"/>
      <c r="I119" s="5"/>
      <c r="J119" s="3"/>
      <c r="K119" s="5"/>
      <c r="L119" s="3"/>
      <c r="M119" s="5"/>
      <c r="N119" s="5"/>
    </row>
    <row r="120">
      <c r="A120" s="2"/>
      <c r="B120" s="3"/>
      <c r="C120" s="3"/>
      <c r="D120" s="3"/>
      <c r="E120" s="4"/>
      <c r="F120" s="3"/>
      <c r="G120" s="5"/>
      <c r="H120" s="3"/>
      <c r="I120" s="5"/>
      <c r="J120" s="3"/>
      <c r="K120" s="5"/>
      <c r="L120" s="3"/>
      <c r="M120" s="5"/>
      <c r="N120" s="5"/>
    </row>
    <row r="121">
      <c r="A121" s="2"/>
      <c r="B121" s="3"/>
      <c r="C121" s="3"/>
      <c r="D121" s="3"/>
      <c r="E121" s="4"/>
      <c r="F121" s="3"/>
      <c r="G121" s="5"/>
      <c r="H121" s="3"/>
      <c r="I121" s="5"/>
      <c r="J121" s="3"/>
      <c r="K121" s="5"/>
      <c r="L121" s="3"/>
      <c r="M121" s="5"/>
      <c r="N121" s="5"/>
    </row>
    <row r="122">
      <c r="A122" s="2"/>
      <c r="B122" s="3"/>
      <c r="C122" s="3"/>
      <c r="D122" s="3"/>
      <c r="E122" s="4"/>
      <c r="F122" s="3"/>
      <c r="G122" s="5"/>
      <c r="H122" s="3"/>
      <c r="I122" s="5"/>
      <c r="J122" s="3"/>
      <c r="K122" s="5"/>
      <c r="L122" s="3"/>
      <c r="M122" s="5"/>
      <c r="N122" s="5"/>
    </row>
    <row r="123">
      <c r="A123" s="2"/>
      <c r="B123" s="3"/>
      <c r="C123" s="3"/>
      <c r="D123" s="3"/>
      <c r="E123" s="4"/>
      <c r="F123" s="3"/>
      <c r="G123" s="5"/>
      <c r="H123" s="3"/>
      <c r="I123" s="5"/>
      <c r="J123" s="3"/>
      <c r="K123" s="5"/>
      <c r="L123" s="3"/>
      <c r="M123" s="5"/>
      <c r="N123" s="5"/>
    </row>
    <row r="124">
      <c r="A124" s="2"/>
      <c r="B124" s="3"/>
      <c r="C124" s="3"/>
      <c r="D124" s="3"/>
      <c r="E124" s="4"/>
      <c r="F124" s="3"/>
      <c r="G124" s="5"/>
      <c r="H124" s="3"/>
      <c r="I124" s="5"/>
      <c r="J124" s="3"/>
      <c r="K124" s="5"/>
      <c r="L124" s="3"/>
      <c r="M124" s="5"/>
      <c r="N124" s="5"/>
    </row>
    <row r="125">
      <c r="A125" s="2"/>
      <c r="B125" s="3"/>
      <c r="C125" s="3"/>
      <c r="D125" s="3"/>
      <c r="E125" s="4"/>
      <c r="F125" s="3"/>
      <c r="G125" s="5"/>
      <c r="H125" s="3"/>
      <c r="I125" s="5"/>
      <c r="J125" s="3"/>
      <c r="K125" s="5"/>
      <c r="L125" s="3"/>
      <c r="M125" s="5"/>
      <c r="N125" s="5"/>
    </row>
    <row r="126">
      <c r="A126" s="2"/>
      <c r="B126" s="3"/>
      <c r="C126" s="3"/>
      <c r="D126" s="3"/>
      <c r="E126" s="4"/>
      <c r="F126" s="3"/>
      <c r="G126" s="5"/>
      <c r="H126" s="3"/>
      <c r="I126" s="5"/>
      <c r="J126" s="3"/>
      <c r="K126" s="5"/>
      <c r="L126" s="3"/>
      <c r="M126" s="5"/>
      <c r="N126" s="5"/>
    </row>
    <row r="127">
      <c r="A127" s="2"/>
      <c r="B127" s="3"/>
      <c r="C127" s="3"/>
      <c r="D127" s="3"/>
      <c r="E127" s="4"/>
      <c r="F127" s="3"/>
      <c r="G127" s="5"/>
      <c r="H127" s="3"/>
      <c r="I127" s="5"/>
      <c r="J127" s="3"/>
      <c r="K127" s="5"/>
      <c r="L127" s="3"/>
      <c r="M127" s="5"/>
      <c r="N127" s="5"/>
    </row>
    <row r="128">
      <c r="A128" s="2"/>
      <c r="B128" s="3"/>
      <c r="C128" s="3"/>
      <c r="D128" s="3"/>
      <c r="E128" s="4"/>
      <c r="F128" s="3"/>
      <c r="G128" s="5"/>
      <c r="H128" s="3"/>
      <c r="I128" s="5"/>
      <c r="J128" s="3"/>
      <c r="K128" s="5"/>
      <c r="L128" s="3"/>
      <c r="M128" s="5"/>
      <c r="N128" s="5"/>
    </row>
    <row r="129">
      <c r="A129" s="2"/>
      <c r="B129" s="3"/>
      <c r="C129" s="3"/>
      <c r="D129" s="3"/>
      <c r="E129" s="4"/>
      <c r="F129" s="3"/>
      <c r="G129" s="5"/>
      <c r="H129" s="3"/>
      <c r="I129" s="5"/>
      <c r="J129" s="3"/>
      <c r="K129" s="5"/>
      <c r="L129" s="3"/>
      <c r="M129" s="5"/>
      <c r="N129" s="5"/>
    </row>
    <row r="130">
      <c r="A130" s="2"/>
      <c r="B130" s="3"/>
      <c r="C130" s="3"/>
      <c r="D130" s="3"/>
      <c r="E130" s="4"/>
      <c r="F130" s="3"/>
      <c r="G130" s="5"/>
      <c r="H130" s="3"/>
      <c r="I130" s="5"/>
      <c r="J130" s="3"/>
      <c r="K130" s="5"/>
      <c r="L130" s="3"/>
      <c r="M130" s="5"/>
      <c r="N130" s="5"/>
    </row>
    <row r="131">
      <c r="A131" s="2"/>
      <c r="B131" s="3"/>
      <c r="C131" s="3"/>
      <c r="D131" s="3"/>
      <c r="E131" s="4"/>
      <c r="F131" s="3"/>
      <c r="G131" s="5"/>
      <c r="H131" s="3"/>
      <c r="I131" s="5"/>
      <c r="J131" s="3"/>
      <c r="K131" s="5"/>
      <c r="L131" s="3"/>
      <c r="M131" s="5"/>
      <c r="N131" s="5"/>
    </row>
    <row r="132">
      <c r="A132" s="2"/>
      <c r="B132" s="3"/>
      <c r="C132" s="3"/>
      <c r="D132" s="3"/>
      <c r="E132" s="4"/>
      <c r="F132" s="3"/>
      <c r="G132" s="5"/>
      <c r="H132" s="3"/>
      <c r="I132" s="5"/>
      <c r="J132" s="3"/>
      <c r="K132" s="5"/>
      <c r="L132" s="3"/>
      <c r="M132" s="5"/>
      <c r="N132" s="5"/>
    </row>
    <row r="133">
      <c r="A133" s="2"/>
      <c r="B133" s="3"/>
      <c r="C133" s="3"/>
      <c r="D133" s="3"/>
      <c r="E133" s="4"/>
      <c r="F133" s="3"/>
      <c r="G133" s="5"/>
      <c r="H133" s="3"/>
      <c r="I133" s="5"/>
      <c r="J133" s="3"/>
      <c r="K133" s="5"/>
      <c r="L133" s="3"/>
      <c r="M133" s="5"/>
      <c r="N133" s="5"/>
    </row>
    <row r="134">
      <c r="A134" s="2"/>
      <c r="B134" s="3"/>
      <c r="C134" s="3"/>
      <c r="D134" s="3"/>
      <c r="E134" s="4"/>
      <c r="F134" s="3"/>
      <c r="G134" s="5"/>
      <c r="H134" s="3"/>
      <c r="I134" s="5"/>
      <c r="J134" s="3"/>
      <c r="K134" s="5"/>
      <c r="L134" s="3"/>
      <c r="M134" s="5"/>
      <c r="N134" s="5"/>
    </row>
    <row r="135">
      <c r="A135" s="2"/>
      <c r="B135" s="3"/>
      <c r="C135" s="3"/>
      <c r="D135" s="3"/>
      <c r="E135" s="4"/>
      <c r="F135" s="3"/>
      <c r="G135" s="5"/>
      <c r="H135" s="3"/>
      <c r="I135" s="5"/>
      <c r="J135" s="3"/>
      <c r="K135" s="5"/>
      <c r="L135" s="3"/>
      <c r="M135" s="5"/>
      <c r="N135" s="5"/>
    </row>
    <row r="136">
      <c r="A136" s="2"/>
      <c r="B136" s="3"/>
      <c r="C136" s="3"/>
      <c r="D136" s="3"/>
      <c r="E136" s="4"/>
      <c r="F136" s="3"/>
      <c r="G136" s="5"/>
      <c r="H136" s="3"/>
      <c r="I136" s="5"/>
      <c r="J136" s="3"/>
      <c r="K136" s="5"/>
      <c r="L136" s="3"/>
      <c r="M136" s="5"/>
      <c r="N136" s="5"/>
    </row>
    <row r="137">
      <c r="A137" s="2"/>
      <c r="B137" s="3"/>
      <c r="C137" s="3"/>
      <c r="D137" s="3"/>
      <c r="E137" s="4"/>
      <c r="F137" s="3"/>
      <c r="G137" s="5"/>
      <c r="H137" s="3"/>
      <c r="I137" s="5"/>
      <c r="J137" s="3"/>
      <c r="K137" s="5"/>
      <c r="L137" s="3"/>
      <c r="M137" s="5"/>
      <c r="N137" s="5"/>
    </row>
    <row r="138">
      <c r="A138" s="2"/>
      <c r="B138" s="3"/>
      <c r="C138" s="3"/>
      <c r="D138" s="3"/>
      <c r="E138" s="4"/>
      <c r="F138" s="3"/>
      <c r="G138" s="5"/>
      <c r="H138" s="3"/>
      <c r="I138" s="5"/>
      <c r="J138" s="3"/>
      <c r="K138" s="5"/>
      <c r="L138" s="3"/>
      <c r="M138" s="5"/>
      <c r="N138" s="5"/>
    </row>
    <row r="139">
      <c r="A139" s="2"/>
      <c r="B139" s="3"/>
      <c r="C139" s="3"/>
      <c r="D139" s="3"/>
      <c r="E139" s="4"/>
      <c r="F139" s="3"/>
      <c r="G139" s="5"/>
      <c r="H139" s="3"/>
      <c r="I139" s="5"/>
      <c r="J139" s="3"/>
      <c r="K139" s="5"/>
      <c r="L139" s="3"/>
      <c r="M139" s="5"/>
      <c r="N139" s="5"/>
    </row>
    <row r="140">
      <c r="A140" s="2"/>
      <c r="B140" s="3"/>
      <c r="C140" s="3"/>
      <c r="D140" s="3"/>
      <c r="E140" s="4"/>
      <c r="F140" s="3"/>
      <c r="G140" s="5"/>
      <c r="H140" s="3"/>
      <c r="I140" s="5"/>
      <c r="J140" s="3"/>
      <c r="K140" s="5"/>
      <c r="L140" s="3"/>
      <c r="M140" s="5"/>
      <c r="N140" s="5"/>
    </row>
    <row r="141">
      <c r="A141" s="2"/>
      <c r="B141" s="3"/>
      <c r="C141" s="3"/>
      <c r="D141" s="3"/>
      <c r="E141" s="4"/>
      <c r="F141" s="3"/>
      <c r="G141" s="5"/>
      <c r="H141" s="3"/>
      <c r="I141" s="5"/>
      <c r="J141" s="3"/>
      <c r="K141" s="5"/>
      <c r="L141" s="3"/>
      <c r="M141" s="5"/>
      <c r="N141" s="5"/>
    </row>
    <row r="142">
      <c r="A142" s="2"/>
      <c r="B142" s="3"/>
      <c r="C142" s="3"/>
      <c r="D142" s="3"/>
      <c r="E142" s="4"/>
      <c r="F142" s="3"/>
      <c r="G142" s="5"/>
      <c r="H142" s="3"/>
      <c r="I142" s="5"/>
      <c r="J142" s="3"/>
      <c r="K142" s="5"/>
      <c r="L142" s="3"/>
      <c r="M142" s="5"/>
      <c r="N142" s="5"/>
    </row>
    <row r="143">
      <c r="A143" s="2"/>
      <c r="B143" s="3"/>
      <c r="C143" s="3"/>
      <c r="D143" s="3"/>
      <c r="E143" s="4"/>
      <c r="F143" s="3"/>
      <c r="G143" s="5"/>
      <c r="H143" s="3"/>
      <c r="I143" s="5"/>
      <c r="J143" s="3"/>
      <c r="K143" s="5"/>
      <c r="L143" s="3"/>
      <c r="M143" s="5"/>
      <c r="N143" s="5"/>
    </row>
    <row r="144">
      <c r="A144" s="2"/>
      <c r="B144" s="3"/>
      <c r="C144" s="3"/>
      <c r="D144" s="3"/>
      <c r="E144" s="4"/>
      <c r="F144" s="3"/>
      <c r="G144" s="5"/>
      <c r="H144" s="3"/>
      <c r="I144" s="5"/>
      <c r="J144" s="3"/>
      <c r="K144" s="5"/>
      <c r="L144" s="3"/>
      <c r="M144" s="5"/>
      <c r="N144" s="5"/>
    </row>
    <row r="145">
      <c r="A145" s="2"/>
      <c r="B145" s="3"/>
      <c r="C145" s="3"/>
      <c r="D145" s="3"/>
      <c r="E145" s="4"/>
      <c r="F145" s="3"/>
      <c r="G145" s="5"/>
      <c r="H145" s="3"/>
      <c r="I145" s="5"/>
      <c r="J145" s="3"/>
      <c r="K145" s="5"/>
      <c r="L145" s="3"/>
      <c r="M145" s="5"/>
      <c r="N145" s="5"/>
    </row>
    <row r="146">
      <c r="A146" s="2"/>
      <c r="B146" s="3"/>
      <c r="C146" s="3"/>
      <c r="D146" s="3"/>
      <c r="E146" s="4"/>
      <c r="F146" s="3"/>
      <c r="G146" s="5"/>
      <c r="H146" s="3"/>
      <c r="I146" s="5"/>
      <c r="J146" s="3"/>
      <c r="K146" s="5"/>
      <c r="L146" s="3"/>
      <c r="M146" s="5"/>
      <c r="N146" s="5"/>
    </row>
    <row r="147">
      <c r="A147" s="2"/>
      <c r="B147" s="3"/>
      <c r="C147" s="3"/>
      <c r="D147" s="3"/>
      <c r="E147" s="4"/>
      <c r="F147" s="3"/>
      <c r="G147" s="5"/>
      <c r="H147" s="3"/>
      <c r="I147" s="5"/>
      <c r="J147" s="3"/>
      <c r="K147" s="5"/>
      <c r="L147" s="3"/>
      <c r="M147" s="5"/>
      <c r="N147" s="5"/>
    </row>
    <row r="148">
      <c r="A148" s="2"/>
      <c r="B148" s="3"/>
      <c r="C148" s="3"/>
      <c r="D148" s="3"/>
      <c r="E148" s="4"/>
      <c r="F148" s="3"/>
      <c r="G148" s="5"/>
      <c r="H148" s="3"/>
      <c r="I148" s="5"/>
      <c r="J148" s="3"/>
      <c r="K148" s="5"/>
      <c r="L148" s="3"/>
      <c r="M148" s="5"/>
      <c r="N148" s="5"/>
    </row>
    <row r="149">
      <c r="A149" s="2"/>
      <c r="B149" s="3"/>
      <c r="C149" s="3"/>
      <c r="D149" s="3"/>
      <c r="E149" s="4"/>
      <c r="F149" s="3"/>
      <c r="G149" s="5"/>
      <c r="H149" s="3"/>
      <c r="I149" s="5"/>
      <c r="J149" s="3"/>
      <c r="K149" s="5"/>
      <c r="L149" s="3"/>
      <c r="M149" s="5"/>
      <c r="N149" s="5"/>
    </row>
    <row r="150">
      <c r="A150" s="2"/>
      <c r="B150" s="3"/>
      <c r="C150" s="3"/>
      <c r="D150" s="3"/>
      <c r="E150" s="4"/>
      <c r="F150" s="3"/>
      <c r="G150" s="5"/>
      <c r="H150" s="3"/>
      <c r="I150" s="5"/>
      <c r="J150" s="3"/>
      <c r="K150" s="5"/>
      <c r="L150" s="3"/>
      <c r="M150" s="5"/>
      <c r="N150" s="5"/>
    </row>
    <row r="151">
      <c r="A151" s="2"/>
      <c r="B151" s="3"/>
      <c r="C151" s="3"/>
      <c r="D151" s="3"/>
      <c r="E151" s="4"/>
      <c r="F151" s="3"/>
      <c r="G151" s="5"/>
      <c r="H151" s="3"/>
      <c r="I151" s="5"/>
      <c r="J151" s="3"/>
      <c r="K151" s="5"/>
      <c r="L151" s="3"/>
      <c r="M151" s="5"/>
      <c r="N151" s="5"/>
    </row>
    <row r="152">
      <c r="A152" s="2"/>
      <c r="B152" s="3"/>
      <c r="C152" s="3"/>
      <c r="D152" s="3"/>
      <c r="E152" s="4"/>
      <c r="F152" s="3"/>
      <c r="G152" s="5"/>
      <c r="H152" s="3"/>
      <c r="I152" s="5"/>
      <c r="J152" s="3"/>
      <c r="K152" s="5"/>
      <c r="L152" s="3"/>
      <c r="M152" s="5"/>
      <c r="N152" s="5"/>
    </row>
    <row r="153">
      <c r="A153" s="2"/>
      <c r="B153" s="3"/>
      <c r="C153" s="3"/>
      <c r="D153" s="3"/>
      <c r="E153" s="4"/>
      <c r="F153" s="3"/>
      <c r="G153" s="5"/>
      <c r="H153" s="3"/>
      <c r="I153" s="5"/>
      <c r="J153" s="3"/>
      <c r="K153" s="5"/>
      <c r="L153" s="3"/>
      <c r="M153" s="5"/>
      <c r="N153" s="5"/>
    </row>
    <row r="154">
      <c r="A154" s="2"/>
      <c r="B154" s="3"/>
      <c r="C154" s="3"/>
      <c r="D154" s="3"/>
      <c r="E154" s="4"/>
      <c r="F154" s="3"/>
      <c r="G154" s="5"/>
      <c r="H154" s="3"/>
      <c r="I154" s="5"/>
      <c r="J154" s="3"/>
      <c r="K154" s="5"/>
      <c r="L154" s="3"/>
      <c r="M154" s="5"/>
      <c r="N154" s="5"/>
    </row>
    <row r="155">
      <c r="A155" s="2"/>
      <c r="B155" s="3"/>
      <c r="C155" s="3"/>
      <c r="D155" s="3"/>
      <c r="E155" s="4"/>
      <c r="F155" s="3"/>
      <c r="G155" s="5"/>
      <c r="H155" s="3"/>
      <c r="I155" s="5"/>
      <c r="J155" s="3"/>
      <c r="K155" s="5"/>
      <c r="L155" s="3"/>
      <c r="M155" s="5"/>
      <c r="N155" s="5"/>
    </row>
    <row r="156">
      <c r="A156" s="2"/>
      <c r="B156" s="3"/>
      <c r="C156" s="3"/>
      <c r="D156" s="3"/>
      <c r="E156" s="4"/>
      <c r="F156" s="3"/>
      <c r="G156" s="5"/>
      <c r="H156" s="3"/>
      <c r="I156" s="5"/>
      <c r="J156" s="3"/>
      <c r="K156" s="5"/>
      <c r="L156" s="3"/>
      <c r="M156" s="5"/>
      <c r="N156" s="5"/>
    </row>
    <row r="157">
      <c r="A157" s="2"/>
      <c r="B157" s="3"/>
      <c r="C157" s="3"/>
      <c r="D157" s="3"/>
      <c r="E157" s="4"/>
      <c r="F157" s="3"/>
      <c r="G157" s="5"/>
      <c r="H157" s="3"/>
      <c r="I157" s="5"/>
      <c r="J157" s="3"/>
      <c r="K157" s="5"/>
      <c r="L157" s="3"/>
      <c r="M157" s="5"/>
      <c r="N157" s="5"/>
    </row>
    <row r="158">
      <c r="A158" s="2"/>
      <c r="B158" s="3"/>
      <c r="C158" s="3"/>
      <c r="D158" s="3"/>
      <c r="E158" s="4"/>
      <c r="F158" s="3"/>
      <c r="G158" s="5"/>
      <c r="H158" s="3"/>
      <c r="I158" s="5"/>
      <c r="J158" s="3"/>
      <c r="K158" s="5"/>
      <c r="L158" s="3"/>
      <c r="M158" s="5"/>
      <c r="N158" s="5"/>
    </row>
    <row r="159">
      <c r="A159" s="2"/>
      <c r="B159" s="3"/>
      <c r="C159" s="3"/>
      <c r="D159" s="3"/>
      <c r="E159" s="4"/>
      <c r="F159" s="3"/>
      <c r="G159" s="5"/>
      <c r="H159" s="3"/>
      <c r="I159" s="5"/>
      <c r="J159" s="3"/>
      <c r="K159" s="5"/>
      <c r="L159" s="3"/>
      <c r="M159" s="5"/>
      <c r="N159" s="5"/>
    </row>
    <row r="160">
      <c r="A160" s="2"/>
      <c r="B160" s="3"/>
      <c r="C160" s="3"/>
      <c r="D160" s="3"/>
      <c r="E160" s="4"/>
      <c r="F160" s="3"/>
      <c r="G160" s="5"/>
      <c r="H160" s="3"/>
      <c r="I160" s="5"/>
      <c r="J160" s="3"/>
      <c r="K160" s="5"/>
      <c r="L160" s="3"/>
      <c r="M160" s="5"/>
      <c r="N160" s="5"/>
    </row>
    <row r="161">
      <c r="A161" s="2"/>
      <c r="B161" s="3"/>
      <c r="C161" s="3"/>
      <c r="D161" s="3"/>
      <c r="E161" s="4"/>
      <c r="F161" s="3"/>
      <c r="G161" s="5"/>
      <c r="H161" s="3"/>
      <c r="I161" s="5"/>
      <c r="J161" s="3"/>
      <c r="K161" s="5"/>
      <c r="L161" s="3"/>
      <c r="M161" s="5"/>
      <c r="N161" s="5"/>
    </row>
    <row r="162">
      <c r="A162" s="2"/>
      <c r="B162" s="3"/>
      <c r="C162" s="3"/>
      <c r="D162" s="3"/>
      <c r="E162" s="4"/>
      <c r="F162" s="3"/>
      <c r="G162" s="5"/>
      <c r="H162" s="3"/>
      <c r="I162" s="5"/>
      <c r="J162" s="3"/>
      <c r="K162" s="5"/>
      <c r="L162" s="3"/>
      <c r="M162" s="5"/>
      <c r="N162" s="5"/>
    </row>
    <row r="163">
      <c r="A163" s="2"/>
      <c r="B163" s="3"/>
      <c r="C163" s="3"/>
      <c r="D163" s="3"/>
      <c r="E163" s="4"/>
      <c r="F163" s="3"/>
      <c r="G163" s="5"/>
      <c r="H163" s="3"/>
      <c r="I163" s="5"/>
      <c r="J163" s="3"/>
      <c r="K163" s="5"/>
      <c r="L163" s="3"/>
      <c r="M163" s="5"/>
      <c r="N163" s="5"/>
    </row>
    <row r="164">
      <c r="A164" s="2"/>
      <c r="B164" s="3"/>
      <c r="C164" s="3"/>
      <c r="D164" s="3"/>
      <c r="E164" s="4"/>
      <c r="F164" s="3"/>
      <c r="G164" s="5"/>
      <c r="H164" s="3"/>
      <c r="I164" s="5"/>
      <c r="J164" s="3"/>
      <c r="K164" s="5"/>
      <c r="L164" s="3"/>
      <c r="M164" s="5"/>
      <c r="N164" s="5"/>
    </row>
    <row r="165">
      <c r="A165" s="2"/>
      <c r="B165" s="3"/>
      <c r="C165" s="3"/>
      <c r="D165" s="3"/>
      <c r="E165" s="4"/>
      <c r="F165" s="3"/>
      <c r="G165" s="5"/>
      <c r="H165" s="3"/>
      <c r="I165" s="5"/>
      <c r="J165" s="3"/>
      <c r="K165" s="5"/>
      <c r="L165" s="3"/>
      <c r="M165" s="5"/>
      <c r="N165" s="5"/>
    </row>
    <row r="166">
      <c r="A166" s="2"/>
      <c r="B166" s="3"/>
      <c r="C166" s="3"/>
      <c r="D166" s="3"/>
      <c r="E166" s="4"/>
      <c r="F166" s="3"/>
      <c r="G166" s="5"/>
      <c r="H166" s="3"/>
      <c r="I166" s="5"/>
      <c r="J166" s="3"/>
      <c r="K166" s="5"/>
      <c r="L166" s="3"/>
      <c r="M166" s="5"/>
      <c r="N166" s="5"/>
    </row>
    <row r="167">
      <c r="A167" s="2"/>
      <c r="B167" s="3"/>
      <c r="C167" s="3"/>
      <c r="D167" s="3"/>
      <c r="E167" s="4"/>
      <c r="F167" s="3"/>
      <c r="G167" s="5"/>
      <c r="H167" s="3"/>
      <c r="I167" s="5"/>
      <c r="J167" s="3"/>
      <c r="K167" s="5"/>
      <c r="L167" s="3"/>
      <c r="M167" s="5"/>
      <c r="N167" s="5"/>
    </row>
    <row r="168">
      <c r="A168" s="2"/>
      <c r="B168" s="3"/>
      <c r="C168" s="3"/>
      <c r="D168" s="3"/>
      <c r="E168" s="4"/>
      <c r="F168" s="3"/>
      <c r="G168" s="5"/>
      <c r="H168" s="3"/>
      <c r="I168" s="5"/>
      <c r="J168" s="3"/>
      <c r="K168" s="5"/>
      <c r="L168" s="3"/>
      <c r="M168" s="5"/>
      <c r="N168" s="5"/>
    </row>
    <row r="169">
      <c r="A169" s="2"/>
      <c r="B169" s="3"/>
      <c r="C169" s="3"/>
      <c r="D169" s="3"/>
      <c r="E169" s="4"/>
      <c r="F169" s="3"/>
      <c r="G169" s="5"/>
      <c r="H169" s="3"/>
      <c r="I169" s="5"/>
      <c r="J169" s="3"/>
      <c r="K169" s="5"/>
      <c r="L169" s="3"/>
      <c r="M169" s="5"/>
      <c r="N169" s="5"/>
    </row>
    <row r="170">
      <c r="A170" s="2"/>
      <c r="B170" s="3"/>
      <c r="C170" s="3"/>
      <c r="D170" s="3"/>
      <c r="E170" s="4"/>
      <c r="F170" s="3"/>
      <c r="G170" s="5"/>
      <c r="H170" s="3"/>
      <c r="I170" s="5"/>
      <c r="J170" s="3"/>
      <c r="K170" s="5"/>
      <c r="L170" s="3"/>
      <c r="M170" s="5"/>
      <c r="N170" s="5"/>
    </row>
    <row r="171">
      <c r="A171" s="2"/>
      <c r="B171" s="3"/>
      <c r="C171" s="3"/>
      <c r="D171" s="3"/>
      <c r="E171" s="4"/>
      <c r="F171" s="3"/>
      <c r="G171" s="5"/>
      <c r="H171" s="3"/>
      <c r="I171" s="5"/>
      <c r="J171" s="3"/>
      <c r="K171" s="5"/>
      <c r="L171" s="3"/>
      <c r="M171" s="5"/>
      <c r="N171" s="5"/>
    </row>
    <row r="172">
      <c r="A172" s="2"/>
      <c r="B172" s="3"/>
      <c r="C172" s="3"/>
      <c r="D172" s="3"/>
      <c r="E172" s="4"/>
      <c r="F172" s="3"/>
      <c r="G172" s="5"/>
      <c r="H172" s="3"/>
      <c r="I172" s="5"/>
      <c r="J172" s="3"/>
      <c r="K172" s="5"/>
      <c r="L172" s="3"/>
      <c r="M172" s="5"/>
      <c r="N172" s="5"/>
    </row>
    <row r="173">
      <c r="A173" s="2"/>
      <c r="B173" s="3"/>
      <c r="C173" s="3"/>
      <c r="D173" s="3"/>
      <c r="E173" s="4"/>
      <c r="F173" s="3"/>
      <c r="G173" s="5"/>
      <c r="H173" s="3"/>
      <c r="I173" s="5"/>
      <c r="J173" s="3"/>
      <c r="K173" s="5"/>
      <c r="L173" s="3"/>
      <c r="M173" s="5"/>
      <c r="N173" s="5"/>
    </row>
    <row r="174">
      <c r="A174" s="2"/>
      <c r="B174" s="3"/>
      <c r="C174" s="3"/>
      <c r="D174" s="3"/>
      <c r="E174" s="4"/>
      <c r="F174" s="3"/>
      <c r="G174" s="5"/>
      <c r="H174" s="3"/>
      <c r="I174" s="5"/>
      <c r="J174" s="3"/>
      <c r="K174" s="5"/>
      <c r="L174" s="3"/>
      <c r="M174" s="5"/>
      <c r="N174" s="5"/>
    </row>
    <row r="175">
      <c r="A175" s="2"/>
      <c r="B175" s="3"/>
      <c r="C175" s="3"/>
      <c r="D175" s="3"/>
      <c r="E175" s="4"/>
      <c r="F175" s="3"/>
      <c r="G175" s="5"/>
      <c r="H175" s="3"/>
      <c r="I175" s="5"/>
      <c r="J175" s="3"/>
      <c r="K175" s="5"/>
      <c r="L175" s="3"/>
      <c r="M175" s="5"/>
      <c r="N175" s="5"/>
    </row>
    <row r="176">
      <c r="A176" s="2"/>
      <c r="B176" s="3"/>
      <c r="C176" s="3"/>
      <c r="D176" s="3"/>
      <c r="E176" s="4"/>
      <c r="F176" s="3"/>
      <c r="G176" s="5"/>
      <c r="H176" s="3"/>
      <c r="I176" s="5"/>
      <c r="J176" s="3"/>
      <c r="K176" s="5"/>
      <c r="L176" s="3"/>
      <c r="M176" s="5"/>
      <c r="N176" s="5"/>
    </row>
    <row r="177">
      <c r="A177" s="2"/>
      <c r="B177" s="3"/>
      <c r="C177" s="3"/>
      <c r="D177" s="3"/>
      <c r="E177" s="4"/>
      <c r="F177" s="3"/>
      <c r="G177" s="5"/>
      <c r="H177" s="3"/>
      <c r="I177" s="5"/>
      <c r="J177" s="3"/>
      <c r="K177" s="5"/>
      <c r="L177" s="3"/>
      <c r="M177" s="5"/>
      <c r="N177" s="5"/>
    </row>
    <row r="178">
      <c r="A178" s="2"/>
      <c r="B178" s="3"/>
      <c r="C178" s="3"/>
      <c r="D178" s="3"/>
      <c r="E178" s="4"/>
      <c r="F178" s="3"/>
      <c r="G178" s="5"/>
      <c r="H178" s="3"/>
      <c r="I178" s="5"/>
      <c r="J178" s="3"/>
      <c r="K178" s="5"/>
      <c r="L178" s="3"/>
      <c r="M178" s="5"/>
      <c r="N178" s="5"/>
    </row>
    <row r="179">
      <c r="A179" s="2"/>
      <c r="B179" s="3"/>
      <c r="C179" s="3"/>
      <c r="D179" s="3"/>
      <c r="E179" s="4"/>
      <c r="F179" s="3"/>
      <c r="G179" s="5"/>
      <c r="H179" s="3"/>
      <c r="I179" s="5"/>
      <c r="J179" s="3"/>
      <c r="K179" s="5"/>
      <c r="L179" s="3"/>
      <c r="M179" s="5"/>
      <c r="N179" s="5"/>
    </row>
    <row r="180">
      <c r="A180" s="2"/>
      <c r="B180" s="3"/>
      <c r="C180" s="3"/>
      <c r="D180" s="3"/>
      <c r="E180" s="4"/>
      <c r="F180" s="3"/>
      <c r="G180" s="5"/>
      <c r="H180" s="3"/>
      <c r="I180" s="5"/>
      <c r="J180" s="3"/>
      <c r="K180" s="5"/>
      <c r="L180" s="3"/>
      <c r="M180" s="5"/>
      <c r="N180" s="5"/>
    </row>
    <row r="181">
      <c r="A181" s="2"/>
      <c r="B181" s="3"/>
      <c r="C181" s="3"/>
      <c r="D181" s="3"/>
      <c r="E181" s="4"/>
      <c r="F181" s="3"/>
      <c r="G181" s="5"/>
      <c r="H181" s="3"/>
      <c r="I181" s="5"/>
      <c r="J181" s="3"/>
      <c r="K181" s="5"/>
      <c r="L181" s="3"/>
      <c r="M181" s="5"/>
      <c r="N181" s="5"/>
    </row>
    <row r="182">
      <c r="A182" s="2"/>
      <c r="B182" s="3"/>
      <c r="C182" s="3"/>
      <c r="D182" s="3"/>
      <c r="E182" s="4"/>
      <c r="F182" s="3"/>
      <c r="G182" s="5"/>
      <c r="H182" s="3"/>
      <c r="I182" s="5"/>
      <c r="J182" s="3"/>
      <c r="K182" s="5"/>
      <c r="L182" s="3"/>
      <c r="M182" s="5"/>
      <c r="N182" s="5"/>
    </row>
    <row r="183">
      <c r="A183" s="2"/>
      <c r="B183" s="3"/>
      <c r="C183" s="3"/>
      <c r="D183" s="3"/>
      <c r="E183" s="4"/>
      <c r="F183" s="3"/>
      <c r="G183" s="5"/>
      <c r="H183" s="3"/>
      <c r="I183" s="5"/>
      <c r="J183" s="3"/>
      <c r="K183" s="5"/>
      <c r="L183" s="3"/>
      <c r="M183" s="5"/>
      <c r="N183" s="5"/>
    </row>
    <row r="184">
      <c r="A184" s="2"/>
      <c r="B184" s="3"/>
      <c r="C184" s="3"/>
      <c r="D184" s="3"/>
      <c r="E184" s="4"/>
      <c r="F184" s="3"/>
      <c r="G184" s="5"/>
      <c r="H184" s="3"/>
      <c r="I184" s="5"/>
      <c r="J184" s="3"/>
      <c r="K184" s="5"/>
      <c r="L184" s="3"/>
      <c r="M184" s="5"/>
      <c r="N184" s="5"/>
    </row>
    <row r="185">
      <c r="A185" s="2"/>
      <c r="B185" s="3"/>
      <c r="C185" s="3"/>
      <c r="D185" s="3"/>
      <c r="E185" s="4"/>
      <c r="F185" s="3"/>
      <c r="G185" s="5"/>
      <c r="H185" s="3"/>
      <c r="I185" s="5"/>
      <c r="J185" s="3"/>
      <c r="K185" s="5"/>
      <c r="L185" s="3"/>
      <c r="M185" s="5"/>
      <c r="N185" s="5"/>
    </row>
    <row r="186">
      <c r="A186" s="2"/>
      <c r="B186" s="3"/>
      <c r="C186" s="3"/>
      <c r="D186" s="3"/>
      <c r="E186" s="4"/>
      <c r="F186" s="3"/>
      <c r="G186" s="5"/>
      <c r="H186" s="3"/>
      <c r="I186" s="5"/>
      <c r="J186" s="3"/>
      <c r="K186" s="5"/>
      <c r="L186" s="3"/>
      <c r="M186" s="5"/>
      <c r="N186" s="5"/>
    </row>
    <row r="187">
      <c r="A187" s="2"/>
      <c r="B187" s="3"/>
      <c r="C187" s="3"/>
      <c r="D187" s="3"/>
      <c r="E187" s="4"/>
      <c r="F187" s="3"/>
      <c r="G187" s="5"/>
      <c r="H187" s="3"/>
      <c r="I187" s="5"/>
      <c r="J187" s="3"/>
      <c r="K187" s="5"/>
      <c r="L187" s="3"/>
      <c r="M187" s="5"/>
      <c r="N187" s="5"/>
    </row>
    <row r="188">
      <c r="A188" s="2"/>
      <c r="B188" s="3"/>
      <c r="C188" s="3"/>
      <c r="D188" s="3"/>
      <c r="E188" s="4"/>
      <c r="F188" s="3"/>
      <c r="G188" s="5"/>
      <c r="H188" s="3"/>
      <c r="I188" s="5"/>
      <c r="J188" s="3"/>
      <c r="K188" s="5"/>
      <c r="L188" s="3"/>
      <c r="M188" s="5"/>
      <c r="N188" s="5"/>
    </row>
    <row r="189">
      <c r="A189" s="2"/>
      <c r="B189" s="3"/>
      <c r="C189" s="3"/>
      <c r="D189" s="3"/>
      <c r="E189" s="4"/>
      <c r="F189" s="3"/>
      <c r="G189" s="5"/>
      <c r="H189" s="3"/>
      <c r="I189" s="5"/>
      <c r="J189" s="3"/>
      <c r="K189" s="5"/>
      <c r="L189" s="3"/>
      <c r="M189" s="5"/>
      <c r="N189" s="5"/>
    </row>
    <row r="190">
      <c r="A190" s="2"/>
      <c r="B190" s="3"/>
      <c r="C190" s="3"/>
      <c r="D190" s="3"/>
      <c r="E190" s="4"/>
      <c r="F190" s="3"/>
      <c r="G190" s="5"/>
      <c r="H190" s="3"/>
      <c r="I190" s="5"/>
      <c r="J190" s="3"/>
      <c r="K190" s="5"/>
      <c r="L190" s="3"/>
      <c r="M190" s="5"/>
      <c r="N190" s="5"/>
    </row>
    <row r="191">
      <c r="A191" s="2"/>
      <c r="B191" s="3"/>
      <c r="C191" s="3"/>
      <c r="D191" s="3"/>
      <c r="E191" s="4"/>
      <c r="F191" s="3"/>
      <c r="G191" s="5"/>
      <c r="H191" s="3"/>
      <c r="I191" s="5"/>
      <c r="J191" s="3"/>
      <c r="K191" s="5"/>
      <c r="L191" s="3"/>
      <c r="M191" s="5"/>
      <c r="N191" s="5"/>
    </row>
    <row r="192">
      <c r="A192" s="2"/>
      <c r="B192" s="3"/>
      <c r="C192" s="3"/>
      <c r="D192" s="3"/>
      <c r="E192" s="4"/>
      <c r="F192" s="3"/>
      <c r="G192" s="5"/>
      <c r="H192" s="3"/>
      <c r="I192" s="5"/>
      <c r="J192" s="3"/>
      <c r="K192" s="5"/>
      <c r="L192" s="3"/>
      <c r="M192" s="5"/>
      <c r="N192" s="5"/>
    </row>
    <row r="193">
      <c r="A193" s="2"/>
      <c r="B193" s="3"/>
      <c r="C193" s="3"/>
      <c r="D193" s="3"/>
      <c r="E193" s="4"/>
      <c r="F193" s="3"/>
      <c r="G193" s="5"/>
      <c r="H193" s="3"/>
      <c r="I193" s="5"/>
      <c r="J193" s="3"/>
      <c r="K193" s="5"/>
      <c r="L193" s="3"/>
      <c r="M193" s="5"/>
      <c r="N193" s="5"/>
    </row>
    <row r="194">
      <c r="A194" s="2"/>
      <c r="B194" s="3"/>
      <c r="C194" s="3"/>
      <c r="D194" s="3"/>
      <c r="E194" s="4"/>
      <c r="F194" s="3"/>
      <c r="G194" s="5"/>
      <c r="H194" s="3"/>
      <c r="I194" s="5"/>
      <c r="J194" s="3"/>
      <c r="K194" s="5"/>
      <c r="L194" s="3"/>
      <c r="M194" s="5"/>
      <c r="N194" s="5"/>
    </row>
    <row r="195">
      <c r="A195" s="2"/>
      <c r="B195" s="3"/>
      <c r="C195" s="3"/>
      <c r="D195" s="3"/>
      <c r="E195" s="4"/>
      <c r="F195" s="3"/>
      <c r="G195" s="5"/>
      <c r="H195" s="3"/>
      <c r="I195" s="5"/>
      <c r="J195" s="3"/>
      <c r="K195" s="5"/>
      <c r="L195" s="3"/>
      <c r="M195" s="5"/>
      <c r="N195" s="5"/>
    </row>
    <row r="196">
      <c r="A196" s="2"/>
      <c r="B196" s="3"/>
      <c r="C196" s="3"/>
      <c r="D196" s="3"/>
      <c r="E196" s="4"/>
      <c r="F196" s="3"/>
      <c r="G196" s="5"/>
      <c r="H196" s="3"/>
      <c r="I196" s="5"/>
      <c r="J196" s="3"/>
      <c r="K196" s="5"/>
      <c r="L196" s="3"/>
      <c r="M196" s="5"/>
      <c r="N196" s="5"/>
    </row>
    <row r="197">
      <c r="A197" s="2"/>
      <c r="B197" s="3"/>
      <c r="C197" s="3"/>
      <c r="D197" s="3"/>
      <c r="E197" s="4"/>
      <c r="F197" s="3"/>
      <c r="G197" s="5"/>
      <c r="H197" s="3"/>
      <c r="I197" s="5"/>
      <c r="J197" s="3"/>
      <c r="K197" s="5"/>
      <c r="L197" s="3"/>
      <c r="M197" s="5"/>
      <c r="N197" s="5"/>
    </row>
    <row r="198">
      <c r="A198" s="2"/>
      <c r="B198" s="3"/>
      <c r="C198" s="3"/>
      <c r="D198" s="3"/>
      <c r="E198" s="4"/>
      <c r="F198" s="3"/>
      <c r="G198" s="5"/>
      <c r="H198" s="3"/>
      <c r="I198" s="5"/>
      <c r="J198" s="3"/>
      <c r="K198" s="5"/>
      <c r="L198" s="3"/>
      <c r="M198" s="5"/>
      <c r="N198" s="5"/>
    </row>
    <row r="199">
      <c r="A199" s="2"/>
      <c r="B199" s="3"/>
      <c r="C199" s="3"/>
      <c r="D199" s="3"/>
      <c r="E199" s="4"/>
      <c r="F199" s="3"/>
      <c r="G199" s="5"/>
      <c r="H199" s="3"/>
      <c r="I199" s="5"/>
      <c r="J199" s="3"/>
      <c r="K199" s="5"/>
      <c r="L199" s="3"/>
      <c r="M199" s="5"/>
      <c r="N199" s="5"/>
    </row>
    <row r="200">
      <c r="A200" s="2"/>
      <c r="B200" s="3"/>
      <c r="C200" s="3"/>
      <c r="D200" s="3"/>
      <c r="E200" s="4"/>
      <c r="F200" s="3"/>
      <c r="G200" s="5"/>
      <c r="H200" s="3"/>
      <c r="I200" s="5"/>
      <c r="J200" s="3"/>
      <c r="K200" s="5"/>
      <c r="L200" s="3"/>
      <c r="M200" s="5"/>
      <c r="N200" s="5"/>
    </row>
    <row r="201">
      <c r="A201" s="2"/>
      <c r="B201" s="3"/>
      <c r="C201" s="3"/>
      <c r="D201" s="3"/>
      <c r="E201" s="4"/>
      <c r="F201" s="3"/>
      <c r="G201" s="5"/>
      <c r="H201" s="3"/>
      <c r="I201" s="5"/>
      <c r="J201" s="3"/>
      <c r="K201" s="5"/>
      <c r="L201" s="3"/>
      <c r="M201" s="5"/>
      <c r="N201" s="5"/>
    </row>
    <row r="202">
      <c r="A202" s="2"/>
      <c r="B202" s="3"/>
      <c r="C202" s="3"/>
      <c r="D202" s="3"/>
      <c r="E202" s="4"/>
      <c r="F202" s="3"/>
      <c r="G202" s="5"/>
      <c r="H202" s="3"/>
      <c r="I202" s="5"/>
      <c r="J202" s="3"/>
      <c r="K202" s="5"/>
      <c r="L202" s="3"/>
      <c r="M202" s="5"/>
      <c r="N202" s="5"/>
    </row>
    <row r="203">
      <c r="A203" s="2"/>
      <c r="B203" s="3"/>
      <c r="C203" s="3"/>
      <c r="D203" s="3"/>
      <c r="E203" s="4"/>
      <c r="F203" s="3"/>
      <c r="G203" s="5"/>
      <c r="H203" s="3"/>
      <c r="I203" s="5"/>
      <c r="J203" s="3"/>
      <c r="K203" s="5"/>
      <c r="L203" s="3"/>
      <c r="M203" s="5"/>
      <c r="N203" s="5"/>
    </row>
    <row r="204">
      <c r="A204" s="2"/>
      <c r="B204" s="3"/>
      <c r="C204" s="3"/>
      <c r="D204" s="3"/>
      <c r="E204" s="4"/>
      <c r="F204" s="3"/>
      <c r="G204" s="5"/>
      <c r="H204" s="3"/>
      <c r="I204" s="5"/>
      <c r="J204" s="3"/>
      <c r="K204" s="5"/>
      <c r="L204" s="3"/>
      <c r="M204" s="5"/>
      <c r="N204" s="5"/>
    </row>
    <row r="205">
      <c r="A205" s="2"/>
      <c r="B205" s="3"/>
      <c r="C205" s="3"/>
      <c r="D205" s="3"/>
      <c r="E205" s="4"/>
      <c r="F205" s="3"/>
      <c r="G205" s="5"/>
      <c r="H205" s="3"/>
      <c r="I205" s="5"/>
      <c r="J205" s="3"/>
      <c r="K205" s="5"/>
      <c r="L205" s="3"/>
      <c r="M205" s="5"/>
      <c r="N205" s="5"/>
    </row>
    <row r="206">
      <c r="A206" s="2"/>
      <c r="B206" s="3"/>
      <c r="C206" s="3"/>
      <c r="D206" s="3"/>
      <c r="E206" s="4"/>
      <c r="F206" s="3"/>
      <c r="G206" s="5"/>
      <c r="H206" s="3"/>
      <c r="I206" s="5"/>
      <c r="J206" s="3"/>
      <c r="K206" s="5"/>
      <c r="L206" s="3"/>
      <c r="M206" s="5"/>
      <c r="N206" s="5"/>
    </row>
    <row r="207">
      <c r="A207" s="2"/>
      <c r="B207" s="3"/>
      <c r="C207" s="3"/>
      <c r="D207" s="3"/>
      <c r="E207" s="4"/>
      <c r="F207" s="3"/>
      <c r="G207" s="5"/>
      <c r="H207" s="3"/>
      <c r="I207" s="5"/>
      <c r="J207" s="3"/>
      <c r="K207" s="5"/>
      <c r="L207" s="3"/>
      <c r="M207" s="5"/>
      <c r="N207" s="5"/>
    </row>
    <row r="208">
      <c r="A208" s="2"/>
      <c r="B208" s="3"/>
      <c r="C208" s="3"/>
      <c r="D208" s="3"/>
      <c r="E208" s="4"/>
      <c r="F208" s="3"/>
      <c r="G208" s="5"/>
      <c r="H208" s="3"/>
      <c r="I208" s="5"/>
      <c r="J208" s="3"/>
      <c r="K208" s="5"/>
      <c r="L208" s="3"/>
      <c r="M208" s="5"/>
      <c r="N208" s="5"/>
    </row>
    <row r="209">
      <c r="A209" s="2"/>
      <c r="B209" s="3"/>
      <c r="C209" s="3"/>
      <c r="D209" s="3"/>
      <c r="E209" s="4"/>
      <c r="F209" s="3"/>
      <c r="G209" s="5"/>
      <c r="H209" s="3"/>
      <c r="I209" s="5"/>
      <c r="J209" s="3"/>
      <c r="K209" s="5"/>
      <c r="L209" s="3"/>
      <c r="M209" s="5"/>
      <c r="N209" s="5"/>
    </row>
    <row r="210">
      <c r="A210" s="2"/>
      <c r="B210" s="3"/>
      <c r="C210" s="3"/>
      <c r="D210" s="3"/>
      <c r="E210" s="4"/>
      <c r="F210" s="3"/>
      <c r="G210" s="5"/>
      <c r="H210" s="3"/>
      <c r="I210" s="5"/>
      <c r="J210" s="3"/>
      <c r="K210" s="5"/>
      <c r="L210" s="3"/>
      <c r="M210" s="5"/>
      <c r="N210" s="5"/>
    </row>
    <row r="211">
      <c r="A211" s="2"/>
      <c r="B211" s="3"/>
      <c r="C211" s="3"/>
      <c r="D211" s="3"/>
      <c r="E211" s="4"/>
      <c r="F211" s="3"/>
      <c r="G211" s="5"/>
      <c r="H211" s="3"/>
      <c r="I211" s="5"/>
      <c r="J211" s="3"/>
      <c r="K211" s="5"/>
      <c r="L211" s="3"/>
      <c r="M211" s="5"/>
      <c r="N211" s="5"/>
    </row>
    <row r="212">
      <c r="A212" s="2"/>
      <c r="B212" s="3"/>
      <c r="C212" s="3"/>
      <c r="D212" s="3"/>
      <c r="E212" s="4"/>
      <c r="F212" s="3"/>
      <c r="G212" s="5"/>
      <c r="H212" s="3"/>
      <c r="I212" s="5"/>
      <c r="J212" s="3"/>
      <c r="K212" s="5"/>
      <c r="L212" s="3"/>
      <c r="M212" s="5"/>
      <c r="N212" s="5"/>
    </row>
    <row r="213">
      <c r="A213" s="2"/>
      <c r="B213" s="3"/>
      <c r="C213" s="3"/>
      <c r="D213" s="3"/>
      <c r="E213" s="4"/>
      <c r="F213" s="3"/>
      <c r="G213" s="5"/>
      <c r="H213" s="3"/>
      <c r="I213" s="5"/>
      <c r="J213" s="3"/>
      <c r="K213" s="5"/>
      <c r="L213" s="3"/>
      <c r="M213" s="5"/>
      <c r="N213" s="5"/>
    </row>
    <row r="214">
      <c r="A214" s="2"/>
      <c r="B214" s="3"/>
      <c r="C214" s="3"/>
      <c r="D214" s="3"/>
      <c r="E214" s="4"/>
      <c r="F214" s="3"/>
      <c r="G214" s="5"/>
      <c r="H214" s="3"/>
      <c r="I214" s="5"/>
      <c r="J214" s="3"/>
      <c r="K214" s="5"/>
      <c r="L214" s="3"/>
      <c r="M214" s="5"/>
      <c r="N214" s="5"/>
    </row>
    <row r="215">
      <c r="A215" s="2"/>
      <c r="B215" s="3"/>
      <c r="C215" s="3"/>
      <c r="D215" s="3"/>
      <c r="E215" s="4"/>
      <c r="F215" s="3"/>
      <c r="G215" s="5"/>
      <c r="H215" s="3"/>
      <c r="I215" s="5"/>
      <c r="J215" s="3"/>
      <c r="K215" s="5"/>
      <c r="L215" s="3"/>
      <c r="M215" s="5"/>
      <c r="N215" s="5"/>
    </row>
    <row r="216">
      <c r="A216" s="2"/>
      <c r="B216" s="3"/>
      <c r="C216" s="3"/>
      <c r="D216" s="3"/>
      <c r="E216" s="4"/>
      <c r="F216" s="3"/>
      <c r="G216" s="5"/>
      <c r="H216" s="3"/>
      <c r="I216" s="5"/>
      <c r="J216" s="3"/>
      <c r="K216" s="5"/>
      <c r="L216" s="3"/>
      <c r="M216" s="5"/>
      <c r="N216" s="5"/>
    </row>
    <row r="217">
      <c r="A217" s="2"/>
      <c r="B217" s="3"/>
      <c r="C217" s="3"/>
      <c r="D217" s="3"/>
      <c r="E217" s="4"/>
      <c r="F217" s="3"/>
      <c r="G217" s="5"/>
      <c r="H217" s="3"/>
      <c r="I217" s="5"/>
      <c r="J217" s="3"/>
      <c r="K217" s="5"/>
      <c r="L217" s="3"/>
      <c r="M217" s="5"/>
      <c r="N217" s="5"/>
    </row>
    <row r="218">
      <c r="A218" s="2"/>
      <c r="B218" s="3"/>
      <c r="C218" s="3"/>
      <c r="D218" s="3"/>
      <c r="E218" s="4"/>
      <c r="F218" s="3"/>
      <c r="G218" s="5"/>
      <c r="H218" s="3"/>
      <c r="I218" s="5"/>
      <c r="J218" s="3"/>
      <c r="K218" s="5"/>
      <c r="L218" s="3"/>
      <c r="M218" s="5"/>
      <c r="N218" s="5"/>
    </row>
    <row r="219">
      <c r="A219" s="2"/>
      <c r="B219" s="3"/>
      <c r="C219" s="3"/>
      <c r="D219" s="3"/>
      <c r="E219" s="4"/>
      <c r="F219" s="3"/>
      <c r="G219" s="5"/>
      <c r="H219" s="3"/>
      <c r="I219" s="5"/>
      <c r="J219" s="3"/>
      <c r="K219" s="5"/>
      <c r="L219" s="3"/>
      <c r="M219" s="5"/>
      <c r="N219" s="5"/>
    </row>
    <row r="220">
      <c r="A220" s="2"/>
      <c r="B220" s="3"/>
      <c r="C220" s="3"/>
      <c r="D220" s="3"/>
      <c r="E220" s="4"/>
      <c r="F220" s="3"/>
      <c r="G220" s="5"/>
      <c r="H220" s="3"/>
      <c r="I220" s="5"/>
      <c r="J220" s="3"/>
      <c r="K220" s="5"/>
      <c r="L220" s="3"/>
      <c r="M220" s="5"/>
      <c r="N220" s="5"/>
    </row>
    <row r="221">
      <c r="A221" s="2"/>
      <c r="B221" s="3"/>
      <c r="C221" s="3"/>
      <c r="D221" s="3"/>
      <c r="E221" s="4"/>
      <c r="F221" s="3"/>
      <c r="G221" s="5"/>
      <c r="H221" s="3"/>
      <c r="I221" s="5"/>
      <c r="J221" s="3"/>
      <c r="K221" s="5"/>
      <c r="L221" s="3"/>
      <c r="M221" s="5"/>
      <c r="N221" s="5"/>
    </row>
    <row r="222">
      <c r="A222" s="2"/>
      <c r="B222" s="3"/>
      <c r="C222" s="3"/>
      <c r="D222" s="3"/>
      <c r="E222" s="4"/>
      <c r="F222" s="3"/>
      <c r="G222" s="5"/>
      <c r="H222" s="3"/>
      <c r="I222" s="5"/>
      <c r="J222" s="3"/>
      <c r="K222" s="5"/>
      <c r="L222" s="3"/>
      <c r="M222" s="5"/>
      <c r="N222" s="5"/>
    </row>
    <row r="223">
      <c r="A223" s="2"/>
      <c r="B223" s="3"/>
      <c r="C223" s="3"/>
      <c r="D223" s="3"/>
      <c r="E223" s="4"/>
      <c r="F223" s="3"/>
      <c r="G223" s="5"/>
      <c r="H223" s="3"/>
      <c r="I223" s="5"/>
      <c r="J223" s="3"/>
      <c r="K223" s="5"/>
      <c r="L223" s="3"/>
      <c r="M223" s="5"/>
      <c r="N223" s="5"/>
    </row>
    <row r="224">
      <c r="A224" s="2"/>
      <c r="B224" s="3"/>
      <c r="C224" s="3"/>
      <c r="D224" s="3"/>
      <c r="E224" s="4"/>
      <c r="F224" s="3"/>
      <c r="G224" s="5"/>
      <c r="H224" s="3"/>
      <c r="I224" s="5"/>
      <c r="J224" s="3"/>
      <c r="K224" s="5"/>
      <c r="L224" s="3"/>
      <c r="M224" s="5"/>
      <c r="N224" s="5"/>
    </row>
    <row r="225">
      <c r="A225" s="2"/>
      <c r="B225" s="3"/>
      <c r="C225" s="3"/>
      <c r="D225" s="3"/>
      <c r="E225" s="4"/>
      <c r="F225" s="3"/>
      <c r="G225" s="5"/>
      <c r="H225" s="3"/>
      <c r="I225" s="5"/>
      <c r="J225" s="3"/>
      <c r="K225" s="5"/>
      <c r="L225" s="3"/>
      <c r="M225" s="5"/>
      <c r="N225" s="5"/>
    </row>
    <row r="226">
      <c r="A226" s="2"/>
      <c r="B226" s="3"/>
      <c r="C226" s="3"/>
      <c r="D226" s="3"/>
      <c r="E226" s="4"/>
      <c r="F226" s="3"/>
      <c r="G226" s="5"/>
      <c r="H226" s="3"/>
      <c r="I226" s="5"/>
      <c r="J226" s="3"/>
      <c r="K226" s="5"/>
      <c r="L226" s="3"/>
      <c r="M226" s="5"/>
      <c r="N226" s="5"/>
    </row>
    <row r="227">
      <c r="A227" s="2"/>
      <c r="B227" s="3"/>
      <c r="C227" s="3"/>
      <c r="D227" s="3"/>
      <c r="E227" s="4"/>
      <c r="F227" s="3"/>
      <c r="G227" s="5"/>
      <c r="H227" s="3"/>
      <c r="I227" s="5"/>
      <c r="J227" s="3"/>
      <c r="K227" s="5"/>
      <c r="L227" s="3"/>
      <c r="M227" s="5"/>
      <c r="N227" s="5"/>
    </row>
    <row r="228">
      <c r="A228" s="2"/>
      <c r="B228" s="3"/>
      <c r="C228" s="3"/>
      <c r="D228" s="3"/>
      <c r="E228" s="4"/>
      <c r="F228" s="3"/>
      <c r="G228" s="5"/>
      <c r="H228" s="3"/>
      <c r="I228" s="5"/>
      <c r="J228" s="3"/>
      <c r="K228" s="5"/>
      <c r="L228" s="3"/>
      <c r="M228" s="5"/>
      <c r="N228" s="5"/>
    </row>
    <row r="229">
      <c r="A229" s="2"/>
      <c r="B229" s="3"/>
      <c r="C229" s="3"/>
      <c r="D229" s="3"/>
      <c r="E229" s="4"/>
      <c r="F229" s="3"/>
      <c r="G229" s="5"/>
      <c r="H229" s="3"/>
      <c r="I229" s="5"/>
      <c r="J229" s="3"/>
      <c r="K229" s="5"/>
      <c r="L229" s="3"/>
      <c r="M229" s="5"/>
      <c r="N229" s="5"/>
    </row>
    <row r="230">
      <c r="A230" s="2"/>
      <c r="B230" s="3"/>
      <c r="C230" s="3"/>
      <c r="D230" s="3"/>
      <c r="E230" s="4"/>
      <c r="F230" s="3"/>
      <c r="G230" s="5"/>
      <c r="H230" s="3"/>
      <c r="I230" s="5"/>
      <c r="J230" s="3"/>
      <c r="K230" s="5"/>
      <c r="L230" s="3"/>
      <c r="M230" s="5"/>
      <c r="N230" s="5"/>
    </row>
    <row r="231">
      <c r="A231" s="2"/>
      <c r="B231" s="3"/>
      <c r="C231" s="3"/>
      <c r="D231" s="3"/>
      <c r="E231" s="4"/>
      <c r="F231" s="3"/>
      <c r="G231" s="5"/>
      <c r="H231" s="3"/>
      <c r="I231" s="5"/>
      <c r="J231" s="3"/>
      <c r="K231" s="5"/>
      <c r="L231" s="3"/>
      <c r="M231" s="5"/>
      <c r="N231" s="5"/>
    </row>
    <row r="232">
      <c r="A232" s="2"/>
      <c r="B232" s="3"/>
      <c r="C232" s="3"/>
      <c r="D232" s="3"/>
      <c r="E232" s="4"/>
      <c r="F232" s="3"/>
      <c r="G232" s="5"/>
      <c r="H232" s="3"/>
      <c r="I232" s="5"/>
      <c r="J232" s="3"/>
      <c r="K232" s="5"/>
      <c r="L232" s="3"/>
      <c r="M232" s="5"/>
      <c r="N232" s="5"/>
    </row>
    <row r="233">
      <c r="A233" s="2"/>
      <c r="B233" s="3"/>
      <c r="C233" s="3"/>
      <c r="D233" s="3"/>
      <c r="E233" s="4"/>
      <c r="F233" s="3"/>
      <c r="G233" s="5"/>
      <c r="H233" s="3"/>
      <c r="I233" s="5"/>
      <c r="J233" s="3"/>
      <c r="K233" s="5"/>
      <c r="L233" s="3"/>
      <c r="M233" s="5"/>
      <c r="N233" s="5"/>
    </row>
    <row r="234">
      <c r="A234" s="2"/>
      <c r="B234" s="3"/>
      <c r="C234" s="3"/>
      <c r="D234" s="3"/>
      <c r="E234" s="4"/>
      <c r="F234" s="3"/>
      <c r="G234" s="5"/>
      <c r="H234" s="3"/>
      <c r="I234" s="5"/>
      <c r="J234" s="3"/>
      <c r="K234" s="5"/>
      <c r="L234" s="3"/>
      <c r="M234" s="5"/>
      <c r="N234" s="5"/>
    </row>
    <row r="235">
      <c r="A235" s="2"/>
      <c r="B235" s="3"/>
      <c r="C235" s="3"/>
      <c r="D235" s="3"/>
      <c r="E235" s="4"/>
      <c r="F235" s="3"/>
      <c r="G235" s="5"/>
      <c r="H235" s="3"/>
      <c r="I235" s="5"/>
      <c r="J235" s="3"/>
      <c r="K235" s="5"/>
      <c r="L235" s="3"/>
      <c r="M235" s="5"/>
      <c r="N235" s="5"/>
    </row>
    <row r="236">
      <c r="A236" s="2"/>
      <c r="B236" s="3"/>
      <c r="C236" s="3"/>
      <c r="D236" s="3"/>
      <c r="E236" s="4"/>
      <c r="F236" s="3"/>
      <c r="G236" s="5"/>
      <c r="H236" s="3"/>
      <c r="I236" s="5"/>
      <c r="J236" s="3"/>
      <c r="K236" s="5"/>
      <c r="L236" s="3"/>
      <c r="M236" s="5"/>
      <c r="N236" s="5"/>
    </row>
    <row r="237">
      <c r="A237" s="2"/>
      <c r="B237" s="3"/>
      <c r="C237" s="3"/>
      <c r="D237" s="3"/>
      <c r="E237" s="4"/>
      <c r="F237" s="3"/>
      <c r="G237" s="5"/>
      <c r="H237" s="3"/>
      <c r="I237" s="5"/>
      <c r="J237" s="3"/>
      <c r="K237" s="5"/>
      <c r="L237" s="3"/>
      <c r="M237" s="5"/>
      <c r="N237" s="5"/>
    </row>
    <row r="238">
      <c r="A238" s="2"/>
      <c r="B238" s="3"/>
      <c r="C238" s="3"/>
      <c r="D238" s="3"/>
      <c r="E238" s="4"/>
      <c r="F238" s="3"/>
      <c r="G238" s="5"/>
      <c r="H238" s="3"/>
      <c r="I238" s="5"/>
      <c r="J238" s="3"/>
      <c r="K238" s="5"/>
      <c r="L238" s="3"/>
      <c r="M238" s="5"/>
      <c r="N238" s="5"/>
    </row>
    <row r="239">
      <c r="A239" s="2"/>
      <c r="B239" s="3"/>
      <c r="C239" s="3"/>
      <c r="D239" s="3"/>
      <c r="E239" s="4"/>
      <c r="F239" s="3"/>
      <c r="G239" s="5"/>
      <c r="H239" s="3"/>
      <c r="I239" s="5"/>
      <c r="J239" s="3"/>
      <c r="K239" s="5"/>
      <c r="L239" s="3"/>
      <c r="M239" s="5"/>
      <c r="N239" s="5"/>
    </row>
    <row r="240">
      <c r="A240" s="2"/>
      <c r="B240" s="3"/>
      <c r="C240" s="3"/>
      <c r="D240" s="3"/>
      <c r="E240" s="4"/>
      <c r="F240" s="3"/>
      <c r="G240" s="5"/>
      <c r="H240" s="3"/>
      <c r="I240" s="5"/>
      <c r="J240" s="3"/>
      <c r="K240" s="5"/>
      <c r="L240" s="3"/>
      <c r="M240" s="5"/>
      <c r="N240" s="5"/>
    </row>
    <row r="241">
      <c r="A241" s="2"/>
      <c r="B241" s="3"/>
      <c r="C241" s="3"/>
      <c r="D241" s="3"/>
      <c r="E241" s="4"/>
      <c r="F241" s="3"/>
      <c r="G241" s="5"/>
      <c r="H241" s="3"/>
      <c r="I241" s="5"/>
      <c r="J241" s="3"/>
      <c r="K241" s="5"/>
      <c r="L241" s="3"/>
      <c r="M241" s="5"/>
      <c r="N241" s="5"/>
    </row>
    <row r="242">
      <c r="A242" s="2"/>
      <c r="B242" s="3"/>
      <c r="C242" s="3"/>
      <c r="D242" s="3"/>
      <c r="E242" s="4"/>
      <c r="F242" s="3"/>
      <c r="G242" s="5"/>
      <c r="H242" s="3"/>
      <c r="I242" s="5"/>
      <c r="J242" s="3"/>
      <c r="K242" s="5"/>
      <c r="L242" s="3"/>
      <c r="M242" s="5"/>
      <c r="N242" s="5"/>
    </row>
    <row r="243">
      <c r="A243" s="2"/>
      <c r="B243" s="3"/>
      <c r="C243" s="3"/>
      <c r="D243" s="3"/>
      <c r="E243" s="4"/>
      <c r="F243" s="3"/>
      <c r="G243" s="5"/>
      <c r="H243" s="3"/>
      <c r="I243" s="5"/>
      <c r="J243" s="3"/>
      <c r="K243" s="5"/>
      <c r="L243" s="3"/>
      <c r="M243" s="5"/>
      <c r="N243" s="5"/>
    </row>
    <row r="244">
      <c r="A244" s="2"/>
      <c r="B244" s="3"/>
      <c r="C244" s="3"/>
      <c r="D244" s="3"/>
      <c r="E244" s="4"/>
      <c r="F244" s="3"/>
      <c r="G244" s="5"/>
      <c r="H244" s="3"/>
      <c r="I244" s="5"/>
      <c r="J244" s="3"/>
      <c r="K244" s="5"/>
      <c r="L244" s="3"/>
      <c r="M244" s="5"/>
      <c r="N244" s="5"/>
    </row>
    <row r="245">
      <c r="A245" s="2"/>
      <c r="B245" s="3"/>
      <c r="C245" s="3"/>
      <c r="D245" s="3"/>
      <c r="E245" s="4"/>
      <c r="F245" s="3"/>
      <c r="G245" s="5"/>
      <c r="H245" s="3"/>
      <c r="I245" s="5"/>
      <c r="J245" s="3"/>
      <c r="K245" s="5"/>
      <c r="L245" s="3"/>
      <c r="M245" s="5"/>
      <c r="N245" s="5"/>
    </row>
    <row r="246">
      <c r="A246" s="2"/>
      <c r="B246" s="3"/>
      <c r="C246" s="3"/>
      <c r="D246" s="3"/>
      <c r="E246" s="4"/>
      <c r="F246" s="3"/>
      <c r="G246" s="5"/>
      <c r="H246" s="3"/>
      <c r="I246" s="5"/>
      <c r="J246" s="3"/>
      <c r="K246" s="5"/>
      <c r="L246" s="3"/>
      <c r="M246" s="5"/>
      <c r="N246" s="5"/>
    </row>
    <row r="247">
      <c r="A247" s="2"/>
      <c r="B247" s="3"/>
      <c r="C247" s="3"/>
      <c r="D247" s="3"/>
      <c r="E247" s="4"/>
      <c r="F247" s="3"/>
      <c r="G247" s="5"/>
      <c r="H247" s="3"/>
      <c r="I247" s="5"/>
      <c r="J247" s="3"/>
      <c r="K247" s="5"/>
      <c r="L247" s="3"/>
      <c r="M247" s="5"/>
      <c r="N247" s="5"/>
    </row>
    <row r="248">
      <c r="A248" s="2"/>
      <c r="B248" s="3"/>
      <c r="C248" s="3"/>
      <c r="D248" s="3"/>
      <c r="E248" s="4"/>
      <c r="F248" s="3"/>
      <c r="G248" s="5"/>
      <c r="H248" s="3"/>
      <c r="I248" s="5"/>
      <c r="J248" s="3"/>
      <c r="K248" s="5"/>
      <c r="L248" s="3"/>
      <c r="M248" s="5"/>
      <c r="N248" s="5"/>
    </row>
    <row r="249">
      <c r="A249" s="2"/>
      <c r="B249" s="3"/>
      <c r="C249" s="3"/>
      <c r="D249" s="3"/>
      <c r="E249" s="4"/>
      <c r="F249" s="3"/>
      <c r="G249" s="5"/>
      <c r="H249" s="3"/>
      <c r="I249" s="5"/>
      <c r="J249" s="3"/>
      <c r="K249" s="5"/>
      <c r="L249" s="3"/>
      <c r="M249" s="5"/>
      <c r="N249" s="5"/>
    </row>
    <row r="250">
      <c r="A250" s="2"/>
      <c r="B250" s="3"/>
      <c r="C250" s="3"/>
      <c r="D250" s="3"/>
      <c r="E250" s="4"/>
      <c r="F250" s="3"/>
      <c r="G250" s="5"/>
      <c r="H250" s="3"/>
      <c r="I250" s="5"/>
      <c r="J250" s="3"/>
      <c r="K250" s="5"/>
      <c r="L250" s="3"/>
      <c r="M250" s="5"/>
      <c r="N250" s="5"/>
    </row>
    <row r="251">
      <c r="A251" s="2"/>
      <c r="B251" s="3"/>
      <c r="C251" s="3"/>
      <c r="D251" s="3"/>
      <c r="E251" s="4"/>
      <c r="F251" s="3"/>
      <c r="G251" s="5"/>
      <c r="H251" s="3"/>
      <c r="I251" s="5"/>
      <c r="J251" s="3"/>
      <c r="K251" s="5"/>
      <c r="L251" s="3"/>
      <c r="M251" s="5"/>
      <c r="N251" s="5"/>
    </row>
    <row r="252">
      <c r="A252" s="2"/>
      <c r="B252" s="3"/>
      <c r="C252" s="3"/>
      <c r="D252" s="3"/>
      <c r="E252" s="4"/>
      <c r="F252" s="3"/>
      <c r="G252" s="5"/>
      <c r="H252" s="3"/>
      <c r="I252" s="5"/>
      <c r="J252" s="3"/>
      <c r="K252" s="5"/>
      <c r="L252" s="3"/>
      <c r="M252" s="5"/>
      <c r="N252" s="5"/>
    </row>
    <row r="253">
      <c r="A253" s="2"/>
      <c r="B253" s="3"/>
      <c r="C253" s="3"/>
      <c r="D253" s="3"/>
      <c r="E253" s="4"/>
      <c r="F253" s="3"/>
      <c r="G253" s="5"/>
      <c r="H253" s="3"/>
      <c r="I253" s="5"/>
      <c r="J253" s="3"/>
      <c r="K253" s="5"/>
      <c r="L253" s="3"/>
      <c r="M253" s="5"/>
      <c r="N253" s="5"/>
    </row>
    <row r="254">
      <c r="A254" s="2"/>
      <c r="B254" s="3"/>
      <c r="C254" s="3"/>
      <c r="D254" s="3"/>
      <c r="E254" s="4"/>
      <c r="F254" s="3"/>
      <c r="G254" s="5"/>
      <c r="H254" s="3"/>
      <c r="I254" s="5"/>
      <c r="J254" s="3"/>
      <c r="K254" s="5"/>
      <c r="L254" s="3"/>
      <c r="M254" s="5"/>
      <c r="N254" s="5"/>
    </row>
    <row r="255">
      <c r="A255" s="2"/>
      <c r="B255" s="3"/>
      <c r="C255" s="3"/>
      <c r="D255" s="3"/>
      <c r="E255" s="4"/>
      <c r="F255" s="3"/>
      <c r="G255" s="5"/>
      <c r="H255" s="3"/>
      <c r="I255" s="5"/>
      <c r="J255" s="3"/>
      <c r="K255" s="5"/>
      <c r="L255" s="3"/>
      <c r="M255" s="5"/>
      <c r="N255" s="5"/>
    </row>
    <row r="256">
      <c r="A256" s="2"/>
      <c r="B256" s="3"/>
      <c r="C256" s="3"/>
      <c r="D256" s="3"/>
      <c r="E256" s="4"/>
      <c r="F256" s="3"/>
      <c r="G256" s="5"/>
      <c r="H256" s="3"/>
      <c r="I256" s="5"/>
      <c r="J256" s="3"/>
      <c r="K256" s="5"/>
      <c r="L256" s="3"/>
      <c r="M256" s="5"/>
      <c r="N256" s="5"/>
    </row>
    <row r="257">
      <c r="A257" s="2"/>
      <c r="B257" s="3"/>
      <c r="C257" s="3"/>
      <c r="D257" s="3"/>
      <c r="E257" s="4"/>
      <c r="F257" s="3"/>
      <c r="G257" s="5"/>
      <c r="H257" s="3"/>
      <c r="I257" s="5"/>
      <c r="J257" s="3"/>
      <c r="K257" s="5"/>
      <c r="L257" s="3"/>
      <c r="M257" s="5"/>
      <c r="N257" s="5"/>
    </row>
    <row r="258">
      <c r="A258" s="2"/>
      <c r="B258" s="3"/>
      <c r="C258" s="3"/>
      <c r="D258" s="3"/>
      <c r="E258" s="4"/>
      <c r="F258" s="3"/>
      <c r="G258" s="5"/>
      <c r="H258" s="3"/>
      <c r="I258" s="5"/>
      <c r="J258" s="3"/>
      <c r="K258" s="5"/>
      <c r="L258" s="3"/>
      <c r="M258" s="5"/>
      <c r="N258" s="5"/>
    </row>
    <row r="259">
      <c r="A259" s="2"/>
      <c r="B259" s="3"/>
      <c r="C259" s="3"/>
      <c r="D259" s="3"/>
      <c r="E259" s="4"/>
      <c r="F259" s="3"/>
      <c r="G259" s="5"/>
      <c r="H259" s="3"/>
      <c r="I259" s="5"/>
      <c r="J259" s="3"/>
      <c r="K259" s="5"/>
      <c r="L259" s="3"/>
      <c r="M259" s="5"/>
      <c r="N259" s="5"/>
    </row>
    <row r="260">
      <c r="A260" s="2"/>
      <c r="B260" s="3"/>
      <c r="C260" s="3"/>
      <c r="D260" s="3"/>
      <c r="E260" s="4"/>
      <c r="F260" s="3"/>
      <c r="G260" s="5"/>
      <c r="H260" s="3"/>
      <c r="I260" s="5"/>
      <c r="J260" s="3"/>
      <c r="K260" s="5"/>
      <c r="L260" s="3"/>
      <c r="M260" s="5"/>
      <c r="N260" s="5"/>
    </row>
    <row r="261">
      <c r="A261" s="2"/>
      <c r="B261" s="3"/>
      <c r="C261" s="3"/>
      <c r="D261" s="3"/>
      <c r="E261" s="4"/>
      <c r="F261" s="3"/>
      <c r="G261" s="5"/>
      <c r="H261" s="3"/>
      <c r="I261" s="5"/>
      <c r="J261" s="3"/>
      <c r="K261" s="5"/>
      <c r="L261" s="3"/>
      <c r="M261" s="5"/>
      <c r="N261" s="5"/>
    </row>
    <row r="262">
      <c r="A262" s="2"/>
      <c r="B262" s="3"/>
      <c r="C262" s="3"/>
      <c r="D262" s="3"/>
      <c r="E262" s="4"/>
      <c r="F262" s="3"/>
      <c r="G262" s="5"/>
      <c r="H262" s="3"/>
      <c r="I262" s="5"/>
      <c r="J262" s="3"/>
      <c r="K262" s="5"/>
      <c r="L262" s="3"/>
      <c r="M262" s="5"/>
      <c r="N262" s="5"/>
    </row>
    <row r="263">
      <c r="A263" s="2"/>
      <c r="B263" s="3"/>
      <c r="C263" s="3"/>
      <c r="D263" s="3"/>
      <c r="E263" s="4"/>
      <c r="F263" s="3"/>
      <c r="G263" s="5"/>
      <c r="H263" s="3"/>
      <c r="I263" s="5"/>
      <c r="J263" s="3"/>
      <c r="K263" s="5"/>
      <c r="L263" s="3"/>
      <c r="M263" s="5"/>
      <c r="N263" s="5"/>
    </row>
    <row r="264">
      <c r="A264" s="2"/>
      <c r="B264" s="3"/>
      <c r="C264" s="3"/>
      <c r="D264" s="3"/>
      <c r="E264" s="4"/>
      <c r="F264" s="3"/>
      <c r="G264" s="5"/>
      <c r="H264" s="3"/>
      <c r="I264" s="5"/>
      <c r="J264" s="3"/>
      <c r="K264" s="5"/>
      <c r="L264" s="3"/>
      <c r="M264" s="5"/>
      <c r="N264" s="5"/>
    </row>
    <row r="265">
      <c r="A265" s="2"/>
      <c r="B265" s="3"/>
      <c r="C265" s="3"/>
      <c r="D265" s="3"/>
      <c r="E265" s="4"/>
      <c r="F265" s="3"/>
      <c r="G265" s="5"/>
      <c r="H265" s="3"/>
      <c r="I265" s="5"/>
      <c r="J265" s="3"/>
      <c r="K265" s="5"/>
      <c r="L265" s="3"/>
      <c r="M265" s="5"/>
      <c r="N265" s="5"/>
    </row>
    <row r="266">
      <c r="A266" s="2"/>
      <c r="B266" s="3"/>
      <c r="C266" s="3"/>
      <c r="D266" s="3"/>
      <c r="E266" s="4"/>
      <c r="F266" s="3"/>
      <c r="G266" s="5"/>
      <c r="H266" s="3"/>
      <c r="I266" s="5"/>
      <c r="J266" s="3"/>
      <c r="K266" s="5"/>
      <c r="L266" s="3"/>
      <c r="M266" s="5"/>
      <c r="N266" s="5"/>
    </row>
    <row r="267">
      <c r="A267" s="2"/>
      <c r="B267" s="3"/>
      <c r="C267" s="3"/>
      <c r="D267" s="3"/>
      <c r="E267" s="4"/>
      <c r="F267" s="3"/>
      <c r="G267" s="5"/>
      <c r="H267" s="3"/>
      <c r="I267" s="5"/>
      <c r="J267" s="3"/>
      <c r="K267" s="5"/>
      <c r="L267" s="3"/>
      <c r="M267" s="5"/>
      <c r="N267" s="5"/>
    </row>
    <row r="268">
      <c r="A268" s="2"/>
      <c r="B268" s="3"/>
      <c r="C268" s="3"/>
      <c r="D268" s="3"/>
      <c r="E268" s="4"/>
      <c r="F268" s="3"/>
      <c r="G268" s="5"/>
      <c r="H268" s="3"/>
      <c r="I268" s="5"/>
      <c r="J268" s="3"/>
      <c r="K268" s="5"/>
      <c r="L268" s="3"/>
      <c r="M268" s="5"/>
      <c r="N268" s="5"/>
    </row>
    <row r="269">
      <c r="A269" s="2"/>
      <c r="B269" s="3"/>
      <c r="C269" s="3"/>
      <c r="D269" s="3"/>
      <c r="E269" s="4"/>
      <c r="F269" s="3"/>
      <c r="G269" s="5"/>
      <c r="H269" s="3"/>
      <c r="I269" s="5"/>
      <c r="J269" s="3"/>
      <c r="K269" s="5"/>
      <c r="L269" s="3"/>
      <c r="M269" s="5"/>
      <c r="N269" s="5"/>
    </row>
    <row r="270">
      <c r="A270" s="2"/>
      <c r="B270" s="3"/>
      <c r="C270" s="3"/>
      <c r="D270" s="3"/>
      <c r="E270" s="4"/>
      <c r="F270" s="3"/>
      <c r="G270" s="5"/>
      <c r="H270" s="3"/>
      <c r="I270" s="5"/>
      <c r="J270" s="3"/>
      <c r="K270" s="5"/>
      <c r="L270" s="3"/>
      <c r="M270" s="5"/>
      <c r="N270" s="5"/>
    </row>
    <row r="271">
      <c r="A271" s="2"/>
      <c r="B271" s="3"/>
      <c r="C271" s="3"/>
      <c r="D271" s="3"/>
      <c r="E271" s="4"/>
      <c r="F271" s="3"/>
      <c r="G271" s="5"/>
      <c r="H271" s="3"/>
      <c r="I271" s="5"/>
      <c r="J271" s="3"/>
      <c r="K271" s="5"/>
      <c r="L271" s="3"/>
      <c r="M271" s="5"/>
      <c r="N271" s="5"/>
    </row>
    <row r="272">
      <c r="A272" s="2"/>
      <c r="B272" s="3"/>
      <c r="C272" s="3"/>
      <c r="D272" s="3"/>
      <c r="E272" s="4"/>
      <c r="F272" s="3"/>
      <c r="G272" s="5"/>
      <c r="H272" s="3"/>
      <c r="I272" s="5"/>
      <c r="J272" s="3"/>
      <c r="K272" s="5"/>
      <c r="L272" s="3"/>
      <c r="M272" s="5"/>
      <c r="N272" s="5"/>
    </row>
    <row r="273">
      <c r="A273" s="2"/>
      <c r="B273" s="3"/>
      <c r="C273" s="3"/>
      <c r="D273" s="3"/>
      <c r="E273" s="4"/>
      <c r="F273" s="3"/>
      <c r="G273" s="5"/>
      <c r="H273" s="3"/>
      <c r="I273" s="5"/>
      <c r="J273" s="3"/>
      <c r="K273" s="5"/>
      <c r="L273" s="3"/>
      <c r="M273" s="5"/>
      <c r="N273" s="5"/>
    </row>
    <row r="274">
      <c r="A274" s="2"/>
      <c r="B274" s="3"/>
      <c r="C274" s="3"/>
      <c r="D274" s="3"/>
      <c r="E274" s="4"/>
      <c r="F274" s="3"/>
      <c r="G274" s="5"/>
      <c r="H274" s="3"/>
      <c r="I274" s="5"/>
      <c r="J274" s="3"/>
      <c r="K274" s="5"/>
      <c r="L274" s="3"/>
      <c r="M274" s="5"/>
      <c r="N274" s="5"/>
    </row>
    <row r="275">
      <c r="A275" s="2"/>
      <c r="B275" s="3"/>
      <c r="C275" s="3"/>
      <c r="D275" s="3"/>
      <c r="E275" s="4"/>
      <c r="F275" s="3"/>
      <c r="G275" s="5"/>
      <c r="H275" s="3"/>
      <c r="I275" s="5"/>
      <c r="J275" s="3"/>
      <c r="K275" s="5"/>
      <c r="L275" s="3"/>
      <c r="M275" s="5"/>
      <c r="N275" s="5"/>
    </row>
    <row r="276">
      <c r="A276" s="2"/>
      <c r="B276" s="3"/>
      <c r="C276" s="3"/>
      <c r="D276" s="3"/>
      <c r="E276" s="4"/>
      <c r="F276" s="3"/>
      <c r="G276" s="5"/>
      <c r="H276" s="3"/>
      <c r="I276" s="5"/>
      <c r="J276" s="3"/>
      <c r="K276" s="5"/>
      <c r="L276" s="3"/>
      <c r="M276" s="5"/>
      <c r="N276" s="5"/>
    </row>
    <row r="277">
      <c r="A277" s="2"/>
      <c r="B277" s="3"/>
      <c r="C277" s="3"/>
      <c r="D277" s="3"/>
      <c r="E277" s="4"/>
      <c r="F277" s="3"/>
      <c r="G277" s="5"/>
      <c r="H277" s="3"/>
      <c r="I277" s="5"/>
      <c r="J277" s="3"/>
      <c r="K277" s="5"/>
      <c r="L277" s="3"/>
      <c r="M277" s="5"/>
      <c r="N277" s="5"/>
    </row>
    <row r="278">
      <c r="A278" s="2"/>
      <c r="B278" s="3"/>
      <c r="C278" s="3"/>
      <c r="D278" s="3"/>
      <c r="E278" s="4"/>
      <c r="F278" s="3"/>
      <c r="G278" s="5"/>
      <c r="H278" s="3"/>
      <c r="I278" s="5"/>
      <c r="J278" s="3"/>
      <c r="K278" s="5"/>
      <c r="L278" s="3"/>
      <c r="M278" s="5"/>
      <c r="N278" s="5"/>
    </row>
    <row r="279">
      <c r="A279" s="2"/>
      <c r="B279" s="3"/>
      <c r="C279" s="3"/>
      <c r="D279" s="3"/>
      <c r="E279" s="4"/>
      <c r="F279" s="3"/>
      <c r="G279" s="5"/>
      <c r="H279" s="3"/>
      <c r="I279" s="5"/>
      <c r="J279" s="3"/>
      <c r="K279" s="5"/>
      <c r="L279" s="3"/>
      <c r="M279" s="5"/>
      <c r="N279" s="5"/>
    </row>
    <row r="280">
      <c r="A280" s="2"/>
      <c r="B280" s="3"/>
      <c r="C280" s="3"/>
      <c r="D280" s="3"/>
      <c r="E280" s="4"/>
      <c r="F280" s="3"/>
      <c r="G280" s="5"/>
      <c r="H280" s="3"/>
      <c r="I280" s="5"/>
      <c r="J280" s="3"/>
      <c r="K280" s="5"/>
      <c r="L280" s="3"/>
      <c r="M280" s="5"/>
      <c r="N280" s="5"/>
    </row>
    <row r="281">
      <c r="A281" s="2"/>
      <c r="B281" s="3"/>
      <c r="C281" s="3"/>
      <c r="D281" s="3"/>
      <c r="E281" s="4"/>
      <c r="F281" s="3"/>
      <c r="G281" s="5"/>
      <c r="H281" s="3"/>
      <c r="I281" s="5"/>
      <c r="J281" s="3"/>
      <c r="K281" s="5"/>
      <c r="L281" s="3"/>
      <c r="M281" s="5"/>
      <c r="N281" s="5"/>
    </row>
    <row r="282">
      <c r="A282" s="2"/>
      <c r="B282" s="3"/>
      <c r="C282" s="3"/>
      <c r="D282" s="3"/>
      <c r="E282" s="4"/>
      <c r="F282" s="3"/>
      <c r="G282" s="5"/>
      <c r="H282" s="3"/>
      <c r="I282" s="5"/>
      <c r="J282" s="3"/>
      <c r="K282" s="5"/>
      <c r="L282" s="3"/>
      <c r="M282" s="5"/>
      <c r="N282" s="5"/>
    </row>
    <row r="283">
      <c r="A283" s="2"/>
      <c r="B283" s="3"/>
      <c r="C283" s="3"/>
      <c r="D283" s="3"/>
      <c r="E283" s="4"/>
      <c r="F283" s="3"/>
      <c r="G283" s="5"/>
      <c r="H283" s="3"/>
      <c r="I283" s="5"/>
      <c r="J283" s="3"/>
      <c r="K283" s="5"/>
      <c r="L283" s="3"/>
      <c r="M283" s="5"/>
      <c r="N283" s="5"/>
    </row>
    <row r="284">
      <c r="A284" s="2"/>
      <c r="B284" s="3"/>
      <c r="C284" s="3"/>
      <c r="D284" s="3"/>
      <c r="E284" s="4"/>
      <c r="F284" s="3"/>
      <c r="G284" s="5"/>
      <c r="H284" s="3"/>
      <c r="I284" s="5"/>
      <c r="J284" s="3"/>
      <c r="K284" s="5"/>
      <c r="L284" s="3"/>
      <c r="M284" s="5"/>
      <c r="N284" s="5"/>
    </row>
    <row r="285">
      <c r="A285" s="2"/>
      <c r="B285" s="3"/>
      <c r="C285" s="3"/>
      <c r="D285" s="3"/>
      <c r="E285" s="4"/>
      <c r="F285" s="3"/>
      <c r="G285" s="5"/>
      <c r="H285" s="3"/>
      <c r="I285" s="5"/>
      <c r="J285" s="3"/>
      <c r="K285" s="5"/>
      <c r="L285" s="3"/>
      <c r="M285" s="5"/>
      <c r="N285" s="5"/>
    </row>
    <row r="286">
      <c r="A286" s="2"/>
      <c r="B286" s="3"/>
      <c r="C286" s="3"/>
      <c r="D286" s="3"/>
      <c r="E286" s="4"/>
      <c r="F286" s="3"/>
      <c r="G286" s="5"/>
      <c r="H286" s="3"/>
      <c r="I286" s="5"/>
      <c r="J286" s="3"/>
      <c r="K286" s="5"/>
      <c r="L286" s="3"/>
      <c r="M286" s="5"/>
      <c r="N286" s="5"/>
    </row>
    <row r="287">
      <c r="A287" s="2"/>
      <c r="B287" s="3"/>
      <c r="C287" s="3"/>
      <c r="D287" s="3"/>
      <c r="E287" s="4"/>
      <c r="F287" s="3"/>
      <c r="G287" s="5"/>
      <c r="H287" s="3"/>
      <c r="I287" s="5"/>
      <c r="J287" s="3"/>
      <c r="K287" s="5"/>
      <c r="L287" s="3"/>
      <c r="M287" s="5"/>
      <c r="N287" s="5"/>
    </row>
    <row r="288">
      <c r="A288" s="2"/>
      <c r="B288" s="3"/>
      <c r="C288" s="3"/>
      <c r="D288" s="3"/>
      <c r="E288" s="4"/>
      <c r="F288" s="3"/>
      <c r="G288" s="5"/>
      <c r="H288" s="3"/>
      <c r="I288" s="5"/>
      <c r="J288" s="3"/>
      <c r="K288" s="5"/>
      <c r="L288" s="3"/>
      <c r="M288" s="5"/>
      <c r="N288" s="5"/>
    </row>
    <row r="289">
      <c r="A289" s="2"/>
      <c r="B289" s="3"/>
      <c r="C289" s="3"/>
      <c r="D289" s="3"/>
      <c r="E289" s="4"/>
      <c r="F289" s="3"/>
      <c r="G289" s="5"/>
      <c r="H289" s="3"/>
      <c r="I289" s="5"/>
      <c r="J289" s="3"/>
      <c r="K289" s="5"/>
      <c r="L289" s="3"/>
      <c r="M289" s="5"/>
      <c r="N289" s="5"/>
    </row>
    <row r="290">
      <c r="A290" s="2"/>
      <c r="B290" s="3"/>
      <c r="C290" s="3"/>
      <c r="D290" s="3"/>
      <c r="E290" s="4"/>
      <c r="F290" s="3"/>
      <c r="G290" s="5"/>
      <c r="H290" s="3"/>
      <c r="I290" s="5"/>
      <c r="J290" s="3"/>
      <c r="K290" s="5"/>
      <c r="L290" s="3"/>
      <c r="M290" s="5"/>
      <c r="N290" s="5"/>
    </row>
    <row r="291">
      <c r="A291" s="2"/>
      <c r="B291" s="3"/>
      <c r="C291" s="3"/>
      <c r="D291" s="3"/>
      <c r="E291" s="4"/>
      <c r="F291" s="3"/>
      <c r="G291" s="5"/>
      <c r="H291" s="3"/>
      <c r="I291" s="5"/>
      <c r="J291" s="3"/>
      <c r="K291" s="5"/>
      <c r="L291" s="3"/>
      <c r="M291" s="5"/>
      <c r="N291" s="5"/>
    </row>
    <row r="292">
      <c r="A292" s="2"/>
      <c r="B292" s="3"/>
      <c r="C292" s="3"/>
      <c r="D292" s="3"/>
      <c r="E292" s="4"/>
      <c r="F292" s="3"/>
      <c r="G292" s="5"/>
      <c r="H292" s="3"/>
      <c r="I292" s="5"/>
      <c r="J292" s="3"/>
      <c r="K292" s="5"/>
      <c r="L292" s="3"/>
      <c r="M292" s="5"/>
      <c r="N292" s="5"/>
    </row>
    <row r="293">
      <c r="A293" s="2"/>
      <c r="B293" s="3"/>
      <c r="C293" s="3"/>
      <c r="D293" s="3"/>
      <c r="E293" s="4"/>
      <c r="F293" s="3"/>
      <c r="G293" s="5"/>
      <c r="H293" s="3"/>
      <c r="I293" s="5"/>
      <c r="J293" s="3"/>
      <c r="K293" s="5"/>
      <c r="L293" s="3"/>
      <c r="M293" s="5"/>
      <c r="N293" s="5"/>
    </row>
    <row r="294">
      <c r="A294" s="2"/>
      <c r="B294" s="3"/>
      <c r="C294" s="3"/>
      <c r="D294" s="3"/>
      <c r="E294" s="4"/>
      <c r="F294" s="3"/>
      <c r="G294" s="5"/>
      <c r="H294" s="3"/>
      <c r="I294" s="5"/>
      <c r="J294" s="3"/>
      <c r="K294" s="5"/>
      <c r="L294" s="3"/>
      <c r="M294" s="5"/>
      <c r="N294" s="5"/>
    </row>
    <row r="295">
      <c r="A295" s="2"/>
      <c r="B295" s="3"/>
      <c r="C295" s="3"/>
      <c r="D295" s="3"/>
      <c r="E295" s="4"/>
      <c r="F295" s="3"/>
      <c r="G295" s="5"/>
      <c r="H295" s="3"/>
      <c r="I295" s="5"/>
      <c r="J295" s="3"/>
      <c r="K295" s="5"/>
      <c r="L295" s="3"/>
      <c r="M295" s="5"/>
      <c r="N295" s="5"/>
    </row>
    <row r="296">
      <c r="A296" s="2"/>
      <c r="B296" s="3"/>
      <c r="C296" s="3"/>
      <c r="D296" s="3"/>
      <c r="E296" s="4"/>
      <c r="F296" s="3"/>
      <c r="G296" s="5"/>
      <c r="H296" s="3"/>
      <c r="I296" s="5"/>
      <c r="J296" s="3"/>
      <c r="K296" s="5"/>
      <c r="L296" s="3"/>
      <c r="M296" s="5"/>
      <c r="N296" s="5"/>
    </row>
    <row r="297">
      <c r="A297" s="2"/>
      <c r="B297" s="3"/>
      <c r="C297" s="3"/>
      <c r="D297" s="3"/>
      <c r="E297" s="4"/>
      <c r="F297" s="3"/>
      <c r="G297" s="5"/>
      <c r="H297" s="3"/>
      <c r="I297" s="5"/>
      <c r="J297" s="3"/>
      <c r="K297" s="5"/>
      <c r="L297" s="3"/>
      <c r="M297" s="5"/>
      <c r="N297" s="5"/>
    </row>
    <row r="298">
      <c r="A298" s="2"/>
      <c r="B298" s="3"/>
      <c r="C298" s="3"/>
      <c r="D298" s="3"/>
      <c r="E298" s="4"/>
      <c r="F298" s="3"/>
      <c r="G298" s="5"/>
      <c r="H298" s="3"/>
      <c r="I298" s="5"/>
      <c r="J298" s="3"/>
      <c r="K298" s="5"/>
      <c r="L298" s="3"/>
      <c r="M298" s="5"/>
      <c r="N298" s="5"/>
    </row>
    <row r="299">
      <c r="A299" s="2"/>
      <c r="B299" s="3"/>
      <c r="C299" s="3"/>
      <c r="D299" s="3"/>
      <c r="E299" s="4"/>
      <c r="F299" s="3"/>
      <c r="G299" s="5"/>
      <c r="H299" s="3"/>
      <c r="I299" s="5"/>
      <c r="J299" s="3"/>
      <c r="K299" s="5"/>
      <c r="L299" s="3"/>
      <c r="M299" s="5"/>
      <c r="N299" s="5"/>
    </row>
    <row r="300">
      <c r="A300" s="2"/>
      <c r="B300" s="3"/>
      <c r="C300" s="3"/>
      <c r="D300" s="3"/>
      <c r="E300" s="4"/>
      <c r="F300" s="3"/>
      <c r="G300" s="5"/>
      <c r="H300" s="3"/>
      <c r="I300" s="5"/>
      <c r="J300" s="3"/>
      <c r="K300" s="5"/>
      <c r="L300" s="3"/>
      <c r="M300" s="5"/>
      <c r="N300" s="5"/>
    </row>
    <row r="301">
      <c r="A301" s="2"/>
      <c r="B301" s="3"/>
      <c r="C301" s="3"/>
      <c r="D301" s="3"/>
      <c r="E301" s="4"/>
      <c r="F301" s="3"/>
      <c r="G301" s="5"/>
      <c r="H301" s="3"/>
      <c r="I301" s="5"/>
      <c r="J301" s="3"/>
      <c r="K301" s="5"/>
      <c r="L301" s="3"/>
      <c r="M301" s="5"/>
      <c r="N301" s="5"/>
    </row>
    <row r="302">
      <c r="A302" s="2"/>
      <c r="B302" s="3"/>
      <c r="C302" s="3"/>
      <c r="D302" s="3"/>
      <c r="E302" s="4"/>
      <c r="F302" s="3"/>
      <c r="G302" s="5"/>
      <c r="H302" s="3"/>
      <c r="I302" s="5"/>
      <c r="J302" s="3"/>
      <c r="K302" s="5"/>
      <c r="L302" s="3"/>
      <c r="M302" s="5"/>
      <c r="N302" s="5"/>
    </row>
    <row r="303">
      <c r="A303" s="2"/>
      <c r="B303" s="3"/>
      <c r="C303" s="3"/>
      <c r="D303" s="3"/>
      <c r="E303" s="4"/>
      <c r="F303" s="3"/>
      <c r="G303" s="5"/>
      <c r="H303" s="3"/>
      <c r="I303" s="5"/>
      <c r="J303" s="3"/>
      <c r="K303" s="5"/>
      <c r="L303" s="3"/>
      <c r="M303" s="5"/>
      <c r="N303" s="5"/>
    </row>
    <row r="304">
      <c r="A304" s="2"/>
      <c r="B304" s="3"/>
      <c r="C304" s="3"/>
      <c r="D304" s="3"/>
      <c r="E304" s="4"/>
      <c r="F304" s="3"/>
      <c r="G304" s="5"/>
      <c r="H304" s="3"/>
      <c r="I304" s="5"/>
      <c r="J304" s="3"/>
      <c r="K304" s="5"/>
      <c r="L304" s="3"/>
      <c r="M304" s="5"/>
      <c r="N304" s="5"/>
    </row>
    <row r="305">
      <c r="A305" s="2"/>
      <c r="B305" s="3"/>
      <c r="C305" s="3"/>
      <c r="D305" s="3"/>
      <c r="E305" s="4"/>
      <c r="F305" s="3"/>
      <c r="G305" s="5"/>
      <c r="H305" s="3"/>
      <c r="I305" s="5"/>
      <c r="J305" s="3"/>
      <c r="K305" s="5"/>
      <c r="L305" s="3"/>
      <c r="M305" s="5"/>
      <c r="N305" s="5"/>
    </row>
    <row r="306">
      <c r="A306" s="2"/>
      <c r="B306" s="3"/>
      <c r="C306" s="3"/>
      <c r="D306" s="3"/>
      <c r="E306" s="4"/>
      <c r="F306" s="3"/>
      <c r="G306" s="5"/>
      <c r="H306" s="3"/>
      <c r="I306" s="5"/>
      <c r="J306" s="3"/>
      <c r="K306" s="5"/>
      <c r="L306" s="3"/>
      <c r="M306" s="5"/>
      <c r="N306" s="5"/>
    </row>
    <row r="307">
      <c r="A307" s="2"/>
      <c r="B307" s="3"/>
      <c r="C307" s="3"/>
      <c r="D307" s="3"/>
      <c r="E307" s="4"/>
      <c r="F307" s="3"/>
      <c r="G307" s="5"/>
      <c r="H307" s="3"/>
      <c r="I307" s="5"/>
      <c r="J307" s="3"/>
      <c r="K307" s="5"/>
      <c r="L307" s="3"/>
      <c r="M307" s="5"/>
      <c r="N307" s="5"/>
    </row>
    <row r="308">
      <c r="A308" s="2"/>
      <c r="B308" s="3"/>
      <c r="C308" s="3"/>
      <c r="D308" s="3"/>
      <c r="E308" s="4"/>
      <c r="F308" s="3"/>
      <c r="G308" s="5"/>
      <c r="H308" s="3"/>
      <c r="I308" s="5"/>
      <c r="J308" s="3"/>
      <c r="K308" s="5"/>
      <c r="L308" s="3"/>
      <c r="M308" s="5"/>
      <c r="N308" s="5"/>
    </row>
    <row r="309">
      <c r="A309" s="2"/>
      <c r="B309" s="3"/>
      <c r="C309" s="3"/>
      <c r="D309" s="3"/>
      <c r="E309" s="4"/>
      <c r="F309" s="3"/>
      <c r="G309" s="5"/>
      <c r="H309" s="3"/>
      <c r="I309" s="5"/>
      <c r="J309" s="3"/>
      <c r="K309" s="5"/>
      <c r="L309" s="3"/>
      <c r="M309" s="5"/>
      <c r="N309" s="5"/>
    </row>
    <row r="310">
      <c r="A310" s="2"/>
      <c r="B310" s="3"/>
      <c r="C310" s="3"/>
      <c r="D310" s="3"/>
      <c r="E310" s="4"/>
      <c r="F310" s="3"/>
      <c r="G310" s="5"/>
      <c r="H310" s="3"/>
      <c r="I310" s="5"/>
      <c r="J310" s="3"/>
      <c r="K310" s="5"/>
      <c r="L310" s="3"/>
      <c r="M310" s="5"/>
      <c r="N310" s="5"/>
    </row>
    <row r="311">
      <c r="A311" s="2"/>
      <c r="B311" s="3"/>
      <c r="C311" s="3"/>
      <c r="D311" s="3"/>
      <c r="E311" s="4"/>
      <c r="F311" s="3"/>
      <c r="G311" s="5"/>
      <c r="H311" s="3"/>
      <c r="I311" s="5"/>
      <c r="J311" s="3"/>
      <c r="K311" s="5"/>
      <c r="L311" s="3"/>
      <c r="M311" s="5"/>
      <c r="N311" s="5"/>
    </row>
    <row r="312">
      <c r="A312" s="2"/>
      <c r="B312" s="3"/>
      <c r="C312" s="3"/>
      <c r="D312" s="3"/>
      <c r="E312" s="4"/>
      <c r="F312" s="3"/>
      <c r="G312" s="5"/>
      <c r="H312" s="3"/>
      <c r="I312" s="5"/>
      <c r="J312" s="3"/>
      <c r="K312" s="5"/>
      <c r="L312" s="3"/>
      <c r="M312" s="5"/>
      <c r="N312" s="5"/>
    </row>
    <row r="313">
      <c r="A313" s="2"/>
      <c r="B313" s="3"/>
      <c r="C313" s="3"/>
      <c r="D313" s="3"/>
      <c r="E313" s="4"/>
      <c r="F313" s="3"/>
      <c r="G313" s="5"/>
      <c r="H313" s="3"/>
      <c r="I313" s="5"/>
      <c r="J313" s="3"/>
      <c r="K313" s="5"/>
      <c r="L313" s="3"/>
      <c r="M313" s="5"/>
      <c r="N313" s="5"/>
    </row>
    <row r="314">
      <c r="A314" s="2"/>
      <c r="B314" s="3"/>
      <c r="C314" s="3"/>
      <c r="D314" s="3"/>
      <c r="E314" s="4"/>
      <c r="F314" s="3"/>
      <c r="G314" s="5"/>
      <c r="H314" s="3"/>
      <c r="I314" s="5"/>
      <c r="J314" s="3"/>
      <c r="K314" s="5"/>
      <c r="L314" s="3"/>
      <c r="M314" s="5"/>
      <c r="N314" s="5"/>
    </row>
    <row r="315">
      <c r="A315" s="2"/>
      <c r="B315" s="3"/>
      <c r="C315" s="3"/>
      <c r="D315" s="3"/>
      <c r="E315" s="4"/>
      <c r="F315" s="3"/>
      <c r="G315" s="5"/>
      <c r="H315" s="3"/>
      <c r="I315" s="5"/>
      <c r="J315" s="3"/>
      <c r="K315" s="5"/>
      <c r="L315" s="3"/>
      <c r="M315" s="5"/>
      <c r="N315" s="5"/>
    </row>
    <row r="316">
      <c r="A316" s="2"/>
      <c r="B316" s="3"/>
      <c r="C316" s="3"/>
      <c r="D316" s="3"/>
      <c r="E316" s="4"/>
      <c r="F316" s="3"/>
      <c r="G316" s="5"/>
      <c r="H316" s="3"/>
      <c r="I316" s="5"/>
      <c r="J316" s="3"/>
      <c r="K316" s="5"/>
      <c r="L316" s="3"/>
      <c r="M316" s="5"/>
      <c r="N316" s="5"/>
    </row>
    <row r="317">
      <c r="A317" s="2"/>
      <c r="B317" s="3"/>
      <c r="C317" s="3"/>
      <c r="D317" s="3"/>
      <c r="E317" s="4"/>
      <c r="F317" s="3"/>
      <c r="G317" s="5"/>
      <c r="H317" s="3"/>
      <c r="I317" s="5"/>
      <c r="J317" s="3"/>
      <c r="K317" s="5"/>
      <c r="L317" s="3"/>
      <c r="M317" s="5"/>
      <c r="N317" s="5"/>
    </row>
    <row r="318">
      <c r="A318" s="2"/>
      <c r="B318" s="3"/>
      <c r="C318" s="3"/>
      <c r="D318" s="3"/>
      <c r="E318" s="4"/>
      <c r="F318" s="3"/>
      <c r="G318" s="5"/>
      <c r="H318" s="3"/>
      <c r="I318" s="5"/>
      <c r="J318" s="3"/>
      <c r="K318" s="5"/>
      <c r="L318" s="3"/>
      <c r="M318" s="5"/>
      <c r="N318" s="5"/>
    </row>
    <row r="319">
      <c r="A319" s="2"/>
      <c r="B319" s="3"/>
      <c r="C319" s="3"/>
      <c r="D319" s="3"/>
      <c r="E319" s="4"/>
      <c r="F319" s="3"/>
      <c r="G319" s="5"/>
      <c r="H319" s="3"/>
      <c r="I319" s="5"/>
      <c r="J319" s="3"/>
      <c r="K319" s="5"/>
      <c r="L319" s="3"/>
      <c r="M319" s="5"/>
      <c r="N319" s="5"/>
    </row>
    <row r="320">
      <c r="A320" s="2"/>
      <c r="B320" s="3"/>
      <c r="C320" s="3"/>
      <c r="D320" s="3"/>
      <c r="E320" s="4"/>
      <c r="F320" s="3"/>
      <c r="G320" s="5"/>
      <c r="H320" s="3"/>
      <c r="I320" s="5"/>
      <c r="J320" s="3"/>
      <c r="K320" s="5"/>
      <c r="L320" s="3"/>
      <c r="M320" s="5"/>
      <c r="N320" s="5"/>
    </row>
    <row r="321">
      <c r="A321" s="2"/>
      <c r="B321" s="3"/>
      <c r="C321" s="3"/>
      <c r="D321" s="3"/>
      <c r="E321" s="4"/>
      <c r="F321" s="3"/>
      <c r="G321" s="5"/>
      <c r="H321" s="3"/>
      <c r="I321" s="5"/>
      <c r="J321" s="3"/>
      <c r="K321" s="5"/>
      <c r="L321" s="3"/>
      <c r="M321" s="5"/>
      <c r="N321" s="5"/>
    </row>
    <row r="322">
      <c r="A322" s="2"/>
      <c r="B322" s="3"/>
      <c r="C322" s="3"/>
      <c r="D322" s="3"/>
      <c r="E322" s="4"/>
      <c r="F322" s="3"/>
      <c r="G322" s="5"/>
      <c r="H322" s="3"/>
      <c r="I322" s="5"/>
      <c r="J322" s="3"/>
      <c r="K322" s="5"/>
      <c r="L322" s="3"/>
      <c r="M322" s="5"/>
      <c r="N322" s="5"/>
    </row>
    <row r="323">
      <c r="A323" s="2"/>
      <c r="B323" s="3"/>
      <c r="C323" s="3"/>
      <c r="D323" s="3"/>
      <c r="E323" s="4"/>
      <c r="F323" s="3"/>
      <c r="G323" s="5"/>
      <c r="H323" s="3"/>
      <c r="I323" s="5"/>
      <c r="J323" s="3"/>
      <c r="K323" s="5"/>
      <c r="L323" s="3"/>
      <c r="M323" s="5"/>
      <c r="N323" s="5"/>
    </row>
    <row r="324">
      <c r="A324" s="2"/>
      <c r="B324" s="3"/>
      <c r="C324" s="3"/>
      <c r="D324" s="3"/>
      <c r="E324" s="4"/>
      <c r="F324" s="3"/>
      <c r="G324" s="5"/>
      <c r="H324" s="3"/>
      <c r="I324" s="5"/>
      <c r="J324" s="3"/>
      <c r="K324" s="5"/>
      <c r="L324" s="3"/>
      <c r="M324" s="5"/>
      <c r="N324" s="5"/>
    </row>
    <row r="325">
      <c r="A325" s="2"/>
      <c r="B325" s="3"/>
      <c r="C325" s="3"/>
      <c r="D325" s="3"/>
      <c r="E325" s="4"/>
      <c r="F325" s="3"/>
      <c r="G325" s="5"/>
      <c r="H325" s="3"/>
      <c r="I325" s="5"/>
      <c r="J325" s="3"/>
      <c r="K325" s="5"/>
      <c r="L325" s="3"/>
      <c r="M325" s="5"/>
      <c r="N325" s="5"/>
    </row>
    <row r="326">
      <c r="A326" s="2"/>
      <c r="B326" s="3"/>
      <c r="C326" s="3"/>
      <c r="D326" s="3"/>
      <c r="E326" s="4"/>
      <c r="F326" s="3"/>
      <c r="G326" s="5"/>
      <c r="H326" s="3"/>
      <c r="I326" s="5"/>
      <c r="J326" s="3"/>
      <c r="K326" s="5"/>
      <c r="L326" s="3"/>
      <c r="M326" s="5"/>
      <c r="N326" s="5"/>
    </row>
    <row r="327">
      <c r="A327" s="2"/>
      <c r="B327" s="3"/>
      <c r="C327" s="3"/>
      <c r="D327" s="3"/>
      <c r="E327" s="4"/>
      <c r="F327" s="3"/>
      <c r="G327" s="5"/>
      <c r="H327" s="3"/>
      <c r="I327" s="5"/>
      <c r="J327" s="3"/>
      <c r="K327" s="5"/>
      <c r="L327" s="3"/>
      <c r="M327" s="5"/>
      <c r="N327" s="5"/>
    </row>
    <row r="328">
      <c r="A328" s="2"/>
      <c r="B328" s="3"/>
      <c r="C328" s="3"/>
      <c r="D328" s="3"/>
      <c r="E328" s="4"/>
      <c r="F328" s="3"/>
      <c r="G328" s="5"/>
      <c r="H328" s="3"/>
      <c r="I328" s="5"/>
      <c r="J328" s="3"/>
      <c r="K328" s="5"/>
      <c r="L328" s="3"/>
      <c r="M328" s="5"/>
      <c r="N328" s="5"/>
    </row>
    <row r="329">
      <c r="A329" s="2"/>
      <c r="B329" s="3"/>
      <c r="C329" s="3"/>
      <c r="D329" s="3"/>
      <c r="E329" s="4"/>
      <c r="F329" s="3"/>
      <c r="G329" s="5"/>
      <c r="H329" s="3"/>
      <c r="I329" s="5"/>
      <c r="J329" s="3"/>
      <c r="K329" s="5"/>
      <c r="L329" s="3"/>
      <c r="M329" s="5"/>
      <c r="N329" s="5"/>
    </row>
    <row r="330">
      <c r="A330" s="2"/>
      <c r="B330" s="3"/>
      <c r="C330" s="3"/>
      <c r="D330" s="3"/>
      <c r="E330" s="4"/>
      <c r="F330" s="3"/>
      <c r="G330" s="5"/>
      <c r="H330" s="3"/>
      <c r="I330" s="5"/>
      <c r="J330" s="3"/>
      <c r="K330" s="5"/>
      <c r="L330" s="3"/>
      <c r="M330" s="5"/>
      <c r="N330" s="5"/>
    </row>
    <row r="331">
      <c r="A331" s="2"/>
      <c r="B331" s="3"/>
      <c r="C331" s="3"/>
      <c r="D331" s="3"/>
      <c r="E331" s="4"/>
      <c r="F331" s="3"/>
      <c r="G331" s="5"/>
      <c r="H331" s="3"/>
      <c r="I331" s="5"/>
      <c r="J331" s="3"/>
      <c r="K331" s="5"/>
      <c r="L331" s="3"/>
      <c r="M331" s="5"/>
      <c r="N331" s="5"/>
    </row>
    <row r="332">
      <c r="A332" s="2"/>
      <c r="B332" s="3"/>
      <c r="C332" s="3"/>
      <c r="D332" s="3"/>
      <c r="E332" s="4"/>
      <c r="F332" s="3"/>
      <c r="G332" s="5"/>
      <c r="H332" s="3"/>
      <c r="I332" s="5"/>
      <c r="J332" s="3"/>
      <c r="K332" s="5"/>
      <c r="L332" s="3"/>
      <c r="M332" s="5"/>
      <c r="N332" s="5"/>
    </row>
    <row r="333">
      <c r="A333" s="2"/>
      <c r="B333" s="3"/>
      <c r="C333" s="3"/>
      <c r="D333" s="3"/>
      <c r="E333" s="4"/>
      <c r="F333" s="3"/>
      <c r="G333" s="5"/>
      <c r="H333" s="3"/>
      <c r="I333" s="5"/>
      <c r="J333" s="3"/>
      <c r="K333" s="5"/>
      <c r="L333" s="3"/>
      <c r="M333" s="5"/>
      <c r="N333" s="5"/>
    </row>
    <row r="334">
      <c r="A334" s="2"/>
      <c r="B334" s="3"/>
      <c r="C334" s="3"/>
      <c r="D334" s="3"/>
      <c r="E334" s="4"/>
      <c r="F334" s="3"/>
      <c r="G334" s="5"/>
      <c r="H334" s="3"/>
      <c r="I334" s="5"/>
      <c r="J334" s="3"/>
      <c r="K334" s="5"/>
      <c r="L334" s="3"/>
      <c r="M334" s="5"/>
      <c r="N334" s="5"/>
    </row>
    <row r="335">
      <c r="A335" s="2"/>
      <c r="B335" s="3"/>
      <c r="C335" s="3"/>
      <c r="D335" s="3"/>
      <c r="E335" s="4"/>
      <c r="F335" s="3"/>
      <c r="G335" s="5"/>
      <c r="H335" s="3"/>
      <c r="I335" s="5"/>
      <c r="J335" s="3"/>
      <c r="K335" s="5"/>
      <c r="L335" s="3"/>
      <c r="M335" s="5"/>
      <c r="N335" s="5"/>
    </row>
    <row r="336">
      <c r="A336" s="2"/>
      <c r="B336" s="3"/>
      <c r="C336" s="3"/>
      <c r="D336" s="3"/>
      <c r="E336" s="4"/>
      <c r="F336" s="3"/>
      <c r="G336" s="5"/>
      <c r="H336" s="3"/>
      <c r="I336" s="5"/>
      <c r="J336" s="3"/>
      <c r="K336" s="5"/>
      <c r="L336" s="3"/>
      <c r="M336" s="5"/>
      <c r="N336" s="5"/>
    </row>
    <row r="337">
      <c r="A337" s="2"/>
      <c r="B337" s="3"/>
      <c r="C337" s="3"/>
      <c r="D337" s="3"/>
      <c r="E337" s="4"/>
      <c r="F337" s="3"/>
      <c r="G337" s="5"/>
      <c r="H337" s="3"/>
      <c r="I337" s="5"/>
      <c r="J337" s="3"/>
      <c r="K337" s="5"/>
      <c r="L337" s="3"/>
      <c r="M337" s="5"/>
      <c r="N337" s="5"/>
    </row>
    <row r="338">
      <c r="A338" s="2"/>
      <c r="B338" s="3"/>
      <c r="C338" s="3"/>
      <c r="D338" s="3"/>
      <c r="E338" s="4"/>
      <c r="F338" s="3"/>
      <c r="G338" s="5"/>
      <c r="H338" s="3"/>
      <c r="I338" s="5"/>
      <c r="J338" s="3"/>
      <c r="K338" s="5"/>
      <c r="L338" s="3"/>
      <c r="M338" s="5"/>
      <c r="N338" s="5"/>
    </row>
    <row r="339">
      <c r="A339" s="2"/>
      <c r="B339" s="3"/>
      <c r="C339" s="3"/>
      <c r="D339" s="3"/>
      <c r="E339" s="4"/>
      <c r="F339" s="3"/>
      <c r="G339" s="5"/>
      <c r="H339" s="3"/>
      <c r="I339" s="5"/>
      <c r="J339" s="3"/>
      <c r="K339" s="5"/>
      <c r="L339" s="3"/>
      <c r="M339" s="5"/>
      <c r="N339" s="5"/>
    </row>
    <row r="340">
      <c r="A340" s="2"/>
      <c r="B340" s="3"/>
      <c r="C340" s="3"/>
      <c r="D340" s="3"/>
      <c r="E340" s="4"/>
      <c r="F340" s="3"/>
      <c r="G340" s="5"/>
      <c r="H340" s="3"/>
      <c r="I340" s="5"/>
      <c r="J340" s="3"/>
      <c r="K340" s="5"/>
      <c r="L340" s="3"/>
      <c r="M340" s="5"/>
      <c r="N340" s="5"/>
    </row>
    <row r="341">
      <c r="A341" s="2"/>
      <c r="B341" s="3"/>
      <c r="C341" s="3"/>
      <c r="D341" s="3"/>
      <c r="E341" s="4"/>
      <c r="F341" s="3"/>
      <c r="G341" s="5"/>
      <c r="H341" s="3"/>
      <c r="I341" s="5"/>
      <c r="J341" s="3"/>
      <c r="K341" s="5"/>
      <c r="L341" s="3"/>
      <c r="M341" s="5"/>
      <c r="N341" s="5"/>
    </row>
    <row r="342">
      <c r="A342" s="2"/>
      <c r="B342" s="3"/>
      <c r="C342" s="3"/>
      <c r="D342" s="3"/>
      <c r="E342" s="4"/>
      <c r="F342" s="3"/>
      <c r="G342" s="5"/>
      <c r="H342" s="3"/>
      <c r="I342" s="5"/>
      <c r="J342" s="3"/>
      <c r="K342" s="5"/>
      <c r="L342" s="3"/>
      <c r="M342" s="5"/>
      <c r="N342" s="5"/>
    </row>
    <row r="343">
      <c r="A343" s="2"/>
      <c r="B343" s="3"/>
      <c r="C343" s="3"/>
      <c r="D343" s="3"/>
      <c r="E343" s="4"/>
      <c r="F343" s="3"/>
      <c r="G343" s="5"/>
      <c r="H343" s="3"/>
      <c r="I343" s="5"/>
      <c r="J343" s="3"/>
      <c r="K343" s="5"/>
      <c r="L343" s="3"/>
      <c r="M343" s="5"/>
      <c r="N343" s="5"/>
    </row>
    <row r="344">
      <c r="A344" s="2"/>
      <c r="B344" s="3"/>
      <c r="C344" s="3"/>
      <c r="D344" s="3"/>
      <c r="E344" s="4"/>
      <c r="F344" s="3"/>
      <c r="G344" s="5"/>
      <c r="H344" s="3"/>
      <c r="I344" s="5"/>
      <c r="J344" s="3"/>
      <c r="K344" s="5"/>
      <c r="L344" s="3"/>
      <c r="M344" s="5"/>
      <c r="N344" s="5"/>
    </row>
    <row r="345">
      <c r="A345" s="2"/>
      <c r="B345" s="3"/>
      <c r="C345" s="3"/>
      <c r="D345" s="3"/>
      <c r="E345" s="4"/>
      <c r="F345" s="3"/>
      <c r="G345" s="5"/>
      <c r="H345" s="3"/>
      <c r="I345" s="5"/>
      <c r="J345" s="3"/>
      <c r="K345" s="5"/>
      <c r="L345" s="3"/>
      <c r="M345" s="5"/>
      <c r="N345" s="5"/>
    </row>
    <row r="346">
      <c r="A346" s="2"/>
      <c r="B346" s="3"/>
      <c r="C346" s="3"/>
      <c r="D346" s="3"/>
      <c r="E346" s="4"/>
      <c r="F346" s="3"/>
      <c r="G346" s="5"/>
      <c r="H346" s="3"/>
      <c r="I346" s="5"/>
      <c r="J346" s="3"/>
      <c r="K346" s="5"/>
      <c r="L346" s="3"/>
      <c r="M346" s="5"/>
      <c r="N346" s="5"/>
    </row>
    <row r="347">
      <c r="A347" s="2"/>
      <c r="B347" s="3"/>
      <c r="C347" s="3"/>
      <c r="D347" s="3"/>
      <c r="E347" s="4"/>
      <c r="F347" s="3"/>
      <c r="G347" s="5"/>
      <c r="H347" s="3"/>
      <c r="I347" s="5"/>
      <c r="J347" s="3"/>
      <c r="K347" s="5"/>
      <c r="L347" s="3"/>
      <c r="M347" s="5"/>
      <c r="N347" s="5"/>
    </row>
    <row r="348">
      <c r="A348" s="2"/>
      <c r="B348" s="3"/>
      <c r="C348" s="3"/>
      <c r="D348" s="3"/>
      <c r="E348" s="4"/>
      <c r="F348" s="3"/>
      <c r="G348" s="5"/>
      <c r="H348" s="3"/>
      <c r="I348" s="5"/>
      <c r="J348" s="3"/>
      <c r="K348" s="5"/>
      <c r="L348" s="3"/>
      <c r="M348" s="5"/>
      <c r="N348" s="5"/>
    </row>
    <row r="349">
      <c r="A349" s="2"/>
      <c r="B349" s="3"/>
      <c r="C349" s="3"/>
      <c r="D349" s="3"/>
      <c r="E349" s="4"/>
      <c r="F349" s="3"/>
      <c r="G349" s="5"/>
      <c r="H349" s="3"/>
      <c r="I349" s="5"/>
      <c r="J349" s="3"/>
      <c r="K349" s="5"/>
      <c r="L349" s="3"/>
      <c r="M349" s="5"/>
      <c r="N349" s="5"/>
    </row>
    <row r="350">
      <c r="A350" s="2"/>
      <c r="B350" s="3"/>
      <c r="C350" s="3"/>
      <c r="D350" s="3"/>
      <c r="E350" s="4"/>
      <c r="F350" s="3"/>
      <c r="G350" s="5"/>
      <c r="H350" s="3"/>
      <c r="I350" s="5"/>
      <c r="J350" s="3"/>
      <c r="K350" s="5"/>
      <c r="L350" s="3"/>
      <c r="M350" s="5"/>
      <c r="N350" s="5"/>
    </row>
    <row r="351">
      <c r="A351" s="2"/>
      <c r="B351" s="3"/>
      <c r="C351" s="3"/>
      <c r="D351" s="3"/>
      <c r="E351" s="4"/>
      <c r="F351" s="3"/>
      <c r="G351" s="5"/>
      <c r="H351" s="3"/>
      <c r="I351" s="5"/>
      <c r="J351" s="3"/>
      <c r="K351" s="5"/>
      <c r="L351" s="3"/>
      <c r="M351" s="5"/>
      <c r="N351" s="5"/>
    </row>
    <row r="352">
      <c r="A352" s="2"/>
      <c r="B352" s="3"/>
      <c r="C352" s="3"/>
      <c r="D352" s="3"/>
      <c r="E352" s="4"/>
      <c r="F352" s="3"/>
      <c r="G352" s="5"/>
      <c r="H352" s="3"/>
      <c r="I352" s="5"/>
      <c r="J352" s="3"/>
      <c r="K352" s="5"/>
      <c r="L352" s="3"/>
      <c r="M352" s="5"/>
      <c r="N352" s="5"/>
    </row>
    <row r="353">
      <c r="A353" s="2"/>
      <c r="B353" s="3"/>
      <c r="C353" s="3"/>
      <c r="D353" s="3"/>
      <c r="E353" s="4"/>
      <c r="F353" s="3"/>
      <c r="G353" s="5"/>
      <c r="H353" s="3"/>
      <c r="I353" s="5"/>
      <c r="J353" s="3"/>
      <c r="K353" s="5"/>
      <c r="L353" s="3"/>
      <c r="M353" s="5"/>
      <c r="N353" s="5"/>
    </row>
    <row r="354">
      <c r="A354" s="2"/>
      <c r="B354" s="3"/>
      <c r="C354" s="3"/>
      <c r="D354" s="3"/>
      <c r="E354" s="4"/>
      <c r="F354" s="3"/>
      <c r="G354" s="5"/>
      <c r="H354" s="3"/>
      <c r="I354" s="5"/>
      <c r="J354" s="3"/>
      <c r="K354" s="5"/>
      <c r="L354" s="3"/>
      <c r="M354" s="5"/>
      <c r="N354" s="5"/>
    </row>
    <row r="355">
      <c r="A355" s="2"/>
      <c r="B355" s="3"/>
      <c r="C355" s="3"/>
      <c r="D355" s="3"/>
      <c r="E355" s="4"/>
      <c r="F355" s="3"/>
      <c r="G355" s="5"/>
      <c r="H355" s="3"/>
      <c r="I355" s="5"/>
      <c r="J355" s="3"/>
      <c r="K355" s="5"/>
      <c r="L355" s="3"/>
      <c r="M355" s="5"/>
      <c r="N355" s="5"/>
    </row>
    <row r="356">
      <c r="A356" s="2"/>
      <c r="B356" s="3"/>
      <c r="C356" s="3"/>
      <c r="D356" s="3"/>
      <c r="E356" s="4"/>
      <c r="F356" s="3"/>
      <c r="G356" s="5"/>
      <c r="H356" s="3"/>
      <c r="I356" s="5"/>
      <c r="J356" s="3"/>
      <c r="K356" s="5"/>
      <c r="L356" s="3"/>
      <c r="M356" s="5"/>
      <c r="N356" s="5"/>
    </row>
    <row r="357">
      <c r="A357" s="2"/>
      <c r="B357" s="3"/>
      <c r="C357" s="3"/>
      <c r="D357" s="3"/>
      <c r="E357" s="4"/>
      <c r="F357" s="3"/>
      <c r="G357" s="5"/>
      <c r="H357" s="3"/>
      <c r="I357" s="5"/>
      <c r="J357" s="3"/>
      <c r="K357" s="5"/>
      <c r="L357" s="3"/>
      <c r="M357" s="5"/>
      <c r="N357" s="5"/>
    </row>
    <row r="358">
      <c r="A358" s="2"/>
      <c r="B358" s="3"/>
      <c r="C358" s="3"/>
      <c r="D358" s="3"/>
      <c r="E358" s="4"/>
      <c r="F358" s="3"/>
      <c r="G358" s="5"/>
      <c r="H358" s="3"/>
      <c r="I358" s="5"/>
      <c r="J358" s="3"/>
      <c r="K358" s="5"/>
      <c r="L358" s="3"/>
      <c r="M358" s="5"/>
      <c r="N358" s="5"/>
    </row>
    <row r="359">
      <c r="A359" s="2"/>
      <c r="B359" s="3"/>
      <c r="C359" s="3"/>
      <c r="D359" s="3"/>
      <c r="E359" s="4"/>
      <c r="F359" s="3"/>
      <c r="G359" s="5"/>
      <c r="H359" s="3"/>
      <c r="I359" s="5"/>
      <c r="J359" s="3"/>
      <c r="K359" s="5"/>
      <c r="L359" s="3"/>
      <c r="M359" s="5"/>
      <c r="N359" s="5"/>
    </row>
    <row r="360">
      <c r="A360" s="2"/>
      <c r="B360" s="3"/>
      <c r="C360" s="3"/>
      <c r="D360" s="3"/>
      <c r="E360" s="4"/>
      <c r="F360" s="3"/>
      <c r="G360" s="5"/>
      <c r="H360" s="3"/>
      <c r="I360" s="5"/>
      <c r="J360" s="3"/>
      <c r="K360" s="5"/>
      <c r="L360" s="3"/>
      <c r="M360" s="5"/>
      <c r="N360" s="5"/>
    </row>
    <row r="361">
      <c r="A361" s="2"/>
      <c r="B361" s="3"/>
      <c r="C361" s="3"/>
      <c r="D361" s="3"/>
      <c r="E361" s="4"/>
      <c r="F361" s="3"/>
      <c r="G361" s="5"/>
      <c r="H361" s="3"/>
      <c r="I361" s="5"/>
      <c r="J361" s="3"/>
      <c r="K361" s="5"/>
      <c r="L361" s="3"/>
      <c r="M361" s="5"/>
      <c r="N361" s="5"/>
    </row>
    <row r="362">
      <c r="A362" s="2"/>
      <c r="B362" s="3"/>
      <c r="C362" s="3"/>
      <c r="D362" s="3"/>
      <c r="E362" s="4"/>
      <c r="F362" s="3"/>
      <c r="G362" s="5"/>
      <c r="H362" s="3"/>
      <c r="I362" s="5"/>
      <c r="J362" s="3"/>
      <c r="K362" s="5"/>
      <c r="L362" s="3"/>
      <c r="M362" s="5"/>
      <c r="N362" s="5"/>
    </row>
    <row r="363">
      <c r="A363" s="2"/>
      <c r="B363" s="3"/>
      <c r="C363" s="3"/>
      <c r="D363" s="3"/>
      <c r="E363" s="4"/>
      <c r="F363" s="3"/>
      <c r="G363" s="5"/>
      <c r="H363" s="3"/>
      <c r="I363" s="5"/>
      <c r="J363" s="3"/>
      <c r="K363" s="5"/>
      <c r="L363" s="3"/>
      <c r="M363" s="5"/>
      <c r="N363" s="5"/>
    </row>
    <row r="364">
      <c r="A364" s="2"/>
      <c r="B364" s="3"/>
      <c r="C364" s="3"/>
      <c r="D364" s="3"/>
      <c r="E364" s="4"/>
      <c r="F364" s="3"/>
      <c r="G364" s="5"/>
      <c r="H364" s="3"/>
      <c r="I364" s="5"/>
      <c r="J364" s="3"/>
      <c r="K364" s="5"/>
      <c r="L364" s="3"/>
      <c r="M364" s="5"/>
      <c r="N364" s="5"/>
    </row>
    <row r="365">
      <c r="A365" s="2"/>
      <c r="B365" s="3"/>
      <c r="C365" s="3"/>
      <c r="D365" s="3"/>
      <c r="E365" s="4"/>
      <c r="F365" s="3"/>
      <c r="G365" s="5"/>
      <c r="H365" s="3"/>
      <c r="I365" s="5"/>
      <c r="J365" s="3"/>
      <c r="K365" s="5"/>
      <c r="L365" s="3"/>
      <c r="M365" s="5"/>
      <c r="N365" s="5"/>
    </row>
    <row r="366">
      <c r="A366" s="2"/>
      <c r="B366" s="3"/>
      <c r="C366" s="3"/>
      <c r="D366" s="3"/>
      <c r="E366" s="4"/>
      <c r="F366" s="3"/>
      <c r="G366" s="5"/>
      <c r="H366" s="3"/>
      <c r="I366" s="5"/>
      <c r="J366" s="3"/>
      <c r="K366" s="5"/>
      <c r="L366" s="3"/>
      <c r="M366" s="5"/>
      <c r="N366" s="5"/>
    </row>
    <row r="367">
      <c r="A367" s="2"/>
      <c r="B367" s="3"/>
      <c r="C367" s="3"/>
      <c r="D367" s="3"/>
      <c r="E367" s="4"/>
      <c r="F367" s="3"/>
      <c r="G367" s="5"/>
      <c r="H367" s="3"/>
      <c r="I367" s="5"/>
      <c r="J367" s="3"/>
      <c r="K367" s="5"/>
      <c r="L367" s="3"/>
      <c r="M367" s="5"/>
      <c r="N367" s="5"/>
    </row>
    <row r="368">
      <c r="A368" s="2"/>
      <c r="B368" s="3"/>
      <c r="C368" s="3"/>
      <c r="D368" s="3"/>
      <c r="E368" s="4"/>
      <c r="F368" s="3"/>
      <c r="G368" s="5"/>
      <c r="H368" s="3"/>
      <c r="I368" s="5"/>
      <c r="J368" s="3"/>
      <c r="K368" s="5"/>
      <c r="L368" s="3"/>
      <c r="M368" s="5"/>
      <c r="N368" s="5"/>
    </row>
    <row r="369">
      <c r="A369" s="2"/>
      <c r="B369" s="3"/>
      <c r="C369" s="3"/>
      <c r="D369" s="3"/>
      <c r="E369" s="4"/>
      <c r="F369" s="3"/>
      <c r="G369" s="5"/>
      <c r="H369" s="3"/>
      <c r="I369" s="5"/>
      <c r="J369" s="3"/>
      <c r="K369" s="5"/>
      <c r="L369" s="3"/>
      <c r="M369" s="5"/>
      <c r="N369" s="5"/>
    </row>
    <row r="370">
      <c r="A370" s="2"/>
      <c r="B370" s="3"/>
      <c r="C370" s="3"/>
      <c r="D370" s="3"/>
      <c r="E370" s="4"/>
      <c r="F370" s="3"/>
      <c r="G370" s="5"/>
      <c r="H370" s="3"/>
      <c r="I370" s="5"/>
      <c r="J370" s="3"/>
      <c r="K370" s="5"/>
      <c r="L370" s="3"/>
      <c r="M370" s="5"/>
      <c r="N370" s="5"/>
    </row>
    <row r="371">
      <c r="A371" s="2"/>
      <c r="B371" s="3"/>
      <c r="C371" s="3"/>
      <c r="D371" s="3"/>
      <c r="E371" s="4"/>
      <c r="F371" s="3"/>
      <c r="G371" s="5"/>
      <c r="H371" s="3"/>
      <c r="I371" s="5"/>
      <c r="J371" s="3"/>
      <c r="K371" s="5"/>
      <c r="L371" s="3"/>
      <c r="M371" s="5"/>
      <c r="N371" s="5"/>
    </row>
    <row r="372">
      <c r="A372" s="2"/>
      <c r="B372" s="3"/>
      <c r="C372" s="3"/>
      <c r="D372" s="3"/>
      <c r="E372" s="4"/>
      <c r="F372" s="3"/>
      <c r="G372" s="5"/>
      <c r="H372" s="3"/>
      <c r="I372" s="5"/>
      <c r="J372" s="3"/>
      <c r="K372" s="5"/>
      <c r="L372" s="3"/>
      <c r="M372" s="5"/>
      <c r="N372" s="5"/>
    </row>
    <row r="373">
      <c r="A373" s="2"/>
      <c r="B373" s="3"/>
      <c r="C373" s="3"/>
      <c r="D373" s="3"/>
      <c r="E373" s="4"/>
      <c r="F373" s="3"/>
      <c r="G373" s="5"/>
      <c r="H373" s="3"/>
      <c r="I373" s="5"/>
      <c r="J373" s="3"/>
      <c r="K373" s="5"/>
      <c r="L373" s="3"/>
      <c r="M373" s="5"/>
      <c r="N373" s="5"/>
    </row>
    <row r="374">
      <c r="A374" s="2"/>
      <c r="B374" s="3"/>
      <c r="C374" s="3"/>
      <c r="D374" s="3"/>
      <c r="E374" s="4"/>
      <c r="F374" s="3"/>
      <c r="G374" s="5"/>
      <c r="H374" s="3"/>
      <c r="I374" s="5"/>
      <c r="J374" s="3"/>
      <c r="K374" s="5"/>
      <c r="L374" s="3"/>
      <c r="M374" s="5"/>
      <c r="N374" s="5"/>
    </row>
    <row r="375">
      <c r="A375" s="2"/>
      <c r="B375" s="3"/>
      <c r="C375" s="3"/>
      <c r="D375" s="3"/>
      <c r="E375" s="4"/>
      <c r="F375" s="3"/>
      <c r="G375" s="5"/>
      <c r="H375" s="3"/>
      <c r="I375" s="5"/>
      <c r="J375" s="3"/>
      <c r="K375" s="5"/>
      <c r="L375" s="3"/>
      <c r="M375" s="5"/>
      <c r="N375" s="5"/>
    </row>
    <row r="376">
      <c r="A376" s="2"/>
      <c r="B376" s="3"/>
      <c r="C376" s="3"/>
      <c r="D376" s="3"/>
      <c r="E376" s="4"/>
      <c r="F376" s="3"/>
      <c r="G376" s="5"/>
      <c r="H376" s="3"/>
      <c r="I376" s="5"/>
      <c r="J376" s="3"/>
      <c r="K376" s="5"/>
      <c r="L376" s="3"/>
      <c r="M376" s="5"/>
      <c r="N376" s="5"/>
    </row>
    <row r="377">
      <c r="A377" s="2"/>
      <c r="B377" s="3"/>
      <c r="C377" s="3"/>
      <c r="D377" s="3"/>
      <c r="E377" s="4"/>
      <c r="F377" s="3"/>
      <c r="G377" s="5"/>
      <c r="H377" s="3"/>
      <c r="I377" s="5"/>
      <c r="J377" s="3"/>
      <c r="K377" s="5"/>
      <c r="L377" s="3"/>
      <c r="M377" s="5"/>
      <c r="N377" s="5"/>
    </row>
    <row r="378">
      <c r="A378" s="2"/>
      <c r="B378" s="3"/>
      <c r="C378" s="3"/>
      <c r="D378" s="3"/>
      <c r="E378" s="4"/>
      <c r="F378" s="3"/>
      <c r="G378" s="5"/>
      <c r="H378" s="3"/>
      <c r="I378" s="5"/>
      <c r="J378" s="3"/>
      <c r="K378" s="5"/>
      <c r="L378" s="3"/>
      <c r="M378" s="5"/>
      <c r="N378" s="5"/>
    </row>
    <row r="379">
      <c r="A379" s="2"/>
      <c r="B379" s="3"/>
      <c r="C379" s="3"/>
      <c r="D379" s="3"/>
      <c r="E379" s="4"/>
      <c r="F379" s="3"/>
      <c r="G379" s="5"/>
      <c r="H379" s="3"/>
      <c r="I379" s="5"/>
      <c r="J379" s="3"/>
      <c r="K379" s="5"/>
      <c r="L379" s="3"/>
      <c r="M379" s="5"/>
      <c r="N379" s="5"/>
    </row>
    <row r="380">
      <c r="A380" s="2"/>
      <c r="B380" s="3"/>
      <c r="C380" s="3"/>
      <c r="D380" s="3"/>
      <c r="E380" s="4"/>
      <c r="F380" s="3"/>
      <c r="G380" s="5"/>
      <c r="H380" s="3"/>
      <c r="I380" s="5"/>
      <c r="J380" s="3"/>
      <c r="K380" s="5"/>
      <c r="L380" s="3"/>
      <c r="M380" s="5"/>
      <c r="N380" s="5"/>
    </row>
    <row r="381">
      <c r="A381" s="2"/>
      <c r="B381" s="3"/>
      <c r="C381" s="3"/>
      <c r="D381" s="3"/>
      <c r="E381" s="4"/>
      <c r="F381" s="3"/>
      <c r="G381" s="5"/>
      <c r="H381" s="3"/>
      <c r="I381" s="5"/>
      <c r="J381" s="3"/>
      <c r="K381" s="5"/>
      <c r="L381" s="3"/>
      <c r="M381" s="5"/>
      <c r="N381" s="5"/>
    </row>
    <row r="382">
      <c r="A382" s="2"/>
      <c r="B382" s="3"/>
      <c r="C382" s="3"/>
      <c r="D382" s="3"/>
      <c r="E382" s="4"/>
      <c r="F382" s="3"/>
      <c r="G382" s="5"/>
      <c r="H382" s="3"/>
      <c r="I382" s="5"/>
      <c r="J382" s="3"/>
      <c r="K382" s="5"/>
      <c r="L382" s="3"/>
      <c r="M382" s="5"/>
      <c r="N382" s="5"/>
    </row>
    <row r="383">
      <c r="A383" s="2"/>
      <c r="B383" s="3"/>
      <c r="C383" s="3"/>
      <c r="D383" s="3"/>
      <c r="E383" s="4"/>
      <c r="F383" s="3"/>
      <c r="G383" s="5"/>
      <c r="H383" s="3"/>
      <c r="I383" s="5"/>
      <c r="J383" s="3"/>
      <c r="K383" s="5"/>
      <c r="L383" s="3"/>
      <c r="M383" s="5"/>
      <c r="N383" s="5"/>
    </row>
    <row r="384">
      <c r="A384" s="2"/>
      <c r="B384" s="3"/>
      <c r="C384" s="3"/>
      <c r="D384" s="3"/>
      <c r="E384" s="4"/>
      <c r="F384" s="3"/>
      <c r="G384" s="5"/>
      <c r="H384" s="3"/>
      <c r="I384" s="5"/>
      <c r="J384" s="3"/>
      <c r="K384" s="5"/>
      <c r="L384" s="3"/>
      <c r="M384" s="5"/>
      <c r="N384" s="5"/>
    </row>
    <row r="385">
      <c r="A385" s="2"/>
      <c r="B385" s="3"/>
      <c r="C385" s="3"/>
      <c r="D385" s="3"/>
      <c r="E385" s="4"/>
      <c r="F385" s="3"/>
      <c r="G385" s="5"/>
      <c r="H385" s="3"/>
      <c r="I385" s="5"/>
      <c r="J385" s="3"/>
      <c r="K385" s="5"/>
      <c r="L385" s="3"/>
      <c r="M385" s="5"/>
      <c r="N385" s="5"/>
    </row>
    <row r="386">
      <c r="A386" s="2"/>
      <c r="B386" s="3"/>
      <c r="C386" s="3"/>
      <c r="D386" s="3"/>
      <c r="E386" s="4"/>
      <c r="F386" s="3"/>
      <c r="G386" s="5"/>
      <c r="H386" s="3"/>
      <c r="I386" s="5"/>
      <c r="J386" s="3"/>
      <c r="K386" s="5"/>
      <c r="L386" s="3"/>
      <c r="M386" s="5"/>
      <c r="N386" s="5"/>
    </row>
    <row r="387">
      <c r="A387" s="2"/>
      <c r="B387" s="3"/>
      <c r="C387" s="3"/>
      <c r="D387" s="3"/>
      <c r="E387" s="4"/>
      <c r="F387" s="3"/>
      <c r="G387" s="5"/>
      <c r="H387" s="3"/>
      <c r="I387" s="5"/>
      <c r="J387" s="3"/>
      <c r="K387" s="5"/>
      <c r="L387" s="3"/>
      <c r="M387" s="5"/>
      <c r="N387" s="5"/>
    </row>
    <row r="388">
      <c r="A388" s="2"/>
      <c r="B388" s="3"/>
      <c r="C388" s="3"/>
      <c r="D388" s="3"/>
      <c r="E388" s="4"/>
      <c r="F388" s="3"/>
      <c r="G388" s="5"/>
      <c r="H388" s="3"/>
      <c r="I388" s="5"/>
      <c r="J388" s="3"/>
      <c r="K388" s="5"/>
      <c r="L388" s="3"/>
      <c r="M388" s="5"/>
      <c r="N388" s="5"/>
    </row>
    <row r="389">
      <c r="A389" s="2"/>
      <c r="B389" s="3"/>
      <c r="C389" s="3"/>
      <c r="D389" s="3"/>
      <c r="E389" s="4"/>
      <c r="F389" s="3"/>
      <c r="G389" s="5"/>
      <c r="H389" s="3"/>
      <c r="I389" s="5"/>
      <c r="J389" s="3"/>
      <c r="K389" s="5"/>
      <c r="L389" s="3"/>
      <c r="M389" s="5"/>
      <c r="N389" s="5"/>
    </row>
    <row r="390">
      <c r="A390" s="2"/>
      <c r="B390" s="3"/>
      <c r="C390" s="3"/>
      <c r="D390" s="3"/>
      <c r="E390" s="4"/>
      <c r="F390" s="3"/>
      <c r="G390" s="5"/>
      <c r="H390" s="3"/>
      <c r="I390" s="5"/>
      <c r="J390" s="3"/>
      <c r="K390" s="5"/>
      <c r="L390" s="3"/>
      <c r="M390" s="5"/>
      <c r="N390" s="5"/>
    </row>
    <row r="391">
      <c r="A391" s="2"/>
      <c r="B391" s="3"/>
      <c r="C391" s="3"/>
      <c r="D391" s="3"/>
      <c r="E391" s="4"/>
      <c r="F391" s="3"/>
      <c r="G391" s="5"/>
      <c r="H391" s="3"/>
      <c r="I391" s="5"/>
      <c r="J391" s="3"/>
      <c r="K391" s="5"/>
      <c r="L391" s="3"/>
      <c r="M391" s="5"/>
      <c r="N391" s="5"/>
    </row>
    <row r="392">
      <c r="A392" s="2"/>
      <c r="B392" s="3"/>
      <c r="C392" s="3"/>
      <c r="D392" s="3"/>
      <c r="E392" s="4"/>
      <c r="F392" s="3"/>
      <c r="G392" s="5"/>
      <c r="H392" s="3"/>
      <c r="I392" s="5"/>
      <c r="J392" s="3"/>
      <c r="K392" s="5"/>
      <c r="L392" s="3"/>
      <c r="M392" s="5"/>
      <c r="N392" s="5"/>
    </row>
    <row r="393">
      <c r="A393" s="2"/>
      <c r="B393" s="3"/>
      <c r="C393" s="3"/>
      <c r="D393" s="3"/>
      <c r="E393" s="4"/>
      <c r="F393" s="3"/>
      <c r="G393" s="5"/>
      <c r="H393" s="3"/>
      <c r="I393" s="5"/>
      <c r="J393" s="3"/>
      <c r="K393" s="5"/>
      <c r="L393" s="3"/>
      <c r="M393" s="5"/>
      <c r="N393" s="5"/>
    </row>
    <row r="394">
      <c r="A394" s="2"/>
      <c r="B394" s="3"/>
      <c r="C394" s="3"/>
      <c r="D394" s="3"/>
      <c r="E394" s="4"/>
      <c r="F394" s="3"/>
      <c r="G394" s="5"/>
      <c r="H394" s="3"/>
      <c r="I394" s="5"/>
      <c r="J394" s="3"/>
      <c r="K394" s="5"/>
      <c r="L394" s="3"/>
      <c r="M394" s="5"/>
      <c r="N394" s="5"/>
    </row>
    <row r="395">
      <c r="A395" s="2"/>
      <c r="B395" s="3"/>
      <c r="C395" s="3"/>
      <c r="D395" s="3"/>
      <c r="E395" s="4"/>
      <c r="F395" s="3"/>
      <c r="G395" s="5"/>
      <c r="H395" s="3"/>
      <c r="I395" s="5"/>
      <c r="J395" s="3"/>
      <c r="K395" s="5"/>
      <c r="L395" s="3"/>
      <c r="M395" s="5"/>
      <c r="N395" s="5"/>
    </row>
    <row r="396">
      <c r="A396" s="2"/>
      <c r="B396" s="3"/>
      <c r="C396" s="3"/>
      <c r="D396" s="3"/>
      <c r="E396" s="4"/>
      <c r="F396" s="3"/>
      <c r="G396" s="5"/>
      <c r="H396" s="3"/>
      <c r="I396" s="5"/>
      <c r="J396" s="3"/>
      <c r="K396" s="5"/>
      <c r="L396" s="3"/>
      <c r="M396" s="5"/>
      <c r="N396" s="5"/>
    </row>
    <row r="397">
      <c r="A397" s="2"/>
      <c r="B397" s="3"/>
      <c r="C397" s="3"/>
      <c r="D397" s="3"/>
      <c r="E397" s="4"/>
      <c r="F397" s="3"/>
      <c r="G397" s="5"/>
      <c r="H397" s="3"/>
      <c r="I397" s="5"/>
      <c r="J397" s="3"/>
      <c r="K397" s="5"/>
      <c r="L397" s="3"/>
      <c r="M397" s="5"/>
      <c r="N397" s="5"/>
    </row>
    <row r="398">
      <c r="A398" s="2"/>
      <c r="B398" s="3"/>
      <c r="C398" s="3"/>
      <c r="D398" s="3"/>
      <c r="E398" s="4"/>
      <c r="F398" s="3"/>
      <c r="G398" s="5"/>
      <c r="H398" s="3"/>
      <c r="I398" s="5"/>
      <c r="J398" s="3"/>
      <c r="K398" s="5"/>
      <c r="L398" s="3"/>
      <c r="M398" s="5"/>
      <c r="N398" s="5"/>
    </row>
    <row r="399">
      <c r="A399" s="2"/>
      <c r="B399" s="3"/>
      <c r="C399" s="3"/>
      <c r="D399" s="3"/>
      <c r="E399" s="4"/>
      <c r="F399" s="3"/>
      <c r="G399" s="5"/>
      <c r="H399" s="3"/>
      <c r="I399" s="5"/>
      <c r="J399" s="3"/>
      <c r="K399" s="5"/>
      <c r="L399" s="3"/>
      <c r="M399" s="5"/>
      <c r="N399" s="5"/>
    </row>
    <row r="400">
      <c r="A400" s="2"/>
      <c r="B400" s="3"/>
      <c r="C400" s="3"/>
      <c r="D400" s="3"/>
      <c r="E400" s="4"/>
      <c r="F400" s="3"/>
      <c r="G400" s="5"/>
      <c r="H400" s="3"/>
      <c r="I400" s="5"/>
      <c r="J400" s="3"/>
      <c r="K400" s="5"/>
      <c r="L400" s="3"/>
      <c r="M400" s="5"/>
      <c r="N400" s="5"/>
    </row>
    <row r="401">
      <c r="A401" s="2"/>
      <c r="B401" s="3"/>
      <c r="C401" s="3"/>
      <c r="D401" s="3"/>
      <c r="E401" s="4"/>
      <c r="F401" s="3"/>
      <c r="G401" s="5"/>
      <c r="H401" s="3"/>
      <c r="I401" s="5"/>
      <c r="J401" s="3"/>
      <c r="K401" s="5"/>
      <c r="L401" s="3"/>
      <c r="M401" s="5"/>
      <c r="N401" s="5"/>
    </row>
    <row r="402">
      <c r="A402" s="2"/>
      <c r="B402" s="3"/>
      <c r="C402" s="3"/>
      <c r="D402" s="3"/>
      <c r="E402" s="4"/>
      <c r="F402" s="3"/>
      <c r="G402" s="5"/>
      <c r="H402" s="3"/>
      <c r="I402" s="5"/>
      <c r="J402" s="3"/>
      <c r="K402" s="5"/>
      <c r="L402" s="3"/>
      <c r="M402" s="5"/>
      <c r="N402" s="5"/>
    </row>
    <row r="403">
      <c r="A403" s="2"/>
      <c r="B403" s="3"/>
      <c r="C403" s="3"/>
      <c r="D403" s="3"/>
      <c r="E403" s="4"/>
      <c r="F403" s="3"/>
      <c r="G403" s="5"/>
      <c r="H403" s="3"/>
      <c r="I403" s="5"/>
      <c r="J403" s="3"/>
      <c r="K403" s="5"/>
      <c r="L403" s="3"/>
      <c r="M403" s="5"/>
      <c r="N403" s="5"/>
    </row>
    <row r="404">
      <c r="A404" s="2"/>
      <c r="B404" s="3"/>
      <c r="C404" s="3"/>
      <c r="D404" s="3"/>
      <c r="E404" s="4"/>
      <c r="F404" s="3"/>
      <c r="G404" s="5"/>
      <c r="H404" s="3"/>
      <c r="I404" s="5"/>
      <c r="J404" s="3"/>
      <c r="K404" s="5"/>
      <c r="L404" s="3"/>
      <c r="M404" s="5"/>
      <c r="N404" s="5"/>
    </row>
    <row r="405">
      <c r="A405" s="2"/>
      <c r="B405" s="3"/>
      <c r="C405" s="3"/>
      <c r="D405" s="3"/>
      <c r="E405" s="4"/>
      <c r="F405" s="3"/>
      <c r="G405" s="5"/>
      <c r="H405" s="3"/>
      <c r="I405" s="5"/>
      <c r="J405" s="3"/>
      <c r="K405" s="5"/>
      <c r="L405" s="3"/>
      <c r="M405" s="5"/>
      <c r="N405" s="5"/>
    </row>
    <row r="406">
      <c r="A406" s="2"/>
      <c r="B406" s="3"/>
      <c r="C406" s="3"/>
      <c r="D406" s="3"/>
      <c r="E406" s="4"/>
      <c r="F406" s="3"/>
      <c r="G406" s="5"/>
      <c r="H406" s="3"/>
      <c r="I406" s="5"/>
      <c r="J406" s="3"/>
      <c r="K406" s="5"/>
      <c r="L406" s="3"/>
      <c r="M406" s="5"/>
      <c r="N406" s="5"/>
    </row>
    <row r="407">
      <c r="A407" s="2"/>
      <c r="B407" s="3"/>
      <c r="C407" s="3"/>
      <c r="D407" s="3"/>
      <c r="E407" s="4"/>
      <c r="F407" s="3"/>
      <c r="G407" s="5"/>
      <c r="H407" s="3"/>
      <c r="I407" s="5"/>
      <c r="J407" s="3"/>
      <c r="K407" s="5"/>
      <c r="L407" s="3"/>
      <c r="M407" s="5"/>
      <c r="N407" s="5"/>
    </row>
    <row r="408">
      <c r="A408" s="2"/>
      <c r="B408" s="3"/>
      <c r="C408" s="3"/>
      <c r="D408" s="3"/>
      <c r="E408" s="4"/>
      <c r="F408" s="3"/>
      <c r="G408" s="5"/>
      <c r="H408" s="3"/>
      <c r="I408" s="5"/>
      <c r="J408" s="3"/>
      <c r="K408" s="5"/>
      <c r="L408" s="3"/>
      <c r="M408" s="5"/>
      <c r="N408" s="5"/>
    </row>
    <row r="409">
      <c r="A409" s="2"/>
      <c r="B409" s="3"/>
      <c r="C409" s="3"/>
      <c r="D409" s="3"/>
      <c r="E409" s="4"/>
      <c r="F409" s="3"/>
      <c r="G409" s="5"/>
      <c r="H409" s="3"/>
      <c r="I409" s="5"/>
      <c r="J409" s="3"/>
      <c r="K409" s="5"/>
      <c r="L409" s="3"/>
      <c r="M409" s="5"/>
      <c r="N409" s="5"/>
    </row>
    <row r="410">
      <c r="A410" s="2"/>
      <c r="B410" s="3"/>
      <c r="C410" s="3"/>
      <c r="D410" s="3"/>
      <c r="E410" s="4"/>
      <c r="F410" s="3"/>
      <c r="G410" s="5"/>
      <c r="H410" s="3"/>
      <c r="I410" s="5"/>
      <c r="J410" s="3"/>
      <c r="K410" s="5"/>
      <c r="L410" s="3"/>
      <c r="M410" s="5"/>
      <c r="N410" s="5"/>
    </row>
    <row r="411">
      <c r="A411" s="2"/>
      <c r="B411" s="3"/>
      <c r="C411" s="3"/>
      <c r="D411" s="3"/>
      <c r="E411" s="4"/>
      <c r="F411" s="3"/>
      <c r="G411" s="5"/>
      <c r="H411" s="3"/>
      <c r="I411" s="5"/>
      <c r="J411" s="3"/>
      <c r="K411" s="5"/>
      <c r="L411" s="3"/>
      <c r="M411" s="5"/>
      <c r="N411" s="5"/>
    </row>
    <row r="412">
      <c r="A412" s="2"/>
      <c r="B412" s="3"/>
      <c r="C412" s="3"/>
      <c r="D412" s="3"/>
      <c r="E412" s="4"/>
      <c r="F412" s="3"/>
      <c r="G412" s="5"/>
      <c r="H412" s="3"/>
      <c r="I412" s="5"/>
      <c r="J412" s="3"/>
      <c r="K412" s="5"/>
      <c r="L412" s="3"/>
      <c r="M412" s="5"/>
      <c r="N412" s="5"/>
    </row>
    <row r="413">
      <c r="A413" s="2"/>
      <c r="B413" s="3"/>
      <c r="C413" s="3"/>
      <c r="D413" s="3"/>
      <c r="E413" s="4"/>
      <c r="F413" s="3"/>
      <c r="G413" s="5"/>
      <c r="H413" s="3"/>
      <c r="I413" s="5"/>
      <c r="J413" s="3"/>
      <c r="K413" s="5"/>
      <c r="L413" s="3"/>
      <c r="M413" s="5"/>
      <c r="N413" s="5"/>
    </row>
    <row r="414">
      <c r="A414" s="2"/>
      <c r="B414" s="3"/>
      <c r="C414" s="3"/>
      <c r="D414" s="3"/>
      <c r="E414" s="4"/>
      <c r="F414" s="3"/>
      <c r="G414" s="5"/>
      <c r="H414" s="3"/>
      <c r="I414" s="5"/>
      <c r="J414" s="3"/>
      <c r="K414" s="5"/>
      <c r="L414" s="3"/>
      <c r="M414" s="5"/>
      <c r="N414" s="5"/>
    </row>
    <row r="415">
      <c r="A415" s="2"/>
      <c r="B415" s="3"/>
      <c r="C415" s="3"/>
      <c r="D415" s="3"/>
      <c r="E415" s="4"/>
      <c r="F415" s="3"/>
      <c r="G415" s="5"/>
      <c r="H415" s="3"/>
      <c r="I415" s="5"/>
      <c r="J415" s="3"/>
      <c r="K415" s="5"/>
      <c r="L415" s="3"/>
      <c r="M415" s="5"/>
      <c r="N415" s="5"/>
    </row>
    <row r="416">
      <c r="A416" s="2"/>
      <c r="B416" s="3"/>
      <c r="C416" s="3"/>
      <c r="D416" s="3"/>
      <c r="E416" s="4"/>
      <c r="F416" s="3"/>
      <c r="G416" s="5"/>
      <c r="H416" s="3"/>
      <c r="I416" s="5"/>
      <c r="J416" s="3"/>
      <c r="K416" s="5"/>
      <c r="L416" s="3"/>
      <c r="M416" s="5"/>
      <c r="N416" s="5"/>
    </row>
    <row r="417">
      <c r="A417" s="2"/>
      <c r="B417" s="3"/>
      <c r="C417" s="3"/>
      <c r="D417" s="3"/>
      <c r="E417" s="4"/>
      <c r="F417" s="3"/>
      <c r="G417" s="5"/>
      <c r="H417" s="3"/>
      <c r="I417" s="5"/>
      <c r="J417" s="3"/>
      <c r="K417" s="5"/>
      <c r="L417" s="3"/>
      <c r="M417" s="5"/>
      <c r="N417" s="5"/>
    </row>
    <row r="418">
      <c r="A418" s="2"/>
      <c r="B418" s="3"/>
      <c r="C418" s="3"/>
      <c r="D418" s="3"/>
      <c r="E418" s="4"/>
      <c r="F418" s="3"/>
      <c r="G418" s="5"/>
      <c r="H418" s="3"/>
      <c r="I418" s="5"/>
      <c r="J418" s="3"/>
      <c r="K418" s="5"/>
      <c r="L418" s="3"/>
      <c r="M418" s="5"/>
      <c r="N418" s="5"/>
    </row>
    <row r="419">
      <c r="A419" s="2"/>
      <c r="B419" s="3"/>
      <c r="C419" s="3"/>
      <c r="D419" s="3"/>
      <c r="E419" s="4"/>
      <c r="F419" s="3"/>
      <c r="G419" s="5"/>
      <c r="H419" s="3"/>
      <c r="I419" s="5"/>
      <c r="J419" s="3"/>
      <c r="K419" s="5"/>
      <c r="L419" s="3"/>
      <c r="M419" s="5"/>
      <c r="N419" s="5"/>
    </row>
    <row r="420">
      <c r="A420" s="2"/>
      <c r="B420" s="3"/>
      <c r="C420" s="3"/>
      <c r="D420" s="3"/>
      <c r="E420" s="4"/>
      <c r="F420" s="3"/>
      <c r="G420" s="5"/>
      <c r="H420" s="3"/>
      <c r="I420" s="5"/>
      <c r="J420" s="3"/>
      <c r="K420" s="5"/>
      <c r="L420" s="3"/>
      <c r="M420" s="5"/>
      <c r="N420" s="5"/>
    </row>
    <row r="421">
      <c r="A421" s="2"/>
      <c r="B421" s="3"/>
      <c r="C421" s="3"/>
      <c r="D421" s="3"/>
      <c r="E421" s="4"/>
      <c r="F421" s="3"/>
      <c r="G421" s="5"/>
      <c r="H421" s="3"/>
      <c r="I421" s="5"/>
      <c r="J421" s="3"/>
      <c r="K421" s="5"/>
      <c r="L421" s="3"/>
      <c r="M421" s="5"/>
      <c r="N421" s="5"/>
    </row>
    <row r="422">
      <c r="A422" s="2"/>
      <c r="B422" s="3"/>
      <c r="C422" s="3"/>
      <c r="D422" s="3"/>
      <c r="E422" s="4"/>
      <c r="F422" s="3"/>
      <c r="G422" s="5"/>
      <c r="H422" s="3"/>
      <c r="I422" s="5"/>
      <c r="J422" s="3"/>
      <c r="K422" s="5"/>
      <c r="L422" s="3"/>
      <c r="M422" s="5"/>
      <c r="N422" s="5"/>
    </row>
    <row r="423">
      <c r="A423" s="2"/>
      <c r="B423" s="3"/>
      <c r="C423" s="3"/>
      <c r="D423" s="3"/>
      <c r="E423" s="4"/>
      <c r="F423" s="3"/>
      <c r="G423" s="5"/>
      <c r="H423" s="3"/>
      <c r="I423" s="5"/>
      <c r="J423" s="3"/>
      <c r="K423" s="5"/>
      <c r="L423" s="3"/>
      <c r="M423" s="5"/>
      <c r="N423" s="5"/>
    </row>
    <row r="424">
      <c r="A424" s="2"/>
      <c r="B424" s="3"/>
      <c r="C424" s="3"/>
      <c r="D424" s="3"/>
      <c r="E424" s="4"/>
      <c r="F424" s="3"/>
      <c r="G424" s="5"/>
      <c r="H424" s="3"/>
      <c r="I424" s="5"/>
      <c r="J424" s="3"/>
      <c r="K424" s="5"/>
      <c r="L424" s="3"/>
      <c r="M424" s="5"/>
      <c r="N424" s="5"/>
    </row>
    <row r="425">
      <c r="A425" s="2"/>
      <c r="B425" s="3"/>
      <c r="C425" s="3"/>
      <c r="D425" s="3"/>
      <c r="E425" s="4"/>
      <c r="F425" s="3"/>
      <c r="G425" s="5"/>
      <c r="H425" s="3"/>
      <c r="I425" s="5"/>
      <c r="J425" s="3"/>
      <c r="K425" s="5"/>
      <c r="L425" s="3"/>
      <c r="M425" s="5"/>
      <c r="N425" s="5"/>
    </row>
    <row r="426">
      <c r="A426" s="2"/>
      <c r="B426" s="3"/>
      <c r="C426" s="3"/>
      <c r="D426" s="3"/>
      <c r="E426" s="4"/>
      <c r="F426" s="3"/>
      <c r="G426" s="5"/>
      <c r="H426" s="3"/>
      <c r="I426" s="5"/>
      <c r="J426" s="3"/>
      <c r="K426" s="5"/>
      <c r="L426" s="3"/>
      <c r="M426" s="5"/>
      <c r="N426" s="5"/>
    </row>
    <row r="427">
      <c r="A427" s="2"/>
      <c r="B427" s="3"/>
      <c r="C427" s="3"/>
      <c r="D427" s="3"/>
      <c r="E427" s="4"/>
      <c r="F427" s="3"/>
      <c r="G427" s="5"/>
      <c r="H427" s="3"/>
      <c r="I427" s="5"/>
      <c r="J427" s="3"/>
      <c r="K427" s="5"/>
      <c r="L427" s="3"/>
      <c r="M427" s="5"/>
      <c r="N427" s="5"/>
    </row>
    <row r="428">
      <c r="A428" s="2"/>
      <c r="B428" s="3"/>
      <c r="C428" s="3"/>
      <c r="D428" s="3"/>
      <c r="E428" s="4"/>
      <c r="F428" s="3"/>
      <c r="G428" s="5"/>
      <c r="H428" s="3"/>
      <c r="I428" s="5"/>
      <c r="J428" s="3"/>
      <c r="K428" s="5"/>
      <c r="L428" s="3"/>
      <c r="M428" s="5"/>
      <c r="N428" s="5"/>
    </row>
    <row r="429">
      <c r="A429" s="2"/>
      <c r="B429" s="3"/>
      <c r="C429" s="3"/>
      <c r="D429" s="3"/>
      <c r="E429" s="4"/>
      <c r="F429" s="3"/>
      <c r="G429" s="5"/>
      <c r="H429" s="3"/>
      <c r="I429" s="5"/>
      <c r="J429" s="3"/>
      <c r="K429" s="5"/>
      <c r="L429" s="3"/>
      <c r="M429" s="5"/>
      <c r="N429" s="5"/>
    </row>
    <row r="430">
      <c r="A430" s="2"/>
      <c r="B430" s="3"/>
      <c r="C430" s="3"/>
      <c r="D430" s="3"/>
      <c r="E430" s="4"/>
      <c r="F430" s="3"/>
      <c r="G430" s="5"/>
      <c r="H430" s="3"/>
      <c r="I430" s="5"/>
      <c r="J430" s="3"/>
      <c r="K430" s="5"/>
      <c r="L430" s="3"/>
      <c r="M430" s="5"/>
      <c r="N430" s="5"/>
    </row>
    <row r="431">
      <c r="A431" s="2"/>
      <c r="B431" s="3"/>
      <c r="C431" s="3"/>
      <c r="D431" s="3"/>
      <c r="E431" s="4"/>
      <c r="F431" s="3"/>
      <c r="G431" s="5"/>
      <c r="H431" s="3"/>
      <c r="I431" s="5"/>
      <c r="J431" s="3"/>
      <c r="K431" s="5"/>
      <c r="L431" s="3"/>
      <c r="M431" s="5"/>
      <c r="N431" s="5"/>
    </row>
    <row r="432">
      <c r="A432" s="2"/>
      <c r="B432" s="3"/>
      <c r="C432" s="3"/>
      <c r="D432" s="3"/>
      <c r="E432" s="4"/>
      <c r="F432" s="3"/>
      <c r="G432" s="5"/>
      <c r="H432" s="3"/>
      <c r="I432" s="5"/>
      <c r="J432" s="3"/>
      <c r="K432" s="5"/>
      <c r="L432" s="3"/>
      <c r="M432" s="5"/>
      <c r="N432" s="5"/>
    </row>
    <row r="433">
      <c r="A433" s="2"/>
      <c r="B433" s="3"/>
      <c r="C433" s="3"/>
      <c r="D433" s="3"/>
      <c r="E433" s="4"/>
      <c r="F433" s="3"/>
      <c r="G433" s="5"/>
      <c r="H433" s="3"/>
      <c r="I433" s="5"/>
      <c r="J433" s="3"/>
      <c r="K433" s="5"/>
      <c r="L433" s="3"/>
      <c r="M433" s="5"/>
      <c r="N433" s="5"/>
    </row>
    <row r="434">
      <c r="A434" s="2"/>
      <c r="B434" s="3"/>
      <c r="C434" s="3"/>
      <c r="D434" s="3"/>
      <c r="E434" s="4"/>
      <c r="F434" s="3"/>
      <c r="G434" s="5"/>
      <c r="H434" s="3"/>
      <c r="I434" s="5"/>
      <c r="J434" s="3"/>
      <c r="K434" s="5"/>
      <c r="L434" s="3"/>
      <c r="M434" s="5"/>
      <c r="N434" s="5"/>
    </row>
    <row r="435">
      <c r="A435" s="2"/>
      <c r="B435" s="3"/>
      <c r="C435" s="3"/>
      <c r="D435" s="3"/>
      <c r="E435" s="4"/>
      <c r="F435" s="3"/>
      <c r="G435" s="5"/>
      <c r="H435" s="3"/>
      <c r="I435" s="5"/>
      <c r="J435" s="3"/>
      <c r="K435" s="5"/>
      <c r="L435" s="3"/>
      <c r="M435" s="5"/>
      <c r="N435" s="5"/>
    </row>
    <row r="436">
      <c r="A436" s="2"/>
      <c r="B436" s="3"/>
      <c r="C436" s="3"/>
      <c r="D436" s="3"/>
      <c r="E436" s="4"/>
      <c r="F436" s="3"/>
      <c r="G436" s="5"/>
      <c r="H436" s="3"/>
      <c r="I436" s="5"/>
      <c r="J436" s="3"/>
      <c r="K436" s="5"/>
      <c r="L436" s="3"/>
      <c r="M436" s="5"/>
      <c r="N436" s="5"/>
    </row>
    <row r="437">
      <c r="A437" s="2"/>
      <c r="B437" s="3"/>
      <c r="C437" s="3"/>
      <c r="D437" s="3"/>
      <c r="E437" s="4"/>
      <c r="F437" s="3"/>
      <c r="G437" s="5"/>
      <c r="H437" s="3"/>
      <c r="I437" s="5"/>
      <c r="J437" s="3"/>
      <c r="K437" s="5"/>
      <c r="L437" s="3"/>
      <c r="M437" s="5"/>
      <c r="N437" s="5"/>
    </row>
    <row r="438">
      <c r="A438" s="2"/>
      <c r="B438" s="3"/>
      <c r="C438" s="3"/>
      <c r="D438" s="3"/>
      <c r="E438" s="4"/>
      <c r="F438" s="3"/>
      <c r="G438" s="5"/>
      <c r="H438" s="3"/>
      <c r="I438" s="5"/>
      <c r="J438" s="3"/>
      <c r="K438" s="5"/>
      <c r="L438" s="3"/>
      <c r="M438" s="5"/>
      <c r="N438" s="5"/>
    </row>
    <row r="439">
      <c r="A439" s="2"/>
      <c r="B439" s="3"/>
      <c r="C439" s="3"/>
      <c r="D439" s="3"/>
      <c r="E439" s="4"/>
      <c r="F439" s="3"/>
      <c r="G439" s="5"/>
      <c r="H439" s="3"/>
      <c r="I439" s="5"/>
      <c r="J439" s="3"/>
      <c r="K439" s="5"/>
      <c r="L439" s="3"/>
      <c r="M439" s="5"/>
      <c r="N439" s="5"/>
    </row>
    <row r="440">
      <c r="A440" s="2"/>
      <c r="B440" s="3"/>
      <c r="C440" s="3"/>
      <c r="D440" s="3"/>
      <c r="E440" s="4"/>
      <c r="F440" s="3"/>
      <c r="G440" s="5"/>
      <c r="H440" s="3"/>
      <c r="I440" s="5"/>
      <c r="J440" s="3"/>
      <c r="K440" s="5"/>
      <c r="L440" s="3"/>
      <c r="M440" s="5"/>
      <c r="N440" s="5"/>
    </row>
    <row r="441">
      <c r="A441" s="2"/>
      <c r="B441" s="3"/>
      <c r="C441" s="3"/>
      <c r="D441" s="3"/>
      <c r="E441" s="4"/>
      <c r="F441" s="3"/>
      <c r="G441" s="5"/>
      <c r="H441" s="3"/>
      <c r="I441" s="5"/>
      <c r="J441" s="3"/>
      <c r="K441" s="5"/>
      <c r="L441" s="3"/>
      <c r="M441" s="5"/>
      <c r="N441" s="5"/>
    </row>
    <row r="442">
      <c r="A442" s="2"/>
      <c r="B442" s="3"/>
      <c r="C442" s="3"/>
      <c r="D442" s="3"/>
      <c r="E442" s="4"/>
      <c r="F442" s="3"/>
      <c r="G442" s="5"/>
      <c r="H442" s="3"/>
      <c r="I442" s="5"/>
      <c r="J442" s="3"/>
      <c r="K442" s="5"/>
      <c r="L442" s="3"/>
      <c r="M442" s="5"/>
      <c r="N442" s="5"/>
    </row>
    <row r="443">
      <c r="A443" s="2"/>
      <c r="B443" s="3"/>
      <c r="C443" s="3"/>
      <c r="D443" s="3"/>
      <c r="E443" s="4"/>
      <c r="F443" s="3"/>
      <c r="G443" s="5"/>
      <c r="H443" s="3"/>
      <c r="I443" s="5"/>
      <c r="J443" s="3"/>
      <c r="K443" s="5"/>
      <c r="L443" s="3"/>
      <c r="M443" s="5"/>
      <c r="N443" s="5"/>
    </row>
    <row r="444">
      <c r="A444" s="2"/>
      <c r="B444" s="3"/>
      <c r="C444" s="3"/>
      <c r="D444" s="3"/>
      <c r="E444" s="4"/>
      <c r="F444" s="3"/>
      <c r="G444" s="5"/>
      <c r="H444" s="3"/>
      <c r="I444" s="5"/>
      <c r="J444" s="3"/>
      <c r="K444" s="5"/>
      <c r="L444" s="3"/>
      <c r="M444" s="5"/>
      <c r="N444" s="5"/>
    </row>
    <row r="445">
      <c r="A445" s="2"/>
      <c r="B445" s="3"/>
      <c r="C445" s="3"/>
      <c r="D445" s="3"/>
      <c r="E445" s="4"/>
      <c r="F445" s="3"/>
      <c r="G445" s="5"/>
      <c r="H445" s="3"/>
      <c r="I445" s="5"/>
      <c r="J445" s="3"/>
      <c r="K445" s="5"/>
      <c r="L445" s="3"/>
      <c r="M445" s="5"/>
      <c r="N445" s="5"/>
    </row>
    <row r="446">
      <c r="A446" s="2"/>
      <c r="B446" s="3"/>
      <c r="C446" s="3"/>
      <c r="D446" s="3"/>
      <c r="E446" s="4"/>
      <c r="F446" s="3"/>
      <c r="G446" s="5"/>
      <c r="H446" s="3"/>
      <c r="I446" s="5"/>
      <c r="J446" s="3"/>
      <c r="K446" s="5"/>
      <c r="L446" s="3"/>
      <c r="M446" s="5"/>
      <c r="N446" s="5"/>
    </row>
    <row r="447">
      <c r="A447" s="2"/>
      <c r="B447" s="3"/>
      <c r="C447" s="3"/>
      <c r="D447" s="3"/>
      <c r="E447" s="4"/>
      <c r="F447" s="3"/>
      <c r="G447" s="5"/>
      <c r="H447" s="3"/>
      <c r="I447" s="5"/>
      <c r="J447" s="3"/>
      <c r="K447" s="5"/>
      <c r="L447" s="3"/>
      <c r="M447" s="5"/>
      <c r="N447" s="5"/>
    </row>
    <row r="448">
      <c r="A448" s="2"/>
      <c r="B448" s="3"/>
      <c r="C448" s="3"/>
      <c r="D448" s="3"/>
      <c r="E448" s="4"/>
      <c r="F448" s="3"/>
      <c r="G448" s="5"/>
      <c r="H448" s="3"/>
      <c r="I448" s="5"/>
      <c r="J448" s="3"/>
      <c r="K448" s="5"/>
      <c r="L448" s="3"/>
      <c r="M448" s="5"/>
      <c r="N448" s="5"/>
    </row>
    <row r="449">
      <c r="A449" s="2"/>
      <c r="B449" s="3"/>
      <c r="C449" s="3"/>
      <c r="D449" s="3"/>
      <c r="E449" s="4"/>
      <c r="F449" s="3"/>
      <c r="G449" s="5"/>
      <c r="H449" s="3"/>
      <c r="I449" s="5"/>
      <c r="J449" s="3"/>
      <c r="K449" s="5"/>
      <c r="L449" s="3"/>
      <c r="M449" s="5"/>
      <c r="N449" s="5"/>
    </row>
    <row r="450">
      <c r="A450" s="2"/>
      <c r="B450" s="3"/>
      <c r="C450" s="3"/>
      <c r="D450" s="3"/>
      <c r="E450" s="4"/>
      <c r="F450" s="3"/>
      <c r="G450" s="5"/>
      <c r="H450" s="3"/>
      <c r="I450" s="5"/>
      <c r="J450" s="3"/>
      <c r="K450" s="5"/>
      <c r="L450" s="3"/>
      <c r="M450" s="5"/>
      <c r="N450" s="5"/>
    </row>
    <row r="451">
      <c r="A451" s="2"/>
      <c r="B451" s="3"/>
      <c r="C451" s="3"/>
      <c r="D451" s="3"/>
      <c r="E451" s="4"/>
      <c r="F451" s="3"/>
      <c r="G451" s="5"/>
      <c r="H451" s="3"/>
      <c r="I451" s="5"/>
      <c r="J451" s="3"/>
      <c r="K451" s="5"/>
      <c r="L451" s="3"/>
      <c r="M451" s="5"/>
      <c r="N451" s="5"/>
    </row>
    <row r="452">
      <c r="A452" s="2"/>
      <c r="B452" s="3"/>
      <c r="C452" s="3"/>
      <c r="D452" s="3"/>
      <c r="E452" s="4"/>
      <c r="F452" s="3"/>
      <c r="G452" s="5"/>
      <c r="H452" s="3"/>
      <c r="I452" s="5"/>
      <c r="J452" s="3"/>
      <c r="K452" s="5"/>
      <c r="L452" s="3"/>
      <c r="M452" s="5"/>
      <c r="N452" s="5"/>
    </row>
    <row r="453">
      <c r="A453" s="2"/>
      <c r="B453" s="3"/>
      <c r="C453" s="3"/>
      <c r="D453" s="3"/>
      <c r="E453" s="4"/>
      <c r="F453" s="3"/>
      <c r="G453" s="5"/>
      <c r="H453" s="3"/>
      <c r="I453" s="5"/>
      <c r="J453" s="3"/>
      <c r="K453" s="5"/>
      <c r="L453" s="3"/>
      <c r="M453" s="5"/>
      <c r="N453" s="5"/>
    </row>
    <row r="454">
      <c r="A454" s="2"/>
      <c r="B454" s="3"/>
      <c r="C454" s="3"/>
      <c r="D454" s="3"/>
      <c r="E454" s="4"/>
      <c r="F454" s="3"/>
      <c r="G454" s="5"/>
      <c r="H454" s="3"/>
      <c r="I454" s="5"/>
      <c r="J454" s="3"/>
      <c r="K454" s="5"/>
      <c r="L454" s="3"/>
      <c r="M454" s="5"/>
      <c r="N454" s="5"/>
    </row>
    <row r="455">
      <c r="A455" s="2"/>
      <c r="B455" s="3"/>
      <c r="C455" s="3"/>
      <c r="D455" s="3"/>
      <c r="E455" s="4"/>
      <c r="F455" s="3"/>
      <c r="G455" s="5"/>
      <c r="H455" s="3"/>
      <c r="I455" s="5"/>
      <c r="J455" s="3"/>
      <c r="K455" s="5"/>
      <c r="L455" s="3"/>
      <c r="M455" s="5"/>
      <c r="N455" s="5"/>
    </row>
    <row r="456">
      <c r="A456" s="2"/>
      <c r="B456" s="3"/>
      <c r="C456" s="3"/>
      <c r="D456" s="3"/>
      <c r="E456" s="4"/>
      <c r="F456" s="3"/>
      <c r="G456" s="5"/>
      <c r="H456" s="3"/>
      <c r="I456" s="5"/>
      <c r="J456" s="3"/>
      <c r="K456" s="5"/>
      <c r="L456" s="3"/>
      <c r="M456" s="5"/>
      <c r="N456" s="5"/>
    </row>
    <row r="457">
      <c r="A457" s="2"/>
      <c r="B457" s="3"/>
      <c r="C457" s="3"/>
      <c r="D457" s="3"/>
      <c r="E457" s="4"/>
      <c r="F457" s="3"/>
      <c r="G457" s="5"/>
      <c r="H457" s="3"/>
      <c r="I457" s="5"/>
      <c r="J457" s="3"/>
      <c r="K457" s="5"/>
      <c r="L457" s="3"/>
      <c r="M457" s="5"/>
      <c r="N457" s="5"/>
    </row>
    <row r="458">
      <c r="A458" s="2"/>
      <c r="B458" s="3"/>
      <c r="C458" s="3"/>
      <c r="D458" s="3"/>
      <c r="E458" s="4"/>
      <c r="F458" s="3"/>
      <c r="G458" s="5"/>
      <c r="H458" s="3"/>
      <c r="I458" s="5"/>
      <c r="J458" s="3"/>
      <c r="K458" s="5"/>
      <c r="L458" s="3"/>
      <c r="M458" s="5"/>
      <c r="N458" s="5"/>
    </row>
    <row r="459">
      <c r="A459" s="2"/>
      <c r="B459" s="3"/>
      <c r="C459" s="3"/>
      <c r="D459" s="3"/>
      <c r="E459" s="4"/>
      <c r="F459" s="3"/>
      <c r="G459" s="5"/>
      <c r="H459" s="3"/>
      <c r="I459" s="5"/>
      <c r="J459" s="3"/>
      <c r="K459" s="5"/>
      <c r="L459" s="3"/>
      <c r="M459" s="5"/>
      <c r="N459" s="5"/>
    </row>
    <row r="460">
      <c r="A460" s="2"/>
      <c r="B460" s="3"/>
      <c r="C460" s="3"/>
      <c r="D460" s="3"/>
      <c r="E460" s="4"/>
      <c r="F460" s="3"/>
      <c r="G460" s="5"/>
      <c r="H460" s="3"/>
      <c r="I460" s="5"/>
      <c r="J460" s="3"/>
      <c r="K460" s="5"/>
      <c r="L460" s="3"/>
      <c r="M460" s="5"/>
      <c r="N460" s="5"/>
    </row>
    <row r="461">
      <c r="A461" s="2"/>
      <c r="B461" s="3"/>
      <c r="C461" s="3"/>
      <c r="D461" s="3"/>
      <c r="E461" s="4"/>
      <c r="F461" s="3"/>
      <c r="G461" s="5"/>
      <c r="H461" s="3"/>
      <c r="I461" s="5"/>
      <c r="J461" s="3"/>
      <c r="K461" s="5"/>
      <c r="L461" s="3"/>
      <c r="M461" s="5"/>
      <c r="N461" s="5"/>
    </row>
    <row r="462">
      <c r="A462" s="2"/>
      <c r="B462" s="3"/>
      <c r="C462" s="3"/>
      <c r="D462" s="3"/>
      <c r="E462" s="4"/>
      <c r="F462" s="3"/>
      <c r="G462" s="5"/>
      <c r="H462" s="3"/>
      <c r="I462" s="5"/>
      <c r="J462" s="3"/>
      <c r="K462" s="5"/>
      <c r="L462" s="3"/>
      <c r="M462" s="5"/>
      <c r="N462" s="5"/>
    </row>
    <row r="463">
      <c r="A463" s="2"/>
      <c r="B463" s="3"/>
      <c r="C463" s="3"/>
      <c r="D463" s="3"/>
      <c r="E463" s="4"/>
      <c r="F463" s="3"/>
      <c r="G463" s="5"/>
      <c r="H463" s="3"/>
      <c r="I463" s="5"/>
      <c r="J463" s="3"/>
      <c r="K463" s="5"/>
      <c r="L463" s="3"/>
      <c r="M463" s="5"/>
      <c r="N463" s="5"/>
    </row>
    <row r="464">
      <c r="A464" s="2"/>
      <c r="B464" s="3"/>
      <c r="C464" s="3"/>
      <c r="D464" s="3"/>
      <c r="E464" s="4"/>
      <c r="F464" s="3"/>
      <c r="G464" s="5"/>
      <c r="H464" s="3"/>
      <c r="I464" s="5"/>
      <c r="J464" s="3"/>
      <c r="K464" s="5"/>
      <c r="L464" s="3"/>
      <c r="M464" s="5"/>
      <c r="N464" s="5"/>
    </row>
    <row r="465">
      <c r="A465" s="2"/>
      <c r="B465" s="3"/>
      <c r="C465" s="3"/>
      <c r="D465" s="3"/>
      <c r="E465" s="4"/>
      <c r="F465" s="3"/>
      <c r="G465" s="5"/>
      <c r="H465" s="3"/>
      <c r="I465" s="5"/>
      <c r="J465" s="3"/>
      <c r="K465" s="5"/>
      <c r="L465" s="3"/>
      <c r="M465" s="5"/>
      <c r="N465" s="5"/>
    </row>
    <row r="466">
      <c r="A466" s="2"/>
      <c r="B466" s="3"/>
      <c r="C466" s="3"/>
      <c r="D466" s="3"/>
      <c r="E466" s="4"/>
      <c r="F466" s="3"/>
      <c r="G466" s="5"/>
      <c r="H466" s="3"/>
      <c r="I466" s="5"/>
      <c r="J466" s="3"/>
      <c r="K466" s="5"/>
      <c r="L466" s="3"/>
      <c r="M466" s="5"/>
      <c r="N466" s="5"/>
    </row>
    <row r="467">
      <c r="A467" s="2"/>
      <c r="B467" s="3"/>
      <c r="C467" s="3"/>
      <c r="D467" s="3"/>
      <c r="E467" s="4"/>
      <c r="F467" s="3"/>
      <c r="G467" s="5"/>
      <c r="H467" s="3"/>
      <c r="I467" s="5"/>
      <c r="J467" s="3"/>
      <c r="K467" s="5"/>
      <c r="L467" s="3"/>
      <c r="M467" s="5"/>
      <c r="N467" s="5"/>
    </row>
    <row r="468">
      <c r="A468" s="2"/>
      <c r="B468" s="3"/>
      <c r="C468" s="3"/>
      <c r="D468" s="3"/>
      <c r="E468" s="4"/>
      <c r="F468" s="3"/>
      <c r="G468" s="5"/>
      <c r="H468" s="3"/>
      <c r="I468" s="5"/>
      <c r="J468" s="3"/>
      <c r="K468" s="5"/>
      <c r="L468" s="3"/>
      <c r="M468" s="5"/>
      <c r="N468" s="5"/>
    </row>
    <row r="469">
      <c r="A469" s="2"/>
      <c r="B469" s="3"/>
      <c r="C469" s="3"/>
      <c r="D469" s="3"/>
      <c r="E469" s="4"/>
      <c r="F469" s="3"/>
      <c r="G469" s="5"/>
      <c r="H469" s="3"/>
      <c r="I469" s="5"/>
      <c r="J469" s="3"/>
      <c r="K469" s="5"/>
      <c r="L469" s="3"/>
      <c r="M469" s="5"/>
      <c r="N469" s="5"/>
    </row>
    <row r="470">
      <c r="A470" s="2"/>
      <c r="B470" s="3"/>
      <c r="C470" s="3"/>
      <c r="D470" s="3"/>
      <c r="E470" s="4"/>
      <c r="F470" s="3"/>
      <c r="G470" s="5"/>
      <c r="H470" s="3"/>
      <c r="I470" s="5"/>
      <c r="J470" s="3"/>
      <c r="K470" s="5"/>
      <c r="L470" s="3"/>
      <c r="M470" s="5"/>
      <c r="N470" s="5"/>
    </row>
    <row r="471">
      <c r="A471" s="2"/>
      <c r="B471" s="3"/>
      <c r="C471" s="3"/>
      <c r="D471" s="3"/>
      <c r="E471" s="4"/>
      <c r="F471" s="3"/>
      <c r="G471" s="5"/>
      <c r="H471" s="3"/>
      <c r="I471" s="5"/>
      <c r="J471" s="3"/>
      <c r="K471" s="5"/>
      <c r="L471" s="3"/>
      <c r="M471" s="5"/>
      <c r="N471" s="5"/>
    </row>
    <row r="472">
      <c r="A472" s="2"/>
      <c r="B472" s="3"/>
      <c r="C472" s="3"/>
      <c r="D472" s="3"/>
      <c r="E472" s="4"/>
      <c r="F472" s="3"/>
      <c r="G472" s="5"/>
      <c r="H472" s="3"/>
      <c r="I472" s="5"/>
      <c r="J472" s="3"/>
      <c r="K472" s="5"/>
      <c r="L472" s="3"/>
      <c r="M472" s="5"/>
      <c r="N472" s="5"/>
    </row>
    <row r="473">
      <c r="A473" s="2"/>
      <c r="B473" s="3"/>
      <c r="C473" s="3"/>
      <c r="D473" s="3"/>
      <c r="E473" s="4"/>
      <c r="F473" s="3"/>
      <c r="G473" s="5"/>
      <c r="H473" s="3"/>
      <c r="I473" s="5"/>
      <c r="J473" s="3"/>
      <c r="K473" s="5"/>
      <c r="L473" s="3"/>
      <c r="M473" s="5"/>
      <c r="N473" s="5"/>
    </row>
    <row r="474">
      <c r="A474" s="2"/>
      <c r="B474" s="3"/>
      <c r="C474" s="3"/>
      <c r="D474" s="3"/>
      <c r="E474" s="4"/>
      <c r="F474" s="3"/>
      <c r="G474" s="5"/>
      <c r="H474" s="3"/>
      <c r="I474" s="5"/>
      <c r="J474" s="3"/>
      <c r="K474" s="5"/>
      <c r="L474" s="3"/>
      <c r="M474" s="5"/>
      <c r="N474" s="5"/>
    </row>
    <row r="475">
      <c r="A475" s="2"/>
      <c r="B475" s="3"/>
      <c r="C475" s="3"/>
      <c r="D475" s="3"/>
      <c r="E475" s="4"/>
      <c r="F475" s="3"/>
      <c r="G475" s="5"/>
      <c r="H475" s="3"/>
      <c r="I475" s="5"/>
      <c r="J475" s="3"/>
      <c r="K475" s="5"/>
      <c r="L475" s="3"/>
      <c r="M475" s="5"/>
      <c r="N475" s="5"/>
    </row>
    <row r="476">
      <c r="A476" s="2"/>
      <c r="B476" s="3"/>
      <c r="C476" s="3"/>
      <c r="D476" s="3"/>
      <c r="E476" s="4"/>
      <c r="F476" s="3"/>
      <c r="G476" s="5"/>
      <c r="H476" s="3"/>
      <c r="I476" s="5"/>
      <c r="J476" s="3"/>
      <c r="K476" s="5"/>
      <c r="L476" s="3"/>
      <c r="M476" s="5"/>
      <c r="N476" s="5"/>
    </row>
    <row r="477">
      <c r="A477" s="2"/>
      <c r="B477" s="3"/>
      <c r="C477" s="3"/>
      <c r="D477" s="3"/>
      <c r="E477" s="4"/>
      <c r="F477" s="3"/>
      <c r="G477" s="5"/>
      <c r="H477" s="3"/>
      <c r="I477" s="5"/>
      <c r="J477" s="3"/>
      <c r="K477" s="5"/>
      <c r="L477" s="3"/>
      <c r="M477" s="5"/>
      <c r="N477" s="5"/>
    </row>
    <row r="478">
      <c r="A478" s="2"/>
      <c r="B478" s="3"/>
      <c r="C478" s="3"/>
      <c r="D478" s="3"/>
      <c r="E478" s="4"/>
      <c r="F478" s="3"/>
      <c r="G478" s="5"/>
      <c r="H478" s="3"/>
      <c r="I478" s="5"/>
      <c r="J478" s="3"/>
      <c r="K478" s="5"/>
      <c r="L478" s="3"/>
      <c r="M478" s="5"/>
      <c r="N478" s="5"/>
    </row>
    <row r="479">
      <c r="A479" s="2"/>
      <c r="B479" s="3"/>
      <c r="C479" s="3"/>
      <c r="D479" s="3"/>
      <c r="E479" s="4"/>
      <c r="F479" s="3"/>
      <c r="G479" s="5"/>
      <c r="H479" s="3"/>
      <c r="I479" s="5"/>
      <c r="J479" s="3"/>
      <c r="K479" s="5"/>
      <c r="L479" s="3"/>
      <c r="M479" s="5"/>
      <c r="N479" s="5"/>
    </row>
    <row r="480">
      <c r="A480" s="2"/>
      <c r="B480" s="3"/>
      <c r="C480" s="3"/>
      <c r="D480" s="3"/>
      <c r="E480" s="4"/>
      <c r="F480" s="3"/>
      <c r="G480" s="5"/>
      <c r="H480" s="3"/>
      <c r="I480" s="5"/>
      <c r="J480" s="3"/>
      <c r="K480" s="5"/>
      <c r="L480" s="3"/>
      <c r="M480" s="5"/>
      <c r="N480" s="5"/>
    </row>
    <row r="481">
      <c r="A481" s="2"/>
      <c r="B481" s="3"/>
      <c r="C481" s="3"/>
      <c r="D481" s="3"/>
      <c r="E481" s="4"/>
      <c r="F481" s="3"/>
      <c r="G481" s="5"/>
      <c r="H481" s="3"/>
      <c r="I481" s="5"/>
      <c r="J481" s="3"/>
      <c r="K481" s="5"/>
      <c r="L481" s="3"/>
      <c r="M481" s="5"/>
      <c r="N481" s="5"/>
    </row>
    <row r="482">
      <c r="A482" s="2"/>
      <c r="B482" s="3"/>
      <c r="C482" s="3"/>
      <c r="D482" s="3"/>
      <c r="E482" s="4"/>
      <c r="F482" s="3"/>
      <c r="G482" s="5"/>
      <c r="H482" s="3"/>
      <c r="I482" s="5"/>
      <c r="J482" s="3"/>
      <c r="K482" s="5"/>
      <c r="L482" s="3"/>
      <c r="M482" s="5"/>
      <c r="N482" s="5"/>
    </row>
    <row r="483">
      <c r="A483" s="2"/>
      <c r="B483" s="3"/>
      <c r="C483" s="3"/>
      <c r="D483" s="3"/>
      <c r="E483" s="4"/>
      <c r="F483" s="3"/>
      <c r="G483" s="5"/>
      <c r="H483" s="3"/>
      <c r="I483" s="5"/>
      <c r="J483" s="3"/>
      <c r="K483" s="5"/>
      <c r="L483" s="3"/>
      <c r="M483" s="5"/>
      <c r="N483" s="5"/>
    </row>
    <row r="484">
      <c r="A484" s="2"/>
      <c r="B484" s="3"/>
      <c r="C484" s="3"/>
      <c r="D484" s="3"/>
      <c r="E484" s="4"/>
      <c r="F484" s="3"/>
      <c r="G484" s="5"/>
      <c r="H484" s="3"/>
      <c r="I484" s="5"/>
      <c r="J484" s="3"/>
      <c r="K484" s="5"/>
      <c r="L484" s="3"/>
      <c r="M484" s="5"/>
      <c r="N484" s="5"/>
    </row>
    <row r="485">
      <c r="A485" s="2"/>
      <c r="B485" s="3"/>
      <c r="C485" s="3"/>
      <c r="D485" s="3"/>
      <c r="E485" s="4"/>
      <c r="F485" s="3"/>
      <c r="G485" s="5"/>
      <c r="H485" s="3"/>
      <c r="I485" s="5"/>
      <c r="J485" s="3"/>
      <c r="K485" s="5"/>
      <c r="L485" s="3"/>
      <c r="M485" s="5"/>
      <c r="N485" s="5"/>
    </row>
    <row r="486">
      <c r="A486" s="2"/>
      <c r="B486" s="3"/>
      <c r="C486" s="3"/>
      <c r="D486" s="3"/>
      <c r="E486" s="4"/>
      <c r="F486" s="3"/>
      <c r="G486" s="5"/>
      <c r="H486" s="3"/>
      <c r="I486" s="5"/>
      <c r="J486" s="3"/>
      <c r="K486" s="5"/>
      <c r="L486" s="3"/>
      <c r="M486" s="5"/>
      <c r="N486" s="5"/>
    </row>
    <row r="487">
      <c r="A487" s="2"/>
      <c r="B487" s="3"/>
      <c r="C487" s="3"/>
      <c r="D487" s="3"/>
      <c r="E487" s="4"/>
      <c r="F487" s="3"/>
      <c r="G487" s="5"/>
      <c r="H487" s="3"/>
      <c r="I487" s="5"/>
      <c r="J487" s="3"/>
      <c r="K487" s="5"/>
      <c r="L487" s="3"/>
      <c r="M487" s="5"/>
      <c r="N487" s="5"/>
    </row>
    <row r="488">
      <c r="A488" s="2"/>
      <c r="B488" s="3"/>
      <c r="C488" s="3"/>
      <c r="D488" s="3"/>
      <c r="E488" s="4"/>
      <c r="F488" s="3"/>
      <c r="G488" s="5"/>
      <c r="H488" s="3"/>
      <c r="I488" s="5"/>
      <c r="J488" s="3"/>
      <c r="K488" s="5"/>
      <c r="L488" s="3"/>
      <c r="M488" s="5"/>
      <c r="N488" s="5"/>
    </row>
    <row r="489">
      <c r="A489" s="2"/>
      <c r="B489" s="3"/>
      <c r="C489" s="3"/>
      <c r="D489" s="3"/>
      <c r="E489" s="4"/>
      <c r="F489" s="3"/>
      <c r="G489" s="5"/>
      <c r="H489" s="3"/>
      <c r="I489" s="5"/>
      <c r="J489" s="3"/>
      <c r="K489" s="5"/>
      <c r="L489" s="3"/>
      <c r="M489" s="5"/>
      <c r="N489" s="5"/>
    </row>
    <row r="490">
      <c r="A490" s="2"/>
      <c r="B490" s="3"/>
      <c r="C490" s="3"/>
      <c r="D490" s="3"/>
      <c r="E490" s="4"/>
      <c r="F490" s="3"/>
      <c r="G490" s="5"/>
      <c r="H490" s="3"/>
      <c r="I490" s="5"/>
      <c r="J490" s="3"/>
      <c r="K490" s="5"/>
      <c r="L490" s="3"/>
      <c r="M490" s="5"/>
      <c r="N490" s="5"/>
    </row>
    <row r="491">
      <c r="A491" s="2"/>
      <c r="B491" s="3"/>
      <c r="C491" s="3"/>
      <c r="D491" s="3"/>
      <c r="E491" s="4"/>
      <c r="F491" s="3"/>
      <c r="G491" s="5"/>
      <c r="H491" s="3"/>
      <c r="I491" s="5"/>
      <c r="J491" s="3"/>
      <c r="K491" s="5"/>
      <c r="L491" s="3"/>
      <c r="M491" s="5"/>
      <c r="N491" s="5"/>
    </row>
    <row r="492">
      <c r="A492" s="2"/>
      <c r="B492" s="3"/>
      <c r="C492" s="3"/>
      <c r="D492" s="3"/>
      <c r="E492" s="4"/>
      <c r="F492" s="3"/>
      <c r="G492" s="5"/>
      <c r="H492" s="3"/>
      <c r="I492" s="5"/>
      <c r="J492" s="3"/>
      <c r="K492" s="5"/>
      <c r="L492" s="3"/>
      <c r="M492" s="5"/>
      <c r="N492" s="5"/>
    </row>
    <row r="493">
      <c r="A493" s="2"/>
      <c r="B493" s="3"/>
      <c r="C493" s="3"/>
      <c r="D493" s="3"/>
      <c r="E493" s="4"/>
      <c r="F493" s="3"/>
      <c r="G493" s="5"/>
      <c r="H493" s="3"/>
      <c r="I493" s="5"/>
      <c r="J493" s="3"/>
      <c r="K493" s="5"/>
      <c r="L493" s="3"/>
      <c r="M493" s="5"/>
      <c r="N493" s="5"/>
    </row>
    <row r="494">
      <c r="A494" s="2"/>
      <c r="B494" s="3"/>
      <c r="C494" s="3"/>
      <c r="D494" s="3"/>
      <c r="E494" s="4"/>
      <c r="F494" s="3"/>
      <c r="G494" s="5"/>
      <c r="H494" s="3"/>
      <c r="I494" s="5"/>
      <c r="J494" s="3"/>
      <c r="K494" s="5"/>
      <c r="L494" s="3"/>
      <c r="M494" s="5"/>
      <c r="N494" s="5"/>
    </row>
    <row r="495">
      <c r="A495" s="2"/>
      <c r="B495" s="3"/>
      <c r="C495" s="3"/>
      <c r="D495" s="3"/>
      <c r="E495" s="4"/>
      <c r="F495" s="3"/>
      <c r="G495" s="5"/>
      <c r="H495" s="3"/>
      <c r="I495" s="5"/>
      <c r="J495" s="3"/>
      <c r="K495" s="5"/>
      <c r="L495" s="3"/>
      <c r="M495" s="5"/>
      <c r="N495" s="5"/>
    </row>
    <row r="496">
      <c r="A496" s="2"/>
      <c r="B496" s="3"/>
      <c r="C496" s="3"/>
      <c r="D496" s="3"/>
      <c r="E496" s="4"/>
      <c r="F496" s="3"/>
      <c r="G496" s="5"/>
      <c r="H496" s="3"/>
      <c r="I496" s="5"/>
      <c r="J496" s="3"/>
      <c r="K496" s="5"/>
      <c r="L496" s="3"/>
      <c r="M496" s="5"/>
      <c r="N496" s="5"/>
    </row>
    <row r="497">
      <c r="A497" s="2"/>
      <c r="B497" s="3"/>
      <c r="C497" s="3"/>
      <c r="D497" s="3"/>
      <c r="E497" s="4"/>
      <c r="F497" s="3"/>
      <c r="G497" s="5"/>
      <c r="H497" s="3"/>
      <c r="I497" s="5"/>
      <c r="J497" s="3"/>
      <c r="K497" s="5"/>
      <c r="L497" s="3"/>
      <c r="M497" s="5"/>
      <c r="N497" s="5"/>
    </row>
    <row r="498">
      <c r="A498" s="2"/>
      <c r="B498" s="3"/>
      <c r="C498" s="3"/>
      <c r="D498" s="3"/>
      <c r="E498" s="4"/>
      <c r="F498" s="3"/>
      <c r="G498" s="5"/>
      <c r="H498" s="3"/>
      <c r="I498" s="5"/>
      <c r="J498" s="3"/>
      <c r="K498" s="5"/>
      <c r="L498" s="3"/>
      <c r="M498" s="5"/>
      <c r="N498" s="5"/>
    </row>
    <row r="499">
      <c r="A499" s="2"/>
      <c r="B499" s="3"/>
      <c r="C499" s="3"/>
      <c r="D499" s="3"/>
      <c r="E499" s="4"/>
      <c r="F499" s="3"/>
      <c r="G499" s="5"/>
      <c r="H499" s="3"/>
      <c r="I499" s="5"/>
      <c r="J499" s="3"/>
      <c r="K499" s="5"/>
      <c r="L499" s="3"/>
      <c r="M499" s="5"/>
      <c r="N499" s="5"/>
    </row>
    <row r="500">
      <c r="A500" s="2"/>
      <c r="B500" s="3"/>
      <c r="C500" s="3"/>
      <c r="D500" s="3"/>
      <c r="E500" s="4"/>
      <c r="F500" s="3"/>
      <c r="G500" s="5"/>
      <c r="H500" s="3"/>
      <c r="I500" s="5"/>
      <c r="J500" s="3"/>
      <c r="K500" s="5"/>
      <c r="L500" s="3"/>
      <c r="M500" s="5"/>
      <c r="N500" s="5"/>
    </row>
    <row r="501">
      <c r="A501" s="2"/>
      <c r="B501" s="3"/>
      <c r="C501" s="3"/>
      <c r="D501" s="3"/>
      <c r="E501" s="4"/>
      <c r="F501" s="3"/>
      <c r="G501" s="5"/>
      <c r="H501" s="3"/>
      <c r="I501" s="5"/>
      <c r="J501" s="3"/>
      <c r="K501" s="5"/>
      <c r="L501" s="3"/>
      <c r="M501" s="5"/>
      <c r="N501" s="5"/>
    </row>
    <row r="502">
      <c r="A502" s="2"/>
      <c r="B502" s="3"/>
      <c r="C502" s="3"/>
      <c r="D502" s="3"/>
      <c r="E502" s="4"/>
      <c r="F502" s="3"/>
      <c r="G502" s="5"/>
      <c r="H502" s="3"/>
      <c r="I502" s="5"/>
      <c r="J502" s="3"/>
      <c r="K502" s="5"/>
      <c r="L502" s="3"/>
      <c r="M502" s="5"/>
      <c r="N502" s="5"/>
    </row>
    <row r="503">
      <c r="A503" s="2"/>
      <c r="B503" s="3"/>
      <c r="C503" s="3"/>
      <c r="D503" s="3"/>
      <c r="E503" s="4"/>
      <c r="F503" s="3"/>
      <c r="G503" s="5"/>
      <c r="H503" s="3"/>
      <c r="I503" s="5"/>
      <c r="J503" s="3"/>
      <c r="K503" s="5"/>
      <c r="L503" s="3"/>
      <c r="M503" s="5"/>
      <c r="N503" s="5"/>
    </row>
    <row r="504">
      <c r="A504" s="2"/>
      <c r="B504" s="3"/>
      <c r="C504" s="3"/>
      <c r="D504" s="3"/>
      <c r="E504" s="4"/>
      <c r="F504" s="3"/>
      <c r="G504" s="5"/>
      <c r="H504" s="3"/>
      <c r="I504" s="5"/>
      <c r="J504" s="3"/>
      <c r="K504" s="5"/>
      <c r="L504" s="3"/>
      <c r="M504" s="5"/>
      <c r="N504" s="5"/>
    </row>
    <row r="505">
      <c r="A505" s="2"/>
      <c r="B505" s="3"/>
      <c r="C505" s="3"/>
      <c r="D505" s="3"/>
      <c r="E505" s="4"/>
      <c r="F505" s="3"/>
      <c r="G505" s="5"/>
      <c r="H505" s="3"/>
      <c r="I505" s="5"/>
      <c r="J505" s="3"/>
      <c r="K505" s="5"/>
      <c r="L505" s="3"/>
      <c r="M505" s="5"/>
      <c r="N505" s="5"/>
    </row>
    <row r="506">
      <c r="A506" s="2"/>
      <c r="B506" s="3"/>
      <c r="C506" s="3"/>
      <c r="D506" s="3"/>
      <c r="E506" s="4"/>
      <c r="F506" s="3"/>
      <c r="G506" s="5"/>
      <c r="H506" s="3"/>
      <c r="I506" s="5"/>
      <c r="J506" s="3"/>
      <c r="K506" s="5"/>
      <c r="L506" s="3"/>
      <c r="M506" s="5"/>
      <c r="N506" s="5"/>
    </row>
    <row r="507">
      <c r="A507" s="2"/>
      <c r="B507" s="3"/>
      <c r="C507" s="3"/>
      <c r="D507" s="3"/>
      <c r="E507" s="4"/>
      <c r="F507" s="3"/>
      <c r="G507" s="5"/>
      <c r="H507" s="3"/>
      <c r="I507" s="5"/>
      <c r="J507" s="3"/>
      <c r="K507" s="5"/>
      <c r="L507" s="3"/>
      <c r="M507" s="5"/>
      <c r="N507" s="5"/>
    </row>
    <row r="508">
      <c r="A508" s="2"/>
      <c r="B508" s="3"/>
      <c r="C508" s="3"/>
      <c r="D508" s="3"/>
      <c r="E508" s="4"/>
      <c r="F508" s="3"/>
      <c r="G508" s="5"/>
      <c r="H508" s="3"/>
      <c r="I508" s="5"/>
      <c r="J508" s="3"/>
      <c r="K508" s="5"/>
      <c r="L508" s="3"/>
      <c r="M508" s="5"/>
      <c r="N508" s="5"/>
    </row>
    <row r="509">
      <c r="A509" s="2"/>
      <c r="B509" s="3"/>
      <c r="C509" s="3"/>
      <c r="D509" s="3"/>
      <c r="E509" s="4"/>
      <c r="F509" s="3"/>
      <c r="G509" s="5"/>
      <c r="H509" s="3"/>
      <c r="I509" s="5"/>
      <c r="J509" s="3"/>
      <c r="K509" s="5"/>
      <c r="L509" s="3"/>
      <c r="M509" s="5"/>
      <c r="N509" s="5"/>
    </row>
    <row r="510">
      <c r="A510" s="2"/>
      <c r="B510" s="3"/>
      <c r="C510" s="3"/>
      <c r="D510" s="3"/>
      <c r="E510" s="4"/>
      <c r="F510" s="3"/>
      <c r="G510" s="5"/>
      <c r="H510" s="3"/>
      <c r="I510" s="5"/>
      <c r="J510" s="3"/>
      <c r="K510" s="5"/>
      <c r="L510" s="3"/>
      <c r="M510" s="5"/>
      <c r="N510" s="5"/>
    </row>
    <row r="511">
      <c r="A511" s="2"/>
      <c r="B511" s="3"/>
      <c r="C511" s="3"/>
      <c r="D511" s="3"/>
      <c r="E511" s="4"/>
      <c r="F511" s="3"/>
      <c r="G511" s="5"/>
      <c r="H511" s="3"/>
      <c r="I511" s="5"/>
      <c r="J511" s="3"/>
      <c r="K511" s="5"/>
      <c r="L511" s="3"/>
      <c r="M511" s="5"/>
      <c r="N511" s="5"/>
    </row>
    <row r="512">
      <c r="A512" s="2"/>
      <c r="B512" s="3"/>
      <c r="C512" s="3"/>
      <c r="D512" s="3"/>
      <c r="E512" s="4"/>
      <c r="F512" s="3"/>
      <c r="G512" s="5"/>
      <c r="H512" s="3"/>
      <c r="I512" s="5"/>
      <c r="J512" s="3"/>
      <c r="K512" s="5"/>
      <c r="L512" s="3"/>
      <c r="M512" s="5"/>
      <c r="N512" s="5"/>
    </row>
    <row r="513">
      <c r="A513" s="2"/>
      <c r="B513" s="3"/>
      <c r="C513" s="3"/>
      <c r="D513" s="3"/>
      <c r="E513" s="4"/>
      <c r="F513" s="3"/>
      <c r="G513" s="5"/>
      <c r="H513" s="3"/>
      <c r="I513" s="5"/>
      <c r="J513" s="3"/>
      <c r="K513" s="5"/>
      <c r="L513" s="3"/>
      <c r="M513" s="5"/>
      <c r="N513" s="5"/>
    </row>
    <row r="514">
      <c r="A514" s="2"/>
      <c r="B514" s="3"/>
      <c r="C514" s="3"/>
      <c r="D514" s="3"/>
      <c r="E514" s="4"/>
      <c r="F514" s="3"/>
      <c r="G514" s="5"/>
      <c r="H514" s="3"/>
      <c r="I514" s="5"/>
      <c r="J514" s="3"/>
      <c r="K514" s="5"/>
      <c r="L514" s="3"/>
      <c r="M514" s="5"/>
      <c r="N514" s="5"/>
    </row>
    <row r="515">
      <c r="A515" s="2"/>
      <c r="B515" s="3"/>
      <c r="C515" s="3"/>
      <c r="D515" s="3"/>
      <c r="E515" s="4"/>
      <c r="F515" s="3"/>
      <c r="G515" s="5"/>
      <c r="H515" s="3"/>
      <c r="I515" s="5"/>
      <c r="J515" s="3"/>
      <c r="K515" s="5"/>
      <c r="L515" s="3"/>
      <c r="M515" s="5"/>
      <c r="N515" s="5"/>
    </row>
    <row r="516">
      <c r="A516" s="2"/>
      <c r="B516" s="3"/>
      <c r="C516" s="3"/>
      <c r="D516" s="3"/>
      <c r="E516" s="4"/>
      <c r="F516" s="3"/>
      <c r="G516" s="5"/>
      <c r="H516" s="3"/>
      <c r="I516" s="5"/>
      <c r="J516" s="3"/>
      <c r="K516" s="5"/>
      <c r="L516" s="3"/>
      <c r="M516" s="5"/>
      <c r="N516" s="5"/>
    </row>
    <row r="517">
      <c r="A517" s="2"/>
      <c r="B517" s="3"/>
      <c r="C517" s="3"/>
      <c r="D517" s="3"/>
      <c r="E517" s="4"/>
      <c r="F517" s="3"/>
      <c r="G517" s="5"/>
      <c r="H517" s="3"/>
      <c r="I517" s="5"/>
      <c r="J517" s="3"/>
      <c r="K517" s="5"/>
      <c r="L517" s="3"/>
      <c r="M517" s="5"/>
      <c r="N517" s="5"/>
    </row>
    <row r="518">
      <c r="A518" s="2"/>
      <c r="B518" s="3"/>
      <c r="C518" s="3"/>
      <c r="D518" s="3"/>
      <c r="E518" s="4"/>
      <c r="F518" s="3"/>
      <c r="G518" s="5"/>
      <c r="H518" s="3"/>
      <c r="I518" s="5"/>
      <c r="J518" s="3"/>
      <c r="K518" s="5"/>
      <c r="L518" s="3"/>
      <c r="M518" s="5"/>
      <c r="N518" s="5"/>
    </row>
    <row r="519">
      <c r="A519" s="2"/>
      <c r="B519" s="3"/>
      <c r="C519" s="3"/>
      <c r="D519" s="3"/>
      <c r="E519" s="4"/>
      <c r="F519" s="3"/>
      <c r="G519" s="5"/>
      <c r="H519" s="3"/>
      <c r="I519" s="5"/>
      <c r="J519" s="3"/>
      <c r="K519" s="5"/>
      <c r="L519" s="3"/>
      <c r="M519" s="5"/>
      <c r="N519" s="5"/>
    </row>
    <row r="520">
      <c r="A520" s="2"/>
      <c r="B520" s="3"/>
      <c r="C520" s="3"/>
      <c r="D520" s="3"/>
      <c r="E520" s="4"/>
      <c r="F520" s="3"/>
      <c r="G520" s="5"/>
      <c r="H520" s="3"/>
      <c r="I520" s="5"/>
      <c r="J520" s="3"/>
      <c r="K520" s="5"/>
      <c r="L520" s="3"/>
      <c r="M520" s="5"/>
      <c r="N520" s="5"/>
    </row>
    <row r="521">
      <c r="A521" s="2"/>
      <c r="B521" s="3"/>
      <c r="C521" s="3"/>
      <c r="D521" s="3"/>
      <c r="E521" s="4"/>
      <c r="F521" s="3"/>
      <c r="G521" s="5"/>
      <c r="H521" s="3"/>
      <c r="I521" s="5"/>
      <c r="J521" s="3"/>
      <c r="K521" s="5"/>
      <c r="L521" s="3"/>
      <c r="M521" s="5"/>
      <c r="N521" s="5"/>
    </row>
    <row r="522">
      <c r="A522" s="2"/>
      <c r="B522" s="3"/>
      <c r="C522" s="3"/>
      <c r="D522" s="3"/>
      <c r="E522" s="4"/>
      <c r="F522" s="3"/>
      <c r="G522" s="5"/>
      <c r="H522" s="3"/>
      <c r="I522" s="5"/>
      <c r="J522" s="3"/>
      <c r="K522" s="5"/>
      <c r="L522" s="3"/>
      <c r="M522" s="5"/>
      <c r="N522" s="5"/>
    </row>
    <row r="523">
      <c r="A523" s="2"/>
      <c r="B523" s="3"/>
      <c r="C523" s="3"/>
      <c r="D523" s="3"/>
      <c r="E523" s="4"/>
      <c r="F523" s="3"/>
      <c r="G523" s="5"/>
      <c r="H523" s="3"/>
      <c r="I523" s="5"/>
      <c r="J523" s="3"/>
      <c r="K523" s="5"/>
      <c r="L523" s="3"/>
      <c r="M523" s="5"/>
      <c r="N523" s="5"/>
    </row>
    <row r="524">
      <c r="A524" s="2"/>
      <c r="B524" s="3"/>
      <c r="C524" s="3"/>
      <c r="D524" s="3"/>
      <c r="E524" s="4"/>
      <c r="F524" s="3"/>
      <c r="G524" s="5"/>
      <c r="H524" s="3"/>
      <c r="I524" s="5"/>
      <c r="J524" s="3"/>
      <c r="K524" s="5"/>
      <c r="L524" s="3"/>
      <c r="M524" s="5"/>
      <c r="N524" s="5"/>
    </row>
    <row r="525">
      <c r="A525" s="2"/>
      <c r="B525" s="3"/>
      <c r="C525" s="3"/>
      <c r="D525" s="3"/>
      <c r="E525" s="4"/>
      <c r="F525" s="3"/>
      <c r="G525" s="5"/>
      <c r="H525" s="3"/>
      <c r="I525" s="5"/>
      <c r="J525" s="3"/>
      <c r="K525" s="5"/>
      <c r="L525" s="3"/>
      <c r="M525" s="5"/>
      <c r="N525" s="5"/>
    </row>
    <row r="526">
      <c r="A526" s="2"/>
      <c r="B526" s="3"/>
      <c r="C526" s="3"/>
      <c r="D526" s="3"/>
      <c r="E526" s="4"/>
      <c r="F526" s="3"/>
      <c r="G526" s="5"/>
      <c r="H526" s="3"/>
      <c r="I526" s="5"/>
      <c r="J526" s="3"/>
      <c r="K526" s="5"/>
      <c r="L526" s="3"/>
      <c r="M526" s="5"/>
      <c r="N526" s="5"/>
    </row>
    <row r="527">
      <c r="A527" s="2"/>
      <c r="B527" s="3"/>
      <c r="C527" s="3"/>
      <c r="D527" s="3"/>
      <c r="E527" s="4"/>
      <c r="F527" s="3"/>
      <c r="G527" s="5"/>
      <c r="H527" s="3"/>
      <c r="I527" s="5"/>
      <c r="J527" s="3"/>
      <c r="K527" s="5"/>
      <c r="L527" s="3"/>
      <c r="M527" s="5"/>
      <c r="N527" s="5"/>
    </row>
    <row r="528">
      <c r="A528" s="2"/>
      <c r="B528" s="3"/>
      <c r="C528" s="3"/>
      <c r="D528" s="3"/>
      <c r="E528" s="4"/>
      <c r="F528" s="3"/>
      <c r="G528" s="5"/>
      <c r="H528" s="3"/>
      <c r="I528" s="5"/>
      <c r="J528" s="3"/>
      <c r="K528" s="5"/>
      <c r="L528" s="3"/>
      <c r="M528" s="5"/>
      <c r="N528" s="5"/>
    </row>
    <row r="529">
      <c r="A529" s="2"/>
      <c r="B529" s="3"/>
      <c r="C529" s="3"/>
      <c r="D529" s="3"/>
      <c r="E529" s="4"/>
      <c r="F529" s="3"/>
      <c r="G529" s="5"/>
      <c r="H529" s="3"/>
      <c r="I529" s="5"/>
      <c r="J529" s="3"/>
      <c r="K529" s="5"/>
      <c r="L529" s="3"/>
      <c r="M529" s="5"/>
      <c r="N529" s="5"/>
    </row>
    <row r="530">
      <c r="A530" s="2"/>
      <c r="B530" s="3"/>
      <c r="C530" s="3"/>
      <c r="D530" s="3"/>
      <c r="E530" s="4"/>
      <c r="F530" s="3"/>
      <c r="G530" s="5"/>
      <c r="H530" s="3"/>
      <c r="I530" s="5"/>
      <c r="J530" s="3"/>
      <c r="K530" s="5"/>
      <c r="L530" s="3"/>
      <c r="M530" s="5"/>
      <c r="N530" s="5"/>
    </row>
    <row r="531">
      <c r="A531" s="2"/>
      <c r="B531" s="3"/>
      <c r="C531" s="3"/>
      <c r="D531" s="3"/>
      <c r="E531" s="4"/>
      <c r="F531" s="3"/>
      <c r="G531" s="5"/>
      <c r="H531" s="3"/>
      <c r="I531" s="5"/>
      <c r="J531" s="3"/>
      <c r="K531" s="5"/>
      <c r="L531" s="3"/>
      <c r="M531" s="5"/>
      <c r="N531" s="5"/>
    </row>
    <row r="532">
      <c r="A532" s="2"/>
      <c r="B532" s="3"/>
      <c r="C532" s="3"/>
      <c r="D532" s="3"/>
      <c r="E532" s="4"/>
      <c r="F532" s="3"/>
      <c r="G532" s="5"/>
      <c r="H532" s="3"/>
      <c r="I532" s="5"/>
      <c r="J532" s="3"/>
      <c r="K532" s="5"/>
      <c r="L532" s="3"/>
      <c r="M532" s="5"/>
      <c r="N532" s="5"/>
    </row>
    <row r="533">
      <c r="A533" s="2"/>
      <c r="B533" s="3"/>
      <c r="C533" s="3"/>
      <c r="D533" s="3"/>
      <c r="E533" s="4"/>
      <c r="F533" s="3"/>
      <c r="G533" s="5"/>
      <c r="H533" s="3"/>
      <c r="I533" s="5"/>
      <c r="J533" s="3"/>
      <c r="K533" s="5"/>
      <c r="L533" s="3"/>
      <c r="M533" s="5"/>
      <c r="N533" s="5"/>
    </row>
    <row r="534">
      <c r="A534" s="2"/>
      <c r="B534" s="3"/>
      <c r="C534" s="3"/>
      <c r="D534" s="3"/>
      <c r="E534" s="4"/>
      <c r="F534" s="3"/>
      <c r="G534" s="5"/>
      <c r="H534" s="3"/>
      <c r="I534" s="5"/>
      <c r="J534" s="3"/>
      <c r="K534" s="5"/>
      <c r="L534" s="3"/>
      <c r="M534" s="5"/>
      <c r="N534" s="5"/>
    </row>
    <row r="535">
      <c r="A535" s="2"/>
      <c r="B535" s="3"/>
      <c r="C535" s="3"/>
      <c r="D535" s="3"/>
      <c r="E535" s="4"/>
      <c r="F535" s="3"/>
      <c r="G535" s="5"/>
      <c r="H535" s="3"/>
      <c r="I535" s="5"/>
      <c r="J535" s="3"/>
      <c r="K535" s="5"/>
      <c r="L535" s="3"/>
      <c r="M535" s="5"/>
      <c r="N535" s="5"/>
    </row>
    <row r="536">
      <c r="A536" s="2"/>
      <c r="B536" s="3"/>
      <c r="C536" s="3"/>
      <c r="D536" s="3"/>
      <c r="E536" s="4"/>
      <c r="F536" s="3"/>
      <c r="G536" s="5"/>
      <c r="H536" s="3"/>
      <c r="I536" s="5"/>
      <c r="J536" s="3"/>
      <c r="K536" s="5"/>
      <c r="L536" s="3"/>
      <c r="M536" s="5"/>
      <c r="N536" s="5"/>
    </row>
    <row r="537">
      <c r="A537" s="2"/>
      <c r="B537" s="3"/>
      <c r="C537" s="3"/>
      <c r="D537" s="3"/>
      <c r="E537" s="4"/>
      <c r="F537" s="3"/>
      <c r="G537" s="5"/>
      <c r="H537" s="3"/>
      <c r="I537" s="5"/>
      <c r="J537" s="3"/>
      <c r="K537" s="5"/>
      <c r="L537" s="3"/>
      <c r="M537" s="5"/>
      <c r="N537" s="5"/>
    </row>
    <row r="538">
      <c r="A538" s="2"/>
      <c r="B538" s="3"/>
      <c r="C538" s="3"/>
      <c r="D538" s="3"/>
      <c r="E538" s="4"/>
      <c r="F538" s="3"/>
      <c r="G538" s="5"/>
      <c r="H538" s="3"/>
      <c r="I538" s="5"/>
      <c r="J538" s="3"/>
      <c r="K538" s="5"/>
      <c r="L538" s="3"/>
      <c r="M538" s="5"/>
      <c r="N538" s="5"/>
    </row>
    <row r="539">
      <c r="A539" s="2"/>
      <c r="B539" s="3"/>
      <c r="C539" s="3"/>
      <c r="D539" s="3"/>
      <c r="E539" s="4"/>
      <c r="F539" s="3"/>
      <c r="G539" s="5"/>
      <c r="H539" s="3"/>
      <c r="I539" s="5"/>
      <c r="J539" s="3"/>
      <c r="K539" s="5"/>
      <c r="L539" s="3"/>
      <c r="M539" s="5"/>
      <c r="N539" s="5"/>
    </row>
    <row r="540">
      <c r="A540" s="2"/>
      <c r="B540" s="3"/>
      <c r="C540" s="3"/>
      <c r="D540" s="3"/>
      <c r="E540" s="4"/>
      <c r="F540" s="3"/>
      <c r="G540" s="5"/>
      <c r="H540" s="3"/>
      <c r="I540" s="5"/>
      <c r="J540" s="3"/>
      <c r="K540" s="5"/>
      <c r="L540" s="3"/>
      <c r="M540" s="5"/>
      <c r="N540" s="5"/>
    </row>
    <row r="541">
      <c r="A541" s="2"/>
      <c r="B541" s="3"/>
      <c r="C541" s="3"/>
      <c r="D541" s="3"/>
      <c r="E541" s="4"/>
      <c r="F541" s="3"/>
      <c r="G541" s="5"/>
      <c r="H541" s="3"/>
      <c r="I541" s="5"/>
      <c r="J541" s="3"/>
      <c r="K541" s="5"/>
      <c r="L541" s="3"/>
      <c r="M541" s="5"/>
      <c r="N541" s="5"/>
    </row>
    <row r="542">
      <c r="A542" s="2"/>
      <c r="B542" s="3"/>
      <c r="C542" s="3"/>
      <c r="D542" s="3"/>
      <c r="E542" s="4"/>
      <c r="F542" s="3"/>
      <c r="G542" s="5"/>
      <c r="H542" s="3"/>
      <c r="I542" s="5"/>
      <c r="J542" s="3"/>
      <c r="K542" s="5"/>
      <c r="L542" s="3"/>
      <c r="M542" s="5"/>
      <c r="N542" s="5"/>
    </row>
    <row r="543">
      <c r="A543" s="2"/>
      <c r="B543" s="3"/>
      <c r="C543" s="3"/>
      <c r="D543" s="3"/>
      <c r="E543" s="4"/>
      <c r="F543" s="3"/>
      <c r="G543" s="5"/>
      <c r="H543" s="3"/>
      <c r="I543" s="5"/>
      <c r="J543" s="3"/>
      <c r="K543" s="5"/>
      <c r="L543" s="3"/>
      <c r="M543" s="5"/>
      <c r="N543" s="5"/>
    </row>
    <row r="544">
      <c r="A544" s="2"/>
      <c r="B544" s="3"/>
      <c r="C544" s="3"/>
      <c r="D544" s="3"/>
      <c r="E544" s="4"/>
      <c r="F544" s="3"/>
      <c r="G544" s="5"/>
      <c r="H544" s="3"/>
      <c r="I544" s="5"/>
      <c r="J544" s="3"/>
      <c r="K544" s="5"/>
      <c r="L544" s="3"/>
      <c r="M544" s="5"/>
      <c r="N544" s="5"/>
    </row>
    <row r="545">
      <c r="A545" s="2"/>
      <c r="B545" s="3"/>
      <c r="C545" s="3"/>
      <c r="D545" s="3"/>
      <c r="E545" s="4"/>
      <c r="F545" s="3"/>
      <c r="G545" s="5"/>
      <c r="H545" s="3"/>
      <c r="I545" s="5"/>
      <c r="J545" s="3"/>
      <c r="K545" s="5"/>
      <c r="L545" s="3"/>
      <c r="M545" s="5"/>
      <c r="N545" s="5"/>
    </row>
    <row r="546">
      <c r="A546" s="2"/>
      <c r="B546" s="3"/>
      <c r="C546" s="3"/>
      <c r="D546" s="3"/>
      <c r="E546" s="4"/>
      <c r="F546" s="3"/>
      <c r="G546" s="5"/>
      <c r="H546" s="3"/>
      <c r="I546" s="5"/>
      <c r="J546" s="3"/>
      <c r="K546" s="5"/>
      <c r="L546" s="3"/>
      <c r="M546" s="5"/>
      <c r="N546" s="5"/>
    </row>
    <row r="547">
      <c r="A547" s="2"/>
      <c r="B547" s="3"/>
      <c r="C547" s="3"/>
      <c r="D547" s="3"/>
      <c r="E547" s="4"/>
      <c r="F547" s="3"/>
      <c r="G547" s="5"/>
      <c r="H547" s="3"/>
      <c r="I547" s="5"/>
      <c r="J547" s="3"/>
      <c r="K547" s="5"/>
      <c r="L547" s="3"/>
      <c r="M547" s="5"/>
      <c r="N547" s="5"/>
    </row>
    <row r="548">
      <c r="A548" s="2"/>
      <c r="B548" s="3"/>
      <c r="C548" s="3"/>
      <c r="D548" s="3"/>
      <c r="E548" s="4"/>
      <c r="F548" s="3"/>
      <c r="G548" s="5"/>
      <c r="H548" s="3"/>
      <c r="I548" s="5"/>
      <c r="J548" s="3"/>
      <c r="K548" s="5"/>
      <c r="L548" s="3"/>
      <c r="M548" s="5"/>
      <c r="N548" s="5"/>
    </row>
    <row r="549">
      <c r="A549" s="2"/>
      <c r="B549" s="3"/>
      <c r="C549" s="3"/>
      <c r="D549" s="3"/>
      <c r="E549" s="4"/>
      <c r="F549" s="3"/>
      <c r="G549" s="5"/>
      <c r="H549" s="3"/>
      <c r="I549" s="5"/>
      <c r="J549" s="3"/>
      <c r="K549" s="5"/>
      <c r="L549" s="3"/>
      <c r="M549" s="5"/>
      <c r="N549" s="5"/>
    </row>
    <row r="550">
      <c r="A550" s="2"/>
      <c r="B550" s="3"/>
      <c r="C550" s="3"/>
      <c r="D550" s="3"/>
      <c r="E550" s="4"/>
      <c r="F550" s="3"/>
      <c r="G550" s="5"/>
      <c r="H550" s="3"/>
      <c r="I550" s="5"/>
      <c r="J550" s="3"/>
      <c r="K550" s="5"/>
      <c r="L550" s="3"/>
      <c r="M550" s="5"/>
      <c r="N550" s="5"/>
    </row>
    <row r="551">
      <c r="A551" s="2"/>
      <c r="B551" s="3"/>
      <c r="C551" s="3"/>
      <c r="D551" s="3"/>
      <c r="E551" s="4"/>
      <c r="F551" s="3"/>
      <c r="G551" s="5"/>
      <c r="H551" s="3"/>
      <c r="I551" s="5"/>
      <c r="J551" s="3"/>
      <c r="K551" s="5"/>
      <c r="L551" s="3"/>
      <c r="M551" s="5"/>
      <c r="N551" s="5"/>
    </row>
    <row r="552">
      <c r="A552" s="2"/>
      <c r="B552" s="3"/>
      <c r="C552" s="3"/>
      <c r="D552" s="3"/>
      <c r="E552" s="4"/>
      <c r="F552" s="3"/>
      <c r="G552" s="5"/>
      <c r="H552" s="3"/>
      <c r="I552" s="5"/>
      <c r="J552" s="3"/>
      <c r="K552" s="5"/>
      <c r="L552" s="3"/>
      <c r="M552" s="5"/>
      <c r="N552" s="5"/>
    </row>
    <row r="553">
      <c r="A553" s="2"/>
      <c r="B553" s="3"/>
      <c r="C553" s="3"/>
      <c r="D553" s="3"/>
      <c r="E553" s="4"/>
      <c r="F553" s="3"/>
      <c r="G553" s="5"/>
      <c r="H553" s="3"/>
      <c r="I553" s="5"/>
      <c r="J553" s="3"/>
      <c r="K553" s="5"/>
      <c r="L553" s="3"/>
      <c r="M553" s="5"/>
      <c r="N553" s="5"/>
    </row>
    <row r="554">
      <c r="A554" s="2"/>
      <c r="B554" s="3"/>
      <c r="C554" s="3"/>
      <c r="D554" s="3"/>
      <c r="E554" s="4"/>
      <c r="F554" s="3"/>
      <c r="G554" s="5"/>
      <c r="H554" s="3"/>
      <c r="I554" s="5"/>
      <c r="J554" s="3"/>
      <c r="K554" s="5"/>
      <c r="L554" s="3"/>
      <c r="M554" s="5"/>
      <c r="N554" s="5"/>
    </row>
    <row r="555">
      <c r="A555" s="2"/>
      <c r="B555" s="3"/>
      <c r="C555" s="3"/>
      <c r="D555" s="3"/>
      <c r="E555" s="4"/>
      <c r="F555" s="3"/>
      <c r="G555" s="5"/>
      <c r="H555" s="3"/>
      <c r="I555" s="5"/>
      <c r="J555" s="3"/>
      <c r="K555" s="5"/>
      <c r="L555" s="3"/>
      <c r="M555" s="5"/>
      <c r="N555" s="5"/>
    </row>
    <row r="556">
      <c r="A556" s="2"/>
      <c r="B556" s="3"/>
      <c r="C556" s="3"/>
      <c r="D556" s="3"/>
      <c r="E556" s="4"/>
      <c r="F556" s="3"/>
      <c r="G556" s="5"/>
      <c r="H556" s="3"/>
      <c r="I556" s="5"/>
      <c r="J556" s="3"/>
      <c r="K556" s="5"/>
      <c r="L556" s="3"/>
      <c r="M556" s="5"/>
      <c r="N556" s="5"/>
    </row>
    <row r="557">
      <c r="A557" s="2"/>
      <c r="B557" s="3"/>
      <c r="C557" s="3"/>
      <c r="D557" s="3"/>
      <c r="E557" s="4"/>
      <c r="F557" s="3"/>
      <c r="G557" s="5"/>
      <c r="H557" s="3"/>
      <c r="I557" s="5"/>
      <c r="J557" s="3"/>
      <c r="K557" s="5"/>
      <c r="L557" s="3"/>
      <c r="M557" s="5"/>
      <c r="N557" s="5"/>
    </row>
    <row r="558">
      <c r="A558" s="2"/>
      <c r="B558" s="3"/>
      <c r="C558" s="3"/>
      <c r="D558" s="3"/>
      <c r="E558" s="4"/>
      <c r="F558" s="3"/>
      <c r="G558" s="5"/>
      <c r="H558" s="3"/>
      <c r="I558" s="5"/>
      <c r="J558" s="3"/>
      <c r="K558" s="5"/>
      <c r="L558" s="3"/>
      <c r="M558" s="5"/>
      <c r="N558" s="5"/>
    </row>
    <row r="559">
      <c r="A559" s="2"/>
      <c r="B559" s="3"/>
      <c r="C559" s="3"/>
      <c r="D559" s="3"/>
      <c r="E559" s="4"/>
      <c r="F559" s="3"/>
      <c r="G559" s="5"/>
      <c r="H559" s="3"/>
      <c r="I559" s="5"/>
      <c r="J559" s="3"/>
      <c r="K559" s="5"/>
      <c r="L559" s="3"/>
      <c r="M559" s="5"/>
      <c r="N559" s="5"/>
    </row>
    <row r="560">
      <c r="A560" s="2"/>
      <c r="B560" s="3"/>
      <c r="C560" s="3"/>
      <c r="D560" s="3"/>
      <c r="E560" s="4"/>
      <c r="F560" s="3"/>
      <c r="G560" s="5"/>
      <c r="H560" s="3"/>
      <c r="I560" s="5"/>
      <c r="J560" s="3"/>
      <c r="K560" s="5"/>
      <c r="L560" s="3"/>
      <c r="M560" s="5"/>
      <c r="N560" s="5"/>
    </row>
    <row r="561">
      <c r="A561" s="2"/>
      <c r="B561" s="3"/>
      <c r="C561" s="3"/>
      <c r="D561" s="3"/>
      <c r="E561" s="4"/>
      <c r="F561" s="3"/>
      <c r="G561" s="5"/>
      <c r="H561" s="3"/>
      <c r="I561" s="5"/>
      <c r="J561" s="3"/>
      <c r="K561" s="5"/>
      <c r="L561" s="3"/>
      <c r="M561" s="5"/>
      <c r="N561" s="5"/>
    </row>
    <row r="562">
      <c r="A562" s="2"/>
      <c r="B562" s="3"/>
      <c r="C562" s="3"/>
      <c r="D562" s="3"/>
      <c r="E562" s="4"/>
      <c r="F562" s="3"/>
      <c r="G562" s="5"/>
      <c r="H562" s="3"/>
      <c r="I562" s="5"/>
      <c r="J562" s="3"/>
      <c r="K562" s="5"/>
      <c r="L562" s="3"/>
      <c r="M562" s="5"/>
      <c r="N562" s="5"/>
    </row>
    <row r="563">
      <c r="A563" s="2"/>
      <c r="B563" s="3"/>
      <c r="C563" s="3"/>
      <c r="D563" s="3"/>
      <c r="E563" s="4"/>
      <c r="F563" s="3"/>
      <c r="G563" s="5"/>
      <c r="H563" s="3"/>
      <c r="I563" s="5"/>
      <c r="J563" s="3"/>
      <c r="K563" s="5"/>
      <c r="L563" s="3"/>
      <c r="M563" s="5"/>
      <c r="N563" s="5"/>
    </row>
    <row r="564">
      <c r="A564" s="2"/>
      <c r="B564" s="3"/>
      <c r="C564" s="3"/>
      <c r="D564" s="3"/>
      <c r="E564" s="4"/>
      <c r="F564" s="3"/>
      <c r="G564" s="5"/>
      <c r="H564" s="3"/>
      <c r="I564" s="5"/>
      <c r="J564" s="3"/>
      <c r="K564" s="5"/>
      <c r="L564" s="3"/>
      <c r="M564" s="5"/>
      <c r="N564" s="5"/>
    </row>
    <row r="565">
      <c r="A565" s="2"/>
      <c r="B565" s="3"/>
      <c r="C565" s="3"/>
      <c r="D565" s="3"/>
      <c r="E565" s="4"/>
      <c r="F565" s="3"/>
      <c r="G565" s="5"/>
      <c r="H565" s="3"/>
      <c r="I565" s="5"/>
      <c r="J565" s="3"/>
      <c r="K565" s="5"/>
      <c r="L565" s="3"/>
      <c r="M565" s="5"/>
      <c r="N565" s="5"/>
    </row>
    <row r="566">
      <c r="A566" s="2"/>
      <c r="B566" s="3"/>
      <c r="C566" s="3"/>
      <c r="D566" s="3"/>
      <c r="E566" s="4"/>
      <c r="F566" s="3"/>
      <c r="G566" s="5"/>
      <c r="H566" s="3"/>
      <c r="I566" s="5"/>
      <c r="J566" s="3"/>
      <c r="K566" s="5"/>
      <c r="L566" s="3"/>
      <c r="M566" s="5"/>
      <c r="N566" s="5"/>
    </row>
    <row r="567">
      <c r="A567" s="2"/>
      <c r="B567" s="3"/>
      <c r="C567" s="3"/>
      <c r="D567" s="3"/>
      <c r="E567" s="4"/>
      <c r="F567" s="3"/>
      <c r="G567" s="5"/>
      <c r="H567" s="3"/>
      <c r="I567" s="5"/>
      <c r="J567" s="3"/>
      <c r="K567" s="5"/>
      <c r="L567" s="3"/>
      <c r="M567" s="5"/>
      <c r="N567" s="5"/>
    </row>
    <row r="568">
      <c r="A568" s="2"/>
      <c r="B568" s="3"/>
      <c r="C568" s="3"/>
      <c r="D568" s="3"/>
      <c r="E568" s="4"/>
      <c r="F568" s="3"/>
      <c r="G568" s="5"/>
      <c r="H568" s="3"/>
      <c r="I568" s="5"/>
      <c r="J568" s="3"/>
      <c r="K568" s="5"/>
      <c r="L568" s="3"/>
      <c r="M568" s="5"/>
      <c r="N568" s="5"/>
    </row>
    <row r="569">
      <c r="A569" s="2"/>
      <c r="B569" s="3"/>
      <c r="C569" s="3"/>
      <c r="D569" s="3"/>
      <c r="E569" s="4"/>
      <c r="F569" s="3"/>
      <c r="G569" s="5"/>
      <c r="H569" s="3"/>
      <c r="I569" s="5"/>
      <c r="J569" s="3"/>
      <c r="K569" s="5"/>
      <c r="L569" s="3"/>
      <c r="M569" s="5"/>
      <c r="N569" s="5"/>
    </row>
    <row r="570">
      <c r="A570" s="2"/>
      <c r="B570" s="3"/>
      <c r="C570" s="3"/>
      <c r="D570" s="3"/>
      <c r="E570" s="4"/>
      <c r="F570" s="3"/>
      <c r="G570" s="5"/>
      <c r="H570" s="3"/>
      <c r="I570" s="5"/>
      <c r="J570" s="3"/>
      <c r="K570" s="5"/>
      <c r="L570" s="3"/>
      <c r="M570" s="5"/>
      <c r="N570" s="5"/>
    </row>
    <row r="571">
      <c r="A571" s="2"/>
      <c r="B571" s="3"/>
      <c r="C571" s="3"/>
      <c r="D571" s="3"/>
      <c r="E571" s="4"/>
      <c r="F571" s="3"/>
      <c r="G571" s="5"/>
      <c r="H571" s="3"/>
      <c r="I571" s="5"/>
      <c r="J571" s="3"/>
      <c r="K571" s="5"/>
      <c r="L571" s="3"/>
      <c r="M571" s="5"/>
      <c r="N571" s="5"/>
    </row>
    <row r="572">
      <c r="A572" s="2"/>
      <c r="B572" s="3"/>
      <c r="C572" s="3"/>
      <c r="D572" s="3"/>
      <c r="E572" s="4"/>
      <c r="F572" s="3"/>
      <c r="G572" s="5"/>
      <c r="H572" s="3"/>
      <c r="I572" s="5"/>
      <c r="J572" s="3"/>
      <c r="K572" s="5"/>
      <c r="L572" s="3"/>
      <c r="M572" s="5"/>
      <c r="N572" s="5"/>
    </row>
    <row r="573">
      <c r="A573" s="2"/>
      <c r="B573" s="3"/>
      <c r="C573" s="3"/>
      <c r="D573" s="3"/>
      <c r="E573" s="4"/>
      <c r="F573" s="3"/>
      <c r="G573" s="5"/>
      <c r="H573" s="3"/>
      <c r="I573" s="5"/>
      <c r="J573" s="3"/>
      <c r="K573" s="5"/>
      <c r="L573" s="3"/>
      <c r="M573" s="5"/>
      <c r="N573" s="5"/>
    </row>
    <row r="574">
      <c r="A574" s="2"/>
      <c r="B574" s="3"/>
      <c r="C574" s="3"/>
      <c r="D574" s="3"/>
      <c r="E574" s="4"/>
      <c r="F574" s="3"/>
      <c r="G574" s="5"/>
      <c r="H574" s="3"/>
      <c r="I574" s="5"/>
      <c r="J574" s="3"/>
      <c r="K574" s="5"/>
      <c r="L574" s="3"/>
      <c r="M574" s="5"/>
      <c r="N574" s="5"/>
    </row>
    <row r="575">
      <c r="A575" s="2"/>
      <c r="B575" s="3"/>
      <c r="C575" s="3"/>
      <c r="D575" s="3"/>
      <c r="E575" s="4"/>
      <c r="F575" s="3"/>
      <c r="G575" s="5"/>
      <c r="H575" s="3"/>
      <c r="I575" s="5"/>
      <c r="J575" s="3"/>
      <c r="K575" s="5"/>
      <c r="L575" s="3"/>
      <c r="M575" s="5"/>
      <c r="N575" s="5"/>
    </row>
    <row r="576">
      <c r="A576" s="2"/>
      <c r="B576" s="3"/>
      <c r="C576" s="3"/>
      <c r="D576" s="3"/>
      <c r="E576" s="4"/>
      <c r="F576" s="3"/>
      <c r="G576" s="5"/>
      <c r="H576" s="3"/>
      <c r="I576" s="5"/>
      <c r="J576" s="3"/>
      <c r="K576" s="5"/>
      <c r="L576" s="3"/>
      <c r="M576" s="5"/>
      <c r="N576" s="5"/>
    </row>
    <row r="577">
      <c r="A577" s="2"/>
      <c r="B577" s="3"/>
      <c r="C577" s="3"/>
      <c r="D577" s="3"/>
      <c r="E577" s="4"/>
      <c r="F577" s="3"/>
      <c r="G577" s="5"/>
      <c r="H577" s="3"/>
      <c r="I577" s="5"/>
      <c r="J577" s="3"/>
      <c r="K577" s="5"/>
      <c r="L577" s="3"/>
      <c r="M577" s="5"/>
      <c r="N577" s="5"/>
    </row>
    <row r="578">
      <c r="A578" s="2"/>
      <c r="B578" s="3"/>
      <c r="C578" s="3"/>
      <c r="D578" s="3"/>
      <c r="E578" s="4"/>
      <c r="F578" s="3"/>
      <c r="G578" s="5"/>
      <c r="H578" s="3"/>
      <c r="I578" s="5"/>
      <c r="J578" s="3"/>
      <c r="K578" s="5"/>
      <c r="L578" s="3"/>
      <c r="M578" s="5"/>
      <c r="N578" s="5"/>
    </row>
    <row r="579">
      <c r="A579" s="2"/>
      <c r="B579" s="3"/>
      <c r="C579" s="3"/>
      <c r="D579" s="3"/>
      <c r="E579" s="4"/>
      <c r="F579" s="3"/>
      <c r="G579" s="5"/>
      <c r="H579" s="3"/>
      <c r="I579" s="5"/>
      <c r="J579" s="3"/>
      <c r="K579" s="5"/>
      <c r="L579" s="3"/>
      <c r="M579" s="5"/>
      <c r="N579" s="5"/>
    </row>
    <row r="580">
      <c r="A580" s="2"/>
      <c r="B580" s="3"/>
      <c r="C580" s="3"/>
      <c r="D580" s="3"/>
      <c r="E580" s="4"/>
      <c r="F580" s="3"/>
      <c r="G580" s="5"/>
      <c r="H580" s="3"/>
      <c r="I580" s="5"/>
      <c r="J580" s="3"/>
      <c r="K580" s="5"/>
      <c r="L580" s="3"/>
      <c r="M580" s="5"/>
      <c r="N580" s="5"/>
    </row>
    <row r="581">
      <c r="A581" s="2"/>
      <c r="B581" s="3"/>
      <c r="C581" s="3"/>
      <c r="D581" s="3"/>
      <c r="E581" s="4"/>
      <c r="F581" s="3"/>
      <c r="G581" s="5"/>
      <c r="H581" s="3"/>
      <c r="I581" s="5"/>
      <c r="J581" s="3"/>
      <c r="K581" s="5"/>
      <c r="L581" s="3"/>
      <c r="M581" s="5"/>
      <c r="N581" s="5"/>
    </row>
    <row r="582">
      <c r="A582" s="2"/>
      <c r="B582" s="3"/>
      <c r="C582" s="3"/>
      <c r="D582" s="3"/>
      <c r="E582" s="4"/>
      <c r="F582" s="3"/>
      <c r="G582" s="5"/>
      <c r="H582" s="3"/>
      <c r="I582" s="5"/>
      <c r="J582" s="3"/>
      <c r="K582" s="5"/>
      <c r="L582" s="3"/>
      <c r="M582" s="5"/>
      <c r="N582" s="5"/>
    </row>
    <row r="583">
      <c r="A583" s="2"/>
      <c r="B583" s="3"/>
      <c r="C583" s="3"/>
      <c r="D583" s="3"/>
      <c r="E583" s="4"/>
      <c r="F583" s="3"/>
      <c r="G583" s="5"/>
      <c r="H583" s="3"/>
      <c r="I583" s="5"/>
      <c r="J583" s="3"/>
      <c r="K583" s="5"/>
      <c r="L583" s="3"/>
      <c r="M583" s="5"/>
      <c r="N583" s="5"/>
    </row>
    <row r="584">
      <c r="A584" s="2"/>
      <c r="B584" s="3"/>
      <c r="C584" s="3"/>
      <c r="D584" s="3"/>
      <c r="E584" s="4"/>
      <c r="F584" s="3"/>
      <c r="G584" s="5"/>
      <c r="H584" s="3"/>
      <c r="I584" s="5"/>
      <c r="J584" s="3"/>
      <c r="K584" s="5"/>
      <c r="L584" s="3"/>
      <c r="M584" s="5"/>
      <c r="N584" s="5"/>
    </row>
    <row r="585">
      <c r="A585" s="2"/>
      <c r="B585" s="3"/>
      <c r="C585" s="3"/>
      <c r="D585" s="3"/>
      <c r="E585" s="4"/>
      <c r="F585" s="3"/>
      <c r="G585" s="5"/>
      <c r="H585" s="3"/>
      <c r="I585" s="5"/>
      <c r="J585" s="3"/>
      <c r="K585" s="5"/>
      <c r="L585" s="3"/>
      <c r="M585" s="5"/>
      <c r="N585" s="5"/>
    </row>
    <row r="586">
      <c r="A586" s="2"/>
      <c r="B586" s="3"/>
      <c r="C586" s="3"/>
      <c r="D586" s="3"/>
      <c r="E586" s="4"/>
      <c r="F586" s="3"/>
      <c r="G586" s="5"/>
      <c r="H586" s="3"/>
      <c r="I586" s="5"/>
      <c r="J586" s="3"/>
      <c r="K586" s="5"/>
      <c r="L586" s="3"/>
      <c r="M586" s="5"/>
      <c r="N586" s="5"/>
    </row>
    <row r="587">
      <c r="A587" s="2"/>
      <c r="B587" s="3"/>
      <c r="C587" s="3"/>
      <c r="D587" s="3"/>
      <c r="E587" s="4"/>
      <c r="F587" s="3"/>
      <c r="G587" s="5"/>
      <c r="H587" s="3"/>
      <c r="I587" s="5"/>
      <c r="J587" s="3"/>
      <c r="K587" s="5"/>
      <c r="L587" s="3"/>
      <c r="M587" s="5"/>
      <c r="N587" s="5"/>
    </row>
    <row r="588">
      <c r="A588" s="2"/>
      <c r="B588" s="3"/>
      <c r="C588" s="3"/>
      <c r="D588" s="3"/>
      <c r="E588" s="4"/>
      <c r="F588" s="3"/>
      <c r="G588" s="5"/>
      <c r="H588" s="3"/>
      <c r="I588" s="5"/>
      <c r="J588" s="3"/>
      <c r="K588" s="5"/>
      <c r="L588" s="3"/>
      <c r="M588" s="5"/>
      <c r="N588" s="5"/>
    </row>
    <row r="589">
      <c r="A589" s="2"/>
      <c r="B589" s="3"/>
      <c r="C589" s="3"/>
      <c r="D589" s="3"/>
      <c r="E589" s="4"/>
      <c r="F589" s="3"/>
      <c r="G589" s="5"/>
      <c r="H589" s="3"/>
      <c r="I589" s="5"/>
      <c r="J589" s="3"/>
      <c r="K589" s="5"/>
      <c r="L589" s="3"/>
      <c r="M589" s="5"/>
      <c r="N589" s="5"/>
    </row>
    <row r="590">
      <c r="A590" s="2"/>
      <c r="B590" s="3"/>
      <c r="C590" s="3"/>
      <c r="D590" s="3"/>
      <c r="E590" s="4"/>
      <c r="F590" s="3"/>
      <c r="G590" s="5"/>
      <c r="H590" s="3"/>
      <c r="I590" s="5"/>
      <c r="J590" s="3"/>
      <c r="K590" s="5"/>
      <c r="L590" s="3"/>
      <c r="M590" s="5"/>
      <c r="N590" s="5"/>
    </row>
    <row r="591">
      <c r="A591" s="2"/>
      <c r="B591" s="3"/>
      <c r="C591" s="3"/>
      <c r="D591" s="3"/>
      <c r="E591" s="4"/>
      <c r="F591" s="3"/>
      <c r="G591" s="5"/>
      <c r="H591" s="3"/>
      <c r="I591" s="5"/>
      <c r="J591" s="3"/>
      <c r="K591" s="5"/>
      <c r="L591" s="3"/>
      <c r="M591" s="5"/>
      <c r="N591" s="5"/>
    </row>
    <row r="592">
      <c r="A592" s="2"/>
      <c r="B592" s="3"/>
      <c r="C592" s="3"/>
      <c r="D592" s="3"/>
      <c r="E592" s="4"/>
      <c r="F592" s="3"/>
      <c r="G592" s="5"/>
      <c r="H592" s="3"/>
      <c r="I592" s="5"/>
      <c r="J592" s="3"/>
      <c r="K592" s="5"/>
      <c r="L592" s="3"/>
      <c r="M592" s="5"/>
      <c r="N592" s="5"/>
    </row>
    <row r="593">
      <c r="A593" s="2"/>
      <c r="B593" s="3"/>
      <c r="C593" s="3"/>
      <c r="D593" s="3"/>
      <c r="E593" s="4"/>
      <c r="F593" s="3"/>
      <c r="G593" s="5"/>
      <c r="H593" s="3"/>
      <c r="I593" s="5"/>
      <c r="J593" s="3"/>
      <c r="K593" s="5"/>
      <c r="L593" s="3"/>
      <c r="M593" s="5"/>
      <c r="N593" s="5"/>
    </row>
    <row r="594">
      <c r="A594" s="2"/>
      <c r="B594" s="3"/>
      <c r="C594" s="3"/>
      <c r="D594" s="3"/>
      <c r="E594" s="4"/>
      <c r="F594" s="3"/>
      <c r="G594" s="5"/>
      <c r="H594" s="3"/>
      <c r="I594" s="5"/>
      <c r="J594" s="3"/>
      <c r="K594" s="5"/>
      <c r="L594" s="3"/>
      <c r="M594" s="5"/>
      <c r="N594" s="5"/>
    </row>
    <row r="595">
      <c r="A595" s="2"/>
      <c r="B595" s="3"/>
      <c r="C595" s="3"/>
      <c r="D595" s="3"/>
      <c r="E595" s="4"/>
      <c r="F595" s="3"/>
      <c r="G595" s="5"/>
      <c r="H595" s="3"/>
      <c r="I595" s="5"/>
      <c r="J595" s="3"/>
      <c r="K595" s="5"/>
      <c r="L595" s="3"/>
      <c r="M595" s="5"/>
      <c r="N595" s="5"/>
    </row>
    <row r="596">
      <c r="A596" s="2"/>
      <c r="B596" s="3"/>
      <c r="C596" s="3"/>
      <c r="D596" s="3"/>
      <c r="E596" s="4"/>
      <c r="F596" s="3"/>
      <c r="G596" s="5"/>
      <c r="H596" s="3"/>
      <c r="I596" s="5"/>
      <c r="J596" s="3"/>
      <c r="K596" s="5"/>
      <c r="L596" s="3"/>
      <c r="M596" s="5"/>
      <c r="N596" s="5"/>
    </row>
    <row r="597">
      <c r="A597" s="2"/>
      <c r="B597" s="3"/>
      <c r="C597" s="3"/>
      <c r="D597" s="3"/>
      <c r="E597" s="4"/>
      <c r="F597" s="3"/>
      <c r="G597" s="5"/>
      <c r="H597" s="3"/>
      <c r="I597" s="5"/>
      <c r="J597" s="3"/>
      <c r="K597" s="5"/>
      <c r="L597" s="3"/>
      <c r="M597" s="5"/>
      <c r="N597" s="5"/>
    </row>
    <row r="598">
      <c r="A598" s="2"/>
      <c r="B598" s="3"/>
      <c r="C598" s="3"/>
      <c r="D598" s="3"/>
      <c r="E598" s="4"/>
      <c r="F598" s="3"/>
      <c r="G598" s="5"/>
      <c r="H598" s="3"/>
      <c r="I598" s="5"/>
      <c r="J598" s="3"/>
      <c r="K598" s="5"/>
      <c r="L598" s="3"/>
      <c r="M598" s="5"/>
      <c r="N598" s="5"/>
    </row>
    <row r="599">
      <c r="A599" s="2"/>
      <c r="B599" s="3"/>
      <c r="C599" s="3"/>
      <c r="D599" s="3"/>
      <c r="E599" s="4"/>
      <c r="F599" s="3"/>
      <c r="G599" s="5"/>
      <c r="H599" s="3"/>
      <c r="I599" s="5"/>
      <c r="J599" s="3"/>
      <c r="K599" s="5"/>
      <c r="L599" s="3"/>
      <c r="M599" s="5"/>
      <c r="N599" s="5"/>
    </row>
    <row r="600">
      <c r="A600" s="2"/>
      <c r="B600" s="3"/>
      <c r="C600" s="3"/>
      <c r="D600" s="3"/>
      <c r="E600" s="4"/>
      <c r="F600" s="3"/>
      <c r="G600" s="5"/>
      <c r="H600" s="3"/>
      <c r="I600" s="5"/>
      <c r="J600" s="3"/>
      <c r="K600" s="5"/>
      <c r="L600" s="3"/>
      <c r="M600" s="5"/>
      <c r="N600" s="5"/>
    </row>
    <row r="601">
      <c r="A601" s="2"/>
      <c r="B601" s="3"/>
      <c r="C601" s="3"/>
      <c r="D601" s="3"/>
      <c r="E601" s="4"/>
      <c r="F601" s="3"/>
      <c r="G601" s="5"/>
      <c r="H601" s="3"/>
      <c r="I601" s="5"/>
      <c r="J601" s="3"/>
      <c r="K601" s="5"/>
      <c r="L601" s="3"/>
      <c r="M601" s="5"/>
      <c r="N601" s="5"/>
    </row>
    <row r="602">
      <c r="A602" s="2"/>
      <c r="B602" s="3"/>
      <c r="C602" s="3"/>
      <c r="D602" s="3"/>
      <c r="E602" s="4"/>
      <c r="F602" s="3"/>
      <c r="G602" s="5"/>
      <c r="H602" s="3"/>
      <c r="I602" s="5"/>
      <c r="J602" s="3"/>
      <c r="K602" s="5"/>
      <c r="L602" s="3"/>
      <c r="M602" s="5"/>
      <c r="N602" s="5"/>
    </row>
    <row r="603">
      <c r="A603" s="2"/>
      <c r="B603" s="3"/>
      <c r="C603" s="3"/>
      <c r="D603" s="3"/>
      <c r="E603" s="4"/>
      <c r="F603" s="3"/>
      <c r="G603" s="5"/>
      <c r="H603" s="3"/>
      <c r="I603" s="5"/>
      <c r="J603" s="3"/>
      <c r="K603" s="5"/>
      <c r="L603" s="3"/>
      <c r="M603" s="5"/>
      <c r="N603" s="5"/>
    </row>
    <row r="604">
      <c r="A604" s="2"/>
      <c r="B604" s="3"/>
      <c r="C604" s="3"/>
      <c r="D604" s="3"/>
      <c r="E604" s="4"/>
      <c r="F604" s="3"/>
      <c r="G604" s="5"/>
      <c r="H604" s="3"/>
      <c r="I604" s="5"/>
      <c r="J604" s="3"/>
      <c r="K604" s="5"/>
      <c r="L604" s="3"/>
      <c r="M604" s="5"/>
      <c r="N604" s="5"/>
    </row>
    <row r="605">
      <c r="A605" s="2"/>
      <c r="B605" s="3"/>
      <c r="C605" s="3"/>
      <c r="D605" s="3"/>
      <c r="E605" s="4"/>
      <c r="F605" s="3"/>
      <c r="G605" s="5"/>
      <c r="H605" s="3"/>
      <c r="I605" s="5"/>
      <c r="J605" s="3"/>
      <c r="K605" s="5"/>
      <c r="L605" s="3"/>
      <c r="M605" s="5"/>
      <c r="N605" s="5"/>
    </row>
    <row r="606">
      <c r="A606" s="2"/>
      <c r="B606" s="3"/>
      <c r="C606" s="3"/>
      <c r="D606" s="3"/>
      <c r="E606" s="4"/>
      <c r="F606" s="3"/>
      <c r="G606" s="5"/>
      <c r="H606" s="3"/>
      <c r="I606" s="5"/>
      <c r="J606" s="3"/>
      <c r="K606" s="5"/>
      <c r="L606" s="3"/>
      <c r="M606" s="5"/>
      <c r="N606" s="5"/>
    </row>
    <row r="607">
      <c r="A607" s="2"/>
      <c r="B607" s="3"/>
      <c r="C607" s="3"/>
      <c r="D607" s="3"/>
      <c r="E607" s="4"/>
      <c r="F607" s="3"/>
      <c r="G607" s="5"/>
      <c r="H607" s="3"/>
      <c r="I607" s="5"/>
      <c r="J607" s="3"/>
      <c r="K607" s="5"/>
      <c r="L607" s="3"/>
      <c r="M607" s="5"/>
      <c r="N607" s="5"/>
    </row>
    <row r="608">
      <c r="A608" s="2"/>
      <c r="B608" s="3"/>
      <c r="C608" s="3"/>
      <c r="D608" s="3"/>
      <c r="E608" s="4"/>
      <c r="F608" s="3"/>
      <c r="G608" s="5"/>
      <c r="H608" s="3"/>
      <c r="I608" s="5"/>
      <c r="J608" s="3"/>
      <c r="K608" s="5"/>
      <c r="L608" s="3"/>
      <c r="M608" s="5"/>
      <c r="N608" s="5"/>
    </row>
    <row r="609">
      <c r="A609" s="2"/>
      <c r="B609" s="3"/>
      <c r="C609" s="3"/>
      <c r="D609" s="3"/>
      <c r="E609" s="4"/>
      <c r="F609" s="3"/>
      <c r="G609" s="5"/>
      <c r="H609" s="3"/>
      <c r="I609" s="5"/>
      <c r="J609" s="3"/>
      <c r="K609" s="5"/>
      <c r="L609" s="3"/>
      <c r="M609" s="5"/>
      <c r="N609" s="5"/>
    </row>
    <row r="610">
      <c r="A610" s="2"/>
      <c r="B610" s="3"/>
      <c r="C610" s="3"/>
      <c r="D610" s="3"/>
      <c r="E610" s="4"/>
      <c r="F610" s="3"/>
      <c r="G610" s="5"/>
      <c r="H610" s="3"/>
      <c r="I610" s="5"/>
      <c r="J610" s="3"/>
      <c r="K610" s="5"/>
      <c r="L610" s="3"/>
      <c r="M610" s="5"/>
      <c r="N610" s="5"/>
    </row>
    <row r="611">
      <c r="A611" s="2"/>
      <c r="B611" s="3"/>
      <c r="C611" s="3"/>
      <c r="D611" s="3"/>
      <c r="E611" s="4"/>
      <c r="F611" s="3"/>
      <c r="G611" s="5"/>
      <c r="H611" s="3"/>
      <c r="I611" s="5"/>
      <c r="J611" s="3"/>
      <c r="K611" s="5"/>
      <c r="L611" s="3"/>
      <c r="M611" s="5"/>
      <c r="N611" s="5"/>
    </row>
    <row r="612">
      <c r="A612" s="2"/>
      <c r="B612" s="3"/>
      <c r="C612" s="3"/>
      <c r="D612" s="3"/>
      <c r="E612" s="4"/>
      <c r="F612" s="3"/>
      <c r="G612" s="5"/>
      <c r="H612" s="3"/>
      <c r="I612" s="5"/>
      <c r="J612" s="3"/>
      <c r="K612" s="5"/>
      <c r="L612" s="3"/>
      <c r="M612" s="5"/>
      <c r="N612" s="5"/>
    </row>
    <row r="613">
      <c r="A613" s="2"/>
      <c r="B613" s="3"/>
      <c r="C613" s="3"/>
      <c r="D613" s="3"/>
      <c r="E613" s="4"/>
      <c r="F613" s="3"/>
      <c r="G613" s="5"/>
      <c r="H613" s="3"/>
      <c r="I613" s="5"/>
      <c r="J613" s="3"/>
      <c r="K613" s="5"/>
      <c r="L613" s="3"/>
      <c r="M613" s="5"/>
      <c r="N613" s="5"/>
    </row>
    <row r="614">
      <c r="A614" s="2"/>
      <c r="B614" s="3"/>
      <c r="C614" s="3"/>
      <c r="D614" s="3"/>
      <c r="E614" s="4"/>
      <c r="F614" s="3"/>
      <c r="G614" s="5"/>
      <c r="H614" s="3"/>
      <c r="I614" s="5"/>
      <c r="J614" s="3"/>
      <c r="K614" s="5"/>
      <c r="L614" s="3"/>
      <c r="M614" s="5"/>
      <c r="N614" s="5"/>
    </row>
    <row r="615">
      <c r="A615" s="2"/>
      <c r="B615" s="3"/>
      <c r="C615" s="3"/>
      <c r="D615" s="3"/>
      <c r="E615" s="4"/>
      <c r="F615" s="3"/>
      <c r="G615" s="5"/>
      <c r="H615" s="3"/>
      <c r="I615" s="5"/>
      <c r="J615" s="3"/>
      <c r="K615" s="5"/>
      <c r="L615" s="3"/>
      <c r="M615" s="5"/>
      <c r="N615" s="5"/>
    </row>
    <row r="616">
      <c r="A616" s="2"/>
      <c r="B616" s="3"/>
      <c r="C616" s="3"/>
      <c r="D616" s="3"/>
      <c r="E616" s="4"/>
      <c r="F616" s="3"/>
      <c r="G616" s="5"/>
      <c r="H616" s="3"/>
      <c r="I616" s="5"/>
      <c r="J616" s="3"/>
      <c r="K616" s="5"/>
      <c r="L616" s="3"/>
      <c r="M616" s="5"/>
      <c r="N616" s="5"/>
    </row>
    <row r="617">
      <c r="A617" s="2"/>
      <c r="B617" s="3"/>
      <c r="C617" s="3"/>
      <c r="D617" s="3"/>
      <c r="E617" s="4"/>
      <c r="F617" s="3"/>
      <c r="G617" s="5"/>
      <c r="H617" s="3"/>
      <c r="I617" s="5"/>
      <c r="J617" s="3"/>
      <c r="K617" s="5"/>
      <c r="L617" s="3"/>
      <c r="M617" s="5"/>
      <c r="N617" s="5"/>
    </row>
    <row r="618">
      <c r="A618" s="2"/>
      <c r="B618" s="3"/>
      <c r="C618" s="3"/>
      <c r="D618" s="3"/>
      <c r="E618" s="4"/>
      <c r="F618" s="3"/>
      <c r="G618" s="5"/>
      <c r="H618" s="3"/>
      <c r="I618" s="5"/>
      <c r="J618" s="3"/>
      <c r="K618" s="5"/>
      <c r="L618" s="3"/>
      <c r="M618" s="5"/>
      <c r="N618" s="5"/>
    </row>
    <row r="619">
      <c r="A619" s="2"/>
      <c r="B619" s="3"/>
      <c r="C619" s="3"/>
      <c r="D619" s="3"/>
      <c r="E619" s="4"/>
      <c r="F619" s="3"/>
      <c r="G619" s="5"/>
      <c r="H619" s="3"/>
      <c r="I619" s="5"/>
      <c r="J619" s="3"/>
      <c r="K619" s="5"/>
      <c r="L619" s="3"/>
      <c r="M619" s="5"/>
      <c r="N619" s="5"/>
    </row>
    <row r="620">
      <c r="A620" s="2"/>
      <c r="B620" s="3"/>
      <c r="C620" s="3"/>
      <c r="D620" s="3"/>
      <c r="E620" s="4"/>
      <c r="F620" s="3"/>
      <c r="G620" s="5"/>
      <c r="H620" s="3"/>
      <c r="I620" s="5"/>
      <c r="J620" s="3"/>
      <c r="K620" s="5"/>
      <c r="L620" s="3"/>
      <c r="M620" s="5"/>
      <c r="N620" s="5"/>
    </row>
    <row r="621">
      <c r="A621" s="2"/>
      <c r="B621" s="3"/>
      <c r="C621" s="3"/>
      <c r="D621" s="3"/>
      <c r="E621" s="4"/>
      <c r="F621" s="3"/>
      <c r="G621" s="5"/>
      <c r="H621" s="3"/>
      <c r="I621" s="5"/>
      <c r="J621" s="3"/>
      <c r="K621" s="5"/>
      <c r="L621" s="3"/>
      <c r="M621" s="5"/>
      <c r="N621" s="5"/>
    </row>
    <row r="622">
      <c r="A622" s="2"/>
      <c r="B622" s="3"/>
      <c r="C622" s="3"/>
      <c r="D622" s="3"/>
      <c r="E622" s="4"/>
      <c r="F622" s="3"/>
      <c r="G622" s="5"/>
      <c r="H622" s="3"/>
      <c r="I622" s="5"/>
      <c r="J622" s="3"/>
      <c r="K622" s="5"/>
      <c r="L622" s="3"/>
      <c r="M622" s="5"/>
      <c r="N622" s="5"/>
    </row>
    <row r="623">
      <c r="A623" s="2"/>
      <c r="B623" s="3"/>
      <c r="C623" s="3"/>
      <c r="D623" s="3"/>
      <c r="E623" s="4"/>
      <c r="F623" s="3"/>
      <c r="G623" s="5"/>
      <c r="H623" s="3"/>
      <c r="I623" s="5"/>
      <c r="J623" s="3"/>
      <c r="K623" s="5"/>
      <c r="L623" s="3"/>
      <c r="M623" s="5"/>
      <c r="N623" s="5"/>
    </row>
    <row r="624">
      <c r="A624" s="2"/>
      <c r="B624" s="3"/>
      <c r="C624" s="3"/>
      <c r="D624" s="3"/>
      <c r="E624" s="4"/>
      <c r="F624" s="3"/>
      <c r="G624" s="5"/>
      <c r="H624" s="3"/>
      <c r="I624" s="5"/>
      <c r="J624" s="3"/>
      <c r="K624" s="5"/>
      <c r="L624" s="3"/>
      <c r="M624" s="5"/>
      <c r="N624" s="5"/>
    </row>
    <row r="625">
      <c r="A625" s="2"/>
      <c r="B625" s="3"/>
      <c r="C625" s="3"/>
      <c r="D625" s="3"/>
      <c r="E625" s="4"/>
      <c r="F625" s="3"/>
      <c r="G625" s="5"/>
      <c r="H625" s="3"/>
      <c r="I625" s="5"/>
      <c r="J625" s="3"/>
      <c r="K625" s="5"/>
      <c r="L625" s="3"/>
      <c r="M625" s="5"/>
      <c r="N625" s="5"/>
    </row>
    <row r="626">
      <c r="A626" s="2"/>
      <c r="B626" s="3"/>
      <c r="C626" s="3"/>
      <c r="D626" s="3"/>
      <c r="E626" s="4"/>
      <c r="F626" s="3"/>
      <c r="G626" s="5"/>
      <c r="H626" s="3"/>
      <c r="I626" s="5"/>
      <c r="J626" s="3"/>
      <c r="K626" s="5"/>
      <c r="L626" s="3"/>
      <c r="M626" s="5"/>
      <c r="N626" s="5"/>
    </row>
    <row r="627">
      <c r="A627" s="2"/>
      <c r="B627" s="3"/>
      <c r="C627" s="3"/>
      <c r="D627" s="3"/>
      <c r="E627" s="4"/>
      <c r="F627" s="3"/>
      <c r="G627" s="5"/>
      <c r="H627" s="3"/>
      <c r="I627" s="5"/>
      <c r="J627" s="3"/>
      <c r="K627" s="5"/>
      <c r="L627" s="3"/>
      <c r="M627" s="5"/>
      <c r="N627" s="5"/>
    </row>
    <row r="628">
      <c r="A628" s="2"/>
      <c r="B628" s="3"/>
      <c r="C628" s="3"/>
      <c r="D628" s="3"/>
      <c r="E628" s="4"/>
      <c r="F628" s="3"/>
      <c r="G628" s="5"/>
      <c r="H628" s="3"/>
      <c r="I628" s="5"/>
      <c r="J628" s="3"/>
      <c r="K628" s="5"/>
      <c r="L628" s="3"/>
      <c r="M628" s="5"/>
      <c r="N628" s="5"/>
    </row>
    <row r="629">
      <c r="A629" s="2"/>
      <c r="B629" s="3"/>
      <c r="C629" s="3"/>
      <c r="D629" s="3"/>
      <c r="E629" s="4"/>
      <c r="F629" s="3"/>
      <c r="G629" s="5"/>
      <c r="H629" s="3"/>
      <c r="I629" s="5"/>
      <c r="J629" s="3"/>
      <c r="K629" s="5"/>
      <c r="L629" s="3"/>
      <c r="M629" s="5"/>
      <c r="N629" s="5"/>
    </row>
    <row r="630">
      <c r="A630" s="2"/>
      <c r="B630" s="3"/>
      <c r="C630" s="3"/>
      <c r="D630" s="3"/>
      <c r="E630" s="4"/>
      <c r="F630" s="3"/>
      <c r="G630" s="5"/>
      <c r="H630" s="3"/>
      <c r="I630" s="5"/>
      <c r="J630" s="3"/>
      <c r="K630" s="5"/>
      <c r="L630" s="3"/>
      <c r="M630" s="5"/>
      <c r="N630" s="5"/>
    </row>
    <row r="631">
      <c r="A631" s="2"/>
      <c r="B631" s="3"/>
      <c r="C631" s="3"/>
      <c r="D631" s="3"/>
      <c r="E631" s="4"/>
      <c r="F631" s="3"/>
      <c r="G631" s="5"/>
      <c r="H631" s="3"/>
      <c r="I631" s="5"/>
      <c r="J631" s="3"/>
      <c r="K631" s="5"/>
      <c r="L631" s="3"/>
      <c r="M631" s="5"/>
      <c r="N631" s="5"/>
    </row>
    <row r="632">
      <c r="A632" s="2"/>
      <c r="B632" s="3"/>
      <c r="C632" s="3"/>
      <c r="D632" s="3"/>
      <c r="E632" s="4"/>
      <c r="F632" s="3"/>
      <c r="G632" s="5"/>
      <c r="H632" s="3"/>
      <c r="I632" s="5"/>
      <c r="J632" s="3"/>
      <c r="K632" s="5"/>
      <c r="L632" s="3"/>
      <c r="M632" s="5"/>
      <c r="N632" s="5"/>
    </row>
    <row r="633">
      <c r="A633" s="2"/>
      <c r="B633" s="3"/>
      <c r="C633" s="3"/>
      <c r="D633" s="3"/>
      <c r="E633" s="4"/>
      <c r="F633" s="3"/>
      <c r="G633" s="5"/>
      <c r="H633" s="3"/>
      <c r="I633" s="5"/>
      <c r="J633" s="3"/>
      <c r="K633" s="5"/>
      <c r="L633" s="3"/>
      <c r="M633" s="5"/>
      <c r="N633" s="5"/>
    </row>
    <row r="634">
      <c r="A634" s="2"/>
      <c r="B634" s="3"/>
      <c r="C634" s="3"/>
      <c r="D634" s="3"/>
      <c r="E634" s="4"/>
      <c r="F634" s="3"/>
      <c r="G634" s="5"/>
      <c r="H634" s="3"/>
      <c r="I634" s="5"/>
      <c r="J634" s="3"/>
      <c r="K634" s="5"/>
      <c r="L634" s="3"/>
      <c r="M634" s="5"/>
      <c r="N634" s="5"/>
    </row>
    <row r="635">
      <c r="A635" s="2"/>
      <c r="B635" s="3"/>
      <c r="C635" s="3"/>
      <c r="D635" s="3"/>
      <c r="E635" s="4"/>
      <c r="F635" s="3"/>
      <c r="G635" s="5"/>
      <c r="H635" s="3"/>
      <c r="I635" s="5"/>
      <c r="J635" s="3"/>
      <c r="K635" s="5"/>
      <c r="L635" s="3"/>
      <c r="M635" s="5"/>
      <c r="N635" s="5"/>
    </row>
    <row r="636">
      <c r="A636" s="2"/>
      <c r="B636" s="3"/>
      <c r="C636" s="3"/>
      <c r="D636" s="3"/>
      <c r="E636" s="4"/>
      <c r="F636" s="3"/>
      <c r="G636" s="5"/>
      <c r="H636" s="3"/>
      <c r="I636" s="5"/>
      <c r="J636" s="3"/>
      <c r="K636" s="5"/>
      <c r="L636" s="3"/>
      <c r="M636" s="5"/>
      <c r="N636" s="5"/>
    </row>
    <row r="637">
      <c r="A637" s="2"/>
      <c r="B637" s="3"/>
      <c r="C637" s="3"/>
      <c r="D637" s="3"/>
      <c r="E637" s="4"/>
      <c r="F637" s="3"/>
      <c r="G637" s="5"/>
      <c r="H637" s="3"/>
      <c r="I637" s="5"/>
      <c r="J637" s="3"/>
      <c r="K637" s="5"/>
      <c r="L637" s="3"/>
      <c r="M637" s="5"/>
      <c r="N637" s="5"/>
    </row>
    <row r="638">
      <c r="A638" s="2"/>
      <c r="B638" s="3"/>
      <c r="C638" s="3"/>
      <c r="D638" s="3"/>
      <c r="E638" s="4"/>
      <c r="F638" s="3"/>
      <c r="G638" s="5"/>
      <c r="H638" s="3"/>
      <c r="I638" s="5"/>
      <c r="J638" s="3"/>
      <c r="K638" s="5"/>
      <c r="L638" s="3"/>
      <c r="M638" s="5"/>
      <c r="N638" s="5"/>
    </row>
    <row r="639">
      <c r="A639" s="2"/>
      <c r="B639" s="3"/>
      <c r="C639" s="3"/>
      <c r="D639" s="3"/>
      <c r="E639" s="4"/>
      <c r="F639" s="3"/>
      <c r="G639" s="5"/>
      <c r="H639" s="3"/>
      <c r="I639" s="5"/>
      <c r="J639" s="3"/>
      <c r="K639" s="5"/>
      <c r="L639" s="3"/>
      <c r="M639" s="5"/>
      <c r="N639" s="5"/>
    </row>
    <row r="640">
      <c r="A640" s="2"/>
      <c r="B640" s="3"/>
      <c r="C640" s="3"/>
      <c r="D640" s="3"/>
      <c r="E640" s="4"/>
      <c r="F640" s="3"/>
      <c r="G640" s="5"/>
      <c r="H640" s="3"/>
      <c r="I640" s="5"/>
      <c r="J640" s="3"/>
      <c r="K640" s="5"/>
      <c r="L640" s="3"/>
      <c r="M640" s="5"/>
      <c r="N640" s="5"/>
    </row>
    <row r="641">
      <c r="A641" s="2"/>
      <c r="B641" s="3"/>
      <c r="C641" s="3"/>
      <c r="D641" s="3"/>
      <c r="E641" s="4"/>
      <c r="F641" s="3"/>
      <c r="G641" s="5"/>
      <c r="H641" s="3"/>
      <c r="I641" s="5"/>
      <c r="J641" s="3"/>
      <c r="K641" s="5"/>
      <c r="L641" s="3"/>
      <c r="M641" s="5"/>
      <c r="N641" s="5"/>
    </row>
    <row r="642">
      <c r="A642" s="2"/>
      <c r="B642" s="3"/>
      <c r="C642" s="3"/>
      <c r="D642" s="3"/>
      <c r="E642" s="4"/>
      <c r="F642" s="3"/>
      <c r="G642" s="5"/>
      <c r="H642" s="3"/>
      <c r="I642" s="5"/>
      <c r="J642" s="3"/>
      <c r="K642" s="5"/>
      <c r="L642" s="3"/>
      <c r="M642" s="5"/>
      <c r="N642" s="5"/>
    </row>
    <row r="643">
      <c r="A643" s="2"/>
      <c r="B643" s="3"/>
      <c r="C643" s="3"/>
      <c r="D643" s="3"/>
      <c r="E643" s="4"/>
      <c r="F643" s="3"/>
      <c r="G643" s="5"/>
      <c r="H643" s="3"/>
      <c r="I643" s="5"/>
      <c r="J643" s="3"/>
      <c r="K643" s="5"/>
      <c r="L643" s="3"/>
      <c r="M643" s="5"/>
      <c r="N643" s="5"/>
    </row>
    <row r="644">
      <c r="A644" s="2"/>
      <c r="B644" s="3"/>
      <c r="C644" s="3"/>
      <c r="D644" s="3"/>
      <c r="E644" s="4"/>
      <c r="F644" s="3"/>
      <c r="G644" s="5"/>
      <c r="H644" s="3"/>
      <c r="I644" s="5"/>
      <c r="J644" s="3"/>
      <c r="K644" s="5"/>
      <c r="L644" s="3"/>
      <c r="M644" s="5"/>
      <c r="N644" s="5"/>
    </row>
    <row r="645">
      <c r="A645" s="2"/>
      <c r="B645" s="3"/>
      <c r="C645" s="3"/>
      <c r="D645" s="3"/>
      <c r="E645" s="4"/>
      <c r="F645" s="3"/>
      <c r="G645" s="5"/>
      <c r="H645" s="3"/>
      <c r="I645" s="5"/>
      <c r="J645" s="3"/>
      <c r="K645" s="5"/>
      <c r="L645" s="3"/>
      <c r="M645" s="5"/>
      <c r="N645" s="5"/>
    </row>
    <row r="646">
      <c r="A646" s="2"/>
      <c r="B646" s="3"/>
      <c r="C646" s="3"/>
      <c r="D646" s="3"/>
      <c r="E646" s="4"/>
      <c r="F646" s="3"/>
      <c r="G646" s="5"/>
      <c r="H646" s="3"/>
      <c r="I646" s="5"/>
      <c r="J646" s="3"/>
      <c r="K646" s="5"/>
      <c r="L646" s="3"/>
      <c r="M646" s="5"/>
      <c r="N646" s="5"/>
    </row>
    <row r="647">
      <c r="A647" s="2"/>
      <c r="B647" s="3"/>
      <c r="C647" s="3"/>
      <c r="D647" s="3"/>
      <c r="E647" s="4"/>
      <c r="F647" s="3"/>
      <c r="G647" s="5"/>
      <c r="H647" s="3"/>
      <c r="I647" s="5"/>
      <c r="J647" s="3"/>
      <c r="K647" s="5"/>
      <c r="L647" s="3"/>
      <c r="M647" s="5"/>
      <c r="N647" s="5"/>
    </row>
    <row r="648">
      <c r="A648" s="2"/>
      <c r="B648" s="3"/>
      <c r="C648" s="3"/>
      <c r="D648" s="3"/>
      <c r="E648" s="4"/>
      <c r="F648" s="3"/>
      <c r="G648" s="5"/>
      <c r="H648" s="3"/>
      <c r="I648" s="5"/>
      <c r="J648" s="3"/>
      <c r="K648" s="5"/>
      <c r="L648" s="3"/>
      <c r="M648" s="5"/>
      <c r="N648" s="5"/>
    </row>
    <row r="649">
      <c r="A649" s="2"/>
      <c r="B649" s="3"/>
      <c r="C649" s="3"/>
      <c r="D649" s="3"/>
      <c r="E649" s="4"/>
      <c r="F649" s="3"/>
      <c r="G649" s="5"/>
      <c r="H649" s="3"/>
      <c r="I649" s="5"/>
      <c r="J649" s="3"/>
      <c r="K649" s="5"/>
      <c r="L649" s="3"/>
      <c r="M649" s="5"/>
      <c r="N649" s="5"/>
    </row>
    <row r="650">
      <c r="A650" s="2"/>
      <c r="B650" s="3"/>
      <c r="C650" s="3"/>
      <c r="D650" s="3"/>
      <c r="E650" s="4"/>
      <c r="F650" s="3"/>
      <c r="G650" s="5"/>
      <c r="H650" s="3"/>
      <c r="I650" s="5"/>
      <c r="J650" s="3"/>
      <c r="K650" s="5"/>
      <c r="L650" s="3"/>
      <c r="M650" s="5"/>
      <c r="N650" s="5"/>
    </row>
    <row r="651">
      <c r="A651" s="2"/>
      <c r="B651" s="3"/>
      <c r="C651" s="3"/>
      <c r="D651" s="3"/>
      <c r="E651" s="4"/>
      <c r="F651" s="3"/>
      <c r="G651" s="5"/>
      <c r="H651" s="3"/>
      <c r="I651" s="5"/>
      <c r="J651" s="3"/>
      <c r="K651" s="5"/>
      <c r="L651" s="3"/>
      <c r="M651" s="5"/>
      <c r="N651" s="5"/>
    </row>
    <row r="652">
      <c r="A652" s="2"/>
      <c r="B652" s="3"/>
      <c r="C652" s="3"/>
      <c r="D652" s="3"/>
      <c r="E652" s="4"/>
      <c r="F652" s="3"/>
      <c r="G652" s="5"/>
      <c r="H652" s="3"/>
      <c r="I652" s="5"/>
      <c r="J652" s="3"/>
      <c r="K652" s="5"/>
      <c r="L652" s="3"/>
      <c r="M652" s="5"/>
      <c r="N652" s="5"/>
    </row>
    <row r="653">
      <c r="A653" s="2"/>
      <c r="B653" s="3"/>
      <c r="C653" s="3"/>
      <c r="D653" s="3"/>
      <c r="E653" s="4"/>
      <c r="F653" s="3"/>
      <c r="G653" s="5"/>
      <c r="H653" s="3"/>
      <c r="I653" s="5"/>
      <c r="J653" s="3"/>
      <c r="K653" s="5"/>
      <c r="L653" s="3"/>
      <c r="M653" s="5"/>
      <c r="N653" s="5"/>
    </row>
    <row r="654">
      <c r="A654" s="2"/>
      <c r="B654" s="3"/>
      <c r="C654" s="3"/>
      <c r="D654" s="3"/>
      <c r="E654" s="4"/>
      <c r="F654" s="3"/>
      <c r="G654" s="5"/>
      <c r="H654" s="3"/>
      <c r="I654" s="5"/>
      <c r="J654" s="3"/>
      <c r="K654" s="5"/>
      <c r="L654" s="3"/>
      <c r="M654" s="5"/>
      <c r="N654" s="5"/>
    </row>
    <row r="655">
      <c r="A655" s="2"/>
      <c r="B655" s="3"/>
      <c r="C655" s="3"/>
      <c r="D655" s="3"/>
      <c r="E655" s="4"/>
      <c r="F655" s="3"/>
      <c r="G655" s="5"/>
      <c r="H655" s="3"/>
      <c r="I655" s="5"/>
      <c r="J655" s="3"/>
      <c r="K655" s="5"/>
      <c r="L655" s="3"/>
      <c r="M655" s="5"/>
      <c r="N655" s="5"/>
    </row>
    <row r="656">
      <c r="A656" s="2"/>
      <c r="B656" s="3"/>
      <c r="C656" s="3"/>
      <c r="D656" s="3"/>
      <c r="E656" s="4"/>
      <c r="F656" s="3"/>
      <c r="G656" s="5"/>
      <c r="H656" s="3"/>
      <c r="I656" s="5"/>
      <c r="J656" s="3"/>
      <c r="K656" s="5"/>
      <c r="L656" s="3"/>
      <c r="M656" s="5"/>
      <c r="N656" s="5"/>
    </row>
    <row r="657">
      <c r="A657" s="2"/>
      <c r="B657" s="3"/>
      <c r="C657" s="3"/>
      <c r="D657" s="3"/>
      <c r="E657" s="4"/>
      <c r="F657" s="3"/>
      <c r="G657" s="5"/>
      <c r="H657" s="3"/>
      <c r="I657" s="5"/>
      <c r="J657" s="3"/>
      <c r="K657" s="5"/>
      <c r="L657" s="3"/>
      <c r="M657" s="5"/>
      <c r="N657" s="5"/>
    </row>
    <row r="658">
      <c r="A658" s="2"/>
      <c r="B658" s="3"/>
      <c r="C658" s="3"/>
      <c r="D658" s="3"/>
      <c r="E658" s="4"/>
      <c r="F658" s="3"/>
      <c r="G658" s="5"/>
      <c r="H658" s="3"/>
      <c r="I658" s="5"/>
      <c r="J658" s="3"/>
      <c r="K658" s="5"/>
      <c r="L658" s="3"/>
      <c r="M658" s="5"/>
      <c r="N658" s="5"/>
    </row>
    <row r="659">
      <c r="A659" s="2"/>
      <c r="B659" s="3"/>
      <c r="C659" s="3"/>
      <c r="D659" s="3"/>
      <c r="E659" s="4"/>
      <c r="F659" s="3"/>
      <c r="G659" s="5"/>
      <c r="H659" s="3"/>
      <c r="I659" s="5"/>
      <c r="J659" s="3"/>
      <c r="K659" s="5"/>
      <c r="L659" s="3"/>
      <c r="M659" s="5"/>
      <c r="N659" s="5"/>
    </row>
    <row r="660">
      <c r="A660" s="2"/>
      <c r="B660" s="3"/>
      <c r="C660" s="3"/>
      <c r="D660" s="3"/>
      <c r="E660" s="4"/>
      <c r="F660" s="3"/>
      <c r="G660" s="5"/>
      <c r="H660" s="3"/>
      <c r="I660" s="5"/>
      <c r="J660" s="3"/>
      <c r="K660" s="5"/>
      <c r="L660" s="3"/>
      <c r="M660" s="5"/>
      <c r="N660" s="5"/>
    </row>
    <row r="661">
      <c r="A661" s="2"/>
      <c r="B661" s="3"/>
      <c r="C661" s="3"/>
      <c r="D661" s="3"/>
      <c r="E661" s="4"/>
      <c r="F661" s="3"/>
      <c r="G661" s="5"/>
      <c r="H661" s="3"/>
      <c r="I661" s="5"/>
      <c r="J661" s="3"/>
      <c r="K661" s="5"/>
      <c r="L661" s="3"/>
      <c r="M661" s="5"/>
      <c r="N661" s="5"/>
    </row>
    <row r="662">
      <c r="A662" s="2"/>
      <c r="B662" s="3"/>
      <c r="C662" s="3"/>
      <c r="D662" s="3"/>
      <c r="E662" s="4"/>
      <c r="F662" s="3"/>
      <c r="G662" s="5"/>
      <c r="H662" s="3"/>
      <c r="I662" s="5"/>
      <c r="J662" s="3"/>
      <c r="K662" s="5"/>
      <c r="L662" s="3"/>
      <c r="M662" s="5"/>
      <c r="N662" s="5"/>
    </row>
    <row r="663">
      <c r="A663" s="2"/>
      <c r="B663" s="3"/>
      <c r="C663" s="3"/>
      <c r="D663" s="3"/>
      <c r="E663" s="4"/>
      <c r="F663" s="3"/>
      <c r="G663" s="5"/>
      <c r="H663" s="3"/>
      <c r="I663" s="5"/>
      <c r="J663" s="3"/>
      <c r="K663" s="5"/>
      <c r="L663" s="3"/>
      <c r="M663" s="5"/>
      <c r="N663" s="5"/>
    </row>
    <row r="664">
      <c r="A664" s="2"/>
      <c r="B664" s="3"/>
      <c r="C664" s="3"/>
      <c r="D664" s="3"/>
      <c r="E664" s="4"/>
      <c r="F664" s="3"/>
      <c r="G664" s="5"/>
      <c r="H664" s="3"/>
      <c r="I664" s="5"/>
      <c r="J664" s="3"/>
      <c r="K664" s="5"/>
      <c r="L664" s="3"/>
      <c r="M664" s="5"/>
      <c r="N664" s="5"/>
    </row>
    <row r="665">
      <c r="A665" s="2"/>
      <c r="B665" s="3"/>
      <c r="C665" s="3"/>
      <c r="D665" s="3"/>
      <c r="E665" s="4"/>
      <c r="F665" s="3"/>
      <c r="G665" s="5"/>
      <c r="H665" s="3"/>
      <c r="I665" s="5"/>
      <c r="J665" s="3"/>
      <c r="K665" s="5"/>
      <c r="L665" s="3"/>
      <c r="M665" s="5"/>
      <c r="N665" s="5"/>
    </row>
    <row r="666">
      <c r="A666" s="2"/>
      <c r="B666" s="3"/>
      <c r="C666" s="3"/>
      <c r="D666" s="3"/>
      <c r="E666" s="4"/>
      <c r="F666" s="3"/>
      <c r="G666" s="5"/>
      <c r="H666" s="3"/>
      <c r="I666" s="5"/>
      <c r="J666" s="3"/>
      <c r="K666" s="5"/>
      <c r="L666" s="3"/>
      <c r="M666" s="5"/>
      <c r="N666" s="5"/>
    </row>
    <row r="667">
      <c r="A667" s="2"/>
      <c r="B667" s="3"/>
      <c r="C667" s="3"/>
      <c r="D667" s="3"/>
      <c r="E667" s="4"/>
      <c r="F667" s="3"/>
      <c r="G667" s="5"/>
      <c r="H667" s="3"/>
      <c r="I667" s="5"/>
      <c r="J667" s="3"/>
      <c r="K667" s="5"/>
      <c r="L667" s="3"/>
      <c r="M667" s="5"/>
      <c r="N667" s="5"/>
    </row>
    <row r="668">
      <c r="A668" s="2"/>
      <c r="B668" s="3"/>
      <c r="C668" s="3"/>
      <c r="D668" s="3"/>
      <c r="E668" s="4"/>
      <c r="F668" s="3"/>
      <c r="G668" s="5"/>
      <c r="H668" s="3"/>
      <c r="I668" s="5"/>
      <c r="J668" s="3"/>
      <c r="K668" s="5"/>
      <c r="L668" s="3"/>
      <c r="M668" s="5"/>
      <c r="N668" s="5"/>
    </row>
    <row r="669">
      <c r="A669" s="2"/>
      <c r="B669" s="3"/>
      <c r="C669" s="3"/>
      <c r="D669" s="3"/>
      <c r="E669" s="4"/>
      <c r="F669" s="3"/>
      <c r="G669" s="5"/>
      <c r="H669" s="3"/>
      <c r="I669" s="5"/>
      <c r="J669" s="3"/>
      <c r="K669" s="5"/>
      <c r="L669" s="3"/>
      <c r="M669" s="5"/>
      <c r="N669" s="5"/>
    </row>
    <row r="670">
      <c r="A670" s="2"/>
      <c r="B670" s="3"/>
      <c r="C670" s="3"/>
      <c r="D670" s="3"/>
      <c r="E670" s="4"/>
      <c r="F670" s="3"/>
      <c r="G670" s="5"/>
      <c r="H670" s="3"/>
      <c r="I670" s="5"/>
      <c r="J670" s="3"/>
      <c r="K670" s="5"/>
      <c r="L670" s="3"/>
      <c r="M670" s="5"/>
      <c r="N670" s="5"/>
    </row>
    <row r="671">
      <c r="A671" s="2"/>
      <c r="B671" s="3"/>
      <c r="C671" s="3"/>
      <c r="D671" s="3"/>
      <c r="E671" s="4"/>
      <c r="F671" s="3"/>
      <c r="G671" s="5"/>
      <c r="H671" s="3"/>
      <c r="I671" s="5"/>
      <c r="J671" s="3"/>
      <c r="K671" s="5"/>
      <c r="L671" s="3"/>
      <c r="M671" s="5"/>
      <c r="N671" s="5"/>
    </row>
    <row r="672">
      <c r="A672" s="2"/>
      <c r="B672" s="3"/>
      <c r="C672" s="3"/>
      <c r="D672" s="3"/>
      <c r="E672" s="4"/>
      <c r="F672" s="3"/>
      <c r="G672" s="5"/>
      <c r="H672" s="3"/>
      <c r="I672" s="5"/>
      <c r="J672" s="3"/>
      <c r="K672" s="5"/>
      <c r="L672" s="3"/>
      <c r="M672" s="5"/>
      <c r="N672" s="5"/>
    </row>
    <row r="673">
      <c r="A673" s="2"/>
      <c r="B673" s="3"/>
      <c r="C673" s="3"/>
      <c r="D673" s="3"/>
      <c r="E673" s="4"/>
      <c r="F673" s="3"/>
      <c r="G673" s="5"/>
      <c r="H673" s="3"/>
      <c r="I673" s="5"/>
      <c r="J673" s="3"/>
      <c r="K673" s="5"/>
      <c r="L673" s="3"/>
      <c r="M673" s="5"/>
      <c r="N673" s="5"/>
    </row>
    <row r="674">
      <c r="A674" s="2"/>
      <c r="B674" s="3"/>
      <c r="C674" s="3"/>
      <c r="D674" s="3"/>
      <c r="E674" s="4"/>
      <c r="F674" s="3"/>
      <c r="G674" s="5"/>
      <c r="H674" s="3"/>
      <c r="I674" s="5"/>
      <c r="J674" s="3"/>
      <c r="K674" s="5"/>
      <c r="L674" s="3"/>
      <c r="M674" s="5"/>
      <c r="N674" s="5"/>
    </row>
    <row r="675">
      <c r="A675" s="2"/>
      <c r="B675" s="3"/>
      <c r="C675" s="3"/>
      <c r="D675" s="3"/>
      <c r="E675" s="4"/>
      <c r="F675" s="3"/>
      <c r="G675" s="5"/>
      <c r="H675" s="3"/>
      <c r="I675" s="5"/>
      <c r="J675" s="3"/>
      <c r="K675" s="5"/>
      <c r="L675" s="3"/>
      <c r="M675" s="5"/>
      <c r="N675" s="5"/>
    </row>
    <row r="676">
      <c r="A676" s="2"/>
      <c r="B676" s="3"/>
      <c r="C676" s="3"/>
      <c r="D676" s="3"/>
      <c r="E676" s="4"/>
      <c r="F676" s="3"/>
      <c r="G676" s="5"/>
      <c r="H676" s="3"/>
      <c r="I676" s="5"/>
      <c r="J676" s="3"/>
      <c r="K676" s="5"/>
      <c r="L676" s="3"/>
      <c r="M676" s="5"/>
      <c r="N676" s="5"/>
    </row>
    <row r="677">
      <c r="A677" s="2"/>
      <c r="B677" s="3"/>
      <c r="C677" s="3"/>
      <c r="D677" s="3"/>
      <c r="E677" s="4"/>
      <c r="F677" s="3"/>
      <c r="G677" s="5"/>
      <c r="H677" s="3"/>
      <c r="I677" s="5"/>
      <c r="J677" s="3"/>
      <c r="K677" s="5"/>
      <c r="L677" s="3"/>
      <c r="M677" s="5"/>
      <c r="N677" s="5"/>
    </row>
    <row r="678">
      <c r="A678" s="2"/>
      <c r="B678" s="3"/>
      <c r="C678" s="3"/>
      <c r="D678" s="3"/>
      <c r="E678" s="4"/>
      <c r="F678" s="3"/>
      <c r="G678" s="5"/>
      <c r="H678" s="3"/>
      <c r="I678" s="5"/>
      <c r="J678" s="3"/>
      <c r="K678" s="5"/>
      <c r="L678" s="3"/>
      <c r="M678" s="5"/>
      <c r="N678" s="5"/>
    </row>
    <row r="679">
      <c r="A679" s="2"/>
      <c r="B679" s="3"/>
      <c r="C679" s="3"/>
      <c r="D679" s="3"/>
      <c r="E679" s="4"/>
      <c r="F679" s="3"/>
      <c r="G679" s="5"/>
      <c r="H679" s="3"/>
      <c r="I679" s="5"/>
      <c r="J679" s="3"/>
      <c r="K679" s="5"/>
      <c r="L679" s="3"/>
      <c r="M679" s="5"/>
      <c r="N679" s="5"/>
    </row>
    <row r="680">
      <c r="A680" s="2"/>
      <c r="B680" s="3"/>
      <c r="C680" s="3"/>
      <c r="D680" s="3"/>
      <c r="E680" s="4"/>
      <c r="F680" s="3"/>
      <c r="G680" s="5"/>
      <c r="H680" s="3"/>
      <c r="I680" s="5"/>
      <c r="J680" s="3"/>
      <c r="K680" s="5"/>
      <c r="L680" s="3"/>
      <c r="M680" s="5"/>
      <c r="N680" s="5"/>
    </row>
    <row r="681">
      <c r="A681" s="2"/>
      <c r="B681" s="3"/>
      <c r="C681" s="3"/>
      <c r="D681" s="3"/>
      <c r="E681" s="4"/>
      <c r="F681" s="3"/>
      <c r="G681" s="5"/>
      <c r="H681" s="3"/>
      <c r="I681" s="5"/>
      <c r="J681" s="3"/>
      <c r="K681" s="5"/>
      <c r="L681" s="3"/>
      <c r="M681" s="5"/>
      <c r="N681" s="5"/>
    </row>
    <row r="682">
      <c r="A682" s="2"/>
      <c r="B682" s="3"/>
      <c r="C682" s="3"/>
      <c r="D682" s="3"/>
      <c r="E682" s="4"/>
      <c r="F682" s="3"/>
      <c r="G682" s="5"/>
      <c r="H682" s="3"/>
      <c r="I682" s="5"/>
      <c r="J682" s="3"/>
      <c r="K682" s="5"/>
      <c r="L682" s="3"/>
      <c r="M682" s="5"/>
      <c r="N682" s="5"/>
    </row>
    <row r="683">
      <c r="A683" s="2"/>
      <c r="B683" s="3"/>
      <c r="C683" s="3"/>
      <c r="D683" s="3"/>
      <c r="E683" s="4"/>
      <c r="F683" s="3"/>
      <c r="G683" s="5"/>
      <c r="H683" s="3"/>
      <c r="I683" s="5"/>
      <c r="J683" s="3"/>
      <c r="K683" s="5"/>
      <c r="L683" s="3"/>
      <c r="M683" s="5"/>
      <c r="N683" s="5"/>
    </row>
    <row r="684">
      <c r="A684" s="2"/>
      <c r="B684" s="3"/>
      <c r="C684" s="3"/>
      <c r="D684" s="3"/>
      <c r="E684" s="4"/>
      <c r="F684" s="3"/>
      <c r="G684" s="5"/>
      <c r="H684" s="3"/>
      <c r="I684" s="5"/>
      <c r="J684" s="3"/>
      <c r="K684" s="5"/>
      <c r="L684" s="3"/>
      <c r="M684" s="5"/>
      <c r="N684" s="5"/>
    </row>
    <row r="685">
      <c r="A685" s="2"/>
      <c r="B685" s="3"/>
      <c r="C685" s="3"/>
      <c r="D685" s="3"/>
      <c r="E685" s="4"/>
      <c r="F685" s="3"/>
      <c r="G685" s="5"/>
      <c r="H685" s="3"/>
      <c r="I685" s="5"/>
      <c r="J685" s="3"/>
      <c r="K685" s="5"/>
      <c r="L685" s="3"/>
      <c r="M685" s="5"/>
      <c r="N685" s="5"/>
    </row>
    <row r="686">
      <c r="A686" s="2"/>
      <c r="B686" s="3"/>
      <c r="C686" s="3"/>
      <c r="D686" s="3"/>
      <c r="E686" s="4"/>
      <c r="F686" s="3"/>
      <c r="G686" s="5"/>
      <c r="H686" s="3"/>
      <c r="I686" s="5"/>
      <c r="J686" s="3"/>
      <c r="K686" s="5"/>
      <c r="L686" s="3"/>
      <c r="M686" s="5"/>
      <c r="N686" s="5"/>
    </row>
    <row r="687">
      <c r="A687" s="2"/>
      <c r="B687" s="3"/>
      <c r="C687" s="3"/>
      <c r="D687" s="3"/>
      <c r="E687" s="4"/>
      <c r="F687" s="3"/>
      <c r="G687" s="5"/>
      <c r="H687" s="3"/>
      <c r="I687" s="5"/>
      <c r="J687" s="3"/>
      <c r="K687" s="5"/>
      <c r="L687" s="3"/>
      <c r="M687" s="5"/>
      <c r="N687" s="5"/>
    </row>
    <row r="688">
      <c r="A688" s="2"/>
      <c r="B688" s="3"/>
      <c r="C688" s="3"/>
      <c r="D688" s="3"/>
      <c r="E688" s="4"/>
      <c r="F688" s="3"/>
      <c r="G688" s="5"/>
      <c r="H688" s="3"/>
      <c r="I688" s="5"/>
      <c r="J688" s="3"/>
      <c r="K688" s="5"/>
      <c r="L688" s="3"/>
      <c r="M688" s="5"/>
      <c r="N688" s="5"/>
    </row>
    <row r="689">
      <c r="A689" s="2"/>
      <c r="B689" s="3"/>
      <c r="C689" s="3"/>
      <c r="D689" s="3"/>
      <c r="E689" s="4"/>
      <c r="F689" s="3"/>
      <c r="G689" s="5"/>
      <c r="H689" s="3"/>
      <c r="I689" s="5"/>
      <c r="J689" s="3"/>
      <c r="K689" s="5"/>
      <c r="L689" s="3"/>
      <c r="M689" s="5"/>
      <c r="N689" s="5"/>
    </row>
    <row r="690">
      <c r="A690" s="2"/>
      <c r="B690" s="3"/>
      <c r="C690" s="3"/>
      <c r="D690" s="3"/>
      <c r="E690" s="4"/>
      <c r="F690" s="3"/>
      <c r="G690" s="5"/>
      <c r="H690" s="3"/>
      <c r="I690" s="5"/>
      <c r="J690" s="3"/>
      <c r="K690" s="5"/>
      <c r="L690" s="3"/>
      <c r="M690" s="5"/>
      <c r="N690" s="5"/>
    </row>
    <row r="691">
      <c r="A691" s="2"/>
      <c r="B691" s="3"/>
      <c r="C691" s="3"/>
      <c r="D691" s="3"/>
      <c r="E691" s="4"/>
      <c r="F691" s="3"/>
      <c r="G691" s="5"/>
      <c r="H691" s="3"/>
      <c r="I691" s="5"/>
      <c r="J691" s="3"/>
      <c r="K691" s="5"/>
      <c r="L691" s="3"/>
      <c r="M691" s="5"/>
      <c r="N691" s="5"/>
    </row>
    <row r="692">
      <c r="A692" s="2"/>
      <c r="B692" s="3"/>
      <c r="C692" s="3"/>
      <c r="D692" s="3"/>
      <c r="E692" s="4"/>
      <c r="F692" s="3"/>
      <c r="G692" s="5"/>
      <c r="H692" s="3"/>
      <c r="I692" s="5"/>
      <c r="J692" s="3"/>
      <c r="K692" s="5"/>
      <c r="L692" s="3"/>
      <c r="M692" s="5"/>
      <c r="N692" s="5"/>
    </row>
    <row r="693">
      <c r="A693" s="2"/>
      <c r="B693" s="3"/>
      <c r="C693" s="3"/>
      <c r="D693" s="3"/>
      <c r="E693" s="4"/>
      <c r="F693" s="3"/>
      <c r="G693" s="5"/>
      <c r="H693" s="3"/>
      <c r="I693" s="5"/>
      <c r="J693" s="3"/>
      <c r="K693" s="5"/>
      <c r="L693" s="3"/>
      <c r="M693" s="5"/>
      <c r="N693" s="5"/>
    </row>
    <row r="694">
      <c r="A694" s="2"/>
      <c r="B694" s="3"/>
      <c r="C694" s="3"/>
      <c r="D694" s="3"/>
      <c r="E694" s="4"/>
      <c r="F694" s="3"/>
      <c r="G694" s="5"/>
      <c r="H694" s="3"/>
      <c r="I694" s="5"/>
      <c r="J694" s="3"/>
      <c r="K694" s="5"/>
      <c r="L694" s="3"/>
      <c r="M694" s="5"/>
      <c r="N694" s="5"/>
    </row>
    <row r="695">
      <c r="A695" s="2"/>
      <c r="B695" s="3"/>
      <c r="C695" s="3"/>
      <c r="D695" s="3"/>
      <c r="E695" s="4"/>
      <c r="F695" s="3"/>
      <c r="G695" s="5"/>
      <c r="H695" s="3"/>
      <c r="I695" s="5"/>
      <c r="J695" s="3"/>
      <c r="K695" s="5"/>
      <c r="L695" s="3"/>
      <c r="M695" s="5"/>
      <c r="N695" s="5"/>
    </row>
    <row r="696">
      <c r="A696" s="2"/>
      <c r="B696" s="3"/>
      <c r="C696" s="3"/>
      <c r="D696" s="3"/>
      <c r="E696" s="4"/>
      <c r="F696" s="3"/>
      <c r="G696" s="5"/>
      <c r="H696" s="3"/>
      <c r="I696" s="5"/>
      <c r="J696" s="3"/>
      <c r="K696" s="5"/>
      <c r="L696" s="3"/>
      <c r="M696" s="5"/>
      <c r="N696" s="5"/>
    </row>
    <row r="697">
      <c r="A697" s="2"/>
      <c r="B697" s="3"/>
      <c r="C697" s="3"/>
      <c r="D697" s="3"/>
      <c r="E697" s="4"/>
      <c r="F697" s="3"/>
      <c r="G697" s="5"/>
      <c r="H697" s="3"/>
      <c r="I697" s="5"/>
      <c r="J697" s="3"/>
      <c r="K697" s="5"/>
      <c r="L697" s="3"/>
      <c r="M697" s="5"/>
      <c r="N697" s="5"/>
    </row>
    <row r="698">
      <c r="A698" s="2"/>
      <c r="B698" s="3"/>
      <c r="C698" s="3"/>
      <c r="D698" s="3"/>
      <c r="E698" s="4"/>
      <c r="F698" s="3"/>
      <c r="G698" s="5"/>
      <c r="H698" s="3"/>
      <c r="I698" s="5"/>
      <c r="J698" s="3"/>
      <c r="K698" s="5"/>
      <c r="L698" s="3"/>
      <c r="M698" s="5"/>
      <c r="N698" s="5"/>
    </row>
    <row r="699">
      <c r="A699" s="2"/>
      <c r="B699" s="3"/>
      <c r="C699" s="3"/>
      <c r="D699" s="3"/>
      <c r="E699" s="4"/>
      <c r="F699" s="3"/>
      <c r="G699" s="5"/>
      <c r="H699" s="3"/>
      <c r="I699" s="5"/>
      <c r="J699" s="3"/>
      <c r="K699" s="5"/>
      <c r="L699" s="3"/>
      <c r="M699" s="5"/>
      <c r="N699" s="5"/>
    </row>
    <row r="700">
      <c r="A700" s="2"/>
      <c r="B700" s="3"/>
      <c r="C700" s="3"/>
      <c r="D700" s="3"/>
      <c r="E700" s="4"/>
      <c r="F700" s="3"/>
      <c r="G700" s="5"/>
      <c r="H700" s="3"/>
      <c r="I700" s="5"/>
      <c r="J700" s="3"/>
      <c r="K700" s="5"/>
      <c r="L700" s="3"/>
      <c r="M700" s="5"/>
      <c r="N700" s="5"/>
    </row>
    <row r="701">
      <c r="A701" s="2"/>
      <c r="B701" s="3"/>
      <c r="C701" s="3"/>
      <c r="D701" s="3"/>
      <c r="E701" s="4"/>
      <c r="F701" s="3"/>
      <c r="G701" s="5"/>
      <c r="H701" s="3"/>
      <c r="I701" s="5"/>
      <c r="J701" s="3"/>
      <c r="K701" s="5"/>
      <c r="L701" s="3"/>
      <c r="M701" s="5"/>
      <c r="N701" s="5"/>
    </row>
    <row r="702">
      <c r="A702" s="2"/>
      <c r="B702" s="3"/>
      <c r="C702" s="3"/>
      <c r="D702" s="3"/>
      <c r="E702" s="4"/>
      <c r="F702" s="3"/>
      <c r="G702" s="5"/>
      <c r="H702" s="3"/>
      <c r="I702" s="5"/>
      <c r="J702" s="3"/>
      <c r="K702" s="5"/>
      <c r="L702" s="3"/>
      <c r="M702" s="5"/>
      <c r="N702" s="5"/>
    </row>
    <row r="703">
      <c r="A703" s="2"/>
      <c r="B703" s="3"/>
      <c r="C703" s="3"/>
      <c r="D703" s="3"/>
      <c r="E703" s="4"/>
      <c r="F703" s="3"/>
      <c r="G703" s="5"/>
      <c r="H703" s="3"/>
      <c r="I703" s="5"/>
      <c r="J703" s="3"/>
      <c r="K703" s="5"/>
      <c r="L703" s="3"/>
      <c r="M703" s="5"/>
      <c r="N703" s="5"/>
    </row>
    <row r="704">
      <c r="A704" s="2"/>
      <c r="B704" s="3"/>
      <c r="C704" s="3"/>
      <c r="D704" s="3"/>
      <c r="E704" s="4"/>
      <c r="F704" s="3"/>
      <c r="G704" s="5"/>
      <c r="H704" s="3"/>
      <c r="I704" s="5"/>
      <c r="J704" s="3"/>
      <c r="K704" s="5"/>
      <c r="L704" s="3"/>
      <c r="M704" s="5"/>
      <c r="N704" s="5"/>
    </row>
    <row r="705">
      <c r="A705" s="2"/>
      <c r="B705" s="3"/>
      <c r="C705" s="3"/>
      <c r="D705" s="3"/>
      <c r="E705" s="4"/>
      <c r="F705" s="3"/>
      <c r="G705" s="5"/>
      <c r="H705" s="3"/>
      <c r="I705" s="5"/>
      <c r="J705" s="3"/>
      <c r="K705" s="5"/>
      <c r="L705" s="3"/>
      <c r="M705" s="5"/>
      <c r="N705" s="5"/>
    </row>
    <row r="706">
      <c r="A706" s="2"/>
      <c r="B706" s="3"/>
      <c r="C706" s="3"/>
      <c r="D706" s="3"/>
      <c r="E706" s="4"/>
      <c r="F706" s="3"/>
      <c r="G706" s="5"/>
      <c r="H706" s="3"/>
      <c r="I706" s="5"/>
      <c r="J706" s="3"/>
      <c r="K706" s="5"/>
      <c r="L706" s="3"/>
      <c r="M706" s="5"/>
      <c r="N706" s="5"/>
    </row>
    <row r="707">
      <c r="A707" s="2"/>
      <c r="B707" s="3"/>
      <c r="C707" s="3"/>
      <c r="D707" s="3"/>
      <c r="E707" s="4"/>
      <c r="F707" s="3"/>
      <c r="G707" s="5"/>
      <c r="H707" s="3"/>
      <c r="I707" s="5"/>
      <c r="J707" s="3"/>
      <c r="K707" s="5"/>
      <c r="L707" s="3"/>
      <c r="M707" s="5"/>
      <c r="N707" s="5"/>
    </row>
    <row r="708">
      <c r="A708" s="2"/>
      <c r="B708" s="3"/>
      <c r="C708" s="3"/>
      <c r="D708" s="3"/>
      <c r="E708" s="4"/>
      <c r="F708" s="3"/>
      <c r="G708" s="5"/>
      <c r="H708" s="3"/>
      <c r="I708" s="5"/>
      <c r="J708" s="3"/>
      <c r="K708" s="5"/>
      <c r="L708" s="3"/>
      <c r="M708" s="5"/>
      <c r="N708" s="5"/>
    </row>
    <row r="709">
      <c r="A709" s="2"/>
      <c r="B709" s="3"/>
      <c r="C709" s="3"/>
      <c r="D709" s="3"/>
      <c r="E709" s="4"/>
      <c r="F709" s="3"/>
      <c r="G709" s="5"/>
      <c r="H709" s="3"/>
      <c r="I709" s="5"/>
      <c r="J709" s="3"/>
      <c r="K709" s="5"/>
      <c r="L709" s="3"/>
      <c r="M709" s="5"/>
      <c r="N709" s="5"/>
    </row>
    <row r="710">
      <c r="A710" s="2"/>
      <c r="B710" s="3"/>
      <c r="C710" s="3"/>
      <c r="D710" s="3"/>
      <c r="E710" s="4"/>
      <c r="F710" s="3"/>
      <c r="G710" s="5"/>
      <c r="H710" s="3"/>
      <c r="I710" s="5"/>
      <c r="J710" s="3"/>
      <c r="K710" s="5"/>
      <c r="L710" s="3"/>
      <c r="M710" s="5"/>
      <c r="N710" s="5"/>
    </row>
    <row r="711">
      <c r="A711" s="2"/>
      <c r="B711" s="3"/>
      <c r="C711" s="3"/>
      <c r="D711" s="3"/>
      <c r="E711" s="4"/>
      <c r="F711" s="3"/>
      <c r="G711" s="5"/>
      <c r="H711" s="3"/>
      <c r="I711" s="5"/>
      <c r="J711" s="3"/>
      <c r="K711" s="5"/>
      <c r="L711" s="3"/>
      <c r="M711" s="5"/>
      <c r="N711" s="5"/>
    </row>
    <row r="712">
      <c r="A712" s="2"/>
      <c r="B712" s="3"/>
      <c r="C712" s="3"/>
      <c r="D712" s="3"/>
      <c r="E712" s="4"/>
      <c r="F712" s="3"/>
      <c r="G712" s="5"/>
      <c r="H712" s="3"/>
      <c r="I712" s="5"/>
      <c r="J712" s="3"/>
      <c r="K712" s="5"/>
      <c r="L712" s="3"/>
      <c r="M712" s="5"/>
      <c r="N712" s="5"/>
    </row>
    <row r="713">
      <c r="A713" s="2"/>
      <c r="B713" s="3"/>
      <c r="C713" s="3"/>
      <c r="D713" s="3"/>
      <c r="E713" s="4"/>
      <c r="F713" s="3"/>
      <c r="G713" s="5"/>
      <c r="H713" s="3"/>
      <c r="I713" s="5"/>
      <c r="J713" s="3"/>
      <c r="K713" s="5"/>
      <c r="L713" s="3"/>
      <c r="M713" s="5"/>
      <c r="N713" s="5"/>
    </row>
    <row r="714">
      <c r="A714" s="2"/>
      <c r="B714" s="3"/>
      <c r="C714" s="3"/>
      <c r="D714" s="3"/>
      <c r="E714" s="4"/>
      <c r="F714" s="3"/>
      <c r="G714" s="5"/>
      <c r="H714" s="3"/>
      <c r="I714" s="5"/>
      <c r="J714" s="3"/>
      <c r="K714" s="5"/>
      <c r="L714" s="3"/>
      <c r="M714" s="5"/>
      <c r="N714" s="5"/>
    </row>
    <row r="715">
      <c r="A715" s="2"/>
      <c r="B715" s="3"/>
      <c r="C715" s="3"/>
      <c r="D715" s="3"/>
      <c r="E715" s="4"/>
      <c r="F715" s="3"/>
      <c r="G715" s="5"/>
      <c r="H715" s="3"/>
      <c r="I715" s="5"/>
      <c r="J715" s="3"/>
      <c r="K715" s="5"/>
      <c r="L715" s="3"/>
      <c r="M715" s="5"/>
      <c r="N715" s="5"/>
    </row>
    <row r="716">
      <c r="A716" s="2"/>
      <c r="B716" s="3"/>
      <c r="C716" s="3"/>
      <c r="D716" s="3"/>
      <c r="E716" s="4"/>
      <c r="F716" s="3"/>
      <c r="G716" s="5"/>
      <c r="H716" s="3"/>
      <c r="I716" s="5"/>
      <c r="J716" s="3"/>
      <c r="K716" s="5"/>
      <c r="L716" s="3"/>
      <c r="M716" s="5"/>
      <c r="N716" s="5"/>
    </row>
    <row r="717">
      <c r="A717" s="2"/>
      <c r="B717" s="3"/>
      <c r="C717" s="3"/>
      <c r="D717" s="3"/>
      <c r="E717" s="4"/>
      <c r="F717" s="3"/>
      <c r="G717" s="5"/>
      <c r="H717" s="3"/>
      <c r="I717" s="5"/>
      <c r="J717" s="3"/>
      <c r="K717" s="5"/>
      <c r="L717" s="3"/>
      <c r="M717" s="5"/>
      <c r="N717" s="5"/>
    </row>
    <row r="718">
      <c r="A718" s="2"/>
      <c r="B718" s="3"/>
      <c r="C718" s="3"/>
      <c r="D718" s="3"/>
      <c r="E718" s="4"/>
      <c r="F718" s="3"/>
      <c r="G718" s="5"/>
      <c r="H718" s="3"/>
      <c r="I718" s="5"/>
      <c r="J718" s="3"/>
      <c r="K718" s="5"/>
      <c r="L718" s="3"/>
      <c r="M718" s="5"/>
      <c r="N718" s="5"/>
    </row>
    <row r="719">
      <c r="A719" s="2"/>
      <c r="B719" s="3"/>
      <c r="C719" s="3"/>
      <c r="D719" s="3"/>
      <c r="E719" s="4"/>
      <c r="F719" s="3"/>
      <c r="G719" s="5"/>
      <c r="H719" s="3"/>
      <c r="I719" s="5"/>
      <c r="J719" s="3"/>
      <c r="K719" s="5"/>
      <c r="L719" s="3"/>
      <c r="M719" s="5"/>
      <c r="N719" s="5"/>
    </row>
    <row r="720">
      <c r="A720" s="2"/>
      <c r="B720" s="3"/>
      <c r="C720" s="3"/>
      <c r="D720" s="3"/>
      <c r="E720" s="4"/>
      <c r="F720" s="3"/>
      <c r="G720" s="5"/>
      <c r="H720" s="3"/>
      <c r="I720" s="5"/>
      <c r="J720" s="3"/>
      <c r="K720" s="5"/>
      <c r="L720" s="3"/>
      <c r="M720" s="5"/>
      <c r="N720" s="5"/>
    </row>
    <row r="721">
      <c r="A721" s="2"/>
      <c r="B721" s="3"/>
      <c r="C721" s="3"/>
      <c r="D721" s="3"/>
      <c r="E721" s="4"/>
      <c r="F721" s="3"/>
      <c r="G721" s="5"/>
      <c r="H721" s="3"/>
      <c r="I721" s="5"/>
      <c r="J721" s="3"/>
      <c r="K721" s="5"/>
      <c r="L721" s="3"/>
      <c r="M721" s="5"/>
      <c r="N721" s="5"/>
    </row>
    <row r="722">
      <c r="A722" s="2"/>
      <c r="B722" s="3"/>
      <c r="C722" s="3"/>
      <c r="D722" s="3"/>
      <c r="E722" s="4"/>
      <c r="F722" s="3"/>
      <c r="G722" s="5"/>
      <c r="H722" s="3"/>
      <c r="I722" s="5"/>
      <c r="J722" s="3"/>
      <c r="K722" s="5"/>
      <c r="L722" s="3"/>
      <c r="M722" s="5"/>
      <c r="N722" s="5"/>
    </row>
    <row r="723">
      <c r="A723" s="2"/>
      <c r="B723" s="3"/>
      <c r="C723" s="3"/>
      <c r="D723" s="3"/>
      <c r="E723" s="4"/>
      <c r="F723" s="3"/>
      <c r="G723" s="5"/>
      <c r="H723" s="3"/>
      <c r="I723" s="5"/>
      <c r="J723" s="3"/>
      <c r="K723" s="5"/>
      <c r="L723" s="3"/>
      <c r="M723" s="5"/>
      <c r="N723" s="5"/>
    </row>
    <row r="724">
      <c r="A724" s="2"/>
      <c r="B724" s="3"/>
      <c r="C724" s="3"/>
      <c r="D724" s="3"/>
      <c r="E724" s="4"/>
      <c r="F724" s="3"/>
      <c r="G724" s="5"/>
      <c r="H724" s="3"/>
      <c r="I724" s="5"/>
      <c r="J724" s="3"/>
      <c r="K724" s="5"/>
      <c r="L724" s="3"/>
      <c r="M724" s="5"/>
      <c r="N724" s="5"/>
    </row>
    <row r="725">
      <c r="A725" s="2"/>
      <c r="B725" s="3"/>
      <c r="C725" s="3"/>
      <c r="D725" s="3"/>
      <c r="E725" s="4"/>
      <c r="F725" s="3"/>
      <c r="G725" s="5"/>
      <c r="H725" s="3"/>
      <c r="I725" s="5"/>
      <c r="J725" s="3"/>
      <c r="K725" s="5"/>
      <c r="L725" s="3"/>
      <c r="M725" s="5"/>
      <c r="N725" s="5"/>
    </row>
    <row r="726">
      <c r="A726" s="2"/>
      <c r="B726" s="3"/>
      <c r="C726" s="3"/>
      <c r="D726" s="3"/>
      <c r="E726" s="4"/>
      <c r="F726" s="3"/>
      <c r="G726" s="5"/>
      <c r="H726" s="3"/>
      <c r="I726" s="5"/>
      <c r="J726" s="3"/>
      <c r="K726" s="5"/>
      <c r="L726" s="3"/>
      <c r="M726" s="5"/>
      <c r="N726" s="5"/>
    </row>
    <row r="727">
      <c r="A727" s="2"/>
      <c r="B727" s="3"/>
      <c r="C727" s="3"/>
      <c r="D727" s="3"/>
      <c r="E727" s="4"/>
      <c r="F727" s="3"/>
      <c r="G727" s="5"/>
      <c r="H727" s="3"/>
      <c r="I727" s="5"/>
      <c r="J727" s="3"/>
      <c r="K727" s="5"/>
      <c r="L727" s="3"/>
      <c r="M727" s="5"/>
      <c r="N727" s="5"/>
    </row>
    <row r="728">
      <c r="A728" s="2"/>
      <c r="B728" s="3"/>
      <c r="C728" s="3"/>
      <c r="D728" s="3"/>
      <c r="E728" s="4"/>
      <c r="F728" s="3"/>
      <c r="G728" s="5"/>
      <c r="H728" s="3"/>
      <c r="I728" s="5"/>
      <c r="J728" s="3"/>
      <c r="K728" s="5"/>
      <c r="L728" s="3"/>
      <c r="M728" s="5"/>
      <c r="N728" s="5"/>
    </row>
    <row r="729">
      <c r="A729" s="2"/>
      <c r="B729" s="3"/>
      <c r="C729" s="3"/>
      <c r="D729" s="3"/>
      <c r="E729" s="4"/>
      <c r="F729" s="3"/>
      <c r="G729" s="5"/>
      <c r="H729" s="3"/>
      <c r="I729" s="5"/>
      <c r="J729" s="3"/>
      <c r="K729" s="5"/>
      <c r="L729" s="3"/>
      <c r="M729" s="5"/>
      <c r="N729" s="5"/>
    </row>
    <row r="730">
      <c r="A730" s="2"/>
      <c r="B730" s="3"/>
      <c r="C730" s="3"/>
      <c r="D730" s="3"/>
      <c r="E730" s="4"/>
      <c r="F730" s="3"/>
      <c r="G730" s="5"/>
      <c r="H730" s="3"/>
      <c r="I730" s="5"/>
      <c r="J730" s="3"/>
      <c r="K730" s="5"/>
      <c r="L730" s="3"/>
      <c r="M730" s="5"/>
      <c r="N730" s="5"/>
    </row>
    <row r="731">
      <c r="A731" s="2"/>
      <c r="B731" s="3"/>
      <c r="C731" s="3"/>
      <c r="D731" s="3"/>
      <c r="E731" s="4"/>
      <c r="F731" s="3"/>
      <c r="G731" s="5"/>
      <c r="H731" s="3"/>
      <c r="I731" s="5"/>
      <c r="J731" s="3"/>
      <c r="K731" s="5"/>
      <c r="L731" s="3"/>
      <c r="M731" s="5"/>
      <c r="N731" s="5"/>
    </row>
    <row r="732">
      <c r="A732" s="2"/>
      <c r="B732" s="3"/>
      <c r="C732" s="3"/>
      <c r="D732" s="3"/>
      <c r="E732" s="4"/>
      <c r="F732" s="3"/>
      <c r="G732" s="5"/>
      <c r="H732" s="3"/>
      <c r="I732" s="5"/>
      <c r="J732" s="3"/>
      <c r="K732" s="5"/>
      <c r="L732" s="3"/>
      <c r="M732" s="5"/>
      <c r="N732" s="5"/>
    </row>
    <row r="733">
      <c r="A733" s="2"/>
      <c r="B733" s="3"/>
      <c r="C733" s="3"/>
      <c r="D733" s="3"/>
      <c r="E733" s="4"/>
      <c r="F733" s="3"/>
      <c r="G733" s="5"/>
      <c r="H733" s="3"/>
      <c r="I733" s="5"/>
      <c r="J733" s="3"/>
      <c r="K733" s="5"/>
      <c r="L733" s="3"/>
      <c r="M733" s="5"/>
      <c r="N733" s="5"/>
    </row>
    <row r="734">
      <c r="A734" s="2"/>
      <c r="B734" s="3"/>
      <c r="C734" s="3"/>
      <c r="D734" s="3"/>
      <c r="E734" s="4"/>
      <c r="F734" s="3"/>
      <c r="G734" s="5"/>
      <c r="H734" s="3"/>
      <c r="I734" s="5"/>
      <c r="J734" s="3"/>
      <c r="K734" s="5"/>
      <c r="L734" s="3"/>
      <c r="M734" s="5"/>
      <c r="N734" s="5"/>
    </row>
    <row r="735">
      <c r="A735" s="2"/>
      <c r="B735" s="3"/>
      <c r="C735" s="3"/>
      <c r="D735" s="3"/>
      <c r="E735" s="4"/>
      <c r="F735" s="3"/>
      <c r="G735" s="5"/>
      <c r="H735" s="3"/>
      <c r="I735" s="5"/>
      <c r="J735" s="3"/>
      <c r="K735" s="5"/>
      <c r="L735" s="3"/>
      <c r="M735" s="5"/>
      <c r="N735" s="5"/>
    </row>
    <row r="736">
      <c r="A736" s="2"/>
      <c r="B736" s="3"/>
      <c r="C736" s="3"/>
      <c r="D736" s="3"/>
      <c r="E736" s="4"/>
      <c r="F736" s="3"/>
      <c r="G736" s="5"/>
      <c r="H736" s="3"/>
      <c r="I736" s="5"/>
      <c r="J736" s="3"/>
      <c r="K736" s="5"/>
      <c r="L736" s="3"/>
      <c r="M736" s="5"/>
      <c r="N736" s="5"/>
    </row>
    <row r="737">
      <c r="A737" s="2"/>
      <c r="B737" s="3"/>
      <c r="C737" s="3"/>
      <c r="D737" s="3"/>
      <c r="E737" s="4"/>
      <c r="F737" s="3"/>
      <c r="G737" s="5"/>
      <c r="H737" s="3"/>
      <c r="I737" s="5"/>
      <c r="J737" s="3"/>
      <c r="K737" s="5"/>
      <c r="L737" s="3"/>
      <c r="M737" s="5"/>
      <c r="N737" s="5"/>
    </row>
    <row r="738">
      <c r="A738" s="2"/>
      <c r="B738" s="3"/>
      <c r="C738" s="3"/>
      <c r="D738" s="3"/>
      <c r="E738" s="4"/>
      <c r="F738" s="3"/>
      <c r="G738" s="5"/>
      <c r="H738" s="3"/>
      <c r="I738" s="5"/>
      <c r="J738" s="3"/>
      <c r="K738" s="5"/>
      <c r="L738" s="3"/>
      <c r="M738" s="5"/>
      <c r="N738" s="5"/>
    </row>
    <row r="739">
      <c r="A739" s="2"/>
      <c r="B739" s="3"/>
      <c r="C739" s="3"/>
      <c r="D739" s="3"/>
      <c r="E739" s="4"/>
      <c r="F739" s="3"/>
      <c r="G739" s="5"/>
      <c r="H739" s="3"/>
      <c r="I739" s="5"/>
      <c r="J739" s="3"/>
      <c r="K739" s="5"/>
      <c r="L739" s="3"/>
      <c r="M739" s="5"/>
      <c r="N739" s="5"/>
    </row>
    <row r="740">
      <c r="A740" s="2"/>
      <c r="B740" s="3"/>
      <c r="C740" s="3"/>
      <c r="D740" s="3"/>
      <c r="E740" s="4"/>
      <c r="F740" s="3"/>
      <c r="G740" s="5"/>
      <c r="H740" s="3"/>
      <c r="I740" s="5"/>
      <c r="J740" s="3"/>
      <c r="K740" s="5"/>
      <c r="L740" s="3"/>
      <c r="M740" s="5"/>
      <c r="N740" s="5"/>
    </row>
    <row r="741">
      <c r="A741" s="2"/>
      <c r="B741" s="3"/>
      <c r="C741" s="3"/>
      <c r="D741" s="3"/>
      <c r="E741" s="4"/>
      <c r="F741" s="3"/>
      <c r="G741" s="5"/>
      <c r="H741" s="3"/>
      <c r="I741" s="5"/>
      <c r="J741" s="3"/>
      <c r="K741" s="5"/>
      <c r="L741" s="3"/>
      <c r="M741" s="5"/>
      <c r="N741" s="5"/>
    </row>
    <row r="742">
      <c r="A742" s="2"/>
      <c r="B742" s="3"/>
      <c r="C742" s="3"/>
      <c r="D742" s="3"/>
      <c r="E742" s="4"/>
      <c r="F742" s="3"/>
      <c r="G742" s="5"/>
      <c r="H742" s="3"/>
      <c r="I742" s="5"/>
      <c r="J742" s="3"/>
      <c r="K742" s="5"/>
      <c r="L742" s="3"/>
      <c r="M742" s="5"/>
      <c r="N742" s="5"/>
    </row>
    <row r="743">
      <c r="A743" s="2"/>
      <c r="B743" s="3"/>
      <c r="C743" s="3"/>
      <c r="D743" s="3"/>
      <c r="E743" s="4"/>
      <c r="F743" s="3"/>
      <c r="G743" s="5"/>
      <c r="H743" s="3"/>
      <c r="I743" s="5"/>
      <c r="J743" s="3"/>
      <c r="K743" s="5"/>
      <c r="L743" s="3"/>
      <c r="M743" s="5"/>
      <c r="N743" s="5"/>
    </row>
    <row r="744">
      <c r="A744" s="2"/>
      <c r="B744" s="3"/>
      <c r="C744" s="3"/>
      <c r="D744" s="3"/>
      <c r="E744" s="4"/>
      <c r="F744" s="3"/>
      <c r="G744" s="5"/>
      <c r="H744" s="3"/>
      <c r="I744" s="5"/>
      <c r="J744" s="3"/>
      <c r="K744" s="5"/>
      <c r="L744" s="3"/>
      <c r="M744" s="5"/>
      <c r="N744" s="5"/>
    </row>
    <row r="745">
      <c r="A745" s="2"/>
      <c r="B745" s="3"/>
      <c r="C745" s="3"/>
      <c r="D745" s="3"/>
      <c r="E745" s="4"/>
      <c r="F745" s="3"/>
      <c r="G745" s="5"/>
      <c r="H745" s="3"/>
      <c r="I745" s="5"/>
      <c r="J745" s="3"/>
      <c r="K745" s="5"/>
      <c r="L745" s="3"/>
      <c r="M745" s="5"/>
      <c r="N745" s="5"/>
    </row>
    <row r="746">
      <c r="A746" s="2"/>
      <c r="B746" s="3"/>
      <c r="C746" s="3"/>
      <c r="D746" s="3"/>
      <c r="E746" s="4"/>
      <c r="F746" s="3"/>
      <c r="G746" s="5"/>
      <c r="H746" s="3"/>
      <c r="I746" s="5"/>
      <c r="J746" s="3"/>
      <c r="K746" s="5"/>
      <c r="L746" s="3"/>
      <c r="M746" s="5"/>
      <c r="N746" s="5"/>
    </row>
    <row r="747">
      <c r="A747" s="2"/>
      <c r="B747" s="3"/>
      <c r="C747" s="3"/>
      <c r="D747" s="3"/>
      <c r="E747" s="4"/>
      <c r="F747" s="3"/>
      <c r="G747" s="5"/>
      <c r="H747" s="3"/>
      <c r="I747" s="5"/>
      <c r="J747" s="3"/>
      <c r="K747" s="5"/>
      <c r="L747" s="3"/>
      <c r="M747" s="5"/>
      <c r="N747" s="5"/>
    </row>
    <row r="748">
      <c r="A748" s="2"/>
      <c r="B748" s="3"/>
      <c r="C748" s="3"/>
      <c r="D748" s="3"/>
      <c r="E748" s="4"/>
      <c r="F748" s="3"/>
      <c r="G748" s="5"/>
      <c r="H748" s="3"/>
      <c r="I748" s="5"/>
      <c r="J748" s="3"/>
      <c r="K748" s="5"/>
      <c r="L748" s="3"/>
      <c r="M748" s="5"/>
      <c r="N748" s="5"/>
    </row>
    <row r="749">
      <c r="A749" s="2"/>
      <c r="B749" s="3"/>
      <c r="C749" s="3"/>
      <c r="D749" s="3"/>
      <c r="E749" s="4"/>
      <c r="F749" s="3"/>
      <c r="G749" s="5"/>
      <c r="H749" s="3"/>
      <c r="I749" s="5"/>
      <c r="J749" s="3"/>
      <c r="K749" s="5"/>
      <c r="L749" s="3"/>
      <c r="M749" s="5"/>
      <c r="N749" s="5"/>
    </row>
    <row r="750">
      <c r="A750" s="2"/>
      <c r="B750" s="3"/>
      <c r="C750" s="3"/>
      <c r="D750" s="3"/>
      <c r="E750" s="4"/>
      <c r="F750" s="3"/>
      <c r="G750" s="5"/>
      <c r="H750" s="3"/>
      <c r="I750" s="5"/>
      <c r="J750" s="3"/>
      <c r="K750" s="5"/>
      <c r="L750" s="3"/>
      <c r="M750" s="5"/>
      <c r="N750" s="5"/>
    </row>
    <row r="751">
      <c r="A751" s="2"/>
      <c r="B751" s="3"/>
      <c r="C751" s="3"/>
      <c r="D751" s="3"/>
      <c r="E751" s="4"/>
      <c r="F751" s="3"/>
      <c r="G751" s="5"/>
      <c r="H751" s="3"/>
      <c r="I751" s="5"/>
      <c r="J751" s="3"/>
      <c r="K751" s="5"/>
      <c r="L751" s="3"/>
      <c r="M751" s="5"/>
      <c r="N751" s="5"/>
    </row>
    <row r="752">
      <c r="A752" s="2"/>
      <c r="B752" s="3"/>
      <c r="C752" s="3"/>
      <c r="D752" s="3"/>
      <c r="E752" s="4"/>
      <c r="F752" s="3"/>
      <c r="G752" s="5"/>
      <c r="H752" s="3"/>
      <c r="I752" s="5"/>
      <c r="J752" s="3"/>
      <c r="K752" s="5"/>
      <c r="L752" s="3"/>
      <c r="M752" s="5"/>
      <c r="N752" s="5"/>
    </row>
    <row r="753">
      <c r="A753" s="2"/>
      <c r="B753" s="3"/>
      <c r="C753" s="3"/>
      <c r="D753" s="3"/>
      <c r="E753" s="4"/>
      <c r="F753" s="3"/>
      <c r="G753" s="5"/>
      <c r="H753" s="3"/>
      <c r="I753" s="5"/>
      <c r="J753" s="3"/>
      <c r="K753" s="5"/>
      <c r="L753" s="3"/>
      <c r="M753" s="5"/>
      <c r="N753" s="5"/>
    </row>
    <row r="754">
      <c r="A754" s="2"/>
      <c r="B754" s="3"/>
      <c r="C754" s="3"/>
      <c r="D754" s="3"/>
      <c r="E754" s="4"/>
      <c r="F754" s="3"/>
      <c r="G754" s="5"/>
      <c r="H754" s="3"/>
      <c r="I754" s="5"/>
      <c r="J754" s="3"/>
      <c r="K754" s="5"/>
      <c r="L754" s="3"/>
      <c r="M754" s="5"/>
      <c r="N754" s="5"/>
    </row>
    <row r="755">
      <c r="A755" s="2"/>
      <c r="B755" s="3"/>
      <c r="C755" s="3"/>
      <c r="D755" s="3"/>
      <c r="E755" s="4"/>
      <c r="F755" s="3"/>
      <c r="G755" s="5"/>
      <c r="H755" s="3"/>
      <c r="I755" s="5"/>
      <c r="J755" s="3"/>
      <c r="K755" s="5"/>
      <c r="L755" s="3"/>
      <c r="M755" s="5"/>
      <c r="N755" s="5"/>
    </row>
    <row r="756">
      <c r="A756" s="2"/>
      <c r="B756" s="3"/>
      <c r="C756" s="3"/>
      <c r="D756" s="3"/>
      <c r="E756" s="4"/>
      <c r="F756" s="3"/>
      <c r="G756" s="5"/>
      <c r="H756" s="3"/>
      <c r="I756" s="5"/>
      <c r="J756" s="3"/>
      <c r="K756" s="5"/>
      <c r="L756" s="3"/>
      <c r="M756" s="5"/>
      <c r="N756" s="5"/>
    </row>
    <row r="757">
      <c r="A757" s="2"/>
      <c r="B757" s="3"/>
      <c r="C757" s="3"/>
      <c r="D757" s="3"/>
      <c r="E757" s="4"/>
      <c r="F757" s="3"/>
      <c r="G757" s="5"/>
      <c r="H757" s="3"/>
      <c r="I757" s="5"/>
      <c r="J757" s="3"/>
      <c r="K757" s="5"/>
      <c r="L757" s="3"/>
      <c r="M757" s="5"/>
      <c r="N757" s="5"/>
    </row>
    <row r="758">
      <c r="A758" s="2"/>
      <c r="B758" s="3"/>
      <c r="C758" s="3"/>
      <c r="D758" s="3"/>
      <c r="E758" s="4"/>
      <c r="F758" s="3"/>
      <c r="G758" s="5"/>
      <c r="H758" s="3"/>
      <c r="I758" s="5"/>
      <c r="J758" s="3"/>
      <c r="K758" s="5"/>
      <c r="L758" s="3"/>
      <c r="M758" s="5"/>
      <c r="N758" s="5"/>
    </row>
    <row r="759">
      <c r="A759" s="2"/>
      <c r="B759" s="3"/>
      <c r="C759" s="3"/>
      <c r="D759" s="3"/>
      <c r="E759" s="4"/>
      <c r="F759" s="3"/>
      <c r="G759" s="5"/>
      <c r="H759" s="3"/>
      <c r="I759" s="5"/>
      <c r="J759" s="3"/>
      <c r="K759" s="5"/>
      <c r="L759" s="3"/>
      <c r="M759" s="5"/>
      <c r="N759" s="5"/>
    </row>
    <row r="760">
      <c r="A760" s="2"/>
      <c r="B760" s="3"/>
      <c r="C760" s="3"/>
      <c r="D760" s="3"/>
      <c r="E760" s="4"/>
      <c r="F760" s="3"/>
      <c r="G760" s="5"/>
      <c r="H760" s="3"/>
      <c r="I760" s="5"/>
      <c r="J760" s="3"/>
      <c r="K760" s="5"/>
      <c r="L760" s="3"/>
      <c r="M760" s="5"/>
      <c r="N760" s="5"/>
    </row>
    <row r="761">
      <c r="A761" s="2"/>
      <c r="B761" s="3"/>
      <c r="C761" s="3"/>
      <c r="D761" s="3"/>
      <c r="E761" s="4"/>
      <c r="F761" s="3"/>
      <c r="G761" s="5"/>
      <c r="H761" s="3"/>
      <c r="I761" s="5"/>
      <c r="J761" s="3"/>
      <c r="K761" s="5"/>
      <c r="L761" s="3"/>
      <c r="M761" s="5"/>
      <c r="N761" s="5"/>
    </row>
    <row r="762">
      <c r="A762" s="2"/>
      <c r="B762" s="3"/>
      <c r="C762" s="3"/>
      <c r="D762" s="3"/>
      <c r="E762" s="4"/>
      <c r="F762" s="3"/>
      <c r="G762" s="5"/>
      <c r="H762" s="3"/>
      <c r="I762" s="5"/>
      <c r="J762" s="3"/>
      <c r="K762" s="5"/>
      <c r="L762" s="3"/>
      <c r="M762" s="5"/>
      <c r="N762" s="5"/>
    </row>
    <row r="763">
      <c r="A763" s="2"/>
      <c r="B763" s="3"/>
      <c r="C763" s="3"/>
      <c r="D763" s="3"/>
      <c r="E763" s="4"/>
      <c r="F763" s="3"/>
      <c r="G763" s="5"/>
      <c r="H763" s="3"/>
      <c r="I763" s="5"/>
      <c r="J763" s="3"/>
      <c r="K763" s="5"/>
      <c r="L763" s="3"/>
      <c r="M763" s="5"/>
      <c r="N763" s="5"/>
    </row>
    <row r="764">
      <c r="A764" s="2"/>
      <c r="B764" s="3"/>
      <c r="C764" s="3"/>
      <c r="D764" s="3"/>
      <c r="E764" s="4"/>
      <c r="F764" s="3"/>
      <c r="G764" s="5"/>
      <c r="H764" s="3"/>
      <c r="I764" s="5"/>
      <c r="J764" s="3"/>
      <c r="K764" s="5"/>
      <c r="L764" s="3"/>
      <c r="M764" s="5"/>
      <c r="N764" s="5"/>
    </row>
    <row r="765">
      <c r="A765" s="2"/>
      <c r="B765" s="3"/>
      <c r="C765" s="3"/>
      <c r="D765" s="3"/>
      <c r="E765" s="4"/>
      <c r="F765" s="3"/>
      <c r="G765" s="5"/>
      <c r="H765" s="3"/>
      <c r="I765" s="5"/>
      <c r="J765" s="3"/>
      <c r="K765" s="5"/>
      <c r="L765" s="3"/>
      <c r="M765" s="5"/>
      <c r="N765" s="5"/>
    </row>
    <row r="766">
      <c r="A766" s="2"/>
      <c r="B766" s="3"/>
      <c r="C766" s="3"/>
      <c r="D766" s="3"/>
      <c r="E766" s="4"/>
      <c r="F766" s="3"/>
      <c r="G766" s="5"/>
      <c r="H766" s="3"/>
      <c r="I766" s="5"/>
      <c r="J766" s="3"/>
      <c r="K766" s="5"/>
      <c r="L766" s="3"/>
      <c r="M766" s="5"/>
      <c r="N766" s="5"/>
    </row>
    <row r="767">
      <c r="A767" s="2"/>
      <c r="B767" s="3"/>
      <c r="C767" s="3"/>
      <c r="D767" s="3"/>
      <c r="E767" s="4"/>
      <c r="F767" s="3"/>
      <c r="G767" s="5"/>
      <c r="H767" s="3"/>
      <c r="I767" s="5"/>
      <c r="J767" s="3"/>
      <c r="K767" s="5"/>
      <c r="L767" s="3"/>
      <c r="M767" s="5"/>
      <c r="N767" s="5"/>
    </row>
    <row r="768">
      <c r="A768" s="2"/>
      <c r="B768" s="3"/>
      <c r="C768" s="3"/>
      <c r="D768" s="3"/>
      <c r="E768" s="4"/>
      <c r="F768" s="3"/>
      <c r="G768" s="5"/>
      <c r="H768" s="3"/>
      <c r="I768" s="5"/>
      <c r="J768" s="3"/>
      <c r="K768" s="5"/>
      <c r="L768" s="3"/>
      <c r="M768" s="5"/>
      <c r="N768" s="5"/>
    </row>
    <row r="769">
      <c r="A769" s="2"/>
      <c r="B769" s="3"/>
      <c r="C769" s="3"/>
      <c r="D769" s="3"/>
      <c r="E769" s="4"/>
      <c r="F769" s="3"/>
      <c r="G769" s="5"/>
      <c r="H769" s="3"/>
      <c r="I769" s="5"/>
      <c r="J769" s="3"/>
      <c r="K769" s="5"/>
      <c r="L769" s="3"/>
      <c r="M769" s="5"/>
      <c r="N769" s="5"/>
    </row>
    <row r="770">
      <c r="A770" s="2"/>
      <c r="B770" s="3"/>
      <c r="C770" s="3"/>
      <c r="D770" s="3"/>
      <c r="E770" s="4"/>
      <c r="F770" s="3"/>
      <c r="G770" s="5"/>
      <c r="H770" s="3"/>
      <c r="I770" s="5"/>
      <c r="J770" s="3"/>
      <c r="K770" s="5"/>
      <c r="L770" s="3"/>
      <c r="M770" s="5"/>
      <c r="N770" s="5"/>
    </row>
    <row r="771">
      <c r="A771" s="2"/>
      <c r="B771" s="3"/>
      <c r="C771" s="3"/>
      <c r="D771" s="3"/>
      <c r="E771" s="4"/>
      <c r="F771" s="3"/>
      <c r="G771" s="5"/>
      <c r="H771" s="3"/>
      <c r="I771" s="5"/>
      <c r="J771" s="3"/>
      <c r="K771" s="5"/>
      <c r="L771" s="3"/>
      <c r="M771" s="5"/>
      <c r="N771" s="5"/>
    </row>
    <row r="772">
      <c r="A772" s="2"/>
      <c r="B772" s="3"/>
      <c r="C772" s="3"/>
      <c r="D772" s="3"/>
      <c r="E772" s="4"/>
      <c r="F772" s="3"/>
      <c r="G772" s="5"/>
      <c r="H772" s="3"/>
      <c r="I772" s="5"/>
      <c r="J772" s="3"/>
      <c r="K772" s="5"/>
      <c r="L772" s="3"/>
      <c r="M772" s="5"/>
      <c r="N772" s="5"/>
    </row>
    <row r="773">
      <c r="A773" s="2"/>
      <c r="B773" s="3"/>
      <c r="C773" s="3"/>
      <c r="D773" s="3"/>
      <c r="E773" s="4"/>
      <c r="F773" s="3"/>
      <c r="G773" s="5"/>
      <c r="H773" s="3"/>
      <c r="I773" s="5"/>
      <c r="J773" s="3"/>
      <c r="K773" s="5"/>
      <c r="L773" s="3"/>
      <c r="M773" s="5"/>
      <c r="N773" s="5"/>
    </row>
    <row r="774">
      <c r="A774" s="2"/>
      <c r="B774" s="3"/>
      <c r="C774" s="3"/>
      <c r="D774" s="3"/>
      <c r="E774" s="4"/>
      <c r="F774" s="3"/>
      <c r="G774" s="5"/>
      <c r="H774" s="3"/>
      <c r="I774" s="5"/>
      <c r="J774" s="3"/>
      <c r="K774" s="5"/>
      <c r="L774" s="3"/>
      <c r="M774" s="5"/>
      <c r="N774" s="5"/>
    </row>
    <row r="775">
      <c r="A775" s="2"/>
      <c r="B775" s="3"/>
      <c r="C775" s="3"/>
      <c r="D775" s="3"/>
      <c r="E775" s="4"/>
      <c r="F775" s="3"/>
      <c r="G775" s="5"/>
      <c r="H775" s="3"/>
      <c r="I775" s="5"/>
      <c r="J775" s="3"/>
      <c r="K775" s="5"/>
      <c r="L775" s="3"/>
      <c r="M775" s="5"/>
      <c r="N775" s="5"/>
    </row>
    <row r="776">
      <c r="A776" s="2"/>
      <c r="B776" s="3"/>
      <c r="C776" s="3"/>
      <c r="D776" s="3"/>
      <c r="E776" s="4"/>
      <c r="F776" s="3"/>
      <c r="G776" s="5"/>
      <c r="H776" s="3"/>
      <c r="I776" s="5"/>
      <c r="J776" s="3"/>
      <c r="K776" s="5"/>
      <c r="L776" s="3"/>
      <c r="M776" s="5"/>
      <c r="N776" s="5"/>
    </row>
    <row r="777">
      <c r="A777" s="2"/>
      <c r="B777" s="3"/>
      <c r="C777" s="3"/>
      <c r="D777" s="3"/>
      <c r="E777" s="4"/>
      <c r="F777" s="3"/>
      <c r="G777" s="5"/>
      <c r="H777" s="3"/>
      <c r="I777" s="5"/>
      <c r="J777" s="3"/>
      <c r="K777" s="5"/>
      <c r="L777" s="3"/>
      <c r="M777" s="5"/>
      <c r="N777" s="5"/>
    </row>
    <row r="778">
      <c r="A778" s="2"/>
      <c r="B778" s="3"/>
      <c r="C778" s="3"/>
      <c r="D778" s="3"/>
      <c r="E778" s="4"/>
      <c r="F778" s="3"/>
      <c r="G778" s="5"/>
      <c r="H778" s="3"/>
      <c r="I778" s="5"/>
      <c r="J778" s="3"/>
      <c r="K778" s="5"/>
      <c r="L778" s="3"/>
      <c r="M778" s="5"/>
      <c r="N778" s="5"/>
    </row>
    <row r="779">
      <c r="A779" s="2"/>
      <c r="B779" s="3"/>
      <c r="C779" s="3"/>
      <c r="D779" s="3"/>
      <c r="E779" s="4"/>
      <c r="F779" s="3"/>
      <c r="G779" s="5"/>
      <c r="H779" s="3"/>
      <c r="I779" s="5"/>
      <c r="J779" s="3"/>
      <c r="K779" s="5"/>
      <c r="L779" s="3"/>
      <c r="M779" s="5"/>
      <c r="N779" s="5"/>
    </row>
    <row r="780">
      <c r="A780" s="2"/>
      <c r="B780" s="3"/>
      <c r="C780" s="3"/>
      <c r="D780" s="3"/>
      <c r="E780" s="4"/>
      <c r="F780" s="3"/>
      <c r="G780" s="5"/>
      <c r="H780" s="3"/>
      <c r="I780" s="5"/>
      <c r="J780" s="3"/>
      <c r="K780" s="5"/>
      <c r="L780" s="3"/>
      <c r="M780" s="5"/>
      <c r="N780" s="5"/>
    </row>
    <row r="781">
      <c r="A781" s="2"/>
      <c r="B781" s="3"/>
      <c r="C781" s="3"/>
      <c r="D781" s="3"/>
      <c r="E781" s="4"/>
      <c r="F781" s="3"/>
      <c r="G781" s="5"/>
      <c r="H781" s="3"/>
      <c r="I781" s="5"/>
      <c r="J781" s="3"/>
      <c r="K781" s="5"/>
      <c r="L781" s="3"/>
      <c r="M781" s="5"/>
      <c r="N781" s="5"/>
    </row>
    <row r="782">
      <c r="A782" s="2"/>
      <c r="B782" s="3"/>
      <c r="C782" s="3"/>
      <c r="D782" s="3"/>
      <c r="E782" s="4"/>
      <c r="F782" s="3"/>
      <c r="G782" s="5"/>
      <c r="H782" s="3"/>
      <c r="I782" s="5"/>
      <c r="J782" s="3"/>
      <c r="K782" s="5"/>
      <c r="L782" s="3"/>
      <c r="M782" s="5"/>
      <c r="N782" s="5"/>
    </row>
    <row r="783">
      <c r="A783" s="2"/>
      <c r="B783" s="3"/>
      <c r="C783" s="3"/>
      <c r="D783" s="3"/>
      <c r="E783" s="4"/>
      <c r="F783" s="3"/>
      <c r="G783" s="5"/>
      <c r="H783" s="3"/>
      <c r="I783" s="5"/>
      <c r="J783" s="3"/>
      <c r="K783" s="5"/>
      <c r="L783" s="3"/>
      <c r="M783" s="5"/>
      <c r="N783" s="5"/>
    </row>
    <row r="784">
      <c r="A784" s="2"/>
      <c r="B784" s="3"/>
      <c r="C784" s="3"/>
      <c r="D784" s="3"/>
      <c r="E784" s="4"/>
      <c r="F784" s="3"/>
      <c r="G784" s="5"/>
      <c r="H784" s="3"/>
      <c r="I784" s="5"/>
      <c r="J784" s="3"/>
      <c r="K784" s="5"/>
      <c r="L784" s="3"/>
      <c r="M784" s="5"/>
      <c r="N784" s="5"/>
    </row>
    <row r="785">
      <c r="A785" s="2"/>
      <c r="B785" s="3"/>
      <c r="C785" s="3"/>
      <c r="D785" s="3"/>
      <c r="E785" s="4"/>
      <c r="F785" s="3"/>
      <c r="G785" s="5"/>
      <c r="H785" s="3"/>
      <c r="I785" s="5"/>
      <c r="J785" s="3"/>
      <c r="K785" s="5"/>
      <c r="L785" s="3"/>
      <c r="M785" s="5"/>
      <c r="N785" s="5"/>
    </row>
    <row r="786">
      <c r="A786" s="2"/>
      <c r="B786" s="3"/>
      <c r="C786" s="3"/>
      <c r="D786" s="3"/>
      <c r="E786" s="4"/>
      <c r="F786" s="3"/>
      <c r="G786" s="5"/>
      <c r="H786" s="3"/>
      <c r="I786" s="5"/>
      <c r="J786" s="3"/>
      <c r="K786" s="5"/>
      <c r="L786" s="3"/>
      <c r="M786" s="5"/>
      <c r="N786" s="5"/>
    </row>
    <row r="787">
      <c r="A787" s="2"/>
      <c r="B787" s="3"/>
      <c r="C787" s="3"/>
      <c r="D787" s="3"/>
      <c r="E787" s="4"/>
      <c r="F787" s="3"/>
      <c r="G787" s="5"/>
      <c r="H787" s="3"/>
      <c r="I787" s="5"/>
      <c r="J787" s="3"/>
      <c r="K787" s="5"/>
      <c r="L787" s="3"/>
      <c r="M787" s="5"/>
      <c r="N787" s="5"/>
    </row>
    <row r="788">
      <c r="A788" s="2"/>
      <c r="B788" s="3"/>
      <c r="C788" s="3"/>
      <c r="D788" s="3"/>
      <c r="E788" s="4"/>
      <c r="F788" s="3"/>
      <c r="G788" s="5"/>
      <c r="H788" s="3"/>
      <c r="I788" s="5"/>
      <c r="J788" s="3"/>
      <c r="K788" s="5"/>
      <c r="L788" s="3"/>
      <c r="M788" s="5"/>
      <c r="N788" s="5"/>
    </row>
    <row r="789">
      <c r="A789" s="2"/>
      <c r="B789" s="3"/>
      <c r="C789" s="3"/>
      <c r="D789" s="3"/>
      <c r="E789" s="4"/>
      <c r="F789" s="3"/>
      <c r="G789" s="5"/>
      <c r="H789" s="3"/>
      <c r="I789" s="5"/>
      <c r="J789" s="3"/>
      <c r="K789" s="5"/>
      <c r="L789" s="3"/>
      <c r="M789" s="5"/>
      <c r="N789" s="5"/>
    </row>
    <row r="790">
      <c r="A790" s="2"/>
      <c r="B790" s="3"/>
      <c r="C790" s="3"/>
      <c r="D790" s="3"/>
      <c r="E790" s="4"/>
      <c r="F790" s="3"/>
      <c r="G790" s="5"/>
      <c r="H790" s="3"/>
      <c r="I790" s="5"/>
      <c r="J790" s="3"/>
      <c r="K790" s="5"/>
      <c r="L790" s="3"/>
      <c r="M790" s="5"/>
      <c r="N790" s="5"/>
    </row>
    <row r="791">
      <c r="A791" s="2"/>
      <c r="B791" s="3"/>
      <c r="C791" s="3"/>
      <c r="D791" s="3"/>
      <c r="E791" s="4"/>
      <c r="F791" s="3"/>
      <c r="G791" s="5"/>
      <c r="H791" s="3"/>
      <c r="I791" s="5"/>
      <c r="J791" s="3"/>
      <c r="K791" s="5"/>
      <c r="L791" s="3"/>
      <c r="M791" s="5"/>
      <c r="N791" s="5"/>
    </row>
    <row r="792">
      <c r="A792" s="2"/>
      <c r="B792" s="3"/>
      <c r="C792" s="3"/>
      <c r="D792" s="3"/>
      <c r="E792" s="4"/>
      <c r="F792" s="3"/>
      <c r="G792" s="5"/>
      <c r="H792" s="3"/>
      <c r="I792" s="5"/>
      <c r="J792" s="3"/>
      <c r="K792" s="5"/>
      <c r="L792" s="3"/>
      <c r="M792" s="5"/>
      <c r="N792" s="5"/>
    </row>
    <row r="793">
      <c r="A793" s="2"/>
      <c r="B793" s="3"/>
      <c r="C793" s="3"/>
      <c r="D793" s="3"/>
      <c r="E793" s="4"/>
      <c r="F793" s="3"/>
      <c r="G793" s="5"/>
      <c r="H793" s="3"/>
      <c r="I793" s="5"/>
      <c r="J793" s="3"/>
      <c r="K793" s="5"/>
      <c r="L793" s="3"/>
      <c r="M793" s="5"/>
      <c r="N793" s="5"/>
    </row>
    <row r="794">
      <c r="A794" s="2"/>
      <c r="B794" s="3"/>
      <c r="C794" s="3"/>
      <c r="D794" s="3"/>
      <c r="E794" s="4"/>
      <c r="F794" s="3"/>
      <c r="G794" s="5"/>
      <c r="H794" s="3"/>
      <c r="I794" s="5"/>
      <c r="J794" s="3"/>
      <c r="K794" s="5"/>
      <c r="L794" s="3"/>
      <c r="M794" s="5"/>
      <c r="N794" s="5"/>
    </row>
    <row r="795">
      <c r="A795" s="2"/>
      <c r="B795" s="3"/>
      <c r="C795" s="3"/>
      <c r="D795" s="3"/>
      <c r="E795" s="4"/>
      <c r="F795" s="3"/>
      <c r="G795" s="5"/>
      <c r="H795" s="3"/>
      <c r="I795" s="5"/>
      <c r="J795" s="3"/>
      <c r="K795" s="5"/>
      <c r="L795" s="3"/>
      <c r="M795" s="5"/>
      <c r="N795" s="5"/>
    </row>
    <row r="796">
      <c r="A796" s="2"/>
      <c r="B796" s="3"/>
      <c r="C796" s="3"/>
      <c r="D796" s="3"/>
      <c r="E796" s="4"/>
      <c r="F796" s="3"/>
      <c r="G796" s="5"/>
      <c r="H796" s="3"/>
      <c r="I796" s="5"/>
      <c r="J796" s="3"/>
      <c r="K796" s="5"/>
      <c r="L796" s="3"/>
      <c r="M796" s="5"/>
      <c r="N796" s="5"/>
    </row>
    <row r="797">
      <c r="A797" s="2"/>
      <c r="B797" s="3"/>
      <c r="C797" s="3"/>
      <c r="D797" s="3"/>
      <c r="E797" s="4"/>
      <c r="F797" s="3"/>
      <c r="G797" s="5"/>
      <c r="H797" s="3"/>
      <c r="I797" s="5"/>
      <c r="J797" s="3"/>
      <c r="K797" s="5"/>
      <c r="L797" s="3"/>
      <c r="M797" s="5"/>
      <c r="N797" s="5"/>
    </row>
    <row r="798">
      <c r="A798" s="2"/>
      <c r="B798" s="3"/>
      <c r="C798" s="3"/>
      <c r="D798" s="3"/>
      <c r="E798" s="4"/>
      <c r="F798" s="3"/>
      <c r="G798" s="5"/>
      <c r="H798" s="3"/>
      <c r="I798" s="5"/>
      <c r="J798" s="3"/>
      <c r="K798" s="5"/>
      <c r="L798" s="3"/>
      <c r="M798" s="5"/>
      <c r="N798" s="5"/>
    </row>
    <row r="799">
      <c r="A799" s="2"/>
      <c r="B799" s="3"/>
      <c r="C799" s="3"/>
      <c r="D799" s="3"/>
      <c r="E799" s="4"/>
      <c r="F799" s="3"/>
      <c r="G799" s="5"/>
      <c r="H799" s="3"/>
      <c r="I799" s="5"/>
      <c r="J799" s="3"/>
      <c r="K799" s="5"/>
      <c r="L799" s="3"/>
      <c r="M799" s="5"/>
      <c r="N799" s="5"/>
    </row>
    <row r="800">
      <c r="A800" s="2"/>
      <c r="B800" s="3"/>
      <c r="C800" s="3"/>
      <c r="D800" s="3"/>
      <c r="E800" s="4"/>
      <c r="F800" s="3"/>
      <c r="G800" s="5"/>
      <c r="H800" s="3"/>
      <c r="I800" s="5"/>
      <c r="J800" s="3"/>
      <c r="K800" s="5"/>
      <c r="L800" s="3"/>
      <c r="M800" s="5"/>
      <c r="N800" s="5"/>
    </row>
    <row r="801">
      <c r="A801" s="2"/>
      <c r="B801" s="3"/>
      <c r="C801" s="3"/>
      <c r="D801" s="3"/>
      <c r="E801" s="4"/>
      <c r="F801" s="3"/>
      <c r="G801" s="5"/>
      <c r="H801" s="3"/>
      <c r="I801" s="5"/>
      <c r="J801" s="3"/>
      <c r="K801" s="5"/>
      <c r="L801" s="3"/>
      <c r="M801" s="5"/>
      <c r="N801" s="5"/>
    </row>
    <row r="802">
      <c r="A802" s="2"/>
      <c r="B802" s="3"/>
      <c r="C802" s="3"/>
      <c r="D802" s="3"/>
      <c r="E802" s="4"/>
      <c r="F802" s="3"/>
      <c r="G802" s="5"/>
      <c r="H802" s="3"/>
      <c r="I802" s="5"/>
      <c r="J802" s="3"/>
      <c r="K802" s="5"/>
      <c r="L802" s="3"/>
      <c r="M802" s="5"/>
      <c r="N802" s="5"/>
    </row>
    <row r="803">
      <c r="A803" s="2"/>
      <c r="B803" s="3"/>
      <c r="C803" s="3"/>
      <c r="D803" s="3"/>
      <c r="E803" s="4"/>
      <c r="F803" s="3"/>
      <c r="G803" s="5"/>
      <c r="H803" s="3"/>
      <c r="I803" s="5"/>
      <c r="J803" s="3"/>
      <c r="K803" s="5"/>
      <c r="L803" s="3"/>
      <c r="M803" s="5"/>
      <c r="N803" s="5"/>
    </row>
    <row r="804">
      <c r="A804" s="2"/>
      <c r="B804" s="3"/>
      <c r="C804" s="3"/>
      <c r="D804" s="3"/>
      <c r="E804" s="4"/>
      <c r="F804" s="3"/>
      <c r="G804" s="5"/>
      <c r="H804" s="3"/>
      <c r="I804" s="5"/>
      <c r="J804" s="3"/>
      <c r="K804" s="5"/>
      <c r="L804" s="3"/>
      <c r="M804" s="5"/>
      <c r="N804" s="5"/>
    </row>
    <row r="805">
      <c r="A805" s="2"/>
      <c r="B805" s="3"/>
      <c r="C805" s="3"/>
      <c r="D805" s="3"/>
      <c r="E805" s="4"/>
      <c r="F805" s="3"/>
      <c r="G805" s="5"/>
      <c r="H805" s="3"/>
      <c r="I805" s="5"/>
      <c r="J805" s="3"/>
      <c r="K805" s="5"/>
      <c r="L805" s="3"/>
      <c r="M805" s="5"/>
      <c r="N805" s="5"/>
    </row>
    <row r="806">
      <c r="A806" s="2"/>
      <c r="B806" s="3"/>
      <c r="C806" s="3"/>
      <c r="D806" s="3"/>
      <c r="E806" s="4"/>
      <c r="F806" s="3"/>
      <c r="G806" s="5"/>
      <c r="H806" s="3"/>
      <c r="I806" s="5"/>
      <c r="J806" s="3"/>
      <c r="K806" s="5"/>
      <c r="L806" s="3"/>
      <c r="M806" s="5"/>
      <c r="N806" s="5"/>
    </row>
    <row r="807">
      <c r="A807" s="2"/>
      <c r="B807" s="3"/>
      <c r="C807" s="3"/>
      <c r="D807" s="3"/>
      <c r="E807" s="4"/>
      <c r="F807" s="3"/>
      <c r="G807" s="5"/>
      <c r="H807" s="3"/>
      <c r="I807" s="5"/>
      <c r="J807" s="3"/>
      <c r="K807" s="5"/>
      <c r="L807" s="3"/>
      <c r="M807" s="5"/>
      <c r="N807" s="5"/>
    </row>
    <row r="808">
      <c r="A808" s="2"/>
      <c r="B808" s="3"/>
      <c r="C808" s="3"/>
      <c r="D808" s="3"/>
      <c r="E808" s="4"/>
      <c r="F808" s="3"/>
      <c r="G808" s="5"/>
      <c r="H808" s="3"/>
      <c r="I808" s="5"/>
      <c r="J808" s="3"/>
      <c r="K808" s="5"/>
      <c r="L808" s="3"/>
      <c r="M808" s="5"/>
      <c r="N808" s="5"/>
    </row>
    <row r="809">
      <c r="A809" s="2"/>
      <c r="B809" s="3"/>
      <c r="C809" s="3"/>
      <c r="D809" s="3"/>
      <c r="E809" s="4"/>
      <c r="F809" s="3"/>
      <c r="G809" s="5"/>
      <c r="H809" s="3"/>
      <c r="I809" s="5"/>
      <c r="J809" s="3"/>
      <c r="K809" s="5"/>
      <c r="L809" s="3"/>
      <c r="M809" s="5"/>
      <c r="N809" s="5"/>
    </row>
    <row r="810">
      <c r="A810" s="2"/>
      <c r="B810" s="3"/>
      <c r="C810" s="3"/>
      <c r="D810" s="3"/>
      <c r="E810" s="4"/>
      <c r="F810" s="3"/>
      <c r="G810" s="5"/>
      <c r="H810" s="3"/>
      <c r="I810" s="5"/>
      <c r="J810" s="3"/>
      <c r="K810" s="5"/>
      <c r="L810" s="3"/>
      <c r="M810" s="5"/>
      <c r="N810" s="5"/>
    </row>
    <row r="811">
      <c r="A811" s="2"/>
      <c r="B811" s="3"/>
      <c r="C811" s="3"/>
      <c r="D811" s="3"/>
      <c r="E811" s="4"/>
      <c r="F811" s="3"/>
      <c r="G811" s="5"/>
      <c r="H811" s="3"/>
      <c r="I811" s="5"/>
      <c r="J811" s="3"/>
      <c r="K811" s="5"/>
      <c r="L811" s="3"/>
      <c r="M811" s="5"/>
      <c r="N811" s="5"/>
    </row>
    <row r="812">
      <c r="A812" s="2"/>
      <c r="B812" s="3"/>
      <c r="C812" s="3"/>
      <c r="D812" s="3"/>
      <c r="E812" s="4"/>
      <c r="F812" s="3"/>
      <c r="G812" s="5"/>
      <c r="H812" s="3"/>
      <c r="I812" s="5"/>
      <c r="J812" s="3"/>
      <c r="K812" s="5"/>
      <c r="L812" s="3"/>
      <c r="M812" s="5"/>
      <c r="N812" s="5"/>
    </row>
    <row r="813">
      <c r="A813" s="2"/>
      <c r="B813" s="3"/>
      <c r="C813" s="3"/>
      <c r="D813" s="3"/>
      <c r="E813" s="4"/>
      <c r="F813" s="3"/>
      <c r="G813" s="5"/>
      <c r="H813" s="3"/>
      <c r="I813" s="5"/>
      <c r="J813" s="3"/>
      <c r="K813" s="5"/>
      <c r="L813" s="3"/>
      <c r="M813" s="5"/>
      <c r="N813" s="5"/>
    </row>
    <row r="814">
      <c r="A814" s="2"/>
      <c r="B814" s="3"/>
      <c r="C814" s="3"/>
      <c r="D814" s="3"/>
      <c r="E814" s="4"/>
      <c r="F814" s="3"/>
      <c r="G814" s="5"/>
      <c r="H814" s="3"/>
      <c r="I814" s="5"/>
      <c r="J814" s="3"/>
      <c r="K814" s="5"/>
      <c r="L814" s="3"/>
      <c r="M814" s="5"/>
      <c r="N814" s="5"/>
    </row>
    <row r="815">
      <c r="A815" s="2"/>
      <c r="B815" s="3"/>
      <c r="C815" s="3"/>
      <c r="D815" s="3"/>
      <c r="E815" s="4"/>
      <c r="F815" s="3"/>
      <c r="G815" s="5"/>
      <c r="H815" s="3"/>
      <c r="I815" s="5"/>
      <c r="J815" s="3"/>
      <c r="K815" s="5"/>
      <c r="L815" s="3"/>
      <c r="M815" s="5"/>
      <c r="N815" s="5"/>
    </row>
    <row r="816">
      <c r="A816" s="2"/>
      <c r="B816" s="3"/>
      <c r="C816" s="3"/>
      <c r="D816" s="3"/>
      <c r="E816" s="4"/>
      <c r="F816" s="3"/>
      <c r="G816" s="5"/>
      <c r="H816" s="3"/>
      <c r="I816" s="5"/>
      <c r="J816" s="3"/>
      <c r="K816" s="5"/>
      <c r="L816" s="3"/>
      <c r="M816" s="5"/>
      <c r="N816" s="5"/>
    </row>
    <row r="817">
      <c r="A817" s="2"/>
      <c r="B817" s="3"/>
      <c r="C817" s="3"/>
      <c r="D817" s="3"/>
      <c r="E817" s="4"/>
      <c r="F817" s="3"/>
      <c r="G817" s="5"/>
      <c r="H817" s="3"/>
      <c r="I817" s="5"/>
      <c r="J817" s="3"/>
      <c r="K817" s="5"/>
      <c r="L817" s="3"/>
      <c r="M817" s="5"/>
      <c r="N817" s="5"/>
    </row>
    <row r="818">
      <c r="A818" s="2"/>
      <c r="B818" s="3"/>
      <c r="C818" s="3"/>
      <c r="D818" s="3"/>
      <c r="E818" s="4"/>
      <c r="F818" s="3"/>
      <c r="G818" s="5"/>
      <c r="H818" s="3"/>
      <c r="I818" s="5"/>
      <c r="J818" s="3"/>
      <c r="K818" s="5"/>
      <c r="L818" s="3"/>
      <c r="M818" s="5"/>
      <c r="N818" s="5"/>
    </row>
    <row r="819">
      <c r="A819" s="2"/>
      <c r="B819" s="3"/>
      <c r="C819" s="3"/>
      <c r="D819" s="3"/>
      <c r="E819" s="4"/>
      <c r="F819" s="3"/>
      <c r="G819" s="5"/>
      <c r="H819" s="3"/>
      <c r="I819" s="5"/>
      <c r="J819" s="3"/>
      <c r="K819" s="5"/>
      <c r="L819" s="3"/>
      <c r="M819" s="5"/>
      <c r="N819" s="5"/>
    </row>
    <row r="820">
      <c r="A820" s="2"/>
      <c r="B820" s="3"/>
      <c r="C820" s="3"/>
      <c r="D820" s="3"/>
      <c r="E820" s="4"/>
      <c r="F820" s="3"/>
      <c r="G820" s="5"/>
      <c r="H820" s="3"/>
      <c r="I820" s="5"/>
      <c r="J820" s="3"/>
      <c r="K820" s="5"/>
      <c r="L820" s="3"/>
      <c r="M820" s="5"/>
      <c r="N820" s="5"/>
    </row>
    <row r="821">
      <c r="A821" s="2"/>
      <c r="B821" s="3"/>
      <c r="C821" s="3"/>
      <c r="D821" s="3"/>
      <c r="E821" s="4"/>
      <c r="F821" s="3"/>
      <c r="G821" s="5"/>
      <c r="H821" s="3"/>
      <c r="I821" s="5"/>
      <c r="J821" s="3"/>
      <c r="K821" s="5"/>
      <c r="L821" s="3"/>
      <c r="M821" s="5"/>
      <c r="N821" s="5"/>
    </row>
    <row r="822">
      <c r="A822" s="2"/>
      <c r="B822" s="3"/>
      <c r="C822" s="3"/>
      <c r="D822" s="3"/>
      <c r="E822" s="4"/>
      <c r="F822" s="3"/>
      <c r="G822" s="5"/>
      <c r="H822" s="3"/>
      <c r="I822" s="5"/>
      <c r="J822" s="3"/>
      <c r="K822" s="5"/>
      <c r="L822" s="3"/>
      <c r="M822" s="5"/>
      <c r="N822" s="5"/>
    </row>
    <row r="823">
      <c r="A823" s="2"/>
      <c r="B823" s="3"/>
      <c r="C823" s="3"/>
      <c r="D823" s="3"/>
      <c r="E823" s="4"/>
      <c r="F823" s="3"/>
      <c r="G823" s="5"/>
      <c r="H823" s="3"/>
      <c r="I823" s="5"/>
      <c r="J823" s="3"/>
      <c r="K823" s="5"/>
      <c r="L823" s="3"/>
      <c r="M823" s="5"/>
      <c r="N823" s="5"/>
    </row>
    <row r="824">
      <c r="A824" s="2"/>
      <c r="B824" s="3"/>
      <c r="C824" s="3"/>
      <c r="D824" s="3"/>
      <c r="E824" s="4"/>
      <c r="F824" s="3"/>
      <c r="G824" s="5"/>
      <c r="H824" s="3"/>
      <c r="I824" s="5"/>
      <c r="J824" s="3"/>
      <c r="K824" s="5"/>
      <c r="L824" s="3"/>
      <c r="M824" s="5"/>
      <c r="N824" s="5"/>
    </row>
    <row r="825">
      <c r="A825" s="2"/>
      <c r="B825" s="3"/>
      <c r="C825" s="3"/>
      <c r="D825" s="3"/>
      <c r="E825" s="4"/>
      <c r="F825" s="3"/>
      <c r="G825" s="5"/>
      <c r="H825" s="3"/>
      <c r="I825" s="5"/>
      <c r="J825" s="3"/>
      <c r="K825" s="5"/>
      <c r="L825" s="3"/>
      <c r="M825" s="5"/>
      <c r="N825" s="5"/>
    </row>
    <row r="826">
      <c r="A826" s="2"/>
      <c r="B826" s="3"/>
      <c r="C826" s="3"/>
      <c r="D826" s="3"/>
      <c r="E826" s="4"/>
      <c r="F826" s="3"/>
      <c r="G826" s="5"/>
      <c r="H826" s="3"/>
      <c r="I826" s="5"/>
      <c r="J826" s="3"/>
      <c r="K826" s="5"/>
      <c r="L826" s="3"/>
      <c r="M826" s="5"/>
      <c r="N826" s="5"/>
    </row>
    <row r="827">
      <c r="A827" s="2"/>
      <c r="B827" s="3"/>
      <c r="C827" s="3"/>
      <c r="D827" s="3"/>
      <c r="E827" s="4"/>
      <c r="F827" s="3"/>
      <c r="G827" s="5"/>
      <c r="H827" s="3"/>
      <c r="I827" s="5"/>
      <c r="J827" s="3"/>
      <c r="K827" s="5"/>
      <c r="L827" s="3"/>
      <c r="M827" s="5"/>
      <c r="N827" s="5"/>
    </row>
    <row r="828">
      <c r="A828" s="2"/>
      <c r="B828" s="3"/>
      <c r="C828" s="3"/>
      <c r="D828" s="3"/>
      <c r="E828" s="4"/>
      <c r="F828" s="3"/>
      <c r="G828" s="5"/>
      <c r="H828" s="3"/>
      <c r="I828" s="5"/>
      <c r="J828" s="3"/>
      <c r="K828" s="5"/>
      <c r="L828" s="3"/>
      <c r="M828" s="5"/>
      <c r="N828" s="5"/>
    </row>
    <row r="829">
      <c r="A829" s="2"/>
      <c r="B829" s="3"/>
      <c r="C829" s="3"/>
      <c r="D829" s="3"/>
      <c r="E829" s="4"/>
      <c r="F829" s="3"/>
      <c r="G829" s="5"/>
      <c r="H829" s="3"/>
      <c r="I829" s="5"/>
      <c r="J829" s="3"/>
      <c r="K829" s="5"/>
      <c r="L829" s="3"/>
      <c r="M829" s="5"/>
      <c r="N829" s="5"/>
    </row>
    <row r="830">
      <c r="A830" s="2"/>
      <c r="B830" s="3"/>
      <c r="C830" s="3"/>
      <c r="D830" s="3"/>
      <c r="E830" s="4"/>
      <c r="F830" s="3"/>
      <c r="G830" s="5"/>
      <c r="H830" s="3"/>
      <c r="I830" s="5"/>
      <c r="J830" s="3"/>
      <c r="K830" s="5"/>
      <c r="L830" s="3"/>
      <c r="M830" s="5"/>
      <c r="N830" s="5"/>
    </row>
    <row r="831">
      <c r="A831" s="2"/>
      <c r="B831" s="3"/>
      <c r="C831" s="3"/>
      <c r="D831" s="3"/>
      <c r="E831" s="4"/>
      <c r="F831" s="3"/>
      <c r="G831" s="5"/>
      <c r="H831" s="3"/>
      <c r="I831" s="5"/>
      <c r="J831" s="3"/>
      <c r="K831" s="5"/>
      <c r="L831" s="3"/>
      <c r="M831" s="5"/>
      <c r="N831" s="5"/>
    </row>
    <row r="832">
      <c r="A832" s="2"/>
      <c r="B832" s="3"/>
      <c r="C832" s="3"/>
      <c r="D832" s="3"/>
      <c r="E832" s="4"/>
      <c r="F832" s="3"/>
      <c r="G832" s="5"/>
      <c r="H832" s="3"/>
      <c r="I832" s="5"/>
      <c r="J832" s="3"/>
      <c r="K832" s="5"/>
      <c r="L832" s="3"/>
      <c r="M832" s="5"/>
      <c r="N832" s="5"/>
    </row>
    <row r="833">
      <c r="A833" s="2"/>
      <c r="B833" s="3"/>
      <c r="C833" s="3"/>
      <c r="D833" s="3"/>
      <c r="E833" s="4"/>
      <c r="F833" s="3"/>
      <c r="G833" s="5"/>
      <c r="H833" s="3"/>
      <c r="I833" s="5"/>
      <c r="J833" s="3"/>
      <c r="K833" s="5"/>
      <c r="L833" s="3"/>
      <c r="M833" s="5"/>
      <c r="N833" s="5"/>
    </row>
    <row r="834">
      <c r="A834" s="2"/>
      <c r="B834" s="3"/>
      <c r="C834" s="3"/>
      <c r="D834" s="3"/>
      <c r="E834" s="4"/>
      <c r="F834" s="3"/>
      <c r="G834" s="5"/>
      <c r="H834" s="3"/>
      <c r="I834" s="5"/>
      <c r="J834" s="3"/>
      <c r="K834" s="5"/>
      <c r="L834" s="3"/>
      <c r="M834" s="5"/>
      <c r="N834" s="5"/>
    </row>
    <row r="835">
      <c r="A835" s="2"/>
      <c r="B835" s="3"/>
      <c r="C835" s="3"/>
      <c r="D835" s="3"/>
      <c r="E835" s="4"/>
      <c r="F835" s="3"/>
      <c r="G835" s="5"/>
      <c r="H835" s="3"/>
      <c r="I835" s="5"/>
      <c r="J835" s="3"/>
      <c r="K835" s="5"/>
      <c r="L835" s="3"/>
      <c r="M835" s="5"/>
      <c r="N835" s="5"/>
    </row>
    <row r="836">
      <c r="A836" s="2"/>
      <c r="B836" s="3"/>
      <c r="C836" s="3"/>
      <c r="D836" s="3"/>
      <c r="E836" s="4"/>
      <c r="F836" s="3"/>
      <c r="G836" s="5"/>
      <c r="H836" s="3"/>
      <c r="I836" s="5"/>
      <c r="J836" s="3"/>
      <c r="K836" s="5"/>
      <c r="L836" s="3"/>
      <c r="M836" s="5"/>
      <c r="N836" s="5"/>
    </row>
    <row r="837">
      <c r="A837" s="2"/>
      <c r="B837" s="3"/>
      <c r="C837" s="3"/>
      <c r="D837" s="3"/>
      <c r="E837" s="4"/>
      <c r="F837" s="3"/>
      <c r="G837" s="5"/>
      <c r="H837" s="3"/>
      <c r="I837" s="5"/>
      <c r="J837" s="3"/>
      <c r="K837" s="5"/>
      <c r="L837" s="3"/>
      <c r="M837" s="5"/>
      <c r="N837" s="5"/>
    </row>
    <row r="838">
      <c r="A838" s="2"/>
      <c r="B838" s="3"/>
      <c r="C838" s="3"/>
      <c r="D838" s="3"/>
      <c r="E838" s="4"/>
      <c r="F838" s="3"/>
      <c r="G838" s="5"/>
      <c r="H838" s="3"/>
      <c r="I838" s="5"/>
      <c r="J838" s="3"/>
      <c r="K838" s="5"/>
      <c r="L838" s="3"/>
      <c r="M838" s="5"/>
      <c r="N838" s="5"/>
    </row>
    <row r="839">
      <c r="A839" s="2"/>
      <c r="B839" s="3"/>
      <c r="C839" s="3"/>
      <c r="D839" s="3"/>
      <c r="E839" s="4"/>
      <c r="F839" s="3"/>
      <c r="G839" s="5"/>
      <c r="H839" s="3"/>
      <c r="I839" s="5"/>
      <c r="J839" s="3"/>
      <c r="K839" s="5"/>
      <c r="L839" s="3"/>
      <c r="M839" s="5"/>
      <c r="N839" s="5"/>
    </row>
    <row r="840">
      <c r="A840" s="2"/>
      <c r="B840" s="3"/>
      <c r="C840" s="3"/>
      <c r="D840" s="3"/>
      <c r="E840" s="4"/>
      <c r="F840" s="3"/>
      <c r="G840" s="5"/>
      <c r="H840" s="3"/>
      <c r="I840" s="5"/>
      <c r="J840" s="3"/>
      <c r="K840" s="5"/>
      <c r="L840" s="3"/>
      <c r="M840" s="5"/>
      <c r="N840" s="5"/>
    </row>
    <row r="841">
      <c r="A841" s="2"/>
      <c r="B841" s="3"/>
      <c r="C841" s="3"/>
      <c r="D841" s="3"/>
      <c r="E841" s="4"/>
      <c r="F841" s="3"/>
      <c r="G841" s="5"/>
      <c r="H841" s="3"/>
      <c r="I841" s="5"/>
      <c r="J841" s="3"/>
      <c r="K841" s="5"/>
      <c r="L841" s="3"/>
      <c r="M841" s="5"/>
      <c r="N841" s="5"/>
    </row>
    <row r="842">
      <c r="A842" s="2"/>
      <c r="B842" s="3"/>
      <c r="C842" s="3"/>
      <c r="D842" s="3"/>
      <c r="E842" s="4"/>
      <c r="F842" s="3"/>
      <c r="G842" s="5"/>
      <c r="H842" s="3"/>
      <c r="I842" s="5"/>
      <c r="J842" s="3"/>
      <c r="K842" s="5"/>
      <c r="L842" s="3"/>
      <c r="M842" s="5"/>
      <c r="N842" s="5"/>
    </row>
    <row r="843">
      <c r="A843" s="2"/>
      <c r="B843" s="3"/>
      <c r="C843" s="3"/>
      <c r="D843" s="3"/>
      <c r="E843" s="4"/>
      <c r="F843" s="3"/>
      <c r="G843" s="5"/>
      <c r="H843" s="3"/>
      <c r="I843" s="5"/>
      <c r="J843" s="3"/>
      <c r="K843" s="5"/>
      <c r="L843" s="3"/>
      <c r="M843" s="5"/>
      <c r="N843" s="5"/>
    </row>
    <row r="844">
      <c r="A844" s="2"/>
      <c r="B844" s="3"/>
      <c r="C844" s="3"/>
      <c r="D844" s="3"/>
      <c r="E844" s="4"/>
      <c r="F844" s="3"/>
      <c r="G844" s="5"/>
      <c r="H844" s="3"/>
      <c r="I844" s="5"/>
      <c r="J844" s="3"/>
      <c r="K844" s="5"/>
      <c r="L844" s="3"/>
      <c r="M844" s="5"/>
      <c r="N844" s="5"/>
    </row>
    <row r="845">
      <c r="A845" s="2"/>
      <c r="B845" s="3"/>
      <c r="C845" s="3"/>
      <c r="D845" s="3"/>
      <c r="E845" s="4"/>
      <c r="F845" s="3"/>
      <c r="G845" s="5"/>
      <c r="H845" s="3"/>
      <c r="I845" s="5"/>
      <c r="J845" s="3"/>
      <c r="K845" s="5"/>
      <c r="L845" s="3"/>
      <c r="M845" s="5"/>
      <c r="N845" s="5"/>
    </row>
    <row r="846">
      <c r="A846" s="2"/>
      <c r="B846" s="3"/>
      <c r="C846" s="3"/>
      <c r="D846" s="3"/>
      <c r="E846" s="4"/>
      <c r="F846" s="3"/>
      <c r="G846" s="5"/>
      <c r="H846" s="3"/>
      <c r="I846" s="5"/>
      <c r="J846" s="3"/>
      <c r="K846" s="5"/>
      <c r="L846" s="3"/>
      <c r="M846" s="5"/>
      <c r="N846" s="5"/>
    </row>
    <row r="847">
      <c r="A847" s="2"/>
      <c r="B847" s="3"/>
      <c r="C847" s="3"/>
      <c r="D847" s="3"/>
      <c r="E847" s="4"/>
      <c r="F847" s="3"/>
      <c r="G847" s="5"/>
      <c r="H847" s="3"/>
      <c r="I847" s="5"/>
      <c r="J847" s="3"/>
      <c r="K847" s="5"/>
      <c r="L847" s="3"/>
      <c r="M847" s="5"/>
      <c r="N847" s="5"/>
    </row>
    <row r="848">
      <c r="A848" s="2"/>
      <c r="B848" s="3"/>
      <c r="C848" s="3"/>
      <c r="D848" s="3"/>
      <c r="E848" s="4"/>
      <c r="F848" s="3"/>
      <c r="G848" s="5"/>
      <c r="H848" s="3"/>
      <c r="I848" s="5"/>
      <c r="J848" s="3"/>
      <c r="K848" s="5"/>
      <c r="L848" s="3"/>
      <c r="M848" s="5"/>
      <c r="N848" s="5"/>
    </row>
    <row r="849">
      <c r="A849" s="2"/>
      <c r="B849" s="3"/>
      <c r="C849" s="3"/>
      <c r="D849" s="3"/>
      <c r="E849" s="4"/>
      <c r="F849" s="3"/>
      <c r="G849" s="5"/>
      <c r="H849" s="3"/>
      <c r="I849" s="5"/>
      <c r="J849" s="3"/>
      <c r="K849" s="5"/>
      <c r="L849" s="3"/>
      <c r="M849" s="5"/>
      <c r="N849" s="5"/>
    </row>
    <row r="850">
      <c r="A850" s="2"/>
      <c r="B850" s="3"/>
      <c r="C850" s="3"/>
      <c r="D850" s="3"/>
      <c r="E850" s="4"/>
      <c r="F850" s="3"/>
      <c r="G850" s="5"/>
      <c r="H850" s="3"/>
      <c r="I850" s="5"/>
      <c r="J850" s="3"/>
      <c r="K850" s="5"/>
      <c r="L850" s="3"/>
      <c r="M850" s="5"/>
      <c r="N850" s="5"/>
    </row>
    <row r="851">
      <c r="A851" s="2"/>
      <c r="B851" s="3"/>
      <c r="C851" s="3"/>
      <c r="D851" s="3"/>
      <c r="E851" s="4"/>
      <c r="F851" s="3"/>
      <c r="G851" s="5"/>
      <c r="H851" s="3"/>
      <c r="I851" s="5"/>
      <c r="J851" s="3"/>
      <c r="K851" s="5"/>
      <c r="L851" s="3"/>
      <c r="M851" s="5"/>
      <c r="N851" s="5"/>
    </row>
    <row r="852">
      <c r="A852" s="2"/>
      <c r="B852" s="3"/>
      <c r="C852" s="3"/>
      <c r="D852" s="3"/>
      <c r="E852" s="4"/>
      <c r="F852" s="3"/>
      <c r="G852" s="5"/>
      <c r="H852" s="3"/>
      <c r="I852" s="5"/>
      <c r="J852" s="3"/>
      <c r="K852" s="5"/>
      <c r="L852" s="3"/>
      <c r="M852" s="5"/>
      <c r="N852" s="5"/>
    </row>
    <row r="853">
      <c r="A853" s="2"/>
      <c r="B853" s="3"/>
      <c r="C853" s="3"/>
      <c r="D853" s="3"/>
      <c r="E853" s="4"/>
      <c r="F853" s="3"/>
      <c r="G853" s="5"/>
      <c r="H853" s="3"/>
      <c r="I853" s="5"/>
      <c r="J853" s="3"/>
      <c r="K853" s="5"/>
      <c r="L853" s="3"/>
      <c r="M853" s="5"/>
      <c r="N853" s="5"/>
    </row>
    <row r="854">
      <c r="A854" s="2"/>
      <c r="B854" s="3"/>
      <c r="C854" s="3"/>
      <c r="D854" s="3"/>
      <c r="E854" s="4"/>
      <c r="F854" s="3"/>
      <c r="G854" s="5"/>
      <c r="H854" s="3"/>
      <c r="I854" s="5"/>
      <c r="J854" s="3"/>
      <c r="K854" s="5"/>
      <c r="L854" s="3"/>
      <c r="M854" s="5"/>
      <c r="N854" s="5"/>
    </row>
    <row r="855">
      <c r="A855" s="2"/>
      <c r="B855" s="3"/>
      <c r="C855" s="3"/>
      <c r="D855" s="3"/>
      <c r="E855" s="4"/>
      <c r="F855" s="3"/>
      <c r="G855" s="5"/>
      <c r="H855" s="3"/>
      <c r="I855" s="5"/>
      <c r="J855" s="3"/>
      <c r="K855" s="5"/>
      <c r="L855" s="3"/>
      <c r="M855" s="5"/>
      <c r="N855" s="5"/>
    </row>
    <row r="856">
      <c r="A856" s="2"/>
      <c r="B856" s="3"/>
      <c r="C856" s="3"/>
      <c r="D856" s="3"/>
      <c r="E856" s="4"/>
      <c r="F856" s="3"/>
      <c r="G856" s="5"/>
      <c r="H856" s="3"/>
      <c r="I856" s="5"/>
      <c r="J856" s="3"/>
      <c r="K856" s="5"/>
      <c r="L856" s="3"/>
      <c r="M856" s="5"/>
      <c r="N856" s="5"/>
    </row>
    <row r="857">
      <c r="A857" s="2"/>
      <c r="B857" s="3"/>
      <c r="C857" s="3"/>
      <c r="D857" s="3"/>
      <c r="E857" s="4"/>
      <c r="F857" s="3"/>
      <c r="G857" s="5"/>
      <c r="H857" s="3"/>
      <c r="I857" s="5"/>
      <c r="J857" s="3"/>
      <c r="K857" s="5"/>
      <c r="L857" s="3"/>
      <c r="M857" s="5"/>
      <c r="N857" s="5"/>
    </row>
    <row r="858">
      <c r="A858" s="2"/>
      <c r="B858" s="3"/>
      <c r="C858" s="3"/>
      <c r="D858" s="3"/>
      <c r="E858" s="4"/>
      <c r="F858" s="3"/>
      <c r="G858" s="5"/>
      <c r="H858" s="3"/>
      <c r="I858" s="5"/>
      <c r="J858" s="3"/>
      <c r="K858" s="5"/>
      <c r="L858" s="3"/>
      <c r="M858" s="5"/>
      <c r="N858" s="5"/>
    </row>
    <row r="859">
      <c r="A859" s="2"/>
      <c r="B859" s="3"/>
      <c r="C859" s="3"/>
      <c r="D859" s="3"/>
      <c r="E859" s="4"/>
      <c r="F859" s="3"/>
      <c r="G859" s="5"/>
      <c r="H859" s="3"/>
      <c r="I859" s="5"/>
      <c r="J859" s="3"/>
      <c r="K859" s="5"/>
      <c r="L859" s="3"/>
      <c r="M859" s="5"/>
      <c r="N859" s="5"/>
    </row>
    <row r="860">
      <c r="A860" s="2"/>
      <c r="B860" s="3"/>
      <c r="C860" s="3"/>
      <c r="D860" s="3"/>
      <c r="E860" s="4"/>
      <c r="F860" s="3"/>
      <c r="G860" s="5"/>
      <c r="H860" s="3"/>
      <c r="I860" s="5"/>
      <c r="J860" s="3"/>
      <c r="K860" s="5"/>
      <c r="L860" s="3"/>
      <c r="M860" s="5"/>
      <c r="N860" s="5"/>
    </row>
    <row r="861">
      <c r="A861" s="2"/>
      <c r="B861" s="3"/>
      <c r="C861" s="3"/>
      <c r="D861" s="3"/>
      <c r="E861" s="4"/>
      <c r="F861" s="3"/>
      <c r="G861" s="5"/>
      <c r="H861" s="3"/>
      <c r="I861" s="5"/>
      <c r="J861" s="3"/>
      <c r="K861" s="5"/>
      <c r="L861" s="3"/>
      <c r="M861" s="5"/>
      <c r="N861" s="5"/>
    </row>
    <row r="862">
      <c r="A862" s="2"/>
      <c r="B862" s="3"/>
      <c r="C862" s="3"/>
      <c r="D862" s="3"/>
      <c r="E862" s="4"/>
      <c r="F862" s="3"/>
      <c r="G862" s="5"/>
      <c r="H862" s="3"/>
      <c r="I862" s="5"/>
      <c r="J862" s="3"/>
      <c r="K862" s="5"/>
      <c r="L862" s="3"/>
      <c r="M862" s="5"/>
      <c r="N862" s="5"/>
    </row>
    <row r="863">
      <c r="A863" s="2"/>
      <c r="B863" s="3"/>
      <c r="C863" s="3"/>
      <c r="D863" s="3"/>
      <c r="E863" s="4"/>
      <c r="F863" s="3"/>
      <c r="G863" s="5"/>
      <c r="H863" s="3"/>
      <c r="I863" s="5"/>
      <c r="J863" s="3"/>
      <c r="K863" s="5"/>
      <c r="L863" s="3"/>
      <c r="M863" s="5"/>
      <c r="N863" s="5"/>
    </row>
    <row r="864">
      <c r="A864" s="2"/>
      <c r="B864" s="3"/>
      <c r="C864" s="3"/>
      <c r="D864" s="3"/>
      <c r="E864" s="4"/>
      <c r="F864" s="3"/>
      <c r="G864" s="5"/>
      <c r="H864" s="3"/>
      <c r="I864" s="5"/>
      <c r="J864" s="3"/>
      <c r="K864" s="5"/>
      <c r="L864" s="3"/>
      <c r="M864" s="5"/>
      <c r="N864" s="5"/>
    </row>
    <row r="865">
      <c r="A865" s="2"/>
      <c r="B865" s="3"/>
      <c r="C865" s="3"/>
      <c r="D865" s="3"/>
      <c r="E865" s="4"/>
      <c r="F865" s="3"/>
      <c r="G865" s="5"/>
      <c r="H865" s="3"/>
      <c r="I865" s="5"/>
      <c r="J865" s="3"/>
      <c r="K865" s="5"/>
      <c r="L865" s="3"/>
      <c r="M865" s="5"/>
      <c r="N865" s="5"/>
    </row>
    <row r="866">
      <c r="A866" s="2"/>
      <c r="B866" s="3"/>
      <c r="C866" s="3"/>
      <c r="D866" s="3"/>
      <c r="E866" s="4"/>
      <c r="F866" s="3"/>
      <c r="G866" s="5"/>
      <c r="H866" s="3"/>
      <c r="I866" s="5"/>
      <c r="J866" s="3"/>
      <c r="K866" s="5"/>
      <c r="L866" s="3"/>
      <c r="M866" s="5"/>
      <c r="N866" s="5"/>
    </row>
    <row r="867">
      <c r="A867" s="2"/>
      <c r="B867" s="3"/>
      <c r="C867" s="3"/>
      <c r="D867" s="3"/>
      <c r="E867" s="4"/>
      <c r="F867" s="3"/>
      <c r="G867" s="5"/>
      <c r="H867" s="3"/>
      <c r="I867" s="5"/>
      <c r="J867" s="3"/>
      <c r="K867" s="5"/>
      <c r="L867" s="3"/>
      <c r="M867" s="5"/>
      <c r="N867" s="5"/>
    </row>
    <row r="868">
      <c r="A868" s="2"/>
      <c r="B868" s="3"/>
      <c r="C868" s="3"/>
      <c r="D868" s="3"/>
      <c r="E868" s="4"/>
      <c r="F868" s="3"/>
      <c r="G868" s="5"/>
      <c r="H868" s="3"/>
      <c r="I868" s="5"/>
      <c r="J868" s="3"/>
      <c r="K868" s="5"/>
      <c r="L868" s="3"/>
      <c r="M868" s="5"/>
      <c r="N868" s="5"/>
    </row>
    <row r="869">
      <c r="A869" s="2"/>
      <c r="B869" s="3"/>
      <c r="C869" s="3"/>
      <c r="D869" s="3"/>
      <c r="E869" s="4"/>
      <c r="F869" s="3"/>
      <c r="G869" s="5"/>
      <c r="H869" s="3"/>
      <c r="I869" s="5"/>
      <c r="J869" s="3"/>
      <c r="K869" s="5"/>
      <c r="L869" s="3"/>
      <c r="M869" s="5"/>
      <c r="N869" s="5"/>
    </row>
    <row r="870">
      <c r="A870" s="2"/>
      <c r="B870" s="3"/>
      <c r="C870" s="3"/>
      <c r="D870" s="3"/>
      <c r="E870" s="4"/>
      <c r="F870" s="3"/>
      <c r="G870" s="5"/>
      <c r="H870" s="3"/>
      <c r="I870" s="5"/>
      <c r="J870" s="3"/>
      <c r="K870" s="5"/>
      <c r="L870" s="3"/>
      <c r="M870" s="5"/>
      <c r="N870" s="5"/>
    </row>
    <row r="871">
      <c r="A871" s="2"/>
      <c r="B871" s="3"/>
      <c r="C871" s="3"/>
      <c r="D871" s="3"/>
      <c r="E871" s="4"/>
      <c r="F871" s="3"/>
      <c r="G871" s="5"/>
      <c r="H871" s="3"/>
      <c r="I871" s="5"/>
      <c r="J871" s="3"/>
      <c r="K871" s="5"/>
      <c r="L871" s="3"/>
      <c r="M871" s="5"/>
      <c r="N871" s="5"/>
    </row>
    <row r="872">
      <c r="A872" s="2"/>
      <c r="B872" s="3"/>
      <c r="C872" s="3"/>
      <c r="D872" s="3"/>
      <c r="E872" s="4"/>
      <c r="F872" s="3"/>
      <c r="G872" s="5"/>
      <c r="H872" s="3"/>
      <c r="I872" s="5"/>
      <c r="J872" s="3"/>
      <c r="K872" s="5"/>
      <c r="L872" s="3"/>
      <c r="M872" s="5"/>
      <c r="N872" s="5"/>
    </row>
    <row r="873">
      <c r="A873" s="2"/>
      <c r="B873" s="3"/>
      <c r="C873" s="3"/>
      <c r="D873" s="3"/>
      <c r="E873" s="4"/>
      <c r="F873" s="3"/>
      <c r="G873" s="5"/>
      <c r="H873" s="3"/>
      <c r="I873" s="5"/>
      <c r="J873" s="3"/>
      <c r="K873" s="5"/>
      <c r="L873" s="3"/>
      <c r="M873" s="5"/>
      <c r="N873" s="5"/>
    </row>
    <row r="874">
      <c r="A874" s="2"/>
      <c r="B874" s="3"/>
      <c r="C874" s="3"/>
      <c r="D874" s="3"/>
      <c r="E874" s="4"/>
      <c r="F874" s="3"/>
      <c r="G874" s="5"/>
      <c r="H874" s="3"/>
      <c r="I874" s="5"/>
      <c r="J874" s="3"/>
      <c r="K874" s="5"/>
      <c r="L874" s="3"/>
      <c r="M874" s="5"/>
      <c r="N874" s="5"/>
    </row>
    <row r="875">
      <c r="A875" s="2"/>
      <c r="B875" s="3"/>
      <c r="C875" s="3"/>
      <c r="D875" s="3"/>
      <c r="E875" s="4"/>
      <c r="F875" s="3"/>
      <c r="G875" s="5"/>
      <c r="H875" s="3"/>
      <c r="I875" s="5"/>
      <c r="J875" s="3"/>
      <c r="K875" s="5"/>
      <c r="L875" s="3"/>
      <c r="M875" s="5"/>
      <c r="N875" s="5"/>
    </row>
    <row r="876">
      <c r="A876" s="2"/>
      <c r="B876" s="3"/>
      <c r="C876" s="3"/>
      <c r="D876" s="3"/>
      <c r="E876" s="4"/>
      <c r="F876" s="3"/>
      <c r="G876" s="5"/>
      <c r="H876" s="3"/>
      <c r="I876" s="5"/>
      <c r="J876" s="3"/>
      <c r="K876" s="5"/>
      <c r="L876" s="3"/>
      <c r="M876" s="5"/>
      <c r="N876" s="5"/>
    </row>
    <row r="877">
      <c r="A877" s="2"/>
      <c r="B877" s="3"/>
      <c r="C877" s="3"/>
      <c r="D877" s="3"/>
      <c r="E877" s="4"/>
      <c r="F877" s="3"/>
      <c r="G877" s="5"/>
      <c r="H877" s="3"/>
      <c r="I877" s="5"/>
      <c r="J877" s="3"/>
      <c r="K877" s="5"/>
      <c r="L877" s="3"/>
      <c r="M877" s="5"/>
      <c r="N877" s="5"/>
    </row>
    <row r="878">
      <c r="A878" s="2"/>
      <c r="B878" s="3"/>
      <c r="C878" s="3"/>
      <c r="D878" s="3"/>
      <c r="E878" s="4"/>
      <c r="F878" s="3"/>
      <c r="G878" s="5"/>
      <c r="H878" s="3"/>
      <c r="I878" s="5"/>
      <c r="J878" s="3"/>
      <c r="K878" s="5"/>
      <c r="L878" s="3"/>
      <c r="M878" s="5"/>
      <c r="N878" s="5"/>
    </row>
    <row r="879">
      <c r="A879" s="2"/>
      <c r="B879" s="3"/>
      <c r="C879" s="3"/>
      <c r="D879" s="3"/>
      <c r="E879" s="4"/>
      <c r="F879" s="3"/>
      <c r="G879" s="5"/>
      <c r="H879" s="3"/>
      <c r="I879" s="5"/>
      <c r="J879" s="3"/>
      <c r="K879" s="5"/>
      <c r="L879" s="3"/>
      <c r="M879" s="5"/>
      <c r="N879" s="5"/>
    </row>
    <row r="880">
      <c r="A880" s="2"/>
      <c r="B880" s="3"/>
      <c r="C880" s="3"/>
      <c r="D880" s="3"/>
      <c r="E880" s="4"/>
      <c r="F880" s="3"/>
      <c r="G880" s="5"/>
      <c r="H880" s="3"/>
      <c r="I880" s="5"/>
      <c r="J880" s="3"/>
      <c r="K880" s="5"/>
      <c r="L880" s="3"/>
      <c r="M880" s="5"/>
      <c r="N880" s="5"/>
    </row>
    <row r="881">
      <c r="A881" s="2"/>
      <c r="B881" s="3"/>
      <c r="C881" s="3"/>
      <c r="D881" s="3"/>
      <c r="E881" s="4"/>
      <c r="F881" s="3"/>
      <c r="G881" s="5"/>
      <c r="H881" s="3"/>
      <c r="I881" s="5"/>
      <c r="J881" s="3"/>
      <c r="K881" s="5"/>
      <c r="L881" s="3"/>
      <c r="M881" s="5"/>
      <c r="N881" s="5"/>
    </row>
    <row r="882">
      <c r="A882" s="2"/>
      <c r="B882" s="3"/>
      <c r="C882" s="3"/>
      <c r="D882" s="3"/>
      <c r="E882" s="4"/>
      <c r="F882" s="3"/>
      <c r="G882" s="5"/>
      <c r="H882" s="3"/>
      <c r="I882" s="5"/>
      <c r="J882" s="3"/>
      <c r="K882" s="5"/>
      <c r="L882" s="3"/>
      <c r="M882" s="5"/>
      <c r="N882" s="5"/>
    </row>
    <row r="883">
      <c r="A883" s="2"/>
      <c r="B883" s="3"/>
      <c r="C883" s="3"/>
      <c r="D883" s="3"/>
      <c r="E883" s="4"/>
      <c r="F883" s="3"/>
      <c r="G883" s="5"/>
      <c r="H883" s="3"/>
      <c r="I883" s="5"/>
      <c r="J883" s="3"/>
      <c r="K883" s="5"/>
      <c r="L883" s="3"/>
      <c r="M883" s="5"/>
      <c r="N883" s="5"/>
    </row>
    <row r="884">
      <c r="A884" s="2"/>
      <c r="B884" s="3"/>
      <c r="C884" s="3"/>
      <c r="D884" s="3"/>
      <c r="E884" s="4"/>
      <c r="F884" s="3"/>
      <c r="G884" s="5"/>
      <c r="H884" s="3"/>
      <c r="I884" s="5"/>
      <c r="J884" s="3"/>
      <c r="K884" s="5"/>
      <c r="L884" s="3"/>
      <c r="M884" s="5"/>
      <c r="N884" s="5"/>
    </row>
    <row r="885">
      <c r="A885" s="2"/>
      <c r="B885" s="3"/>
      <c r="C885" s="3"/>
      <c r="D885" s="3"/>
      <c r="E885" s="4"/>
      <c r="F885" s="3"/>
      <c r="G885" s="5"/>
      <c r="H885" s="3"/>
      <c r="I885" s="5"/>
      <c r="J885" s="3"/>
      <c r="K885" s="5"/>
      <c r="L885" s="3"/>
      <c r="M885" s="5"/>
      <c r="N885" s="5"/>
    </row>
    <row r="886">
      <c r="A886" s="2"/>
      <c r="B886" s="3"/>
      <c r="C886" s="3"/>
      <c r="D886" s="3"/>
      <c r="E886" s="4"/>
      <c r="F886" s="3"/>
      <c r="G886" s="5"/>
      <c r="H886" s="3"/>
      <c r="I886" s="5"/>
      <c r="J886" s="3"/>
      <c r="K886" s="5"/>
      <c r="L886" s="3"/>
      <c r="M886" s="5"/>
      <c r="N886" s="5"/>
    </row>
    <row r="887">
      <c r="A887" s="2"/>
      <c r="B887" s="3"/>
      <c r="C887" s="3"/>
      <c r="D887" s="3"/>
      <c r="E887" s="4"/>
      <c r="F887" s="3"/>
      <c r="G887" s="5"/>
      <c r="H887" s="3"/>
      <c r="I887" s="5"/>
      <c r="J887" s="3"/>
      <c r="K887" s="5"/>
      <c r="L887" s="3"/>
      <c r="M887" s="5"/>
      <c r="N887" s="5"/>
    </row>
    <row r="888">
      <c r="A888" s="2"/>
      <c r="B888" s="3"/>
      <c r="C888" s="3"/>
      <c r="D888" s="3"/>
      <c r="E888" s="4"/>
      <c r="F888" s="3"/>
      <c r="G888" s="5"/>
      <c r="H888" s="3"/>
      <c r="I888" s="5"/>
      <c r="J888" s="3"/>
      <c r="K888" s="5"/>
      <c r="L888" s="3"/>
      <c r="M888" s="5"/>
      <c r="N888" s="5"/>
    </row>
    <row r="889">
      <c r="A889" s="2"/>
      <c r="B889" s="3"/>
      <c r="C889" s="3"/>
      <c r="D889" s="3"/>
      <c r="E889" s="4"/>
      <c r="F889" s="3"/>
      <c r="G889" s="5"/>
      <c r="H889" s="3"/>
      <c r="I889" s="5"/>
      <c r="J889" s="3"/>
      <c r="K889" s="5"/>
      <c r="L889" s="3"/>
      <c r="M889" s="5"/>
      <c r="N889" s="5"/>
    </row>
    <row r="890">
      <c r="A890" s="2"/>
      <c r="B890" s="3"/>
      <c r="C890" s="3"/>
      <c r="D890" s="3"/>
      <c r="E890" s="4"/>
      <c r="F890" s="3"/>
      <c r="G890" s="5"/>
      <c r="H890" s="3"/>
      <c r="I890" s="5"/>
      <c r="J890" s="3"/>
      <c r="K890" s="5"/>
      <c r="L890" s="3"/>
      <c r="M890" s="5"/>
      <c r="N890" s="5"/>
    </row>
    <row r="891">
      <c r="A891" s="2"/>
      <c r="B891" s="3"/>
      <c r="C891" s="3"/>
      <c r="D891" s="3"/>
      <c r="E891" s="4"/>
      <c r="F891" s="3"/>
      <c r="G891" s="5"/>
      <c r="H891" s="3"/>
      <c r="I891" s="5"/>
      <c r="J891" s="3"/>
      <c r="K891" s="5"/>
      <c r="L891" s="3"/>
      <c r="M891" s="5"/>
      <c r="N891" s="5"/>
    </row>
    <row r="892">
      <c r="A892" s="2"/>
      <c r="B892" s="3"/>
      <c r="C892" s="3"/>
      <c r="D892" s="3"/>
      <c r="E892" s="4"/>
      <c r="F892" s="3"/>
      <c r="G892" s="5"/>
      <c r="H892" s="3"/>
      <c r="I892" s="5"/>
      <c r="J892" s="3"/>
      <c r="K892" s="5"/>
      <c r="L892" s="3"/>
      <c r="M892" s="5"/>
      <c r="N892" s="5"/>
    </row>
    <row r="893">
      <c r="A893" s="2"/>
      <c r="B893" s="3"/>
      <c r="C893" s="3"/>
      <c r="D893" s="3"/>
      <c r="E893" s="4"/>
      <c r="F893" s="3"/>
      <c r="G893" s="5"/>
      <c r="H893" s="3"/>
      <c r="I893" s="5"/>
      <c r="J893" s="3"/>
      <c r="K893" s="5"/>
      <c r="L893" s="3"/>
      <c r="M893" s="5"/>
      <c r="N893" s="5"/>
    </row>
    <row r="894">
      <c r="A894" s="2"/>
      <c r="B894" s="3"/>
      <c r="C894" s="3"/>
      <c r="D894" s="3"/>
      <c r="E894" s="4"/>
      <c r="F894" s="3"/>
      <c r="G894" s="5"/>
      <c r="H894" s="3"/>
      <c r="I894" s="5"/>
      <c r="J894" s="3"/>
      <c r="K894" s="5"/>
      <c r="L894" s="3"/>
      <c r="M894" s="5"/>
      <c r="N894" s="5"/>
    </row>
    <row r="895">
      <c r="A895" s="2"/>
      <c r="B895" s="3"/>
      <c r="C895" s="3"/>
      <c r="D895" s="3"/>
      <c r="E895" s="4"/>
      <c r="F895" s="3"/>
      <c r="G895" s="5"/>
      <c r="H895" s="3"/>
      <c r="I895" s="5"/>
      <c r="J895" s="3"/>
      <c r="K895" s="5"/>
      <c r="L895" s="3"/>
      <c r="M895" s="5"/>
      <c r="N895" s="5"/>
    </row>
    <row r="896">
      <c r="A896" s="2"/>
      <c r="B896" s="3"/>
      <c r="C896" s="3"/>
      <c r="D896" s="3"/>
      <c r="E896" s="4"/>
      <c r="F896" s="3"/>
      <c r="G896" s="5"/>
      <c r="H896" s="3"/>
      <c r="I896" s="5"/>
      <c r="J896" s="3"/>
      <c r="K896" s="5"/>
      <c r="L896" s="3"/>
      <c r="M896" s="5"/>
      <c r="N896" s="5"/>
    </row>
    <row r="897">
      <c r="A897" s="2"/>
      <c r="B897" s="3"/>
      <c r="C897" s="3"/>
      <c r="D897" s="3"/>
      <c r="E897" s="4"/>
      <c r="F897" s="3"/>
      <c r="G897" s="5"/>
      <c r="H897" s="3"/>
      <c r="I897" s="5"/>
      <c r="J897" s="3"/>
      <c r="K897" s="5"/>
      <c r="L897" s="3"/>
      <c r="M897" s="5"/>
      <c r="N897" s="5"/>
    </row>
    <row r="898">
      <c r="A898" s="2"/>
      <c r="B898" s="3"/>
      <c r="C898" s="3"/>
      <c r="D898" s="3"/>
      <c r="E898" s="4"/>
      <c r="F898" s="3"/>
      <c r="G898" s="5"/>
      <c r="H898" s="3"/>
      <c r="I898" s="5"/>
      <c r="J898" s="3"/>
      <c r="K898" s="5"/>
      <c r="L898" s="3"/>
      <c r="M898" s="5"/>
      <c r="N898" s="5"/>
    </row>
    <row r="899">
      <c r="A899" s="2"/>
      <c r="B899" s="3"/>
      <c r="C899" s="3"/>
      <c r="D899" s="3"/>
      <c r="E899" s="4"/>
      <c r="F899" s="3"/>
      <c r="G899" s="5"/>
      <c r="H899" s="3"/>
      <c r="I899" s="5"/>
      <c r="J899" s="3"/>
      <c r="K899" s="5"/>
      <c r="L899" s="3"/>
      <c r="M899" s="5"/>
      <c r="N899" s="5"/>
    </row>
    <row r="900">
      <c r="A900" s="2"/>
      <c r="B900" s="3"/>
      <c r="C900" s="3"/>
      <c r="D900" s="3"/>
      <c r="E900" s="4"/>
      <c r="F900" s="3"/>
      <c r="G900" s="5"/>
      <c r="H900" s="3"/>
      <c r="I900" s="5"/>
      <c r="J900" s="3"/>
      <c r="K900" s="5"/>
      <c r="L900" s="3"/>
      <c r="M900" s="5"/>
      <c r="N900" s="5"/>
    </row>
    <row r="901">
      <c r="A901" s="2"/>
      <c r="B901" s="3"/>
      <c r="C901" s="3"/>
      <c r="D901" s="3"/>
      <c r="E901" s="4"/>
      <c r="F901" s="3"/>
      <c r="G901" s="5"/>
      <c r="H901" s="3"/>
      <c r="I901" s="5"/>
      <c r="J901" s="3"/>
      <c r="K901" s="5"/>
      <c r="L901" s="3"/>
      <c r="M901" s="5"/>
      <c r="N901" s="5"/>
    </row>
    <row r="902">
      <c r="A902" s="2"/>
      <c r="B902" s="3"/>
      <c r="C902" s="3"/>
      <c r="D902" s="3"/>
      <c r="E902" s="4"/>
      <c r="F902" s="3"/>
      <c r="G902" s="5"/>
      <c r="H902" s="3"/>
      <c r="I902" s="5"/>
      <c r="J902" s="3"/>
      <c r="K902" s="5"/>
      <c r="L902" s="3"/>
      <c r="M902" s="5"/>
      <c r="N902" s="5"/>
    </row>
    <row r="903">
      <c r="A903" s="2"/>
      <c r="B903" s="3"/>
      <c r="C903" s="3"/>
      <c r="D903" s="3"/>
      <c r="E903" s="4"/>
      <c r="F903" s="3"/>
      <c r="G903" s="5"/>
      <c r="H903" s="3"/>
      <c r="I903" s="5"/>
      <c r="J903" s="3"/>
      <c r="K903" s="5"/>
      <c r="L903" s="3"/>
      <c r="M903" s="5"/>
      <c r="N903" s="5"/>
    </row>
    <row r="904">
      <c r="A904" s="2"/>
      <c r="B904" s="3"/>
      <c r="C904" s="3"/>
      <c r="D904" s="3"/>
      <c r="E904" s="4"/>
      <c r="F904" s="3"/>
      <c r="G904" s="5"/>
      <c r="H904" s="3"/>
      <c r="I904" s="5"/>
      <c r="J904" s="3"/>
      <c r="K904" s="5"/>
      <c r="L904" s="3"/>
      <c r="M904" s="5"/>
      <c r="N904" s="5"/>
    </row>
    <row r="905">
      <c r="A905" s="2"/>
      <c r="B905" s="3"/>
      <c r="C905" s="3"/>
      <c r="D905" s="3"/>
      <c r="E905" s="4"/>
      <c r="F905" s="3"/>
      <c r="G905" s="5"/>
      <c r="H905" s="3"/>
      <c r="I905" s="5"/>
      <c r="J905" s="3"/>
      <c r="K905" s="5"/>
      <c r="L905" s="3"/>
      <c r="M905" s="5"/>
      <c r="N905" s="5"/>
    </row>
    <row r="906">
      <c r="A906" s="2"/>
      <c r="B906" s="3"/>
      <c r="C906" s="3"/>
      <c r="D906" s="3"/>
      <c r="E906" s="4"/>
      <c r="F906" s="3"/>
      <c r="G906" s="5"/>
      <c r="H906" s="3"/>
      <c r="I906" s="5"/>
      <c r="J906" s="3"/>
      <c r="K906" s="5"/>
      <c r="L906" s="3"/>
      <c r="M906" s="5"/>
      <c r="N906" s="5"/>
    </row>
    <row r="907">
      <c r="A907" s="2"/>
      <c r="B907" s="3"/>
      <c r="C907" s="3"/>
      <c r="D907" s="3"/>
      <c r="E907" s="4"/>
      <c r="F907" s="3"/>
      <c r="G907" s="5"/>
      <c r="H907" s="3"/>
      <c r="I907" s="5"/>
      <c r="J907" s="3"/>
      <c r="K907" s="5"/>
      <c r="L907" s="3"/>
      <c r="M907" s="5"/>
      <c r="N907" s="5"/>
    </row>
    <row r="908">
      <c r="A908" s="2"/>
      <c r="B908" s="3"/>
      <c r="C908" s="3"/>
      <c r="D908" s="3"/>
      <c r="E908" s="4"/>
      <c r="F908" s="3"/>
      <c r="G908" s="5"/>
      <c r="H908" s="3"/>
      <c r="I908" s="5"/>
      <c r="J908" s="3"/>
      <c r="K908" s="5"/>
      <c r="L908" s="3"/>
      <c r="M908" s="5"/>
      <c r="N908" s="5"/>
    </row>
    <row r="909">
      <c r="A909" s="2"/>
      <c r="B909" s="3"/>
      <c r="C909" s="3"/>
      <c r="D909" s="3"/>
      <c r="E909" s="4"/>
      <c r="F909" s="3"/>
      <c r="G909" s="5"/>
      <c r="H909" s="3"/>
      <c r="I909" s="5"/>
      <c r="J909" s="3"/>
      <c r="K909" s="5"/>
      <c r="L909" s="3"/>
      <c r="M909" s="5"/>
      <c r="N909" s="5"/>
    </row>
    <row r="910">
      <c r="A910" s="2"/>
      <c r="B910" s="3"/>
      <c r="C910" s="3"/>
      <c r="D910" s="3"/>
      <c r="E910" s="4"/>
      <c r="F910" s="3"/>
      <c r="G910" s="5"/>
      <c r="H910" s="3"/>
      <c r="I910" s="5"/>
      <c r="J910" s="3"/>
      <c r="K910" s="5"/>
      <c r="L910" s="3"/>
      <c r="M910" s="5"/>
      <c r="N910" s="5"/>
    </row>
    <row r="911">
      <c r="A911" s="2"/>
      <c r="B911" s="3"/>
      <c r="C911" s="3"/>
      <c r="D911" s="3"/>
      <c r="E911" s="4"/>
      <c r="F911" s="3"/>
      <c r="G911" s="5"/>
      <c r="H911" s="3"/>
      <c r="I911" s="5"/>
      <c r="J911" s="3"/>
      <c r="K911" s="5"/>
      <c r="L911" s="3"/>
      <c r="M911" s="5"/>
      <c r="N911" s="5"/>
    </row>
    <row r="912">
      <c r="A912" s="2"/>
      <c r="B912" s="3"/>
      <c r="C912" s="3"/>
      <c r="D912" s="3"/>
      <c r="E912" s="4"/>
      <c r="F912" s="3"/>
      <c r="G912" s="5"/>
      <c r="H912" s="3"/>
      <c r="I912" s="5"/>
      <c r="J912" s="3"/>
      <c r="K912" s="5"/>
      <c r="L912" s="3"/>
      <c r="M912" s="5"/>
      <c r="N912" s="5"/>
    </row>
    <row r="913">
      <c r="A913" s="2"/>
      <c r="B913" s="3"/>
      <c r="C913" s="3"/>
      <c r="D913" s="3"/>
      <c r="E913" s="4"/>
      <c r="F913" s="3"/>
      <c r="G913" s="5"/>
      <c r="H913" s="3"/>
      <c r="I913" s="5"/>
      <c r="J913" s="3"/>
      <c r="K913" s="5"/>
      <c r="L913" s="3"/>
      <c r="M913" s="5"/>
      <c r="N913" s="5"/>
    </row>
    <row r="914">
      <c r="A914" s="2"/>
      <c r="B914" s="3"/>
      <c r="C914" s="3"/>
      <c r="D914" s="3"/>
      <c r="E914" s="4"/>
      <c r="F914" s="3"/>
      <c r="G914" s="5"/>
      <c r="H914" s="3"/>
      <c r="I914" s="5"/>
      <c r="J914" s="3"/>
      <c r="K914" s="5"/>
      <c r="L914" s="3"/>
      <c r="M914" s="5"/>
      <c r="N914" s="5"/>
    </row>
    <row r="915">
      <c r="A915" s="2"/>
      <c r="B915" s="3"/>
      <c r="C915" s="3"/>
      <c r="D915" s="3"/>
      <c r="E915" s="4"/>
      <c r="F915" s="3"/>
      <c r="G915" s="5"/>
      <c r="H915" s="3"/>
      <c r="I915" s="5"/>
      <c r="J915" s="3"/>
      <c r="K915" s="5"/>
      <c r="L915" s="3"/>
      <c r="M915" s="5"/>
      <c r="N915" s="5"/>
    </row>
    <row r="916">
      <c r="A916" s="2"/>
      <c r="B916" s="3"/>
      <c r="C916" s="3"/>
      <c r="D916" s="3"/>
      <c r="E916" s="4"/>
      <c r="F916" s="3"/>
      <c r="G916" s="5"/>
      <c r="H916" s="3"/>
      <c r="I916" s="5"/>
      <c r="J916" s="3"/>
      <c r="K916" s="5"/>
      <c r="L916" s="3"/>
      <c r="M916" s="5"/>
      <c r="N916" s="5"/>
    </row>
    <row r="917">
      <c r="A917" s="2"/>
      <c r="B917" s="3"/>
      <c r="C917" s="3"/>
      <c r="D917" s="3"/>
      <c r="E917" s="4"/>
      <c r="F917" s="3"/>
      <c r="G917" s="5"/>
      <c r="H917" s="3"/>
      <c r="I917" s="5"/>
      <c r="J917" s="3"/>
      <c r="K917" s="5"/>
      <c r="L917" s="3"/>
      <c r="M917" s="5"/>
      <c r="N917" s="5"/>
    </row>
    <row r="918">
      <c r="A918" s="2"/>
      <c r="B918" s="3"/>
      <c r="C918" s="3"/>
      <c r="D918" s="3"/>
      <c r="E918" s="4"/>
      <c r="F918" s="3"/>
      <c r="G918" s="5"/>
      <c r="H918" s="3"/>
      <c r="I918" s="5"/>
      <c r="J918" s="3"/>
      <c r="K918" s="5"/>
      <c r="L918" s="3"/>
      <c r="M918" s="5"/>
      <c r="N918" s="5"/>
    </row>
    <row r="919">
      <c r="A919" s="2"/>
      <c r="B919" s="3"/>
      <c r="C919" s="3"/>
      <c r="D919" s="3"/>
      <c r="E919" s="4"/>
      <c r="F919" s="3"/>
      <c r="G919" s="5"/>
      <c r="H919" s="3"/>
      <c r="I919" s="5"/>
      <c r="J919" s="3"/>
      <c r="K919" s="5"/>
      <c r="L919" s="3"/>
      <c r="M919" s="5"/>
      <c r="N919" s="5"/>
    </row>
    <row r="920">
      <c r="A920" s="2"/>
      <c r="B920" s="3"/>
      <c r="C920" s="3"/>
      <c r="D920" s="3"/>
      <c r="E920" s="4"/>
      <c r="F920" s="3"/>
      <c r="G920" s="5"/>
      <c r="H920" s="3"/>
      <c r="I920" s="5"/>
      <c r="J920" s="3"/>
      <c r="K920" s="5"/>
      <c r="L920" s="3"/>
      <c r="M920" s="5"/>
      <c r="N920" s="5"/>
    </row>
    <row r="921">
      <c r="A921" s="2"/>
      <c r="B921" s="3"/>
      <c r="C921" s="3"/>
      <c r="D921" s="3"/>
      <c r="E921" s="4"/>
      <c r="F921" s="3"/>
      <c r="G921" s="5"/>
      <c r="H921" s="3"/>
      <c r="I921" s="5"/>
      <c r="J921" s="3"/>
      <c r="K921" s="5"/>
      <c r="L921" s="3"/>
      <c r="M921" s="5"/>
      <c r="N921" s="5"/>
    </row>
    <row r="922">
      <c r="A922" s="2"/>
      <c r="B922" s="3"/>
      <c r="C922" s="3"/>
      <c r="D922" s="3"/>
      <c r="E922" s="4"/>
      <c r="F922" s="3"/>
      <c r="G922" s="5"/>
      <c r="H922" s="3"/>
      <c r="I922" s="5"/>
      <c r="J922" s="3"/>
      <c r="K922" s="5"/>
      <c r="L922" s="3"/>
      <c r="M922" s="5"/>
      <c r="N922" s="5"/>
    </row>
    <row r="923">
      <c r="A923" s="2"/>
      <c r="B923" s="3"/>
      <c r="C923" s="3"/>
      <c r="D923" s="3"/>
      <c r="E923" s="4"/>
      <c r="F923" s="3"/>
      <c r="G923" s="5"/>
      <c r="H923" s="3"/>
      <c r="I923" s="5"/>
      <c r="J923" s="3"/>
      <c r="K923" s="5"/>
      <c r="L923" s="3"/>
      <c r="M923" s="5"/>
      <c r="N923" s="5"/>
    </row>
    <row r="924">
      <c r="A924" s="2"/>
      <c r="B924" s="3"/>
      <c r="C924" s="3"/>
      <c r="D924" s="3"/>
      <c r="E924" s="4"/>
      <c r="F924" s="3"/>
      <c r="G924" s="5"/>
      <c r="H924" s="3"/>
      <c r="I924" s="5"/>
      <c r="J924" s="3"/>
      <c r="K924" s="5"/>
      <c r="L924" s="3"/>
      <c r="M924" s="5"/>
      <c r="N924" s="5"/>
    </row>
    <row r="925">
      <c r="A925" s="2"/>
      <c r="B925" s="3"/>
      <c r="C925" s="3"/>
      <c r="D925" s="3"/>
      <c r="E925" s="4"/>
      <c r="F925" s="3"/>
      <c r="G925" s="5"/>
      <c r="H925" s="3"/>
      <c r="I925" s="5"/>
      <c r="J925" s="3"/>
      <c r="K925" s="5"/>
      <c r="L925" s="3"/>
      <c r="M925" s="5"/>
      <c r="N925" s="5"/>
    </row>
    <row r="926">
      <c r="A926" s="2"/>
      <c r="B926" s="3"/>
      <c r="C926" s="3"/>
      <c r="D926" s="3"/>
      <c r="E926" s="4"/>
      <c r="F926" s="3"/>
      <c r="G926" s="5"/>
      <c r="H926" s="3"/>
      <c r="I926" s="5"/>
      <c r="J926" s="3"/>
      <c r="K926" s="5"/>
      <c r="L926" s="3"/>
      <c r="M926" s="5"/>
      <c r="N926" s="5"/>
    </row>
    <row r="927">
      <c r="A927" s="2"/>
      <c r="B927" s="3"/>
      <c r="C927" s="3"/>
      <c r="D927" s="3"/>
      <c r="E927" s="4"/>
      <c r="F927" s="3"/>
      <c r="G927" s="5"/>
      <c r="H927" s="3"/>
      <c r="I927" s="5"/>
      <c r="J927" s="3"/>
      <c r="K927" s="5"/>
      <c r="L927" s="3"/>
      <c r="M927" s="5"/>
      <c r="N927" s="5"/>
    </row>
    <row r="928">
      <c r="A928" s="2"/>
      <c r="B928" s="3"/>
      <c r="C928" s="3"/>
      <c r="D928" s="3"/>
      <c r="E928" s="4"/>
      <c r="F928" s="3"/>
      <c r="G928" s="5"/>
      <c r="H928" s="3"/>
      <c r="I928" s="5"/>
      <c r="J928" s="3"/>
      <c r="K928" s="5"/>
      <c r="L928" s="3"/>
      <c r="M928" s="5"/>
      <c r="N928" s="5"/>
    </row>
    <row r="929">
      <c r="A929" s="2"/>
      <c r="B929" s="3"/>
      <c r="C929" s="3"/>
      <c r="D929" s="3"/>
      <c r="E929" s="4"/>
      <c r="F929" s="3"/>
      <c r="G929" s="5"/>
      <c r="H929" s="3"/>
      <c r="I929" s="5"/>
      <c r="J929" s="3"/>
      <c r="K929" s="5"/>
      <c r="L929" s="3"/>
      <c r="M929" s="5"/>
      <c r="N929" s="5"/>
    </row>
    <row r="930">
      <c r="A930" s="2"/>
      <c r="B930" s="3"/>
      <c r="C930" s="3"/>
      <c r="D930" s="3"/>
      <c r="E930" s="4"/>
      <c r="F930" s="3"/>
      <c r="G930" s="5"/>
      <c r="H930" s="3"/>
      <c r="I930" s="5"/>
      <c r="J930" s="3"/>
      <c r="K930" s="5"/>
      <c r="L930" s="3"/>
      <c r="M930" s="5"/>
      <c r="N930" s="5"/>
    </row>
    <row r="931">
      <c r="A931" s="2"/>
      <c r="B931" s="3"/>
      <c r="C931" s="3"/>
      <c r="D931" s="3"/>
      <c r="E931" s="4"/>
      <c r="F931" s="3"/>
      <c r="G931" s="5"/>
      <c r="H931" s="3"/>
      <c r="I931" s="5"/>
      <c r="J931" s="3"/>
      <c r="K931" s="5"/>
      <c r="L931" s="3"/>
      <c r="M931" s="5"/>
      <c r="N931" s="5"/>
    </row>
    <row r="932">
      <c r="A932" s="2"/>
      <c r="B932" s="3"/>
      <c r="C932" s="3"/>
      <c r="D932" s="3"/>
      <c r="E932" s="4"/>
      <c r="F932" s="3"/>
      <c r="G932" s="5"/>
      <c r="H932" s="3"/>
      <c r="I932" s="5"/>
      <c r="J932" s="3"/>
      <c r="K932" s="5"/>
      <c r="L932" s="3"/>
      <c r="M932" s="5"/>
      <c r="N932" s="5"/>
    </row>
    <row r="933">
      <c r="A933" s="2"/>
      <c r="B933" s="3"/>
      <c r="C933" s="3"/>
      <c r="D933" s="3"/>
      <c r="E933" s="4"/>
      <c r="F933" s="3"/>
      <c r="G933" s="5"/>
      <c r="H933" s="3"/>
      <c r="I933" s="5"/>
      <c r="J933" s="3"/>
      <c r="K933" s="5"/>
      <c r="L933" s="3"/>
      <c r="M933" s="5"/>
      <c r="N933" s="5"/>
    </row>
    <row r="934">
      <c r="A934" s="2"/>
      <c r="B934" s="3"/>
      <c r="C934" s="3"/>
      <c r="D934" s="3"/>
      <c r="E934" s="4"/>
      <c r="F934" s="3"/>
      <c r="G934" s="5"/>
      <c r="H934" s="3"/>
      <c r="I934" s="5"/>
      <c r="J934" s="3"/>
      <c r="K934" s="5"/>
      <c r="L934" s="3"/>
      <c r="M934" s="5"/>
      <c r="N934" s="5"/>
    </row>
    <row r="935">
      <c r="A935" s="2"/>
      <c r="B935" s="3"/>
      <c r="C935" s="3"/>
      <c r="D935" s="3"/>
      <c r="E935" s="4"/>
      <c r="F935" s="3"/>
      <c r="G935" s="5"/>
      <c r="H935" s="3"/>
      <c r="I935" s="5"/>
      <c r="J935" s="3"/>
      <c r="K935" s="5"/>
      <c r="L935" s="3"/>
      <c r="M935" s="5"/>
      <c r="N935" s="5"/>
    </row>
    <row r="936">
      <c r="A936" s="2"/>
      <c r="B936" s="3"/>
      <c r="C936" s="3"/>
      <c r="D936" s="3"/>
      <c r="E936" s="4"/>
      <c r="F936" s="3"/>
      <c r="G936" s="5"/>
      <c r="H936" s="3"/>
      <c r="I936" s="5"/>
      <c r="J936" s="3"/>
      <c r="K936" s="5"/>
      <c r="L936" s="3"/>
      <c r="M936" s="5"/>
      <c r="N936" s="5"/>
    </row>
    <row r="937">
      <c r="A937" s="2"/>
      <c r="B937" s="3"/>
      <c r="C937" s="3"/>
      <c r="D937" s="3"/>
      <c r="E937" s="4"/>
      <c r="F937" s="3"/>
      <c r="G937" s="5"/>
      <c r="H937" s="3"/>
      <c r="I937" s="5"/>
      <c r="J937" s="3"/>
      <c r="K937" s="5"/>
      <c r="L937" s="3"/>
      <c r="M937" s="5"/>
      <c r="N937" s="5"/>
    </row>
    <row r="938">
      <c r="A938" s="2"/>
      <c r="B938" s="3"/>
      <c r="C938" s="3"/>
      <c r="D938" s="3"/>
      <c r="E938" s="4"/>
      <c r="F938" s="3"/>
      <c r="G938" s="5"/>
      <c r="H938" s="3"/>
      <c r="I938" s="5"/>
      <c r="J938" s="3"/>
      <c r="K938" s="5"/>
      <c r="L938" s="3"/>
      <c r="M938" s="5"/>
      <c r="N938" s="5"/>
    </row>
    <row r="939">
      <c r="A939" s="2"/>
      <c r="B939" s="3"/>
      <c r="C939" s="3"/>
      <c r="D939" s="3"/>
      <c r="E939" s="4"/>
      <c r="F939" s="3"/>
      <c r="G939" s="5"/>
      <c r="H939" s="3"/>
      <c r="I939" s="5"/>
      <c r="J939" s="3"/>
      <c r="K939" s="5"/>
      <c r="L939" s="3"/>
      <c r="M939" s="5"/>
      <c r="N939" s="5"/>
    </row>
    <row r="940">
      <c r="A940" s="2"/>
      <c r="B940" s="3"/>
      <c r="C940" s="3"/>
      <c r="D940" s="3"/>
      <c r="E940" s="4"/>
      <c r="F940" s="3"/>
      <c r="G940" s="5"/>
      <c r="H940" s="3"/>
      <c r="I940" s="5"/>
      <c r="J940" s="3"/>
      <c r="K940" s="5"/>
      <c r="L940" s="3"/>
      <c r="M940" s="5"/>
      <c r="N940" s="5"/>
    </row>
    <row r="941">
      <c r="A941" s="2"/>
      <c r="B941" s="3"/>
      <c r="C941" s="3"/>
      <c r="D941" s="3"/>
      <c r="E941" s="4"/>
      <c r="F941" s="3"/>
      <c r="G941" s="5"/>
      <c r="H941" s="3"/>
      <c r="I941" s="5"/>
      <c r="J941" s="3"/>
      <c r="K941" s="5"/>
      <c r="L941" s="3"/>
      <c r="M941" s="5"/>
      <c r="N941" s="5"/>
    </row>
    <row r="942">
      <c r="A942" s="2"/>
      <c r="B942" s="3"/>
      <c r="C942" s="3"/>
      <c r="D942" s="3"/>
      <c r="E942" s="4"/>
      <c r="F942" s="3"/>
      <c r="G942" s="5"/>
      <c r="H942" s="3"/>
      <c r="I942" s="5"/>
      <c r="J942" s="3"/>
      <c r="K942" s="5"/>
      <c r="L942" s="3"/>
      <c r="M942" s="5"/>
      <c r="N942" s="5"/>
    </row>
    <row r="943">
      <c r="A943" s="2"/>
      <c r="B943" s="3"/>
      <c r="C943" s="3"/>
      <c r="D943" s="3"/>
      <c r="E943" s="4"/>
      <c r="F943" s="3"/>
      <c r="G943" s="5"/>
      <c r="H943" s="3"/>
      <c r="I943" s="5"/>
      <c r="J943" s="3"/>
      <c r="K943" s="5"/>
      <c r="L943" s="3"/>
      <c r="M943" s="5"/>
      <c r="N943" s="5"/>
    </row>
    <row r="944">
      <c r="A944" s="2"/>
      <c r="B944" s="3"/>
      <c r="C944" s="3"/>
      <c r="D944" s="3"/>
      <c r="E944" s="4"/>
      <c r="F944" s="3"/>
      <c r="G944" s="5"/>
      <c r="H944" s="3"/>
      <c r="I944" s="5"/>
      <c r="J944" s="3"/>
      <c r="K944" s="5"/>
      <c r="L944" s="3"/>
      <c r="M944" s="5"/>
      <c r="N944" s="5"/>
    </row>
    <row r="945">
      <c r="A945" s="2"/>
      <c r="B945" s="3"/>
      <c r="C945" s="3"/>
      <c r="D945" s="3"/>
      <c r="E945" s="4"/>
      <c r="F945" s="3"/>
      <c r="G945" s="5"/>
      <c r="H945" s="3"/>
      <c r="I945" s="5"/>
      <c r="J945" s="3"/>
      <c r="K945" s="5"/>
      <c r="L945" s="3"/>
      <c r="M945" s="5"/>
      <c r="N945" s="5"/>
    </row>
    <row r="946">
      <c r="A946" s="2"/>
      <c r="B946" s="3"/>
      <c r="C946" s="3"/>
      <c r="D946" s="3"/>
      <c r="E946" s="4"/>
      <c r="F946" s="3"/>
      <c r="G946" s="5"/>
      <c r="H946" s="3"/>
      <c r="I946" s="5"/>
      <c r="J946" s="3"/>
      <c r="K946" s="5"/>
      <c r="L946" s="3"/>
      <c r="M946" s="5"/>
      <c r="N946" s="5"/>
    </row>
    <row r="947">
      <c r="A947" s="2"/>
      <c r="B947" s="3"/>
      <c r="C947" s="3"/>
      <c r="D947" s="3"/>
      <c r="E947" s="4"/>
      <c r="F947" s="3"/>
      <c r="G947" s="5"/>
      <c r="H947" s="3"/>
      <c r="I947" s="5"/>
      <c r="J947" s="3"/>
      <c r="K947" s="5"/>
      <c r="L947" s="3"/>
      <c r="M947" s="5"/>
      <c r="N947" s="5"/>
    </row>
    <row r="948">
      <c r="A948" s="2"/>
      <c r="B948" s="3"/>
      <c r="C948" s="3"/>
      <c r="D948" s="3"/>
      <c r="E948" s="4"/>
      <c r="F948" s="3"/>
      <c r="G948" s="5"/>
      <c r="H948" s="3"/>
      <c r="I948" s="5"/>
      <c r="J948" s="3"/>
      <c r="K948" s="5"/>
      <c r="L948" s="3"/>
      <c r="M948" s="5"/>
      <c r="N948" s="5"/>
    </row>
    <row r="949">
      <c r="A949" s="2"/>
      <c r="B949" s="3"/>
      <c r="C949" s="3"/>
      <c r="D949" s="3"/>
      <c r="E949" s="4"/>
      <c r="F949" s="3"/>
      <c r="G949" s="5"/>
      <c r="H949" s="3"/>
      <c r="I949" s="5"/>
      <c r="J949" s="3"/>
      <c r="K949" s="5"/>
      <c r="L949" s="3"/>
      <c r="M949" s="5"/>
      <c r="N949" s="5"/>
    </row>
    <row r="950">
      <c r="A950" s="2"/>
      <c r="B950" s="3"/>
      <c r="C950" s="3"/>
      <c r="D950" s="3"/>
      <c r="E950" s="4"/>
      <c r="F950" s="3"/>
      <c r="G950" s="5"/>
      <c r="H950" s="3"/>
      <c r="I950" s="5"/>
      <c r="J950" s="3"/>
      <c r="K950" s="5"/>
      <c r="L950" s="3"/>
      <c r="M950" s="5"/>
      <c r="N950" s="5"/>
    </row>
    <row r="951">
      <c r="A951" s="2"/>
      <c r="B951" s="3"/>
      <c r="C951" s="3"/>
      <c r="D951" s="3"/>
      <c r="E951" s="4"/>
      <c r="F951" s="3"/>
      <c r="G951" s="5"/>
      <c r="H951" s="3"/>
      <c r="I951" s="5"/>
      <c r="J951" s="3"/>
      <c r="K951" s="5"/>
      <c r="L951" s="3"/>
      <c r="M951" s="5"/>
      <c r="N951" s="5"/>
    </row>
    <row r="952">
      <c r="A952" s="2"/>
      <c r="B952" s="3"/>
      <c r="C952" s="3"/>
      <c r="D952" s="3"/>
      <c r="E952" s="4"/>
      <c r="F952" s="3"/>
      <c r="G952" s="5"/>
      <c r="H952" s="3"/>
      <c r="I952" s="5"/>
      <c r="J952" s="3"/>
      <c r="K952" s="5"/>
      <c r="L952" s="3"/>
      <c r="M952" s="5"/>
      <c r="N952" s="5"/>
    </row>
    <row r="953">
      <c r="A953" s="2"/>
      <c r="B953" s="3"/>
      <c r="C953" s="3"/>
      <c r="D953" s="3"/>
      <c r="E953" s="4"/>
      <c r="F953" s="3"/>
      <c r="G953" s="5"/>
      <c r="H953" s="3"/>
      <c r="I953" s="5"/>
      <c r="J953" s="3"/>
      <c r="K953" s="5"/>
      <c r="L953" s="3"/>
      <c r="M953" s="5"/>
      <c r="N953" s="5"/>
    </row>
    <row r="954">
      <c r="A954" s="2"/>
      <c r="B954" s="3"/>
      <c r="C954" s="3"/>
      <c r="D954" s="3"/>
      <c r="E954" s="4"/>
      <c r="F954" s="3"/>
      <c r="G954" s="5"/>
      <c r="H954" s="3"/>
      <c r="I954" s="5"/>
      <c r="J954" s="3"/>
      <c r="K954" s="5"/>
      <c r="L954" s="3"/>
      <c r="M954" s="5"/>
      <c r="N954" s="5"/>
    </row>
    <row r="955">
      <c r="A955" s="2"/>
      <c r="B955" s="3"/>
      <c r="C955" s="3"/>
      <c r="D955" s="3"/>
      <c r="E955" s="4"/>
      <c r="F955" s="3"/>
      <c r="G955" s="5"/>
      <c r="H955" s="3"/>
      <c r="I955" s="5"/>
      <c r="J955" s="3"/>
      <c r="K955" s="5"/>
      <c r="L955" s="3"/>
      <c r="M955" s="5"/>
      <c r="N955" s="5"/>
    </row>
    <row r="956">
      <c r="A956" s="2"/>
      <c r="B956" s="3"/>
      <c r="C956" s="3"/>
      <c r="D956" s="3"/>
      <c r="E956" s="4"/>
      <c r="F956" s="3"/>
      <c r="G956" s="5"/>
      <c r="H956" s="3"/>
      <c r="I956" s="5"/>
      <c r="J956" s="3"/>
      <c r="K956" s="5"/>
      <c r="L956" s="3"/>
      <c r="M956" s="5"/>
      <c r="N956" s="5"/>
    </row>
    <row r="957">
      <c r="A957" s="2"/>
      <c r="B957" s="3"/>
      <c r="C957" s="3"/>
      <c r="D957" s="3"/>
      <c r="E957" s="4"/>
      <c r="F957" s="3"/>
      <c r="G957" s="5"/>
      <c r="H957" s="3"/>
      <c r="I957" s="5"/>
      <c r="J957" s="3"/>
      <c r="K957" s="5"/>
      <c r="L957" s="3"/>
      <c r="M957" s="5"/>
      <c r="N957" s="5"/>
    </row>
    <row r="958">
      <c r="A958" s="2"/>
      <c r="B958" s="3"/>
      <c r="C958" s="3"/>
      <c r="D958" s="3"/>
      <c r="E958" s="4"/>
      <c r="F958" s="3"/>
      <c r="G958" s="5"/>
      <c r="H958" s="3"/>
      <c r="I958" s="5"/>
      <c r="J958" s="3"/>
      <c r="K958" s="5"/>
      <c r="L958" s="3"/>
      <c r="M958" s="5"/>
      <c r="N958" s="5"/>
    </row>
    <row r="959">
      <c r="A959" s="2"/>
      <c r="B959" s="3"/>
      <c r="C959" s="3"/>
      <c r="D959" s="3"/>
      <c r="E959" s="4"/>
      <c r="F959" s="3"/>
      <c r="G959" s="5"/>
      <c r="H959" s="3"/>
      <c r="I959" s="5"/>
      <c r="J959" s="3"/>
      <c r="K959" s="5"/>
      <c r="L959" s="3"/>
      <c r="M959" s="5"/>
      <c r="N959" s="5"/>
    </row>
    <row r="960">
      <c r="A960" s="2"/>
      <c r="B960" s="3"/>
      <c r="C960" s="3"/>
      <c r="D960" s="3"/>
      <c r="E960" s="4"/>
      <c r="F960" s="3"/>
      <c r="G960" s="5"/>
      <c r="H960" s="3"/>
      <c r="I960" s="5"/>
      <c r="J960" s="3"/>
      <c r="K960" s="5"/>
      <c r="L960" s="3"/>
      <c r="M960" s="5"/>
      <c r="N960" s="5"/>
    </row>
    <row r="961">
      <c r="A961" s="2"/>
      <c r="B961" s="3"/>
      <c r="C961" s="3"/>
      <c r="D961" s="3"/>
      <c r="E961" s="4"/>
      <c r="F961" s="3"/>
      <c r="G961" s="5"/>
      <c r="H961" s="3"/>
      <c r="I961" s="5"/>
      <c r="J961" s="3"/>
      <c r="K961" s="5"/>
      <c r="L961" s="3"/>
      <c r="M961" s="5"/>
      <c r="N961" s="5"/>
    </row>
    <row r="962">
      <c r="A962" s="2"/>
      <c r="B962" s="3"/>
      <c r="C962" s="3"/>
      <c r="D962" s="3"/>
      <c r="E962" s="4"/>
      <c r="F962" s="3"/>
      <c r="G962" s="5"/>
      <c r="H962" s="3"/>
      <c r="I962" s="5"/>
      <c r="J962" s="3"/>
      <c r="K962" s="5"/>
      <c r="L962" s="3"/>
      <c r="M962" s="5"/>
      <c r="N962" s="5"/>
    </row>
    <row r="963">
      <c r="A963" s="2"/>
      <c r="B963" s="3"/>
      <c r="C963" s="3"/>
      <c r="D963" s="3"/>
      <c r="E963" s="4"/>
      <c r="F963" s="3"/>
      <c r="G963" s="5"/>
      <c r="H963" s="3"/>
      <c r="I963" s="5"/>
      <c r="J963" s="3"/>
      <c r="K963" s="5"/>
      <c r="L963" s="3"/>
      <c r="M963" s="5"/>
      <c r="N963" s="5"/>
    </row>
    <row r="964">
      <c r="A964" s="2"/>
      <c r="B964" s="3"/>
      <c r="C964" s="3"/>
      <c r="D964" s="3"/>
      <c r="E964" s="4"/>
      <c r="F964" s="3"/>
      <c r="G964" s="5"/>
      <c r="H964" s="3"/>
      <c r="I964" s="5"/>
      <c r="J964" s="3"/>
      <c r="K964" s="5"/>
      <c r="L964" s="3"/>
      <c r="M964" s="5"/>
      <c r="N964" s="5"/>
    </row>
    <row r="965">
      <c r="A965" s="2"/>
      <c r="B965" s="3"/>
      <c r="C965" s="3"/>
      <c r="D965" s="3"/>
      <c r="E965" s="4"/>
      <c r="F965" s="3"/>
      <c r="G965" s="5"/>
      <c r="H965" s="3"/>
      <c r="I965" s="5"/>
      <c r="J965" s="3"/>
      <c r="K965" s="5"/>
      <c r="L965" s="3"/>
      <c r="M965" s="5"/>
      <c r="N965" s="5"/>
    </row>
    <row r="966">
      <c r="A966" s="2"/>
      <c r="B966" s="3"/>
      <c r="C966" s="3"/>
      <c r="D966" s="3"/>
      <c r="E966" s="4"/>
      <c r="F966" s="3"/>
      <c r="G966" s="5"/>
      <c r="H966" s="3"/>
      <c r="I966" s="5"/>
      <c r="J966" s="3"/>
      <c r="K966" s="5"/>
      <c r="L966" s="3"/>
      <c r="M966" s="5"/>
      <c r="N966" s="5"/>
    </row>
    <row r="967">
      <c r="A967" s="2"/>
      <c r="B967" s="3"/>
      <c r="C967" s="3"/>
      <c r="D967" s="3"/>
      <c r="E967" s="4"/>
      <c r="F967" s="3"/>
      <c r="G967" s="5"/>
      <c r="H967" s="3"/>
      <c r="I967" s="5"/>
      <c r="J967" s="3"/>
      <c r="K967" s="5"/>
      <c r="L967" s="3"/>
      <c r="M967" s="5"/>
      <c r="N967" s="5"/>
    </row>
    <row r="968">
      <c r="A968" s="2"/>
      <c r="B968" s="3"/>
      <c r="C968" s="3"/>
      <c r="D968" s="3"/>
      <c r="E968" s="4"/>
      <c r="F968" s="3"/>
      <c r="G968" s="5"/>
      <c r="H968" s="3"/>
      <c r="I968" s="5"/>
      <c r="J968" s="3"/>
      <c r="K968" s="5"/>
      <c r="L968" s="3"/>
      <c r="M968" s="5"/>
      <c r="N968" s="5"/>
    </row>
    <row r="969">
      <c r="A969" s="2"/>
      <c r="B969" s="3"/>
      <c r="C969" s="3"/>
      <c r="D969" s="3"/>
      <c r="E969" s="4"/>
      <c r="F969" s="3"/>
      <c r="G969" s="5"/>
      <c r="H969" s="3"/>
      <c r="I969" s="5"/>
      <c r="J969" s="3"/>
      <c r="K969" s="5"/>
      <c r="L969" s="3"/>
      <c r="M969" s="5"/>
      <c r="N969" s="5"/>
    </row>
    <row r="970">
      <c r="A970" s="2"/>
      <c r="B970" s="3"/>
      <c r="C970" s="3"/>
      <c r="D970" s="3"/>
      <c r="E970" s="4"/>
      <c r="F970" s="3"/>
      <c r="G970" s="5"/>
      <c r="H970" s="3"/>
      <c r="I970" s="5"/>
      <c r="J970" s="3"/>
      <c r="K970" s="5"/>
      <c r="L970" s="3"/>
      <c r="M970" s="5"/>
      <c r="N970" s="5"/>
    </row>
    <row r="971">
      <c r="A971" s="2"/>
      <c r="B971" s="3"/>
      <c r="C971" s="3"/>
      <c r="D971" s="3"/>
      <c r="E971" s="4"/>
      <c r="F971" s="3"/>
      <c r="G971" s="5"/>
      <c r="H971" s="3"/>
      <c r="I971" s="5"/>
      <c r="J971" s="3"/>
      <c r="K971" s="5"/>
      <c r="L971" s="3"/>
      <c r="M971" s="5"/>
      <c r="N971" s="5"/>
    </row>
    <row r="972">
      <c r="A972" s="2"/>
      <c r="B972" s="3"/>
      <c r="C972" s="3"/>
      <c r="D972" s="3"/>
      <c r="E972" s="4"/>
      <c r="F972" s="3"/>
      <c r="G972" s="5"/>
      <c r="H972" s="3"/>
      <c r="I972" s="5"/>
      <c r="J972" s="3"/>
      <c r="K972" s="5"/>
      <c r="L972" s="3"/>
      <c r="M972" s="5"/>
      <c r="N972" s="5"/>
    </row>
    <row r="973">
      <c r="A973" s="2"/>
      <c r="B973" s="3"/>
      <c r="C973" s="3"/>
      <c r="D973" s="3"/>
      <c r="E973" s="4"/>
      <c r="F973" s="3"/>
      <c r="G973" s="5"/>
      <c r="H973" s="3"/>
      <c r="I973" s="5"/>
      <c r="J973" s="3"/>
      <c r="K973" s="5"/>
      <c r="L973" s="3"/>
      <c r="M973" s="5"/>
      <c r="N973" s="5"/>
    </row>
    <row r="974">
      <c r="A974" s="2"/>
      <c r="B974" s="3"/>
      <c r="C974" s="3"/>
      <c r="D974" s="3"/>
      <c r="E974" s="4"/>
      <c r="F974" s="3"/>
      <c r="G974" s="5"/>
      <c r="H974" s="3"/>
      <c r="I974" s="5"/>
      <c r="J974" s="3"/>
      <c r="K974" s="5"/>
      <c r="L974" s="3"/>
      <c r="M974" s="5"/>
      <c r="N974" s="5"/>
    </row>
    <row r="975">
      <c r="A975" s="2"/>
      <c r="B975" s="3"/>
      <c r="C975" s="3"/>
      <c r="D975" s="3"/>
      <c r="E975" s="4"/>
      <c r="F975" s="3"/>
      <c r="G975" s="5"/>
      <c r="H975" s="3"/>
      <c r="I975" s="5"/>
      <c r="J975" s="3"/>
      <c r="K975" s="5"/>
      <c r="L975" s="3"/>
      <c r="M975" s="5"/>
      <c r="N975" s="5"/>
    </row>
    <row r="976">
      <c r="A976" s="2"/>
      <c r="B976" s="3"/>
      <c r="C976" s="3"/>
      <c r="D976" s="3"/>
      <c r="E976" s="4"/>
      <c r="F976" s="3"/>
      <c r="G976" s="5"/>
      <c r="H976" s="3"/>
      <c r="I976" s="5"/>
      <c r="J976" s="3"/>
      <c r="K976" s="5"/>
      <c r="L976" s="3"/>
      <c r="M976" s="5"/>
      <c r="N976" s="5"/>
    </row>
    <row r="977">
      <c r="A977" s="2"/>
      <c r="B977" s="3"/>
      <c r="C977" s="3"/>
      <c r="D977" s="3"/>
      <c r="E977" s="4"/>
      <c r="F977" s="3"/>
      <c r="G977" s="5"/>
      <c r="H977" s="3"/>
      <c r="I977" s="5"/>
      <c r="J977" s="3"/>
      <c r="K977" s="5"/>
      <c r="L977" s="3"/>
      <c r="M977" s="5"/>
      <c r="N977" s="5"/>
    </row>
    <row r="978">
      <c r="A978" s="2"/>
      <c r="B978" s="3"/>
      <c r="C978" s="3"/>
      <c r="D978" s="3"/>
      <c r="E978" s="4"/>
      <c r="F978" s="3"/>
      <c r="G978" s="5"/>
      <c r="H978" s="3"/>
      <c r="I978" s="5"/>
      <c r="J978" s="3"/>
      <c r="K978" s="5"/>
      <c r="L978" s="3"/>
      <c r="M978" s="5"/>
      <c r="N978" s="5"/>
    </row>
    <row r="979">
      <c r="A979" s="2"/>
      <c r="B979" s="3"/>
      <c r="C979" s="3"/>
      <c r="D979" s="3"/>
      <c r="E979" s="4"/>
      <c r="F979" s="3"/>
      <c r="G979" s="5"/>
      <c r="H979" s="3"/>
      <c r="I979" s="5"/>
      <c r="J979" s="3"/>
      <c r="K979" s="5"/>
      <c r="L979" s="3"/>
      <c r="M979" s="5"/>
      <c r="N979" s="5"/>
    </row>
    <row r="980">
      <c r="A980" s="2"/>
      <c r="B980" s="3"/>
      <c r="C980" s="3"/>
      <c r="D980" s="3"/>
      <c r="E980" s="4"/>
      <c r="F980" s="3"/>
      <c r="G980" s="5"/>
      <c r="H980" s="3"/>
      <c r="I980" s="5"/>
      <c r="J980" s="3"/>
      <c r="K980" s="5"/>
      <c r="L980" s="3"/>
      <c r="M980" s="5"/>
      <c r="N980" s="5"/>
    </row>
    <row r="981">
      <c r="A981" s="2"/>
      <c r="B981" s="3"/>
      <c r="C981" s="3"/>
      <c r="D981" s="3"/>
      <c r="E981" s="4"/>
      <c r="F981" s="3"/>
      <c r="G981" s="5"/>
      <c r="H981" s="3"/>
      <c r="I981" s="5"/>
      <c r="J981" s="3"/>
      <c r="K981" s="5"/>
      <c r="L981" s="3"/>
      <c r="M981" s="5"/>
      <c r="N981" s="5"/>
    </row>
    <row r="982">
      <c r="A982" s="2"/>
      <c r="B982" s="3"/>
      <c r="C982" s="3"/>
      <c r="D982" s="3"/>
      <c r="E982" s="4"/>
      <c r="F982" s="3"/>
      <c r="G982" s="5"/>
      <c r="H982" s="3"/>
      <c r="I982" s="5"/>
      <c r="J982" s="3"/>
      <c r="K982" s="5"/>
      <c r="L982" s="3"/>
      <c r="M982" s="5"/>
      <c r="N982" s="5"/>
    </row>
    <row r="983">
      <c r="A983" s="2"/>
      <c r="B983" s="3"/>
      <c r="C983" s="3"/>
      <c r="D983" s="3"/>
      <c r="E983" s="4"/>
      <c r="F983" s="3"/>
      <c r="G983" s="5"/>
      <c r="H983" s="3"/>
      <c r="I983" s="5"/>
      <c r="J983" s="3"/>
      <c r="K983" s="5"/>
      <c r="L983" s="3"/>
      <c r="M983" s="5"/>
      <c r="N983" s="5"/>
    </row>
    <row r="984">
      <c r="A984" s="2"/>
      <c r="B984" s="3"/>
      <c r="C984" s="3"/>
      <c r="D984" s="3"/>
      <c r="E984" s="4"/>
      <c r="F984" s="3"/>
      <c r="G984" s="5"/>
      <c r="H984" s="3"/>
      <c r="I984" s="5"/>
      <c r="J984" s="3"/>
      <c r="K984" s="5"/>
      <c r="L984" s="3"/>
      <c r="M984" s="5"/>
      <c r="N984" s="5"/>
    </row>
    <row r="985">
      <c r="A985" s="2"/>
      <c r="B985" s="3"/>
      <c r="C985" s="3"/>
      <c r="D985" s="3"/>
      <c r="E985" s="4"/>
      <c r="F985" s="3"/>
      <c r="G985" s="5"/>
      <c r="H985" s="3"/>
      <c r="I985" s="5"/>
      <c r="J985" s="3"/>
      <c r="K985" s="5"/>
      <c r="L985" s="3"/>
      <c r="M985" s="5"/>
      <c r="N985" s="5"/>
    </row>
    <row r="986">
      <c r="A986" s="2"/>
      <c r="B986" s="3"/>
      <c r="C986" s="3"/>
      <c r="D986" s="3"/>
      <c r="E986" s="4"/>
      <c r="F986" s="3"/>
      <c r="G986" s="5"/>
      <c r="H986" s="3"/>
      <c r="I986" s="5"/>
      <c r="J986" s="3"/>
      <c r="K986" s="5"/>
      <c r="L986" s="3"/>
      <c r="M986" s="5"/>
      <c r="N986" s="5"/>
    </row>
    <row r="987">
      <c r="A987" s="2"/>
      <c r="B987" s="3"/>
      <c r="C987" s="3"/>
      <c r="D987" s="3"/>
      <c r="E987" s="4"/>
      <c r="F987" s="3"/>
      <c r="G987" s="5"/>
      <c r="H987" s="3"/>
      <c r="I987" s="5"/>
      <c r="J987" s="3"/>
      <c r="K987" s="5"/>
      <c r="L987" s="3"/>
      <c r="M987" s="5"/>
      <c r="N987" s="5"/>
    </row>
    <row r="988">
      <c r="A988" s="2"/>
      <c r="B988" s="3"/>
      <c r="C988" s="3"/>
      <c r="D988" s="3"/>
      <c r="E988" s="4"/>
      <c r="F988" s="3"/>
      <c r="G988" s="5"/>
      <c r="H988" s="3"/>
      <c r="I988" s="5"/>
      <c r="J988" s="3"/>
      <c r="K988" s="5"/>
      <c r="L988" s="3"/>
      <c r="M988" s="5"/>
      <c r="N988" s="5"/>
    </row>
    <row r="989">
      <c r="A989" s="2"/>
      <c r="B989" s="3"/>
      <c r="C989" s="3"/>
      <c r="D989" s="3"/>
      <c r="E989" s="4"/>
      <c r="F989" s="3"/>
      <c r="G989" s="5"/>
      <c r="H989" s="3"/>
      <c r="I989" s="5"/>
      <c r="J989" s="3"/>
      <c r="K989" s="5"/>
      <c r="L989" s="3"/>
      <c r="M989" s="5"/>
      <c r="N989" s="5"/>
    </row>
    <row r="990">
      <c r="A990" s="2"/>
      <c r="B990" s="3"/>
      <c r="C990" s="3"/>
      <c r="D990" s="3"/>
      <c r="E990" s="4"/>
      <c r="F990" s="3"/>
      <c r="G990" s="5"/>
      <c r="H990" s="3"/>
      <c r="I990" s="5"/>
      <c r="J990" s="3"/>
      <c r="K990" s="5"/>
      <c r="L990" s="3"/>
      <c r="M990" s="5"/>
      <c r="N990" s="5"/>
    </row>
    <row r="991">
      <c r="A991" s="2"/>
      <c r="B991" s="3"/>
      <c r="C991" s="3"/>
      <c r="D991" s="3"/>
      <c r="E991" s="4"/>
      <c r="F991" s="3"/>
      <c r="G991" s="5"/>
      <c r="H991" s="3"/>
      <c r="I991" s="5"/>
      <c r="J991" s="3"/>
      <c r="K991" s="5"/>
      <c r="L991" s="3"/>
      <c r="M991" s="5"/>
      <c r="N991" s="5"/>
    </row>
    <row r="992">
      <c r="A992" s="2"/>
      <c r="B992" s="3"/>
      <c r="C992" s="3"/>
      <c r="D992" s="3"/>
      <c r="E992" s="4"/>
      <c r="F992" s="3"/>
      <c r="G992" s="5"/>
      <c r="H992" s="3"/>
      <c r="I992" s="5"/>
      <c r="J992" s="3"/>
      <c r="K992" s="5"/>
      <c r="L992" s="3"/>
      <c r="M992" s="5"/>
      <c r="N992" s="5"/>
    </row>
    <row r="993">
      <c r="A993" s="2"/>
      <c r="B993" s="3"/>
      <c r="C993" s="3"/>
      <c r="D993" s="3"/>
      <c r="E993" s="4"/>
      <c r="F993" s="3"/>
      <c r="G993" s="5"/>
      <c r="H993" s="3"/>
      <c r="I993" s="5"/>
      <c r="J993" s="3"/>
      <c r="K993" s="5"/>
      <c r="L993" s="3"/>
      <c r="M993" s="5"/>
      <c r="N993" s="5"/>
    </row>
    <row r="994">
      <c r="A994" s="2"/>
      <c r="B994" s="3"/>
      <c r="C994" s="3"/>
      <c r="D994" s="3"/>
      <c r="E994" s="4"/>
      <c r="F994" s="3"/>
      <c r="G994" s="5"/>
      <c r="H994" s="3"/>
      <c r="I994" s="5"/>
      <c r="J994" s="3"/>
      <c r="K994" s="5"/>
      <c r="L994" s="3"/>
      <c r="M994" s="5"/>
      <c r="N994" s="5"/>
    </row>
    <row r="995">
      <c r="A995" s="2"/>
      <c r="B995" s="3"/>
      <c r="C995" s="3"/>
      <c r="D995" s="3"/>
      <c r="E995" s="4"/>
      <c r="F995" s="3"/>
      <c r="G995" s="5"/>
      <c r="H995" s="3"/>
      <c r="I995" s="5"/>
      <c r="J995" s="3"/>
      <c r="K995" s="5"/>
      <c r="L995" s="3"/>
      <c r="M995" s="5"/>
      <c r="N995" s="5"/>
    </row>
    <row r="996">
      <c r="A996" s="2"/>
      <c r="B996" s="3"/>
      <c r="C996" s="3"/>
      <c r="D996" s="3"/>
      <c r="E996" s="4"/>
      <c r="F996" s="3"/>
      <c r="G996" s="5"/>
      <c r="H996" s="3"/>
      <c r="I996" s="5"/>
      <c r="J996" s="3"/>
      <c r="K996" s="5"/>
      <c r="L996" s="3"/>
      <c r="M996" s="5"/>
      <c r="N996" s="5"/>
    </row>
    <row r="997">
      <c r="A997" s="2"/>
      <c r="B997" s="3"/>
      <c r="C997" s="3"/>
      <c r="D997" s="3"/>
      <c r="E997" s="4"/>
      <c r="F997" s="3"/>
      <c r="G997" s="5"/>
      <c r="H997" s="3"/>
      <c r="I997" s="5"/>
      <c r="J997" s="3"/>
      <c r="K997" s="5"/>
      <c r="L997" s="3"/>
      <c r="M997" s="5"/>
      <c r="N997" s="5"/>
    </row>
    <row r="998">
      <c r="A998" s="2"/>
      <c r="B998" s="3"/>
      <c r="C998" s="3"/>
      <c r="D998" s="3"/>
      <c r="E998" s="4"/>
      <c r="F998" s="3"/>
      <c r="G998" s="5"/>
      <c r="H998" s="3"/>
      <c r="I998" s="5"/>
      <c r="J998" s="3"/>
      <c r="K998" s="5"/>
      <c r="L998" s="3"/>
      <c r="M998" s="5"/>
      <c r="N998" s="5"/>
    </row>
    <row r="999">
      <c r="A999" s="2"/>
      <c r="B999" s="3"/>
      <c r="C999" s="3"/>
      <c r="D999" s="3"/>
      <c r="E999" s="4"/>
      <c r="F999" s="3"/>
      <c r="G999" s="5"/>
      <c r="H999" s="3"/>
      <c r="I999" s="5"/>
      <c r="J999" s="3"/>
      <c r="K999" s="5"/>
      <c r="L999" s="3"/>
      <c r="M999" s="5"/>
      <c r="N999" s="5"/>
    </row>
    <row r="1000">
      <c r="A1000" s="2"/>
      <c r="B1000" s="3"/>
      <c r="C1000" s="3"/>
      <c r="D1000" s="3"/>
      <c r="E1000" s="4"/>
      <c r="F1000" s="3"/>
      <c r="G1000" s="5"/>
      <c r="H1000" s="3"/>
      <c r="I1000" s="5"/>
      <c r="J1000" s="3"/>
      <c r="K1000" s="5"/>
      <c r="L1000" s="3"/>
      <c r="M1000" s="5"/>
      <c r="N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tr">
        <f>IFERROR(__xludf.DUMMYFUNCTION("SORT(
  UNIQUE(
    FILTER(
      Raw!L2:L1000,
      Raw!L2:L1000&lt;&gt;"""",
      Raw!F2:F1000=""3v3""
    )
  )
)
"),"Aferdita")</f>
        <v>Aferdita</v>
      </c>
      <c r="B2" s="3">
        <f t="array" ref="B2:B1000">IF(A2:A1000="",
   ,
   COUNTIFS(
     Raw!L:L, A2:A1000,
     Raw!F:F, "3v3"
   )
)
</f>
        <v>21</v>
      </c>
      <c r="C2" s="3">
        <f t="array" ref="C2:C1000">IF(A2:A1000="",
   ,
   COUNTIFS(
     Raw!L:L, A2:A1000,
     Raw!I:I, "win",
     Raw!F:F, "3v3"
   )
)
</f>
        <v>10</v>
      </c>
      <c r="D2" s="3">
        <f t="array" ref="D2:D1000">IF(A2:A1000="",
   ,
   COUNTIFS(
     Raw!L:L, A2:A1000,
     Raw!I:I, "loss",
     Raw!F:F, "3v3"
   )
)
</f>
        <v>11</v>
      </c>
      <c r="E2" s="4">
        <f t="array" ref="E2:E1000">IF(A2:A1000="",
   ,
   IF(B2:B1000=0, , C2:C1000 / B2:B1000)
)
</f>
        <v>0.4761904762</v>
      </c>
      <c r="F2" s="3">
        <f>IFERROR(__xludf.DUMMYFUNCTION("ARRAYFORMULA(
MAP(
  A2:A1000,
  LAMBDA(id,
    IF(id="""",,
      SUM(
        FILTER(
          N(Raw!M:M),
          Raw!L:L = id,
          TRIM(SUBSTITUTE(Raw!F:F, CHAR(160), "" "")) = ""3v3""
        )
      )
    )
  )
)
)
"),39.0)</f>
        <v>39</v>
      </c>
      <c r="G2" s="5">
        <f t="array" ref="G2:G1000">IF(A2:A1000="",
   ,
   IF(B2:B1000=0, , F2:F1000 / B2:B1000)
)
</f>
        <v>1.857142857</v>
      </c>
      <c r="H2" s="3">
        <f>IFERROR(__xludf.DUMMYFUNCTION("ARRAYFORMULA(
MAP(
  A2:A1000,
  LAMBDA(id,
    IF(id="""",,
      SUM(
        FILTER(
          N(Raw!O:O),
          Raw!L:L = id,
          TRIM(SUBSTITUTE(Raw!F:F, CHAR(160), "" "")) = ""3v3""
        )
      )
    )
  )
)
)
"),7.0)</f>
        <v>7</v>
      </c>
      <c r="I2" s="5">
        <f t="array" ref="I2:I1000">IF(A2:A1000="",
   ,
   IF(B2:B1000=0, , H2:H1000 / B2:B1000)
)
</f>
        <v>0.3333333333</v>
      </c>
      <c r="J2" s="3">
        <f>IFERROR(__xludf.DUMMYFUNCTION("ARRAYFORMULA(
MAP(
  A2:A1000,
  LAMBDA(id,
    IF(id="""",,
      SUM(
        FILTER(
          N(Raw!P:P),
          Raw!L:L = id,
          TRIM(SUBSTITUTE(Raw!F:F, CHAR(160), "" "")) = ""3v3""
        )
      )
    )
  )
)
)
"),33684.0)</f>
        <v>33684</v>
      </c>
      <c r="K2" s="5">
        <f t="array" ref="K2:K1000">IF(A2:A1000="",
   ,
   IF(B2:B1000=0, , J2:J1000 / B2:B1000)
)
</f>
        <v>1604</v>
      </c>
      <c r="L2" s="3">
        <f>IFERROR(__xludf.DUMMYFUNCTION("ARRAYFORMULA(
MAP(
  A2:A1000,
  LAMBDA(id,
    IF(id="""",,
      SUM(
        FILTER(
          N(Raw!Q:Q),
          Raw!L:L = id,
          TRIM(SUBSTITUTE(Raw!F:F, CHAR(160), "" "")) = ""3v3""
        )
      )
    )
  )
)
)
"),2028.0)</f>
        <v>2028</v>
      </c>
      <c r="M2" s="5">
        <f t="array" ref="M2:M1000">IF(A2:A1000="",
   ,
   IF(B2:B1000=0, , L2:L1000 / B2:B1000)
)
</f>
        <v>96.57142857</v>
      </c>
      <c r="N2" s="5">
        <f t="array" ref="N2:N1000">MAP(
  A2:A1000,
  LAMBDA(id,
    IF(id="",,
      IF(
        SUMIFS(
          Raw!E:E,
          Raw!L:L, id,
          Raw!F:F, "3v3"
        ) = 0,
        ,
        SUMIFS(
          Raw!P:P,
          Raw!L:L, id,
          Raw!F:F, "3v3"
        )
        /
        SUMIFS(
          Raw!E:E,
          Raw!L:L, id,
          Raw!F:F, "3v3"
        )
      )
    )
  )
)
</f>
        <v>1.547977941</v>
      </c>
    </row>
    <row r="3">
      <c r="A3" s="2" t="str">
        <f>IFERROR(__xludf.DUMMYFUNCTION("""COMPUTED_VALUE"""),"Anbuu")</f>
        <v>Anbuu</v>
      </c>
      <c r="B3" s="3">
        <v>12.0</v>
      </c>
      <c r="C3" s="3">
        <v>8.0</v>
      </c>
      <c r="D3" s="3">
        <v>4.0</v>
      </c>
      <c r="E3" s="4">
        <v>0.6666666666666666</v>
      </c>
      <c r="F3" s="3">
        <f>IFERROR(__xludf.DUMMYFUNCTION("""COMPUTED_VALUE"""),6.0)</f>
        <v>6</v>
      </c>
      <c r="G3" s="5">
        <v>0.5</v>
      </c>
      <c r="H3" s="3">
        <f>IFERROR(__xludf.DUMMYFUNCTION("""COMPUTED_VALUE"""),4.0)</f>
        <v>4</v>
      </c>
      <c r="I3" s="5">
        <v>0.3333333333333333</v>
      </c>
      <c r="J3" s="3">
        <f>IFERROR(__xludf.DUMMYFUNCTION("""COMPUTED_VALUE"""),43928.0)</f>
        <v>43928</v>
      </c>
      <c r="K3" s="5">
        <v>3660.6666666666665</v>
      </c>
      <c r="L3" s="3">
        <f>IFERROR(__xludf.DUMMYFUNCTION("""COMPUTED_VALUE"""),1634.0)</f>
        <v>1634</v>
      </c>
      <c r="M3" s="5">
        <v>136.16666666666666</v>
      </c>
      <c r="N3" s="5">
        <v>3.471197155274595</v>
      </c>
    </row>
    <row r="4">
      <c r="A4" s="2" t="str">
        <f>IFERROR(__xludf.DUMMYFUNCTION("""COMPUTED_VALUE"""),"Kesny")</f>
        <v>Kesny</v>
      </c>
      <c r="B4" s="3">
        <v>30.0</v>
      </c>
      <c r="C4" s="3">
        <v>12.0</v>
      </c>
      <c r="D4" s="3">
        <v>18.0</v>
      </c>
      <c r="E4" s="4">
        <v>0.4</v>
      </c>
      <c r="F4" s="3">
        <f>IFERROR(__xludf.DUMMYFUNCTION("""COMPUTED_VALUE"""),84.0)</f>
        <v>84</v>
      </c>
      <c r="G4" s="5">
        <v>2.8</v>
      </c>
      <c r="H4" s="3">
        <f>IFERROR(__xludf.DUMMYFUNCTION("""COMPUTED_VALUE"""),30.0)</f>
        <v>30</v>
      </c>
      <c r="I4" s="5">
        <v>1.0</v>
      </c>
      <c r="J4" s="3">
        <f>IFERROR(__xludf.DUMMYFUNCTION("""COMPUTED_VALUE"""),64489.0)</f>
        <v>64489</v>
      </c>
      <c r="K4" s="5">
        <v>2149.633333333333</v>
      </c>
      <c r="L4" s="3">
        <f>IFERROR(__xludf.DUMMYFUNCTION("""COMPUTED_VALUE"""),4435.0)</f>
        <v>4435</v>
      </c>
      <c r="M4" s="5">
        <v>147.83333333333334</v>
      </c>
      <c r="N4" s="5">
        <v>2.0864149600440003</v>
      </c>
    </row>
    <row r="5">
      <c r="A5" s="2" t="str">
        <f>IFERROR(__xludf.DUMMYFUNCTION("""COMPUTED_VALUE"""),"Malena")</f>
        <v>Malena</v>
      </c>
      <c r="B5" s="3">
        <v>30.0</v>
      </c>
      <c r="C5" s="3">
        <v>13.0</v>
      </c>
      <c r="D5" s="3">
        <v>17.0</v>
      </c>
      <c r="E5" s="4">
        <v>0.43333333333333335</v>
      </c>
      <c r="F5" s="3">
        <f>IFERROR(__xludf.DUMMYFUNCTION("""COMPUTED_VALUE"""),140.0)</f>
        <v>140</v>
      </c>
      <c r="G5" s="5">
        <v>4.666666666666667</v>
      </c>
      <c r="H5" s="3">
        <f>IFERROR(__xludf.DUMMYFUNCTION("""COMPUTED_VALUE"""),13.0)</f>
        <v>13</v>
      </c>
      <c r="I5" s="5">
        <v>0.43333333333333335</v>
      </c>
      <c r="J5" s="3">
        <f>IFERROR(__xludf.DUMMYFUNCTION("""COMPUTED_VALUE"""),88068.0)</f>
        <v>88068</v>
      </c>
      <c r="K5" s="5">
        <v>2935.6</v>
      </c>
      <c r="L5" s="3">
        <f>IFERROR(__xludf.DUMMYFUNCTION("""COMPUTED_VALUE"""),5428.0)</f>
        <v>5428</v>
      </c>
      <c r="M5" s="5">
        <v>180.93333333333334</v>
      </c>
      <c r="N5" s="5">
        <v>2.8492672037270697</v>
      </c>
    </row>
    <row r="6">
      <c r="A6" s="2" t="str">
        <f>IFERROR(__xludf.DUMMYFUNCTION("""COMPUTED_VALUE"""),"Nebus.")</f>
        <v>Nebus.</v>
      </c>
      <c r="B6" s="3">
        <v>30.0</v>
      </c>
      <c r="C6" s="3">
        <v>22.0</v>
      </c>
      <c r="D6" s="3">
        <v>8.0</v>
      </c>
      <c r="E6" s="4">
        <v>0.7333333333333333</v>
      </c>
      <c r="F6" s="3">
        <f>IFERROR(__xludf.DUMMYFUNCTION("""COMPUTED_VALUE"""),77.0)</f>
        <v>77</v>
      </c>
      <c r="G6" s="5">
        <v>2.566666666666667</v>
      </c>
      <c r="H6" s="3">
        <f>IFERROR(__xludf.DUMMYFUNCTION("""COMPUTED_VALUE"""),11.0)</f>
        <v>11</v>
      </c>
      <c r="I6" s="5">
        <v>0.36666666666666664</v>
      </c>
      <c r="J6" s="3">
        <f>IFERROR(__xludf.DUMMYFUNCTION("""COMPUTED_VALUE"""),95631.0)</f>
        <v>95631</v>
      </c>
      <c r="K6" s="5">
        <v>3187.7</v>
      </c>
      <c r="L6" s="3">
        <f>IFERROR(__xludf.DUMMYFUNCTION("""COMPUTED_VALUE"""),4741.0)</f>
        <v>4741</v>
      </c>
      <c r="M6" s="5">
        <v>158.03333333333333</v>
      </c>
      <c r="N6" s="5">
        <v>3.0939532175094633</v>
      </c>
    </row>
    <row r="7">
      <c r="A7" s="2" t="str">
        <f>IFERROR(__xludf.DUMMYFUNCTION("""COMPUTED_VALUE"""),"Tess1509")</f>
        <v>Tess1509</v>
      </c>
      <c r="B7" s="3">
        <v>22.0</v>
      </c>
      <c r="C7" s="3">
        <v>6.0</v>
      </c>
      <c r="D7" s="3">
        <v>16.0</v>
      </c>
      <c r="E7" s="4">
        <v>0.2727272727272727</v>
      </c>
      <c r="F7" s="3">
        <f>IFERROR(__xludf.DUMMYFUNCTION("""COMPUTED_VALUE"""),13.0)</f>
        <v>13</v>
      </c>
      <c r="G7" s="5">
        <v>0.5909090909090909</v>
      </c>
      <c r="H7" s="3">
        <f>IFERROR(__xludf.DUMMYFUNCTION("""COMPUTED_VALUE"""),15.0)</f>
        <v>15</v>
      </c>
      <c r="I7" s="5">
        <v>0.6818181818181818</v>
      </c>
      <c r="J7" s="3">
        <f>IFERROR(__xludf.DUMMYFUNCTION("""COMPUTED_VALUE"""),56065.0)</f>
        <v>56065</v>
      </c>
      <c r="K7" s="5">
        <v>2548.409090909091</v>
      </c>
      <c r="L7" s="3">
        <f>IFERROR(__xludf.DUMMYFUNCTION("""COMPUTED_VALUE"""),2370.0)</f>
        <v>2370</v>
      </c>
      <c r="M7" s="5">
        <v>107.72727272727273</v>
      </c>
      <c r="N7" s="5">
        <v>2.4464371427324694</v>
      </c>
    </row>
    <row r="8">
      <c r="A8" s="2" t="str">
        <f>IFERROR(__xludf.DUMMYFUNCTION("""COMPUTED_VALUE"""),"Troniix")</f>
        <v>Troniix</v>
      </c>
      <c r="B8" s="3">
        <v>5.0</v>
      </c>
      <c r="C8" s="3">
        <v>0.0</v>
      </c>
      <c r="D8" s="3">
        <v>5.0</v>
      </c>
      <c r="E8" s="4">
        <v>0.0</v>
      </c>
      <c r="F8" s="3">
        <f>IFERROR(__xludf.DUMMYFUNCTION("""COMPUTED_VALUE"""),0.0)</f>
        <v>0</v>
      </c>
      <c r="G8" s="5">
        <v>0.0</v>
      </c>
      <c r="H8" s="3">
        <f>IFERROR(__xludf.DUMMYFUNCTION("""COMPUTED_VALUE"""),2.0)</f>
        <v>2</v>
      </c>
      <c r="I8" s="5">
        <v>0.4</v>
      </c>
      <c r="J8" s="3">
        <f>IFERROR(__xludf.DUMMYFUNCTION("""COMPUTED_VALUE"""),9856.0)</f>
        <v>9856</v>
      </c>
      <c r="K8" s="5">
        <v>1971.2</v>
      </c>
      <c r="L8" s="3">
        <f>IFERROR(__xludf.DUMMYFUNCTION("""COMPUTED_VALUE"""),339.0)</f>
        <v>339</v>
      </c>
      <c r="M8" s="5">
        <v>67.8</v>
      </c>
      <c r="N8" s="5">
        <v>2.1970575122603657</v>
      </c>
    </row>
    <row r="9">
      <c r="A9" s="2" t="str">
        <f>IFERROR(__xludf.DUMMYFUNCTION("""COMPUTED_VALUE"""),"ZeroO")</f>
        <v>ZeroO</v>
      </c>
      <c r="B9" s="3">
        <v>30.0</v>
      </c>
      <c r="C9" s="3">
        <v>19.0</v>
      </c>
      <c r="D9" s="3">
        <v>11.0</v>
      </c>
      <c r="E9" s="4">
        <v>0.6333333333333333</v>
      </c>
      <c r="F9" s="3">
        <f>IFERROR(__xludf.DUMMYFUNCTION("""COMPUTED_VALUE"""),129.0)</f>
        <v>129</v>
      </c>
      <c r="G9" s="5">
        <v>4.3</v>
      </c>
      <c r="H9" s="3">
        <f>IFERROR(__xludf.DUMMYFUNCTION("""COMPUTED_VALUE"""),19.0)</f>
        <v>19</v>
      </c>
      <c r="I9" s="5">
        <v>0.6333333333333333</v>
      </c>
      <c r="J9" s="3">
        <f>IFERROR(__xludf.DUMMYFUNCTION("""COMPUTED_VALUE"""),91065.0)</f>
        <v>91065</v>
      </c>
      <c r="K9" s="5">
        <v>3035.5</v>
      </c>
      <c r="L9" s="3">
        <f>IFERROR(__xludf.DUMMYFUNCTION("""COMPUTED_VALUE"""),5275.0)</f>
        <v>5275</v>
      </c>
      <c r="M9" s="5">
        <v>175.83333333333334</v>
      </c>
      <c r="N9" s="5">
        <v>2.946229253615452</v>
      </c>
    </row>
    <row r="10">
      <c r="B10" s="3"/>
      <c r="C10" s="3"/>
      <c r="D10" s="3"/>
      <c r="E10" s="4"/>
      <c r="F10" s="3"/>
      <c r="G10" s="5"/>
      <c r="H10" s="3"/>
      <c r="I10" s="5"/>
      <c r="J10" s="3"/>
      <c r="K10" s="5"/>
      <c r="L10" s="3"/>
      <c r="M10" s="5"/>
      <c r="N10" s="5"/>
    </row>
    <row r="11">
      <c r="B11" s="3"/>
      <c r="C11" s="3"/>
      <c r="D11" s="3"/>
      <c r="E11" s="4"/>
      <c r="F11" s="3"/>
      <c r="G11" s="5"/>
      <c r="H11" s="3"/>
      <c r="I11" s="5"/>
      <c r="J11" s="3"/>
      <c r="K11" s="5"/>
      <c r="L11" s="3"/>
      <c r="M11" s="5"/>
      <c r="N11" s="5"/>
    </row>
    <row r="12">
      <c r="B12" s="3"/>
      <c r="C12" s="3"/>
      <c r="D12" s="3"/>
      <c r="E12" s="4"/>
      <c r="F12" s="3"/>
      <c r="G12" s="5"/>
      <c r="H12" s="3"/>
      <c r="I12" s="5"/>
      <c r="J12" s="3"/>
      <c r="K12" s="5"/>
      <c r="L12" s="3"/>
      <c r="M12" s="5"/>
      <c r="N12" s="5"/>
    </row>
    <row r="13">
      <c r="B13" s="3"/>
      <c r="C13" s="3"/>
      <c r="D13" s="3"/>
      <c r="E13" s="4"/>
      <c r="F13" s="3"/>
      <c r="G13" s="5"/>
      <c r="H13" s="3"/>
      <c r="I13" s="5"/>
      <c r="J13" s="3"/>
      <c r="K13" s="5"/>
      <c r="L13" s="3"/>
      <c r="M13" s="5"/>
      <c r="N13" s="5"/>
    </row>
    <row r="14">
      <c r="B14" s="3"/>
      <c r="C14" s="3"/>
      <c r="D14" s="3"/>
      <c r="E14" s="4"/>
      <c r="F14" s="3"/>
      <c r="G14" s="5"/>
      <c r="H14" s="3"/>
      <c r="I14" s="5"/>
      <c r="J14" s="3"/>
      <c r="K14" s="5"/>
      <c r="L14" s="3"/>
      <c r="M14" s="5"/>
      <c r="N14" s="5"/>
    </row>
    <row r="15">
      <c r="B15" s="3"/>
      <c r="C15" s="3"/>
      <c r="D15" s="3"/>
      <c r="E15" s="4"/>
      <c r="F15" s="3"/>
      <c r="G15" s="5"/>
      <c r="H15" s="3"/>
      <c r="I15" s="5"/>
      <c r="J15" s="3"/>
      <c r="K15" s="5"/>
      <c r="L15" s="3"/>
      <c r="M15" s="5"/>
      <c r="N15" s="5"/>
    </row>
    <row r="16">
      <c r="B16" s="3"/>
      <c r="C16" s="3"/>
      <c r="D16" s="3"/>
      <c r="E16" s="4"/>
      <c r="F16" s="3"/>
      <c r="G16" s="5"/>
      <c r="H16" s="3"/>
      <c r="I16" s="5"/>
      <c r="J16" s="3"/>
      <c r="K16" s="5"/>
      <c r="L16" s="3"/>
      <c r="M16" s="5"/>
      <c r="N16" s="5"/>
    </row>
    <row r="17">
      <c r="B17" s="3"/>
      <c r="C17" s="3"/>
      <c r="D17" s="3"/>
      <c r="E17" s="4"/>
      <c r="F17" s="3"/>
      <c r="G17" s="5"/>
      <c r="H17" s="3"/>
      <c r="I17" s="5"/>
      <c r="J17" s="3"/>
      <c r="K17" s="5"/>
      <c r="L17" s="3"/>
      <c r="M17" s="5"/>
      <c r="N17" s="5"/>
    </row>
    <row r="18">
      <c r="B18" s="3"/>
      <c r="C18" s="3"/>
      <c r="D18" s="3"/>
      <c r="E18" s="4"/>
      <c r="F18" s="3"/>
      <c r="G18" s="5"/>
      <c r="H18" s="3"/>
      <c r="I18" s="5"/>
      <c r="J18" s="3"/>
      <c r="K18" s="5"/>
      <c r="L18" s="3"/>
      <c r="M18" s="5"/>
      <c r="N18" s="5"/>
    </row>
    <row r="19">
      <c r="B19" s="3"/>
      <c r="C19" s="3"/>
      <c r="D19" s="3"/>
      <c r="E19" s="4"/>
      <c r="F19" s="3"/>
      <c r="G19" s="5"/>
      <c r="H19" s="3"/>
      <c r="I19" s="5"/>
      <c r="J19" s="3"/>
      <c r="K19" s="5"/>
      <c r="L19" s="3"/>
      <c r="M19" s="5"/>
      <c r="N19" s="5"/>
    </row>
    <row r="20">
      <c r="B20" s="3"/>
      <c r="C20" s="3"/>
      <c r="D20" s="3"/>
      <c r="E20" s="4"/>
      <c r="F20" s="3"/>
      <c r="G20" s="5"/>
      <c r="H20" s="3"/>
      <c r="I20" s="5"/>
      <c r="J20" s="3"/>
      <c r="K20" s="5"/>
      <c r="L20" s="3"/>
      <c r="M20" s="5"/>
      <c r="N20" s="5"/>
    </row>
    <row r="21">
      <c r="B21" s="3"/>
      <c r="C21" s="3"/>
      <c r="D21" s="3"/>
      <c r="E21" s="4"/>
      <c r="F21" s="3"/>
      <c r="G21" s="5"/>
      <c r="H21" s="3"/>
      <c r="I21" s="5"/>
      <c r="J21" s="3"/>
      <c r="K21" s="5"/>
      <c r="L21" s="3"/>
      <c r="M21" s="5"/>
      <c r="N21" s="5"/>
    </row>
    <row r="22">
      <c r="B22" s="3"/>
      <c r="C22" s="3"/>
      <c r="D22" s="3"/>
      <c r="E22" s="4"/>
      <c r="F22" s="3"/>
      <c r="G22" s="5"/>
      <c r="H22" s="3"/>
      <c r="I22" s="5"/>
      <c r="J22" s="3"/>
      <c r="K22" s="5"/>
      <c r="L22" s="3"/>
      <c r="M22" s="5"/>
      <c r="N22" s="5"/>
    </row>
    <row r="23">
      <c r="B23" s="3"/>
      <c r="C23" s="3"/>
      <c r="D23" s="3"/>
      <c r="E23" s="4"/>
      <c r="F23" s="3"/>
      <c r="G23" s="5"/>
      <c r="H23" s="3"/>
      <c r="I23" s="5"/>
      <c r="J23" s="3"/>
      <c r="K23" s="5"/>
      <c r="L23" s="3"/>
      <c r="M23" s="5"/>
      <c r="N23" s="5"/>
    </row>
    <row r="24">
      <c r="B24" s="3"/>
      <c r="C24" s="3"/>
      <c r="D24" s="3"/>
      <c r="E24" s="4"/>
      <c r="F24" s="3"/>
      <c r="G24" s="5"/>
      <c r="H24" s="3"/>
      <c r="I24" s="5"/>
      <c r="J24" s="3"/>
      <c r="K24" s="5"/>
      <c r="L24" s="3"/>
      <c r="M24" s="5"/>
      <c r="N24" s="5"/>
    </row>
    <row r="25">
      <c r="B25" s="3"/>
      <c r="C25" s="3"/>
      <c r="D25" s="3"/>
      <c r="E25" s="4"/>
      <c r="F25" s="3"/>
      <c r="G25" s="5"/>
      <c r="H25" s="3"/>
      <c r="I25" s="5"/>
      <c r="J25" s="3"/>
      <c r="K25" s="5"/>
      <c r="L25" s="3"/>
      <c r="M25" s="5"/>
      <c r="N25" s="5"/>
    </row>
    <row r="26">
      <c r="B26" s="3"/>
      <c r="C26" s="3"/>
      <c r="D26" s="3"/>
      <c r="E26" s="4"/>
      <c r="F26" s="3"/>
      <c r="G26" s="5"/>
      <c r="H26" s="3"/>
      <c r="I26" s="5"/>
      <c r="J26" s="3"/>
      <c r="K26" s="5"/>
      <c r="L26" s="3"/>
      <c r="M26" s="5"/>
      <c r="N26" s="5"/>
    </row>
    <row r="27">
      <c r="B27" s="3"/>
      <c r="C27" s="3"/>
      <c r="D27" s="3"/>
      <c r="E27" s="4"/>
      <c r="F27" s="3"/>
      <c r="G27" s="5"/>
      <c r="H27" s="3"/>
      <c r="I27" s="5"/>
      <c r="J27" s="3"/>
      <c r="K27" s="5"/>
      <c r="L27" s="3"/>
      <c r="M27" s="5"/>
      <c r="N27" s="5"/>
    </row>
    <row r="28">
      <c r="B28" s="3"/>
      <c r="C28" s="3"/>
      <c r="D28" s="3"/>
      <c r="E28" s="4"/>
      <c r="F28" s="3"/>
      <c r="G28" s="5"/>
      <c r="H28" s="3"/>
      <c r="I28" s="5"/>
      <c r="J28" s="3"/>
      <c r="K28" s="5"/>
      <c r="L28" s="3"/>
      <c r="M28" s="5"/>
      <c r="N28" s="5"/>
    </row>
    <row r="29">
      <c r="B29" s="3"/>
      <c r="C29" s="3"/>
      <c r="D29" s="3"/>
      <c r="E29" s="4"/>
      <c r="F29" s="3"/>
      <c r="G29" s="5"/>
      <c r="H29" s="3"/>
      <c r="I29" s="5"/>
      <c r="J29" s="3"/>
      <c r="K29" s="5"/>
      <c r="L29" s="3"/>
      <c r="M29" s="5"/>
      <c r="N29" s="5"/>
    </row>
    <row r="30">
      <c r="B30" s="3"/>
      <c r="C30" s="3"/>
      <c r="D30" s="3"/>
      <c r="E30" s="4"/>
      <c r="F30" s="3"/>
      <c r="G30" s="5"/>
      <c r="H30" s="3"/>
      <c r="I30" s="5"/>
      <c r="J30" s="3"/>
      <c r="K30" s="5"/>
      <c r="L30" s="3"/>
      <c r="M30" s="5"/>
      <c r="N30" s="5"/>
    </row>
    <row r="31">
      <c r="B31" s="3"/>
      <c r="C31" s="3"/>
      <c r="D31" s="3"/>
      <c r="E31" s="4"/>
      <c r="F31" s="3"/>
      <c r="G31" s="5"/>
      <c r="H31" s="3"/>
      <c r="I31" s="5"/>
      <c r="J31" s="3"/>
      <c r="K31" s="5"/>
      <c r="L31" s="3"/>
      <c r="M31" s="5"/>
      <c r="N31" s="5"/>
    </row>
    <row r="32">
      <c r="B32" s="3"/>
      <c r="C32" s="3"/>
      <c r="D32" s="3"/>
      <c r="E32" s="4"/>
      <c r="F32" s="3"/>
      <c r="G32" s="5"/>
      <c r="H32" s="3"/>
      <c r="I32" s="5"/>
      <c r="J32" s="3"/>
      <c r="K32" s="5"/>
      <c r="L32" s="3"/>
      <c r="M32" s="5"/>
      <c r="N32" s="5"/>
    </row>
    <row r="33">
      <c r="B33" s="3"/>
      <c r="C33" s="3"/>
      <c r="D33" s="3"/>
      <c r="E33" s="4"/>
      <c r="F33" s="3"/>
      <c r="G33" s="5"/>
      <c r="H33" s="3"/>
      <c r="I33" s="5"/>
      <c r="J33" s="3"/>
      <c r="K33" s="5"/>
      <c r="L33" s="3"/>
      <c r="M33" s="5"/>
      <c r="N33" s="5"/>
    </row>
    <row r="34">
      <c r="B34" s="3"/>
      <c r="C34" s="3"/>
      <c r="D34" s="3"/>
      <c r="E34" s="4"/>
      <c r="F34" s="3"/>
      <c r="G34" s="5"/>
      <c r="H34" s="3"/>
      <c r="I34" s="5"/>
      <c r="J34" s="3"/>
      <c r="K34" s="5"/>
      <c r="L34" s="3"/>
      <c r="M34" s="5"/>
      <c r="N34" s="5"/>
    </row>
    <row r="35">
      <c r="B35" s="3"/>
      <c r="C35" s="3"/>
      <c r="D35" s="3"/>
      <c r="E35" s="4"/>
      <c r="F35" s="3"/>
      <c r="G35" s="5"/>
      <c r="H35" s="3"/>
      <c r="I35" s="5"/>
      <c r="J35" s="3"/>
      <c r="K35" s="5"/>
      <c r="L35" s="3"/>
      <c r="M35" s="5"/>
      <c r="N35" s="5"/>
    </row>
    <row r="36">
      <c r="B36" s="3"/>
      <c r="C36" s="3"/>
      <c r="D36" s="3"/>
      <c r="E36" s="4"/>
      <c r="F36" s="3"/>
      <c r="G36" s="5"/>
      <c r="H36" s="3"/>
      <c r="I36" s="5"/>
      <c r="J36" s="3"/>
      <c r="K36" s="5"/>
      <c r="L36" s="3"/>
      <c r="M36" s="5"/>
      <c r="N36" s="5"/>
    </row>
    <row r="37">
      <c r="B37" s="3"/>
      <c r="C37" s="3"/>
      <c r="D37" s="3"/>
      <c r="E37" s="4"/>
      <c r="F37" s="3"/>
      <c r="G37" s="5"/>
      <c r="H37" s="3"/>
      <c r="I37" s="5"/>
      <c r="J37" s="3"/>
      <c r="K37" s="5"/>
      <c r="L37" s="3"/>
      <c r="M37" s="5"/>
      <c r="N37" s="5"/>
    </row>
    <row r="38">
      <c r="B38" s="3"/>
      <c r="C38" s="3"/>
      <c r="D38" s="3"/>
      <c r="E38" s="4"/>
      <c r="F38" s="3"/>
      <c r="G38" s="5"/>
      <c r="H38" s="3"/>
      <c r="I38" s="5"/>
      <c r="J38" s="3"/>
      <c r="K38" s="5"/>
      <c r="L38" s="3"/>
      <c r="M38" s="5"/>
      <c r="N38" s="5"/>
    </row>
    <row r="39">
      <c r="B39" s="3"/>
      <c r="C39" s="3"/>
      <c r="D39" s="3"/>
      <c r="E39" s="4"/>
      <c r="F39" s="3"/>
      <c r="G39" s="5"/>
      <c r="H39" s="3"/>
      <c r="I39" s="5"/>
      <c r="J39" s="3"/>
      <c r="K39" s="5"/>
      <c r="L39" s="3"/>
      <c r="M39" s="5"/>
      <c r="N39" s="5"/>
    </row>
    <row r="40">
      <c r="B40" s="3"/>
      <c r="C40" s="3"/>
      <c r="D40" s="3"/>
      <c r="E40" s="4"/>
      <c r="F40" s="3"/>
      <c r="G40" s="5"/>
      <c r="H40" s="3"/>
      <c r="I40" s="5"/>
      <c r="J40" s="3"/>
      <c r="K40" s="5"/>
      <c r="L40" s="3"/>
      <c r="M40" s="5"/>
      <c r="N40" s="5"/>
    </row>
    <row r="41">
      <c r="B41" s="3"/>
      <c r="C41" s="3"/>
      <c r="D41" s="3"/>
      <c r="E41" s="4"/>
      <c r="F41" s="3"/>
      <c r="G41" s="5"/>
      <c r="H41" s="3"/>
      <c r="I41" s="5"/>
      <c r="J41" s="3"/>
      <c r="K41" s="5"/>
      <c r="L41" s="3"/>
      <c r="M41" s="5"/>
      <c r="N41" s="5"/>
    </row>
    <row r="42">
      <c r="B42" s="3"/>
      <c r="C42" s="3"/>
      <c r="D42" s="3"/>
      <c r="E42" s="4"/>
      <c r="F42" s="3"/>
      <c r="G42" s="5"/>
      <c r="H42" s="3"/>
      <c r="I42" s="5"/>
      <c r="J42" s="3"/>
      <c r="K42" s="5"/>
      <c r="L42" s="3"/>
      <c r="M42" s="5"/>
      <c r="N42" s="5"/>
    </row>
    <row r="43">
      <c r="B43" s="3"/>
      <c r="C43" s="3"/>
      <c r="D43" s="3"/>
      <c r="E43" s="4"/>
      <c r="F43" s="3"/>
      <c r="G43" s="5"/>
      <c r="H43" s="3"/>
      <c r="I43" s="5"/>
      <c r="J43" s="3"/>
      <c r="K43" s="5"/>
      <c r="L43" s="3"/>
      <c r="M43" s="5"/>
      <c r="N43" s="5"/>
    </row>
    <row r="44">
      <c r="B44" s="3"/>
      <c r="C44" s="3"/>
      <c r="D44" s="3"/>
      <c r="E44" s="4"/>
      <c r="F44" s="3"/>
      <c r="G44" s="5"/>
      <c r="H44" s="3"/>
      <c r="I44" s="5"/>
      <c r="J44" s="3"/>
      <c r="K44" s="5"/>
      <c r="L44" s="3"/>
      <c r="M44" s="5"/>
      <c r="N44" s="5"/>
    </row>
    <row r="45">
      <c r="B45" s="3"/>
      <c r="C45" s="3"/>
      <c r="D45" s="3"/>
      <c r="E45" s="4"/>
      <c r="F45" s="3"/>
      <c r="G45" s="5"/>
      <c r="H45" s="3"/>
      <c r="I45" s="5"/>
      <c r="J45" s="3"/>
      <c r="K45" s="5"/>
      <c r="L45" s="3"/>
      <c r="M45" s="5"/>
      <c r="N45" s="5"/>
    </row>
    <row r="46">
      <c r="B46" s="3"/>
      <c r="C46" s="3"/>
      <c r="D46" s="3"/>
      <c r="E46" s="4"/>
      <c r="F46" s="3"/>
      <c r="G46" s="5"/>
      <c r="H46" s="3"/>
      <c r="I46" s="5"/>
      <c r="J46" s="3"/>
      <c r="K46" s="5"/>
      <c r="L46" s="3"/>
      <c r="M46" s="5"/>
      <c r="N46" s="5"/>
    </row>
    <row r="47">
      <c r="B47" s="3"/>
      <c r="C47" s="3"/>
      <c r="D47" s="3"/>
      <c r="E47" s="4"/>
      <c r="F47" s="3"/>
      <c r="G47" s="5"/>
      <c r="H47" s="3"/>
      <c r="I47" s="5"/>
      <c r="J47" s="3"/>
      <c r="K47" s="5"/>
      <c r="L47" s="3"/>
      <c r="M47" s="5"/>
      <c r="N47" s="5"/>
    </row>
    <row r="48">
      <c r="B48" s="3"/>
      <c r="C48" s="3"/>
      <c r="D48" s="3"/>
      <c r="E48" s="4"/>
      <c r="F48" s="3"/>
      <c r="G48" s="5"/>
      <c r="H48" s="3"/>
      <c r="I48" s="5"/>
      <c r="J48" s="3"/>
      <c r="K48" s="5"/>
      <c r="L48" s="3"/>
      <c r="M48" s="5"/>
      <c r="N48" s="5"/>
    </row>
    <row r="49">
      <c r="B49" s="3"/>
      <c r="C49" s="3"/>
      <c r="D49" s="3"/>
      <c r="E49" s="4"/>
      <c r="F49" s="3"/>
      <c r="G49" s="5"/>
      <c r="H49" s="3"/>
      <c r="I49" s="5"/>
      <c r="J49" s="3"/>
      <c r="K49" s="5"/>
      <c r="L49" s="3"/>
      <c r="M49" s="5"/>
      <c r="N49" s="5"/>
    </row>
    <row r="50">
      <c r="B50" s="3"/>
      <c r="C50" s="3"/>
      <c r="D50" s="3"/>
      <c r="E50" s="4"/>
      <c r="F50" s="3"/>
      <c r="G50" s="5"/>
      <c r="H50" s="3"/>
      <c r="I50" s="5"/>
      <c r="J50" s="3"/>
      <c r="K50" s="5"/>
      <c r="L50" s="3"/>
      <c r="M50" s="5"/>
      <c r="N50" s="5"/>
    </row>
    <row r="51">
      <c r="B51" s="3"/>
      <c r="C51" s="3"/>
      <c r="D51" s="3"/>
      <c r="E51" s="4"/>
      <c r="F51" s="3"/>
      <c r="G51" s="5"/>
      <c r="H51" s="3"/>
      <c r="I51" s="5"/>
      <c r="J51" s="3"/>
      <c r="K51" s="5"/>
      <c r="L51" s="3"/>
      <c r="M51" s="5"/>
      <c r="N51" s="5"/>
    </row>
    <row r="52">
      <c r="B52" s="3"/>
      <c r="C52" s="3"/>
      <c r="D52" s="3"/>
      <c r="E52" s="4"/>
      <c r="F52" s="3"/>
      <c r="G52" s="5"/>
      <c r="H52" s="3"/>
      <c r="I52" s="5"/>
      <c r="J52" s="3"/>
      <c r="K52" s="5"/>
      <c r="L52" s="3"/>
      <c r="M52" s="5"/>
      <c r="N52" s="5"/>
    </row>
    <row r="53">
      <c r="B53" s="3"/>
      <c r="C53" s="3"/>
      <c r="D53" s="3"/>
      <c r="E53" s="4"/>
      <c r="F53" s="3"/>
      <c r="G53" s="5"/>
      <c r="H53" s="3"/>
      <c r="I53" s="5"/>
      <c r="J53" s="3"/>
      <c r="K53" s="5"/>
      <c r="L53" s="3"/>
      <c r="M53" s="5"/>
      <c r="N53" s="5"/>
    </row>
    <row r="54">
      <c r="B54" s="3"/>
      <c r="C54" s="3"/>
      <c r="D54" s="3"/>
      <c r="E54" s="4"/>
      <c r="F54" s="3"/>
      <c r="G54" s="5"/>
      <c r="H54" s="3"/>
      <c r="I54" s="5"/>
      <c r="J54" s="3"/>
      <c r="K54" s="5"/>
      <c r="L54" s="3"/>
      <c r="M54" s="5"/>
      <c r="N54" s="5"/>
    </row>
    <row r="55">
      <c r="B55" s="3"/>
      <c r="C55" s="3"/>
      <c r="D55" s="3"/>
      <c r="E55" s="4"/>
      <c r="F55" s="3"/>
      <c r="G55" s="5"/>
      <c r="H55" s="3"/>
      <c r="I55" s="5"/>
      <c r="J55" s="3"/>
      <c r="K55" s="5"/>
      <c r="L55" s="3"/>
      <c r="M55" s="5"/>
      <c r="N55" s="5"/>
    </row>
    <row r="56">
      <c r="B56" s="3"/>
      <c r="C56" s="3"/>
      <c r="D56" s="3"/>
      <c r="E56" s="4"/>
      <c r="F56" s="3"/>
      <c r="G56" s="5"/>
      <c r="H56" s="3"/>
      <c r="I56" s="5"/>
      <c r="J56" s="3"/>
      <c r="K56" s="5"/>
      <c r="L56" s="3"/>
      <c r="M56" s="5"/>
      <c r="N56" s="5"/>
    </row>
    <row r="57">
      <c r="B57" s="3"/>
      <c r="C57" s="3"/>
      <c r="D57" s="3"/>
      <c r="E57" s="4"/>
      <c r="F57" s="3"/>
      <c r="G57" s="5"/>
      <c r="H57" s="3"/>
      <c r="I57" s="5"/>
      <c r="J57" s="3"/>
      <c r="K57" s="5"/>
      <c r="L57" s="3"/>
      <c r="M57" s="5"/>
      <c r="N57" s="5"/>
    </row>
    <row r="58">
      <c r="B58" s="3"/>
      <c r="C58" s="3"/>
      <c r="D58" s="3"/>
      <c r="E58" s="4"/>
      <c r="F58" s="3"/>
      <c r="G58" s="5"/>
      <c r="H58" s="3"/>
      <c r="I58" s="5"/>
      <c r="J58" s="3"/>
      <c r="K58" s="5"/>
      <c r="L58" s="3"/>
      <c r="M58" s="5"/>
      <c r="N58" s="5"/>
    </row>
    <row r="59">
      <c r="B59" s="3"/>
      <c r="C59" s="3"/>
      <c r="D59" s="3"/>
      <c r="E59" s="4"/>
      <c r="F59" s="3"/>
      <c r="G59" s="5"/>
      <c r="H59" s="3"/>
      <c r="I59" s="5"/>
      <c r="J59" s="3"/>
      <c r="K59" s="5"/>
      <c r="L59" s="3"/>
      <c r="M59" s="5"/>
      <c r="N59" s="5"/>
    </row>
    <row r="60">
      <c r="B60" s="3"/>
      <c r="C60" s="3"/>
      <c r="D60" s="3"/>
      <c r="E60" s="4"/>
      <c r="F60" s="3"/>
      <c r="G60" s="5"/>
      <c r="H60" s="3"/>
      <c r="I60" s="5"/>
      <c r="J60" s="3"/>
      <c r="K60" s="5"/>
      <c r="L60" s="3"/>
      <c r="M60" s="5"/>
      <c r="N60" s="5"/>
    </row>
    <row r="61">
      <c r="B61" s="3"/>
      <c r="C61" s="3"/>
      <c r="D61" s="3"/>
      <c r="E61" s="4"/>
      <c r="F61" s="3"/>
      <c r="G61" s="5"/>
      <c r="H61" s="3"/>
      <c r="I61" s="5"/>
      <c r="J61" s="3"/>
      <c r="K61" s="5"/>
      <c r="L61" s="3"/>
      <c r="M61" s="5"/>
      <c r="N61" s="5"/>
    </row>
    <row r="62">
      <c r="B62" s="3"/>
      <c r="C62" s="3"/>
      <c r="D62" s="3"/>
      <c r="E62" s="4"/>
      <c r="F62" s="3"/>
      <c r="G62" s="5"/>
      <c r="H62" s="3"/>
      <c r="I62" s="5"/>
      <c r="J62" s="3"/>
      <c r="K62" s="5"/>
      <c r="L62" s="3"/>
      <c r="M62" s="5"/>
      <c r="N62" s="5"/>
    </row>
    <row r="63">
      <c r="B63" s="3"/>
      <c r="C63" s="3"/>
      <c r="D63" s="3"/>
      <c r="E63" s="4"/>
      <c r="F63" s="3"/>
      <c r="G63" s="5"/>
      <c r="H63" s="3"/>
      <c r="I63" s="5"/>
      <c r="J63" s="3"/>
      <c r="K63" s="5"/>
      <c r="L63" s="3"/>
      <c r="M63" s="5"/>
      <c r="N63" s="5"/>
    </row>
    <row r="64">
      <c r="B64" s="3"/>
      <c r="C64" s="3"/>
      <c r="D64" s="3"/>
      <c r="E64" s="4"/>
      <c r="F64" s="3"/>
      <c r="G64" s="5"/>
      <c r="H64" s="3"/>
      <c r="I64" s="5"/>
      <c r="J64" s="3"/>
      <c r="K64" s="5"/>
      <c r="L64" s="3"/>
      <c r="M64" s="5"/>
      <c r="N64" s="5"/>
    </row>
    <row r="65">
      <c r="B65" s="3"/>
      <c r="C65" s="3"/>
      <c r="D65" s="3"/>
      <c r="E65" s="4"/>
      <c r="F65" s="3"/>
      <c r="G65" s="5"/>
      <c r="H65" s="3"/>
      <c r="I65" s="5"/>
      <c r="J65" s="3"/>
      <c r="K65" s="5"/>
      <c r="L65" s="3"/>
      <c r="M65" s="5"/>
      <c r="N65" s="5"/>
    </row>
    <row r="66">
      <c r="B66" s="3"/>
      <c r="C66" s="3"/>
      <c r="D66" s="3"/>
      <c r="E66" s="4"/>
      <c r="F66" s="3"/>
      <c r="G66" s="5"/>
      <c r="H66" s="3"/>
      <c r="I66" s="5"/>
      <c r="J66" s="3"/>
      <c r="K66" s="5"/>
      <c r="L66" s="3"/>
      <c r="M66" s="5"/>
      <c r="N66" s="5"/>
    </row>
    <row r="67">
      <c r="B67" s="3"/>
      <c r="C67" s="3"/>
      <c r="D67" s="3"/>
      <c r="E67" s="4"/>
      <c r="F67" s="3"/>
      <c r="G67" s="5"/>
      <c r="H67" s="3"/>
      <c r="I67" s="5"/>
      <c r="J67" s="3"/>
      <c r="K67" s="5"/>
      <c r="L67" s="3"/>
      <c r="M67" s="5"/>
      <c r="N67" s="5"/>
    </row>
    <row r="68">
      <c r="B68" s="3"/>
      <c r="C68" s="3"/>
      <c r="D68" s="3"/>
      <c r="E68" s="4"/>
      <c r="F68" s="3"/>
      <c r="G68" s="5"/>
      <c r="H68" s="3"/>
      <c r="I68" s="5"/>
      <c r="J68" s="3"/>
      <c r="K68" s="5"/>
      <c r="L68" s="3"/>
      <c r="M68" s="5"/>
      <c r="N68" s="5"/>
    </row>
    <row r="69">
      <c r="B69" s="3"/>
      <c r="C69" s="3"/>
      <c r="D69" s="3"/>
      <c r="E69" s="4"/>
      <c r="F69" s="3"/>
      <c r="G69" s="5"/>
      <c r="H69" s="3"/>
      <c r="I69" s="5"/>
      <c r="J69" s="3"/>
      <c r="K69" s="5"/>
      <c r="L69" s="3"/>
      <c r="M69" s="5"/>
      <c r="N69" s="5"/>
    </row>
    <row r="70">
      <c r="B70" s="3"/>
      <c r="C70" s="3"/>
      <c r="D70" s="3"/>
      <c r="E70" s="4"/>
      <c r="F70" s="3"/>
      <c r="G70" s="5"/>
      <c r="H70" s="3"/>
      <c r="I70" s="5"/>
      <c r="J70" s="3"/>
      <c r="K70" s="5"/>
      <c r="L70" s="3"/>
      <c r="M70" s="5"/>
      <c r="N70" s="5"/>
    </row>
    <row r="71">
      <c r="B71" s="3"/>
      <c r="C71" s="3"/>
      <c r="D71" s="3"/>
      <c r="E71" s="4"/>
      <c r="F71" s="3"/>
      <c r="G71" s="5"/>
      <c r="H71" s="3"/>
      <c r="I71" s="5"/>
      <c r="J71" s="3"/>
      <c r="K71" s="5"/>
      <c r="L71" s="3"/>
      <c r="M71" s="5"/>
      <c r="N71" s="5"/>
    </row>
    <row r="72">
      <c r="B72" s="3"/>
      <c r="C72" s="3"/>
      <c r="D72" s="3"/>
      <c r="E72" s="4"/>
      <c r="F72" s="3"/>
      <c r="G72" s="5"/>
      <c r="H72" s="3"/>
      <c r="I72" s="5"/>
      <c r="J72" s="3"/>
      <c r="K72" s="5"/>
      <c r="L72" s="3"/>
      <c r="M72" s="5"/>
      <c r="N72" s="5"/>
    </row>
    <row r="73">
      <c r="B73" s="3"/>
      <c r="C73" s="3"/>
      <c r="D73" s="3"/>
      <c r="E73" s="4"/>
      <c r="F73" s="3"/>
      <c r="G73" s="5"/>
      <c r="H73" s="3"/>
      <c r="I73" s="5"/>
      <c r="J73" s="3"/>
      <c r="K73" s="5"/>
      <c r="L73" s="3"/>
      <c r="M73" s="5"/>
      <c r="N73" s="5"/>
    </row>
    <row r="74">
      <c r="B74" s="3"/>
      <c r="C74" s="3"/>
      <c r="D74" s="3"/>
      <c r="E74" s="4"/>
      <c r="F74" s="3"/>
      <c r="G74" s="5"/>
      <c r="H74" s="3"/>
      <c r="I74" s="5"/>
      <c r="J74" s="3"/>
      <c r="K74" s="5"/>
      <c r="L74" s="3"/>
      <c r="M74" s="5"/>
      <c r="N74" s="5"/>
    </row>
    <row r="75">
      <c r="B75" s="3"/>
      <c r="C75" s="3"/>
      <c r="D75" s="3"/>
      <c r="E75" s="4"/>
      <c r="F75" s="3"/>
      <c r="G75" s="5"/>
      <c r="H75" s="3"/>
      <c r="I75" s="5"/>
      <c r="J75" s="3"/>
      <c r="K75" s="5"/>
      <c r="L75" s="3"/>
      <c r="M75" s="5"/>
      <c r="N75" s="5"/>
    </row>
    <row r="76">
      <c r="B76" s="3"/>
      <c r="C76" s="3"/>
      <c r="D76" s="3"/>
      <c r="E76" s="4"/>
      <c r="F76" s="3"/>
      <c r="G76" s="5"/>
      <c r="H76" s="3"/>
      <c r="I76" s="5"/>
      <c r="J76" s="3"/>
      <c r="K76" s="5"/>
      <c r="L76" s="3"/>
      <c r="M76" s="5"/>
      <c r="N76" s="5"/>
    </row>
    <row r="77">
      <c r="B77" s="3"/>
      <c r="C77" s="3"/>
      <c r="D77" s="3"/>
      <c r="E77" s="4"/>
      <c r="F77" s="3"/>
      <c r="G77" s="5"/>
      <c r="H77" s="3"/>
      <c r="I77" s="5"/>
      <c r="J77" s="3"/>
      <c r="K77" s="5"/>
      <c r="L77" s="3"/>
      <c r="M77" s="5"/>
      <c r="N77" s="5"/>
    </row>
    <row r="78">
      <c r="B78" s="3"/>
      <c r="C78" s="3"/>
      <c r="D78" s="3"/>
      <c r="E78" s="4"/>
      <c r="F78" s="3"/>
      <c r="G78" s="5"/>
      <c r="H78" s="3"/>
      <c r="I78" s="5"/>
      <c r="J78" s="3"/>
      <c r="K78" s="5"/>
      <c r="L78" s="3"/>
      <c r="M78" s="5"/>
      <c r="N78" s="5"/>
    </row>
    <row r="79">
      <c r="B79" s="3"/>
      <c r="C79" s="3"/>
      <c r="D79" s="3"/>
      <c r="E79" s="4"/>
      <c r="F79" s="3"/>
      <c r="G79" s="5"/>
      <c r="H79" s="3"/>
      <c r="I79" s="5"/>
      <c r="J79" s="3"/>
      <c r="K79" s="5"/>
      <c r="L79" s="3"/>
      <c r="M79" s="5"/>
      <c r="N79" s="5"/>
    </row>
    <row r="80">
      <c r="B80" s="3"/>
      <c r="C80" s="3"/>
      <c r="D80" s="3"/>
      <c r="E80" s="4"/>
      <c r="F80" s="3"/>
      <c r="G80" s="5"/>
      <c r="H80" s="3"/>
      <c r="I80" s="5"/>
      <c r="J80" s="3"/>
      <c r="K80" s="5"/>
      <c r="L80" s="3"/>
      <c r="M80" s="5"/>
      <c r="N80" s="5"/>
    </row>
    <row r="81">
      <c r="B81" s="3"/>
      <c r="C81" s="3"/>
      <c r="D81" s="3"/>
      <c r="E81" s="4"/>
      <c r="F81" s="3"/>
      <c r="G81" s="5"/>
      <c r="H81" s="3"/>
      <c r="I81" s="5"/>
      <c r="J81" s="3"/>
      <c r="K81" s="5"/>
      <c r="L81" s="3"/>
      <c r="M81" s="5"/>
      <c r="N81" s="5"/>
    </row>
    <row r="82">
      <c r="B82" s="3"/>
      <c r="C82" s="3"/>
      <c r="D82" s="3"/>
      <c r="E82" s="4"/>
      <c r="F82" s="3"/>
      <c r="G82" s="5"/>
      <c r="H82" s="3"/>
      <c r="I82" s="5"/>
      <c r="J82" s="3"/>
      <c r="K82" s="5"/>
      <c r="L82" s="3"/>
      <c r="M82" s="5"/>
      <c r="N82" s="5"/>
    </row>
    <row r="83">
      <c r="B83" s="3"/>
      <c r="C83" s="3"/>
      <c r="D83" s="3"/>
      <c r="E83" s="4"/>
      <c r="F83" s="3"/>
      <c r="G83" s="5"/>
      <c r="H83" s="3"/>
      <c r="I83" s="5"/>
      <c r="J83" s="3"/>
      <c r="K83" s="5"/>
      <c r="L83" s="3"/>
      <c r="M83" s="5"/>
      <c r="N83" s="5"/>
    </row>
    <row r="84">
      <c r="B84" s="3"/>
      <c r="C84" s="3"/>
      <c r="D84" s="3"/>
      <c r="E84" s="4"/>
      <c r="F84" s="3"/>
      <c r="G84" s="5"/>
      <c r="H84" s="3"/>
      <c r="I84" s="5"/>
      <c r="J84" s="3"/>
      <c r="K84" s="5"/>
      <c r="L84" s="3"/>
      <c r="M84" s="5"/>
      <c r="N84" s="5"/>
    </row>
    <row r="85">
      <c r="B85" s="3"/>
      <c r="C85" s="3"/>
      <c r="D85" s="3"/>
      <c r="E85" s="4"/>
      <c r="F85" s="3"/>
      <c r="G85" s="5"/>
      <c r="H85" s="3"/>
      <c r="I85" s="5"/>
      <c r="J85" s="3"/>
      <c r="K85" s="5"/>
      <c r="L85" s="3"/>
      <c r="M85" s="5"/>
      <c r="N85" s="5"/>
    </row>
    <row r="86">
      <c r="B86" s="3"/>
      <c r="C86" s="3"/>
      <c r="D86" s="3"/>
      <c r="E86" s="4"/>
      <c r="F86" s="3"/>
      <c r="G86" s="5"/>
      <c r="H86" s="3"/>
      <c r="I86" s="5"/>
      <c r="J86" s="3"/>
      <c r="K86" s="5"/>
      <c r="L86" s="3"/>
      <c r="M86" s="5"/>
      <c r="N86" s="5"/>
    </row>
    <row r="87">
      <c r="B87" s="3"/>
      <c r="C87" s="3"/>
      <c r="D87" s="3"/>
      <c r="E87" s="4"/>
      <c r="F87" s="3"/>
      <c r="G87" s="5"/>
      <c r="H87" s="3"/>
      <c r="I87" s="5"/>
      <c r="J87" s="3"/>
      <c r="K87" s="5"/>
      <c r="L87" s="3"/>
      <c r="M87" s="5"/>
      <c r="N87" s="5"/>
    </row>
    <row r="88">
      <c r="B88" s="3"/>
      <c r="C88" s="3"/>
      <c r="D88" s="3"/>
      <c r="E88" s="4"/>
      <c r="F88" s="3"/>
      <c r="G88" s="5"/>
      <c r="H88" s="3"/>
      <c r="I88" s="5"/>
      <c r="J88" s="3"/>
      <c r="K88" s="5"/>
      <c r="L88" s="3"/>
      <c r="M88" s="5"/>
      <c r="N88" s="5"/>
    </row>
    <row r="89">
      <c r="B89" s="3"/>
      <c r="C89" s="3"/>
      <c r="D89" s="3"/>
      <c r="E89" s="4"/>
      <c r="F89" s="3"/>
      <c r="G89" s="5"/>
      <c r="H89" s="3"/>
      <c r="I89" s="5"/>
      <c r="J89" s="3"/>
      <c r="K89" s="5"/>
      <c r="L89" s="3"/>
      <c r="M89" s="5"/>
      <c r="N89" s="5"/>
    </row>
    <row r="90">
      <c r="B90" s="3"/>
      <c r="C90" s="3"/>
      <c r="D90" s="3"/>
      <c r="E90" s="4"/>
      <c r="F90" s="3"/>
      <c r="G90" s="5"/>
      <c r="H90" s="3"/>
      <c r="I90" s="5"/>
      <c r="J90" s="3"/>
      <c r="K90" s="5"/>
      <c r="L90" s="3"/>
      <c r="M90" s="5"/>
      <c r="N90" s="5"/>
    </row>
    <row r="91">
      <c r="B91" s="3"/>
      <c r="C91" s="3"/>
      <c r="D91" s="3"/>
      <c r="E91" s="4"/>
      <c r="F91" s="3"/>
      <c r="G91" s="5"/>
      <c r="H91" s="3"/>
      <c r="I91" s="5"/>
      <c r="J91" s="3"/>
      <c r="K91" s="5"/>
      <c r="L91" s="3"/>
      <c r="M91" s="5"/>
      <c r="N91" s="5"/>
    </row>
    <row r="92">
      <c r="B92" s="3"/>
      <c r="C92" s="3"/>
      <c r="D92" s="3"/>
      <c r="E92" s="4"/>
      <c r="F92" s="3"/>
      <c r="G92" s="5"/>
      <c r="H92" s="3"/>
      <c r="I92" s="5"/>
      <c r="J92" s="3"/>
      <c r="K92" s="5"/>
      <c r="L92" s="3"/>
      <c r="M92" s="5"/>
      <c r="N92" s="5"/>
    </row>
    <row r="93">
      <c r="B93" s="3"/>
      <c r="C93" s="3"/>
      <c r="D93" s="3"/>
      <c r="E93" s="4"/>
      <c r="F93" s="3"/>
      <c r="G93" s="5"/>
      <c r="H93" s="3"/>
      <c r="I93" s="5"/>
      <c r="J93" s="3"/>
      <c r="K93" s="5"/>
      <c r="L93" s="3"/>
      <c r="M93" s="5"/>
      <c r="N93" s="5"/>
    </row>
    <row r="94">
      <c r="B94" s="3"/>
      <c r="C94" s="3"/>
      <c r="D94" s="3"/>
      <c r="E94" s="4"/>
      <c r="F94" s="3"/>
      <c r="G94" s="5"/>
      <c r="H94" s="3"/>
      <c r="I94" s="5"/>
      <c r="J94" s="3"/>
      <c r="K94" s="5"/>
      <c r="L94" s="3"/>
      <c r="M94" s="5"/>
      <c r="N94" s="5"/>
    </row>
    <row r="95">
      <c r="B95" s="3"/>
      <c r="C95" s="3"/>
      <c r="D95" s="3"/>
      <c r="E95" s="4"/>
      <c r="F95" s="3"/>
      <c r="G95" s="5"/>
      <c r="H95" s="3"/>
      <c r="I95" s="5"/>
      <c r="J95" s="3"/>
      <c r="K95" s="5"/>
      <c r="L95" s="3"/>
      <c r="M95" s="5"/>
      <c r="N95" s="5"/>
    </row>
    <row r="96">
      <c r="B96" s="3"/>
      <c r="C96" s="3"/>
      <c r="D96" s="3"/>
      <c r="E96" s="4"/>
      <c r="F96" s="3"/>
      <c r="G96" s="5"/>
      <c r="H96" s="3"/>
      <c r="I96" s="5"/>
      <c r="J96" s="3"/>
      <c r="K96" s="5"/>
      <c r="L96" s="3"/>
      <c r="M96" s="5"/>
      <c r="N96" s="5"/>
    </row>
    <row r="97">
      <c r="B97" s="3"/>
      <c r="C97" s="3"/>
      <c r="D97" s="3"/>
      <c r="E97" s="4"/>
      <c r="F97" s="3"/>
      <c r="G97" s="5"/>
      <c r="H97" s="3"/>
      <c r="I97" s="5"/>
      <c r="J97" s="3"/>
      <c r="K97" s="5"/>
      <c r="L97" s="3"/>
      <c r="M97" s="5"/>
      <c r="N97" s="5"/>
    </row>
    <row r="98">
      <c r="B98" s="3"/>
      <c r="C98" s="3"/>
      <c r="D98" s="3"/>
      <c r="E98" s="4"/>
      <c r="F98" s="3"/>
      <c r="G98" s="5"/>
      <c r="H98" s="3"/>
      <c r="I98" s="5"/>
      <c r="J98" s="3"/>
      <c r="K98" s="5"/>
      <c r="L98" s="3"/>
      <c r="M98" s="5"/>
      <c r="N98" s="5"/>
    </row>
    <row r="99">
      <c r="B99" s="3"/>
      <c r="C99" s="3"/>
      <c r="D99" s="3"/>
      <c r="E99" s="4"/>
      <c r="F99" s="3"/>
      <c r="G99" s="5"/>
      <c r="H99" s="3"/>
      <c r="I99" s="5"/>
      <c r="J99" s="3"/>
      <c r="K99" s="5"/>
      <c r="L99" s="3"/>
      <c r="M99" s="5"/>
      <c r="N99" s="5"/>
    </row>
    <row r="100">
      <c r="B100" s="3"/>
      <c r="C100" s="3"/>
      <c r="D100" s="3"/>
      <c r="E100" s="4"/>
      <c r="F100" s="3"/>
      <c r="G100" s="5"/>
      <c r="H100" s="3"/>
      <c r="I100" s="5"/>
      <c r="J100" s="3"/>
      <c r="K100" s="5"/>
      <c r="L100" s="3"/>
      <c r="M100" s="5"/>
      <c r="N100" s="5"/>
    </row>
    <row r="101">
      <c r="B101" s="3"/>
      <c r="C101" s="3"/>
      <c r="D101" s="3"/>
      <c r="E101" s="4"/>
      <c r="F101" s="3"/>
      <c r="G101" s="5"/>
      <c r="H101" s="3"/>
      <c r="I101" s="5"/>
      <c r="J101" s="3"/>
      <c r="K101" s="5"/>
      <c r="L101" s="3"/>
      <c r="M101" s="5"/>
      <c r="N101" s="5"/>
    </row>
    <row r="102">
      <c r="B102" s="3"/>
      <c r="C102" s="3"/>
      <c r="D102" s="3"/>
      <c r="E102" s="4"/>
      <c r="F102" s="3"/>
      <c r="G102" s="5"/>
      <c r="H102" s="3"/>
      <c r="I102" s="5"/>
      <c r="J102" s="3"/>
      <c r="K102" s="5"/>
      <c r="L102" s="3"/>
      <c r="M102" s="5"/>
      <c r="N102" s="5"/>
    </row>
    <row r="103">
      <c r="B103" s="3"/>
      <c r="C103" s="3"/>
      <c r="D103" s="3"/>
      <c r="E103" s="4"/>
      <c r="F103" s="3"/>
      <c r="G103" s="5"/>
      <c r="H103" s="3"/>
      <c r="I103" s="5"/>
      <c r="J103" s="3"/>
      <c r="K103" s="5"/>
      <c r="L103" s="3"/>
      <c r="M103" s="5"/>
      <c r="N103" s="5"/>
    </row>
    <row r="104">
      <c r="B104" s="3"/>
      <c r="C104" s="3"/>
      <c r="D104" s="3"/>
      <c r="E104" s="4"/>
      <c r="F104" s="3"/>
      <c r="G104" s="5"/>
      <c r="H104" s="3"/>
      <c r="I104" s="5"/>
      <c r="J104" s="3"/>
      <c r="K104" s="5"/>
      <c r="L104" s="3"/>
      <c r="M104" s="5"/>
      <c r="N104" s="5"/>
    </row>
    <row r="105">
      <c r="B105" s="3"/>
      <c r="C105" s="3"/>
      <c r="D105" s="3"/>
      <c r="E105" s="4"/>
      <c r="F105" s="3"/>
      <c r="G105" s="5"/>
      <c r="H105" s="3"/>
      <c r="I105" s="5"/>
      <c r="J105" s="3"/>
      <c r="K105" s="5"/>
      <c r="L105" s="3"/>
      <c r="M105" s="5"/>
      <c r="N105" s="5"/>
    </row>
    <row r="106">
      <c r="B106" s="3"/>
      <c r="C106" s="3"/>
      <c r="D106" s="3"/>
      <c r="E106" s="4"/>
      <c r="F106" s="3"/>
      <c r="G106" s="5"/>
      <c r="H106" s="3"/>
      <c r="I106" s="5"/>
      <c r="J106" s="3"/>
      <c r="K106" s="5"/>
      <c r="L106" s="3"/>
      <c r="M106" s="5"/>
      <c r="N106" s="5"/>
    </row>
    <row r="107">
      <c r="B107" s="3"/>
      <c r="C107" s="3"/>
      <c r="D107" s="3"/>
      <c r="E107" s="4"/>
      <c r="F107" s="3"/>
      <c r="G107" s="5"/>
      <c r="H107" s="3"/>
      <c r="I107" s="5"/>
      <c r="J107" s="3"/>
      <c r="K107" s="5"/>
      <c r="L107" s="3"/>
      <c r="M107" s="5"/>
      <c r="N107" s="5"/>
    </row>
    <row r="108">
      <c r="B108" s="3"/>
      <c r="C108" s="3"/>
      <c r="D108" s="3"/>
      <c r="E108" s="4"/>
      <c r="F108" s="3"/>
      <c r="G108" s="5"/>
      <c r="H108" s="3"/>
      <c r="I108" s="5"/>
      <c r="J108" s="3"/>
      <c r="K108" s="5"/>
      <c r="L108" s="3"/>
      <c r="M108" s="5"/>
      <c r="N108" s="5"/>
    </row>
    <row r="109">
      <c r="B109" s="3"/>
      <c r="C109" s="3"/>
      <c r="D109" s="3"/>
      <c r="E109" s="4"/>
      <c r="F109" s="3"/>
      <c r="G109" s="5"/>
      <c r="H109" s="3"/>
      <c r="I109" s="5"/>
      <c r="J109" s="3"/>
      <c r="K109" s="5"/>
      <c r="L109" s="3"/>
      <c r="M109" s="5"/>
      <c r="N109" s="5"/>
    </row>
    <row r="110">
      <c r="B110" s="3"/>
      <c r="C110" s="3"/>
      <c r="D110" s="3"/>
      <c r="E110" s="4"/>
      <c r="F110" s="3"/>
      <c r="G110" s="5"/>
      <c r="H110" s="3"/>
      <c r="I110" s="5"/>
      <c r="J110" s="3"/>
      <c r="K110" s="5"/>
      <c r="L110" s="3"/>
      <c r="M110" s="5"/>
      <c r="N110" s="5"/>
    </row>
    <row r="111">
      <c r="B111" s="3"/>
      <c r="C111" s="3"/>
      <c r="D111" s="3"/>
      <c r="E111" s="4"/>
      <c r="F111" s="3"/>
      <c r="G111" s="5"/>
      <c r="H111" s="3"/>
      <c r="I111" s="5"/>
      <c r="J111" s="3"/>
      <c r="K111" s="5"/>
      <c r="L111" s="3"/>
      <c r="M111" s="5"/>
      <c r="N111" s="5"/>
    </row>
    <row r="112">
      <c r="B112" s="3"/>
      <c r="C112" s="3"/>
      <c r="D112" s="3"/>
      <c r="E112" s="4"/>
      <c r="F112" s="3"/>
      <c r="G112" s="5"/>
      <c r="H112" s="3"/>
      <c r="I112" s="5"/>
      <c r="J112" s="3"/>
      <c r="K112" s="5"/>
      <c r="L112" s="3"/>
      <c r="M112" s="5"/>
      <c r="N112" s="5"/>
    </row>
    <row r="113">
      <c r="B113" s="3"/>
      <c r="C113" s="3"/>
      <c r="D113" s="3"/>
      <c r="E113" s="4"/>
      <c r="F113" s="3"/>
      <c r="G113" s="5"/>
      <c r="H113" s="3"/>
      <c r="I113" s="5"/>
      <c r="J113" s="3"/>
      <c r="K113" s="5"/>
      <c r="L113" s="3"/>
      <c r="M113" s="5"/>
      <c r="N113" s="5"/>
    </row>
    <row r="114">
      <c r="B114" s="3"/>
      <c r="C114" s="3"/>
      <c r="D114" s="3"/>
      <c r="E114" s="4"/>
      <c r="F114" s="3"/>
      <c r="G114" s="5"/>
      <c r="H114" s="3"/>
      <c r="I114" s="5"/>
      <c r="J114" s="3"/>
      <c r="K114" s="5"/>
      <c r="L114" s="3"/>
      <c r="M114" s="5"/>
      <c r="N114" s="5"/>
    </row>
    <row r="115">
      <c r="B115" s="3"/>
      <c r="C115" s="3"/>
      <c r="D115" s="3"/>
      <c r="E115" s="4"/>
      <c r="F115" s="3"/>
      <c r="G115" s="5"/>
      <c r="H115" s="3"/>
      <c r="I115" s="5"/>
      <c r="J115" s="3"/>
      <c r="K115" s="5"/>
      <c r="L115" s="3"/>
      <c r="M115" s="5"/>
      <c r="N115" s="5"/>
    </row>
    <row r="116">
      <c r="B116" s="3"/>
      <c r="C116" s="3"/>
      <c r="D116" s="3"/>
      <c r="E116" s="4"/>
      <c r="F116" s="3"/>
      <c r="G116" s="5"/>
      <c r="H116" s="3"/>
      <c r="I116" s="5"/>
      <c r="J116" s="3"/>
      <c r="K116" s="5"/>
      <c r="L116" s="3"/>
      <c r="M116" s="5"/>
      <c r="N116" s="5"/>
    </row>
    <row r="117">
      <c r="B117" s="3"/>
      <c r="C117" s="3"/>
      <c r="D117" s="3"/>
      <c r="E117" s="4"/>
      <c r="F117" s="3"/>
      <c r="G117" s="5"/>
      <c r="H117" s="3"/>
      <c r="I117" s="5"/>
      <c r="J117" s="3"/>
      <c r="K117" s="5"/>
      <c r="L117" s="3"/>
      <c r="M117" s="5"/>
      <c r="N117" s="5"/>
    </row>
    <row r="118">
      <c r="B118" s="3"/>
      <c r="C118" s="3"/>
      <c r="D118" s="3"/>
      <c r="E118" s="4"/>
      <c r="F118" s="3"/>
      <c r="G118" s="5"/>
      <c r="H118" s="3"/>
      <c r="I118" s="5"/>
      <c r="J118" s="3"/>
      <c r="K118" s="5"/>
      <c r="L118" s="3"/>
      <c r="M118" s="5"/>
      <c r="N118" s="5"/>
    </row>
    <row r="119">
      <c r="B119" s="3"/>
      <c r="C119" s="3"/>
      <c r="D119" s="3"/>
      <c r="E119" s="4"/>
      <c r="F119" s="3"/>
      <c r="G119" s="5"/>
      <c r="H119" s="3"/>
      <c r="I119" s="5"/>
      <c r="J119" s="3"/>
      <c r="K119" s="5"/>
      <c r="L119" s="3"/>
      <c r="M119" s="5"/>
      <c r="N119" s="5"/>
    </row>
    <row r="120">
      <c r="B120" s="3"/>
      <c r="C120" s="3"/>
      <c r="D120" s="3"/>
      <c r="E120" s="4"/>
      <c r="F120" s="3"/>
      <c r="G120" s="5"/>
      <c r="H120" s="3"/>
      <c r="I120" s="5"/>
      <c r="J120" s="3"/>
      <c r="K120" s="5"/>
      <c r="L120" s="3"/>
      <c r="M120" s="5"/>
      <c r="N120" s="5"/>
    </row>
    <row r="121">
      <c r="B121" s="3"/>
      <c r="C121" s="3"/>
      <c r="D121" s="3"/>
      <c r="E121" s="4"/>
      <c r="F121" s="3"/>
      <c r="G121" s="5"/>
      <c r="H121" s="3"/>
      <c r="I121" s="5"/>
      <c r="J121" s="3"/>
      <c r="K121" s="5"/>
      <c r="L121" s="3"/>
      <c r="M121" s="5"/>
      <c r="N121" s="5"/>
    </row>
    <row r="122">
      <c r="B122" s="3"/>
      <c r="C122" s="3"/>
      <c r="D122" s="3"/>
      <c r="E122" s="4"/>
      <c r="F122" s="3"/>
      <c r="G122" s="5"/>
      <c r="H122" s="3"/>
      <c r="I122" s="5"/>
      <c r="J122" s="3"/>
      <c r="K122" s="5"/>
      <c r="L122" s="3"/>
      <c r="M122" s="5"/>
      <c r="N122" s="5"/>
    </row>
    <row r="123">
      <c r="B123" s="3"/>
      <c r="C123" s="3"/>
      <c r="D123" s="3"/>
      <c r="E123" s="4"/>
      <c r="F123" s="3"/>
      <c r="G123" s="5"/>
      <c r="H123" s="3"/>
      <c r="I123" s="5"/>
      <c r="J123" s="3"/>
      <c r="K123" s="5"/>
      <c r="L123" s="3"/>
      <c r="M123" s="5"/>
      <c r="N123" s="5"/>
    </row>
    <row r="124">
      <c r="B124" s="3"/>
      <c r="C124" s="3"/>
      <c r="D124" s="3"/>
      <c r="E124" s="4"/>
      <c r="F124" s="3"/>
      <c r="G124" s="5"/>
      <c r="H124" s="3"/>
      <c r="I124" s="5"/>
      <c r="J124" s="3"/>
      <c r="K124" s="5"/>
      <c r="L124" s="3"/>
      <c r="M124" s="5"/>
      <c r="N124" s="5"/>
    </row>
    <row r="125">
      <c r="B125" s="3"/>
      <c r="C125" s="3"/>
      <c r="D125" s="3"/>
      <c r="E125" s="4"/>
      <c r="F125" s="3"/>
      <c r="G125" s="5"/>
      <c r="H125" s="3"/>
      <c r="I125" s="5"/>
      <c r="J125" s="3"/>
      <c r="K125" s="5"/>
      <c r="L125" s="3"/>
      <c r="M125" s="5"/>
      <c r="N125" s="5"/>
    </row>
    <row r="126">
      <c r="B126" s="3"/>
      <c r="C126" s="3"/>
      <c r="D126" s="3"/>
      <c r="E126" s="4"/>
      <c r="F126" s="3"/>
      <c r="G126" s="5"/>
      <c r="H126" s="3"/>
      <c r="I126" s="5"/>
      <c r="J126" s="3"/>
      <c r="K126" s="5"/>
      <c r="L126" s="3"/>
      <c r="M126" s="5"/>
      <c r="N126" s="5"/>
    </row>
    <row r="127">
      <c r="B127" s="3"/>
      <c r="C127" s="3"/>
      <c r="D127" s="3"/>
      <c r="E127" s="4"/>
      <c r="F127" s="3"/>
      <c r="G127" s="5"/>
      <c r="H127" s="3"/>
      <c r="I127" s="5"/>
      <c r="J127" s="3"/>
      <c r="K127" s="5"/>
      <c r="L127" s="3"/>
      <c r="M127" s="5"/>
      <c r="N127" s="5"/>
    </row>
    <row r="128">
      <c r="B128" s="3"/>
      <c r="C128" s="3"/>
      <c r="D128" s="3"/>
      <c r="E128" s="4"/>
      <c r="F128" s="3"/>
      <c r="G128" s="5"/>
      <c r="H128" s="3"/>
      <c r="I128" s="5"/>
      <c r="J128" s="3"/>
      <c r="K128" s="5"/>
      <c r="L128" s="3"/>
      <c r="M128" s="5"/>
      <c r="N128" s="5"/>
    </row>
    <row r="129">
      <c r="B129" s="3"/>
      <c r="C129" s="3"/>
      <c r="D129" s="3"/>
      <c r="E129" s="4"/>
      <c r="F129" s="3"/>
      <c r="G129" s="5"/>
      <c r="H129" s="3"/>
      <c r="I129" s="5"/>
      <c r="J129" s="3"/>
      <c r="K129" s="5"/>
      <c r="L129" s="3"/>
      <c r="M129" s="5"/>
      <c r="N129" s="5"/>
    </row>
    <row r="130">
      <c r="B130" s="3"/>
      <c r="C130" s="3"/>
      <c r="D130" s="3"/>
      <c r="E130" s="4"/>
      <c r="F130" s="3"/>
      <c r="G130" s="5"/>
      <c r="H130" s="3"/>
      <c r="I130" s="5"/>
      <c r="J130" s="3"/>
      <c r="K130" s="5"/>
      <c r="L130" s="3"/>
      <c r="M130" s="5"/>
      <c r="N130" s="5"/>
    </row>
    <row r="131">
      <c r="B131" s="3"/>
      <c r="C131" s="3"/>
      <c r="D131" s="3"/>
      <c r="E131" s="4"/>
      <c r="F131" s="3"/>
      <c r="G131" s="5"/>
      <c r="H131" s="3"/>
      <c r="I131" s="5"/>
      <c r="J131" s="3"/>
      <c r="K131" s="5"/>
      <c r="L131" s="3"/>
      <c r="M131" s="5"/>
      <c r="N131" s="5"/>
    </row>
    <row r="132">
      <c r="B132" s="3"/>
      <c r="C132" s="3"/>
      <c r="D132" s="3"/>
      <c r="E132" s="4"/>
      <c r="F132" s="3"/>
      <c r="G132" s="5"/>
      <c r="H132" s="3"/>
      <c r="I132" s="5"/>
      <c r="J132" s="3"/>
      <c r="K132" s="5"/>
      <c r="L132" s="3"/>
      <c r="M132" s="5"/>
      <c r="N132" s="5"/>
    </row>
    <row r="133">
      <c r="B133" s="3"/>
      <c r="C133" s="3"/>
      <c r="D133" s="3"/>
      <c r="E133" s="4"/>
      <c r="F133" s="3"/>
      <c r="G133" s="5"/>
      <c r="H133" s="3"/>
      <c r="I133" s="5"/>
      <c r="J133" s="3"/>
      <c r="K133" s="5"/>
      <c r="L133" s="3"/>
      <c r="M133" s="5"/>
      <c r="N133" s="5"/>
    </row>
    <row r="134">
      <c r="B134" s="3"/>
      <c r="C134" s="3"/>
      <c r="D134" s="3"/>
      <c r="E134" s="4"/>
      <c r="F134" s="3"/>
      <c r="G134" s="5"/>
      <c r="H134" s="3"/>
      <c r="I134" s="5"/>
      <c r="J134" s="3"/>
      <c r="K134" s="5"/>
      <c r="L134" s="3"/>
      <c r="M134" s="5"/>
      <c r="N134" s="5"/>
    </row>
    <row r="135">
      <c r="B135" s="3"/>
      <c r="C135" s="3"/>
      <c r="D135" s="3"/>
      <c r="E135" s="4"/>
      <c r="F135" s="3"/>
      <c r="G135" s="5"/>
      <c r="H135" s="3"/>
      <c r="I135" s="5"/>
      <c r="J135" s="3"/>
      <c r="K135" s="5"/>
      <c r="L135" s="3"/>
      <c r="M135" s="5"/>
      <c r="N135" s="5"/>
    </row>
    <row r="136">
      <c r="B136" s="3"/>
      <c r="C136" s="3"/>
      <c r="D136" s="3"/>
      <c r="E136" s="4"/>
      <c r="F136" s="3"/>
      <c r="G136" s="5"/>
      <c r="H136" s="3"/>
      <c r="I136" s="5"/>
      <c r="J136" s="3"/>
      <c r="K136" s="5"/>
      <c r="L136" s="3"/>
      <c r="M136" s="5"/>
      <c r="N136" s="5"/>
    </row>
    <row r="137">
      <c r="B137" s="3"/>
      <c r="C137" s="3"/>
      <c r="D137" s="3"/>
      <c r="E137" s="4"/>
      <c r="F137" s="3"/>
      <c r="G137" s="5"/>
      <c r="H137" s="3"/>
      <c r="I137" s="5"/>
      <c r="J137" s="3"/>
      <c r="K137" s="5"/>
      <c r="L137" s="3"/>
      <c r="M137" s="5"/>
      <c r="N137" s="5"/>
    </row>
    <row r="138">
      <c r="B138" s="3"/>
      <c r="C138" s="3"/>
      <c r="D138" s="3"/>
      <c r="E138" s="4"/>
      <c r="F138" s="3"/>
      <c r="G138" s="5"/>
      <c r="H138" s="3"/>
      <c r="I138" s="5"/>
      <c r="J138" s="3"/>
      <c r="K138" s="5"/>
      <c r="L138" s="3"/>
      <c r="M138" s="5"/>
      <c r="N138" s="5"/>
    </row>
    <row r="139">
      <c r="B139" s="3"/>
      <c r="C139" s="3"/>
      <c r="D139" s="3"/>
      <c r="E139" s="4"/>
      <c r="F139" s="3"/>
      <c r="G139" s="5"/>
      <c r="H139" s="3"/>
      <c r="I139" s="5"/>
      <c r="J139" s="3"/>
      <c r="K139" s="5"/>
      <c r="L139" s="3"/>
      <c r="M139" s="5"/>
      <c r="N139" s="5"/>
    </row>
    <row r="140">
      <c r="B140" s="3"/>
      <c r="C140" s="3"/>
      <c r="D140" s="3"/>
      <c r="E140" s="4"/>
      <c r="F140" s="3"/>
      <c r="G140" s="5"/>
      <c r="H140" s="3"/>
      <c r="I140" s="5"/>
      <c r="J140" s="3"/>
      <c r="K140" s="5"/>
      <c r="L140" s="3"/>
      <c r="M140" s="5"/>
      <c r="N140" s="5"/>
    </row>
    <row r="141">
      <c r="B141" s="3"/>
      <c r="C141" s="3"/>
      <c r="D141" s="3"/>
      <c r="E141" s="4"/>
      <c r="F141" s="3"/>
      <c r="G141" s="5"/>
      <c r="H141" s="3"/>
      <c r="I141" s="5"/>
      <c r="J141" s="3"/>
      <c r="K141" s="5"/>
      <c r="L141" s="3"/>
      <c r="M141" s="5"/>
      <c r="N141" s="5"/>
    </row>
    <row r="142">
      <c r="B142" s="3"/>
      <c r="C142" s="3"/>
      <c r="D142" s="3"/>
      <c r="E142" s="4"/>
      <c r="F142" s="3"/>
      <c r="G142" s="5"/>
      <c r="H142" s="3"/>
      <c r="I142" s="5"/>
      <c r="J142" s="3"/>
      <c r="K142" s="5"/>
      <c r="L142" s="3"/>
      <c r="M142" s="5"/>
      <c r="N142" s="5"/>
    </row>
    <row r="143">
      <c r="B143" s="3"/>
      <c r="C143" s="3"/>
      <c r="D143" s="3"/>
      <c r="E143" s="4"/>
      <c r="F143" s="3"/>
      <c r="G143" s="5"/>
      <c r="H143" s="3"/>
      <c r="I143" s="5"/>
      <c r="J143" s="3"/>
      <c r="K143" s="5"/>
      <c r="L143" s="3"/>
      <c r="M143" s="5"/>
      <c r="N143" s="5"/>
    </row>
    <row r="144">
      <c r="B144" s="3"/>
      <c r="C144" s="3"/>
      <c r="D144" s="3"/>
      <c r="E144" s="4"/>
      <c r="F144" s="3"/>
      <c r="G144" s="5"/>
      <c r="H144" s="3"/>
      <c r="I144" s="5"/>
      <c r="J144" s="3"/>
      <c r="K144" s="5"/>
      <c r="L144" s="3"/>
      <c r="M144" s="5"/>
      <c r="N144" s="5"/>
    </row>
    <row r="145">
      <c r="B145" s="3"/>
      <c r="C145" s="3"/>
      <c r="D145" s="3"/>
      <c r="E145" s="4"/>
      <c r="F145" s="3"/>
      <c r="G145" s="5"/>
      <c r="H145" s="3"/>
      <c r="I145" s="5"/>
      <c r="J145" s="3"/>
      <c r="K145" s="5"/>
      <c r="L145" s="3"/>
      <c r="M145" s="5"/>
      <c r="N145" s="5"/>
    </row>
    <row r="146">
      <c r="B146" s="3"/>
      <c r="C146" s="3"/>
      <c r="D146" s="3"/>
      <c r="E146" s="4"/>
      <c r="F146" s="3"/>
      <c r="G146" s="5"/>
      <c r="H146" s="3"/>
      <c r="I146" s="5"/>
      <c r="J146" s="3"/>
      <c r="K146" s="5"/>
      <c r="L146" s="3"/>
      <c r="M146" s="5"/>
      <c r="N146" s="5"/>
    </row>
    <row r="147">
      <c r="B147" s="3"/>
      <c r="C147" s="3"/>
      <c r="D147" s="3"/>
      <c r="E147" s="4"/>
      <c r="F147" s="3"/>
      <c r="G147" s="5"/>
      <c r="H147" s="3"/>
      <c r="I147" s="5"/>
      <c r="J147" s="3"/>
      <c r="K147" s="5"/>
      <c r="L147" s="3"/>
      <c r="M147" s="5"/>
      <c r="N147" s="5"/>
    </row>
    <row r="148">
      <c r="B148" s="3"/>
      <c r="C148" s="3"/>
      <c r="D148" s="3"/>
      <c r="E148" s="4"/>
      <c r="F148" s="3"/>
      <c r="G148" s="5"/>
      <c r="H148" s="3"/>
      <c r="I148" s="5"/>
      <c r="J148" s="3"/>
      <c r="K148" s="5"/>
      <c r="L148" s="3"/>
      <c r="M148" s="5"/>
      <c r="N148" s="5"/>
    </row>
    <row r="149">
      <c r="B149" s="3"/>
      <c r="C149" s="3"/>
      <c r="D149" s="3"/>
      <c r="E149" s="4"/>
      <c r="F149" s="3"/>
      <c r="G149" s="5"/>
      <c r="H149" s="3"/>
      <c r="I149" s="5"/>
      <c r="J149" s="3"/>
      <c r="K149" s="5"/>
      <c r="L149" s="3"/>
      <c r="M149" s="5"/>
      <c r="N149" s="5"/>
    </row>
    <row r="150">
      <c r="B150" s="3"/>
      <c r="C150" s="3"/>
      <c r="D150" s="3"/>
      <c r="E150" s="4"/>
      <c r="F150" s="3"/>
      <c r="G150" s="5"/>
      <c r="H150" s="3"/>
      <c r="I150" s="5"/>
      <c r="J150" s="3"/>
      <c r="K150" s="5"/>
      <c r="L150" s="3"/>
      <c r="M150" s="5"/>
      <c r="N150" s="5"/>
    </row>
    <row r="151">
      <c r="B151" s="3"/>
      <c r="C151" s="3"/>
      <c r="D151" s="3"/>
      <c r="E151" s="4"/>
      <c r="F151" s="3"/>
      <c r="G151" s="5"/>
      <c r="H151" s="3"/>
      <c r="I151" s="5"/>
      <c r="J151" s="3"/>
      <c r="K151" s="5"/>
      <c r="L151" s="3"/>
      <c r="M151" s="5"/>
      <c r="N151" s="5"/>
    </row>
    <row r="152">
      <c r="B152" s="3"/>
      <c r="C152" s="3"/>
      <c r="D152" s="3"/>
      <c r="E152" s="4"/>
      <c r="F152" s="3"/>
      <c r="G152" s="5"/>
      <c r="H152" s="3"/>
      <c r="I152" s="5"/>
      <c r="J152" s="3"/>
      <c r="K152" s="5"/>
      <c r="L152" s="3"/>
      <c r="M152" s="5"/>
      <c r="N152" s="5"/>
    </row>
    <row r="153">
      <c r="B153" s="3"/>
      <c r="C153" s="3"/>
      <c r="D153" s="3"/>
      <c r="E153" s="4"/>
      <c r="F153" s="3"/>
      <c r="G153" s="5"/>
      <c r="H153" s="3"/>
      <c r="I153" s="5"/>
      <c r="J153" s="3"/>
      <c r="K153" s="5"/>
      <c r="L153" s="3"/>
      <c r="M153" s="5"/>
      <c r="N153" s="5"/>
    </row>
    <row r="154">
      <c r="B154" s="3"/>
      <c r="C154" s="3"/>
      <c r="D154" s="3"/>
      <c r="E154" s="4"/>
      <c r="F154" s="3"/>
      <c r="G154" s="5"/>
      <c r="H154" s="3"/>
      <c r="I154" s="5"/>
      <c r="J154" s="3"/>
      <c r="K154" s="5"/>
      <c r="L154" s="3"/>
      <c r="M154" s="5"/>
      <c r="N154" s="5"/>
    </row>
    <row r="155">
      <c r="B155" s="3"/>
      <c r="C155" s="3"/>
      <c r="D155" s="3"/>
      <c r="E155" s="4"/>
      <c r="F155" s="3"/>
      <c r="G155" s="5"/>
      <c r="H155" s="3"/>
      <c r="I155" s="5"/>
      <c r="J155" s="3"/>
      <c r="K155" s="5"/>
      <c r="L155" s="3"/>
      <c r="M155" s="5"/>
      <c r="N155" s="5"/>
    </row>
    <row r="156">
      <c r="B156" s="3"/>
      <c r="C156" s="3"/>
      <c r="D156" s="3"/>
      <c r="E156" s="4"/>
      <c r="F156" s="3"/>
      <c r="G156" s="5"/>
      <c r="H156" s="3"/>
      <c r="I156" s="5"/>
      <c r="J156" s="3"/>
      <c r="K156" s="5"/>
      <c r="L156" s="3"/>
      <c r="M156" s="5"/>
      <c r="N156" s="5"/>
    </row>
    <row r="157">
      <c r="B157" s="3"/>
      <c r="C157" s="3"/>
      <c r="D157" s="3"/>
      <c r="E157" s="4"/>
      <c r="F157" s="3"/>
      <c r="G157" s="5"/>
      <c r="H157" s="3"/>
      <c r="I157" s="5"/>
      <c r="J157" s="3"/>
      <c r="K157" s="5"/>
      <c r="L157" s="3"/>
      <c r="M157" s="5"/>
      <c r="N157" s="5"/>
    </row>
    <row r="158">
      <c r="B158" s="3"/>
      <c r="C158" s="3"/>
      <c r="D158" s="3"/>
      <c r="E158" s="4"/>
      <c r="F158" s="3"/>
      <c r="G158" s="5"/>
      <c r="H158" s="3"/>
      <c r="I158" s="5"/>
      <c r="J158" s="3"/>
      <c r="K158" s="5"/>
      <c r="L158" s="3"/>
      <c r="M158" s="5"/>
      <c r="N158" s="5"/>
    </row>
    <row r="159">
      <c r="B159" s="3"/>
      <c r="C159" s="3"/>
      <c r="D159" s="3"/>
      <c r="E159" s="4"/>
      <c r="F159" s="3"/>
      <c r="G159" s="5"/>
      <c r="H159" s="3"/>
      <c r="I159" s="5"/>
      <c r="J159" s="3"/>
      <c r="K159" s="5"/>
      <c r="L159" s="3"/>
      <c r="M159" s="5"/>
      <c r="N159" s="5"/>
    </row>
    <row r="160">
      <c r="B160" s="3"/>
      <c r="C160" s="3"/>
      <c r="D160" s="3"/>
      <c r="E160" s="4"/>
      <c r="F160" s="3"/>
      <c r="G160" s="5"/>
      <c r="H160" s="3"/>
      <c r="I160" s="5"/>
      <c r="J160" s="3"/>
      <c r="K160" s="5"/>
      <c r="L160" s="3"/>
      <c r="M160" s="5"/>
      <c r="N160" s="5"/>
    </row>
    <row r="161">
      <c r="B161" s="3"/>
      <c r="C161" s="3"/>
      <c r="D161" s="3"/>
      <c r="E161" s="4"/>
      <c r="F161" s="3"/>
      <c r="G161" s="5"/>
      <c r="H161" s="3"/>
      <c r="I161" s="5"/>
      <c r="J161" s="3"/>
      <c r="K161" s="5"/>
      <c r="L161" s="3"/>
      <c r="M161" s="5"/>
      <c r="N161" s="5"/>
    </row>
    <row r="162">
      <c r="B162" s="3"/>
      <c r="C162" s="3"/>
      <c r="D162" s="3"/>
      <c r="E162" s="4"/>
      <c r="F162" s="3"/>
      <c r="G162" s="5"/>
      <c r="H162" s="3"/>
      <c r="I162" s="5"/>
      <c r="J162" s="3"/>
      <c r="K162" s="5"/>
      <c r="L162" s="3"/>
      <c r="M162" s="5"/>
      <c r="N162" s="5"/>
    </row>
    <row r="163">
      <c r="B163" s="3"/>
      <c r="C163" s="3"/>
      <c r="D163" s="3"/>
      <c r="E163" s="4"/>
      <c r="F163" s="3"/>
      <c r="G163" s="5"/>
      <c r="H163" s="3"/>
      <c r="I163" s="5"/>
      <c r="J163" s="3"/>
      <c r="K163" s="5"/>
      <c r="L163" s="3"/>
      <c r="M163" s="5"/>
      <c r="N163" s="5"/>
    </row>
    <row r="164">
      <c r="B164" s="3"/>
      <c r="C164" s="3"/>
      <c r="D164" s="3"/>
      <c r="E164" s="4"/>
      <c r="F164" s="3"/>
      <c r="G164" s="5"/>
      <c r="H164" s="3"/>
      <c r="I164" s="5"/>
      <c r="J164" s="3"/>
      <c r="K164" s="5"/>
      <c r="L164" s="3"/>
      <c r="M164" s="5"/>
      <c r="N164" s="5"/>
    </row>
    <row r="165">
      <c r="B165" s="3"/>
      <c r="C165" s="3"/>
      <c r="D165" s="3"/>
      <c r="E165" s="4"/>
      <c r="F165" s="3"/>
      <c r="G165" s="5"/>
      <c r="H165" s="3"/>
      <c r="I165" s="5"/>
      <c r="J165" s="3"/>
      <c r="K165" s="5"/>
      <c r="L165" s="3"/>
      <c r="M165" s="5"/>
      <c r="N165" s="5"/>
    </row>
    <row r="166">
      <c r="B166" s="3"/>
      <c r="C166" s="3"/>
      <c r="D166" s="3"/>
      <c r="E166" s="4"/>
      <c r="F166" s="3"/>
      <c r="G166" s="5"/>
      <c r="H166" s="3"/>
      <c r="I166" s="5"/>
      <c r="J166" s="3"/>
      <c r="K166" s="5"/>
      <c r="L166" s="3"/>
      <c r="M166" s="5"/>
      <c r="N166" s="5"/>
    </row>
    <row r="167">
      <c r="B167" s="3"/>
      <c r="C167" s="3"/>
      <c r="D167" s="3"/>
      <c r="E167" s="4"/>
      <c r="F167" s="3"/>
      <c r="G167" s="5"/>
      <c r="H167" s="3"/>
      <c r="I167" s="5"/>
      <c r="J167" s="3"/>
      <c r="K167" s="5"/>
      <c r="L167" s="3"/>
      <c r="M167" s="5"/>
      <c r="N167" s="5"/>
    </row>
    <row r="168">
      <c r="B168" s="3"/>
      <c r="C168" s="3"/>
      <c r="D168" s="3"/>
      <c r="E168" s="4"/>
      <c r="F168" s="3"/>
      <c r="G168" s="5"/>
      <c r="H168" s="3"/>
      <c r="I168" s="5"/>
      <c r="J168" s="3"/>
      <c r="K168" s="5"/>
      <c r="L168" s="3"/>
      <c r="M168" s="5"/>
      <c r="N168" s="5"/>
    </row>
    <row r="169">
      <c r="B169" s="3"/>
      <c r="C169" s="3"/>
      <c r="D169" s="3"/>
      <c r="E169" s="4"/>
      <c r="F169" s="3"/>
      <c r="G169" s="5"/>
      <c r="H169" s="3"/>
      <c r="I169" s="5"/>
      <c r="J169" s="3"/>
      <c r="K169" s="5"/>
      <c r="L169" s="3"/>
      <c r="M169" s="5"/>
      <c r="N169" s="5"/>
    </row>
    <row r="170">
      <c r="B170" s="3"/>
      <c r="C170" s="3"/>
      <c r="D170" s="3"/>
      <c r="E170" s="4"/>
      <c r="F170" s="3"/>
      <c r="G170" s="5"/>
      <c r="H170" s="3"/>
      <c r="I170" s="5"/>
      <c r="J170" s="3"/>
      <c r="K170" s="5"/>
      <c r="L170" s="3"/>
      <c r="M170" s="5"/>
      <c r="N170" s="5"/>
    </row>
    <row r="171">
      <c r="B171" s="3"/>
      <c r="C171" s="3"/>
      <c r="D171" s="3"/>
      <c r="E171" s="4"/>
      <c r="F171" s="3"/>
      <c r="G171" s="5"/>
      <c r="H171" s="3"/>
      <c r="I171" s="5"/>
      <c r="J171" s="3"/>
      <c r="K171" s="5"/>
      <c r="L171" s="3"/>
      <c r="M171" s="5"/>
      <c r="N171" s="5"/>
    </row>
    <row r="172">
      <c r="B172" s="3"/>
      <c r="C172" s="3"/>
      <c r="D172" s="3"/>
      <c r="E172" s="4"/>
      <c r="F172" s="3"/>
      <c r="G172" s="5"/>
      <c r="H172" s="3"/>
      <c r="I172" s="5"/>
      <c r="J172" s="3"/>
      <c r="K172" s="5"/>
      <c r="L172" s="3"/>
      <c r="M172" s="5"/>
      <c r="N172" s="5"/>
    </row>
    <row r="173">
      <c r="B173" s="3"/>
      <c r="C173" s="3"/>
      <c r="D173" s="3"/>
      <c r="E173" s="4"/>
      <c r="F173" s="3"/>
      <c r="G173" s="5"/>
      <c r="H173" s="3"/>
      <c r="I173" s="5"/>
      <c r="J173" s="3"/>
      <c r="K173" s="5"/>
      <c r="L173" s="3"/>
      <c r="M173" s="5"/>
      <c r="N173" s="5"/>
    </row>
    <row r="174">
      <c r="B174" s="3"/>
      <c r="C174" s="3"/>
      <c r="D174" s="3"/>
      <c r="E174" s="4"/>
      <c r="F174" s="3"/>
      <c r="G174" s="5"/>
      <c r="H174" s="3"/>
      <c r="I174" s="5"/>
      <c r="J174" s="3"/>
      <c r="K174" s="5"/>
      <c r="L174" s="3"/>
      <c r="M174" s="5"/>
      <c r="N174" s="5"/>
    </row>
    <row r="175">
      <c r="B175" s="3"/>
      <c r="C175" s="3"/>
      <c r="D175" s="3"/>
      <c r="E175" s="4"/>
      <c r="F175" s="3"/>
      <c r="G175" s="5"/>
      <c r="H175" s="3"/>
      <c r="I175" s="5"/>
      <c r="J175" s="3"/>
      <c r="K175" s="5"/>
      <c r="L175" s="3"/>
      <c r="M175" s="5"/>
      <c r="N175" s="5"/>
    </row>
    <row r="176">
      <c r="B176" s="3"/>
      <c r="C176" s="3"/>
      <c r="D176" s="3"/>
      <c r="E176" s="4"/>
      <c r="F176" s="3"/>
      <c r="G176" s="5"/>
      <c r="H176" s="3"/>
      <c r="I176" s="5"/>
      <c r="J176" s="3"/>
      <c r="K176" s="5"/>
      <c r="L176" s="3"/>
      <c r="M176" s="5"/>
      <c r="N176" s="5"/>
    </row>
    <row r="177">
      <c r="B177" s="3"/>
      <c r="C177" s="3"/>
      <c r="D177" s="3"/>
      <c r="E177" s="4"/>
      <c r="F177" s="3"/>
      <c r="G177" s="5"/>
      <c r="H177" s="3"/>
      <c r="I177" s="5"/>
      <c r="J177" s="3"/>
      <c r="K177" s="5"/>
      <c r="L177" s="3"/>
      <c r="M177" s="5"/>
      <c r="N177" s="5"/>
    </row>
    <row r="178">
      <c r="B178" s="3"/>
      <c r="C178" s="3"/>
      <c r="D178" s="3"/>
      <c r="E178" s="4"/>
      <c r="F178" s="3"/>
      <c r="G178" s="5"/>
      <c r="H178" s="3"/>
      <c r="I178" s="5"/>
      <c r="J178" s="3"/>
      <c r="K178" s="5"/>
      <c r="L178" s="3"/>
      <c r="M178" s="5"/>
      <c r="N178" s="5"/>
    </row>
    <row r="179">
      <c r="B179" s="3"/>
      <c r="C179" s="3"/>
      <c r="D179" s="3"/>
      <c r="E179" s="4"/>
      <c r="F179" s="3"/>
      <c r="G179" s="5"/>
      <c r="H179" s="3"/>
      <c r="I179" s="5"/>
      <c r="J179" s="3"/>
      <c r="K179" s="5"/>
      <c r="L179" s="3"/>
      <c r="M179" s="5"/>
      <c r="N179" s="5"/>
    </row>
    <row r="180">
      <c r="B180" s="3"/>
      <c r="C180" s="3"/>
      <c r="D180" s="3"/>
      <c r="E180" s="4"/>
      <c r="F180" s="3"/>
      <c r="G180" s="5"/>
      <c r="H180" s="3"/>
      <c r="I180" s="5"/>
      <c r="J180" s="3"/>
      <c r="K180" s="5"/>
      <c r="L180" s="3"/>
      <c r="M180" s="5"/>
      <c r="N180" s="5"/>
    </row>
    <row r="181">
      <c r="B181" s="3"/>
      <c r="C181" s="3"/>
      <c r="D181" s="3"/>
      <c r="E181" s="4"/>
      <c r="F181" s="3"/>
      <c r="G181" s="5"/>
      <c r="H181" s="3"/>
      <c r="I181" s="5"/>
      <c r="J181" s="3"/>
      <c r="K181" s="5"/>
      <c r="L181" s="3"/>
      <c r="M181" s="5"/>
      <c r="N181" s="5"/>
    </row>
    <row r="182">
      <c r="B182" s="3"/>
      <c r="C182" s="3"/>
      <c r="D182" s="3"/>
      <c r="E182" s="4"/>
      <c r="F182" s="3"/>
      <c r="G182" s="5"/>
      <c r="H182" s="3"/>
      <c r="I182" s="5"/>
      <c r="J182" s="3"/>
      <c r="K182" s="5"/>
      <c r="L182" s="3"/>
      <c r="M182" s="5"/>
      <c r="N182" s="5"/>
    </row>
    <row r="183">
      <c r="B183" s="3"/>
      <c r="C183" s="3"/>
      <c r="D183" s="3"/>
      <c r="E183" s="4"/>
      <c r="F183" s="3"/>
      <c r="G183" s="5"/>
      <c r="H183" s="3"/>
      <c r="I183" s="5"/>
      <c r="J183" s="3"/>
      <c r="K183" s="5"/>
      <c r="L183" s="3"/>
      <c r="M183" s="5"/>
      <c r="N183" s="5"/>
    </row>
    <row r="184">
      <c r="B184" s="3"/>
      <c r="C184" s="3"/>
      <c r="D184" s="3"/>
      <c r="E184" s="4"/>
      <c r="F184" s="3"/>
      <c r="G184" s="5"/>
      <c r="H184" s="3"/>
      <c r="I184" s="5"/>
      <c r="J184" s="3"/>
      <c r="K184" s="5"/>
      <c r="L184" s="3"/>
      <c r="M184" s="5"/>
      <c r="N184" s="5"/>
    </row>
    <row r="185">
      <c r="B185" s="3"/>
      <c r="C185" s="3"/>
      <c r="D185" s="3"/>
      <c r="E185" s="4"/>
      <c r="F185" s="3"/>
      <c r="G185" s="5"/>
      <c r="H185" s="3"/>
      <c r="I185" s="5"/>
      <c r="J185" s="3"/>
      <c r="K185" s="5"/>
      <c r="L185" s="3"/>
      <c r="M185" s="5"/>
      <c r="N185" s="5"/>
    </row>
    <row r="186">
      <c r="B186" s="3"/>
      <c r="C186" s="3"/>
      <c r="D186" s="3"/>
      <c r="E186" s="4"/>
      <c r="F186" s="3"/>
      <c r="G186" s="5"/>
      <c r="H186" s="3"/>
      <c r="I186" s="5"/>
      <c r="J186" s="3"/>
      <c r="K186" s="5"/>
      <c r="L186" s="3"/>
      <c r="M186" s="5"/>
      <c r="N186" s="5"/>
    </row>
    <row r="187">
      <c r="B187" s="3"/>
      <c r="C187" s="3"/>
      <c r="D187" s="3"/>
      <c r="E187" s="4"/>
      <c r="F187" s="3"/>
      <c r="G187" s="5"/>
      <c r="H187" s="3"/>
      <c r="I187" s="5"/>
      <c r="J187" s="3"/>
      <c r="K187" s="5"/>
      <c r="L187" s="3"/>
      <c r="M187" s="5"/>
      <c r="N187" s="5"/>
    </row>
    <row r="188">
      <c r="B188" s="3"/>
      <c r="C188" s="3"/>
      <c r="D188" s="3"/>
      <c r="E188" s="4"/>
      <c r="F188" s="3"/>
      <c r="G188" s="5"/>
      <c r="H188" s="3"/>
      <c r="I188" s="5"/>
      <c r="J188" s="3"/>
      <c r="K188" s="5"/>
      <c r="L188" s="3"/>
      <c r="M188" s="5"/>
      <c r="N188" s="5"/>
    </row>
    <row r="189">
      <c r="B189" s="3"/>
      <c r="C189" s="3"/>
      <c r="D189" s="3"/>
      <c r="E189" s="4"/>
      <c r="F189" s="3"/>
      <c r="G189" s="5"/>
      <c r="H189" s="3"/>
      <c r="I189" s="5"/>
      <c r="J189" s="3"/>
      <c r="K189" s="5"/>
      <c r="L189" s="3"/>
      <c r="M189" s="5"/>
      <c r="N189" s="5"/>
    </row>
    <row r="190">
      <c r="B190" s="3"/>
      <c r="C190" s="3"/>
      <c r="D190" s="3"/>
      <c r="E190" s="4"/>
      <c r="F190" s="3"/>
      <c r="G190" s="5"/>
      <c r="H190" s="3"/>
      <c r="I190" s="5"/>
      <c r="J190" s="3"/>
      <c r="K190" s="5"/>
      <c r="L190" s="3"/>
      <c r="M190" s="5"/>
      <c r="N190" s="5"/>
    </row>
    <row r="191">
      <c r="B191" s="3"/>
      <c r="C191" s="3"/>
      <c r="D191" s="3"/>
      <c r="E191" s="4"/>
      <c r="F191" s="3"/>
      <c r="G191" s="5"/>
      <c r="H191" s="3"/>
      <c r="I191" s="5"/>
      <c r="J191" s="3"/>
      <c r="K191" s="5"/>
      <c r="L191" s="3"/>
      <c r="M191" s="5"/>
      <c r="N191" s="5"/>
    </row>
    <row r="192">
      <c r="B192" s="3"/>
      <c r="C192" s="3"/>
      <c r="D192" s="3"/>
      <c r="E192" s="4"/>
      <c r="F192" s="3"/>
      <c r="G192" s="5"/>
      <c r="H192" s="3"/>
      <c r="I192" s="5"/>
      <c r="J192" s="3"/>
      <c r="K192" s="5"/>
      <c r="L192" s="3"/>
      <c r="M192" s="5"/>
      <c r="N192" s="5"/>
    </row>
    <row r="193">
      <c r="B193" s="3"/>
      <c r="C193" s="3"/>
      <c r="D193" s="3"/>
      <c r="E193" s="4"/>
      <c r="F193" s="3"/>
      <c r="G193" s="5"/>
      <c r="H193" s="3"/>
      <c r="I193" s="5"/>
      <c r="J193" s="3"/>
      <c r="K193" s="5"/>
      <c r="L193" s="3"/>
      <c r="M193" s="5"/>
      <c r="N193" s="5"/>
    </row>
    <row r="194">
      <c r="B194" s="3"/>
      <c r="C194" s="3"/>
      <c r="D194" s="3"/>
      <c r="E194" s="4"/>
      <c r="F194" s="3"/>
      <c r="G194" s="5"/>
      <c r="H194" s="3"/>
      <c r="I194" s="5"/>
      <c r="J194" s="3"/>
      <c r="K194" s="5"/>
      <c r="L194" s="3"/>
      <c r="M194" s="5"/>
      <c r="N194" s="5"/>
    </row>
    <row r="195">
      <c r="B195" s="3"/>
      <c r="C195" s="3"/>
      <c r="D195" s="3"/>
      <c r="E195" s="4"/>
      <c r="F195" s="3"/>
      <c r="G195" s="5"/>
      <c r="H195" s="3"/>
      <c r="I195" s="5"/>
      <c r="J195" s="3"/>
      <c r="K195" s="5"/>
      <c r="L195" s="3"/>
      <c r="M195" s="5"/>
      <c r="N195" s="5"/>
    </row>
    <row r="196">
      <c r="B196" s="3"/>
      <c r="C196" s="3"/>
      <c r="D196" s="3"/>
      <c r="E196" s="4"/>
      <c r="F196" s="3"/>
      <c r="G196" s="5"/>
      <c r="H196" s="3"/>
      <c r="I196" s="5"/>
      <c r="J196" s="3"/>
      <c r="K196" s="5"/>
      <c r="L196" s="3"/>
      <c r="M196" s="5"/>
      <c r="N196" s="5"/>
    </row>
    <row r="197">
      <c r="B197" s="3"/>
      <c r="C197" s="3"/>
      <c r="D197" s="3"/>
      <c r="E197" s="4"/>
      <c r="F197" s="3"/>
      <c r="G197" s="5"/>
      <c r="H197" s="3"/>
      <c r="I197" s="5"/>
      <c r="J197" s="3"/>
      <c r="K197" s="5"/>
      <c r="L197" s="3"/>
      <c r="M197" s="5"/>
      <c r="N197" s="5"/>
    </row>
    <row r="198">
      <c r="B198" s="3"/>
      <c r="C198" s="3"/>
      <c r="D198" s="3"/>
      <c r="E198" s="4"/>
      <c r="F198" s="3"/>
      <c r="G198" s="5"/>
      <c r="H198" s="3"/>
      <c r="I198" s="5"/>
      <c r="J198" s="3"/>
      <c r="K198" s="5"/>
      <c r="L198" s="3"/>
      <c r="M198" s="5"/>
      <c r="N198" s="5"/>
    </row>
    <row r="199">
      <c r="B199" s="3"/>
      <c r="C199" s="3"/>
      <c r="D199" s="3"/>
      <c r="E199" s="4"/>
      <c r="F199" s="3"/>
      <c r="G199" s="5"/>
      <c r="H199" s="3"/>
      <c r="I199" s="5"/>
      <c r="J199" s="3"/>
      <c r="K199" s="5"/>
      <c r="L199" s="3"/>
      <c r="M199" s="5"/>
      <c r="N199" s="5"/>
    </row>
    <row r="200">
      <c r="B200" s="3"/>
      <c r="C200" s="3"/>
      <c r="D200" s="3"/>
      <c r="E200" s="4"/>
      <c r="F200" s="3"/>
      <c r="G200" s="5"/>
      <c r="H200" s="3"/>
      <c r="I200" s="5"/>
      <c r="J200" s="3"/>
      <c r="K200" s="5"/>
      <c r="L200" s="3"/>
      <c r="M200" s="5"/>
      <c r="N200" s="5"/>
    </row>
    <row r="201">
      <c r="B201" s="3"/>
      <c r="C201" s="3"/>
      <c r="D201" s="3"/>
      <c r="E201" s="4"/>
      <c r="F201" s="3"/>
      <c r="G201" s="5"/>
      <c r="H201" s="3"/>
      <c r="I201" s="5"/>
      <c r="J201" s="3"/>
      <c r="K201" s="5"/>
      <c r="L201" s="3"/>
      <c r="M201" s="5"/>
      <c r="N201" s="5"/>
    </row>
    <row r="202">
      <c r="B202" s="3"/>
      <c r="C202" s="3"/>
      <c r="D202" s="3"/>
      <c r="E202" s="4"/>
      <c r="F202" s="3"/>
      <c r="G202" s="5"/>
      <c r="H202" s="3"/>
      <c r="I202" s="5"/>
      <c r="J202" s="3"/>
      <c r="K202" s="5"/>
      <c r="L202" s="3"/>
      <c r="M202" s="5"/>
      <c r="N202" s="5"/>
    </row>
    <row r="203">
      <c r="B203" s="3"/>
      <c r="C203" s="3"/>
      <c r="D203" s="3"/>
      <c r="E203" s="4"/>
      <c r="F203" s="3"/>
      <c r="G203" s="5"/>
      <c r="H203" s="3"/>
      <c r="I203" s="5"/>
      <c r="J203" s="3"/>
      <c r="K203" s="5"/>
      <c r="L203" s="3"/>
      <c r="M203" s="5"/>
      <c r="N203" s="5"/>
    </row>
    <row r="204">
      <c r="B204" s="3"/>
      <c r="C204" s="3"/>
      <c r="D204" s="3"/>
      <c r="E204" s="4"/>
      <c r="F204" s="3"/>
      <c r="G204" s="5"/>
      <c r="H204" s="3"/>
      <c r="I204" s="5"/>
      <c r="J204" s="3"/>
      <c r="K204" s="5"/>
      <c r="L204" s="3"/>
      <c r="M204" s="5"/>
      <c r="N204" s="5"/>
    </row>
    <row r="205">
      <c r="B205" s="3"/>
      <c r="C205" s="3"/>
      <c r="D205" s="3"/>
      <c r="E205" s="4"/>
      <c r="F205" s="3"/>
      <c r="G205" s="5"/>
      <c r="H205" s="3"/>
      <c r="I205" s="5"/>
      <c r="J205" s="3"/>
      <c r="K205" s="5"/>
      <c r="L205" s="3"/>
      <c r="M205" s="5"/>
      <c r="N205" s="5"/>
    </row>
    <row r="206">
      <c r="B206" s="3"/>
      <c r="C206" s="3"/>
      <c r="D206" s="3"/>
      <c r="E206" s="4"/>
      <c r="F206" s="3"/>
      <c r="G206" s="5"/>
      <c r="H206" s="3"/>
      <c r="I206" s="5"/>
      <c r="J206" s="3"/>
      <c r="K206" s="5"/>
      <c r="L206" s="3"/>
      <c r="M206" s="5"/>
      <c r="N206" s="5"/>
    </row>
    <row r="207">
      <c r="B207" s="3"/>
      <c r="C207" s="3"/>
      <c r="D207" s="3"/>
      <c r="E207" s="4"/>
      <c r="F207" s="3"/>
      <c r="G207" s="5"/>
      <c r="H207" s="3"/>
      <c r="I207" s="5"/>
      <c r="J207" s="3"/>
      <c r="K207" s="5"/>
      <c r="L207" s="3"/>
      <c r="M207" s="5"/>
      <c r="N207" s="5"/>
    </row>
    <row r="208">
      <c r="B208" s="3"/>
      <c r="C208" s="3"/>
      <c r="D208" s="3"/>
      <c r="E208" s="4"/>
      <c r="F208" s="3"/>
      <c r="G208" s="5"/>
      <c r="H208" s="3"/>
      <c r="I208" s="5"/>
      <c r="J208" s="3"/>
      <c r="K208" s="5"/>
      <c r="L208" s="3"/>
      <c r="M208" s="5"/>
      <c r="N208" s="5"/>
    </row>
    <row r="209">
      <c r="B209" s="3"/>
      <c r="C209" s="3"/>
      <c r="D209" s="3"/>
      <c r="E209" s="4"/>
      <c r="F209" s="3"/>
      <c r="G209" s="5"/>
      <c r="H209" s="3"/>
      <c r="I209" s="5"/>
      <c r="J209" s="3"/>
      <c r="K209" s="5"/>
      <c r="L209" s="3"/>
      <c r="M209" s="5"/>
      <c r="N209" s="5"/>
    </row>
    <row r="210">
      <c r="B210" s="3"/>
      <c r="C210" s="3"/>
      <c r="D210" s="3"/>
      <c r="E210" s="4"/>
      <c r="F210" s="3"/>
      <c r="G210" s="5"/>
      <c r="H210" s="3"/>
      <c r="I210" s="5"/>
      <c r="J210" s="3"/>
      <c r="K210" s="5"/>
      <c r="L210" s="3"/>
      <c r="M210" s="5"/>
      <c r="N210" s="5"/>
    </row>
    <row r="211">
      <c r="B211" s="3"/>
      <c r="C211" s="3"/>
      <c r="D211" s="3"/>
      <c r="E211" s="4"/>
      <c r="F211" s="3"/>
      <c r="G211" s="5"/>
      <c r="H211" s="3"/>
      <c r="I211" s="5"/>
      <c r="J211" s="3"/>
      <c r="K211" s="5"/>
      <c r="L211" s="3"/>
      <c r="M211" s="5"/>
      <c r="N211" s="5"/>
    </row>
    <row r="212">
      <c r="B212" s="3"/>
      <c r="C212" s="3"/>
      <c r="D212" s="3"/>
      <c r="E212" s="4"/>
      <c r="F212" s="3"/>
      <c r="G212" s="5"/>
      <c r="H212" s="3"/>
      <c r="I212" s="5"/>
      <c r="J212" s="3"/>
      <c r="K212" s="5"/>
      <c r="L212" s="3"/>
      <c r="M212" s="5"/>
      <c r="N212" s="5"/>
    </row>
    <row r="213">
      <c r="B213" s="3"/>
      <c r="C213" s="3"/>
      <c r="D213" s="3"/>
      <c r="E213" s="4"/>
      <c r="F213" s="3"/>
      <c r="G213" s="5"/>
      <c r="H213" s="3"/>
      <c r="I213" s="5"/>
      <c r="J213" s="3"/>
      <c r="K213" s="5"/>
      <c r="L213" s="3"/>
      <c r="M213" s="5"/>
      <c r="N213" s="5"/>
    </row>
    <row r="214">
      <c r="B214" s="3"/>
      <c r="C214" s="3"/>
      <c r="D214" s="3"/>
      <c r="E214" s="4"/>
      <c r="F214" s="3"/>
      <c r="G214" s="5"/>
      <c r="H214" s="3"/>
      <c r="I214" s="5"/>
      <c r="J214" s="3"/>
      <c r="K214" s="5"/>
      <c r="L214" s="3"/>
      <c r="M214" s="5"/>
      <c r="N214" s="5"/>
    </row>
    <row r="215">
      <c r="B215" s="3"/>
      <c r="C215" s="3"/>
      <c r="D215" s="3"/>
      <c r="E215" s="4"/>
      <c r="F215" s="3"/>
      <c r="G215" s="5"/>
      <c r="H215" s="3"/>
      <c r="I215" s="5"/>
      <c r="J215" s="3"/>
      <c r="K215" s="5"/>
      <c r="L215" s="3"/>
      <c r="M215" s="5"/>
      <c r="N215" s="5"/>
    </row>
    <row r="216">
      <c r="B216" s="3"/>
      <c r="C216" s="3"/>
      <c r="D216" s="3"/>
      <c r="E216" s="4"/>
      <c r="F216" s="3"/>
      <c r="G216" s="5"/>
      <c r="H216" s="3"/>
      <c r="I216" s="5"/>
      <c r="J216" s="3"/>
      <c r="K216" s="5"/>
      <c r="L216" s="3"/>
      <c r="M216" s="5"/>
      <c r="N216" s="5"/>
    </row>
    <row r="217">
      <c r="B217" s="3"/>
      <c r="C217" s="3"/>
      <c r="D217" s="3"/>
      <c r="E217" s="4"/>
      <c r="F217" s="3"/>
      <c r="G217" s="5"/>
      <c r="H217" s="3"/>
      <c r="I217" s="5"/>
      <c r="J217" s="3"/>
      <c r="K217" s="5"/>
      <c r="L217" s="3"/>
      <c r="M217" s="5"/>
      <c r="N217" s="5"/>
    </row>
    <row r="218">
      <c r="B218" s="3"/>
      <c r="C218" s="3"/>
      <c r="D218" s="3"/>
      <c r="E218" s="4"/>
      <c r="F218" s="3"/>
      <c r="G218" s="5"/>
      <c r="H218" s="3"/>
      <c r="I218" s="5"/>
      <c r="J218" s="3"/>
      <c r="K218" s="5"/>
      <c r="L218" s="3"/>
      <c r="M218" s="5"/>
      <c r="N218" s="5"/>
    </row>
    <row r="219">
      <c r="B219" s="3"/>
      <c r="C219" s="3"/>
      <c r="D219" s="3"/>
      <c r="E219" s="4"/>
      <c r="F219" s="3"/>
      <c r="G219" s="5"/>
      <c r="H219" s="3"/>
      <c r="I219" s="5"/>
      <c r="J219" s="3"/>
      <c r="K219" s="5"/>
      <c r="L219" s="3"/>
      <c r="M219" s="5"/>
      <c r="N219" s="5"/>
    </row>
    <row r="220">
      <c r="B220" s="3"/>
      <c r="C220" s="3"/>
      <c r="D220" s="3"/>
      <c r="E220" s="4"/>
      <c r="F220" s="3"/>
      <c r="G220" s="5"/>
      <c r="H220" s="3"/>
      <c r="I220" s="5"/>
      <c r="J220" s="3"/>
      <c r="K220" s="5"/>
      <c r="L220" s="3"/>
      <c r="M220" s="5"/>
      <c r="N220" s="5"/>
    </row>
    <row r="221">
      <c r="B221" s="3"/>
      <c r="C221" s="3"/>
      <c r="D221" s="3"/>
      <c r="E221" s="4"/>
      <c r="F221" s="3"/>
      <c r="G221" s="5"/>
      <c r="H221" s="3"/>
      <c r="I221" s="5"/>
      <c r="J221" s="3"/>
      <c r="K221" s="5"/>
      <c r="L221" s="3"/>
      <c r="M221" s="5"/>
      <c r="N221" s="5"/>
    </row>
    <row r="222">
      <c r="B222" s="3"/>
      <c r="C222" s="3"/>
      <c r="D222" s="3"/>
      <c r="E222" s="4"/>
      <c r="F222" s="3"/>
      <c r="G222" s="5"/>
      <c r="H222" s="3"/>
      <c r="I222" s="5"/>
      <c r="J222" s="3"/>
      <c r="K222" s="5"/>
      <c r="L222" s="3"/>
      <c r="M222" s="5"/>
      <c r="N222" s="5"/>
    </row>
    <row r="223">
      <c r="B223" s="3"/>
      <c r="C223" s="3"/>
      <c r="D223" s="3"/>
      <c r="E223" s="4"/>
      <c r="F223" s="3"/>
      <c r="G223" s="5"/>
      <c r="H223" s="3"/>
      <c r="I223" s="5"/>
      <c r="J223" s="3"/>
      <c r="K223" s="5"/>
      <c r="L223" s="3"/>
      <c r="M223" s="5"/>
      <c r="N223" s="5"/>
    </row>
    <row r="224">
      <c r="B224" s="3"/>
      <c r="C224" s="3"/>
      <c r="D224" s="3"/>
      <c r="E224" s="4"/>
      <c r="F224" s="3"/>
      <c r="G224" s="5"/>
      <c r="H224" s="3"/>
      <c r="I224" s="5"/>
      <c r="J224" s="3"/>
      <c r="K224" s="5"/>
      <c r="L224" s="3"/>
      <c r="M224" s="5"/>
      <c r="N224" s="5"/>
    </row>
    <row r="225">
      <c r="B225" s="3"/>
      <c r="C225" s="3"/>
      <c r="D225" s="3"/>
      <c r="E225" s="4"/>
      <c r="F225" s="3"/>
      <c r="G225" s="5"/>
      <c r="H225" s="3"/>
      <c r="I225" s="5"/>
      <c r="J225" s="3"/>
      <c r="K225" s="5"/>
      <c r="L225" s="3"/>
      <c r="M225" s="5"/>
      <c r="N225" s="5"/>
    </row>
    <row r="226">
      <c r="B226" s="3"/>
      <c r="C226" s="3"/>
      <c r="D226" s="3"/>
      <c r="E226" s="4"/>
      <c r="F226" s="3"/>
      <c r="G226" s="5"/>
      <c r="H226" s="3"/>
      <c r="I226" s="5"/>
      <c r="J226" s="3"/>
      <c r="K226" s="5"/>
      <c r="L226" s="3"/>
      <c r="M226" s="5"/>
      <c r="N226" s="5"/>
    </row>
    <row r="227">
      <c r="B227" s="3"/>
      <c r="C227" s="3"/>
      <c r="D227" s="3"/>
      <c r="E227" s="4"/>
      <c r="F227" s="3"/>
      <c r="G227" s="5"/>
      <c r="H227" s="3"/>
      <c r="I227" s="5"/>
      <c r="J227" s="3"/>
      <c r="K227" s="5"/>
      <c r="L227" s="3"/>
      <c r="M227" s="5"/>
      <c r="N227" s="5"/>
    </row>
    <row r="228">
      <c r="B228" s="3"/>
      <c r="C228" s="3"/>
      <c r="D228" s="3"/>
      <c r="E228" s="4"/>
      <c r="F228" s="3"/>
      <c r="G228" s="5"/>
      <c r="H228" s="3"/>
      <c r="I228" s="5"/>
      <c r="J228" s="3"/>
      <c r="K228" s="5"/>
      <c r="L228" s="3"/>
      <c r="M228" s="5"/>
      <c r="N228" s="5"/>
    </row>
    <row r="229">
      <c r="B229" s="3"/>
      <c r="C229" s="3"/>
      <c r="D229" s="3"/>
      <c r="E229" s="4"/>
      <c r="F229" s="3"/>
      <c r="G229" s="5"/>
      <c r="H229" s="3"/>
      <c r="I229" s="5"/>
      <c r="J229" s="3"/>
      <c r="K229" s="5"/>
      <c r="L229" s="3"/>
      <c r="M229" s="5"/>
      <c r="N229" s="5"/>
    </row>
    <row r="230">
      <c r="B230" s="3"/>
      <c r="C230" s="3"/>
      <c r="D230" s="3"/>
      <c r="E230" s="4"/>
      <c r="F230" s="3"/>
      <c r="G230" s="5"/>
      <c r="H230" s="3"/>
      <c r="I230" s="5"/>
      <c r="J230" s="3"/>
      <c r="K230" s="5"/>
      <c r="L230" s="3"/>
      <c r="M230" s="5"/>
      <c r="N230" s="5"/>
    </row>
    <row r="231">
      <c r="B231" s="3"/>
      <c r="C231" s="3"/>
      <c r="D231" s="3"/>
      <c r="E231" s="4"/>
      <c r="F231" s="3"/>
      <c r="G231" s="5"/>
      <c r="H231" s="3"/>
      <c r="I231" s="5"/>
      <c r="J231" s="3"/>
      <c r="K231" s="5"/>
      <c r="L231" s="3"/>
      <c r="M231" s="5"/>
      <c r="N231" s="5"/>
    </row>
    <row r="232">
      <c r="B232" s="3"/>
      <c r="C232" s="3"/>
      <c r="D232" s="3"/>
      <c r="E232" s="4"/>
      <c r="F232" s="3"/>
      <c r="G232" s="5"/>
      <c r="H232" s="3"/>
      <c r="I232" s="5"/>
      <c r="J232" s="3"/>
      <c r="K232" s="5"/>
      <c r="L232" s="3"/>
      <c r="M232" s="5"/>
      <c r="N232" s="5"/>
    </row>
    <row r="233">
      <c r="B233" s="3"/>
      <c r="C233" s="3"/>
      <c r="D233" s="3"/>
      <c r="E233" s="4"/>
      <c r="F233" s="3"/>
      <c r="G233" s="5"/>
      <c r="H233" s="3"/>
      <c r="I233" s="5"/>
      <c r="J233" s="3"/>
      <c r="K233" s="5"/>
      <c r="L233" s="3"/>
      <c r="M233" s="5"/>
      <c r="N233" s="5"/>
    </row>
    <row r="234">
      <c r="B234" s="3"/>
      <c r="C234" s="3"/>
      <c r="D234" s="3"/>
      <c r="E234" s="4"/>
      <c r="F234" s="3"/>
      <c r="G234" s="5"/>
      <c r="H234" s="3"/>
      <c r="I234" s="5"/>
      <c r="J234" s="3"/>
      <c r="K234" s="5"/>
      <c r="L234" s="3"/>
      <c r="M234" s="5"/>
      <c r="N234" s="5"/>
    </row>
    <row r="235">
      <c r="B235" s="3"/>
      <c r="C235" s="3"/>
      <c r="D235" s="3"/>
      <c r="E235" s="4"/>
      <c r="F235" s="3"/>
      <c r="G235" s="5"/>
      <c r="H235" s="3"/>
      <c r="I235" s="5"/>
      <c r="J235" s="3"/>
      <c r="K235" s="5"/>
      <c r="L235" s="3"/>
      <c r="M235" s="5"/>
      <c r="N235" s="5"/>
    </row>
    <row r="236">
      <c r="B236" s="3"/>
      <c r="C236" s="3"/>
      <c r="D236" s="3"/>
      <c r="E236" s="4"/>
      <c r="F236" s="3"/>
      <c r="G236" s="5"/>
      <c r="H236" s="3"/>
      <c r="I236" s="5"/>
      <c r="J236" s="3"/>
      <c r="K236" s="5"/>
      <c r="L236" s="3"/>
      <c r="M236" s="5"/>
      <c r="N236" s="5"/>
    </row>
    <row r="237">
      <c r="B237" s="3"/>
      <c r="C237" s="3"/>
      <c r="D237" s="3"/>
      <c r="E237" s="4"/>
      <c r="F237" s="3"/>
      <c r="G237" s="5"/>
      <c r="H237" s="3"/>
      <c r="I237" s="5"/>
      <c r="J237" s="3"/>
      <c r="K237" s="5"/>
      <c r="L237" s="3"/>
      <c r="M237" s="5"/>
      <c r="N237" s="5"/>
    </row>
    <row r="238">
      <c r="B238" s="3"/>
      <c r="C238" s="3"/>
      <c r="D238" s="3"/>
      <c r="E238" s="4"/>
      <c r="F238" s="3"/>
      <c r="G238" s="5"/>
      <c r="H238" s="3"/>
      <c r="I238" s="5"/>
      <c r="J238" s="3"/>
      <c r="K238" s="5"/>
      <c r="L238" s="3"/>
      <c r="M238" s="5"/>
      <c r="N238" s="5"/>
    </row>
    <row r="239">
      <c r="B239" s="3"/>
      <c r="C239" s="3"/>
      <c r="D239" s="3"/>
      <c r="E239" s="4"/>
      <c r="F239" s="3"/>
      <c r="G239" s="5"/>
      <c r="H239" s="3"/>
      <c r="I239" s="5"/>
      <c r="J239" s="3"/>
      <c r="K239" s="5"/>
      <c r="L239" s="3"/>
      <c r="M239" s="5"/>
      <c r="N239" s="5"/>
    </row>
    <row r="240">
      <c r="B240" s="3"/>
      <c r="C240" s="3"/>
      <c r="D240" s="3"/>
      <c r="E240" s="4"/>
      <c r="F240" s="3"/>
      <c r="G240" s="5"/>
      <c r="H240" s="3"/>
      <c r="I240" s="5"/>
      <c r="J240" s="3"/>
      <c r="K240" s="5"/>
      <c r="L240" s="3"/>
      <c r="M240" s="5"/>
      <c r="N240" s="5"/>
    </row>
    <row r="241">
      <c r="B241" s="3"/>
      <c r="C241" s="3"/>
      <c r="D241" s="3"/>
      <c r="E241" s="4"/>
      <c r="F241" s="3"/>
      <c r="G241" s="5"/>
      <c r="H241" s="3"/>
      <c r="I241" s="5"/>
      <c r="J241" s="3"/>
      <c r="K241" s="5"/>
      <c r="L241" s="3"/>
      <c r="M241" s="5"/>
      <c r="N241" s="5"/>
    </row>
    <row r="242">
      <c r="B242" s="3"/>
      <c r="C242" s="3"/>
      <c r="D242" s="3"/>
      <c r="E242" s="4"/>
      <c r="F242" s="3"/>
      <c r="G242" s="5"/>
      <c r="H242" s="3"/>
      <c r="I242" s="5"/>
      <c r="J242" s="3"/>
      <c r="K242" s="5"/>
      <c r="L242" s="3"/>
      <c r="M242" s="5"/>
      <c r="N242" s="5"/>
    </row>
    <row r="243">
      <c r="B243" s="3"/>
      <c r="C243" s="3"/>
      <c r="D243" s="3"/>
      <c r="E243" s="4"/>
      <c r="F243" s="3"/>
      <c r="G243" s="5"/>
      <c r="H243" s="3"/>
      <c r="I243" s="5"/>
      <c r="J243" s="3"/>
      <c r="K243" s="5"/>
      <c r="L243" s="3"/>
      <c r="M243" s="5"/>
      <c r="N243" s="5"/>
    </row>
    <row r="244">
      <c r="B244" s="3"/>
      <c r="C244" s="3"/>
      <c r="D244" s="3"/>
      <c r="E244" s="4"/>
      <c r="F244" s="3"/>
      <c r="G244" s="5"/>
      <c r="H244" s="3"/>
      <c r="I244" s="5"/>
      <c r="J244" s="3"/>
      <c r="K244" s="5"/>
      <c r="L244" s="3"/>
      <c r="M244" s="5"/>
      <c r="N244" s="5"/>
    </row>
    <row r="245">
      <c r="B245" s="3"/>
      <c r="C245" s="3"/>
      <c r="D245" s="3"/>
      <c r="E245" s="4"/>
      <c r="F245" s="3"/>
      <c r="G245" s="5"/>
      <c r="H245" s="3"/>
      <c r="I245" s="5"/>
      <c r="J245" s="3"/>
      <c r="K245" s="5"/>
      <c r="L245" s="3"/>
      <c r="M245" s="5"/>
      <c r="N245" s="5"/>
    </row>
    <row r="246">
      <c r="B246" s="3"/>
      <c r="C246" s="3"/>
      <c r="D246" s="3"/>
      <c r="E246" s="4"/>
      <c r="F246" s="3"/>
      <c r="G246" s="5"/>
      <c r="H246" s="3"/>
      <c r="I246" s="5"/>
      <c r="J246" s="3"/>
      <c r="K246" s="5"/>
      <c r="L246" s="3"/>
      <c r="M246" s="5"/>
      <c r="N246" s="5"/>
    </row>
    <row r="247">
      <c r="B247" s="3"/>
      <c r="C247" s="3"/>
      <c r="D247" s="3"/>
      <c r="E247" s="4"/>
      <c r="F247" s="3"/>
      <c r="G247" s="5"/>
      <c r="H247" s="3"/>
      <c r="I247" s="5"/>
      <c r="J247" s="3"/>
      <c r="K247" s="5"/>
      <c r="L247" s="3"/>
      <c r="M247" s="5"/>
      <c r="N247" s="5"/>
    </row>
    <row r="248">
      <c r="B248" s="3"/>
      <c r="C248" s="3"/>
      <c r="D248" s="3"/>
      <c r="E248" s="4"/>
      <c r="F248" s="3"/>
      <c r="G248" s="5"/>
      <c r="H248" s="3"/>
      <c r="I248" s="5"/>
      <c r="J248" s="3"/>
      <c r="K248" s="5"/>
      <c r="L248" s="3"/>
      <c r="M248" s="5"/>
      <c r="N248" s="5"/>
    </row>
    <row r="249">
      <c r="B249" s="3"/>
      <c r="C249" s="3"/>
      <c r="D249" s="3"/>
      <c r="E249" s="4"/>
      <c r="F249" s="3"/>
      <c r="G249" s="5"/>
      <c r="H249" s="3"/>
      <c r="I249" s="5"/>
      <c r="J249" s="3"/>
      <c r="K249" s="5"/>
      <c r="L249" s="3"/>
      <c r="M249" s="5"/>
      <c r="N249" s="5"/>
    </row>
    <row r="250">
      <c r="B250" s="3"/>
      <c r="C250" s="3"/>
      <c r="D250" s="3"/>
      <c r="E250" s="4"/>
      <c r="F250" s="3"/>
      <c r="G250" s="5"/>
      <c r="H250" s="3"/>
      <c r="I250" s="5"/>
      <c r="J250" s="3"/>
      <c r="K250" s="5"/>
      <c r="L250" s="3"/>
      <c r="M250" s="5"/>
      <c r="N250" s="5"/>
    </row>
    <row r="251">
      <c r="B251" s="3"/>
      <c r="C251" s="3"/>
      <c r="D251" s="3"/>
      <c r="E251" s="4"/>
      <c r="F251" s="3"/>
      <c r="G251" s="5"/>
      <c r="H251" s="3"/>
      <c r="I251" s="5"/>
      <c r="J251" s="3"/>
      <c r="K251" s="5"/>
      <c r="L251" s="3"/>
      <c r="M251" s="5"/>
      <c r="N251" s="5"/>
    </row>
    <row r="252">
      <c r="B252" s="3"/>
      <c r="C252" s="3"/>
      <c r="D252" s="3"/>
      <c r="E252" s="4"/>
      <c r="F252" s="3"/>
      <c r="G252" s="5"/>
      <c r="H252" s="3"/>
      <c r="I252" s="5"/>
      <c r="J252" s="3"/>
      <c r="K252" s="5"/>
      <c r="L252" s="3"/>
      <c r="M252" s="5"/>
      <c r="N252" s="5"/>
    </row>
    <row r="253">
      <c r="B253" s="3"/>
      <c r="C253" s="3"/>
      <c r="D253" s="3"/>
      <c r="E253" s="4"/>
      <c r="F253" s="3"/>
      <c r="G253" s="5"/>
      <c r="H253" s="3"/>
      <c r="I253" s="5"/>
      <c r="J253" s="3"/>
      <c r="K253" s="5"/>
      <c r="L253" s="3"/>
      <c r="M253" s="5"/>
      <c r="N253" s="5"/>
    </row>
    <row r="254">
      <c r="B254" s="3"/>
      <c r="C254" s="3"/>
      <c r="D254" s="3"/>
      <c r="E254" s="4"/>
      <c r="F254" s="3"/>
      <c r="G254" s="5"/>
      <c r="H254" s="3"/>
      <c r="I254" s="5"/>
      <c r="J254" s="3"/>
      <c r="K254" s="5"/>
      <c r="L254" s="3"/>
      <c r="M254" s="5"/>
      <c r="N254" s="5"/>
    </row>
    <row r="255">
      <c r="B255" s="3"/>
      <c r="C255" s="3"/>
      <c r="D255" s="3"/>
      <c r="E255" s="4"/>
      <c r="F255" s="3"/>
      <c r="G255" s="5"/>
      <c r="H255" s="3"/>
      <c r="I255" s="5"/>
      <c r="J255" s="3"/>
      <c r="K255" s="5"/>
      <c r="L255" s="3"/>
      <c r="M255" s="5"/>
      <c r="N255" s="5"/>
    </row>
    <row r="256">
      <c r="B256" s="3"/>
      <c r="C256" s="3"/>
      <c r="D256" s="3"/>
      <c r="E256" s="4"/>
      <c r="F256" s="3"/>
      <c r="G256" s="5"/>
      <c r="H256" s="3"/>
      <c r="I256" s="5"/>
      <c r="J256" s="3"/>
      <c r="K256" s="5"/>
      <c r="L256" s="3"/>
      <c r="M256" s="5"/>
      <c r="N256" s="5"/>
    </row>
    <row r="257">
      <c r="B257" s="3"/>
      <c r="C257" s="3"/>
      <c r="D257" s="3"/>
      <c r="E257" s="4"/>
      <c r="F257" s="3"/>
      <c r="G257" s="5"/>
      <c r="H257" s="3"/>
      <c r="I257" s="5"/>
      <c r="J257" s="3"/>
      <c r="K257" s="5"/>
      <c r="L257" s="3"/>
      <c r="M257" s="5"/>
      <c r="N257" s="5"/>
    </row>
    <row r="258">
      <c r="B258" s="3"/>
      <c r="C258" s="3"/>
      <c r="D258" s="3"/>
      <c r="E258" s="4"/>
      <c r="F258" s="3"/>
      <c r="G258" s="5"/>
      <c r="H258" s="3"/>
      <c r="I258" s="5"/>
      <c r="J258" s="3"/>
      <c r="K258" s="5"/>
      <c r="L258" s="3"/>
      <c r="M258" s="5"/>
      <c r="N258" s="5"/>
    </row>
    <row r="259">
      <c r="B259" s="3"/>
      <c r="C259" s="3"/>
      <c r="D259" s="3"/>
      <c r="E259" s="4"/>
      <c r="F259" s="3"/>
      <c r="G259" s="5"/>
      <c r="H259" s="3"/>
      <c r="I259" s="5"/>
      <c r="J259" s="3"/>
      <c r="K259" s="5"/>
      <c r="L259" s="3"/>
      <c r="M259" s="5"/>
      <c r="N259" s="5"/>
    </row>
    <row r="260">
      <c r="B260" s="3"/>
      <c r="C260" s="3"/>
      <c r="D260" s="3"/>
      <c r="E260" s="4"/>
      <c r="F260" s="3"/>
      <c r="G260" s="5"/>
      <c r="H260" s="3"/>
      <c r="I260" s="5"/>
      <c r="J260" s="3"/>
      <c r="K260" s="5"/>
      <c r="L260" s="3"/>
      <c r="M260" s="5"/>
      <c r="N260" s="5"/>
    </row>
    <row r="261">
      <c r="B261" s="3"/>
      <c r="C261" s="3"/>
      <c r="D261" s="3"/>
      <c r="E261" s="4"/>
      <c r="F261" s="3"/>
      <c r="G261" s="5"/>
      <c r="H261" s="3"/>
      <c r="I261" s="5"/>
      <c r="J261" s="3"/>
      <c r="K261" s="5"/>
      <c r="L261" s="3"/>
      <c r="M261" s="5"/>
      <c r="N261" s="5"/>
    </row>
    <row r="262">
      <c r="B262" s="3"/>
      <c r="C262" s="3"/>
      <c r="D262" s="3"/>
      <c r="E262" s="4"/>
      <c r="F262" s="3"/>
      <c r="G262" s="5"/>
      <c r="H262" s="3"/>
      <c r="I262" s="5"/>
      <c r="J262" s="3"/>
      <c r="K262" s="5"/>
      <c r="L262" s="3"/>
      <c r="M262" s="5"/>
      <c r="N262" s="5"/>
    </row>
    <row r="263">
      <c r="B263" s="3"/>
      <c r="C263" s="3"/>
      <c r="D263" s="3"/>
      <c r="E263" s="4"/>
      <c r="F263" s="3"/>
      <c r="G263" s="5"/>
      <c r="H263" s="3"/>
      <c r="I263" s="5"/>
      <c r="J263" s="3"/>
      <c r="K263" s="5"/>
      <c r="L263" s="3"/>
      <c r="M263" s="5"/>
      <c r="N263" s="5"/>
    </row>
    <row r="264">
      <c r="B264" s="3"/>
      <c r="C264" s="3"/>
      <c r="D264" s="3"/>
      <c r="E264" s="4"/>
      <c r="F264" s="3"/>
      <c r="G264" s="5"/>
      <c r="H264" s="3"/>
      <c r="I264" s="5"/>
      <c r="J264" s="3"/>
      <c r="K264" s="5"/>
      <c r="L264" s="3"/>
      <c r="M264" s="5"/>
      <c r="N264" s="5"/>
    </row>
    <row r="265">
      <c r="B265" s="3"/>
      <c r="C265" s="3"/>
      <c r="D265" s="3"/>
      <c r="E265" s="4"/>
      <c r="F265" s="3"/>
      <c r="G265" s="5"/>
      <c r="H265" s="3"/>
      <c r="I265" s="5"/>
      <c r="J265" s="3"/>
      <c r="K265" s="5"/>
      <c r="L265" s="3"/>
      <c r="M265" s="5"/>
      <c r="N265" s="5"/>
    </row>
    <row r="266">
      <c r="B266" s="3"/>
      <c r="C266" s="3"/>
      <c r="D266" s="3"/>
      <c r="E266" s="4"/>
      <c r="F266" s="3"/>
      <c r="G266" s="5"/>
      <c r="H266" s="3"/>
      <c r="I266" s="5"/>
      <c r="J266" s="3"/>
      <c r="K266" s="5"/>
      <c r="L266" s="3"/>
      <c r="M266" s="5"/>
      <c r="N266" s="5"/>
    </row>
    <row r="267">
      <c r="B267" s="3"/>
      <c r="C267" s="3"/>
      <c r="D267" s="3"/>
      <c r="E267" s="4"/>
      <c r="F267" s="3"/>
      <c r="G267" s="5"/>
      <c r="H267" s="3"/>
      <c r="I267" s="5"/>
      <c r="J267" s="3"/>
      <c r="K267" s="5"/>
      <c r="L267" s="3"/>
      <c r="M267" s="5"/>
      <c r="N267" s="5"/>
    </row>
    <row r="268">
      <c r="B268" s="3"/>
      <c r="C268" s="3"/>
      <c r="D268" s="3"/>
      <c r="E268" s="4"/>
      <c r="F268" s="3"/>
      <c r="G268" s="5"/>
      <c r="H268" s="3"/>
      <c r="I268" s="5"/>
      <c r="J268" s="3"/>
      <c r="K268" s="5"/>
      <c r="L268" s="3"/>
      <c r="M268" s="5"/>
      <c r="N268" s="5"/>
    </row>
    <row r="269">
      <c r="B269" s="3"/>
      <c r="C269" s="3"/>
      <c r="D269" s="3"/>
      <c r="E269" s="4"/>
      <c r="F269" s="3"/>
      <c r="G269" s="5"/>
      <c r="H269" s="3"/>
      <c r="I269" s="5"/>
      <c r="J269" s="3"/>
      <c r="K269" s="5"/>
      <c r="L269" s="3"/>
      <c r="M269" s="5"/>
      <c r="N269" s="5"/>
    </row>
    <row r="270">
      <c r="B270" s="3"/>
      <c r="C270" s="3"/>
      <c r="D270" s="3"/>
      <c r="E270" s="4"/>
      <c r="F270" s="3"/>
      <c r="G270" s="5"/>
      <c r="H270" s="3"/>
      <c r="I270" s="5"/>
      <c r="J270" s="3"/>
      <c r="K270" s="5"/>
      <c r="L270" s="3"/>
      <c r="M270" s="5"/>
      <c r="N270" s="5"/>
    </row>
    <row r="271">
      <c r="B271" s="3"/>
      <c r="C271" s="3"/>
      <c r="D271" s="3"/>
      <c r="E271" s="4"/>
      <c r="F271" s="3"/>
      <c r="G271" s="5"/>
      <c r="H271" s="3"/>
      <c r="I271" s="5"/>
      <c r="J271" s="3"/>
      <c r="K271" s="5"/>
      <c r="L271" s="3"/>
      <c r="M271" s="5"/>
      <c r="N271" s="5"/>
    </row>
    <row r="272">
      <c r="B272" s="3"/>
      <c r="C272" s="3"/>
      <c r="D272" s="3"/>
      <c r="E272" s="4"/>
      <c r="F272" s="3"/>
      <c r="G272" s="5"/>
      <c r="H272" s="3"/>
      <c r="I272" s="5"/>
      <c r="J272" s="3"/>
      <c r="K272" s="5"/>
      <c r="L272" s="3"/>
      <c r="M272" s="5"/>
      <c r="N272" s="5"/>
    </row>
    <row r="273">
      <c r="B273" s="3"/>
      <c r="C273" s="3"/>
      <c r="D273" s="3"/>
      <c r="E273" s="4"/>
      <c r="F273" s="3"/>
      <c r="G273" s="5"/>
      <c r="H273" s="3"/>
      <c r="I273" s="5"/>
      <c r="J273" s="3"/>
      <c r="K273" s="5"/>
      <c r="L273" s="3"/>
      <c r="M273" s="5"/>
      <c r="N273" s="5"/>
    </row>
    <row r="274">
      <c r="B274" s="3"/>
      <c r="C274" s="3"/>
      <c r="D274" s="3"/>
      <c r="E274" s="4"/>
      <c r="F274" s="3"/>
      <c r="G274" s="5"/>
      <c r="H274" s="3"/>
      <c r="I274" s="5"/>
      <c r="J274" s="3"/>
      <c r="K274" s="5"/>
      <c r="L274" s="3"/>
      <c r="M274" s="5"/>
      <c r="N274" s="5"/>
    </row>
    <row r="275">
      <c r="B275" s="3"/>
      <c r="C275" s="3"/>
      <c r="D275" s="3"/>
      <c r="E275" s="4"/>
      <c r="F275" s="3"/>
      <c r="G275" s="5"/>
      <c r="H275" s="3"/>
      <c r="I275" s="5"/>
      <c r="J275" s="3"/>
      <c r="K275" s="5"/>
      <c r="L275" s="3"/>
      <c r="M275" s="5"/>
      <c r="N275" s="5"/>
    </row>
    <row r="276">
      <c r="B276" s="3"/>
      <c r="C276" s="3"/>
      <c r="D276" s="3"/>
      <c r="E276" s="4"/>
      <c r="F276" s="3"/>
      <c r="G276" s="5"/>
      <c r="H276" s="3"/>
      <c r="I276" s="5"/>
      <c r="J276" s="3"/>
      <c r="K276" s="5"/>
      <c r="L276" s="3"/>
      <c r="M276" s="5"/>
      <c r="N276" s="5"/>
    </row>
    <row r="277">
      <c r="B277" s="3"/>
      <c r="C277" s="3"/>
      <c r="D277" s="3"/>
      <c r="E277" s="4"/>
      <c r="F277" s="3"/>
      <c r="G277" s="5"/>
      <c r="H277" s="3"/>
      <c r="I277" s="5"/>
      <c r="J277" s="3"/>
      <c r="K277" s="5"/>
      <c r="L277" s="3"/>
      <c r="M277" s="5"/>
      <c r="N277" s="5"/>
    </row>
    <row r="278">
      <c r="B278" s="3"/>
      <c r="C278" s="3"/>
      <c r="D278" s="3"/>
      <c r="E278" s="4"/>
      <c r="F278" s="3"/>
      <c r="G278" s="5"/>
      <c r="H278" s="3"/>
      <c r="I278" s="5"/>
      <c r="J278" s="3"/>
      <c r="K278" s="5"/>
      <c r="L278" s="3"/>
      <c r="M278" s="5"/>
      <c r="N278" s="5"/>
    </row>
    <row r="279">
      <c r="B279" s="3"/>
      <c r="C279" s="3"/>
      <c r="D279" s="3"/>
      <c r="E279" s="4"/>
      <c r="F279" s="3"/>
      <c r="G279" s="5"/>
      <c r="H279" s="3"/>
      <c r="I279" s="5"/>
      <c r="J279" s="3"/>
      <c r="K279" s="5"/>
      <c r="L279" s="3"/>
      <c r="M279" s="5"/>
      <c r="N279" s="5"/>
    </row>
    <row r="280">
      <c r="B280" s="3"/>
      <c r="C280" s="3"/>
      <c r="D280" s="3"/>
      <c r="E280" s="4"/>
      <c r="F280" s="3"/>
      <c r="G280" s="5"/>
      <c r="H280" s="3"/>
      <c r="I280" s="5"/>
      <c r="J280" s="3"/>
      <c r="K280" s="5"/>
      <c r="L280" s="3"/>
      <c r="M280" s="5"/>
      <c r="N280" s="5"/>
    </row>
    <row r="281">
      <c r="B281" s="3"/>
      <c r="C281" s="3"/>
      <c r="D281" s="3"/>
      <c r="E281" s="4"/>
      <c r="F281" s="3"/>
      <c r="G281" s="5"/>
      <c r="H281" s="3"/>
      <c r="I281" s="5"/>
      <c r="J281" s="3"/>
      <c r="K281" s="5"/>
      <c r="L281" s="3"/>
      <c r="M281" s="5"/>
      <c r="N281" s="5"/>
    </row>
    <row r="282">
      <c r="B282" s="3"/>
      <c r="C282" s="3"/>
      <c r="D282" s="3"/>
      <c r="E282" s="4"/>
      <c r="F282" s="3"/>
      <c r="G282" s="5"/>
      <c r="H282" s="3"/>
      <c r="I282" s="5"/>
      <c r="J282" s="3"/>
      <c r="K282" s="5"/>
      <c r="L282" s="3"/>
      <c r="M282" s="5"/>
      <c r="N282" s="5"/>
    </row>
    <row r="283">
      <c r="B283" s="3"/>
      <c r="C283" s="3"/>
      <c r="D283" s="3"/>
      <c r="E283" s="4"/>
      <c r="F283" s="3"/>
      <c r="G283" s="5"/>
      <c r="H283" s="3"/>
      <c r="I283" s="5"/>
      <c r="J283" s="3"/>
      <c r="K283" s="5"/>
      <c r="L283" s="3"/>
      <c r="M283" s="5"/>
      <c r="N283" s="5"/>
    </row>
    <row r="284">
      <c r="B284" s="3"/>
      <c r="C284" s="3"/>
      <c r="D284" s="3"/>
      <c r="E284" s="4"/>
      <c r="F284" s="3"/>
      <c r="G284" s="5"/>
      <c r="H284" s="3"/>
      <c r="I284" s="5"/>
      <c r="J284" s="3"/>
      <c r="K284" s="5"/>
      <c r="L284" s="3"/>
      <c r="M284" s="5"/>
      <c r="N284" s="5"/>
    </row>
    <row r="285">
      <c r="B285" s="3"/>
      <c r="C285" s="3"/>
      <c r="D285" s="3"/>
      <c r="E285" s="4"/>
      <c r="F285" s="3"/>
      <c r="G285" s="5"/>
      <c r="H285" s="3"/>
      <c r="I285" s="5"/>
      <c r="J285" s="3"/>
      <c r="K285" s="5"/>
      <c r="L285" s="3"/>
      <c r="M285" s="5"/>
      <c r="N285" s="5"/>
    </row>
    <row r="286">
      <c r="B286" s="3"/>
      <c r="C286" s="3"/>
      <c r="D286" s="3"/>
      <c r="E286" s="4"/>
      <c r="F286" s="3"/>
      <c r="G286" s="5"/>
      <c r="H286" s="3"/>
      <c r="I286" s="5"/>
      <c r="J286" s="3"/>
      <c r="K286" s="5"/>
      <c r="L286" s="3"/>
      <c r="M286" s="5"/>
      <c r="N286" s="5"/>
    </row>
    <row r="287">
      <c r="B287" s="3"/>
      <c r="C287" s="3"/>
      <c r="D287" s="3"/>
      <c r="E287" s="4"/>
      <c r="F287" s="3"/>
      <c r="G287" s="5"/>
      <c r="H287" s="3"/>
      <c r="I287" s="5"/>
      <c r="J287" s="3"/>
      <c r="K287" s="5"/>
      <c r="L287" s="3"/>
      <c r="M287" s="5"/>
      <c r="N287" s="5"/>
    </row>
    <row r="288">
      <c r="B288" s="3"/>
      <c r="C288" s="3"/>
      <c r="D288" s="3"/>
      <c r="E288" s="4"/>
      <c r="F288" s="3"/>
      <c r="G288" s="5"/>
      <c r="H288" s="3"/>
      <c r="I288" s="5"/>
      <c r="J288" s="3"/>
      <c r="K288" s="5"/>
      <c r="L288" s="3"/>
      <c r="M288" s="5"/>
      <c r="N288" s="5"/>
    </row>
    <row r="289">
      <c r="B289" s="3"/>
      <c r="C289" s="3"/>
      <c r="D289" s="3"/>
      <c r="E289" s="4"/>
      <c r="F289" s="3"/>
      <c r="G289" s="5"/>
      <c r="H289" s="3"/>
      <c r="I289" s="5"/>
      <c r="J289" s="3"/>
      <c r="K289" s="5"/>
      <c r="L289" s="3"/>
      <c r="M289" s="5"/>
      <c r="N289" s="5"/>
    </row>
    <row r="290">
      <c r="B290" s="3"/>
      <c r="C290" s="3"/>
      <c r="D290" s="3"/>
      <c r="E290" s="4"/>
      <c r="F290" s="3"/>
      <c r="G290" s="5"/>
      <c r="H290" s="3"/>
      <c r="I290" s="5"/>
      <c r="J290" s="3"/>
      <c r="K290" s="5"/>
      <c r="L290" s="3"/>
      <c r="M290" s="5"/>
      <c r="N290" s="5"/>
    </row>
    <row r="291">
      <c r="B291" s="3"/>
      <c r="C291" s="3"/>
      <c r="D291" s="3"/>
      <c r="E291" s="4"/>
      <c r="F291" s="3"/>
      <c r="G291" s="5"/>
      <c r="H291" s="3"/>
      <c r="I291" s="5"/>
      <c r="J291" s="3"/>
      <c r="K291" s="5"/>
      <c r="L291" s="3"/>
      <c r="M291" s="5"/>
      <c r="N291" s="5"/>
    </row>
    <row r="292">
      <c r="B292" s="3"/>
      <c r="C292" s="3"/>
      <c r="D292" s="3"/>
      <c r="E292" s="4"/>
      <c r="F292" s="3"/>
      <c r="G292" s="5"/>
      <c r="H292" s="3"/>
      <c r="I292" s="5"/>
      <c r="J292" s="3"/>
      <c r="K292" s="5"/>
      <c r="L292" s="3"/>
      <c r="M292" s="5"/>
      <c r="N292" s="5"/>
    </row>
    <row r="293">
      <c r="B293" s="3"/>
      <c r="C293" s="3"/>
      <c r="D293" s="3"/>
      <c r="E293" s="4"/>
      <c r="F293" s="3"/>
      <c r="G293" s="5"/>
      <c r="H293" s="3"/>
      <c r="I293" s="5"/>
      <c r="J293" s="3"/>
      <c r="K293" s="5"/>
      <c r="L293" s="3"/>
      <c r="M293" s="5"/>
      <c r="N293" s="5"/>
    </row>
    <row r="294">
      <c r="B294" s="3"/>
      <c r="C294" s="3"/>
      <c r="D294" s="3"/>
      <c r="E294" s="4"/>
      <c r="F294" s="3"/>
      <c r="G294" s="5"/>
      <c r="H294" s="3"/>
      <c r="I294" s="5"/>
      <c r="J294" s="3"/>
      <c r="K294" s="5"/>
      <c r="L294" s="3"/>
      <c r="M294" s="5"/>
      <c r="N294" s="5"/>
    </row>
    <row r="295">
      <c r="B295" s="3"/>
      <c r="C295" s="3"/>
      <c r="D295" s="3"/>
      <c r="E295" s="4"/>
      <c r="F295" s="3"/>
      <c r="G295" s="5"/>
      <c r="H295" s="3"/>
      <c r="I295" s="5"/>
      <c r="J295" s="3"/>
      <c r="K295" s="5"/>
      <c r="L295" s="3"/>
      <c r="M295" s="5"/>
      <c r="N295" s="5"/>
    </row>
    <row r="296">
      <c r="B296" s="3"/>
      <c r="C296" s="3"/>
      <c r="D296" s="3"/>
      <c r="E296" s="4"/>
      <c r="F296" s="3"/>
      <c r="G296" s="5"/>
      <c r="H296" s="3"/>
      <c r="I296" s="5"/>
      <c r="J296" s="3"/>
      <c r="K296" s="5"/>
      <c r="L296" s="3"/>
      <c r="M296" s="5"/>
      <c r="N296" s="5"/>
    </row>
    <row r="297">
      <c r="B297" s="3"/>
      <c r="C297" s="3"/>
      <c r="D297" s="3"/>
      <c r="E297" s="4"/>
      <c r="F297" s="3"/>
      <c r="G297" s="5"/>
      <c r="H297" s="3"/>
      <c r="I297" s="5"/>
      <c r="J297" s="3"/>
      <c r="K297" s="5"/>
      <c r="L297" s="3"/>
      <c r="M297" s="5"/>
      <c r="N297" s="5"/>
    </row>
    <row r="298">
      <c r="B298" s="3"/>
      <c r="C298" s="3"/>
      <c r="D298" s="3"/>
      <c r="E298" s="4"/>
      <c r="F298" s="3"/>
      <c r="G298" s="5"/>
      <c r="H298" s="3"/>
      <c r="I298" s="5"/>
      <c r="J298" s="3"/>
      <c r="K298" s="5"/>
      <c r="L298" s="3"/>
      <c r="M298" s="5"/>
      <c r="N298" s="5"/>
    </row>
    <row r="299">
      <c r="B299" s="3"/>
      <c r="C299" s="3"/>
      <c r="D299" s="3"/>
      <c r="E299" s="4"/>
      <c r="F299" s="3"/>
      <c r="G299" s="5"/>
      <c r="H299" s="3"/>
      <c r="I299" s="5"/>
      <c r="J299" s="3"/>
      <c r="K299" s="5"/>
      <c r="L299" s="3"/>
      <c r="M299" s="5"/>
      <c r="N299" s="5"/>
    </row>
    <row r="300">
      <c r="B300" s="3"/>
      <c r="C300" s="3"/>
      <c r="D300" s="3"/>
      <c r="E300" s="4"/>
      <c r="F300" s="3"/>
      <c r="G300" s="5"/>
      <c r="H300" s="3"/>
      <c r="I300" s="5"/>
      <c r="J300" s="3"/>
      <c r="K300" s="5"/>
      <c r="L300" s="3"/>
      <c r="M300" s="5"/>
      <c r="N300" s="5"/>
    </row>
    <row r="301">
      <c r="B301" s="3"/>
      <c r="C301" s="3"/>
      <c r="D301" s="3"/>
      <c r="E301" s="4"/>
      <c r="F301" s="3"/>
      <c r="G301" s="5"/>
      <c r="H301" s="3"/>
      <c r="I301" s="5"/>
      <c r="J301" s="3"/>
      <c r="K301" s="5"/>
      <c r="L301" s="3"/>
      <c r="M301" s="5"/>
      <c r="N301" s="5"/>
    </row>
    <row r="302">
      <c r="B302" s="3"/>
      <c r="C302" s="3"/>
      <c r="D302" s="3"/>
      <c r="E302" s="4"/>
      <c r="F302" s="3"/>
      <c r="G302" s="5"/>
      <c r="H302" s="3"/>
      <c r="I302" s="5"/>
      <c r="J302" s="3"/>
      <c r="K302" s="5"/>
      <c r="L302" s="3"/>
      <c r="M302" s="5"/>
      <c r="N302" s="5"/>
    </row>
    <row r="303">
      <c r="B303" s="3"/>
      <c r="C303" s="3"/>
      <c r="D303" s="3"/>
      <c r="E303" s="4"/>
      <c r="F303" s="3"/>
      <c r="G303" s="5"/>
      <c r="H303" s="3"/>
      <c r="I303" s="5"/>
      <c r="J303" s="3"/>
      <c r="K303" s="5"/>
      <c r="L303" s="3"/>
      <c r="M303" s="5"/>
      <c r="N303" s="5"/>
    </row>
    <row r="304">
      <c r="B304" s="3"/>
      <c r="C304" s="3"/>
      <c r="D304" s="3"/>
      <c r="E304" s="4"/>
      <c r="F304" s="3"/>
      <c r="G304" s="5"/>
      <c r="H304" s="3"/>
      <c r="I304" s="5"/>
      <c r="J304" s="3"/>
      <c r="K304" s="5"/>
      <c r="L304" s="3"/>
      <c r="M304" s="5"/>
      <c r="N304" s="5"/>
    </row>
    <row r="305">
      <c r="B305" s="3"/>
      <c r="C305" s="3"/>
      <c r="D305" s="3"/>
      <c r="E305" s="4"/>
      <c r="F305" s="3"/>
      <c r="G305" s="5"/>
      <c r="H305" s="3"/>
      <c r="I305" s="5"/>
      <c r="J305" s="3"/>
      <c r="K305" s="5"/>
      <c r="L305" s="3"/>
      <c r="M305" s="5"/>
      <c r="N305" s="5"/>
    </row>
    <row r="306">
      <c r="B306" s="3"/>
      <c r="C306" s="3"/>
      <c r="D306" s="3"/>
      <c r="E306" s="4"/>
      <c r="F306" s="3"/>
      <c r="G306" s="5"/>
      <c r="H306" s="3"/>
      <c r="I306" s="5"/>
      <c r="J306" s="3"/>
      <c r="K306" s="5"/>
      <c r="L306" s="3"/>
      <c r="M306" s="5"/>
      <c r="N306" s="5"/>
    </row>
    <row r="307">
      <c r="B307" s="3"/>
      <c r="C307" s="3"/>
      <c r="D307" s="3"/>
      <c r="E307" s="4"/>
      <c r="F307" s="3"/>
      <c r="G307" s="5"/>
      <c r="H307" s="3"/>
      <c r="I307" s="5"/>
      <c r="J307" s="3"/>
      <c r="K307" s="5"/>
      <c r="L307" s="3"/>
      <c r="M307" s="5"/>
      <c r="N307" s="5"/>
    </row>
    <row r="308">
      <c r="B308" s="3"/>
      <c r="C308" s="3"/>
      <c r="D308" s="3"/>
      <c r="E308" s="4"/>
      <c r="F308" s="3"/>
      <c r="G308" s="5"/>
      <c r="H308" s="3"/>
      <c r="I308" s="5"/>
      <c r="J308" s="3"/>
      <c r="K308" s="5"/>
      <c r="L308" s="3"/>
      <c r="M308" s="5"/>
      <c r="N308" s="5"/>
    </row>
    <row r="309">
      <c r="B309" s="3"/>
      <c r="C309" s="3"/>
      <c r="D309" s="3"/>
      <c r="E309" s="4"/>
      <c r="F309" s="3"/>
      <c r="G309" s="5"/>
      <c r="H309" s="3"/>
      <c r="I309" s="5"/>
      <c r="J309" s="3"/>
      <c r="K309" s="5"/>
      <c r="L309" s="3"/>
      <c r="M309" s="5"/>
      <c r="N309" s="5"/>
    </row>
    <row r="310">
      <c r="B310" s="3"/>
      <c r="C310" s="3"/>
      <c r="D310" s="3"/>
      <c r="E310" s="4"/>
      <c r="F310" s="3"/>
      <c r="G310" s="5"/>
      <c r="H310" s="3"/>
      <c r="I310" s="5"/>
      <c r="J310" s="3"/>
      <c r="K310" s="5"/>
      <c r="L310" s="3"/>
      <c r="M310" s="5"/>
      <c r="N310" s="5"/>
    </row>
    <row r="311">
      <c r="B311" s="3"/>
      <c r="C311" s="3"/>
      <c r="D311" s="3"/>
      <c r="E311" s="4"/>
      <c r="F311" s="3"/>
      <c r="G311" s="5"/>
      <c r="H311" s="3"/>
      <c r="I311" s="5"/>
      <c r="J311" s="3"/>
      <c r="K311" s="5"/>
      <c r="L311" s="3"/>
      <c r="M311" s="5"/>
      <c r="N311" s="5"/>
    </row>
    <row r="312">
      <c r="B312" s="3"/>
      <c r="C312" s="3"/>
      <c r="D312" s="3"/>
      <c r="E312" s="4"/>
      <c r="F312" s="3"/>
      <c r="G312" s="5"/>
      <c r="H312" s="3"/>
      <c r="I312" s="5"/>
      <c r="J312" s="3"/>
      <c r="K312" s="5"/>
      <c r="L312" s="3"/>
      <c r="M312" s="5"/>
      <c r="N312" s="5"/>
    </row>
    <row r="313">
      <c r="B313" s="3"/>
      <c r="C313" s="3"/>
      <c r="D313" s="3"/>
      <c r="E313" s="4"/>
      <c r="F313" s="3"/>
      <c r="G313" s="5"/>
      <c r="H313" s="3"/>
      <c r="I313" s="5"/>
      <c r="J313" s="3"/>
      <c r="K313" s="5"/>
      <c r="L313" s="3"/>
      <c r="M313" s="5"/>
      <c r="N313" s="5"/>
    </row>
    <row r="314">
      <c r="B314" s="3"/>
      <c r="C314" s="3"/>
      <c r="D314" s="3"/>
      <c r="E314" s="4"/>
      <c r="F314" s="3"/>
      <c r="G314" s="5"/>
      <c r="H314" s="3"/>
      <c r="I314" s="5"/>
      <c r="J314" s="3"/>
      <c r="K314" s="5"/>
      <c r="L314" s="3"/>
      <c r="M314" s="5"/>
      <c r="N314" s="5"/>
    </row>
    <row r="315">
      <c r="B315" s="3"/>
      <c r="C315" s="3"/>
      <c r="D315" s="3"/>
      <c r="E315" s="4"/>
      <c r="F315" s="3"/>
      <c r="G315" s="5"/>
      <c r="H315" s="3"/>
      <c r="I315" s="5"/>
      <c r="J315" s="3"/>
      <c r="K315" s="5"/>
      <c r="L315" s="3"/>
      <c r="M315" s="5"/>
      <c r="N315" s="5"/>
    </row>
    <row r="316">
      <c r="B316" s="3"/>
      <c r="C316" s="3"/>
      <c r="D316" s="3"/>
      <c r="E316" s="4"/>
      <c r="F316" s="3"/>
      <c r="G316" s="5"/>
      <c r="H316" s="3"/>
      <c r="I316" s="5"/>
      <c r="J316" s="3"/>
      <c r="K316" s="5"/>
      <c r="L316" s="3"/>
      <c r="M316" s="5"/>
      <c r="N316" s="5"/>
    </row>
    <row r="317">
      <c r="B317" s="3"/>
      <c r="C317" s="3"/>
      <c r="D317" s="3"/>
      <c r="E317" s="4"/>
      <c r="F317" s="3"/>
      <c r="G317" s="5"/>
      <c r="H317" s="3"/>
      <c r="I317" s="5"/>
      <c r="J317" s="3"/>
      <c r="K317" s="5"/>
      <c r="L317" s="3"/>
      <c r="M317" s="5"/>
      <c r="N317" s="5"/>
    </row>
    <row r="318">
      <c r="B318" s="3"/>
      <c r="C318" s="3"/>
      <c r="D318" s="3"/>
      <c r="E318" s="4"/>
      <c r="F318" s="3"/>
      <c r="G318" s="5"/>
      <c r="H318" s="3"/>
      <c r="I318" s="5"/>
      <c r="J318" s="3"/>
      <c r="K318" s="5"/>
      <c r="L318" s="3"/>
      <c r="M318" s="5"/>
      <c r="N318" s="5"/>
    </row>
    <row r="319">
      <c r="B319" s="3"/>
      <c r="C319" s="3"/>
      <c r="D319" s="3"/>
      <c r="E319" s="4"/>
      <c r="F319" s="3"/>
      <c r="G319" s="5"/>
      <c r="H319" s="3"/>
      <c r="I319" s="5"/>
      <c r="J319" s="3"/>
      <c r="K319" s="5"/>
      <c r="L319" s="3"/>
      <c r="M319" s="5"/>
      <c r="N319" s="5"/>
    </row>
    <row r="320">
      <c r="B320" s="3"/>
      <c r="C320" s="3"/>
      <c r="D320" s="3"/>
      <c r="E320" s="4"/>
      <c r="F320" s="3"/>
      <c r="G320" s="5"/>
      <c r="H320" s="3"/>
      <c r="I320" s="5"/>
      <c r="J320" s="3"/>
      <c r="K320" s="5"/>
      <c r="L320" s="3"/>
      <c r="M320" s="5"/>
      <c r="N320" s="5"/>
    </row>
    <row r="321">
      <c r="B321" s="3"/>
      <c r="C321" s="3"/>
      <c r="D321" s="3"/>
      <c r="E321" s="4"/>
      <c r="F321" s="3"/>
      <c r="G321" s="5"/>
      <c r="H321" s="3"/>
      <c r="I321" s="5"/>
      <c r="J321" s="3"/>
      <c r="K321" s="5"/>
      <c r="L321" s="3"/>
      <c r="M321" s="5"/>
      <c r="N321" s="5"/>
    </row>
    <row r="322">
      <c r="B322" s="3"/>
      <c r="C322" s="3"/>
      <c r="D322" s="3"/>
      <c r="E322" s="4"/>
      <c r="F322" s="3"/>
      <c r="G322" s="5"/>
      <c r="H322" s="3"/>
      <c r="I322" s="5"/>
      <c r="J322" s="3"/>
      <c r="K322" s="5"/>
      <c r="L322" s="3"/>
      <c r="M322" s="5"/>
      <c r="N322" s="5"/>
    </row>
    <row r="323">
      <c r="B323" s="3"/>
      <c r="C323" s="3"/>
      <c r="D323" s="3"/>
      <c r="E323" s="4"/>
      <c r="F323" s="3"/>
      <c r="G323" s="5"/>
      <c r="H323" s="3"/>
      <c r="I323" s="5"/>
      <c r="J323" s="3"/>
      <c r="K323" s="5"/>
      <c r="L323" s="3"/>
      <c r="M323" s="5"/>
      <c r="N323" s="5"/>
    </row>
    <row r="324">
      <c r="B324" s="3"/>
      <c r="C324" s="3"/>
      <c r="D324" s="3"/>
      <c r="E324" s="4"/>
      <c r="F324" s="3"/>
      <c r="G324" s="5"/>
      <c r="H324" s="3"/>
      <c r="I324" s="5"/>
      <c r="J324" s="3"/>
      <c r="K324" s="5"/>
      <c r="L324" s="3"/>
      <c r="M324" s="5"/>
      <c r="N324" s="5"/>
    </row>
    <row r="325">
      <c r="B325" s="3"/>
      <c r="C325" s="3"/>
      <c r="D325" s="3"/>
      <c r="E325" s="4"/>
      <c r="F325" s="3"/>
      <c r="G325" s="5"/>
      <c r="H325" s="3"/>
      <c r="I325" s="5"/>
      <c r="J325" s="3"/>
      <c r="K325" s="5"/>
      <c r="L325" s="3"/>
      <c r="M325" s="5"/>
      <c r="N325" s="5"/>
    </row>
    <row r="326">
      <c r="B326" s="3"/>
      <c r="C326" s="3"/>
      <c r="D326" s="3"/>
      <c r="E326" s="4"/>
      <c r="F326" s="3"/>
      <c r="G326" s="5"/>
      <c r="H326" s="3"/>
      <c r="I326" s="5"/>
      <c r="J326" s="3"/>
      <c r="K326" s="5"/>
      <c r="L326" s="3"/>
      <c r="M326" s="5"/>
      <c r="N326" s="5"/>
    </row>
    <row r="327">
      <c r="B327" s="3"/>
      <c r="C327" s="3"/>
      <c r="D327" s="3"/>
      <c r="E327" s="4"/>
      <c r="F327" s="3"/>
      <c r="G327" s="5"/>
      <c r="H327" s="3"/>
      <c r="I327" s="5"/>
      <c r="J327" s="3"/>
      <c r="K327" s="5"/>
      <c r="L327" s="3"/>
      <c r="M327" s="5"/>
      <c r="N327" s="5"/>
    </row>
    <row r="328">
      <c r="B328" s="3"/>
      <c r="C328" s="3"/>
      <c r="D328" s="3"/>
      <c r="E328" s="4"/>
      <c r="F328" s="3"/>
      <c r="G328" s="5"/>
      <c r="H328" s="3"/>
      <c r="I328" s="5"/>
      <c r="J328" s="3"/>
      <c r="K328" s="5"/>
      <c r="L328" s="3"/>
      <c r="M328" s="5"/>
      <c r="N328" s="5"/>
    </row>
    <row r="329">
      <c r="B329" s="3"/>
      <c r="C329" s="3"/>
      <c r="D329" s="3"/>
      <c r="E329" s="4"/>
      <c r="F329" s="3"/>
      <c r="G329" s="5"/>
      <c r="H329" s="3"/>
      <c r="I329" s="5"/>
      <c r="J329" s="3"/>
      <c r="K329" s="5"/>
      <c r="L329" s="3"/>
      <c r="M329" s="5"/>
      <c r="N329" s="5"/>
    </row>
    <row r="330">
      <c r="B330" s="3"/>
      <c r="C330" s="3"/>
      <c r="D330" s="3"/>
      <c r="E330" s="4"/>
      <c r="F330" s="3"/>
      <c r="G330" s="5"/>
      <c r="H330" s="3"/>
      <c r="I330" s="5"/>
      <c r="J330" s="3"/>
      <c r="K330" s="5"/>
      <c r="L330" s="3"/>
      <c r="M330" s="5"/>
      <c r="N330" s="5"/>
    </row>
    <row r="331">
      <c r="B331" s="3"/>
      <c r="C331" s="3"/>
      <c r="D331" s="3"/>
      <c r="E331" s="4"/>
      <c r="F331" s="3"/>
      <c r="G331" s="5"/>
      <c r="H331" s="3"/>
      <c r="I331" s="5"/>
      <c r="J331" s="3"/>
      <c r="K331" s="5"/>
      <c r="L331" s="3"/>
      <c r="M331" s="5"/>
      <c r="N331" s="5"/>
    </row>
    <row r="332">
      <c r="B332" s="3"/>
      <c r="C332" s="3"/>
      <c r="D332" s="3"/>
      <c r="E332" s="4"/>
      <c r="F332" s="3"/>
      <c r="G332" s="5"/>
      <c r="H332" s="3"/>
      <c r="I332" s="5"/>
      <c r="J332" s="3"/>
      <c r="K332" s="5"/>
      <c r="L332" s="3"/>
      <c r="M332" s="5"/>
      <c r="N332" s="5"/>
    </row>
    <row r="333">
      <c r="B333" s="3"/>
      <c r="C333" s="3"/>
      <c r="D333" s="3"/>
      <c r="E333" s="4"/>
      <c r="F333" s="3"/>
      <c r="G333" s="5"/>
      <c r="H333" s="3"/>
      <c r="I333" s="5"/>
      <c r="J333" s="3"/>
      <c r="K333" s="5"/>
      <c r="L333" s="3"/>
      <c r="M333" s="5"/>
      <c r="N333" s="5"/>
    </row>
    <row r="334">
      <c r="B334" s="3"/>
      <c r="C334" s="3"/>
      <c r="D334" s="3"/>
      <c r="E334" s="4"/>
      <c r="F334" s="3"/>
      <c r="G334" s="5"/>
      <c r="H334" s="3"/>
      <c r="I334" s="5"/>
      <c r="J334" s="3"/>
      <c r="K334" s="5"/>
      <c r="L334" s="3"/>
      <c r="M334" s="5"/>
      <c r="N334" s="5"/>
    </row>
    <row r="335">
      <c r="B335" s="3"/>
      <c r="C335" s="3"/>
      <c r="D335" s="3"/>
      <c r="E335" s="4"/>
      <c r="F335" s="3"/>
      <c r="G335" s="5"/>
      <c r="H335" s="3"/>
      <c r="I335" s="5"/>
      <c r="J335" s="3"/>
      <c r="K335" s="5"/>
      <c r="L335" s="3"/>
      <c r="M335" s="5"/>
      <c r="N335" s="5"/>
    </row>
    <row r="336">
      <c r="B336" s="3"/>
      <c r="C336" s="3"/>
      <c r="D336" s="3"/>
      <c r="E336" s="4"/>
      <c r="F336" s="3"/>
      <c r="G336" s="5"/>
      <c r="H336" s="3"/>
      <c r="I336" s="5"/>
      <c r="J336" s="3"/>
      <c r="K336" s="5"/>
      <c r="L336" s="3"/>
      <c r="M336" s="5"/>
      <c r="N336" s="5"/>
    </row>
    <row r="337">
      <c r="B337" s="3"/>
      <c r="C337" s="3"/>
      <c r="D337" s="3"/>
      <c r="E337" s="4"/>
      <c r="F337" s="3"/>
      <c r="G337" s="5"/>
      <c r="H337" s="3"/>
      <c r="I337" s="5"/>
      <c r="J337" s="3"/>
      <c r="K337" s="5"/>
      <c r="L337" s="3"/>
      <c r="M337" s="5"/>
      <c r="N337" s="5"/>
    </row>
    <row r="338">
      <c r="B338" s="3"/>
      <c r="C338" s="3"/>
      <c r="D338" s="3"/>
      <c r="E338" s="4"/>
      <c r="F338" s="3"/>
      <c r="G338" s="5"/>
      <c r="H338" s="3"/>
      <c r="I338" s="5"/>
      <c r="J338" s="3"/>
      <c r="K338" s="5"/>
      <c r="L338" s="3"/>
      <c r="M338" s="5"/>
      <c r="N338" s="5"/>
    </row>
    <row r="339">
      <c r="B339" s="3"/>
      <c r="C339" s="3"/>
      <c r="D339" s="3"/>
      <c r="E339" s="4"/>
      <c r="F339" s="3"/>
      <c r="G339" s="5"/>
      <c r="H339" s="3"/>
      <c r="I339" s="5"/>
      <c r="J339" s="3"/>
      <c r="K339" s="5"/>
      <c r="L339" s="3"/>
      <c r="M339" s="5"/>
      <c r="N339" s="5"/>
    </row>
    <row r="340">
      <c r="B340" s="3"/>
      <c r="C340" s="3"/>
      <c r="D340" s="3"/>
      <c r="E340" s="4"/>
      <c r="F340" s="3"/>
      <c r="G340" s="5"/>
      <c r="H340" s="3"/>
      <c r="I340" s="5"/>
      <c r="J340" s="3"/>
      <c r="K340" s="5"/>
      <c r="L340" s="3"/>
      <c r="M340" s="5"/>
      <c r="N340" s="5"/>
    </row>
    <row r="341">
      <c r="B341" s="3"/>
      <c r="C341" s="3"/>
      <c r="D341" s="3"/>
      <c r="E341" s="4"/>
      <c r="F341" s="3"/>
      <c r="G341" s="5"/>
      <c r="H341" s="3"/>
      <c r="I341" s="5"/>
      <c r="J341" s="3"/>
      <c r="K341" s="5"/>
      <c r="L341" s="3"/>
      <c r="M341" s="5"/>
      <c r="N341" s="5"/>
    </row>
    <row r="342">
      <c r="B342" s="3"/>
      <c r="C342" s="3"/>
      <c r="D342" s="3"/>
      <c r="E342" s="4"/>
      <c r="F342" s="3"/>
      <c r="G342" s="5"/>
      <c r="H342" s="3"/>
      <c r="I342" s="5"/>
      <c r="J342" s="3"/>
      <c r="K342" s="5"/>
      <c r="L342" s="3"/>
      <c r="M342" s="5"/>
      <c r="N342" s="5"/>
    </row>
    <row r="343">
      <c r="B343" s="3"/>
      <c r="C343" s="3"/>
      <c r="D343" s="3"/>
      <c r="E343" s="4"/>
      <c r="F343" s="3"/>
      <c r="G343" s="5"/>
      <c r="H343" s="3"/>
      <c r="I343" s="5"/>
      <c r="J343" s="3"/>
      <c r="K343" s="5"/>
      <c r="L343" s="3"/>
      <c r="M343" s="5"/>
      <c r="N343" s="5"/>
    </row>
    <row r="344">
      <c r="B344" s="3"/>
      <c r="C344" s="3"/>
      <c r="D344" s="3"/>
      <c r="E344" s="4"/>
      <c r="F344" s="3"/>
      <c r="G344" s="5"/>
      <c r="H344" s="3"/>
      <c r="I344" s="5"/>
      <c r="J344" s="3"/>
      <c r="K344" s="5"/>
      <c r="L344" s="3"/>
      <c r="M344" s="5"/>
      <c r="N344" s="5"/>
    </row>
    <row r="345">
      <c r="B345" s="3"/>
      <c r="C345" s="3"/>
      <c r="D345" s="3"/>
      <c r="E345" s="4"/>
      <c r="F345" s="3"/>
      <c r="G345" s="5"/>
      <c r="H345" s="3"/>
      <c r="I345" s="5"/>
      <c r="J345" s="3"/>
      <c r="K345" s="5"/>
      <c r="L345" s="3"/>
      <c r="M345" s="5"/>
      <c r="N345" s="5"/>
    </row>
    <row r="346">
      <c r="B346" s="3"/>
      <c r="C346" s="3"/>
      <c r="D346" s="3"/>
      <c r="E346" s="4"/>
      <c r="F346" s="3"/>
      <c r="G346" s="5"/>
      <c r="H346" s="3"/>
      <c r="I346" s="5"/>
      <c r="J346" s="3"/>
      <c r="K346" s="5"/>
      <c r="L346" s="3"/>
      <c r="M346" s="5"/>
      <c r="N346" s="5"/>
    </row>
    <row r="347">
      <c r="B347" s="3"/>
      <c r="C347" s="3"/>
      <c r="D347" s="3"/>
      <c r="E347" s="4"/>
      <c r="F347" s="3"/>
      <c r="G347" s="5"/>
      <c r="H347" s="3"/>
      <c r="I347" s="5"/>
      <c r="J347" s="3"/>
      <c r="K347" s="5"/>
      <c r="L347" s="3"/>
      <c r="M347" s="5"/>
      <c r="N347" s="5"/>
    </row>
    <row r="348">
      <c r="B348" s="3"/>
      <c r="C348" s="3"/>
      <c r="D348" s="3"/>
      <c r="E348" s="4"/>
      <c r="F348" s="3"/>
      <c r="G348" s="5"/>
      <c r="H348" s="3"/>
      <c r="I348" s="5"/>
      <c r="J348" s="3"/>
      <c r="K348" s="5"/>
      <c r="L348" s="3"/>
      <c r="M348" s="5"/>
      <c r="N348" s="5"/>
    </row>
    <row r="349">
      <c r="B349" s="3"/>
      <c r="C349" s="3"/>
      <c r="D349" s="3"/>
      <c r="E349" s="4"/>
      <c r="F349" s="3"/>
      <c r="G349" s="5"/>
      <c r="H349" s="3"/>
      <c r="I349" s="5"/>
      <c r="J349" s="3"/>
      <c r="K349" s="5"/>
      <c r="L349" s="3"/>
      <c r="M349" s="5"/>
      <c r="N349" s="5"/>
    </row>
    <row r="350">
      <c r="B350" s="3"/>
      <c r="C350" s="3"/>
      <c r="D350" s="3"/>
      <c r="E350" s="4"/>
      <c r="F350" s="3"/>
      <c r="G350" s="5"/>
      <c r="H350" s="3"/>
      <c r="I350" s="5"/>
      <c r="J350" s="3"/>
      <c r="K350" s="5"/>
      <c r="L350" s="3"/>
      <c r="M350" s="5"/>
      <c r="N350" s="5"/>
    </row>
    <row r="351">
      <c r="B351" s="3"/>
      <c r="C351" s="3"/>
      <c r="D351" s="3"/>
      <c r="E351" s="4"/>
      <c r="F351" s="3"/>
      <c r="G351" s="5"/>
      <c r="H351" s="3"/>
      <c r="I351" s="5"/>
      <c r="J351" s="3"/>
      <c r="K351" s="5"/>
      <c r="L351" s="3"/>
      <c r="M351" s="5"/>
      <c r="N351" s="5"/>
    </row>
    <row r="352">
      <c r="B352" s="3"/>
      <c r="C352" s="3"/>
      <c r="D352" s="3"/>
      <c r="E352" s="4"/>
      <c r="F352" s="3"/>
      <c r="G352" s="5"/>
      <c r="H352" s="3"/>
      <c r="I352" s="5"/>
      <c r="J352" s="3"/>
      <c r="K352" s="5"/>
      <c r="L352" s="3"/>
      <c r="M352" s="5"/>
      <c r="N352" s="5"/>
    </row>
    <row r="353">
      <c r="B353" s="3"/>
      <c r="C353" s="3"/>
      <c r="D353" s="3"/>
      <c r="E353" s="4"/>
      <c r="F353" s="3"/>
      <c r="G353" s="5"/>
      <c r="H353" s="3"/>
      <c r="I353" s="5"/>
      <c r="J353" s="3"/>
      <c r="K353" s="5"/>
      <c r="L353" s="3"/>
      <c r="M353" s="5"/>
      <c r="N353" s="5"/>
    </row>
    <row r="354">
      <c r="B354" s="3"/>
      <c r="C354" s="3"/>
      <c r="D354" s="3"/>
      <c r="E354" s="4"/>
      <c r="F354" s="3"/>
      <c r="G354" s="5"/>
      <c r="H354" s="3"/>
      <c r="I354" s="5"/>
      <c r="J354" s="3"/>
      <c r="K354" s="5"/>
      <c r="L354" s="3"/>
      <c r="M354" s="5"/>
      <c r="N354" s="5"/>
    </row>
    <row r="355">
      <c r="B355" s="3"/>
      <c r="C355" s="3"/>
      <c r="D355" s="3"/>
      <c r="E355" s="4"/>
      <c r="F355" s="3"/>
      <c r="G355" s="5"/>
      <c r="H355" s="3"/>
      <c r="I355" s="5"/>
      <c r="J355" s="3"/>
      <c r="K355" s="5"/>
      <c r="L355" s="3"/>
      <c r="M355" s="5"/>
      <c r="N355" s="5"/>
    </row>
    <row r="356">
      <c r="B356" s="3"/>
      <c r="C356" s="3"/>
      <c r="D356" s="3"/>
      <c r="E356" s="4"/>
      <c r="F356" s="3"/>
      <c r="G356" s="5"/>
      <c r="H356" s="3"/>
      <c r="I356" s="5"/>
      <c r="J356" s="3"/>
      <c r="K356" s="5"/>
      <c r="L356" s="3"/>
      <c r="M356" s="5"/>
      <c r="N356" s="5"/>
    </row>
    <row r="357">
      <c r="B357" s="3"/>
      <c r="C357" s="3"/>
      <c r="D357" s="3"/>
      <c r="E357" s="4"/>
      <c r="F357" s="3"/>
      <c r="G357" s="5"/>
      <c r="H357" s="3"/>
      <c r="I357" s="5"/>
      <c r="J357" s="3"/>
      <c r="K357" s="5"/>
      <c r="L357" s="3"/>
      <c r="M357" s="5"/>
      <c r="N357" s="5"/>
    </row>
    <row r="358">
      <c r="B358" s="3"/>
      <c r="C358" s="3"/>
      <c r="D358" s="3"/>
      <c r="E358" s="4"/>
      <c r="F358" s="3"/>
      <c r="G358" s="5"/>
      <c r="H358" s="3"/>
      <c r="I358" s="5"/>
      <c r="J358" s="3"/>
      <c r="K358" s="5"/>
      <c r="L358" s="3"/>
      <c r="M358" s="5"/>
      <c r="N358" s="5"/>
    </row>
    <row r="359">
      <c r="B359" s="3"/>
      <c r="C359" s="3"/>
      <c r="D359" s="3"/>
      <c r="E359" s="4"/>
      <c r="F359" s="3"/>
      <c r="G359" s="5"/>
      <c r="H359" s="3"/>
      <c r="I359" s="5"/>
      <c r="J359" s="3"/>
      <c r="K359" s="5"/>
      <c r="L359" s="3"/>
      <c r="M359" s="5"/>
      <c r="N359" s="5"/>
    </row>
    <row r="360">
      <c r="B360" s="3"/>
      <c r="C360" s="3"/>
      <c r="D360" s="3"/>
      <c r="E360" s="4"/>
      <c r="F360" s="3"/>
      <c r="G360" s="5"/>
      <c r="H360" s="3"/>
      <c r="I360" s="5"/>
      <c r="J360" s="3"/>
      <c r="K360" s="5"/>
      <c r="L360" s="3"/>
      <c r="M360" s="5"/>
      <c r="N360" s="5"/>
    </row>
    <row r="361">
      <c r="B361" s="3"/>
      <c r="C361" s="3"/>
      <c r="D361" s="3"/>
      <c r="E361" s="4"/>
      <c r="F361" s="3"/>
      <c r="G361" s="5"/>
      <c r="H361" s="3"/>
      <c r="I361" s="5"/>
      <c r="J361" s="3"/>
      <c r="K361" s="5"/>
      <c r="L361" s="3"/>
      <c r="M361" s="5"/>
      <c r="N361" s="5"/>
    </row>
    <row r="362">
      <c r="B362" s="3"/>
      <c r="C362" s="3"/>
      <c r="D362" s="3"/>
      <c r="E362" s="4"/>
      <c r="F362" s="3"/>
      <c r="G362" s="5"/>
      <c r="H362" s="3"/>
      <c r="I362" s="5"/>
      <c r="J362" s="3"/>
      <c r="K362" s="5"/>
      <c r="L362" s="3"/>
      <c r="M362" s="5"/>
      <c r="N362" s="5"/>
    </row>
    <row r="363">
      <c r="B363" s="3"/>
      <c r="C363" s="3"/>
      <c r="D363" s="3"/>
      <c r="E363" s="4"/>
      <c r="F363" s="3"/>
      <c r="G363" s="5"/>
      <c r="H363" s="3"/>
      <c r="I363" s="5"/>
      <c r="J363" s="3"/>
      <c r="K363" s="5"/>
      <c r="L363" s="3"/>
      <c r="M363" s="5"/>
      <c r="N363" s="5"/>
    </row>
    <row r="364">
      <c r="B364" s="3"/>
      <c r="C364" s="3"/>
      <c r="D364" s="3"/>
      <c r="E364" s="4"/>
      <c r="F364" s="3"/>
      <c r="G364" s="5"/>
      <c r="H364" s="3"/>
      <c r="I364" s="5"/>
      <c r="J364" s="3"/>
      <c r="K364" s="5"/>
      <c r="L364" s="3"/>
      <c r="M364" s="5"/>
      <c r="N364" s="5"/>
    </row>
    <row r="365">
      <c r="B365" s="3"/>
      <c r="C365" s="3"/>
      <c r="D365" s="3"/>
      <c r="E365" s="4"/>
      <c r="F365" s="3"/>
      <c r="G365" s="5"/>
      <c r="H365" s="3"/>
      <c r="I365" s="5"/>
      <c r="J365" s="3"/>
      <c r="K365" s="5"/>
      <c r="L365" s="3"/>
      <c r="M365" s="5"/>
      <c r="N365" s="5"/>
    </row>
    <row r="366">
      <c r="B366" s="3"/>
      <c r="C366" s="3"/>
      <c r="D366" s="3"/>
      <c r="E366" s="4"/>
      <c r="F366" s="3"/>
      <c r="G366" s="5"/>
      <c r="H366" s="3"/>
      <c r="I366" s="5"/>
      <c r="J366" s="3"/>
      <c r="K366" s="5"/>
      <c r="L366" s="3"/>
      <c r="M366" s="5"/>
      <c r="N366" s="5"/>
    </row>
    <row r="367">
      <c r="B367" s="3"/>
      <c r="C367" s="3"/>
      <c r="D367" s="3"/>
      <c r="E367" s="4"/>
      <c r="F367" s="3"/>
      <c r="G367" s="5"/>
      <c r="H367" s="3"/>
      <c r="I367" s="5"/>
      <c r="J367" s="3"/>
      <c r="K367" s="5"/>
      <c r="L367" s="3"/>
      <c r="M367" s="5"/>
      <c r="N367" s="5"/>
    </row>
    <row r="368">
      <c r="B368" s="3"/>
      <c r="C368" s="3"/>
      <c r="D368" s="3"/>
      <c r="E368" s="4"/>
      <c r="F368" s="3"/>
      <c r="G368" s="5"/>
      <c r="H368" s="3"/>
      <c r="I368" s="5"/>
      <c r="J368" s="3"/>
      <c r="K368" s="5"/>
      <c r="L368" s="3"/>
      <c r="M368" s="5"/>
      <c r="N368" s="5"/>
    </row>
    <row r="369">
      <c r="B369" s="3"/>
      <c r="C369" s="3"/>
      <c r="D369" s="3"/>
      <c r="E369" s="4"/>
      <c r="F369" s="3"/>
      <c r="G369" s="5"/>
      <c r="H369" s="3"/>
      <c r="I369" s="5"/>
      <c r="J369" s="3"/>
      <c r="K369" s="5"/>
      <c r="L369" s="3"/>
      <c r="M369" s="5"/>
      <c r="N369" s="5"/>
    </row>
    <row r="370">
      <c r="B370" s="3"/>
      <c r="C370" s="3"/>
      <c r="D370" s="3"/>
      <c r="E370" s="4"/>
      <c r="F370" s="3"/>
      <c r="G370" s="5"/>
      <c r="H370" s="3"/>
      <c r="I370" s="5"/>
      <c r="J370" s="3"/>
      <c r="K370" s="5"/>
      <c r="L370" s="3"/>
      <c r="M370" s="5"/>
      <c r="N370" s="5"/>
    </row>
    <row r="371">
      <c r="B371" s="3"/>
      <c r="C371" s="3"/>
      <c r="D371" s="3"/>
      <c r="E371" s="4"/>
      <c r="F371" s="3"/>
      <c r="G371" s="5"/>
      <c r="H371" s="3"/>
      <c r="I371" s="5"/>
      <c r="J371" s="3"/>
      <c r="K371" s="5"/>
      <c r="L371" s="3"/>
      <c r="M371" s="5"/>
      <c r="N371" s="5"/>
    </row>
    <row r="372">
      <c r="B372" s="3"/>
      <c r="C372" s="3"/>
      <c r="D372" s="3"/>
      <c r="E372" s="4"/>
      <c r="F372" s="3"/>
      <c r="G372" s="5"/>
      <c r="H372" s="3"/>
      <c r="I372" s="5"/>
      <c r="J372" s="3"/>
      <c r="K372" s="5"/>
      <c r="L372" s="3"/>
      <c r="M372" s="5"/>
      <c r="N372" s="5"/>
    </row>
    <row r="373">
      <c r="B373" s="3"/>
      <c r="C373" s="3"/>
      <c r="D373" s="3"/>
      <c r="E373" s="4"/>
      <c r="F373" s="3"/>
      <c r="G373" s="5"/>
      <c r="H373" s="3"/>
      <c r="I373" s="5"/>
      <c r="J373" s="3"/>
      <c r="K373" s="5"/>
      <c r="L373" s="3"/>
      <c r="M373" s="5"/>
      <c r="N373" s="5"/>
    </row>
    <row r="374">
      <c r="B374" s="3"/>
      <c r="C374" s="3"/>
      <c r="D374" s="3"/>
      <c r="E374" s="4"/>
      <c r="F374" s="3"/>
      <c r="G374" s="5"/>
      <c r="H374" s="3"/>
      <c r="I374" s="5"/>
      <c r="J374" s="3"/>
      <c r="K374" s="5"/>
      <c r="L374" s="3"/>
      <c r="M374" s="5"/>
      <c r="N374" s="5"/>
    </row>
    <row r="375">
      <c r="B375" s="3"/>
      <c r="C375" s="3"/>
      <c r="D375" s="3"/>
      <c r="E375" s="4"/>
      <c r="F375" s="3"/>
      <c r="G375" s="5"/>
      <c r="H375" s="3"/>
      <c r="I375" s="5"/>
      <c r="J375" s="3"/>
      <c r="K375" s="5"/>
      <c r="L375" s="3"/>
      <c r="M375" s="5"/>
      <c r="N375" s="5"/>
    </row>
    <row r="376">
      <c r="B376" s="3"/>
      <c r="C376" s="3"/>
      <c r="D376" s="3"/>
      <c r="E376" s="4"/>
      <c r="F376" s="3"/>
      <c r="G376" s="5"/>
      <c r="H376" s="3"/>
      <c r="I376" s="5"/>
      <c r="J376" s="3"/>
      <c r="K376" s="5"/>
      <c r="L376" s="3"/>
      <c r="M376" s="5"/>
      <c r="N376" s="5"/>
    </row>
    <row r="377">
      <c r="B377" s="3"/>
      <c r="C377" s="3"/>
      <c r="D377" s="3"/>
      <c r="E377" s="4"/>
      <c r="F377" s="3"/>
      <c r="G377" s="5"/>
      <c r="H377" s="3"/>
      <c r="I377" s="5"/>
      <c r="J377" s="3"/>
      <c r="K377" s="5"/>
      <c r="L377" s="3"/>
      <c r="M377" s="5"/>
      <c r="N377" s="5"/>
    </row>
    <row r="378">
      <c r="B378" s="3"/>
      <c r="C378" s="3"/>
      <c r="D378" s="3"/>
      <c r="E378" s="4"/>
      <c r="F378" s="3"/>
      <c r="G378" s="5"/>
      <c r="H378" s="3"/>
      <c r="I378" s="5"/>
      <c r="J378" s="3"/>
      <c r="K378" s="5"/>
      <c r="L378" s="3"/>
      <c r="M378" s="5"/>
      <c r="N378" s="5"/>
    </row>
    <row r="379">
      <c r="B379" s="3"/>
      <c r="C379" s="3"/>
      <c r="D379" s="3"/>
      <c r="E379" s="4"/>
      <c r="F379" s="3"/>
      <c r="G379" s="5"/>
      <c r="H379" s="3"/>
      <c r="I379" s="5"/>
      <c r="J379" s="3"/>
      <c r="K379" s="5"/>
      <c r="L379" s="3"/>
      <c r="M379" s="5"/>
      <c r="N379" s="5"/>
    </row>
    <row r="380">
      <c r="B380" s="3"/>
      <c r="C380" s="3"/>
      <c r="D380" s="3"/>
      <c r="E380" s="4"/>
      <c r="F380" s="3"/>
      <c r="G380" s="5"/>
      <c r="H380" s="3"/>
      <c r="I380" s="5"/>
      <c r="J380" s="3"/>
      <c r="K380" s="5"/>
      <c r="L380" s="3"/>
      <c r="M380" s="5"/>
      <c r="N380" s="5"/>
    </row>
    <row r="381">
      <c r="B381" s="3"/>
      <c r="C381" s="3"/>
      <c r="D381" s="3"/>
      <c r="E381" s="4"/>
      <c r="F381" s="3"/>
      <c r="G381" s="5"/>
      <c r="H381" s="3"/>
      <c r="I381" s="5"/>
      <c r="J381" s="3"/>
      <c r="K381" s="5"/>
      <c r="L381" s="3"/>
      <c r="M381" s="5"/>
      <c r="N381" s="5"/>
    </row>
    <row r="382">
      <c r="B382" s="3"/>
      <c r="C382" s="3"/>
      <c r="D382" s="3"/>
      <c r="E382" s="4"/>
      <c r="F382" s="3"/>
      <c r="G382" s="5"/>
      <c r="H382" s="3"/>
      <c r="I382" s="5"/>
      <c r="J382" s="3"/>
      <c r="K382" s="5"/>
      <c r="L382" s="3"/>
      <c r="M382" s="5"/>
      <c r="N382" s="5"/>
    </row>
    <row r="383">
      <c r="B383" s="3"/>
      <c r="C383" s="3"/>
      <c r="D383" s="3"/>
      <c r="E383" s="4"/>
      <c r="F383" s="3"/>
      <c r="G383" s="5"/>
      <c r="H383" s="3"/>
      <c r="I383" s="5"/>
      <c r="J383" s="3"/>
      <c r="K383" s="5"/>
      <c r="L383" s="3"/>
      <c r="M383" s="5"/>
      <c r="N383" s="5"/>
    </row>
    <row r="384">
      <c r="B384" s="3"/>
      <c r="C384" s="3"/>
      <c r="D384" s="3"/>
      <c r="E384" s="4"/>
      <c r="F384" s="3"/>
      <c r="G384" s="5"/>
      <c r="H384" s="3"/>
      <c r="I384" s="5"/>
      <c r="J384" s="3"/>
      <c r="K384" s="5"/>
      <c r="L384" s="3"/>
      <c r="M384" s="5"/>
      <c r="N384" s="5"/>
    </row>
    <row r="385">
      <c r="B385" s="3"/>
      <c r="C385" s="3"/>
      <c r="D385" s="3"/>
      <c r="E385" s="4"/>
      <c r="F385" s="3"/>
      <c r="G385" s="5"/>
      <c r="H385" s="3"/>
      <c r="I385" s="5"/>
      <c r="J385" s="3"/>
      <c r="K385" s="5"/>
      <c r="L385" s="3"/>
      <c r="M385" s="5"/>
      <c r="N385" s="5"/>
    </row>
    <row r="386">
      <c r="B386" s="3"/>
      <c r="C386" s="3"/>
      <c r="D386" s="3"/>
      <c r="E386" s="4"/>
      <c r="F386" s="3"/>
      <c r="G386" s="5"/>
      <c r="H386" s="3"/>
      <c r="I386" s="5"/>
      <c r="J386" s="3"/>
      <c r="K386" s="5"/>
      <c r="L386" s="3"/>
      <c r="M386" s="5"/>
      <c r="N386" s="5"/>
    </row>
    <row r="387">
      <c r="B387" s="3"/>
      <c r="C387" s="3"/>
      <c r="D387" s="3"/>
      <c r="E387" s="4"/>
      <c r="F387" s="3"/>
      <c r="G387" s="5"/>
      <c r="H387" s="3"/>
      <c r="I387" s="5"/>
      <c r="J387" s="3"/>
      <c r="K387" s="5"/>
      <c r="L387" s="3"/>
      <c r="M387" s="5"/>
      <c r="N387" s="5"/>
    </row>
    <row r="388">
      <c r="B388" s="3"/>
      <c r="C388" s="3"/>
      <c r="D388" s="3"/>
      <c r="E388" s="4"/>
      <c r="F388" s="3"/>
      <c r="G388" s="5"/>
      <c r="H388" s="3"/>
      <c r="I388" s="5"/>
      <c r="J388" s="3"/>
      <c r="K388" s="5"/>
      <c r="L388" s="3"/>
      <c r="M388" s="5"/>
      <c r="N388" s="5"/>
    </row>
    <row r="389">
      <c r="B389" s="3"/>
      <c r="C389" s="3"/>
      <c r="D389" s="3"/>
      <c r="E389" s="4"/>
      <c r="F389" s="3"/>
      <c r="G389" s="5"/>
      <c r="H389" s="3"/>
      <c r="I389" s="5"/>
      <c r="J389" s="3"/>
      <c r="K389" s="5"/>
      <c r="L389" s="3"/>
      <c r="M389" s="5"/>
      <c r="N389" s="5"/>
    </row>
    <row r="390">
      <c r="B390" s="3"/>
      <c r="C390" s="3"/>
      <c r="D390" s="3"/>
      <c r="E390" s="4"/>
      <c r="F390" s="3"/>
      <c r="G390" s="5"/>
      <c r="H390" s="3"/>
      <c r="I390" s="5"/>
      <c r="J390" s="3"/>
      <c r="K390" s="5"/>
      <c r="L390" s="3"/>
      <c r="M390" s="5"/>
      <c r="N390" s="5"/>
    </row>
    <row r="391">
      <c r="B391" s="3"/>
      <c r="C391" s="3"/>
      <c r="D391" s="3"/>
      <c r="E391" s="4"/>
      <c r="F391" s="3"/>
      <c r="G391" s="5"/>
      <c r="H391" s="3"/>
      <c r="I391" s="5"/>
      <c r="J391" s="3"/>
      <c r="K391" s="5"/>
      <c r="L391" s="3"/>
      <c r="M391" s="5"/>
      <c r="N391" s="5"/>
    </row>
    <row r="392">
      <c r="B392" s="3"/>
      <c r="C392" s="3"/>
      <c r="D392" s="3"/>
      <c r="E392" s="4"/>
      <c r="F392" s="3"/>
      <c r="G392" s="5"/>
      <c r="H392" s="3"/>
      <c r="I392" s="5"/>
      <c r="J392" s="3"/>
      <c r="K392" s="5"/>
      <c r="L392" s="3"/>
      <c r="M392" s="5"/>
      <c r="N392" s="5"/>
    </row>
    <row r="393">
      <c r="B393" s="3"/>
      <c r="C393" s="3"/>
      <c r="D393" s="3"/>
      <c r="E393" s="4"/>
      <c r="F393" s="3"/>
      <c r="G393" s="5"/>
      <c r="H393" s="3"/>
      <c r="I393" s="5"/>
      <c r="J393" s="3"/>
      <c r="K393" s="5"/>
      <c r="L393" s="3"/>
      <c r="M393" s="5"/>
      <c r="N393" s="5"/>
    </row>
    <row r="394">
      <c r="B394" s="3"/>
      <c r="C394" s="3"/>
      <c r="D394" s="3"/>
      <c r="E394" s="4"/>
      <c r="F394" s="3"/>
      <c r="G394" s="5"/>
      <c r="H394" s="3"/>
      <c r="I394" s="5"/>
      <c r="J394" s="3"/>
      <c r="K394" s="5"/>
      <c r="L394" s="3"/>
      <c r="M394" s="5"/>
      <c r="N394" s="5"/>
    </row>
    <row r="395">
      <c r="B395" s="3"/>
      <c r="C395" s="3"/>
      <c r="D395" s="3"/>
      <c r="E395" s="4"/>
      <c r="F395" s="3"/>
      <c r="G395" s="5"/>
      <c r="H395" s="3"/>
      <c r="I395" s="5"/>
      <c r="J395" s="3"/>
      <c r="K395" s="5"/>
      <c r="L395" s="3"/>
      <c r="M395" s="5"/>
      <c r="N395" s="5"/>
    </row>
    <row r="396">
      <c r="B396" s="3"/>
      <c r="C396" s="3"/>
      <c r="D396" s="3"/>
      <c r="E396" s="4"/>
      <c r="F396" s="3"/>
      <c r="G396" s="5"/>
      <c r="H396" s="3"/>
      <c r="I396" s="5"/>
      <c r="J396" s="3"/>
      <c r="K396" s="5"/>
      <c r="L396" s="3"/>
      <c r="M396" s="5"/>
      <c r="N396" s="5"/>
    </row>
    <row r="397">
      <c r="B397" s="3"/>
      <c r="C397" s="3"/>
      <c r="D397" s="3"/>
      <c r="E397" s="4"/>
      <c r="F397" s="3"/>
      <c r="G397" s="5"/>
      <c r="H397" s="3"/>
      <c r="I397" s="5"/>
      <c r="J397" s="3"/>
      <c r="K397" s="5"/>
      <c r="L397" s="3"/>
      <c r="M397" s="5"/>
      <c r="N397" s="5"/>
    </row>
    <row r="398">
      <c r="B398" s="3"/>
      <c r="C398" s="3"/>
      <c r="D398" s="3"/>
      <c r="E398" s="4"/>
      <c r="F398" s="3"/>
      <c r="G398" s="5"/>
      <c r="H398" s="3"/>
      <c r="I398" s="5"/>
      <c r="J398" s="3"/>
      <c r="K398" s="5"/>
      <c r="L398" s="3"/>
      <c r="M398" s="5"/>
      <c r="N398" s="5"/>
    </row>
    <row r="399">
      <c r="B399" s="3"/>
      <c r="C399" s="3"/>
      <c r="D399" s="3"/>
      <c r="E399" s="4"/>
      <c r="F399" s="3"/>
      <c r="G399" s="5"/>
      <c r="H399" s="3"/>
      <c r="I399" s="5"/>
      <c r="J399" s="3"/>
      <c r="K399" s="5"/>
      <c r="L399" s="3"/>
      <c r="M399" s="5"/>
      <c r="N399" s="5"/>
    </row>
    <row r="400">
      <c r="B400" s="3"/>
      <c r="C400" s="3"/>
      <c r="D400" s="3"/>
      <c r="E400" s="4"/>
      <c r="F400" s="3"/>
      <c r="G400" s="5"/>
      <c r="H400" s="3"/>
      <c r="I400" s="5"/>
      <c r="J400" s="3"/>
      <c r="K400" s="5"/>
      <c r="L400" s="3"/>
      <c r="M400" s="5"/>
      <c r="N400" s="5"/>
    </row>
    <row r="401">
      <c r="B401" s="3"/>
      <c r="C401" s="3"/>
      <c r="D401" s="3"/>
      <c r="E401" s="4"/>
      <c r="F401" s="3"/>
      <c r="G401" s="5"/>
      <c r="H401" s="3"/>
      <c r="I401" s="5"/>
      <c r="J401" s="3"/>
      <c r="K401" s="5"/>
      <c r="L401" s="3"/>
      <c r="M401" s="5"/>
      <c r="N401" s="5"/>
    </row>
    <row r="402">
      <c r="B402" s="3"/>
      <c r="C402" s="3"/>
      <c r="D402" s="3"/>
      <c r="E402" s="4"/>
      <c r="F402" s="3"/>
      <c r="G402" s="5"/>
      <c r="H402" s="3"/>
      <c r="I402" s="5"/>
      <c r="J402" s="3"/>
      <c r="K402" s="5"/>
      <c r="L402" s="3"/>
      <c r="M402" s="5"/>
      <c r="N402" s="5"/>
    </row>
    <row r="403">
      <c r="B403" s="3"/>
      <c r="C403" s="3"/>
      <c r="D403" s="3"/>
      <c r="E403" s="4"/>
      <c r="F403" s="3"/>
      <c r="G403" s="5"/>
      <c r="H403" s="3"/>
      <c r="I403" s="5"/>
      <c r="J403" s="3"/>
      <c r="K403" s="5"/>
      <c r="L403" s="3"/>
      <c r="M403" s="5"/>
      <c r="N403" s="5"/>
    </row>
    <row r="404">
      <c r="B404" s="3"/>
      <c r="C404" s="3"/>
      <c r="D404" s="3"/>
      <c r="E404" s="4"/>
      <c r="F404" s="3"/>
      <c r="G404" s="5"/>
      <c r="H404" s="3"/>
      <c r="I404" s="5"/>
      <c r="J404" s="3"/>
      <c r="K404" s="5"/>
      <c r="L404" s="3"/>
      <c r="M404" s="5"/>
      <c r="N404" s="5"/>
    </row>
    <row r="405">
      <c r="B405" s="3"/>
      <c r="C405" s="3"/>
      <c r="D405" s="3"/>
      <c r="E405" s="4"/>
      <c r="F405" s="3"/>
      <c r="G405" s="5"/>
      <c r="H405" s="3"/>
      <c r="I405" s="5"/>
      <c r="J405" s="3"/>
      <c r="K405" s="5"/>
      <c r="L405" s="3"/>
      <c r="M405" s="5"/>
      <c r="N405" s="5"/>
    </row>
    <row r="406">
      <c r="B406" s="3"/>
      <c r="C406" s="3"/>
      <c r="D406" s="3"/>
      <c r="E406" s="4"/>
      <c r="F406" s="3"/>
      <c r="G406" s="5"/>
      <c r="H406" s="3"/>
      <c r="I406" s="5"/>
      <c r="J406" s="3"/>
      <c r="K406" s="5"/>
      <c r="L406" s="3"/>
      <c r="M406" s="5"/>
      <c r="N406" s="5"/>
    </row>
    <row r="407">
      <c r="B407" s="3"/>
      <c r="C407" s="3"/>
      <c r="D407" s="3"/>
      <c r="E407" s="4"/>
      <c r="F407" s="3"/>
      <c r="G407" s="5"/>
      <c r="H407" s="3"/>
      <c r="I407" s="5"/>
      <c r="J407" s="3"/>
      <c r="K407" s="5"/>
      <c r="L407" s="3"/>
      <c r="M407" s="5"/>
      <c r="N407" s="5"/>
    </row>
    <row r="408">
      <c r="B408" s="3"/>
      <c r="C408" s="3"/>
      <c r="D408" s="3"/>
      <c r="E408" s="4"/>
      <c r="F408" s="3"/>
      <c r="G408" s="5"/>
      <c r="H408" s="3"/>
      <c r="I408" s="5"/>
      <c r="J408" s="3"/>
      <c r="K408" s="5"/>
      <c r="L408" s="3"/>
      <c r="M408" s="5"/>
      <c r="N408" s="5"/>
    </row>
    <row r="409">
      <c r="B409" s="3"/>
      <c r="C409" s="3"/>
      <c r="D409" s="3"/>
      <c r="E409" s="4"/>
      <c r="F409" s="3"/>
      <c r="G409" s="5"/>
      <c r="H409" s="3"/>
      <c r="I409" s="5"/>
      <c r="J409" s="3"/>
      <c r="K409" s="5"/>
      <c r="L409" s="3"/>
      <c r="M409" s="5"/>
      <c r="N409" s="5"/>
    </row>
    <row r="410">
      <c r="B410" s="3"/>
      <c r="C410" s="3"/>
      <c r="D410" s="3"/>
      <c r="E410" s="4"/>
      <c r="F410" s="3"/>
      <c r="G410" s="5"/>
      <c r="H410" s="3"/>
      <c r="I410" s="5"/>
      <c r="J410" s="3"/>
      <c r="K410" s="5"/>
      <c r="L410" s="3"/>
      <c r="M410" s="5"/>
      <c r="N410" s="5"/>
    </row>
    <row r="411">
      <c r="B411" s="3"/>
      <c r="C411" s="3"/>
      <c r="D411" s="3"/>
      <c r="E411" s="4"/>
      <c r="F411" s="3"/>
      <c r="G411" s="5"/>
      <c r="H411" s="3"/>
      <c r="I411" s="5"/>
      <c r="J411" s="3"/>
      <c r="K411" s="5"/>
      <c r="L411" s="3"/>
      <c r="M411" s="5"/>
      <c r="N411" s="5"/>
    </row>
    <row r="412">
      <c r="B412" s="3"/>
      <c r="C412" s="3"/>
      <c r="D412" s="3"/>
      <c r="E412" s="4"/>
      <c r="F412" s="3"/>
      <c r="G412" s="5"/>
      <c r="H412" s="3"/>
      <c r="I412" s="5"/>
      <c r="J412" s="3"/>
      <c r="K412" s="5"/>
      <c r="L412" s="3"/>
      <c r="M412" s="5"/>
      <c r="N412" s="5"/>
    </row>
    <row r="413">
      <c r="B413" s="3"/>
      <c r="C413" s="3"/>
      <c r="D413" s="3"/>
      <c r="E413" s="4"/>
      <c r="F413" s="3"/>
      <c r="G413" s="5"/>
      <c r="H413" s="3"/>
      <c r="I413" s="5"/>
      <c r="J413" s="3"/>
      <c r="K413" s="5"/>
      <c r="L413" s="3"/>
      <c r="M413" s="5"/>
      <c r="N413" s="5"/>
    </row>
    <row r="414">
      <c r="B414" s="3"/>
      <c r="C414" s="3"/>
      <c r="D414" s="3"/>
      <c r="E414" s="4"/>
      <c r="F414" s="3"/>
      <c r="G414" s="5"/>
      <c r="H414" s="3"/>
      <c r="I414" s="5"/>
      <c r="J414" s="3"/>
      <c r="K414" s="5"/>
      <c r="L414" s="3"/>
      <c r="M414" s="5"/>
      <c r="N414" s="5"/>
    </row>
    <row r="415">
      <c r="B415" s="3"/>
      <c r="C415" s="3"/>
      <c r="D415" s="3"/>
      <c r="E415" s="4"/>
      <c r="F415" s="3"/>
      <c r="G415" s="5"/>
      <c r="H415" s="3"/>
      <c r="I415" s="5"/>
      <c r="J415" s="3"/>
      <c r="K415" s="5"/>
      <c r="L415" s="3"/>
      <c r="M415" s="5"/>
      <c r="N415" s="5"/>
    </row>
    <row r="416">
      <c r="B416" s="3"/>
      <c r="C416" s="3"/>
      <c r="D416" s="3"/>
      <c r="E416" s="4"/>
      <c r="F416" s="3"/>
      <c r="G416" s="5"/>
      <c r="H416" s="3"/>
      <c r="I416" s="5"/>
      <c r="J416" s="3"/>
      <c r="K416" s="5"/>
      <c r="L416" s="3"/>
      <c r="M416" s="5"/>
      <c r="N416" s="5"/>
    </row>
    <row r="417">
      <c r="B417" s="3"/>
      <c r="C417" s="3"/>
      <c r="D417" s="3"/>
      <c r="E417" s="4"/>
      <c r="F417" s="3"/>
      <c r="G417" s="5"/>
      <c r="H417" s="3"/>
      <c r="I417" s="5"/>
      <c r="J417" s="3"/>
      <c r="K417" s="5"/>
      <c r="L417" s="3"/>
      <c r="M417" s="5"/>
      <c r="N417" s="5"/>
    </row>
    <row r="418">
      <c r="B418" s="3"/>
      <c r="C418" s="3"/>
      <c r="D418" s="3"/>
      <c r="E418" s="4"/>
      <c r="F418" s="3"/>
      <c r="G418" s="5"/>
      <c r="H418" s="3"/>
      <c r="I418" s="5"/>
      <c r="J418" s="3"/>
      <c r="K418" s="5"/>
      <c r="L418" s="3"/>
      <c r="M418" s="5"/>
      <c r="N418" s="5"/>
    </row>
    <row r="419">
      <c r="B419" s="3"/>
      <c r="C419" s="3"/>
      <c r="D419" s="3"/>
      <c r="E419" s="4"/>
      <c r="F419" s="3"/>
      <c r="G419" s="5"/>
      <c r="H419" s="3"/>
      <c r="I419" s="5"/>
      <c r="J419" s="3"/>
      <c r="K419" s="5"/>
      <c r="L419" s="3"/>
      <c r="M419" s="5"/>
      <c r="N419" s="5"/>
    </row>
    <row r="420">
      <c r="B420" s="3"/>
      <c r="C420" s="3"/>
      <c r="D420" s="3"/>
      <c r="E420" s="4"/>
      <c r="F420" s="3"/>
      <c r="G420" s="5"/>
      <c r="H420" s="3"/>
      <c r="I420" s="5"/>
      <c r="J420" s="3"/>
      <c r="K420" s="5"/>
      <c r="L420" s="3"/>
      <c r="M420" s="5"/>
      <c r="N420" s="5"/>
    </row>
    <row r="421">
      <c r="B421" s="3"/>
      <c r="C421" s="3"/>
      <c r="D421" s="3"/>
      <c r="E421" s="4"/>
      <c r="F421" s="3"/>
      <c r="G421" s="5"/>
      <c r="H421" s="3"/>
      <c r="I421" s="5"/>
      <c r="J421" s="3"/>
      <c r="K421" s="5"/>
      <c r="L421" s="3"/>
      <c r="M421" s="5"/>
      <c r="N421" s="5"/>
    </row>
    <row r="422">
      <c r="B422" s="3"/>
      <c r="C422" s="3"/>
      <c r="D422" s="3"/>
      <c r="E422" s="4"/>
      <c r="F422" s="3"/>
      <c r="G422" s="5"/>
      <c r="H422" s="3"/>
      <c r="I422" s="5"/>
      <c r="J422" s="3"/>
      <c r="K422" s="5"/>
      <c r="L422" s="3"/>
      <c r="M422" s="5"/>
      <c r="N422" s="5"/>
    </row>
    <row r="423">
      <c r="B423" s="3"/>
      <c r="C423" s="3"/>
      <c r="D423" s="3"/>
      <c r="E423" s="4"/>
      <c r="F423" s="3"/>
      <c r="G423" s="5"/>
      <c r="H423" s="3"/>
      <c r="I423" s="5"/>
      <c r="J423" s="3"/>
      <c r="K423" s="5"/>
      <c r="L423" s="3"/>
      <c r="M423" s="5"/>
      <c r="N423" s="5"/>
    </row>
    <row r="424">
      <c r="B424" s="3"/>
      <c r="C424" s="3"/>
      <c r="D424" s="3"/>
      <c r="E424" s="4"/>
      <c r="F424" s="3"/>
      <c r="G424" s="5"/>
      <c r="H424" s="3"/>
      <c r="I424" s="5"/>
      <c r="J424" s="3"/>
      <c r="K424" s="5"/>
      <c r="L424" s="3"/>
      <c r="M424" s="5"/>
      <c r="N424" s="5"/>
    </row>
    <row r="425">
      <c r="B425" s="3"/>
      <c r="C425" s="3"/>
      <c r="D425" s="3"/>
      <c r="E425" s="4"/>
      <c r="F425" s="3"/>
      <c r="G425" s="5"/>
      <c r="H425" s="3"/>
      <c r="I425" s="5"/>
      <c r="J425" s="3"/>
      <c r="K425" s="5"/>
      <c r="L425" s="3"/>
      <c r="M425" s="5"/>
      <c r="N425" s="5"/>
    </row>
    <row r="426">
      <c r="B426" s="3"/>
      <c r="C426" s="3"/>
      <c r="D426" s="3"/>
      <c r="E426" s="4"/>
      <c r="F426" s="3"/>
      <c r="G426" s="5"/>
      <c r="H426" s="3"/>
      <c r="I426" s="5"/>
      <c r="J426" s="3"/>
      <c r="K426" s="5"/>
      <c r="L426" s="3"/>
      <c r="M426" s="5"/>
      <c r="N426" s="5"/>
    </row>
    <row r="427">
      <c r="B427" s="3"/>
      <c r="C427" s="3"/>
      <c r="D427" s="3"/>
      <c r="E427" s="4"/>
      <c r="F427" s="3"/>
      <c r="G427" s="5"/>
      <c r="H427" s="3"/>
      <c r="I427" s="5"/>
      <c r="J427" s="3"/>
      <c r="K427" s="5"/>
      <c r="L427" s="3"/>
      <c r="M427" s="5"/>
      <c r="N427" s="5"/>
    </row>
    <row r="428">
      <c r="B428" s="3"/>
      <c r="C428" s="3"/>
      <c r="D428" s="3"/>
      <c r="E428" s="4"/>
      <c r="F428" s="3"/>
      <c r="G428" s="5"/>
      <c r="H428" s="3"/>
      <c r="I428" s="5"/>
      <c r="J428" s="3"/>
      <c r="K428" s="5"/>
      <c r="L428" s="3"/>
      <c r="M428" s="5"/>
      <c r="N428" s="5"/>
    </row>
    <row r="429">
      <c r="B429" s="3"/>
      <c r="C429" s="3"/>
      <c r="D429" s="3"/>
      <c r="E429" s="4"/>
      <c r="F429" s="3"/>
      <c r="G429" s="5"/>
      <c r="H429" s="3"/>
      <c r="I429" s="5"/>
      <c r="J429" s="3"/>
      <c r="K429" s="5"/>
      <c r="L429" s="3"/>
      <c r="M429" s="5"/>
      <c r="N429" s="5"/>
    </row>
    <row r="430">
      <c r="B430" s="3"/>
      <c r="C430" s="3"/>
      <c r="D430" s="3"/>
      <c r="E430" s="4"/>
      <c r="F430" s="3"/>
      <c r="G430" s="5"/>
      <c r="H430" s="3"/>
      <c r="I430" s="5"/>
      <c r="J430" s="3"/>
      <c r="K430" s="5"/>
      <c r="L430" s="3"/>
      <c r="M430" s="5"/>
      <c r="N430" s="5"/>
    </row>
    <row r="431">
      <c r="B431" s="3"/>
      <c r="C431" s="3"/>
      <c r="D431" s="3"/>
      <c r="E431" s="4"/>
      <c r="F431" s="3"/>
      <c r="G431" s="5"/>
      <c r="H431" s="3"/>
      <c r="I431" s="5"/>
      <c r="J431" s="3"/>
      <c r="K431" s="5"/>
      <c r="L431" s="3"/>
      <c r="M431" s="5"/>
      <c r="N431" s="5"/>
    </row>
    <row r="432">
      <c r="B432" s="3"/>
      <c r="C432" s="3"/>
      <c r="D432" s="3"/>
      <c r="E432" s="4"/>
      <c r="F432" s="3"/>
      <c r="G432" s="5"/>
      <c r="H432" s="3"/>
      <c r="I432" s="5"/>
      <c r="J432" s="3"/>
      <c r="K432" s="5"/>
      <c r="L432" s="3"/>
      <c r="M432" s="5"/>
      <c r="N432" s="5"/>
    </row>
    <row r="433">
      <c r="B433" s="3"/>
      <c r="C433" s="3"/>
      <c r="D433" s="3"/>
      <c r="E433" s="4"/>
      <c r="F433" s="3"/>
      <c r="G433" s="5"/>
      <c r="H433" s="3"/>
      <c r="I433" s="5"/>
      <c r="J433" s="3"/>
      <c r="K433" s="5"/>
      <c r="L433" s="3"/>
      <c r="M433" s="5"/>
      <c r="N433" s="5"/>
    </row>
    <row r="434">
      <c r="B434" s="3"/>
      <c r="C434" s="3"/>
      <c r="D434" s="3"/>
      <c r="E434" s="4"/>
      <c r="F434" s="3"/>
      <c r="G434" s="5"/>
      <c r="H434" s="3"/>
      <c r="I434" s="5"/>
      <c r="J434" s="3"/>
      <c r="K434" s="5"/>
      <c r="L434" s="3"/>
      <c r="M434" s="5"/>
      <c r="N434" s="5"/>
    </row>
    <row r="435">
      <c r="B435" s="3"/>
      <c r="C435" s="3"/>
      <c r="D435" s="3"/>
      <c r="E435" s="4"/>
      <c r="F435" s="3"/>
      <c r="G435" s="5"/>
      <c r="H435" s="3"/>
      <c r="I435" s="5"/>
      <c r="J435" s="3"/>
      <c r="K435" s="5"/>
      <c r="L435" s="3"/>
      <c r="M435" s="5"/>
      <c r="N435" s="5"/>
    </row>
    <row r="436">
      <c r="B436" s="3"/>
      <c r="C436" s="3"/>
      <c r="D436" s="3"/>
      <c r="E436" s="4"/>
      <c r="F436" s="3"/>
      <c r="G436" s="5"/>
      <c r="H436" s="3"/>
      <c r="I436" s="5"/>
      <c r="J436" s="3"/>
      <c r="K436" s="5"/>
      <c r="L436" s="3"/>
      <c r="M436" s="5"/>
      <c r="N436" s="5"/>
    </row>
    <row r="437">
      <c r="B437" s="3"/>
      <c r="C437" s="3"/>
      <c r="D437" s="3"/>
      <c r="E437" s="4"/>
      <c r="F437" s="3"/>
      <c r="G437" s="5"/>
      <c r="H437" s="3"/>
      <c r="I437" s="5"/>
      <c r="J437" s="3"/>
      <c r="K437" s="5"/>
      <c r="L437" s="3"/>
      <c r="M437" s="5"/>
      <c r="N437" s="5"/>
    </row>
    <row r="438">
      <c r="B438" s="3"/>
      <c r="C438" s="3"/>
      <c r="D438" s="3"/>
      <c r="E438" s="4"/>
      <c r="F438" s="3"/>
      <c r="G438" s="5"/>
      <c r="H438" s="3"/>
      <c r="I438" s="5"/>
      <c r="J438" s="3"/>
      <c r="K438" s="5"/>
      <c r="L438" s="3"/>
      <c r="M438" s="5"/>
      <c r="N438" s="5"/>
    </row>
    <row r="439">
      <c r="B439" s="3"/>
      <c r="C439" s="3"/>
      <c r="D439" s="3"/>
      <c r="E439" s="4"/>
      <c r="F439" s="3"/>
      <c r="G439" s="5"/>
      <c r="H439" s="3"/>
      <c r="I439" s="5"/>
      <c r="J439" s="3"/>
      <c r="K439" s="5"/>
      <c r="L439" s="3"/>
      <c r="M439" s="5"/>
      <c r="N439" s="5"/>
    </row>
    <row r="440">
      <c r="B440" s="3"/>
      <c r="C440" s="3"/>
      <c r="D440" s="3"/>
      <c r="E440" s="4"/>
      <c r="F440" s="3"/>
      <c r="G440" s="5"/>
      <c r="H440" s="3"/>
      <c r="I440" s="5"/>
      <c r="J440" s="3"/>
      <c r="K440" s="5"/>
      <c r="L440" s="3"/>
      <c r="M440" s="5"/>
      <c r="N440" s="5"/>
    </row>
    <row r="441">
      <c r="B441" s="3"/>
      <c r="C441" s="3"/>
      <c r="D441" s="3"/>
      <c r="E441" s="4"/>
      <c r="F441" s="3"/>
      <c r="G441" s="5"/>
      <c r="H441" s="3"/>
      <c r="I441" s="5"/>
      <c r="J441" s="3"/>
      <c r="K441" s="5"/>
      <c r="L441" s="3"/>
      <c r="M441" s="5"/>
      <c r="N441" s="5"/>
    </row>
    <row r="442">
      <c r="B442" s="3"/>
      <c r="C442" s="3"/>
      <c r="D442" s="3"/>
      <c r="E442" s="4"/>
      <c r="F442" s="3"/>
      <c r="G442" s="5"/>
      <c r="H442" s="3"/>
      <c r="I442" s="5"/>
      <c r="J442" s="3"/>
      <c r="K442" s="5"/>
      <c r="L442" s="3"/>
      <c r="M442" s="5"/>
      <c r="N442" s="5"/>
    </row>
    <row r="443">
      <c r="B443" s="3"/>
      <c r="C443" s="3"/>
      <c r="D443" s="3"/>
      <c r="E443" s="4"/>
      <c r="F443" s="3"/>
      <c r="G443" s="5"/>
      <c r="H443" s="3"/>
      <c r="I443" s="5"/>
      <c r="J443" s="3"/>
      <c r="K443" s="5"/>
      <c r="L443" s="3"/>
      <c r="M443" s="5"/>
      <c r="N443" s="5"/>
    </row>
    <row r="444">
      <c r="B444" s="3"/>
      <c r="C444" s="3"/>
      <c r="D444" s="3"/>
      <c r="E444" s="4"/>
      <c r="F444" s="3"/>
      <c r="G444" s="5"/>
      <c r="H444" s="3"/>
      <c r="I444" s="5"/>
      <c r="J444" s="3"/>
      <c r="K444" s="5"/>
      <c r="L444" s="3"/>
      <c r="M444" s="5"/>
      <c r="N444" s="5"/>
    </row>
    <row r="445">
      <c r="B445" s="3"/>
      <c r="C445" s="3"/>
      <c r="D445" s="3"/>
      <c r="E445" s="4"/>
      <c r="F445" s="3"/>
      <c r="G445" s="5"/>
      <c r="H445" s="3"/>
      <c r="I445" s="5"/>
      <c r="J445" s="3"/>
      <c r="K445" s="5"/>
      <c r="L445" s="3"/>
      <c r="M445" s="5"/>
      <c r="N445" s="5"/>
    </row>
    <row r="446">
      <c r="B446" s="3"/>
      <c r="C446" s="3"/>
      <c r="D446" s="3"/>
      <c r="E446" s="4"/>
      <c r="F446" s="3"/>
      <c r="G446" s="5"/>
      <c r="H446" s="3"/>
      <c r="I446" s="5"/>
      <c r="J446" s="3"/>
      <c r="K446" s="5"/>
      <c r="L446" s="3"/>
      <c r="M446" s="5"/>
      <c r="N446" s="5"/>
    </row>
    <row r="447">
      <c r="B447" s="3"/>
      <c r="C447" s="3"/>
      <c r="D447" s="3"/>
      <c r="E447" s="4"/>
      <c r="F447" s="3"/>
      <c r="G447" s="5"/>
      <c r="H447" s="3"/>
      <c r="I447" s="5"/>
      <c r="J447" s="3"/>
      <c r="K447" s="5"/>
      <c r="L447" s="3"/>
      <c r="M447" s="5"/>
      <c r="N447" s="5"/>
    </row>
    <row r="448">
      <c r="B448" s="3"/>
      <c r="C448" s="3"/>
      <c r="D448" s="3"/>
      <c r="E448" s="4"/>
      <c r="F448" s="3"/>
      <c r="G448" s="5"/>
      <c r="H448" s="3"/>
      <c r="I448" s="5"/>
      <c r="J448" s="3"/>
      <c r="K448" s="5"/>
      <c r="L448" s="3"/>
      <c r="M448" s="5"/>
      <c r="N448" s="5"/>
    </row>
    <row r="449">
      <c r="B449" s="3"/>
      <c r="C449" s="3"/>
      <c r="D449" s="3"/>
      <c r="E449" s="4"/>
      <c r="F449" s="3"/>
      <c r="G449" s="5"/>
      <c r="H449" s="3"/>
      <c r="I449" s="5"/>
      <c r="J449" s="3"/>
      <c r="K449" s="5"/>
      <c r="L449" s="3"/>
      <c r="M449" s="5"/>
      <c r="N449" s="5"/>
    </row>
    <row r="450">
      <c r="B450" s="3"/>
      <c r="C450" s="3"/>
      <c r="D450" s="3"/>
      <c r="E450" s="4"/>
      <c r="F450" s="3"/>
      <c r="G450" s="5"/>
      <c r="H450" s="3"/>
      <c r="I450" s="5"/>
      <c r="J450" s="3"/>
      <c r="K450" s="5"/>
      <c r="L450" s="3"/>
      <c r="M450" s="5"/>
      <c r="N450" s="5"/>
    </row>
    <row r="451">
      <c r="B451" s="3"/>
      <c r="C451" s="3"/>
      <c r="D451" s="3"/>
      <c r="E451" s="4"/>
      <c r="F451" s="3"/>
      <c r="G451" s="5"/>
      <c r="H451" s="3"/>
      <c r="I451" s="5"/>
      <c r="J451" s="3"/>
      <c r="K451" s="5"/>
      <c r="L451" s="3"/>
      <c r="M451" s="5"/>
      <c r="N451" s="5"/>
    </row>
    <row r="452">
      <c r="B452" s="3"/>
      <c r="C452" s="3"/>
      <c r="D452" s="3"/>
      <c r="E452" s="4"/>
      <c r="F452" s="3"/>
      <c r="G452" s="5"/>
      <c r="H452" s="3"/>
      <c r="I452" s="5"/>
      <c r="J452" s="3"/>
      <c r="K452" s="5"/>
      <c r="L452" s="3"/>
      <c r="M452" s="5"/>
      <c r="N452" s="5"/>
    </row>
    <row r="453">
      <c r="B453" s="3"/>
      <c r="C453" s="3"/>
      <c r="D453" s="3"/>
      <c r="E453" s="4"/>
      <c r="F453" s="3"/>
      <c r="G453" s="5"/>
      <c r="H453" s="3"/>
      <c r="I453" s="5"/>
      <c r="J453" s="3"/>
      <c r="K453" s="5"/>
      <c r="L453" s="3"/>
      <c r="M453" s="5"/>
      <c r="N453" s="5"/>
    </row>
    <row r="454">
      <c r="B454" s="3"/>
      <c r="C454" s="3"/>
      <c r="D454" s="3"/>
      <c r="E454" s="4"/>
      <c r="F454" s="3"/>
      <c r="G454" s="5"/>
      <c r="H454" s="3"/>
      <c r="I454" s="5"/>
      <c r="J454" s="3"/>
      <c r="K454" s="5"/>
      <c r="L454" s="3"/>
      <c r="M454" s="5"/>
      <c r="N454" s="5"/>
    </row>
    <row r="455">
      <c r="B455" s="3"/>
      <c r="C455" s="3"/>
      <c r="D455" s="3"/>
      <c r="E455" s="4"/>
      <c r="F455" s="3"/>
      <c r="G455" s="5"/>
      <c r="H455" s="3"/>
      <c r="I455" s="5"/>
      <c r="J455" s="3"/>
      <c r="K455" s="5"/>
      <c r="L455" s="3"/>
      <c r="M455" s="5"/>
      <c r="N455" s="5"/>
    </row>
    <row r="456">
      <c r="B456" s="3"/>
      <c r="C456" s="3"/>
      <c r="D456" s="3"/>
      <c r="E456" s="4"/>
      <c r="F456" s="3"/>
      <c r="G456" s="5"/>
      <c r="H456" s="3"/>
      <c r="I456" s="5"/>
      <c r="J456" s="3"/>
      <c r="K456" s="5"/>
      <c r="L456" s="3"/>
      <c r="M456" s="5"/>
      <c r="N456" s="5"/>
    </row>
    <row r="457">
      <c r="B457" s="3"/>
      <c r="C457" s="3"/>
      <c r="D457" s="3"/>
      <c r="E457" s="4"/>
      <c r="F457" s="3"/>
      <c r="G457" s="5"/>
      <c r="H457" s="3"/>
      <c r="I457" s="5"/>
      <c r="J457" s="3"/>
      <c r="K457" s="5"/>
      <c r="L457" s="3"/>
      <c r="M457" s="5"/>
      <c r="N457" s="5"/>
    </row>
    <row r="458">
      <c r="B458" s="3"/>
      <c r="C458" s="3"/>
      <c r="D458" s="3"/>
      <c r="E458" s="4"/>
      <c r="F458" s="3"/>
      <c r="G458" s="5"/>
      <c r="H458" s="3"/>
      <c r="I458" s="5"/>
      <c r="J458" s="3"/>
      <c r="K458" s="5"/>
      <c r="L458" s="3"/>
      <c r="M458" s="5"/>
      <c r="N458" s="5"/>
    </row>
    <row r="459">
      <c r="B459" s="3"/>
      <c r="C459" s="3"/>
      <c r="D459" s="3"/>
      <c r="E459" s="4"/>
      <c r="F459" s="3"/>
      <c r="G459" s="5"/>
      <c r="H459" s="3"/>
      <c r="I459" s="5"/>
      <c r="J459" s="3"/>
      <c r="K459" s="5"/>
      <c r="L459" s="3"/>
      <c r="M459" s="5"/>
      <c r="N459" s="5"/>
    </row>
    <row r="460">
      <c r="B460" s="3"/>
      <c r="C460" s="3"/>
      <c r="D460" s="3"/>
      <c r="E460" s="4"/>
      <c r="F460" s="3"/>
      <c r="G460" s="5"/>
      <c r="H460" s="3"/>
      <c r="I460" s="5"/>
      <c r="J460" s="3"/>
      <c r="K460" s="5"/>
      <c r="L460" s="3"/>
      <c r="M460" s="5"/>
      <c r="N460" s="5"/>
    </row>
    <row r="461">
      <c r="B461" s="3"/>
      <c r="C461" s="3"/>
      <c r="D461" s="3"/>
      <c r="E461" s="4"/>
      <c r="F461" s="3"/>
      <c r="G461" s="5"/>
      <c r="H461" s="3"/>
      <c r="I461" s="5"/>
      <c r="J461" s="3"/>
      <c r="K461" s="5"/>
      <c r="L461" s="3"/>
      <c r="M461" s="5"/>
      <c r="N461" s="5"/>
    </row>
    <row r="462">
      <c r="B462" s="3"/>
      <c r="C462" s="3"/>
      <c r="D462" s="3"/>
      <c r="E462" s="4"/>
      <c r="F462" s="3"/>
      <c r="G462" s="5"/>
      <c r="H462" s="3"/>
      <c r="I462" s="5"/>
      <c r="J462" s="3"/>
      <c r="K462" s="5"/>
      <c r="L462" s="3"/>
      <c r="M462" s="5"/>
      <c r="N462" s="5"/>
    </row>
    <row r="463">
      <c r="B463" s="3"/>
      <c r="C463" s="3"/>
      <c r="D463" s="3"/>
      <c r="E463" s="4"/>
      <c r="F463" s="3"/>
      <c r="G463" s="5"/>
      <c r="H463" s="3"/>
      <c r="I463" s="5"/>
      <c r="J463" s="3"/>
      <c r="K463" s="5"/>
      <c r="L463" s="3"/>
      <c r="M463" s="5"/>
      <c r="N463" s="5"/>
    </row>
    <row r="464">
      <c r="B464" s="3"/>
      <c r="C464" s="3"/>
      <c r="D464" s="3"/>
      <c r="E464" s="4"/>
      <c r="F464" s="3"/>
      <c r="G464" s="5"/>
      <c r="H464" s="3"/>
      <c r="I464" s="5"/>
      <c r="J464" s="3"/>
      <c r="K464" s="5"/>
      <c r="L464" s="3"/>
      <c r="M464" s="5"/>
      <c r="N464" s="5"/>
    </row>
    <row r="465">
      <c r="B465" s="3"/>
      <c r="C465" s="3"/>
      <c r="D465" s="3"/>
      <c r="E465" s="4"/>
      <c r="F465" s="3"/>
      <c r="G465" s="5"/>
      <c r="H465" s="3"/>
      <c r="I465" s="5"/>
      <c r="J465" s="3"/>
      <c r="K465" s="5"/>
      <c r="L465" s="3"/>
      <c r="M465" s="5"/>
      <c r="N465" s="5"/>
    </row>
    <row r="466">
      <c r="B466" s="3"/>
      <c r="C466" s="3"/>
      <c r="D466" s="3"/>
      <c r="E466" s="4"/>
      <c r="F466" s="3"/>
      <c r="G466" s="5"/>
      <c r="H466" s="3"/>
      <c r="I466" s="5"/>
      <c r="J466" s="3"/>
      <c r="K466" s="5"/>
      <c r="L466" s="3"/>
      <c r="M466" s="5"/>
      <c r="N466" s="5"/>
    </row>
    <row r="467">
      <c r="B467" s="3"/>
      <c r="C467" s="3"/>
      <c r="D467" s="3"/>
      <c r="E467" s="4"/>
      <c r="F467" s="3"/>
      <c r="G467" s="5"/>
      <c r="H467" s="3"/>
      <c r="I467" s="5"/>
      <c r="J467" s="3"/>
      <c r="K467" s="5"/>
      <c r="L467" s="3"/>
      <c r="M467" s="5"/>
      <c r="N467" s="5"/>
    </row>
    <row r="468">
      <c r="B468" s="3"/>
      <c r="C468" s="3"/>
      <c r="D468" s="3"/>
      <c r="E468" s="4"/>
      <c r="F468" s="3"/>
      <c r="G468" s="5"/>
      <c r="H468" s="3"/>
      <c r="I468" s="5"/>
      <c r="J468" s="3"/>
      <c r="K468" s="5"/>
      <c r="L468" s="3"/>
      <c r="M468" s="5"/>
      <c r="N468" s="5"/>
    </row>
    <row r="469">
      <c r="B469" s="3"/>
      <c r="C469" s="3"/>
      <c r="D469" s="3"/>
      <c r="E469" s="4"/>
      <c r="F469" s="3"/>
      <c r="G469" s="5"/>
      <c r="H469" s="3"/>
      <c r="I469" s="5"/>
      <c r="J469" s="3"/>
      <c r="K469" s="5"/>
      <c r="L469" s="3"/>
      <c r="M469" s="5"/>
      <c r="N469" s="5"/>
    </row>
    <row r="470">
      <c r="B470" s="3"/>
      <c r="C470" s="3"/>
      <c r="D470" s="3"/>
      <c r="E470" s="4"/>
      <c r="F470" s="3"/>
      <c r="G470" s="5"/>
      <c r="H470" s="3"/>
      <c r="I470" s="5"/>
      <c r="J470" s="3"/>
      <c r="K470" s="5"/>
      <c r="L470" s="3"/>
      <c r="M470" s="5"/>
      <c r="N470" s="5"/>
    </row>
    <row r="471">
      <c r="B471" s="3"/>
      <c r="C471" s="3"/>
      <c r="D471" s="3"/>
      <c r="E471" s="4"/>
      <c r="F471" s="3"/>
      <c r="G471" s="5"/>
      <c r="H471" s="3"/>
      <c r="I471" s="5"/>
      <c r="J471" s="3"/>
      <c r="K471" s="5"/>
      <c r="L471" s="3"/>
      <c r="M471" s="5"/>
      <c r="N471" s="5"/>
    </row>
    <row r="472">
      <c r="B472" s="3"/>
      <c r="C472" s="3"/>
      <c r="D472" s="3"/>
      <c r="E472" s="4"/>
      <c r="F472" s="3"/>
      <c r="G472" s="5"/>
      <c r="H472" s="3"/>
      <c r="I472" s="5"/>
      <c r="J472" s="3"/>
      <c r="K472" s="5"/>
      <c r="L472" s="3"/>
      <c r="M472" s="5"/>
      <c r="N472" s="5"/>
    </row>
    <row r="473">
      <c r="B473" s="3"/>
      <c r="C473" s="3"/>
      <c r="D473" s="3"/>
      <c r="E473" s="4"/>
      <c r="F473" s="3"/>
      <c r="G473" s="5"/>
      <c r="H473" s="3"/>
      <c r="I473" s="5"/>
      <c r="J473" s="3"/>
      <c r="K473" s="5"/>
      <c r="L473" s="3"/>
      <c r="M473" s="5"/>
      <c r="N473" s="5"/>
    </row>
    <row r="474">
      <c r="B474" s="3"/>
      <c r="C474" s="3"/>
      <c r="D474" s="3"/>
      <c r="E474" s="4"/>
      <c r="F474" s="3"/>
      <c r="G474" s="5"/>
      <c r="H474" s="3"/>
      <c r="I474" s="5"/>
      <c r="J474" s="3"/>
      <c r="K474" s="5"/>
      <c r="L474" s="3"/>
      <c r="M474" s="5"/>
      <c r="N474" s="5"/>
    </row>
    <row r="475">
      <c r="B475" s="3"/>
      <c r="C475" s="3"/>
      <c r="D475" s="3"/>
      <c r="E475" s="4"/>
      <c r="F475" s="3"/>
      <c r="G475" s="5"/>
      <c r="H475" s="3"/>
      <c r="I475" s="5"/>
      <c r="J475" s="3"/>
      <c r="K475" s="5"/>
      <c r="L475" s="3"/>
      <c r="M475" s="5"/>
      <c r="N475" s="5"/>
    </row>
    <row r="476">
      <c r="B476" s="3"/>
      <c r="C476" s="3"/>
      <c r="D476" s="3"/>
      <c r="E476" s="4"/>
      <c r="F476" s="3"/>
      <c r="G476" s="5"/>
      <c r="H476" s="3"/>
      <c r="I476" s="5"/>
      <c r="J476" s="3"/>
      <c r="K476" s="5"/>
      <c r="L476" s="3"/>
      <c r="M476" s="5"/>
      <c r="N476" s="5"/>
    </row>
    <row r="477">
      <c r="B477" s="3"/>
      <c r="C477" s="3"/>
      <c r="D477" s="3"/>
      <c r="E477" s="4"/>
      <c r="F477" s="3"/>
      <c r="G477" s="5"/>
      <c r="H477" s="3"/>
      <c r="I477" s="5"/>
      <c r="J477" s="3"/>
      <c r="K477" s="5"/>
      <c r="L477" s="3"/>
      <c r="M477" s="5"/>
      <c r="N477" s="5"/>
    </row>
    <row r="478">
      <c r="B478" s="3"/>
      <c r="C478" s="3"/>
      <c r="D478" s="3"/>
      <c r="E478" s="4"/>
      <c r="F478" s="3"/>
      <c r="G478" s="5"/>
      <c r="H478" s="3"/>
      <c r="I478" s="5"/>
      <c r="J478" s="3"/>
      <c r="K478" s="5"/>
      <c r="L478" s="3"/>
      <c r="M478" s="5"/>
      <c r="N478" s="5"/>
    </row>
    <row r="479">
      <c r="B479" s="3"/>
      <c r="C479" s="3"/>
      <c r="D479" s="3"/>
      <c r="E479" s="4"/>
      <c r="F479" s="3"/>
      <c r="G479" s="5"/>
      <c r="H479" s="3"/>
      <c r="I479" s="5"/>
      <c r="J479" s="3"/>
      <c r="K479" s="5"/>
      <c r="L479" s="3"/>
      <c r="M479" s="5"/>
      <c r="N479" s="5"/>
    </row>
    <row r="480">
      <c r="B480" s="3"/>
      <c r="C480" s="3"/>
      <c r="D480" s="3"/>
      <c r="E480" s="4"/>
      <c r="F480" s="3"/>
      <c r="G480" s="5"/>
      <c r="H480" s="3"/>
      <c r="I480" s="5"/>
      <c r="J480" s="3"/>
      <c r="K480" s="5"/>
      <c r="L480" s="3"/>
      <c r="M480" s="5"/>
      <c r="N480" s="5"/>
    </row>
    <row r="481">
      <c r="B481" s="3"/>
      <c r="C481" s="3"/>
      <c r="D481" s="3"/>
      <c r="E481" s="4"/>
      <c r="F481" s="3"/>
      <c r="G481" s="5"/>
      <c r="H481" s="3"/>
      <c r="I481" s="5"/>
      <c r="J481" s="3"/>
      <c r="K481" s="5"/>
      <c r="L481" s="3"/>
      <c r="M481" s="5"/>
      <c r="N481" s="5"/>
    </row>
    <row r="482">
      <c r="B482" s="3"/>
      <c r="C482" s="3"/>
      <c r="D482" s="3"/>
      <c r="E482" s="4"/>
      <c r="F482" s="3"/>
      <c r="G482" s="5"/>
      <c r="H482" s="3"/>
      <c r="I482" s="5"/>
      <c r="J482" s="3"/>
      <c r="K482" s="5"/>
      <c r="L482" s="3"/>
      <c r="M482" s="5"/>
      <c r="N482" s="5"/>
    </row>
    <row r="483">
      <c r="B483" s="3"/>
      <c r="C483" s="3"/>
      <c r="D483" s="3"/>
      <c r="E483" s="4"/>
      <c r="F483" s="3"/>
      <c r="G483" s="5"/>
      <c r="H483" s="3"/>
      <c r="I483" s="5"/>
      <c r="J483" s="3"/>
      <c r="K483" s="5"/>
      <c r="L483" s="3"/>
      <c r="M483" s="5"/>
      <c r="N483" s="5"/>
    </row>
    <row r="484">
      <c r="B484" s="3"/>
      <c r="C484" s="3"/>
      <c r="D484" s="3"/>
      <c r="E484" s="4"/>
      <c r="F484" s="3"/>
      <c r="G484" s="5"/>
      <c r="H484" s="3"/>
      <c r="I484" s="5"/>
      <c r="J484" s="3"/>
      <c r="K484" s="5"/>
      <c r="L484" s="3"/>
      <c r="M484" s="5"/>
      <c r="N484" s="5"/>
    </row>
    <row r="485">
      <c r="B485" s="3"/>
      <c r="C485" s="3"/>
      <c r="D485" s="3"/>
      <c r="E485" s="4"/>
      <c r="F485" s="3"/>
      <c r="G485" s="5"/>
      <c r="H485" s="3"/>
      <c r="I485" s="5"/>
      <c r="J485" s="3"/>
      <c r="K485" s="5"/>
      <c r="L485" s="3"/>
      <c r="M485" s="5"/>
      <c r="N485" s="5"/>
    </row>
    <row r="486">
      <c r="B486" s="3"/>
      <c r="C486" s="3"/>
      <c r="D486" s="3"/>
      <c r="E486" s="4"/>
      <c r="F486" s="3"/>
      <c r="G486" s="5"/>
      <c r="H486" s="3"/>
      <c r="I486" s="5"/>
      <c r="J486" s="3"/>
      <c r="K486" s="5"/>
      <c r="L486" s="3"/>
      <c r="M486" s="5"/>
      <c r="N486" s="5"/>
    </row>
    <row r="487">
      <c r="B487" s="3"/>
      <c r="C487" s="3"/>
      <c r="D487" s="3"/>
      <c r="E487" s="4"/>
      <c r="F487" s="3"/>
      <c r="G487" s="5"/>
      <c r="H487" s="3"/>
      <c r="I487" s="5"/>
      <c r="J487" s="3"/>
      <c r="K487" s="5"/>
      <c r="L487" s="3"/>
      <c r="M487" s="5"/>
      <c r="N487" s="5"/>
    </row>
    <row r="488">
      <c r="B488" s="3"/>
      <c r="C488" s="3"/>
      <c r="D488" s="3"/>
      <c r="E488" s="4"/>
      <c r="F488" s="3"/>
      <c r="G488" s="5"/>
      <c r="H488" s="3"/>
      <c r="I488" s="5"/>
      <c r="J488" s="3"/>
      <c r="K488" s="5"/>
      <c r="L488" s="3"/>
      <c r="M488" s="5"/>
      <c r="N488" s="5"/>
    </row>
    <row r="489">
      <c r="B489" s="3"/>
      <c r="C489" s="3"/>
      <c r="D489" s="3"/>
      <c r="E489" s="4"/>
      <c r="F489" s="3"/>
      <c r="G489" s="5"/>
      <c r="H489" s="3"/>
      <c r="I489" s="5"/>
      <c r="J489" s="3"/>
      <c r="K489" s="5"/>
      <c r="L489" s="3"/>
      <c r="M489" s="5"/>
      <c r="N489" s="5"/>
    </row>
    <row r="490">
      <c r="B490" s="3"/>
      <c r="C490" s="3"/>
      <c r="D490" s="3"/>
      <c r="E490" s="4"/>
      <c r="F490" s="3"/>
      <c r="G490" s="5"/>
      <c r="H490" s="3"/>
      <c r="I490" s="5"/>
      <c r="J490" s="3"/>
      <c r="K490" s="5"/>
      <c r="L490" s="3"/>
      <c r="M490" s="5"/>
      <c r="N490" s="5"/>
    </row>
    <row r="491">
      <c r="B491" s="3"/>
      <c r="C491" s="3"/>
      <c r="D491" s="3"/>
      <c r="E491" s="4"/>
      <c r="F491" s="3"/>
      <c r="G491" s="5"/>
      <c r="H491" s="3"/>
      <c r="I491" s="5"/>
      <c r="J491" s="3"/>
      <c r="K491" s="5"/>
      <c r="L491" s="3"/>
      <c r="M491" s="5"/>
      <c r="N491" s="5"/>
    </row>
    <row r="492">
      <c r="B492" s="3"/>
      <c r="C492" s="3"/>
      <c r="D492" s="3"/>
      <c r="E492" s="4"/>
      <c r="F492" s="3"/>
      <c r="G492" s="5"/>
      <c r="H492" s="3"/>
      <c r="I492" s="5"/>
      <c r="J492" s="3"/>
      <c r="K492" s="5"/>
      <c r="L492" s="3"/>
      <c r="M492" s="5"/>
      <c r="N492" s="5"/>
    </row>
    <row r="493">
      <c r="B493" s="3"/>
      <c r="C493" s="3"/>
      <c r="D493" s="3"/>
      <c r="E493" s="4"/>
      <c r="F493" s="3"/>
      <c r="G493" s="5"/>
      <c r="H493" s="3"/>
      <c r="I493" s="5"/>
      <c r="J493" s="3"/>
      <c r="K493" s="5"/>
      <c r="L493" s="3"/>
      <c r="M493" s="5"/>
      <c r="N493" s="5"/>
    </row>
    <row r="494">
      <c r="B494" s="3"/>
      <c r="C494" s="3"/>
      <c r="D494" s="3"/>
      <c r="E494" s="4"/>
      <c r="F494" s="3"/>
      <c r="G494" s="5"/>
      <c r="H494" s="3"/>
      <c r="I494" s="5"/>
      <c r="J494" s="3"/>
      <c r="K494" s="5"/>
      <c r="L494" s="3"/>
      <c r="M494" s="5"/>
      <c r="N494" s="5"/>
    </row>
    <row r="495">
      <c r="B495" s="3"/>
      <c r="C495" s="3"/>
      <c r="D495" s="3"/>
      <c r="E495" s="4"/>
      <c r="F495" s="3"/>
      <c r="G495" s="5"/>
      <c r="H495" s="3"/>
      <c r="I495" s="5"/>
      <c r="J495" s="3"/>
      <c r="K495" s="5"/>
      <c r="L495" s="3"/>
      <c r="M495" s="5"/>
      <c r="N495" s="5"/>
    </row>
    <row r="496">
      <c r="B496" s="3"/>
      <c r="C496" s="3"/>
      <c r="D496" s="3"/>
      <c r="E496" s="4"/>
      <c r="F496" s="3"/>
      <c r="G496" s="5"/>
      <c r="H496" s="3"/>
      <c r="I496" s="5"/>
      <c r="J496" s="3"/>
      <c r="K496" s="5"/>
      <c r="L496" s="3"/>
      <c r="M496" s="5"/>
      <c r="N496" s="5"/>
    </row>
    <row r="497">
      <c r="B497" s="3"/>
      <c r="C497" s="3"/>
      <c r="D497" s="3"/>
      <c r="E497" s="4"/>
      <c r="F497" s="3"/>
      <c r="G497" s="5"/>
      <c r="H497" s="3"/>
      <c r="I497" s="5"/>
      <c r="J497" s="3"/>
      <c r="K497" s="5"/>
      <c r="L497" s="3"/>
      <c r="M497" s="5"/>
      <c r="N497" s="5"/>
    </row>
    <row r="498">
      <c r="B498" s="3"/>
      <c r="C498" s="3"/>
      <c r="D498" s="3"/>
      <c r="E498" s="4"/>
      <c r="F498" s="3"/>
      <c r="G498" s="5"/>
      <c r="H498" s="3"/>
      <c r="I498" s="5"/>
      <c r="J498" s="3"/>
      <c r="K498" s="5"/>
      <c r="L498" s="3"/>
      <c r="M498" s="5"/>
      <c r="N498" s="5"/>
    </row>
    <row r="499">
      <c r="B499" s="3"/>
      <c r="C499" s="3"/>
      <c r="D499" s="3"/>
      <c r="E499" s="4"/>
      <c r="F499" s="3"/>
      <c r="G499" s="5"/>
      <c r="H499" s="3"/>
      <c r="I499" s="5"/>
      <c r="J499" s="3"/>
      <c r="K499" s="5"/>
      <c r="L499" s="3"/>
      <c r="M499" s="5"/>
      <c r="N499" s="5"/>
    </row>
    <row r="500">
      <c r="B500" s="3"/>
      <c r="C500" s="3"/>
      <c r="D500" s="3"/>
      <c r="E500" s="4"/>
      <c r="F500" s="3"/>
      <c r="G500" s="5"/>
      <c r="H500" s="3"/>
      <c r="I500" s="5"/>
      <c r="J500" s="3"/>
      <c r="K500" s="5"/>
      <c r="L500" s="3"/>
      <c r="M500" s="5"/>
      <c r="N500" s="5"/>
    </row>
    <row r="501">
      <c r="B501" s="3"/>
      <c r="C501" s="3"/>
      <c r="D501" s="3"/>
      <c r="E501" s="4"/>
      <c r="F501" s="3"/>
      <c r="G501" s="5"/>
      <c r="H501" s="3"/>
      <c r="I501" s="5"/>
      <c r="J501" s="3"/>
      <c r="K501" s="5"/>
      <c r="L501" s="3"/>
      <c r="M501" s="5"/>
      <c r="N501" s="5"/>
    </row>
    <row r="502">
      <c r="B502" s="3"/>
      <c r="C502" s="3"/>
      <c r="D502" s="3"/>
      <c r="E502" s="4"/>
      <c r="F502" s="3"/>
      <c r="G502" s="5"/>
      <c r="H502" s="3"/>
      <c r="I502" s="5"/>
      <c r="J502" s="3"/>
      <c r="K502" s="5"/>
      <c r="L502" s="3"/>
      <c r="M502" s="5"/>
      <c r="N502" s="5"/>
    </row>
    <row r="503">
      <c r="B503" s="3"/>
      <c r="C503" s="3"/>
      <c r="D503" s="3"/>
      <c r="E503" s="4"/>
      <c r="F503" s="3"/>
      <c r="G503" s="5"/>
      <c r="H503" s="3"/>
      <c r="I503" s="5"/>
      <c r="J503" s="3"/>
      <c r="K503" s="5"/>
      <c r="L503" s="3"/>
      <c r="M503" s="5"/>
      <c r="N503" s="5"/>
    </row>
    <row r="504">
      <c r="B504" s="3"/>
      <c r="C504" s="3"/>
      <c r="D504" s="3"/>
      <c r="E504" s="4"/>
      <c r="F504" s="3"/>
      <c r="G504" s="5"/>
      <c r="H504" s="3"/>
      <c r="I504" s="5"/>
      <c r="J504" s="3"/>
      <c r="K504" s="5"/>
      <c r="L504" s="3"/>
      <c r="M504" s="5"/>
      <c r="N504" s="5"/>
    </row>
    <row r="505">
      <c r="B505" s="3"/>
      <c r="C505" s="3"/>
      <c r="D505" s="3"/>
      <c r="E505" s="4"/>
      <c r="F505" s="3"/>
      <c r="G505" s="5"/>
      <c r="H505" s="3"/>
      <c r="I505" s="5"/>
      <c r="J505" s="3"/>
      <c r="K505" s="5"/>
      <c r="L505" s="3"/>
      <c r="M505" s="5"/>
      <c r="N505" s="5"/>
    </row>
    <row r="506">
      <c r="B506" s="3"/>
      <c r="C506" s="3"/>
      <c r="D506" s="3"/>
      <c r="E506" s="4"/>
      <c r="F506" s="3"/>
      <c r="G506" s="5"/>
      <c r="H506" s="3"/>
      <c r="I506" s="5"/>
      <c r="J506" s="3"/>
      <c r="K506" s="5"/>
      <c r="L506" s="3"/>
      <c r="M506" s="5"/>
      <c r="N506" s="5"/>
    </row>
    <row r="507">
      <c r="B507" s="3"/>
      <c r="C507" s="3"/>
      <c r="D507" s="3"/>
      <c r="E507" s="4"/>
      <c r="F507" s="3"/>
      <c r="G507" s="5"/>
      <c r="H507" s="3"/>
      <c r="I507" s="5"/>
      <c r="J507" s="3"/>
      <c r="K507" s="5"/>
      <c r="L507" s="3"/>
      <c r="M507" s="5"/>
      <c r="N507" s="5"/>
    </row>
    <row r="508">
      <c r="B508" s="3"/>
      <c r="C508" s="3"/>
      <c r="D508" s="3"/>
      <c r="E508" s="4"/>
      <c r="F508" s="3"/>
      <c r="G508" s="5"/>
      <c r="H508" s="3"/>
      <c r="I508" s="5"/>
      <c r="J508" s="3"/>
      <c r="K508" s="5"/>
      <c r="L508" s="3"/>
      <c r="M508" s="5"/>
      <c r="N508" s="5"/>
    </row>
    <row r="509">
      <c r="B509" s="3"/>
      <c r="C509" s="3"/>
      <c r="D509" s="3"/>
      <c r="E509" s="4"/>
      <c r="F509" s="3"/>
      <c r="G509" s="5"/>
      <c r="H509" s="3"/>
      <c r="I509" s="5"/>
      <c r="J509" s="3"/>
      <c r="K509" s="5"/>
      <c r="L509" s="3"/>
      <c r="M509" s="5"/>
      <c r="N509" s="5"/>
    </row>
    <row r="510">
      <c r="B510" s="3"/>
      <c r="C510" s="3"/>
      <c r="D510" s="3"/>
      <c r="E510" s="4"/>
      <c r="F510" s="3"/>
      <c r="G510" s="5"/>
      <c r="H510" s="3"/>
      <c r="I510" s="5"/>
      <c r="J510" s="3"/>
      <c r="K510" s="5"/>
      <c r="L510" s="3"/>
      <c r="M510" s="5"/>
      <c r="N510" s="5"/>
    </row>
    <row r="511">
      <c r="B511" s="3"/>
      <c r="C511" s="3"/>
      <c r="D511" s="3"/>
      <c r="E511" s="4"/>
      <c r="F511" s="3"/>
      <c r="G511" s="5"/>
      <c r="H511" s="3"/>
      <c r="I511" s="5"/>
      <c r="J511" s="3"/>
      <c r="K511" s="5"/>
      <c r="L511" s="3"/>
      <c r="M511" s="5"/>
      <c r="N511" s="5"/>
    </row>
    <row r="512">
      <c r="B512" s="3"/>
      <c r="C512" s="3"/>
      <c r="D512" s="3"/>
      <c r="E512" s="4"/>
      <c r="F512" s="3"/>
      <c r="G512" s="5"/>
      <c r="H512" s="3"/>
      <c r="I512" s="5"/>
      <c r="J512" s="3"/>
      <c r="K512" s="5"/>
      <c r="L512" s="3"/>
      <c r="M512" s="5"/>
      <c r="N512" s="5"/>
    </row>
    <row r="513">
      <c r="B513" s="3"/>
      <c r="C513" s="3"/>
      <c r="D513" s="3"/>
      <c r="E513" s="4"/>
      <c r="F513" s="3"/>
      <c r="G513" s="5"/>
      <c r="H513" s="3"/>
      <c r="I513" s="5"/>
      <c r="J513" s="3"/>
      <c r="K513" s="5"/>
      <c r="L513" s="3"/>
      <c r="M513" s="5"/>
      <c r="N513" s="5"/>
    </row>
    <row r="514">
      <c r="B514" s="3"/>
      <c r="C514" s="3"/>
      <c r="D514" s="3"/>
      <c r="E514" s="4"/>
      <c r="F514" s="3"/>
      <c r="G514" s="5"/>
      <c r="H514" s="3"/>
      <c r="I514" s="5"/>
      <c r="J514" s="3"/>
      <c r="K514" s="5"/>
      <c r="L514" s="3"/>
      <c r="M514" s="5"/>
      <c r="N514" s="5"/>
    </row>
    <row r="515">
      <c r="B515" s="3"/>
      <c r="C515" s="3"/>
      <c r="D515" s="3"/>
      <c r="E515" s="4"/>
      <c r="F515" s="3"/>
      <c r="G515" s="5"/>
      <c r="H515" s="3"/>
      <c r="I515" s="5"/>
      <c r="J515" s="3"/>
      <c r="K515" s="5"/>
      <c r="L515" s="3"/>
      <c r="M515" s="5"/>
      <c r="N515" s="5"/>
    </row>
    <row r="516">
      <c r="B516" s="3"/>
      <c r="C516" s="3"/>
      <c r="D516" s="3"/>
      <c r="E516" s="4"/>
      <c r="F516" s="3"/>
      <c r="G516" s="5"/>
      <c r="H516" s="3"/>
      <c r="I516" s="5"/>
      <c r="J516" s="3"/>
      <c r="K516" s="5"/>
      <c r="L516" s="3"/>
      <c r="M516" s="5"/>
      <c r="N516" s="5"/>
    </row>
    <row r="517">
      <c r="B517" s="3"/>
      <c r="C517" s="3"/>
      <c r="D517" s="3"/>
      <c r="E517" s="4"/>
      <c r="F517" s="3"/>
      <c r="G517" s="5"/>
      <c r="H517" s="3"/>
      <c r="I517" s="5"/>
      <c r="J517" s="3"/>
      <c r="K517" s="5"/>
      <c r="L517" s="3"/>
      <c r="M517" s="5"/>
      <c r="N517" s="5"/>
    </row>
    <row r="518">
      <c r="B518" s="3"/>
      <c r="C518" s="3"/>
      <c r="D518" s="3"/>
      <c r="E518" s="4"/>
      <c r="F518" s="3"/>
      <c r="G518" s="5"/>
      <c r="H518" s="3"/>
      <c r="I518" s="5"/>
      <c r="J518" s="3"/>
      <c r="K518" s="5"/>
      <c r="L518" s="3"/>
      <c r="M518" s="5"/>
      <c r="N518" s="5"/>
    </row>
    <row r="519">
      <c r="B519" s="3"/>
      <c r="C519" s="3"/>
      <c r="D519" s="3"/>
      <c r="E519" s="4"/>
      <c r="F519" s="3"/>
      <c r="G519" s="5"/>
      <c r="H519" s="3"/>
      <c r="I519" s="5"/>
      <c r="J519" s="3"/>
      <c r="K519" s="5"/>
      <c r="L519" s="3"/>
      <c r="M519" s="5"/>
      <c r="N519" s="5"/>
    </row>
    <row r="520">
      <c r="B520" s="3"/>
      <c r="C520" s="3"/>
      <c r="D520" s="3"/>
      <c r="E520" s="4"/>
      <c r="F520" s="3"/>
      <c r="G520" s="5"/>
      <c r="H520" s="3"/>
      <c r="I520" s="5"/>
      <c r="J520" s="3"/>
      <c r="K520" s="5"/>
      <c r="L520" s="3"/>
      <c r="M520" s="5"/>
      <c r="N520" s="5"/>
    </row>
    <row r="521">
      <c r="B521" s="3"/>
      <c r="C521" s="3"/>
      <c r="D521" s="3"/>
      <c r="E521" s="4"/>
      <c r="F521" s="3"/>
      <c r="G521" s="5"/>
      <c r="H521" s="3"/>
      <c r="I521" s="5"/>
      <c r="J521" s="3"/>
      <c r="K521" s="5"/>
      <c r="L521" s="3"/>
      <c r="M521" s="5"/>
      <c r="N521" s="5"/>
    </row>
    <row r="522">
      <c r="B522" s="3"/>
      <c r="C522" s="3"/>
      <c r="D522" s="3"/>
      <c r="E522" s="4"/>
      <c r="F522" s="3"/>
      <c r="G522" s="5"/>
      <c r="H522" s="3"/>
      <c r="I522" s="5"/>
      <c r="J522" s="3"/>
      <c r="K522" s="5"/>
      <c r="L522" s="3"/>
      <c r="M522" s="5"/>
      <c r="N522" s="5"/>
    </row>
    <row r="523">
      <c r="B523" s="3"/>
      <c r="C523" s="3"/>
      <c r="D523" s="3"/>
      <c r="E523" s="4"/>
      <c r="F523" s="3"/>
      <c r="G523" s="5"/>
      <c r="H523" s="3"/>
      <c r="I523" s="5"/>
      <c r="J523" s="3"/>
      <c r="K523" s="5"/>
      <c r="L523" s="3"/>
      <c r="M523" s="5"/>
      <c r="N523" s="5"/>
    </row>
    <row r="524">
      <c r="B524" s="3"/>
      <c r="C524" s="3"/>
      <c r="D524" s="3"/>
      <c r="E524" s="4"/>
      <c r="F524" s="3"/>
      <c r="G524" s="5"/>
      <c r="H524" s="3"/>
      <c r="I524" s="5"/>
      <c r="J524" s="3"/>
      <c r="K524" s="5"/>
      <c r="L524" s="3"/>
      <c r="M524" s="5"/>
      <c r="N524" s="5"/>
    </row>
    <row r="525">
      <c r="B525" s="3"/>
      <c r="C525" s="3"/>
      <c r="D525" s="3"/>
      <c r="E525" s="4"/>
      <c r="F525" s="3"/>
      <c r="G525" s="5"/>
      <c r="H525" s="3"/>
      <c r="I525" s="5"/>
      <c r="J525" s="3"/>
      <c r="K525" s="5"/>
      <c r="L525" s="3"/>
      <c r="M525" s="5"/>
      <c r="N525" s="5"/>
    </row>
    <row r="526">
      <c r="B526" s="3"/>
      <c r="C526" s="3"/>
      <c r="D526" s="3"/>
      <c r="E526" s="4"/>
      <c r="F526" s="3"/>
      <c r="G526" s="5"/>
      <c r="H526" s="3"/>
      <c r="I526" s="5"/>
      <c r="J526" s="3"/>
      <c r="K526" s="5"/>
      <c r="L526" s="3"/>
      <c r="M526" s="5"/>
      <c r="N526" s="5"/>
    </row>
    <row r="527">
      <c r="B527" s="3"/>
      <c r="C527" s="3"/>
      <c r="D527" s="3"/>
      <c r="E527" s="4"/>
      <c r="F527" s="3"/>
      <c r="G527" s="5"/>
      <c r="H527" s="3"/>
      <c r="I527" s="5"/>
      <c r="J527" s="3"/>
      <c r="K527" s="5"/>
      <c r="L527" s="3"/>
      <c r="M527" s="5"/>
      <c r="N527" s="5"/>
    </row>
    <row r="528">
      <c r="B528" s="3"/>
      <c r="C528" s="3"/>
      <c r="D528" s="3"/>
      <c r="E528" s="4"/>
      <c r="F528" s="3"/>
      <c r="G528" s="5"/>
      <c r="H528" s="3"/>
      <c r="I528" s="5"/>
      <c r="J528" s="3"/>
      <c r="K528" s="5"/>
      <c r="L528" s="3"/>
      <c r="M528" s="5"/>
      <c r="N528" s="5"/>
    </row>
    <row r="529">
      <c r="B529" s="3"/>
      <c r="C529" s="3"/>
      <c r="D529" s="3"/>
      <c r="E529" s="4"/>
      <c r="F529" s="3"/>
      <c r="G529" s="5"/>
      <c r="H529" s="3"/>
      <c r="I529" s="5"/>
      <c r="J529" s="3"/>
      <c r="K529" s="5"/>
      <c r="L529" s="3"/>
      <c r="M529" s="5"/>
      <c r="N529" s="5"/>
    </row>
    <row r="530">
      <c r="B530" s="3"/>
      <c r="C530" s="3"/>
      <c r="D530" s="3"/>
      <c r="E530" s="4"/>
      <c r="F530" s="3"/>
      <c r="G530" s="5"/>
      <c r="H530" s="3"/>
      <c r="I530" s="5"/>
      <c r="J530" s="3"/>
      <c r="K530" s="5"/>
      <c r="L530" s="3"/>
      <c r="M530" s="5"/>
      <c r="N530" s="5"/>
    </row>
    <row r="531">
      <c r="B531" s="3"/>
      <c r="C531" s="3"/>
      <c r="D531" s="3"/>
      <c r="E531" s="4"/>
      <c r="F531" s="3"/>
      <c r="G531" s="5"/>
      <c r="H531" s="3"/>
      <c r="I531" s="5"/>
      <c r="J531" s="3"/>
      <c r="K531" s="5"/>
      <c r="L531" s="3"/>
      <c r="M531" s="5"/>
      <c r="N531" s="5"/>
    </row>
    <row r="532">
      <c r="B532" s="3"/>
      <c r="C532" s="3"/>
      <c r="D532" s="3"/>
      <c r="E532" s="4"/>
      <c r="F532" s="3"/>
      <c r="G532" s="5"/>
      <c r="H532" s="3"/>
      <c r="I532" s="5"/>
      <c r="J532" s="3"/>
      <c r="K532" s="5"/>
      <c r="L532" s="3"/>
      <c r="M532" s="5"/>
      <c r="N532" s="5"/>
    </row>
    <row r="533">
      <c r="B533" s="3"/>
      <c r="C533" s="3"/>
      <c r="D533" s="3"/>
      <c r="E533" s="4"/>
      <c r="F533" s="3"/>
      <c r="G533" s="5"/>
      <c r="H533" s="3"/>
      <c r="I533" s="5"/>
      <c r="J533" s="3"/>
      <c r="K533" s="5"/>
      <c r="L533" s="3"/>
      <c r="M533" s="5"/>
      <c r="N533" s="5"/>
    </row>
    <row r="534">
      <c r="B534" s="3"/>
      <c r="C534" s="3"/>
      <c r="D534" s="3"/>
      <c r="E534" s="4"/>
      <c r="F534" s="3"/>
      <c r="G534" s="5"/>
      <c r="H534" s="3"/>
      <c r="I534" s="5"/>
      <c r="J534" s="3"/>
      <c r="K534" s="5"/>
      <c r="L534" s="3"/>
      <c r="M534" s="5"/>
      <c r="N534" s="5"/>
    </row>
    <row r="535">
      <c r="B535" s="3"/>
      <c r="C535" s="3"/>
      <c r="D535" s="3"/>
      <c r="E535" s="4"/>
      <c r="F535" s="3"/>
      <c r="G535" s="5"/>
      <c r="H535" s="3"/>
      <c r="I535" s="5"/>
      <c r="J535" s="3"/>
      <c r="K535" s="5"/>
      <c r="L535" s="3"/>
      <c r="M535" s="5"/>
      <c r="N535" s="5"/>
    </row>
    <row r="536">
      <c r="B536" s="3"/>
      <c r="C536" s="3"/>
      <c r="D536" s="3"/>
      <c r="E536" s="4"/>
      <c r="F536" s="3"/>
      <c r="G536" s="5"/>
      <c r="H536" s="3"/>
      <c r="I536" s="5"/>
      <c r="J536" s="3"/>
      <c r="K536" s="5"/>
      <c r="L536" s="3"/>
      <c r="M536" s="5"/>
      <c r="N536" s="5"/>
    </row>
    <row r="537">
      <c r="B537" s="3"/>
      <c r="C537" s="3"/>
      <c r="D537" s="3"/>
      <c r="E537" s="4"/>
      <c r="F537" s="3"/>
      <c r="G537" s="5"/>
      <c r="H537" s="3"/>
      <c r="I537" s="5"/>
      <c r="J537" s="3"/>
      <c r="K537" s="5"/>
      <c r="L537" s="3"/>
      <c r="M537" s="5"/>
      <c r="N537" s="5"/>
    </row>
    <row r="538">
      <c r="B538" s="3"/>
      <c r="C538" s="3"/>
      <c r="D538" s="3"/>
      <c r="E538" s="4"/>
      <c r="F538" s="3"/>
      <c r="G538" s="5"/>
      <c r="H538" s="3"/>
      <c r="I538" s="5"/>
      <c r="J538" s="3"/>
      <c r="K538" s="5"/>
      <c r="L538" s="3"/>
      <c r="M538" s="5"/>
      <c r="N538" s="5"/>
    </row>
    <row r="539">
      <c r="B539" s="3"/>
      <c r="C539" s="3"/>
      <c r="D539" s="3"/>
      <c r="E539" s="4"/>
      <c r="F539" s="3"/>
      <c r="G539" s="5"/>
      <c r="H539" s="3"/>
      <c r="I539" s="5"/>
      <c r="J539" s="3"/>
      <c r="K539" s="5"/>
      <c r="L539" s="3"/>
      <c r="M539" s="5"/>
      <c r="N539" s="5"/>
    </row>
    <row r="540">
      <c r="B540" s="3"/>
      <c r="C540" s="3"/>
      <c r="D540" s="3"/>
      <c r="E540" s="4"/>
      <c r="F540" s="3"/>
      <c r="G540" s="5"/>
      <c r="H540" s="3"/>
      <c r="I540" s="5"/>
      <c r="J540" s="3"/>
      <c r="K540" s="5"/>
      <c r="L540" s="3"/>
      <c r="M540" s="5"/>
      <c r="N540" s="5"/>
    </row>
    <row r="541">
      <c r="B541" s="3"/>
      <c r="C541" s="3"/>
      <c r="D541" s="3"/>
      <c r="E541" s="4"/>
      <c r="F541" s="3"/>
      <c r="G541" s="5"/>
      <c r="H541" s="3"/>
      <c r="I541" s="5"/>
      <c r="J541" s="3"/>
      <c r="K541" s="5"/>
      <c r="L541" s="3"/>
      <c r="M541" s="5"/>
      <c r="N541" s="5"/>
    </row>
    <row r="542">
      <c r="B542" s="3"/>
      <c r="C542" s="3"/>
      <c r="D542" s="3"/>
      <c r="E542" s="4"/>
      <c r="F542" s="3"/>
      <c r="G542" s="5"/>
      <c r="H542" s="3"/>
      <c r="I542" s="5"/>
      <c r="J542" s="3"/>
      <c r="K542" s="5"/>
      <c r="L542" s="3"/>
      <c r="M542" s="5"/>
      <c r="N542" s="5"/>
    </row>
    <row r="543">
      <c r="B543" s="3"/>
      <c r="C543" s="3"/>
      <c r="D543" s="3"/>
      <c r="E543" s="4"/>
      <c r="F543" s="3"/>
      <c r="G543" s="5"/>
      <c r="H543" s="3"/>
      <c r="I543" s="5"/>
      <c r="J543" s="3"/>
      <c r="K543" s="5"/>
      <c r="L543" s="3"/>
      <c r="M543" s="5"/>
      <c r="N543" s="5"/>
    </row>
    <row r="544">
      <c r="B544" s="3"/>
      <c r="C544" s="3"/>
      <c r="D544" s="3"/>
      <c r="E544" s="4"/>
      <c r="F544" s="3"/>
      <c r="G544" s="5"/>
      <c r="H544" s="3"/>
      <c r="I544" s="5"/>
      <c r="J544" s="3"/>
      <c r="K544" s="5"/>
      <c r="L544" s="3"/>
      <c r="M544" s="5"/>
      <c r="N544" s="5"/>
    </row>
    <row r="545">
      <c r="B545" s="3"/>
      <c r="C545" s="3"/>
      <c r="D545" s="3"/>
      <c r="E545" s="4"/>
      <c r="F545" s="3"/>
      <c r="G545" s="5"/>
      <c r="H545" s="3"/>
      <c r="I545" s="5"/>
      <c r="J545" s="3"/>
      <c r="K545" s="5"/>
      <c r="L545" s="3"/>
      <c r="M545" s="5"/>
      <c r="N545" s="5"/>
    </row>
    <row r="546">
      <c r="B546" s="3"/>
      <c r="C546" s="3"/>
      <c r="D546" s="3"/>
      <c r="E546" s="4"/>
      <c r="F546" s="3"/>
      <c r="G546" s="5"/>
      <c r="H546" s="3"/>
      <c r="I546" s="5"/>
      <c r="J546" s="3"/>
      <c r="K546" s="5"/>
      <c r="L546" s="3"/>
      <c r="M546" s="5"/>
      <c r="N546" s="5"/>
    </row>
    <row r="547">
      <c r="B547" s="3"/>
      <c r="C547" s="3"/>
      <c r="D547" s="3"/>
      <c r="E547" s="4"/>
      <c r="F547" s="3"/>
      <c r="G547" s="5"/>
      <c r="H547" s="3"/>
      <c r="I547" s="5"/>
      <c r="J547" s="3"/>
      <c r="K547" s="5"/>
      <c r="L547" s="3"/>
      <c r="M547" s="5"/>
      <c r="N547" s="5"/>
    </row>
    <row r="548">
      <c r="B548" s="3"/>
      <c r="C548" s="3"/>
      <c r="D548" s="3"/>
      <c r="E548" s="4"/>
      <c r="F548" s="3"/>
      <c r="G548" s="5"/>
      <c r="H548" s="3"/>
      <c r="I548" s="5"/>
      <c r="J548" s="3"/>
      <c r="K548" s="5"/>
      <c r="L548" s="3"/>
      <c r="M548" s="5"/>
      <c r="N548" s="5"/>
    </row>
    <row r="549">
      <c r="B549" s="3"/>
      <c r="C549" s="3"/>
      <c r="D549" s="3"/>
      <c r="E549" s="4"/>
      <c r="F549" s="3"/>
      <c r="G549" s="5"/>
      <c r="H549" s="3"/>
      <c r="I549" s="5"/>
      <c r="J549" s="3"/>
      <c r="K549" s="5"/>
      <c r="L549" s="3"/>
      <c r="M549" s="5"/>
      <c r="N549" s="5"/>
    </row>
    <row r="550">
      <c r="B550" s="3"/>
      <c r="C550" s="3"/>
      <c r="D550" s="3"/>
      <c r="E550" s="4"/>
      <c r="F550" s="3"/>
      <c r="G550" s="5"/>
      <c r="H550" s="3"/>
      <c r="I550" s="5"/>
      <c r="J550" s="3"/>
      <c r="K550" s="5"/>
      <c r="L550" s="3"/>
      <c r="M550" s="5"/>
      <c r="N550" s="5"/>
    </row>
    <row r="551">
      <c r="B551" s="3"/>
      <c r="C551" s="3"/>
      <c r="D551" s="3"/>
      <c r="E551" s="4"/>
      <c r="F551" s="3"/>
      <c r="G551" s="5"/>
      <c r="H551" s="3"/>
      <c r="I551" s="5"/>
      <c r="J551" s="3"/>
      <c r="K551" s="5"/>
      <c r="L551" s="3"/>
      <c r="M551" s="5"/>
      <c r="N551" s="5"/>
    </row>
    <row r="552">
      <c r="B552" s="3"/>
      <c r="C552" s="3"/>
      <c r="D552" s="3"/>
      <c r="E552" s="4"/>
      <c r="F552" s="3"/>
      <c r="G552" s="5"/>
      <c r="H552" s="3"/>
      <c r="I552" s="5"/>
      <c r="J552" s="3"/>
      <c r="K552" s="5"/>
      <c r="L552" s="3"/>
      <c r="M552" s="5"/>
      <c r="N552" s="5"/>
    </row>
    <row r="553">
      <c r="B553" s="3"/>
      <c r="C553" s="3"/>
      <c r="D553" s="3"/>
      <c r="E553" s="4"/>
      <c r="F553" s="3"/>
      <c r="G553" s="5"/>
      <c r="H553" s="3"/>
      <c r="I553" s="5"/>
      <c r="J553" s="3"/>
      <c r="K553" s="5"/>
      <c r="L553" s="3"/>
      <c r="M553" s="5"/>
      <c r="N553" s="5"/>
    </row>
    <row r="554">
      <c r="B554" s="3"/>
      <c r="C554" s="3"/>
      <c r="D554" s="3"/>
      <c r="E554" s="4"/>
      <c r="F554" s="3"/>
      <c r="G554" s="5"/>
      <c r="H554" s="3"/>
      <c r="I554" s="5"/>
      <c r="J554" s="3"/>
      <c r="K554" s="5"/>
      <c r="L554" s="3"/>
      <c r="M554" s="5"/>
      <c r="N554" s="5"/>
    </row>
    <row r="555">
      <c r="B555" s="3"/>
      <c r="C555" s="3"/>
      <c r="D555" s="3"/>
      <c r="E555" s="4"/>
      <c r="F555" s="3"/>
      <c r="G555" s="5"/>
      <c r="H555" s="3"/>
      <c r="I555" s="5"/>
      <c r="J555" s="3"/>
      <c r="K555" s="5"/>
      <c r="L555" s="3"/>
      <c r="M555" s="5"/>
      <c r="N555" s="5"/>
    </row>
    <row r="556">
      <c r="B556" s="3"/>
      <c r="C556" s="3"/>
      <c r="D556" s="3"/>
      <c r="E556" s="4"/>
      <c r="F556" s="3"/>
      <c r="G556" s="5"/>
      <c r="H556" s="3"/>
      <c r="I556" s="5"/>
      <c r="J556" s="3"/>
      <c r="K556" s="5"/>
      <c r="L556" s="3"/>
      <c r="M556" s="5"/>
      <c r="N556" s="5"/>
    </row>
    <row r="557">
      <c r="B557" s="3"/>
      <c r="C557" s="3"/>
      <c r="D557" s="3"/>
      <c r="E557" s="4"/>
      <c r="F557" s="3"/>
      <c r="G557" s="5"/>
      <c r="H557" s="3"/>
      <c r="I557" s="5"/>
      <c r="J557" s="3"/>
      <c r="K557" s="5"/>
      <c r="L557" s="3"/>
      <c r="M557" s="5"/>
      <c r="N557" s="5"/>
    </row>
    <row r="558">
      <c r="B558" s="3"/>
      <c r="C558" s="3"/>
      <c r="D558" s="3"/>
      <c r="E558" s="4"/>
      <c r="F558" s="3"/>
      <c r="G558" s="5"/>
      <c r="H558" s="3"/>
      <c r="I558" s="5"/>
      <c r="J558" s="3"/>
      <c r="K558" s="5"/>
      <c r="L558" s="3"/>
      <c r="M558" s="5"/>
      <c r="N558" s="5"/>
    </row>
    <row r="559">
      <c r="B559" s="3"/>
      <c r="C559" s="3"/>
      <c r="D559" s="3"/>
      <c r="E559" s="4"/>
      <c r="F559" s="3"/>
      <c r="G559" s="5"/>
      <c r="H559" s="3"/>
      <c r="I559" s="5"/>
      <c r="J559" s="3"/>
      <c r="K559" s="5"/>
      <c r="L559" s="3"/>
      <c r="M559" s="5"/>
      <c r="N559" s="5"/>
    </row>
    <row r="560">
      <c r="B560" s="3"/>
      <c r="C560" s="3"/>
      <c r="D560" s="3"/>
      <c r="E560" s="4"/>
      <c r="F560" s="3"/>
      <c r="G560" s="5"/>
      <c r="H560" s="3"/>
      <c r="I560" s="5"/>
      <c r="J560" s="3"/>
      <c r="K560" s="5"/>
      <c r="L560" s="3"/>
      <c r="M560" s="5"/>
      <c r="N560" s="5"/>
    </row>
    <row r="561">
      <c r="B561" s="3"/>
      <c r="C561" s="3"/>
      <c r="D561" s="3"/>
      <c r="E561" s="4"/>
      <c r="F561" s="3"/>
      <c r="G561" s="5"/>
      <c r="H561" s="3"/>
      <c r="I561" s="5"/>
      <c r="J561" s="3"/>
      <c r="K561" s="5"/>
      <c r="L561" s="3"/>
      <c r="M561" s="5"/>
      <c r="N561" s="5"/>
    </row>
    <row r="562">
      <c r="B562" s="3"/>
      <c r="C562" s="3"/>
      <c r="D562" s="3"/>
      <c r="E562" s="4"/>
      <c r="F562" s="3"/>
      <c r="G562" s="5"/>
      <c r="H562" s="3"/>
      <c r="I562" s="5"/>
      <c r="J562" s="3"/>
      <c r="K562" s="5"/>
      <c r="L562" s="3"/>
      <c r="M562" s="5"/>
      <c r="N562" s="5"/>
    </row>
    <row r="563">
      <c r="B563" s="3"/>
      <c r="C563" s="3"/>
      <c r="D563" s="3"/>
      <c r="E563" s="4"/>
      <c r="F563" s="3"/>
      <c r="G563" s="5"/>
      <c r="H563" s="3"/>
      <c r="I563" s="5"/>
      <c r="J563" s="3"/>
      <c r="K563" s="5"/>
      <c r="L563" s="3"/>
      <c r="M563" s="5"/>
      <c r="N563" s="5"/>
    </row>
    <row r="564">
      <c r="B564" s="3"/>
      <c r="C564" s="3"/>
      <c r="D564" s="3"/>
      <c r="E564" s="4"/>
      <c r="F564" s="3"/>
      <c r="G564" s="5"/>
      <c r="H564" s="3"/>
      <c r="I564" s="5"/>
      <c r="J564" s="3"/>
      <c r="K564" s="5"/>
      <c r="L564" s="3"/>
      <c r="M564" s="5"/>
      <c r="N564" s="5"/>
    </row>
    <row r="565">
      <c r="B565" s="3"/>
      <c r="C565" s="3"/>
      <c r="D565" s="3"/>
      <c r="E565" s="4"/>
      <c r="F565" s="3"/>
      <c r="G565" s="5"/>
      <c r="H565" s="3"/>
      <c r="I565" s="5"/>
      <c r="J565" s="3"/>
      <c r="K565" s="5"/>
      <c r="L565" s="3"/>
      <c r="M565" s="5"/>
      <c r="N565" s="5"/>
    </row>
    <row r="566">
      <c r="B566" s="3"/>
      <c r="C566" s="3"/>
      <c r="D566" s="3"/>
      <c r="E566" s="4"/>
      <c r="F566" s="3"/>
      <c r="G566" s="5"/>
      <c r="H566" s="3"/>
      <c r="I566" s="5"/>
      <c r="J566" s="3"/>
      <c r="K566" s="5"/>
      <c r="L566" s="3"/>
      <c r="M566" s="5"/>
      <c r="N566" s="5"/>
    </row>
    <row r="567">
      <c r="B567" s="3"/>
      <c r="C567" s="3"/>
      <c r="D567" s="3"/>
      <c r="E567" s="4"/>
      <c r="F567" s="3"/>
      <c r="G567" s="5"/>
      <c r="H567" s="3"/>
      <c r="I567" s="5"/>
      <c r="J567" s="3"/>
      <c r="K567" s="5"/>
      <c r="L567" s="3"/>
      <c r="M567" s="5"/>
      <c r="N567" s="5"/>
    </row>
    <row r="568">
      <c r="B568" s="3"/>
      <c r="C568" s="3"/>
      <c r="D568" s="3"/>
      <c r="E568" s="4"/>
      <c r="F568" s="3"/>
      <c r="G568" s="5"/>
      <c r="H568" s="3"/>
      <c r="I568" s="5"/>
      <c r="J568" s="3"/>
      <c r="K568" s="5"/>
      <c r="L568" s="3"/>
      <c r="M568" s="5"/>
      <c r="N568" s="5"/>
    </row>
    <row r="569">
      <c r="B569" s="3"/>
      <c r="C569" s="3"/>
      <c r="D569" s="3"/>
      <c r="E569" s="4"/>
      <c r="F569" s="3"/>
      <c r="G569" s="5"/>
      <c r="H569" s="3"/>
      <c r="I569" s="5"/>
      <c r="J569" s="3"/>
      <c r="K569" s="5"/>
      <c r="L569" s="3"/>
      <c r="M569" s="5"/>
      <c r="N569" s="5"/>
    </row>
    <row r="570">
      <c r="B570" s="3"/>
      <c r="C570" s="3"/>
      <c r="D570" s="3"/>
      <c r="E570" s="4"/>
      <c r="F570" s="3"/>
      <c r="G570" s="5"/>
      <c r="H570" s="3"/>
      <c r="I570" s="5"/>
      <c r="J570" s="3"/>
      <c r="K570" s="5"/>
      <c r="L570" s="3"/>
      <c r="M570" s="5"/>
      <c r="N570" s="5"/>
    </row>
    <row r="571">
      <c r="B571" s="3"/>
      <c r="C571" s="3"/>
      <c r="D571" s="3"/>
      <c r="E571" s="4"/>
      <c r="F571" s="3"/>
      <c r="G571" s="5"/>
      <c r="H571" s="3"/>
      <c r="I571" s="5"/>
      <c r="J571" s="3"/>
      <c r="K571" s="5"/>
      <c r="L571" s="3"/>
      <c r="M571" s="5"/>
      <c r="N571" s="5"/>
    </row>
    <row r="572">
      <c r="B572" s="3"/>
      <c r="C572" s="3"/>
      <c r="D572" s="3"/>
      <c r="E572" s="4"/>
      <c r="F572" s="3"/>
      <c r="G572" s="5"/>
      <c r="H572" s="3"/>
      <c r="I572" s="5"/>
      <c r="J572" s="3"/>
      <c r="K572" s="5"/>
      <c r="L572" s="3"/>
      <c r="M572" s="5"/>
      <c r="N572" s="5"/>
    </row>
    <row r="573">
      <c r="B573" s="3"/>
      <c r="C573" s="3"/>
      <c r="D573" s="3"/>
      <c r="E573" s="4"/>
      <c r="F573" s="3"/>
      <c r="G573" s="5"/>
      <c r="H573" s="3"/>
      <c r="I573" s="5"/>
      <c r="J573" s="3"/>
      <c r="K573" s="5"/>
      <c r="L573" s="3"/>
      <c r="M573" s="5"/>
      <c r="N573" s="5"/>
    </row>
    <row r="574">
      <c r="B574" s="3"/>
      <c r="C574" s="3"/>
      <c r="D574" s="3"/>
      <c r="E574" s="4"/>
      <c r="F574" s="3"/>
      <c r="G574" s="5"/>
      <c r="H574" s="3"/>
      <c r="I574" s="5"/>
      <c r="J574" s="3"/>
      <c r="K574" s="5"/>
      <c r="L574" s="3"/>
      <c r="M574" s="5"/>
      <c r="N574" s="5"/>
    </row>
    <row r="575">
      <c r="B575" s="3"/>
      <c r="C575" s="3"/>
      <c r="D575" s="3"/>
      <c r="E575" s="4"/>
      <c r="F575" s="3"/>
      <c r="G575" s="5"/>
      <c r="H575" s="3"/>
      <c r="I575" s="5"/>
      <c r="J575" s="3"/>
      <c r="K575" s="5"/>
      <c r="L575" s="3"/>
      <c r="M575" s="5"/>
      <c r="N575" s="5"/>
    </row>
    <row r="576">
      <c r="B576" s="3"/>
      <c r="C576" s="3"/>
      <c r="D576" s="3"/>
      <c r="E576" s="4"/>
      <c r="F576" s="3"/>
      <c r="G576" s="5"/>
      <c r="H576" s="3"/>
      <c r="I576" s="5"/>
      <c r="J576" s="3"/>
      <c r="K576" s="5"/>
      <c r="L576" s="3"/>
      <c r="M576" s="5"/>
      <c r="N576" s="5"/>
    </row>
    <row r="577">
      <c r="B577" s="3"/>
      <c r="C577" s="3"/>
      <c r="D577" s="3"/>
      <c r="E577" s="4"/>
      <c r="F577" s="3"/>
      <c r="G577" s="5"/>
      <c r="H577" s="3"/>
      <c r="I577" s="5"/>
      <c r="J577" s="3"/>
      <c r="K577" s="5"/>
      <c r="L577" s="3"/>
      <c r="M577" s="5"/>
      <c r="N577" s="5"/>
    </row>
    <row r="578">
      <c r="B578" s="3"/>
      <c r="C578" s="3"/>
      <c r="D578" s="3"/>
      <c r="E578" s="4"/>
      <c r="F578" s="3"/>
      <c r="G578" s="5"/>
      <c r="H578" s="3"/>
      <c r="I578" s="5"/>
      <c r="J578" s="3"/>
      <c r="K578" s="5"/>
      <c r="L578" s="3"/>
      <c r="M578" s="5"/>
      <c r="N578" s="5"/>
    </row>
    <row r="579">
      <c r="B579" s="3"/>
      <c r="C579" s="3"/>
      <c r="D579" s="3"/>
      <c r="E579" s="4"/>
      <c r="F579" s="3"/>
      <c r="G579" s="5"/>
      <c r="H579" s="3"/>
      <c r="I579" s="5"/>
      <c r="J579" s="3"/>
      <c r="K579" s="5"/>
      <c r="L579" s="3"/>
      <c r="M579" s="5"/>
      <c r="N579" s="5"/>
    </row>
    <row r="580">
      <c r="B580" s="3"/>
      <c r="C580" s="3"/>
      <c r="D580" s="3"/>
      <c r="E580" s="4"/>
      <c r="F580" s="3"/>
      <c r="G580" s="5"/>
      <c r="H580" s="3"/>
      <c r="I580" s="5"/>
      <c r="J580" s="3"/>
      <c r="K580" s="5"/>
      <c r="L580" s="3"/>
      <c r="M580" s="5"/>
      <c r="N580" s="5"/>
    </row>
    <row r="581">
      <c r="B581" s="3"/>
      <c r="C581" s="3"/>
      <c r="D581" s="3"/>
      <c r="E581" s="4"/>
      <c r="F581" s="3"/>
      <c r="G581" s="5"/>
      <c r="H581" s="3"/>
      <c r="I581" s="5"/>
      <c r="J581" s="3"/>
      <c r="K581" s="5"/>
      <c r="L581" s="3"/>
      <c r="M581" s="5"/>
      <c r="N581" s="5"/>
    </row>
    <row r="582">
      <c r="B582" s="3"/>
      <c r="C582" s="3"/>
      <c r="D582" s="3"/>
      <c r="E582" s="4"/>
      <c r="F582" s="3"/>
      <c r="G582" s="5"/>
      <c r="H582" s="3"/>
      <c r="I582" s="5"/>
      <c r="J582" s="3"/>
      <c r="K582" s="5"/>
      <c r="L582" s="3"/>
      <c r="M582" s="5"/>
      <c r="N582" s="5"/>
    </row>
    <row r="583">
      <c r="B583" s="3"/>
      <c r="C583" s="3"/>
      <c r="D583" s="3"/>
      <c r="E583" s="4"/>
      <c r="F583" s="3"/>
      <c r="G583" s="5"/>
      <c r="H583" s="3"/>
      <c r="I583" s="5"/>
      <c r="J583" s="3"/>
      <c r="K583" s="5"/>
      <c r="L583" s="3"/>
      <c r="M583" s="5"/>
      <c r="N583" s="5"/>
    </row>
    <row r="584">
      <c r="B584" s="3"/>
      <c r="C584" s="3"/>
      <c r="D584" s="3"/>
      <c r="E584" s="4"/>
      <c r="F584" s="3"/>
      <c r="G584" s="5"/>
      <c r="H584" s="3"/>
      <c r="I584" s="5"/>
      <c r="J584" s="3"/>
      <c r="K584" s="5"/>
      <c r="L584" s="3"/>
      <c r="M584" s="5"/>
      <c r="N584" s="5"/>
    </row>
    <row r="585">
      <c r="B585" s="3"/>
      <c r="C585" s="3"/>
      <c r="D585" s="3"/>
      <c r="E585" s="4"/>
      <c r="F585" s="3"/>
      <c r="G585" s="5"/>
      <c r="H585" s="3"/>
      <c r="I585" s="5"/>
      <c r="J585" s="3"/>
      <c r="K585" s="5"/>
      <c r="L585" s="3"/>
      <c r="M585" s="5"/>
      <c r="N585" s="5"/>
    </row>
    <row r="586">
      <c r="B586" s="3"/>
      <c r="C586" s="3"/>
      <c r="D586" s="3"/>
      <c r="E586" s="4"/>
      <c r="F586" s="3"/>
      <c r="G586" s="5"/>
      <c r="H586" s="3"/>
      <c r="I586" s="5"/>
      <c r="J586" s="3"/>
      <c r="K586" s="5"/>
      <c r="L586" s="3"/>
      <c r="M586" s="5"/>
      <c r="N586" s="5"/>
    </row>
    <row r="587">
      <c r="B587" s="3"/>
      <c r="C587" s="3"/>
      <c r="D587" s="3"/>
      <c r="E587" s="4"/>
      <c r="F587" s="3"/>
      <c r="G587" s="5"/>
      <c r="H587" s="3"/>
      <c r="I587" s="5"/>
      <c r="J587" s="3"/>
      <c r="K587" s="5"/>
      <c r="L587" s="3"/>
      <c r="M587" s="5"/>
      <c r="N587" s="5"/>
    </row>
    <row r="588">
      <c r="B588" s="3"/>
      <c r="C588" s="3"/>
      <c r="D588" s="3"/>
      <c r="E588" s="4"/>
      <c r="F588" s="3"/>
      <c r="G588" s="5"/>
      <c r="H588" s="3"/>
      <c r="I588" s="5"/>
      <c r="J588" s="3"/>
      <c r="K588" s="5"/>
      <c r="L588" s="3"/>
      <c r="M588" s="5"/>
      <c r="N588" s="5"/>
    </row>
    <row r="589">
      <c r="B589" s="3"/>
      <c r="C589" s="3"/>
      <c r="D589" s="3"/>
      <c r="E589" s="4"/>
      <c r="F589" s="3"/>
      <c r="G589" s="5"/>
      <c r="H589" s="3"/>
      <c r="I589" s="5"/>
      <c r="J589" s="3"/>
      <c r="K589" s="5"/>
      <c r="L589" s="3"/>
      <c r="M589" s="5"/>
      <c r="N589" s="5"/>
    </row>
    <row r="590">
      <c r="B590" s="3"/>
      <c r="C590" s="3"/>
      <c r="D590" s="3"/>
      <c r="E590" s="4"/>
      <c r="F590" s="3"/>
      <c r="G590" s="5"/>
      <c r="H590" s="3"/>
      <c r="I590" s="5"/>
      <c r="J590" s="3"/>
      <c r="K590" s="5"/>
      <c r="L590" s="3"/>
      <c r="M590" s="5"/>
      <c r="N590" s="5"/>
    </row>
    <row r="591">
      <c r="B591" s="3"/>
      <c r="C591" s="3"/>
      <c r="D591" s="3"/>
      <c r="E591" s="4"/>
      <c r="F591" s="3"/>
      <c r="G591" s="5"/>
      <c r="H591" s="3"/>
      <c r="I591" s="5"/>
      <c r="J591" s="3"/>
      <c r="K591" s="5"/>
      <c r="L591" s="3"/>
      <c r="M591" s="5"/>
      <c r="N591" s="5"/>
    </row>
    <row r="592">
      <c r="B592" s="3"/>
      <c r="C592" s="3"/>
      <c r="D592" s="3"/>
      <c r="E592" s="4"/>
      <c r="F592" s="3"/>
      <c r="G592" s="5"/>
      <c r="H592" s="3"/>
      <c r="I592" s="5"/>
      <c r="J592" s="3"/>
      <c r="K592" s="5"/>
      <c r="L592" s="3"/>
      <c r="M592" s="5"/>
      <c r="N592" s="5"/>
    </row>
    <row r="593">
      <c r="B593" s="3"/>
      <c r="C593" s="3"/>
      <c r="D593" s="3"/>
      <c r="E593" s="4"/>
      <c r="F593" s="3"/>
      <c r="G593" s="5"/>
      <c r="H593" s="3"/>
      <c r="I593" s="5"/>
      <c r="J593" s="3"/>
      <c r="K593" s="5"/>
      <c r="L593" s="3"/>
      <c r="M593" s="5"/>
      <c r="N593" s="5"/>
    </row>
    <row r="594">
      <c r="B594" s="3"/>
      <c r="C594" s="3"/>
      <c r="D594" s="3"/>
      <c r="E594" s="4"/>
      <c r="F594" s="3"/>
      <c r="G594" s="5"/>
      <c r="H594" s="3"/>
      <c r="I594" s="5"/>
      <c r="J594" s="3"/>
      <c r="K594" s="5"/>
      <c r="L594" s="3"/>
      <c r="M594" s="5"/>
      <c r="N594" s="5"/>
    </row>
    <row r="595">
      <c r="B595" s="3"/>
      <c r="C595" s="3"/>
      <c r="D595" s="3"/>
      <c r="E595" s="4"/>
      <c r="F595" s="3"/>
      <c r="G595" s="5"/>
      <c r="H595" s="3"/>
      <c r="I595" s="5"/>
      <c r="J595" s="3"/>
      <c r="K595" s="5"/>
      <c r="L595" s="3"/>
      <c r="M595" s="5"/>
      <c r="N595" s="5"/>
    </row>
    <row r="596">
      <c r="B596" s="3"/>
      <c r="C596" s="3"/>
      <c r="D596" s="3"/>
      <c r="E596" s="4"/>
      <c r="F596" s="3"/>
      <c r="G596" s="5"/>
      <c r="H596" s="3"/>
      <c r="I596" s="5"/>
      <c r="J596" s="3"/>
      <c r="K596" s="5"/>
      <c r="L596" s="3"/>
      <c r="M596" s="5"/>
      <c r="N596" s="5"/>
    </row>
    <row r="597">
      <c r="B597" s="3"/>
      <c r="C597" s="3"/>
      <c r="D597" s="3"/>
      <c r="E597" s="4"/>
      <c r="F597" s="3"/>
      <c r="G597" s="5"/>
      <c r="H597" s="3"/>
      <c r="I597" s="5"/>
      <c r="J597" s="3"/>
      <c r="K597" s="5"/>
      <c r="L597" s="3"/>
      <c r="M597" s="5"/>
      <c r="N597" s="5"/>
    </row>
    <row r="598">
      <c r="B598" s="3"/>
      <c r="C598" s="3"/>
      <c r="D598" s="3"/>
      <c r="E598" s="4"/>
      <c r="F598" s="3"/>
      <c r="G598" s="5"/>
      <c r="H598" s="3"/>
      <c r="I598" s="5"/>
      <c r="J598" s="3"/>
      <c r="K598" s="5"/>
      <c r="L598" s="3"/>
      <c r="M598" s="5"/>
      <c r="N598" s="5"/>
    </row>
    <row r="599">
      <c r="B599" s="3"/>
      <c r="C599" s="3"/>
      <c r="D599" s="3"/>
      <c r="E599" s="4"/>
      <c r="F599" s="3"/>
      <c r="G599" s="5"/>
      <c r="H599" s="3"/>
      <c r="I599" s="5"/>
      <c r="J599" s="3"/>
      <c r="K599" s="5"/>
      <c r="L599" s="3"/>
      <c r="M599" s="5"/>
      <c r="N599" s="5"/>
    </row>
    <row r="600">
      <c r="B600" s="3"/>
      <c r="C600" s="3"/>
      <c r="D600" s="3"/>
      <c r="E600" s="4"/>
      <c r="F600" s="3"/>
      <c r="G600" s="5"/>
      <c r="H600" s="3"/>
      <c r="I600" s="5"/>
      <c r="J600" s="3"/>
      <c r="K600" s="5"/>
      <c r="L600" s="3"/>
      <c r="M600" s="5"/>
      <c r="N600" s="5"/>
    </row>
    <row r="601">
      <c r="B601" s="3"/>
      <c r="C601" s="3"/>
      <c r="D601" s="3"/>
      <c r="E601" s="4"/>
      <c r="F601" s="3"/>
      <c r="G601" s="5"/>
      <c r="H601" s="3"/>
      <c r="I601" s="5"/>
      <c r="J601" s="3"/>
      <c r="K601" s="5"/>
      <c r="L601" s="3"/>
      <c r="M601" s="5"/>
      <c r="N601" s="5"/>
    </row>
    <row r="602">
      <c r="B602" s="3"/>
      <c r="C602" s="3"/>
      <c r="D602" s="3"/>
      <c r="E602" s="4"/>
      <c r="F602" s="3"/>
      <c r="G602" s="5"/>
      <c r="H602" s="3"/>
      <c r="I602" s="5"/>
      <c r="J602" s="3"/>
      <c r="K602" s="5"/>
      <c r="L602" s="3"/>
      <c r="M602" s="5"/>
      <c r="N602" s="5"/>
    </row>
    <row r="603">
      <c r="B603" s="3"/>
      <c r="C603" s="3"/>
      <c r="D603" s="3"/>
      <c r="E603" s="4"/>
      <c r="F603" s="3"/>
      <c r="G603" s="5"/>
      <c r="H603" s="3"/>
      <c r="I603" s="5"/>
      <c r="J603" s="3"/>
      <c r="K603" s="5"/>
      <c r="L603" s="3"/>
      <c r="M603" s="5"/>
      <c r="N603" s="5"/>
    </row>
    <row r="604">
      <c r="B604" s="3"/>
      <c r="C604" s="3"/>
      <c r="D604" s="3"/>
      <c r="E604" s="4"/>
      <c r="F604" s="3"/>
      <c r="G604" s="5"/>
      <c r="H604" s="3"/>
      <c r="I604" s="5"/>
      <c r="J604" s="3"/>
      <c r="K604" s="5"/>
      <c r="L604" s="3"/>
      <c r="M604" s="5"/>
      <c r="N604" s="5"/>
    </row>
    <row r="605">
      <c r="B605" s="3"/>
      <c r="C605" s="3"/>
      <c r="D605" s="3"/>
      <c r="E605" s="4"/>
      <c r="F605" s="3"/>
      <c r="G605" s="5"/>
      <c r="H605" s="3"/>
      <c r="I605" s="5"/>
      <c r="J605" s="3"/>
      <c r="K605" s="5"/>
      <c r="L605" s="3"/>
      <c r="M605" s="5"/>
      <c r="N605" s="5"/>
    </row>
    <row r="606">
      <c r="B606" s="3"/>
      <c r="C606" s="3"/>
      <c r="D606" s="3"/>
      <c r="E606" s="4"/>
      <c r="F606" s="3"/>
      <c r="G606" s="5"/>
      <c r="H606" s="3"/>
      <c r="I606" s="5"/>
      <c r="J606" s="3"/>
      <c r="K606" s="5"/>
      <c r="L606" s="3"/>
      <c r="M606" s="5"/>
      <c r="N606" s="5"/>
    </row>
    <row r="607">
      <c r="B607" s="3"/>
      <c r="C607" s="3"/>
      <c r="D607" s="3"/>
      <c r="E607" s="4"/>
      <c r="F607" s="3"/>
      <c r="G607" s="5"/>
      <c r="H607" s="3"/>
      <c r="I607" s="5"/>
      <c r="J607" s="3"/>
      <c r="K607" s="5"/>
      <c r="L607" s="3"/>
      <c r="M607" s="5"/>
      <c r="N607" s="5"/>
    </row>
    <row r="608">
      <c r="B608" s="3"/>
      <c r="C608" s="3"/>
      <c r="D608" s="3"/>
      <c r="E608" s="4"/>
      <c r="F608" s="3"/>
      <c r="G608" s="5"/>
      <c r="H608" s="3"/>
      <c r="I608" s="5"/>
      <c r="J608" s="3"/>
      <c r="K608" s="5"/>
      <c r="L608" s="3"/>
      <c r="M608" s="5"/>
      <c r="N608" s="5"/>
    </row>
    <row r="609">
      <c r="B609" s="3"/>
      <c r="C609" s="3"/>
      <c r="D609" s="3"/>
      <c r="E609" s="4"/>
      <c r="F609" s="3"/>
      <c r="G609" s="5"/>
      <c r="H609" s="3"/>
      <c r="I609" s="5"/>
      <c r="J609" s="3"/>
      <c r="K609" s="5"/>
      <c r="L609" s="3"/>
      <c r="M609" s="5"/>
      <c r="N609" s="5"/>
    </row>
    <row r="610">
      <c r="B610" s="3"/>
      <c r="C610" s="3"/>
      <c r="D610" s="3"/>
      <c r="E610" s="4"/>
      <c r="F610" s="3"/>
      <c r="G610" s="5"/>
      <c r="H610" s="3"/>
      <c r="I610" s="5"/>
      <c r="J610" s="3"/>
      <c r="K610" s="5"/>
      <c r="L610" s="3"/>
      <c r="M610" s="5"/>
      <c r="N610" s="5"/>
    </row>
    <row r="611">
      <c r="B611" s="3"/>
      <c r="C611" s="3"/>
      <c r="D611" s="3"/>
      <c r="E611" s="4"/>
      <c r="F611" s="3"/>
      <c r="G611" s="5"/>
      <c r="H611" s="3"/>
      <c r="I611" s="5"/>
      <c r="J611" s="3"/>
      <c r="K611" s="5"/>
      <c r="L611" s="3"/>
      <c r="M611" s="5"/>
      <c r="N611" s="5"/>
    </row>
    <row r="612">
      <c r="B612" s="3"/>
      <c r="C612" s="3"/>
      <c r="D612" s="3"/>
      <c r="E612" s="4"/>
      <c r="F612" s="3"/>
      <c r="G612" s="5"/>
      <c r="H612" s="3"/>
      <c r="I612" s="5"/>
      <c r="J612" s="3"/>
      <c r="K612" s="5"/>
      <c r="L612" s="3"/>
      <c r="M612" s="5"/>
      <c r="N612" s="5"/>
    </row>
    <row r="613">
      <c r="B613" s="3"/>
      <c r="C613" s="3"/>
      <c r="D613" s="3"/>
      <c r="E613" s="4"/>
      <c r="F613" s="3"/>
      <c r="G613" s="5"/>
      <c r="H613" s="3"/>
      <c r="I613" s="5"/>
      <c r="J613" s="3"/>
      <c r="K613" s="5"/>
      <c r="L613" s="3"/>
      <c r="M613" s="5"/>
      <c r="N613" s="5"/>
    </row>
    <row r="614">
      <c r="B614" s="3"/>
      <c r="C614" s="3"/>
      <c r="D614" s="3"/>
      <c r="E614" s="4"/>
      <c r="F614" s="3"/>
      <c r="G614" s="5"/>
      <c r="H614" s="3"/>
      <c r="I614" s="5"/>
      <c r="J614" s="3"/>
      <c r="K614" s="5"/>
      <c r="L614" s="3"/>
      <c r="M614" s="5"/>
      <c r="N614" s="5"/>
    </row>
    <row r="615">
      <c r="B615" s="3"/>
      <c r="C615" s="3"/>
      <c r="D615" s="3"/>
      <c r="E615" s="4"/>
      <c r="F615" s="3"/>
      <c r="G615" s="5"/>
      <c r="H615" s="3"/>
      <c r="I615" s="5"/>
      <c r="J615" s="3"/>
      <c r="K615" s="5"/>
      <c r="L615" s="3"/>
      <c r="M615" s="5"/>
      <c r="N615" s="5"/>
    </row>
    <row r="616">
      <c r="B616" s="3"/>
      <c r="C616" s="3"/>
      <c r="D616" s="3"/>
      <c r="E616" s="4"/>
      <c r="F616" s="3"/>
      <c r="G616" s="5"/>
      <c r="H616" s="3"/>
      <c r="I616" s="5"/>
      <c r="J616" s="3"/>
      <c r="K616" s="5"/>
      <c r="L616" s="3"/>
      <c r="M616" s="5"/>
      <c r="N616" s="5"/>
    </row>
    <row r="617">
      <c r="B617" s="3"/>
      <c r="C617" s="3"/>
      <c r="D617" s="3"/>
      <c r="E617" s="4"/>
      <c r="F617" s="3"/>
      <c r="G617" s="5"/>
      <c r="H617" s="3"/>
      <c r="I617" s="5"/>
      <c r="J617" s="3"/>
      <c r="K617" s="5"/>
      <c r="L617" s="3"/>
      <c r="M617" s="5"/>
      <c r="N617" s="5"/>
    </row>
    <row r="618">
      <c r="B618" s="3"/>
      <c r="C618" s="3"/>
      <c r="D618" s="3"/>
      <c r="E618" s="4"/>
      <c r="F618" s="3"/>
      <c r="G618" s="5"/>
      <c r="H618" s="3"/>
      <c r="I618" s="5"/>
      <c r="J618" s="3"/>
      <c r="K618" s="5"/>
      <c r="L618" s="3"/>
      <c r="M618" s="5"/>
      <c r="N618" s="5"/>
    </row>
    <row r="619">
      <c r="B619" s="3"/>
      <c r="C619" s="3"/>
      <c r="D619" s="3"/>
      <c r="E619" s="4"/>
      <c r="F619" s="3"/>
      <c r="G619" s="5"/>
      <c r="H619" s="3"/>
      <c r="I619" s="5"/>
      <c r="J619" s="3"/>
      <c r="K619" s="5"/>
      <c r="L619" s="3"/>
      <c r="M619" s="5"/>
      <c r="N619" s="5"/>
    </row>
    <row r="620">
      <c r="B620" s="3"/>
      <c r="C620" s="3"/>
      <c r="D620" s="3"/>
      <c r="E620" s="4"/>
      <c r="F620" s="3"/>
      <c r="G620" s="5"/>
      <c r="H620" s="3"/>
      <c r="I620" s="5"/>
      <c r="J620" s="3"/>
      <c r="K620" s="5"/>
      <c r="L620" s="3"/>
      <c r="M620" s="5"/>
      <c r="N620" s="5"/>
    </row>
    <row r="621">
      <c r="B621" s="3"/>
      <c r="C621" s="3"/>
      <c r="D621" s="3"/>
      <c r="E621" s="4"/>
      <c r="F621" s="3"/>
      <c r="G621" s="5"/>
      <c r="H621" s="3"/>
      <c r="I621" s="5"/>
      <c r="J621" s="3"/>
      <c r="K621" s="5"/>
      <c r="L621" s="3"/>
      <c r="M621" s="5"/>
      <c r="N621" s="5"/>
    </row>
    <row r="622">
      <c r="B622" s="3"/>
      <c r="C622" s="3"/>
      <c r="D622" s="3"/>
      <c r="E622" s="4"/>
      <c r="F622" s="3"/>
      <c r="G622" s="5"/>
      <c r="H622" s="3"/>
      <c r="I622" s="5"/>
      <c r="J622" s="3"/>
      <c r="K622" s="5"/>
      <c r="L622" s="3"/>
      <c r="M622" s="5"/>
      <c r="N622" s="5"/>
    </row>
    <row r="623">
      <c r="B623" s="3"/>
      <c r="C623" s="3"/>
      <c r="D623" s="3"/>
      <c r="E623" s="4"/>
      <c r="F623" s="3"/>
      <c r="G623" s="5"/>
      <c r="H623" s="3"/>
      <c r="I623" s="5"/>
      <c r="J623" s="3"/>
      <c r="K623" s="5"/>
      <c r="L623" s="3"/>
      <c r="M623" s="5"/>
      <c r="N623" s="5"/>
    </row>
    <row r="624">
      <c r="B624" s="3"/>
      <c r="C624" s="3"/>
      <c r="D624" s="3"/>
      <c r="E624" s="4"/>
      <c r="F624" s="3"/>
      <c r="G624" s="5"/>
      <c r="H624" s="3"/>
      <c r="I624" s="5"/>
      <c r="J624" s="3"/>
      <c r="K624" s="5"/>
      <c r="L624" s="3"/>
      <c r="M624" s="5"/>
      <c r="N624" s="5"/>
    </row>
    <row r="625">
      <c r="B625" s="3"/>
      <c r="C625" s="3"/>
      <c r="D625" s="3"/>
      <c r="E625" s="4"/>
      <c r="F625" s="3"/>
      <c r="G625" s="5"/>
      <c r="H625" s="3"/>
      <c r="I625" s="5"/>
      <c r="J625" s="3"/>
      <c r="K625" s="5"/>
      <c r="L625" s="3"/>
      <c r="M625" s="5"/>
      <c r="N625" s="5"/>
    </row>
    <row r="626">
      <c r="B626" s="3"/>
      <c r="C626" s="3"/>
      <c r="D626" s="3"/>
      <c r="E626" s="4"/>
      <c r="F626" s="3"/>
      <c r="G626" s="5"/>
      <c r="H626" s="3"/>
      <c r="I626" s="5"/>
      <c r="J626" s="3"/>
      <c r="K626" s="5"/>
      <c r="L626" s="3"/>
      <c r="M626" s="5"/>
      <c r="N626" s="5"/>
    </row>
    <row r="627">
      <c r="B627" s="3"/>
      <c r="C627" s="3"/>
      <c r="D627" s="3"/>
      <c r="E627" s="4"/>
      <c r="F627" s="3"/>
      <c r="G627" s="5"/>
      <c r="H627" s="3"/>
      <c r="I627" s="5"/>
      <c r="J627" s="3"/>
      <c r="K627" s="5"/>
      <c r="L627" s="3"/>
      <c r="M627" s="5"/>
      <c r="N627" s="5"/>
    </row>
    <row r="628">
      <c r="B628" s="3"/>
      <c r="C628" s="3"/>
      <c r="D628" s="3"/>
      <c r="E628" s="4"/>
      <c r="F628" s="3"/>
      <c r="G628" s="5"/>
      <c r="H628" s="3"/>
      <c r="I628" s="5"/>
      <c r="J628" s="3"/>
      <c r="K628" s="5"/>
      <c r="L628" s="3"/>
      <c r="M628" s="5"/>
      <c r="N628" s="5"/>
    </row>
    <row r="629">
      <c r="B629" s="3"/>
      <c r="C629" s="3"/>
      <c r="D629" s="3"/>
      <c r="E629" s="4"/>
      <c r="F629" s="3"/>
      <c r="G629" s="5"/>
      <c r="H629" s="3"/>
      <c r="I629" s="5"/>
      <c r="J629" s="3"/>
      <c r="K629" s="5"/>
      <c r="L629" s="3"/>
      <c r="M629" s="5"/>
      <c r="N629" s="5"/>
    </row>
    <row r="630">
      <c r="B630" s="3"/>
      <c r="C630" s="3"/>
      <c r="D630" s="3"/>
      <c r="E630" s="4"/>
      <c r="F630" s="3"/>
      <c r="G630" s="5"/>
      <c r="H630" s="3"/>
      <c r="I630" s="5"/>
      <c r="J630" s="3"/>
      <c r="K630" s="5"/>
      <c r="L630" s="3"/>
      <c r="M630" s="5"/>
      <c r="N630" s="5"/>
    </row>
    <row r="631">
      <c r="B631" s="3"/>
      <c r="C631" s="3"/>
      <c r="D631" s="3"/>
      <c r="E631" s="4"/>
      <c r="F631" s="3"/>
      <c r="G631" s="5"/>
      <c r="H631" s="3"/>
      <c r="I631" s="5"/>
      <c r="J631" s="3"/>
      <c r="K631" s="5"/>
      <c r="L631" s="3"/>
      <c r="M631" s="5"/>
      <c r="N631" s="5"/>
    </row>
    <row r="632">
      <c r="B632" s="3"/>
      <c r="C632" s="3"/>
      <c r="D632" s="3"/>
      <c r="E632" s="4"/>
      <c r="F632" s="3"/>
      <c r="G632" s="5"/>
      <c r="H632" s="3"/>
      <c r="I632" s="5"/>
      <c r="J632" s="3"/>
      <c r="K632" s="5"/>
      <c r="L632" s="3"/>
      <c r="M632" s="5"/>
      <c r="N632" s="5"/>
    </row>
    <row r="633">
      <c r="B633" s="3"/>
      <c r="C633" s="3"/>
      <c r="D633" s="3"/>
      <c r="E633" s="4"/>
      <c r="F633" s="3"/>
      <c r="G633" s="5"/>
      <c r="H633" s="3"/>
      <c r="I633" s="5"/>
      <c r="J633" s="3"/>
      <c r="K633" s="5"/>
      <c r="L633" s="3"/>
      <c r="M633" s="5"/>
      <c r="N633" s="5"/>
    </row>
    <row r="634">
      <c r="B634" s="3"/>
      <c r="C634" s="3"/>
      <c r="D634" s="3"/>
      <c r="E634" s="4"/>
      <c r="F634" s="3"/>
      <c r="G634" s="5"/>
      <c r="H634" s="3"/>
      <c r="I634" s="5"/>
      <c r="J634" s="3"/>
      <c r="K634" s="5"/>
      <c r="L634" s="3"/>
      <c r="M634" s="5"/>
      <c r="N634" s="5"/>
    </row>
    <row r="635">
      <c r="B635" s="3"/>
      <c r="C635" s="3"/>
      <c r="D635" s="3"/>
      <c r="E635" s="4"/>
      <c r="F635" s="3"/>
      <c r="G635" s="5"/>
      <c r="H635" s="3"/>
      <c r="I635" s="5"/>
      <c r="J635" s="3"/>
      <c r="K635" s="5"/>
      <c r="L635" s="3"/>
      <c r="M635" s="5"/>
      <c r="N635" s="5"/>
    </row>
    <row r="636">
      <c r="B636" s="3"/>
      <c r="C636" s="3"/>
      <c r="D636" s="3"/>
      <c r="E636" s="4"/>
      <c r="F636" s="3"/>
      <c r="G636" s="5"/>
      <c r="H636" s="3"/>
      <c r="I636" s="5"/>
      <c r="J636" s="3"/>
      <c r="K636" s="5"/>
      <c r="L636" s="3"/>
      <c r="M636" s="5"/>
      <c r="N636" s="5"/>
    </row>
    <row r="637">
      <c r="B637" s="3"/>
      <c r="C637" s="3"/>
      <c r="D637" s="3"/>
      <c r="E637" s="4"/>
      <c r="F637" s="3"/>
      <c r="G637" s="5"/>
      <c r="H637" s="3"/>
      <c r="I637" s="5"/>
      <c r="J637" s="3"/>
      <c r="K637" s="5"/>
      <c r="L637" s="3"/>
      <c r="M637" s="5"/>
      <c r="N637" s="5"/>
    </row>
    <row r="638">
      <c r="B638" s="3"/>
      <c r="C638" s="3"/>
      <c r="D638" s="3"/>
      <c r="E638" s="4"/>
      <c r="F638" s="3"/>
      <c r="G638" s="5"/>
      <c r="H638" s="3"/>
      <c r="I638" s="5"/>
      <c r="J638" s="3"/>
      <c r="K638" s="5"/>
      <c r="L638" s="3"/>
      <c r="M638" s="5"/>
      <c r="N638" s="5"/>
    </row>
    <row r="639">
      <c r="B639" s="3"/>
      <c r="C639" s="3"/>
      <c r="D639" s="3"/>
      <c r="E639" s="4"/>
      <c r="F639" s="3"/>
      <c r="G639" s="5"/>
      <c r="H639" s="3"/>
      <c r="I639" s="5"/>
      <c r="J639" s="3"/>
      <c r="K639" s="5"/>
      <c r="L639" s="3"/>
      <c r="M639" s="5"/>
      <c r="N639" s="5"/>
    </row>
    <row r="640">
      <c r="B640" s="3"/>
      <c r="C640" s="3"/>
      <c r="D640" s="3"/>
      <c r="E640" s="4"/>
      <c r="F640" s="3"/>
      <c r="G640" s="5"/>
      <c r="H640" s="3"/>
      <c r="I640" s="5"/>
      <c r="J640" s="3"/>
      <c r="K640" s="5"/>
      <c r="L640" s="3"/>
      <c r="M640" s="5"/>
      <c r="N640" s="5"/>
    </row>
    <row r="641">
      <c r="B641" s="3"/>
      <c r="C641" s="3"/>
      <c r="D641" s="3"/>
      <c r="E641" s="4"/>
      <c r="F641" s="3"/>
      <c r="G641" s="5"/>
      <c r="H641" s="3"/>
      <c r="I641" s="5"/>
      <c r="J641" s="3"/>
      <c r="K641" s="5"/>
      <c r="L641" s="3"/>
      <c r="M641" s="5"/>
      <c r="N641" s="5"/>
    </row>
    <row r="642">
      <c r="B642" s="3"/>
      <c r="C642" s="3"/>
      <c r="D642" s="3"/>
      <c r="E642" s="4"/>
      <c r="F642" s="3"/>
      <c r="G642" s="5"/>
      <c r="H642" s="3"/>
      <c r="I642" s="5"/>
      <c r="J642" s="3"/>
      <c r="K642" s="5"/>
      <c r="L642" s="3"/>
      <c r="M642" s="5"/>
      <c r="N642" s="5"/>
    </row>
    <row r="643">
      <c r="B643" s="3"/>
      <c r="C643" s="3"/>
      <c r="D643" s="3"/>
      <c r="E643" s="4"/>
      <c r="F643" s="3"/>
      <c r="G643" s="5"/>
      <c r="H643" s="3"/>
      <c r="I643" s="5"/>
      <c r="J643" s="3"/>
      <c r="K643" s="5"/>
      <c r="L643" s="3"/>
      <c r="M643" s="5"/>
      <c r="N643" s="5"/>
    </row>
    <row r="644">
      <c r="B644" s="3"/>
      <c r="C644" s="3"/>
      <c r="D644" s="3"/>
      <c r="E644" s="4"/>
      <c r="F644" s="3"/>
      <c r="G644" s="5"/>
      <c r="H644" s="3"/>
      <c r="I644" s="5"/>
      <c r="J644" s="3"/>
      <c r="K644" s="5"/>
      <c r="L644" s="3"/>
      <c r="M644" s="5"/>
      <c r="N644" s="5"/>
    </row>
    <row r="645">
      <c r="B645" s="3"/>
      <c r="C645" s="3"/>
      <c r="D645" s="3"/>
      <c r="E645" s="4"/>
      <c r="F645" s="3"/>
      <c r="G645" s="5"/>
      <c r="H645" s="3"/>
      <c r="I645" s="5"/>
      <c r="J645" s="3"/>
      <c r="K645" s="5"/>
      <c r="L645" s="3"/>
      <c r="M645" s="5"/>
      <c r="N645" s="5"/>
    </row>
    <row r="646">
      <c r="B646" s="3"/>
      <c r="C646" s="3"/>
      <c r="D646" s="3"/>
      <c r="E646" s="4"/>
      <c r="F646" s="3"/>
      <c r="G646" s="5"/>
      <c r="H646" s="3"/>
      <c r="I646" s="5"/>
      <c r="J646" s="3"/>
      <c r="K646" s="5"/>
      <c r="L646" s="3"/>
      <c r="M646" s="5"/>
      <c r="N646" s="5"/>
    </row>
    <row r="647">
      <c r="B647" s="3"/>
      <c r="C647" s="3"/>
      <c r="D647" s="3"/>
      <c r="E647" s="4"/>
      <c r="F647" s="3"/>
      <c r="G647" s="5"/>
      <c r="H647" s="3"/>
      <c r="I647" s="5"/>
      <c r="J647" s="3"/>
      <c r="K647" s="5"/>
      <c r="L647" s="3"/>
      <c r="M647" s="5"/>
      <c r="N647" s="5"/>
    </row>
    <row r="648">
      <c r="B648" s="3"/>
      <c r="C648" s="3"/>
      <c r="D648" s="3"/>
      <c r="E648" s="4"/>
      <c r="F648" s="3"/>
      <c r="G648" s="5"/>
      <c r="H648" s="3"/>
      <c r="I648" s="5"/>
      <c r="J648" s="3"/>
      <c r="K648" s="5"/>
      <c r="L648" s="3"/>
      <c r="M648" s="5"/>
      <c r="N648" s="5"/>
    </row>
    <row r="649">
      <c r="B649" s="3"/>
      <c r="C649" s="3"/>
      <c r="D649" s="3"/>
      <c r="E649" s="4"/>
      <c r="F649" s="3"/>
      <c r="G649" s="5"/>
      <c r="H649" s="3"/>
      <c r="I649" s="5"/>
      <c r="J649" s="3"/>
      <c r="K649" s="5"/>
      <c r="L649" s="3"/>
      <c r="M649" s="5"/>
      <c r="N649" s="5"/>
    </row>
    <row r="650">
      <c r="B650" s="3"/>
      <c r="C650" s="3"/>
      <c r="D650" s="3"/>
      <c r="E650" s="4"/>
      <c r="F650" s="3"/>
      <c r="G650" s="5"/>
      <c r="H650" s="3"/>
      <c r="I650" s="5"/>
      <c r="J650" s="3"/>
      <c r="K650" s="5"/>
      <c r="L650" s="3"/>
      <c r="M650" s="5"/>
      <c r="N650" s="5"/>
    </row>
    <row r="651">
      <c r="B651" s="3"/>
      <c r="C651" s="3"/>
      <c r="D651" s="3"/>
      <c r="E651" s="4"/>
      <c r="F651" s="3"/>
      <c r="G651" s="5"/>
      <c r="H651" s="3"/>
      <c r="I651" s="5"/>
      <c r="J651" s="3"/>
      <c r="K651" s="5"/>
      <c r="L651" s="3"/>
      <c r="M651" s="5"/>
      <c r="N651" s="5"/>
    </row>
    <row r="652">
      <c r="B652" s="3"/>
      <c r="C652" s="3"/>
      <c r="D652" s="3"/>
      <c r="E652" s="4"/>
      <c r="F652" s="3"/>
      <c r="G652" s="5"/>
      <c r="H652" s="3"/>
      <c r="I652" s="5"/>
      <c r="J652" s="3"/>
      <c r="K652" s="5"/>
      <c r="L652" s="3"/>
      <c r="M652" s="5"/>
      <c r="N652" s="5"/>
    </row>
    <row r="653">
      <c r="B653" s="3"/>
      <c r="C653" s="3"/>
      <c r="D653" s="3"/>
      <c r="E653" s="4"/>
      <c r="F653" s="3"/>
      <c r="G653" s="5"/>
      <c r="H653" s="3"/>
      <c r="I653" s="5"/>
      <c r="J653" s="3"/>
      <c r="K653" s="5"/>
      <c r="L653" s="3"/>
      <c r="M653" s="5"/>
      <c r="N653" s="5"/>
    </row>
    <row r="654">
      <c r="B654" s="3"/>
      <c r="C654" s="3"/>
      <c r="D654" s="3"/>
      <c r="E654" s="4"/>
      <c r="F654" s="3"/>
      <c r="G654" s="5"/>
      <c r="H654" s="3"/>
      <c r="I654" s="5"/>
      <c r="J654" s="3"/>
      <c r="K654" s="5"/>
      <c r="L654" s="3"/>
      <c r="M654" s="5"/>
      <c r="N654" s="5"/>
    </row>
    <row r="655">
      <c r="B655" s="3"/>
      <c r="C655" s="3"/>
      <c r="D655" s="3"/>
      <c r="E655" s="4"/>
      <c r="F655" s="3"/>
      <c r="G655" s="5"/>
      <c r="H655" s="3"/>
      <c r="I655" s="5"/>
      <c r="J655" s="3"/>
      <c r="K655" s="5"/>
      <c r="L655" s="3"/>
      <c r="M655" s="5"/>
      <c r="N655" s="5"/>
    </row>
    <row r="656">
      <c r="B656" s="3"/>
      <c r="C656" s="3"/>
      <c r="D656" s="3"/>
      <c r="E656" s="4"/>
      <c r="F656" s="3"/>
      <c r="G656" s="5"/>
      <c r="H656" s="3"/>
      <c r="I656" s="5"/>
      <c r="J656" s="3"/>
      <c r="K656" s="5"/>
      <c r="L656" s="3"/>
      <c r="M656" s="5"/>
      <c r="N656" s="5"/>
    </row>
    <row r="657">
      <c r="B657" s="3"/>
      <c r="C657" s="3"/>
      <c r="D657" s="3"/>
      <c r="E657" s="4"/>
      <c r="F657" s="3"/>
      <c r="G657" s="5"/>
      <c r="H657" s="3"/>
      <c r="I657" s="5"/>
      <c r="J657" s="3"/>
      <c r="K657" s="5"/>
      <c r="L657" s="3"/>
      <c r="M657" s="5"/>
      <c r="N657" s="5"/>
    </row>
    <row r="658">
      <c r="B658" s="3"/>
      <c r="C658" s="3"/>
      <c r="D658" s="3"/>
      <c r="E658" s="4"/>
      <c r="F658" s="3"/>
      <c r="G658" s="5"/>
      <c r="H658" s="3"/>
      <c r="I658" s="5"/>
      <c r="J658" s="3"/>
      <c r="K658" s="5"/>
      <c r="L658" s="3"/>
      <c r="M658" s="5"/>
      <c r="N658" s="5"/>
    </row>
    <row r="659">
      <c r="B659" s="3"/>
      <c r="C659" s="3"/>
      <c r="D659" s="3"/>
      <c r="E659" s="4"/>
      <c r="F659" s="3"/>
      <c r="G659" s="5"/>
      <c r="H659" s="3"/>
      <c r="I659" s="5"/>
      <c r="J659" s="3"/>
      <c r="K659" s="5"/>
      <c r="L659" s="3"/>
      <c r="M659" s="5"/>
      <c r="N659" s="5"/>
    </row>
    <row r="660">
      <c r="B660" s="3"/>
      <c r="C660" s="3"/>
      <c r="D660" s="3"/>
      <c r="E660" s="4"/>
      <c r="F660" s="3"/>
      <c r="G660" s="5"/>
      <c r="H660" s="3"/>
      <c r="I660" s="5"/>
      <c r="J660" s="3"/>
      <c r="K660" s="5"/>
      <c r="L660" s="3"/>
      <c r="M660" s="5"/>
      <c r="N660" s="5"/>
    </row>
    <row r="661">
      <c r="B661" s="3"/>
      <c r="C661" s="3"/>
      <c r="D661" s="3"/>
      <c r="E661" s="4"/>
      <c r="F661" s="3"/>
      <c r="G661" s="5"/>
      <c r="H661" s="3"/>
      <c r="I661" s="5"/>
      <c r="J661" s="3"/>
      <c r="K661" s="5"/>
      <c r="L661" s="3"/>
      <c r="M661" s="5"/>
      <c r="N661" s="5"/>
    </row>
    <row r="662">
      <c r="B662" s="3"/>
      <c r="C662" s="3"/>
      <c r="D662" s="3"/>
      <c r="E662" s="4"/>
      <c r="F662" s="3"/>
      <c r="G662" s="5"/>
      <c r="H662" s="3"/>
      <c r="I662" s="5"/>
      <c r="J662" s="3"/>
      <c r="K662" s="5"/>
      <c r="L662" s="3"/>
      <c r="M662" s="5"/>
      <c r="N662" s="5"/>
    </row>
    <row r="663">
      <c r="B663" s="3"/>
      <c r="C663" s="3"/>
      <c r="D663" s="3"/>
      <c r="E663" s="4"/>
      <c r="F663" s="3"/>
      <c r="G663" s="5"/>
      <c r="H663" s="3"/>
      <c r="I663" s="5"/>
      <c r="J663" s="3"/>
      <c r="K663" s="5"/>
      <c r="L663" s="3"/>
      <c r="M663" s="5"/>
      <c r="N663" s="5"/>
    </row>
    <row r="664">
      <c r="B664" s="3"/>
      <c r="C664" s="3"/>
      <c r="D664" s="3"/>
      <c r="E664" s="4"/>
      <c r="F664" s="3"/>
      <c r="G664" s="5"/>
      <c r="H664" s="3"/>
      <c r="I664" s="5"/>
      <c r="J664" s="3"/>
      <c r="K664" s="5"/>
      <c r="L664" s="3"/>
      <c r="M664" s="5"/>
      <c r="N664" s="5"/>
    </row>
    <row r="665">
      <c r="B665" s="3"/>
      <c r="C665" s="3"/>
      <c r="D665" s="3"/>
      <c r="E665" s="4"/>
      <c r="F665" s="3"/>
      <c r="G665" s="5"/>
      <c r="H665" s="3"/>
      <c r="I665" s="5"/>
      <c r="J665" s="3"/>
      <c r="K665" s="5"/>
      <c r="L665" s="3"/>
      <c r="M665" s="5"/>
      <c r="N665" s="5"/>
    </row>
    <row r="666">
      <c r="B666" s="3"/>
      <c r="C666" s="3"/>
      <c r="D666" s="3"/>
      <c r="E666" s="4"/>
      <c r="F666" s="3"/>
      <c r="G666" s="5"/>
      <c r="H666" s="3"/>
      <c r="I666" s="5"/>
      <c r="J666" s="3"/>
      <c r="K666" s="5"/>
      <c r="L666" s="3"/>
      <c r="M666" s="5"/>
      <c r="N666" s="5"/>
    </row>
    <row r="667">
      <c r="B667" s="3"/>
      <c r="C667" s="3"/>
      <c r="D667" s="3"/>
      <c r="E667" s="4"/>
      <c r="F667" s="3"/>
      <c r="G667" s="5"/>
      <c r="H667" s="3"/>
      <c r="I667" s="5"/>
      <c r="J667" s="3"/>
      <c r="K667" s="5"/>
      <c r="L667" s="3"/>
      <c r="M667" s="5"/>
      <c r="N667" s="5"/>
    </row>
    <row r="668">
      <c r="B668" s="3"/>
      <c r="C668" s="3"/>
      <c r="D668" s="3"/>
      <c r="E668" s="4"/>
      <c r="F668" s="3"/>
      <c r="G668" s="5"/>
      <c r="H668" s="3"/>
      <c r="I668" s="5"/>
      <c r="J668" s="3"/>
      <c r="K668" s="5"/>
      <c r="L668" s="3"/>
      <c r="M668" s="5"/>
      <c r="N668" s="5"/>
    </row>
    <row r="669">
      <c r="B669" s="3"/>
      <c r="C669" s="3"/>
      <c r="D669" s="3"/>
      <c r="E669" s="4"/>
      <c r="F669" s="3"/>
      <c r="G669" s="5"/>
      <c r="H669" s="3"/>
      <c r="I669" s="5"/>
      <c r="J669" s="3"/>
      <c r="K669" s="5"/>
      <c r="L669" s="3"/>
      <c r="M669" s="5"/>
      <c r="N669" s="5"/>
    </row>
    <row r="670">
      <c r="B670" s="3"/>
      <c r="C670" s="3"/>
      <c r="D670" s="3"/>
      <c r="E670" s="4"/>
      <c r="F670" s="3"/>
      <c r="G670" s="5"/>
      <c r="H670" s="3"/>
      <c r="I670" s="5"/>
      <c r="J670" s="3"/>
      <c r="K670" s="5"/>
      <c r="L670" s="3"/>
      <c r="M670" s="5"/>
      <c r="N670" s="5"/>
    </row>
    <row r="671">
      <c r="B671" s="3"/>
      <c r="C671" s="3"/>
      <c r="D671" s="3"/>
      <c r="E671" s="4"/>
      <c r="F671" s="3"/>
      <c r="G671" s="5"/>
      <c r="H671" s="3"/>
      <c r="I671" s="5"/>
      <c r="J671" s="3"/>
      <c r="K671" s="5"/>
      <c r="L671" s="3"/>
      <c r="M671" s="5"/>
      <c r="N671" s="5"/>
    </row>
    <row r="672">
      <c r="B672" s="3"/>
      <c r="C672" s="3"/>
      <c r="D672" s="3"/>
      <c r="E672" s="4"/>
      <c r="F672" s="3"/>
      <c r="G672" s="5"/>
      <c r="H672" s="3"/>
      <c r="I672" s="5"/>
      <c r="J672" s="3"/>
      <c r="K672" s="5"/>
      <c r="L672" s="3"/>
      <c r="M672" s="5"/>
      <c r="N672" s="5"/>
    </row>
    <row r="673">
      <c r="B673" s="3"/>
      <c r="C673" s="3"/>
      <c r="D673" s="3"/>
      <c r="E673" s="4"/>
      <c r="F673" s="3"/>
      <c r="G673" s="5"/>
      <c r="H673" s="3"/>
      <c r="I673" s="5"/>
      <c r="J673" s="3"/>
      <c r="K673" s="5"/>
      <c r="L673" s="3"/>
      <c r="M673" s="5"/>
      <c r="N673" s="5"/>
    </row>
    <row r="674">
      <c r="B674" s="3"/>
      <c r="C674" s="3"/>
      <c r="D674" s="3"/>
      <c r="E674" s="4"/>
      <c r="F674" s="3"/>
      <c r="G674" s="5"/>
      <c r="H674" s="3"/>
      <c r="I674" s="5"/>
      <c r="J674" s="3"/>
      <c r="K674" s="5"/>
      <c r="L674" s="3"/>
      <c r="M674" s="5"/>
      <c r="N674" s="5"/>
    </row>
    <row r="675">
      <c r="B675" s="3"/>
      <c r="C675" s="3"/>
      <c r="D675" s="3"/>
      <c r="E675" s="4"/>
      <c r="F675" s="3"/>
      <c r="G675" s="5"/>
      <c r="H675" s="3"/>
      <c r="I675" s="5"/>
      <c r="J675" s="3"/>
      <c r="K675" s="5"/>
      <c r="L675" s="3"/>
      <c r="M675" s="5"/>
      <c r="N675" s="5"/>
    </row>
    <row r="676">
      <c r="B676" s="3"/>
      <c r="C676" s="3"/>
      <c r="D676" s="3"/>
      <c r="E676" s="4"/>
      <c r="F676" s="3"/>
      <c r="G676" s="5"/>
      <c r="H676" s="3"/>
      <c r="I676" s="5"/>
      <c r="J676" s="3"/>
      <c r="K676" s="5"/>
      <c r="L676" s="3"/>
      <c r="M676" s="5"/>
      <c r="N676" s="5"/>
    </row>
    <row r="677">
      <c r="B677" s="3"/>
      <c r="C677" s="3"/>
      <c r="D677" s="3"/>
      <c r="E677" s="4"/>
      <c r="F677" s="3"/>
      <c r="G677" s="5"/>
      <c r="H677" s="3"/>
      <c r="I677" s="5"/>
      <c r="J677" s="3"/>
      <c r="K677" s="5"/>
      <c r="L677" s="3"/>
      <c r="M677" s="5"/>
      <c r="N677" s="5"/>
    </row>
    <row r="678">
      <c r="B678" s="3"/>
      <c r="C678" s="3"/>
      <c r="D678" s="3"/>
      <c r="E678" s="4"/>
      <c r="F678" s="3"/>
      <c r="G678" s="5"/>
      <c r="H678" s="3"/>
      <c r="I678" s="5"/>
      <c r="J678" s="3"/>
      <c r="K678" s="5"/>
      <c r="L678" s="3"/>
      <c r="M678" s="5"/>
      <c r="N678" s="5"/>
    </row>
    <row r="679">
      <c r="B679" s="3"/>
      <c r="C679" s="3"/>
      <c r="D679" s="3"/>
      <c r="E679" s="4"/>
      <c r="F679" s="3"/>
      <c r="G679" s="5"/>
      <c r="H679" s="3"/>
      <c r="I679" s="5"/>
      <c r="J679" s="3"/>
      <c r="K679" s="5"/>
      <c r="L679" s="3"/>
      <c r="M679" s="5"/>
      <c r="N679" s="5"/>
    </row>
    <row r="680">
      <c r="B680" s="3"/>
      <c r="C680" s="3"/>
      <c r="D680" s="3"/>
      <c r="E680" s="4"/>
      <c r="F680" s="3"/>
      <c r="G680" s="5"/>
      <c r="H680" s="3"/>
      <c r="I680" s="5"/>
      <c r="J680" s="3"/>
      <c r="K680" s="5"/>
      <c r="L680" s="3"/>
      <c r="M680" s="5"/>
      <c r="N680" s="5"/>
    </row>
    <row r="681">
      <c r="B681" s="3"/>
      <c r="C681" s="3"/>
      <c r="D681" s="3"/>
      <c r="E681" s="4"/>
      <c r="F681" s="3"/>
      <c r="G681" s="5"/>
      <c r="H681" s="3"/>
      <c r="I681" s="5"/>
      <c r="J681" s="3"/>
      <c r="K681" s="5"/>
      <c r="L681" s="3"/>
      <c r="M681" s="5"/>
      <c r="N681" s="5"/>
    </row>
    <row r="682">
      <c r="B682" s="3"/>
      <c r="C682" s="3"/>
      <c r="D682" s="3"/>
      <c r="E682" s="4"/>
      <c r="F682" s="3"/>
      <c r="G682" s="5"/>
      <c r="H682" s="3"/>
      <c r="I682" s="5"/>
      <c r="J682" s="3"/>
      <c r="K682" s="5"/>
      <c r="L682" s="3"/>
      <c r="M682" s="5"/>
      <c r="N682" s="5"/>
    </row>
    <row r="683">
      <c r="B683" s="3"/>
      <c r="C683" s="3"/>
      <c r="D683" s="3"/>
      <c r="E683" s="4"/>
      <c r="F683" s="3"/>
      <c r="G683" s="5"/>
      <c r="H683" s="3"/>
      <c r="I683" s="5"/>
      <c r="J683" s="3"/>
      <c r="K683" s="5"/>
      <c r="L683" s="3"/>
      <c r="M683" s="5"/>
      <c r="N683" s="5"/>
    </row>
    <row r="684">
      <c r="B684" s="3"/>
      <c r="C684" s="3"/>
      <c r="D684" s="3"/>
      <c r="E684" s="4"/>
      <c r="F684" s="3"/>
      <c r="G684" s="5"/>
      <c r="H684" s="3"/>
      <c r="I684" s="5"/>
      <c r="J684" s="3"/>
      <c r="K684" s="5"/>
      <c r="L684" s="3"/>
      <c r="M684" s="5"/>
      <c r="N684" s="5"/>
    </row>
    <row r="685">
      <c r="B685" s="3"/>
      <c r="C685" s="3"/>
      <c r="D685" s="3"/>
      <c r="E685" s="4"/>
      <c r="F685" s="3"/>
      <c r="G685" s="5"/>
      <c r="H685" s="3"/>
      <c r="I685" s="5"/>
      <c r="J685" s="3"/>
      <c r="K685" s="5"/>
      <c r="L685" s="3"/>
      <c r="M685" s="5"/>
      <c r="N685" s="5"/>
    </row>
    <row r="686">
      <c r="B686" s="3"/>
      <c r="C686" s="3"/>
      <c r="D686" s="3"/>
      <c r="E686" s="4"/>
      <c r="F686" s="3"/>
      <c r="G686" s="5"/>
      <c r="H686" s="3"/>
      <c r="I686" s="5"/>
      <c r="J686" s="3"/>
      <c r="K686" s="5"/>
      <c r="L686" s="3"/>
      <c r="M686" s="5"/>
      <c r="N686" s="5"/>
    </row>
    <row r="687">
      <c r="B687" s="3"/>
      <c r="C687" s="3"/>
      <c r="D687" s="3"/>
      <c r="E687" s="4"/>
      <c r="F687" s="3"/>
      <c r="G687" s="5"/>
      <c r="H687" s="3"/>
      <c r="I687" s="5"/>
      <c r="J687" s="3"/>
      <c r="K687" s="5"/>
      <c r="L687" s="3"/>
      <c r="M687" s="5"/>
      <c r="N687" s="5"/>
    </row>
    <row r="688">
      <c r="B688" s="3"/>
      <c r="C688" s="3"/>
      <c r="D688" s="3"/>
      <c r="E688" s="4"/>
      <c r="F688" s="3"/>
      <c r="G688" s="5"/>
      <c r="H688" s="3"/>
      <c r="I688" s="5"/>
      <c r="J688" s="3"/>
      <c r="K688" s="5"/>
      <c r="L688" s="3"/>
      <c r="M688" s="5"/>
      <c r="N688" s="5"/>
    </row>
    <row r="689">
      <c r="B689" s="3"/>
      <c r="C689" s="3"/>
      <c r="D689" s="3"/>
      <c r="E689" s="4"/>
      <c r="F689" s="3"/>
      <c r="G689" s="5"/>
      <c r="H689" s="3"/>
      <c r="I689" s="5"/>
      <c r="J689" s="3"/>
      <c r="K689" s="5"/>
      <c r="L689" s="3"/>
      <c r="M689" s="5"/>
      <c r="N689" s="5"/>
    </row>
    <row r="690">
      <c r="B690" s="3"/>
      <c r="C690" s="3"/>
      <c r="D690" s="3"/>
      <c r="E690" s="4"/>
      <c r="F690" s="3"/>
      <c r="G690" s="5"/>
      <c r="H690" s="3"/>
      <c r="I690" s="5"/>
      <c r="J690" s="3"/>
      <c r="K690" s="5"/>
      <c r="L690" s="3"/>
      <c r="M690" s="5"/>
      <c r="N690" s="5"/>
    </row>
    <row r="691">
      <c r="B691" s="3"/>
      <c r="C691" s="3"/>
      <c r="D691" s="3"/>
      <c r="E691" s="4"/>
      <c r="F691" s="3"/>
      <c r="G691" s="5"/>
      <c r="H691" s="3"/>
      <c r="I691" s="5"/>
      <c r="J691" s="3"/>
      <c r="K691" s="5"/>
      <c r="L691" s="3"/>
      <c r="M691" s="5"/>
      <c r="N691" s="5"/>
    </row>
    <row r="692">
      <c r="B692" s="3"/>
      <c r="C692" s="3"/>
      <c r="D692" s="3"/>
      <c r="E692" s="4"/>
      <c r="F692" s="3"/>
      <c r="G692" s="5"/>
      <c r="H692" s="3"/>
      <c r="I692" s="5"/>
      <c r="J692" s="3"/>
      <c r="K692" s="5"/>
      <c r="L692" s="3"/>
      <c r="M692" s="5"/>
      <c r="N692" s="5"/>
    </row>
    <row r="693">
      <c r="B693" s="3"/>
      <c r="C693" s="3"/>
      <c r="D693" s="3"/>
      <c r="E693" s="4"/>
      <c r="F693" s="3"/>
      <c r="G693" s="5"/>
      <c r="H693" s="3"/>
      <c r="I693" s="5"/>
      <c r="J693" s="3"/>
      <c r="K693" s="5"/>
      <c r="L693" s="3"/>
      <c r="M693" s="5"/>
      <c r="N693" s="5"/>
    </row>
    <row r="694">
      <c r="B694" s="3"/>
      <c r="C694" s="3"/>
      <c r="D694" s="3"/>
      <c r="E694" s="4"/>
      <c r="F694" s="3"/>
      <c r="G694" s="5"/>
      <c r="H694" s="3"/>
      <c r="I694" s="5"/>
      <c r="J694" s="3"/>
      <c r="K694" s="5"/>
      <c r="L694" s="3"/>
      <c r="M694" s="5"/>
      <c r="N694" s="5"/>
    </row>
    <row r="695">
      <c r="B695" s="3"/>
      <c r="C695" s="3"/>
      <c r="D695" s="3"/>
      <c r="E695" s="4"/>
      <c r="F695" s="3"/>
      <c r="G695" s="5"/>
      <c r="H695" s="3"/>
      <c r="I695" s="5"/>
      <c r="J695" s="3"/>
      <c r="K695" s="5"/>
      <c r="L695" s="3"/>
      <c r="M695" s="5"/>
      <c r="N695" s="5"/>
    </row>
    <row r="696">
      <c r="B696" s="3"/>
      <c r="C696" s="3"/>
      <c r="D696" s="3"/>
      <c r="E696" s="4"/>
      <c r="F696" s="3"/>
      <c r="G696" s="5"/>
      <c r="H696" s="3"/>
      <c r="I696" s="5"/>
      <c r="J696" s="3"/>
      <c r="K696" s="5"/>
      <c r="L696" s="3"/>
      <c r="M696" s="5"/>
      <c r="N696" s="5"/>
    </row>
    <row r="697">
      <c r="B697" s="3"/>
      <c r="C697" s="3"/>
      <c r="D697" s="3"/>
      <c r="E697" s="4"/>
      <c r="F697" s="3"/>
      <c r="G697" s="5"/>
      <c r="H697" s="3"/>
      <c r="I697" s="5"/>
      <c r="J697" s="3"/>
      <c r="K697" s="5"/>
      <c r="L697" s="3"/>
      <c r="M697" s="5"/>
      <c r="N697" s="5"/>
    </row>
    <row r="698">
      <c r="B698" s="3"/>
      <c r="C698" s="3"/>
      <c r="D698" s="3"/>
      <c r="E698" s="4"/>
      <c r="F698" s="3"/>
      <c r="G698" s="5"/>
      <c r="H698" s="3"/>
      <c r="I698" s="5"/>
      <c r="J698" s="3"/>
      <c r="K698" s="5"/>
      <c r="L698" s="3"/>
      <c r="M698" s="5"/>
      <c r="N698" s="5"/>
    </row>
    <row r="699">
      <c r="B699" s="3"/>
      <c r="C699" s="3"/>
      <c r="D699" s="3"/>
      <c r="E699" s="4"/>
      <c r="F699" s="3"/>
      <c r="G699" s="5"/>
      <c r="H699" s="3"/>
      <c r="I699" s="5"/>
      <c r="J699" s="3"/>
      <c r="K699" s="5"/>
      <c r="L699" s="3"/>
      <c r="M699" s="5"/>
      <c r="N699" s="5"/>
    </row>
    <row r="700">
      <c r="B700" s="3"/>
      <c r="C700" s="3"/>
      <c r="D700" s="3"/>
      <c r="E700" s="4"/>
      <c r="F700" s="3"/>
      <c r="G700" s="5"/>
      <c r="H700" s="3"/>
      <c r="I700" s="5"/>
      <c r="J700" s="3"/>
      <c r="K700" s="5"/>
      <c r="L700" s="3"/>
      <c r="M700" s="5"/>
      <c r="N700" s="5"/>
    </row>
    <row r="701">
      <c r="B701" s="3"/>
      <c r="C701" s="3"/>
      <c r="D701" s="3"/>
      <c r="E701" s="4"/>
      <c r="F701" s="3"/>
      <c r="G701" s="5"/>
      <c r="H701" s="3"/>
      <c r="I701" s="5"/>
      <c r="J701" s="3"/>
      <c r="K701" s="5"/>
      <c r="L701" s="3"/>
      <c r="M701" s="5"/>
      <c r="N701" s="5"/>
    </row>
    <row r="702">
      <c r="B702" s="3"/>
      <c r="C702" s="3"/>
      <c r="D702" s="3"/>
      <c r="E702" s="4"/>
      <c r="F702" s="3"/>
      <c r="G702" s="5"/>
      <c r="H702" s="3"/>
      <c r="I702" s="5"/>
      <c r="J702" s="3"/>
      <c r="K702" s="5"/>
      <c r="L702" s="3"/>
      <c r="M702" s="5"/>
      <c r="N702" s="5"/>
    </row>
    <row r="703">
      <c r="B703" s="3"/>
      <c r="C703" s="3"/>
      <c r="D703" s="3"/>
      <c r="E703" s="4"/>
      <c r="F703" s="3"/>
      <c r="G703" s="5"/>
      <c r="H703" s="3"/>
      <c r="I703" s="5"/>
      <c r="J703" s="3"/>
      <c r="K703" s="5"/>
      <c r="L703" s="3"/>
      <c r="M703" s="5"/>
      <c r="N703" s="5"/>
    </row>
    <row r="704">
      <c r="B704" s="3"/>
      <c r="C704" s="3"/>
      <c r="D704" s="3"/>
      <c r="E704" s="4"/>
      <c r="F704" s="3"/>
      <c r="G704" s="5"/>
      <c r="H704" s="3"/>
      <c r="I704" s="5"/>
      <c r="J704" s="3"/>
      <c r="K704" s="5"/>
      <c r="L704" s="3"/>
      <c r="M704" s="5"/>
      <c r="N704" s="5"/>
    </row>
    <row r="705">
      <c r="B705" s="3"/>
      <c r="C705" s="3"/>
      <c r="D705" s="3"/>
      <c r="E705" s="4"/>
      <c r="F705" s="3"/>
      <c r="G705" s="5"/>
      <c r="H705" s="3"/>
      <c r="I705" s="5"/>
      <c r="J705" s="3"/>
      <c r="K705" s="5"/>
      <c r="L705" s="3"/>
      <c r="M705" s="5"/>
      <c r="N705" s="5"/>
    </row>
    <row r="706">
      <c r="B706" s="3"/>
      <c r="C706" s="3"/>
      <c r="D706" s="3"/>
      <c r="E706" s="4"/>
      <c r="F706" s="3"/>
      <c r="G706" s="5"/>
      <c r="H706" s="3"/>
      <c r="I706" s="5"/>
      <c r="J706" s="3"/>
      <c r="K706" s="5"/>
      <c r="L706" s="3"/>
      <c r="M706" s="5"/>
      <c r="N706" s="5"/>
    </row>
    <row r="707">
      <c r="B707" s="3"/>
      <c r="C707" s="3"/>
      <c r="D707" s="3"/>
      <c r="E707" s="4"/>
      <c r="F707" s="3"/>
      <c r="G707" s="5"/>
      <c r="H707" s="3"/>
      <c r="I707" s="5"/>
      <c r="J707" s="3"/>
      <c r="K707" s="5"/>
      <c r="L707" s="3"/>
      <c r="M707" s="5"/>
      <c r="N707" s="5"/>
    </row>
    <row r="708">
      <c r="B708" s="3"/>
      <c r="C708" s="3"/>
      <c r="D708" s="3"/>
      <c r="E708" s="4"/>
      <c r="F708" s="3"/>
      <c r="G708" s="5"/>
      <c r="H708" s="3"/>
      <c r="I708" s="5"/>
      <c r="J708" s="3"/>
      <c r="K708" s="5"/>
      <c r="L708" s="3"/>
      <c r="M708" s="5"/>
      <c r="N708" s="5"/>
    </row>
    <row r="709">
      <c r="B709" s="3"/>
      <c r="C709" s="3"/>
      <c r="D709" s="3"/>
      <c r="E709" s="4"/>
      <c r="F709" s="3"/>
      <c r="G709" s="5"/>
      <c r="H709" s="3"/>
      <c r="I709" s="5"/>
      <c r="J709" s="3"/>
      <c r="K709" s="5"/>
      <c r="L709" s="3"/>
      <c r="M709" s="5"/>
      <c r="N709" s="5"/>
    </row>
    <row r="710">
      <c r="B710" s="3"/>
      <c r="C710" s="3"/>
      <c r="D710" s="3"/>
      <c r="E710" s="4"/>
      <c r="F710" s="3"/>
      <c r="G710" s="5"/>
      <c r="H710" s="3"/>
      <c r="I710" s="5"/>
      <c r="J710" s="3"/>
      <c r="K710" s="5"/>
      <c r="L710" s="3"/>
      <c r="M710" s="5"/>
      <c r="N710" s="5"/>
    </row>
    <row r="711">
      <c r="B711" s="3"/>
      <c r="C711" s="3"/>
      <c r="D711" s="3"/>
      <c r="E711" s="4"/>
      <c r="F711" s="3"/>
      <c r="G711" s="5"/>
      <c r="H711" s="3"/>
      <c r="I711" s="5"/>
      <c r="J711" s="3"/>
      <c r="K711" s="5"/>
      <c r="L711" s="3"/>
      <c r="M711" s="5"/>
      <c r="N711" s="5"/>
    </row>
    <row r="712">
      <c r="B712" s="3"/>
      <c r="C712" s="3"/>
      <c r="D712" s="3"/>
      <c r="E712" s="4"/>
      <c r="F712" s="3"/>
      <c r="G712" s="5"/>
      <c r="H712" s="3"/>
      <c r="I712" s="5"/>
      <c r="J712" s="3"/>
      <c r="K712" s="5"/>
      <c r="L712" s="3"/>
      <c r="M712" s="5"/>
      <c r="N712" s="5"/>
    </row>
    <row r="713">
      <c r="B713" s="3"/>
      <c r="C713" s="3"/>
      <c r="D713" s="3"/>
      <c r="E713" s="4"/>
      <c r="F713" s="3"/>
      <c r="G713" s="5"/>
      <c r="H713" s="3"/>
      <c r="I713" s="5"/>
      <c r="J713" s="3"/>
      <c r="K713" s="5"/>
      <c r="L713" s="3"/>
      <c r="M713" s="5"/>
      <c r="N713" s="5"/>
    </row>
    <row r="714">
      <c r="B714" s="3"/>
      <c r="C714" s="3"/>
      <c r="D714" s="3"/>
      <c r="E714" s="4"/>
      <c r="F714" s="3"/>
      <c r="G714" s="5"/>
      <c r="H714" s="3"/>
      <c r="I714" s="5"/>
      <c r="J714" s="3"/>
      <c r="K714" s="5"/>
      <c r="L714" s="3"/>
      <c r="M714" s="5"/>
      <c r="N714" s="5"/>
    </row>
    <row r="715">
      <c r="B715" s="3"/>
      <c r="C715" s="3"/>
      <c r="D715" s="3"/>
      <c r="E715" s="4"/>
      <c r="F715" s="3"/>
      <c r="G715" s="5"/>
      <c r="H715" s="3"/>
      <c r="I715" s="5"/>
      <c r="J715" s="3"/>
      <c r="K715" s="5"/>
      <c r="L715" s="3"/>
      <c r="M715" s="5"/>
      <c r="N715" s="5"/>
    </row>
    <row r="716">
      <c r="B716" s="3"/>
      <c r="C716" s="3"/>
      <c r="D716" s="3"/>
      <c r="E716" s="4"/>
      <c r="F716" s="3"/>
      <c r="G716" s="5"/>
      <c r="H716" s="3"/>
      <c r="I716" s="5"/>
      <c r="J716" s="3"/>
      <c r="K716" s="5"/>
      <c r="L716" s="3"/>
      <c r="M716" s="5"/>
      <c r="N716" s="5"/>
    </row>
    <row r="717">
      <c r="B717" s="3"/>
      <c r="C717" s="3"/>
      <c r="D717" s="3"/>
      <c r="E717" s="4"/>
      <c r="F717" s="3"/>
      <c r="G717" s="5"/>
      <c r="H717" s="3"/>
      <c r="I717" s="5"/>
      <c r="J717" s="3"/>
      <c r="K717" s="5"/>
      <c r="L717" s="3"/>
      <c r="M717" s="5"/>
      <c r="N717" s="5"/>
    </row>
    <row r="718">
      <c r="B718" s="3"/>
      <c r="C718" s="3"/>
      <c r="D718" s="3"/>
      <c r="E718" s="4"/>
      <c r="F718" s="3"/>
      <c r="G718" s="5"/>
      <c r="H718" s="3"/>
      <c r="I718" s="5"/>
      <c r="J718" s="3"/>
      <c r="K718" s="5"/>
      <c r="L718" s="3"/>
      <c r="M718" s="5"/>
      <c r="N718" s="5"/>
    </row>
    <row r="719">
      <c r="B719" s="3"/>
      <c r="C719" s="3"/>
      <c r="D719" s="3"/>
      <c r="E719" s="4"/>
      <c r="F719" s="3"/>
      <c r="G719" s="5"/>
      <c r="H719" s="3"/>
      <c r="I719" s="5"/>
      <c r="J719" s="3"/>
      <c r="K719" s="5"/>
      <c r="L719" s="3"/>
      <c r="M719" s="5"/>
      <c r="N719" s="5"/>
    </row>
    <row r="720">
      <c r="B720" s="3"/>
      <c r="C720" s="3"/>
      <c r="D720" s="3"/>
      <c r="E720" s="4"/>
      <c r="F720" s="3"/>
      <c r="G720" s="5"/>
      <c r="H720" s="3"/>
      <c r="I720" s="5"/>
      <c r="J720" s="3"/>
      <c r="K720" s="5"/>
      <c r="L720" s="3"/>
      <c r="M720" s="5"/>
      <c r="N720" s="5"/>
    </row>
    <row r="721">
      <c r="B721" s="3"/>
      <c r="C721" s="3"/>
      <c r="D721" s="3"/>
      <c r="E721" s="4"/>
      <c r="F721" s="3"/>
      <c r="G721" s="5"/>
      <c r="H721" s="3"/>
      <c r="I721" s="5"/>
      <c r="J721" s="3"/>
      <c r="K721" s="5"/>
      <c r="L721" s="3"/>
      <c r="M721" s="5"/>
      <c r="N721" s="5"/>
    </row>
    <row r="722">
      <c r="B722" s="3"/>
      <c r="C722" s="3"/>
      <c r="D722" s="3"/>
      <c r="E722" s="4"/>
      <c r="F722" s="3"/>
      <c r="G722" s="5"/>
      <c r="H722" s="3"/>
      <c r="I722" s="5"/>
      <c r="J722" s="3"/>
      <c r="K722" s="5"/>
      <c r="L722" s="3"/>
      <c r="M722" s="5"/>
      <c r="N722" s="5"/>
    </row>
    <row r="723">
      <c r="B723" s="3"/>
      <c r="C723" s="3"/>
      <c r="D723" s="3"/>
      <c r="E723" s="4"/>
      <c r="F723" s="3"/>
      <c r="G723" s="5"/>
      <c r="H723" s="3"/>
      <c r="I723" s="5"/>
      <c r="J723" s="3"/>
      <c r="K723" s="5"/>
      <c r="L723" s="3"/>
      <c r="M723" s="5"/>
      <c r="N723" s="5"/>
    </row>
    <row r="724">
      <c r="B724" s="3"/>
      <c r="C724" s="3"/>
      <c r="D724" s="3"/>
      <c r="E724" s="4"/>
      <c r="F724" s="3"/>
      <c r="G724" s="5"/>
      <c r="H724" s="3"/>
      <c r="I724" s="5"/>
      <c r="J724" s="3"/>
      <c r="K724" s="5"/>
      <c r="L724" s="3"/>
      <c r="M724" s="5"/>
      <c r="N724" s="5"/>
    </row>
    <row r="725">
      <c r="B725" s="3"/>
      <c r="C725" s="3"/>
      <c r="D725" s="3"/>
      <c r="E725" s="4"/>
      <c r="F725" s="3"/>
      <c r="G725" s="5"/>
      <c r="H725" s="3"/>
      <c r="I725" s="5"/>
      <c r="J725" s="3"/>
      <c r="K725" s="5"/>
      <c r="L725" s="3"/>
      <c r="M725" s="5"/>
      <c r="N725" s="5"/>
    </row>
    <row r="726">
      <c r="B726" s="3"/>
      <c r="C726" s="3"/>
      <c r="D726" s="3"/>
      <c r="E726" s="4"/>
      <c r="F726" s="3"/>
      <c r="G726" s="5"/>
      <c r="H726" s="3"/>
      <c r="I726" s="5"/>
      <c r="J726" s="3"/>
      <c r="K726" s="5"/>
      <c r="L726" s="3"/>
      <c r="M726" s="5"/>
      <c r="N726" s="5"/>
    </row>
    <row r="727">
      <c r="B727" s="3"/>
      <c r="C727" s="3"/>
      <c r="D727" s="3"/>
      <c r="E727" s="4"/>
      <c r="F727" s="3"/>
      <c r="G727" s="5"/>
      <c r="H727" s="3"/>
      <c r="I727" s="5"/>
      <c r="J727" s="3"/>
      <c r="K727" s="5"/>
      <c r="L727" s="3"/>
      <c r="M727" s="5"/>
      <c r="N727" s="5"/>
    </row>
    <row r="728">
      <c r="B728" s="3"/>
      <c r="C728" s="3"/>
      <c r="D728" s="3"/>
      <c r="E728" s="4"/>
      <c r="F728" s="3"/>
      <c r="G728" s="5"/>
      <c r="H728" s="3"/>
      <c r="I728" s="5"/>
      <c r="J728" s="3"/>
      <c r="K728" s="5"/>
      <c r="L728" s="3"/>
      <c r="M728" s="5"/>
      <c r="N728" s="5"/>
    </row>
    <row r="729">
      <c r="B729" s="3"/>
      <c r="C729" s="3"/>
      <c r="D729" s="3"/>
      <c r="E729" s="4"/>
      <c r="F729" s="3"/>
      <c r="G729" s="5"/>
      <c r="H729" s="3"/>
      <c r="I729" s="5"/>
      <c r="J729" s="3"/>
      <c r="K729" s="5"/>
      <c r="L729" s="3"/>
      <c r="M729" s="5"/>
      <c r="N729" s="5"/>
    </row>
    <row r="730">
      <c r="B730" s="3"/>
      <c r="C730" s="3"/>
      <c r="D730" s="3"/>
      <c r="E730" s="4"/>
      <c r="F730" s="3"/>
      <c r="G730" s="5"/>
      <c r="H730" s="3"/>
      <c r="I730" s="5"/>
      <c r="J730" s="3"/>
      <c r="K730" s="5"/>
      <c r="L730" s="3"/>
      <c r="M730" s="5"/>
      <c r="N730" s="5"/>
    </row>
    <row r="731">
      <c r="B731" s="3"/>
      <c r="C731" s="3"/>
      <c r="D731" s="3"/>
      <c r="E731" s="4"/>
      <c r="F731" s="3"/>
      <c r="G731" s="5"/>
      <c r="H731" s="3"/>
      <c r="I731" s="5"/>
      <c r="J731" s="3"/>
      <c r="K731" s="5"/>
      <c r="L731" s="3"/>
      <c r="M731" s="5"/>
      <c r="N731" s="5"/>
    </row>
    <row r="732">
      <c r="B732" s="3"/>
      <c r="C732" s="3"/>
      <c r="D732" s="3"/>
      <c r="E732" s="4"/>
      <c r="F732" s="3"/>
      <c r="G732" s="5"/>
      <c r="H732" s="3"/>
      <c r="I732" s="5"/>
      <c r="J732" s="3"/>
      <c r="K732" s="5"/>
      <c r="L732" s="3"/>
      <c r="M732" s="5"/>
      <c r="N732" s="5"/>
    </row>
    <row r="733">
      <c r="B733" s="3"/>
      <c r="C733" s="3"/>
      <c r="D733" s="3"/>
      <c r="E733" s="4"/>
      <c r="F733" s="3"/>
      <c r="G733" s="5"/>
      <c r="H733" s="3"/>
      <c r="I733" s="5"/>
      <c r="J733" s="3"/>
      <c r="K733" s="5"/>
      <c r="L733" s="3"/>
      <c r="M733" s="5"/>
      <c r="N733" s="5"/>
    </row>
    <row r="734">
      <c r="B734" s="3"/>
      <c r="C734" s="3"/>
      <c r="D734" s="3"/>
      <c r="E734" s="4"/>
      <c r="F734" s="3"/>
      <c r="G734" s="5"/>
      <c r="H734" s="3"/>
      <c r="I734" s="5"/>
      <c r="J734" s="3"/>
      <c r="K734" s="5"/>
      <c r="L734" s="3"/>
      <c r="M734" s="5"/>
      <c r="N734" s="5"/>
    </row>
    <row r="735">
      <c r="B735" s="3"/>
      <c r="C735" s="3"/>
      <c r="D735" s="3"/>
      <c r="E735" s="4"/>
      <c r="F735" s="3"/>
      <c r="G735" s="5"/>
      <c r="H735" s="3"/>
      <c r="I735" s="5"/>
      <c r="J735" s="3"/>
      <c r="K735" s="5"/>
      <c r="L735" s="3"/>
      <c r="M735" s="5"/>
      <c r="N735" s="5"/>
    </row>
    <row r="736">
      <c r="B736" s="3"/>
      <c r="C736" s="3"/>
      <c r="D736" s="3"/>
      <c r="E736" s="4"/>
      <c r="F736" s="3"/>
      <c r="G736" s="5"/>
      <c r="H736" s="3"/>
      <c r="I736" s="5"/>
      <c r="J736" s="3"/>
      <c r="K736" s="5"/>
      <c r="L736" s="3"/>
      <c r="M736" s="5"/>
      <c r="N736" s="5"/>
    </row>
    <row r="737">
      <c r="B737" s="3"/>
      <c r="C737" s="3"/>
      <c r="D737" s="3"/>
      <c r="E737" s="4"/>
      <c r="F737" s="3"/>
      <c r="G737" s="5"/>
      <c r="H737" s="3"/>
      <c r="I737" s="5"/>
      <c r="J737" s="3"/>
      <c r="K737" s="5"/>
      <c r="L737" s="3"/>
      <c r="M737" s="5"/>
      <c r="N737" s="5"/>
    </row>
    <row r="738">
      <c r="B738" s="3"/>
      <c r="C738" s="3"/>
      <c r="D738" s="3"/>
      <c r="E738" s="4"/>
      <c r="F738" s="3"/>
      <c r="G738" s="5"/>
      <c r="H738" s="3"/>
      <c r="I738" s="5"/>
      <c r="J738" s="3"/>
      <c r="K738" s="5"/>
      <c r="L738" s="3"/>
      <c r="M738" s="5"/>
      <c r="N738" s="5"/>
    </row>
    <row r="739">
      <c r="B739" s="3"/>
      <c r="C739" s="3"/>
      <c r="D739" s="3"/>
      <c r="E739" s="4"/>
      <c r="F739" s="3"/>
      <c r="G739" s="5"/>
      <c r="H739" s="3"/>
      <c r="I739" s="5"/>
      <c r="J739" s="3"/>
      <c r="K739" s="5"/>
      <c r="L739" s="3"/>
      <c r="M739" s="5"/>
      <c r="N739" s="5"/>
    </row>
    <row r="740">
      <c r="B740" s="3"/>
      <c r="C740" s="3"/>
      <c r="D740" s="3"/>
      <c r="E740" s="4"/>
      <c r="F740" s="3"/>
      <c r="G740" s="5"/>
      <c r="H740" s="3"/>
      <c r="I740" s="5"/>
      <c r="J740" s="3"/>
      <c r="K740" s="5"/>
      <c r="L740" s="3"/>
      <c r="M740" s="5"/>
      <c r="N740" s="5"/>
    </row>
    <row r="741">
      <c r="B741" s="3"/>
      <c r="C741" s="3"/>
      <c r="D741" s="3"/>
      <c r="E741" s="4"/>
      <c r="F741" s="3"/>
      <c r="G741" s="5"/>
      <c r="H741" s="3"/>
      <c r="I741" s="5"/>
      <c r="J741" s="3"/>
      <c r="K741" s="5"/>
      <c r="L741" s="3"/>
      <c r="M741" s="5"/>
      <c r="N741" s="5"/>
    </row>
    <row r="742">
      <c r="B742" s="3"/>
      <c r="C742" s="3"/>
      <c r="D742" s="3"/>
      <c r="E742" s="4"/>
      <c r="F742" s="3"/>
      <c r="G742" s="5"/>
      <c r="H742" s="3"/>
      <c r="I742" s="5"/>
      <c r="J742" s="3"/>
      <c r="K742" s="5"/>
      <c r="L742" s="3"/>
      <c r="M742" s="5"/>
      <c r="N742" s="5"/>
    </row>
    <row r="743">
      <c r="B743" s="3"/>
      <c r="C743" s="3"/>
      <c r="D743" s="3"/>
      <c r="E743" s="4"/>
      <c r="F743" s="3"/>
      <c r="G743" s="5"/>
      <c r="H743" s="3"/>
      <c r="I743" s="5"/>
      <c r="J743" s="3"/>
      <c r="K743" s="5"/>
      <c r="L743" s="3"/>
      <c r="M743" s="5"/>
      <c r="N743" s="5"/>
    </row>
    <row r="744">
      <c r="B744" s="3"/>
      <c r="C744" s="3"/>
      <c r="D744" s="3"/>
      <c r="E744" s="4"/>
      <c r="F744" s="3"/>
      <c r="G744" s="5"/>
      <c r="H744" s="3"/>
      <c r="I744" s="5"/>
      <c r="J744" s="3"/>
      <c r="K744" s="5"/>
      <c r="L744" s="3"/>
      <c r="M744" s="5"/>
      <c r="N744" s="5"/>
    </row>
    <row r="745">
      <c r="B745" s="3"/>
      <c r="C745" s="3"/>
      <c r="D745" s="3"/>
      <c r="E745" s="4"/>
      <c r="F745" s="3"/>
      <c r="G745" s="5"/>
      <c r="H745" s="3"/>
      <c r="I745" s="5"/>
      <c r="J745" s="3"/>
      <c r="K745" s="5"/>
      <c r="L745" s="3"/>
      <c r="M745" s="5"/>
      <c r="N745" s="5"/>
    </row>
    <row r="746">
      <c r="B746" s="3"/>
      <c r="C746" s="3"/>
      <c r="D746" s="3"/>
      <c r="E746" s="4"/>
      <c r="F746" s="3"/>
      <c r="G746" s="5"/>
      <c r="H746" s="3"/>
      <c r="I746" s="5"/>
      <c r="J746" s="3"/>
      <c r="K746" s="5"/>
      <c r="L746" s="3"/>
      <c r="M746" s="5"/>
      <c r="N746" s="5"/>
    </row>
    <row r="747">
      <c r="B747" s="3"/>
      <c r="C747" s="3"/>
      <c r="D747" s="3"/>
      <c r="E747" s="4"/>
      <c r="F747" s="3"/>
      <c r="G747" s="5"/>
      <c r="H747" s="3"/>
      <c r="I747" s="5"/>
      <c r="J747" s="3"/>
      <c r="K747" s="5"/>
      <c r="L747" s="3"/>
      <c r="M747" s="5"/>
      <c r="N747" s="5"/>
    </row>
    <row r="748">
      <c r="B748" s="3"/>
      <c r="C748" s="3"/>
      <c r="D748" s="3"/>
      <c r="E748" s="4"/>
      <c r="F748" s="3"/>
      <c r="G748" s="5"/>
      <c r="H748" s="3"/>
      <c r="I748" s="5"/>
      <c r="J748" s="3"/>
      <c r="K748" s="5"/>
      <c r="L748" s="3"/>
      <c r="M748" s="5"/>
      <c r="N748" s="5"/>
    </row>
    <row r="749">
      <c r="B749" s="3"/>
      <c r="C749" s="3"/>
      <c r="D749" s="3"/>
      <c r="E749" s="4"/>
      <c r="F749" s="3"/>
      <c r="G749" s="5"/>
      <c r="H749" s="3"/>
      <c r="I749" s="5"/>
      <c r="J749" s="3"/>
      <c r="K749" s="5"/>
      <c r="L749" s="3"/>
      <c r="M749" s="5"/>
      <c r="N749" s="5"/>
    </row>
    <row r="750">
      <c r="B750" s="3"/>
      <c r="C750" s="3"/>
      <c r="D750" s="3"/>
      <c r="E750" s="4"/>
      <c r="F750" s="3"/>
      <c r="G750" s="5"/>
      <c r="H750" s="3"/>
      <c r="I750" s="5"/>
      <c r="J750" s="3"/>
      <c r="K750" s="5"/>
      <c r="L750" s="3"/>
      <c r="M750" s="5"/>
      <c r="N750" s="5"/>
    </row>
    <row r="751">
      <c r="B751" s="3"/>
      <c r="C751" s="3"/>
      <c r="D751" s="3"/>
      <c r="E751" s="4"/>
      <c r="F751" s="3"/>
      <c r="G751" s="5"/>
      <c r="H751" s="3"/>
      <c r="I751" s="5"/>
      <c r="J751" s="3"/>
      <c r="K751" s="5"/>
      <c r="L751" s="3"/>
      <c r="M751" s="5"/>
      <c r="N751" s="5"/>
    </row>
    <row r="752">
      <c r="B752" s="3"/>
      <c r="C752" s="3"/>
      <c r="D752" s="3"/>
      <c r="E752" s="4"/>
      <c r="F752" s="3"/>
      <c r="G752" s="5"/>
      <c r="H752" s="3"/>
      <c r="I752" s="5"/>
      <c r="J752" s="3"/>
      <c r="K752" s="5"/>
      <c r="L752" s="3"/>
      <c r="M752" s="5"/>
      <c r="N752" s="5"/>
    </row>
    <row r="753">
      <c r="B753" s="3"/>
      <c r="C753" s="3"/>
      <c r="D753" s="3"/>
      <c r="E753" s="4"/>
      <c r="F753" s="3"/>
      <c r="G753" s="5"/>
      <c r="H753" s="3"/>
      <c r="I753" s="5"/>
      <c r="J753" s="3"/>
      <c r="K753" s="5"/>
      <c r="L753" s="3"/>
      <c r="M753" s="5"/>
      <c r="N753" s="5"/>
    </row>
    <row r="754">
      <c r="B754" s="3"/>
      <c r="C754" s="3"/>
      <c r="D754" s="3"/>
      <c r="E754" s="4"/>
      <c r="F754" s="3"/>
      <c r="G754" s="5"/>
      <c r="H754" s="3"/>
      <c r="I754" s="5"/>
      <c r="J754" s="3"/>
      <c r="K754" s="5"/>
      <c r="L754" s="3"/>
      <c r="M754" s="5"/>
      <c r="N754" s="5"/>
    </row>
    <row r="755">
      <c r="B755" s="3"/>
      <c r="C755" s="3"/>
      <c r="D755" s="3"/>
      <c r="E755" s="4"/>
      <c r="F755" s="3"/>
      <c r="G755" s="5"/>
      <c r="H755" s="3"/>
      <c r="I755" s="5"/>
      <c r="J755" s="3"/>
      <c r="K755" s="5"/>
      <c r="L755" s="3"/>
      <c r="M755" s="5"/>
      <c r="N755" s="5"/>
    </row>
    <row r="756">
      <c r="B756" s="3"/>
      <c r="C756" s="3"/>
      <c r="D756" s="3"/>
      <c r="E756" s="4"/>
      <c r="F756" s="3"/>
      <c r="G756" s="5"/>
      <c r="H756" s="3"/>
      <c r="I756" s="5"/>
      <c r="J756" s="3"/>
      <c r="K756" s="5"/>
      <c r="L756" s="3"/>
      <c r="M756" s="5"/>
      <c r="N756" s="5"/>
    </row>
    <row r="757">
      <c r="B757" s="3"/>
      <c r="C757" s="3"/>
      <c r="D757" s="3"/>
      <c r="E757" s="4"/>
      <c r="F757" s="3"/>
      <c r="G757" s="5"/>
      <c r="H757" s="3"/>
      <c r="I757" s="5"/>
      <c r="J757" s="3"/>
      <c r="K757" s="5"/>
      <c r="L757" s="3"/>
      <c r="M757" s="5"/>
      <c r="N757" s="5"/>
    </row>
    <row r="758">
      <c r="B758" s="3"/>
      <c r="C758" s="3"/>
      <c r="D758" s="3"/>
      <c r="E758" s="4"/>
      <c r="F758" s="3"/>
      <c r="G758" s="5"/>
      <c r="H758" s="3"/>
      <c r="I758" s="5"/>
      <c r="J758" s="3"/>
      <c r="K758" s="5"/>
      <c r="L758" s="3"/>
      <c r="M758" s="5"/>
      <c r="N758" s="5"/>
    </row>
    <row r="759">
      <c r="B759" s="3"/>
      <c r="C759" s="3"/>
      <c r="D759" s="3"/>
      <c r="E759" s="4"/>
      <c r="F759" s="3"/>
      <c r="G759" s="5"/>
      <c r="H759" s="3"/>
      <c r="I759" s="5"/>
      <c r="J759" s="3"/>
      <c r="K759" s="5"/>
      <c r="L759" s="3"/>
      <c r="M759" s="5"/>
      <c r="N759" s="5"/>
    </row>
    <row r="760">
      <c r="B760" s="3"/>
      <c r="C760" s="3"/>
      <c r="D760" s="3"/>
      <c r="E760" s="4"/>
      <c r="F760" s="3"/>
      <c r="G760" s="5"/>
      <c r="H760" s="3"/>
      <c r="I760" s="5"/>
      <c r="J760" s="3"/>
      <c r="K760" s="5"/>
      <c r="L760" s="3"/>
      <c r="M760" s="5"/>
      <c r="N760" s="5"/>
    </row>
    <row r="761">
      <c r="B761" s="3"/>
      <c r="C761" s="3"/>
      <c r="D761" s="3"/>
      <c r="E761" s="4"/>
      <c r="F761" s="3"/>
      <c r="G761" s="5"/>
      <c r="H761" s="3"/>
      <c r="I761" s="5"/>
      <c r="J761" s="3"/>
      <c r="K761" s="5"/>
      <c r="L761" s="3"/>
      <c r="M761" s="5"/>
      <c r="N761" s="5"/>
    </row>
    <row r="762">
      <c r="B762" s="3"/>
      <c r="C762" s="3"/>
      <c r="D762" s="3"/>
      <c r="E762" s="4"/>
      <c r="F762" s="3"/>
      <c r="G762" s="5"/>
      <c r="H762" s="3"/>
      <c r="I762" s="5"/>
      <c r="J762" s="3"/>
      <c r="K762" s="5"/>
      <c r="L762" s="3"/>
      <c r="M762" s="5"/>
      <c r="N762" s="5"/>
    </row>
    <row r="763">
      <c r="B763" s="3"/>
      <c r="C763" s="3"/>
      <c r="D763" s="3"/>
      <c r="E763" s="4"/>
      <c r="F763" s="3"/>
      <c r="G763" s="5"/>
      <c r="H763" s="3"/>
      <c r="I763" s="5"/>
      <c r="J763" s="3"/>
      <c r="K763" s="5"/>
      <c r="L763" s="3"/>
      <c r="M763" s="5"/>
      <c r="N763" s="5"/>
    </row>
    <row r="764">
      <c r="B764" s="3"/>
      <c r="C764" s="3"/>
      <c r="D764" s="3"/>
      <c r="E764" s="4"/>
      <c r="F764" s="3"/>
      <c r="G764" s="5"/>
      <c r="H764" s="3"/>
      <c r="I764" s="5"/>
      <c r="J764" s="3"/>
      <c r="K764" s="5"/>
      <c r="L764" s="3"/>
      <c r="M764" s="5"/>
      <c r="N764" s="5"/>
    </row>
    <row r="765">
      <c r="B765" s="3"/>
      <c r="C765" s="3"/>
      <c r="D765" s="3"/>
      <c r="E765" s="4"/>
      <c r="F765" s="3"/>
      <c r="G765" s="5"/>
      <c r="H765" s="3"/>
      <c r="I765" s="5"/>
      <c r="J765" s="3"/>
      <c r="K765" s="5"/>
      <c r="L765" s="3"/>
      <c r="M765" s="5"/>
      <c r="N765" s="5"/>
    </row>
    <row r="766">
      <c r="B766" s="3"/>
      <c r="C766" s="3"/>
      <c r="D766" s="3"/>
      <c r="E766" s="4"/>
      <c r="F766" s="3"/>
      <c r="G766" s="5"/>
      <c r="H766" s="3"/>
      <c r="I766" s="5"/>
      <c r="J766" s="3"/>
      <c r="K766" s="5"/>
      <c r="L766" s="3"/>
      <c r="M766" s="5"/>
      <c r="N766" s="5"/>
    </row>
    <row r="767">
      <c r="B767" s="3"/>
      <c r="C767" s="3"/>
      <c r="D767" s="3"/>
      <c r="E767" s="4"/>
      <c r="F767" s="3"/>
      <c r="G767" s="5"/>
      <c r="H767" s="3"/>
      <c r="I767" s="5"/>
      <c r="J767" s="3"/>
      <c r="K767" s="5"/>
      <c r="L767" s="3"/>
      <c r="M767" s="5"/>
      <c r="N767" s="5"/>
    </row>
    <row r="768">
      <c r="B768" s="3"/>
      <c r="C768" s="3"/>
      <c r="D768" s="3"/>
      <c r="E768" s="4"/>
      <c r="F768" s="3"/>
      <c r="G768" s="5"/>
      <c r="H768" s="3"/>
      <c r="I768" s="5"/>
      <c r="J768" s="3"/>
      <c r="K768" s="5"/>
      <c r="L768" s="3"/>
      <c r="M768" s="5"/>
      <c r="N768" s="5"/>
    </row>
    <row r="769">
      <c r="B769" s="3"/>
      <c r="C769" s="3"/>
      <c r="D769" s="3"/>
      <c r="E769" s="4"/>
      <c r="F769" s="3"/>
      <c r="G769" s="5"/>
      <c r="H769" s="3"/>
      <c r="I769" s="5"/>
      <c r="J769" s="3"/>
      <c r="K769" s="5"/>
      <c r="L769" s="3"/>
      <c r="M769" s="5"/>
      <c r="N769" s="5"/>
    </row>
    <row r="770">
      <c r="B770" s="3"/>
      <c r="C770" s="3"/>
      <c r="D770" s="3"/>
      <c r="E770" s="4"/>
      <c r="F770" s="3"/>
      <c r="G770" s="5"/>
      <c r="H770" s="3"/>
      <c r="I770" s="5"/>
      <c r="J770" s="3"/>
      <c r="K770" s="5"/>
      <c r="L770" s="3"/>
      <c r="M770" s="5"/>
      <c r="N770" s="5"/>
    </row>
    <row r="771">
      <c r="B771" s="3"/>
      <c r="C771" s="3"/>
      <c r="D771" s="3"/>
      <c r="E771" s="4"/>
      <c r="F771" s="3"/>
      <c r="G771" s="5"/>
      <c r="H771" s="3"/>
      <c r="I771" s="5"/>
      <c r="J771" s="3"/>
      <c r="K771" s="5"/>
      <c r="L771" s="3"/>
      <c r="M771" s="5"/>
      <c r="N771" s="5"/>
    </row>
    <row r="772">
      <c r="B772" s="3"/>
      <c r="C772" s="3"/>
      <c r="D772" s="3"/>
      <c r="E772" s="4"/>
      <c r="F772" s="3"/>
      <c r="G772" s="5"/>
      <c r="H772" s="3"/>
      <c r="I772" s="5"/>
      <c r="J772" s="3"/>
      <c r="K772" s="5"/>
      <c r="L772" s="3"/>
      <c r="M772" s="5"/>
      <c r="N772" s="5"/>
    </row>
    <row r="773">
      <c r="B773" s="3"/>
      <c r="C773" s="3"/>
      <c r="D773" s="3"/>
      <c r="E773" s="4"/>
      <c r="F773" s="3"/>
      <c r="G773" s="5"/>
      <c r="H773" s="3"/>
      <c r="I773" s="5"/>
      <c r="J773" s="3"/>
      <c r="K773" s="5"/>
      <c r="L773" s="3"/>
      <c r="M773" s="5"/>
      <c r="N773" s="5"/>
    </row>
    <row r="774">
      <c r="B774" s="3"/>
      <c r="C774" s="3"/>
      <c r="D774" s="3"/>
      <c r="E774" s="4"/>
      <c r="F774" s="3"/>
      <c r="G774" s="5"/>
      <c r="H774" s="3"/>
      <c r="I774" s="5"/>
      <c r="J774" s="3"/>
      <c r="K774" s="5"/>
      <c r="L774" s="3"/>
      <c r="M774" s="5"/>
      <c r="N774" s="5"/>
    </row>
    <row r="775">
      <c r="B775" s="3"/>
      <c r="C775" s="3"/>
      <c r="D775" s="3"/>
      <c r="E775" s="4"/>
      <c r="F775" s="3"/>
      <c r="G775" s="5"/>
      <c r="H775" s="3"/>
      <c r="I775" s="5"/>
      <c r="J775" s="3"/>
      <c r="K775" s="5"/>
      <c r="L775" s="3"/>
      <c r="M775" s="5"/>
      <c r="N775" s="5"/>
    </row>
    <row r="776">
      <c r="B776" s="3"/>
      <c r="C776" s="3"/>
      <c r="D776" s="3"/>
      <c r="E776" s="4"/>
      <c r="F776" s="3"/>
      <c r="G776" s="5"/>
      <c r="H776" s="3"/>
      <c r="I776" s="5"/>
      <c r="J776" s="3"/>
      <c r="K776" s="5"/>
      <c r="L776" s="3"/>
      <c r="M776" s="5"/>
      <c r="N776" s="5"/>
    </row>
    <row r="777">
      <c r="B777" s="3"/>
      <c r="C777" s="3"/>
      <c r="D777" s="3"/>
      <c r="E777" s="4"/>
      <c r="F777" s="3"/>
      <c r="G777" s="5"/>
      <c r="H777" s="3"/>
      <c r="I777" s="5"/>
      <c r="J777" s="3"/>
      <c r="K777" s="5"/>
      <c r="L777" s="3"/>
      <c r="M777" s="5"/>
      <c r="N777" s="5"/>
    </row>
    <row r="778">
      <c r="B778" s="3"/>
      <c r="C778" s="3"/>
      <c r="D778" s="3"/>
      <c r="E778" s="4"/>
      <c r="F778" s="3"/>
      <c r="G778" s="5"/>
      <c r="H778" s="3"/>
      <c r="I778" s="5"/>
      <c r="J778" s="3"/>
      <c r="K778" s="5"/>
      <c r="L778" s="3"/>
      <c r="M778" s="5"/>
      <c r="N778" s="5"/>
    </row>
    <row r="779">
      <c r="B779" s="3"/>
      <c r="C779" s="3"/>
      <c r="D779" s="3"/>
      <c r="E779" s="4"/>
      <c r="F779" s="3"/>
      <c r="G779" s="5"/>
      <c r="H779" s="3"/>
      <c r="I779" s="5"/>
      <c r="J779" s="3"/>
      <c r="K779" s="5"/>
      <c r="L779" s="3"/>
      <c r="M779" s="5"/>
      <c r="N779" s="5"/>
    </row>
    <row r="780">
      <c r="B780" s="3"/>
      <c r="C780" s="3"/>
      <c r="D780" s="3"/>
      <c r="E780" s="4"/>
      <c r="F780" s="3"/>
      <c r="G780" s="5"/>
      <c r="H780" s="3"/>
      <c r="I780" s="5"/>
      <c r="J780" s="3"/>
      <c r="K780" s="5"/>
      <c r="L780" s="3"/>
      <c r="M780" s="5"/>
      <c r="N780" s="5"/>
    </row>
    <row r="781">
      <c r="B781" s="3"/>
      <c r="C781" s="3"/>
      <c r="D781" s="3"/>
      <c r="E781" s="4"/>
      <c r="F781" s="3"/>
      <c r="G781" s="5"/>
      <c r="H781" s="3"/>
      <c r="I781" s="5"/>
      <c r="J781" s="3"/>
      <c r="K781" s="5"/>
      <c r="L781" s="3"/>
      <c r="M781" s="5"/>
      <c r="N781" s="5"/>
    </row>
    <row r="782">
      <c r="B782" s="3"/>
      <c r="C782" s="3"/>
      <c r="D782" s="3"/>
      <c r="E782" s="4"/>
      <c r="F782" s="3"/>
      <c r="G782" s="5"/>
      <c r="H782" s="3"/>
      <c r="I782" s="5"/>
      <c r="J782" s="3"/>
      <c r="K782" s="5"/>
      <c r="L782" s="3"/>
      <c r="M782" s="5"/>
      <c r="N782" s="5"/>
    </row>
    <row r="783">
      <c r="B783" s="3"/>
      <c r="C783" s="3"/>
      <c r="D783" s="3"/>
      <c r="E783" s="4"/>
      <c r="F783" s="3"/>
      <c r="G783" s="5"/>
      <c r="H783" s="3"/>
      <c r="I783" s="5"/>
      <c r="J783" s="3"/>
      <c r="K783" s="5"/>
      <c r="L783" s="3"/>
      <c r="M783" s="5"/>
      <c r="N783" s="5"/>
    </row>
    <row r="784">
      <c r="B784" s="3"/>
      <c r="C784" s="3"/>
      <c r="D784" s="3"/>
      <c r="E784" s="4"/>
      <c r="F784" s="3"/>
      <c r="G784" s="5"/>
      <c r="H784" s="3"/>
      <c r="I784" s="5"/>
      <c r="J784" s="3"/>
      <c r="K784" s="5"/>
      <c r="L784" s="3"/>
      <c r="M784" s="5"/>
      <c r="N784" s="5"/>
    </row>
    <row r="785">
      <c r="B785" s="3"/>
      <c r="C785" s="3"/>
      <c r="D785" s="3"/>
      <c r="E785" s="4"/>
      <c r="F785" s="3"/>
      <c r="G785" s="5"/>
      <c r="H785" s="3"/>
      <c r="I785" s="5"/>
      <c r="J785" s="3"/>
      <c r="K785" s="5"/>
      <c r="L785" s="3"/>
      <c r="M785" s="5"/>
      <c r="N785" s="5"/>
    </row>
    <row r="786">
      <c r="B786" s="3"/>
      <c r="C786" s="3"/>
      <c r="D786" s="3"/>
      <c r="E786" s="4"/>
      <c r="F786" s="3"/>
      <c r="G786" s="5"/>
      <c r="H786" s="3"/>
      <c r="I786" s="5"/>
      <c r="J786" s="3"/>
      <c r="K786" s="5"/>
      <c r="L786" s="3"/>
      <c r="M786" s="5"/>
      <c r="N786" s="5"/>
    </row>
    <row r="787">
      <c r="B787" s="3"/>
      <c r="C787" s="3"/>
      <c r="D787" s="3"/>
      <c r="E787" s="4"/>
      <c r="F787" s="3"/>
      <c r="G787" s="5"/>
      <c r="H787" s="3"/>
      <c r="I787" s="5"/>
      <c r="J787" s="3"/>
      <c r="K787" s="5"/>
      <c r="L787" s="3"/>
      <c r="M787" s="5"/>
      <c r="N787" s="5"/>
    </row>
    <row r="788">
      <c r="B788" s="3"/>
      <c r="C788" s="3"/>
      <c r="D788" s="3"/>
      <c r="E788" s="4"/>
      <c r="F788" s="3"/>
      <c r="G788" s="5"/>
      <c r="H788" s="3"/>
      <c r="I788" s="5"/>
      <c r="J788" s="3"/>
      <c r="K788" s="5"/>
      <c r="L788" s="3"/>
      <c r="M788" s="5"/>
      <c r="N788" s="5"/>
    </row>
    <row r="789">
      <c r="B789" s="3"/>
      <c r="C789" s="3"/>
      <c r="D789" s="3"/>
      <c r="E789" s="4"/>
      <c r="F789" s="3"/>
      <c r="G789" s="5"/>
      <c r="H789" s="3"/>
      <c r="I789" s="5"/>
      <c r="J789" s="3"/>
      <c r="K789" s="5"/>
      <c r="L789" s="3"/>
      <c r="M789" s="5"/>
      <c r="N789" s="5"/>
    </row>
    <row r="790">
      <c r="B790" s="3"/>
      <c r="C790" s="3"/>
      <c r="D790" s="3"/>
      <c r="E790" s="4"/>
      <c r="F790" s="3"/>
      <c r="G790" s="5"/>
      <c r="H790" s="3"/>
      <c r="I790" s="5"/>
      <c r="J790" s="3"/>
      <c r="K790" s="5"/>
      <c r="L790" s="3"/>
      <c r="M790" s="5"/>
      <c r="N790" s="5"/>
    </row>
    <row r="791">
      <c r="B791" s="3"/>
      <c r="C791" s="3"/>
      <c r="D791" s="3"/>
      <c r="E791" s="4"/>
      <c r="F791" s="3"/>
      <c r="G791" s="5"/>
      <c r="H791" s="3"/>
      <c r="I791" s="5"/>
      <c r="J791" s="3"/>
      <c r="K791" s="5"/>
      <c r="L791" s="3"/>
      <c r="M791" s="5"/>
      <c r="N791" s="5"/>
    </row>
    <row r="792">
      <c r="B792" s="3"/>
      <c r="C792" s="3"/>
      <c r="D792" s="3"/>
      <c r="E792" s="4"/>
      <c r="F792" s="3"/>
      <c r="G792" s="5"/>
      <c r="H792" s="3"/>
      <c r="I792" s="5"/>
      <c r="J792" s="3"/>
      <c r="K792" s="5"/>
      <c r="L792" s="3"/>
      <c r="M792" s="5"/>
      <c r="N792" s="5"/>
    </row>
    <row r="793">
      <c r="B793" s="3"/>
      <c r="C793" s="3"/>
      <c r="D793" s="3"/>
      <c r="E793" s="4"/>
      <c r="F793" s="3"/>
      <c r="G793" s="5"/>
      <c r="H793" s="3"/>
      <c r="I793" s="5"/>
      <c r="J793" s="3"/>
      <c r="K793" s="5"/>
      <c r="L793" s="3"/>
      <c r="M793" s="5"/>
      <c r="N793" s="5"/>
    </row>
    <row r="794">
      <c r="B794" s="3"/>
      <c r="C794" s="3"/>
      <c r="D794" s="3"/>
      <c r="E794" s="4"/>
      <c r="F794" s="3"/>
      <c r="G794" s="5"/>
      <c r="H794" s="3"/>
      <c r="I794" s="5"/>
      <c r="J794" s="3"/>
      <c r="K794" s="5"/>
      <c r="L794" s="3"/>
      <c r="M794" s="5"/>
      <c r="N794" s="5"/>
    </row>
    <row r="795">
      <c r="B795" s="3"/>
      <c r="C795" s="3"/>
      <c r="D795" s="3"/>
      <c r="E795" s="4"/>
      <c r="F795" s="3"/>
      <c r="G795" s="5"/>
      <c r="H795" s="3"/>
      <c r="I795" s="5"/>
      <c r="J795" s="3"/>
      <c r="K795" s="5"/>
      <c r="L795" s="3"/>
      <c r="M795" s="5"/>
      <c r="N795" s="5"/>
    </row>
    <row r="796">
      <c r="B796" s="3"/>
      <c r="C796" s="3"/>
      <c r="D796" s="3"/>
      <c r="E796" s="4"/>
      <c r="F796" s="3"/>
      <c r="G796" s="5"/>
      <c r="H796" s="3"/>
      <c r="I796" s="5"/>
      <c r="J796" s="3"/>
      <c r="K796" s="5"/>
      <c r="L796" s="3"/>
      <c r="M796" s="5"/>
      <c r="N796" s="5"/>
    </row>
    <row r="797">
      <c r="B797" s="3"/>
      <c r="C797" s="3"/>
      <c r="D797" s="3"/>
      <c r="E797" s="4"/>
      <c r="F797" s="3"/>
      <c r="G797" s="5"/>
      <c r="H797" s="3"/>
      <c r="I797" s="5"/>
      <c r="J797" s="3"/>
      <c r="K797" s="5"/>
      <c r="L797" s="3"/>
      <c r="M797" s="5"/>
      <c r="N797" s="5"/>
    </row>
    <row r="798">
      <c r="B798" s="3"/>
      <c r="C798" s="3"/>
      <c r="D798" s="3"/>
      <c r="E798" s="4"/>
      <c r="F798" s="3"/>
      <c r="G798" s="5"/>
      <c r="H798" s="3"/>
      <c r="I798" s="5"/>
      <c r="J798" s="3"/>
      <c r="K798" s="5"/>
      <c r="L798" s="3"/>
      <c r="M798" s="5"/>
      <c r="N798" s="5"/>
    </row>
    <row r="799">
      <c r="B799" s="3"/>
      <c r="C799" s="3"/>
      <c r="D799" s="3"/>
      <c r="E799" s="4"/>
      <c r="F799" s="3"/>
      <c r="G799" s="5"/>
      <c r="H799" s="3"/>
      <c r="I799" s="5"/>
      <c r="J799" s="3"/>
      <c r="K799" s="5"/>
      <c r="L799" s="3"/>
      <c r="M799" s="5"/>
      <c r="N799" s="5"/>
    </row>
    <row r="800">
      <c r="B800" s="3"/>
      <c r="C800" s="3"/>
      <c r="D800" s="3"/>
      <c r="E800" s="4"/>
      <c r="F800" s="3"/>
      <c r="G800" s="5"/>
      <c r="H800" s="3"/>
      <c r="I800" s="5"/>
      <c r="J800" s="3"/>
      <c r="K800" s="5"/>
      <c r="L800" s="3"/>
      <c r="M800" s="5"/>
      <c r="N800" s="5"/>
    </row>
    <row r="801">
      <c r="B801" s="3"/>
      <c r="C801" s="3"/>
      <c r="D801" s="3"/>
      <c r="E801" s="4"/>
      <c r="F801" s="3"/>
      <c r="G801" s="5"/>
      <c r="H801" s="3"/>
      <c r="I801" s="5"/>
      <c r="J801" s="3"/>
      <c r="K801" s="5"/>
      <c r="L801" s="3"/>
      <c r="M801" s="5"/>
      <c r="N801" s="5"/>
    </row>
    <row r="802">
      <c r="B802" s="3"/>
      <c r="C802" s="3"/>
      <c r="D802" s="3"/>
      <c r="E802" s="4"/>
      <c r="F802" s="3"/>
      <c r="G802" s="5"/>
      <c r="H802" s="3"/>
      <c r="I802" s="5"/>
      <c r="J802" s="3"/>
      <c r="K802" s="5"/>
      <c r="L802" s="3"/>
      <c r="M802" s="5"/>
      <c r="N802" s="5"/>
    </row>
    <row r="803">
      <c r="B803" s="3"/>
      <c r="C803" s="3"/>
      <c r="D803" s="3"/>
      <c r="E803" s="4"/>
      <c r="F803" s="3"/>
      <c r="G803" s="5"/>
      <c r="H803" s="3"/>
      <c r="I803" s="5"/>
      <c r="J803" s="3"/>
      <c r="K803" s="5"/>
      <c r="L803" s="3"/>
      <c r="M803" s="5"/>
      <c r="N803" s="5"/>
    </row>
    <row r="804">
      <c r="B804" s="3"/>
      <c r="C804" s="3"/>
      <c r="D804" s="3"/>
      <c r="E804" s="4"/>
      <c r="F804" s="3"/>
      <c r="G804" s="5"/>
      <c r="H804" s="3"/>
      <c r="I804" s="5"/>
      <c r="J804" s="3"/>
      <c r="K804" s="5"/>
      <c r="L804" s="3"/>
      <c r="M804" s="5"/>
      <c r="N804" s="5"/>
    </row>
    <row r="805">
      <c r="B805" s="3"/>
      <c r="C805" s="3"/>
      <c r="D805" s="3"/>
      <c r="E805" s="4"/>
      <c r="F805" s="3"/>
      <c r="G805" s="5"/>
      <c r="H805" s="3"/>
      <c r="I805" s="5"/>
      <c r="J805" s="3"/>
      <c r="K805" s="5"/>
      <c r="L805" s="3"/>
      <c r="M805" s="5"/>
      <c r="N805" s="5"/>
    </row>
    <row r="806">
      <c r="B806" s="3"/>
      <c r="C806" s="3"/>
      <c r="D806" s="3"/>
      <c r="E806" s="4"/>
      <c r="F806" s="3"/>
      <c r="G806" s="5"/>
      <c r="H806" s="3"/>
      <c r="I806" s="5"/>
      <c r="J806" s="3"/>
      <c r="K806" s="5"/>
      <c r="L806" s="3"/>
      <c r="M806" s="5"/>
      <c r="N806" s="5"/>
    </row>
    <row r="807">
      <c r="B807" s="3"/>
      <c r="C807" s="3"/>
      <c r="D807" s="3"/>
      <c r="E807" s="4"/>
      <c r="F807" s="3"/>
      <c r="G807" s="5"/>
      <c r="H807" s="3"/>
      <c r="I807" s="5"/>
      <c r="J807" s="3"/>
      <c r="K807" s="5"/>
      <c r="L807" s="3"/>
      <c r="M807" s="5"/>
      <c r="N807" s="5"/>
    </row>
    <row r="808">
      <c r="B808" s="3"/>
      <c r="C808" s="3"/>
      <c r="D808" s="3"/>
      <c r="E808" s="4"/>
      <c r="F808" s="3"/>
      <c r="G808" s="5"/>
      <c r="H808" s="3"/>
      <c r="I808" s="5"/>
      <c r="J808" s="3"/>
      <c r="K808" s="5"/>
      <c r="L808" s="3"/>
      <c r="M808" s="5"/>
      <c r="N808" s="5"/>
    </row>
    <row r="809">
      <c r="B809" s="3"/>
      <c r="C809" s="3"/>
      <c r="D809" s="3"/>
      <c r="E809" s="4"/>
      <c r="F809" s="3"/>
      <c r="G809" s="5"/>
      <c r="H809" s="3"/>
      <c r="I809" s="5"/>
      <c r="J809" s="3"/>
      <c r="K809" s="5"/>
      <c r="L809" s="3"/>
      <c r="M809" s="5"/>
      <c r="N809" s="5"/>
    </row>
    <row r="810">
      <c r="B810" s="3"/>
      <c r="C810" s="3"/>
      <c r="D810" s="3"/>
      <c r="E810" s="4"/>
      <c r="F810" s="3"/>
      <c r="G810" s="5"/>
      <c r="H810" s="3"/>
      <c r="I810" s="5"/>
      <c r="J810" s="3"/>
      <c r="K810" s="5"/>
      <c r="L810" s="3"/>
      <c r="M810" s="5"/>
      <c r="N810" s="5"/>
    </row>
    <row r="811">
      <c r="B811" s="3"/>
      <c r="C811" s="3"/>
      <c r="D811" s="3"/>
      <c r="E811" s="4"/>
      <c r="F811" s="3"/>
      <c r="G811" s="5"/>
      <c r="H811" s="3"/>
      <c r="I811" s="5"/>
      <c r="J811" s="3"/>
      <c r="K811" s="5"/>
      <c r="L811" s="3"/>
      <c r="M811" s="5"/>
      <c r="N811" s="5"/>
    </row>
    <row r="812">
      <c r="B812" s="3"/>
      <c r="C812" s="3"/>
      <c r="D812" s="3"/>
      <c r="E812" s="4"/>
      <c r="F812" s="3"/>
      <c r="G812" s="5"/>
      <c r="H812" s="3"/>
      <c r="I812" s="5"/>
      <c r="J812" s="3"/>
      <c r="K812" s="5"/>
      <c r="L812" s="3"/>
      <c r="M812" s="5"/>
      <c r="N812" s="5"/>
    </row>
    <row r="813">
      <c r="B813" s="3"/>
      <c r="C813" s="3"/>
      <c r="D813" s="3"/>
      <c r="E813" s="4"/>
      <c r="F813" s="3"/>
      <c r="G813" s="5"/>
      <c r="H813" s="3"/>
      <c r="I813" s="5"/>
      <c r="J813" s="3"/>
      <c r="K813" s="5"/>
      <c r="L813" s="3"/>
      <c r="M813" s="5"/>
      <c r="N813" s="5"/>
    </row>
    <row r="814">
      <c r="B814" s="3"/>
      <c r="C814" s="3"/>
      <c r="D814" s="3"/>
      <c r="E814" s="4"/>
      <c r="F814" s="3"/>
      <c r="G814" s="5"/>
      <c r="H814" s="3"/>
      <c r="I814" s="5"/>
      <c r="J814" s="3"/>
      <c r="K814" s="5"/>
      <c r="L814" s="3"/>
      <c r="M814" s="5"/>
      <c r="N814" s="5"/>
    </row>
    <row r="815">
      <c r="B815" s="3"/>
      <c r="C815" s="3"/>
      <c r="D815" s="3"/>
      <c r="E815" s="4"/>
      <c r="F815" s="3"/>
      <c r="G815" s="5"/>
      <c r="H815" s="3"/>
      <c r="I815" s="5"/>
      <c r="J815" s="3"/>
      <c r="K815" s="5"/>
      <c r="L815" s="3"/>
      <c r="M815" s="5"/>
      <c r="N815" s="5"/>
    </row>
    <row r="816">
      <c r="B816" s="3"/>
      <c r="C816" s="3"/>
      <c r="D816" s="3"/>
      <c r="E816" s="4"/>
      <c r="F816" s="3"/>
      <c r="G816" s="5"/>
      <c r="H816" s="3"/>
      <c r="I816" s="5"/>
      <c r="J816" s="3"/>
      <c r="K816" s="5"/>
      <c r="L816" s="3"/>
      <c r="M816" s="5"/>
      <c r="N816" s="5"/>
    </row>
    <row r="817">
      <c r="B817" s="3"/>
      <c r="C817" s="3"/>
      <c r="D817" s="3"/>
      <c r="E817" s="4"/>
      <c r="F817" s="3"/>
      <c r="G817" s="5"/>
      <c r="H817" s="3"/>
      <c r="I817" s="5"/>
      <c r="J817" s="3"/>
      <c r="K817" s="5"/>
      <c r="L817" s="3"/>
      <c r="M817" s="5"/>
      <c r="N817" s="5"/>
    </row>
    <row r="818">
      <c r="B818" s="3"/>
      <c r="C818" s="3"/>
      <c r="D818" s="3"/>
      <c r="E818" s="4"/>
      <c r="F818" s="3"/>
      <c r="G818" s="5"/>
      <c r="H818" s="3"/>
      <c r="I818" s="5"/>
      <c r="J818" s="3"/>
      <c r="K818" s="5"/>
      <c r="L818" s="3"/>
      <c r="M818" s="5"/>
      <c r="N818" s="5"/>
    </row>
    <row r="819">
      <c r="B819" s="3"/>
      <c r="C819" s="3"/>
      <c r="D819" s="3"/>
      <c r="E819" s="4"/>
      <c r="F819" s="3"/>
      <c r="G819" s="5"/>
      <c r="H819" s="3"/>
      <c r="I819" s="5"/>
      <c r="J819" s="3"/>
      <c r="K819" s="5"/>
      <c r="L819" s="3"/>
      <c r="M819" s="5"/>
      <c r="N819" s="5"/>
    </row>
    <row r="820">
      <c r="B820" s="3"/>
      <c r="C820" s="3"/>
      <c r="D820" s="3"/>
      <c r="E820" s="4"/>
      <c r="F820" s="3"/>
      <c r="G820" s="5"/>
      <c r="H820" s="3"/>
      <c r="I820" s="5"/>
      <c r="J820" s="3"/>
      <c r="K820" s="5"/>
      <c r="L820" s="3"/>
      <c r="M820" s="5"/>
      <c r="N820" s="5"/>
    </row>
    <row r="821">
      <c r="B821" s="3"/>
      <c r="C821" s="3"/>
      <c r="D821" s="3"/>
      <c r="E821" s="4"/>
      <c r="F821" s="3"/>
      <c r="G821" s="5"/>
      <c r="H821" s="3"/>
      <c r="I821" s="5"/>
      <c r="J821" s="3"/>
      <c r="K821" s="5"/>
      <c r="L821" s="3"/>
      <c r="M821" s="5"/>
      <c r="N821" s="5"/>
    </row>
    <row r="822">
      <c r="B822" s="3"/>
      <c r="C822" s="3"/>
      <c r="D822" s="3"/>
      <c r="E822" s="4"/>
      <c r="F822" s="3"/>
      <c r="G822" s="5"/>
      <c r="H822" s="3"/>
      <c r="I822" s="5"/>
      <c r="J822" s="3"/>
      <c r="K822" s="5"/>
      <c r="L822" s="3"/>
      <c r="M822" s="5"/>
      <c r="N822" s="5"/>
    </row>
    <row r="823">
      <c r="B823" s="3"/>
      <c r="C823" s="3"/>
      <c r="D823" s="3"/>
      <c r="E823" s="4"/>
      <c r="F823" s="3"/>
      <c r="G823" s="5"/>
      <c r="H823" s="3"/>
      <c r="I823" s="5"/>
      <c r="J823" s="3"/>
      <c r="K823" s="5"/>
      <c r="L823" s="3"/>
      <c r="M823" s="5"/>
      <c r="N823" s="5"/>
    </row>
    <row r="824">
      <c r="B824" s="3"/>
      <c r="C824" s="3"/>
      <c r="D824" s="3"/>
      <c r="E824" s="4"/>
      <c r="F824" s="3"/>
      <c r="G824" s="5"/>
      <c r="H824" s="3"/>
      <c r="I824" s="5"/>
      <c r="J824" s="3"/>
      <c r="K824" s="5"/>
      <c r="L824" s="3"/>
      <c r="M824" s="5"/>
      <c r="N824" s="5"/>
    </row>
    <row r="825">
      <c r="B825" s="3"/>
      <c r="C825" s="3"/>
      <c r="D825" s="3"/>
      <c r="E825" s="4"/>
      <c r="F825" s="3"/>
      <c r="G825" s="5"/>
      <c r="H825" s="3"/>
      <c r="I825" s="5"/>
      <c r="J825" s="3"/>
      <c r="K825" s="5"/>
      <c r="L825" s="3"/>
      <c r="M825" s="5"/>
      <c r="N825" s="5"/>
    </row>
    <row r="826">
      <c r="B826" s="3"/>
      <c r="C826" s="3"/>
      <c r="D826" s="3"/>
      <c r="E826" s="4"/>
      <c r="F826" s="3"/>
      <c r="G826" s="5"/>
      <c r="H826" s="3"/>
      <c r="I826" s="5"/>
      <c r="J826" s="3"/>
      <c r="K826" s="5"/>
      <c r="L826" s="3"/>
      <c r="M826" s="5"/>
      <c r="N826" s="5"/>
    </row>
    <row r="827">
      <c r="B827" s="3"/>
      <c r="C827" s="3"/>
      <c r="D827" s="3"/>
      <c r="E827" s="4"/>
      <c r="F827" s="3"/>
      <c r="G827" s="5"/>
      <c r="H827" s="3"/>
      <c r="I827" s="5"/>
      <c r="J827" s="3"/>
      <c r="K827" s="5"/>
      <c r="L827" s="3"/>
      <c r="M827" s="5"/>
      <c r="N827" s="5"/>
    </row>
    <row r="828">
      <c r="B828" s="3"/>
      <c r="C828" s="3"/>
      <c r="D828" s="3"/>
      <c r="E828" s="4"/>
      <c r="F828" s="3"/>
      <c r="G828" s="5"/>
      <c r="H828" s="3"/>
      <c r="I828" s="5"/>
      <c r="J828" s="3"/>
      <c r="K828" s="5"/>
      <c r="L828" s="3"/>
      <c r="M828" s="5"/>
      <c r="N828" s="5"/>
    </row>
    <row r="829">
      <c r="B829" s="3"/>
      <c r="C829" s="3"/>
      <c r="D829" s="3"/>
      <c r="E829" s="4"/>
      <c r="F829" s="3"/>
      <c r="G829" s="5"/>
      <c r="H829" s="3"/>
      <c r="I829" s="5"/>
      <c r="J829" s="3"/>
      <c r="K829" s="5"/>
      <c r="L829" s="3"/>
      <c r="M829" s="5"/>
      <c r="N829" s="5"/>
    </row>
    <row r="830">
      <c r="B830" s="3"/>
      <c r="C830" s="3"/>
      <c r="D830" s="3"/>
      <c r="E830" s="4"/>
      <c r="F830" s="3"/>
      <c r="G830" s="5"/>
      <c r="H830" s="3"/>
      <c r="I830" s="5"/>
      <c r="J830" s="3"/>
      <c r="K830" s="5"/>
      <c r="L830" s="3"/>
      <c r="M830" s="5"/>
      <c r="N830" s="5"/>
    </row>
    <row r="831">
      <c r="B831" s="3"/>
      <c r="C831" s="3"/>
      <c r="D831" s="3"/>
      <c r="E831" s="4"/>
      <c r="F831" s="3"/>
      <c r="G831" s="5"/>
      <c r="H831" s="3"/>
      <c r="I831" s="5"/>
      <c r="J831" s="3"/>
      <c r="K831" s="5"/>
      <c r="L831" s="3"/>
      <c r="M831" s="5"/>
      <c r="N831" s="5"/>
    </row>
    <row r="832">
      <c r="B832" s="3"/>
      <c r="C832" s="3"/>
      <c r="D832" s="3"/>
      <c r="E832" s="4"/>
      <c r="F832" s="3"/>
      <c r="G832" s="5"/>
      <c r="H832" s="3"/>
      <c r="I832" s="5"/>
      <c r="J832" s="3"/>
      <c r="K832" s="5"/>
      <c r="L832" s="3"/>
      <c r="M832" s="5"/>
      <c r="N832" s="5"/>
    </row>
    <row r="833">
      <c r="B833" s="3"/>
      <c r="C833" s="3"/>
      <c r="D833" s="3"/>
      <c r="E833" s="4"/>
      <c r="F833" s="3"/>
      <c r="G833" s="5"/>
      <c r="H833" s="3"/>
      <c r="I833" s="5"/>
      <c r="J833" s="3"/>
      <c r="K833" s="5"/>
      <c r="L833" s="3"/>
      <c r="M833" s="5"/>
      <c r="N833" s="5"/>
    </row>
    <row r="834">
      <c r="B834" s="3"/>
      <c r="C834" s="3"/>
      <c r="D834" s="3"/>
      <c r="E834" s="4"/>
      <c r="F834" s="3"/>
      <c r="G834" s="5"/>
      <c r="H834" s="3"/>
      <c r="I834" s="5"/>
      <c r="J834" s="3"/>
      <c r="K834" s="5"/>
      <c r="L834" s="3"/>
      <c r="M834" s="5"/>
      <c r="N834" s="5"/>
    </row>
    <row r="835">
      <c r="B835" s="3"/>
      <c r="C835" s="3"/>
      <c r="D835" s="3"/>
      <c r="E835" s="4"/>
      <c r="F835" s="3"/>
      <c r="G835" s="5"/>
      <c r="H835" s="3"/>
      <c r="I835" s="5"/>
      <c r="J835" s="3"/>
      <c r="K835" s="5"/>
      <c r="L835" s="3"/>
      <c r="M835" s="5"/>
      <c r="N835" s="5"/>
    </row>
    <row r="836">
      <c r="B836" s="3"/>
      <c r="C836" s="3"/>
      <c r="D836" s="3"/>
      <c r="E836" s="4"/>
      <c r="F836" s="3"/>
      <c r="G836" s="5"/>
      <c r="H836" s="3"/>
      <c r="I836" s="5"/>
      <c r="J836" s="3"/>
      <c r="K836" s="5"/>
      <c r="L836" s="3"/>
      <c r="M836" s="5"/>
      <c r="N836" s="5"/>
    </row>
    <row r="837">
      <c r="B837" s="3"/>
      <c r="C837" s="3"/>
      <c r="D837" s="3"/>
      <c r="E837" s="4"/>
      <c r="F837" s="3"/>
      <c r="G837" s="5"/>
      <c r="H837" s="3"/>
      <c r="I837" s="5"/>
      <c r="J837" s="3"/>
      <c r="K837" s="5"/>
      <c r="L837" s="3"/>
      <c r="M837" s="5"/>
      <c r="N837" s="5"/>
    </row>
    <row r="838">
      <c r="B838" s="3"/>
      <c r="C838" s="3"/>
      <c r="D838" s="3"/>
      <c r="E838" s="4"/>
      <c r="F838" s="3"/>
      <c r="G838" s="5"/>
      <c r="H838" s="3"/>
      <c r="I838" s="5"/>
      <c r="J838" s="3"/>
      <c r="K838" s="5"/>
      <c r="L838" s="3"/>
      <c r="M838" s="5"/>
      <c r="N838" s="5"/>
    </row>
    <row r="839">
      <c r="B839" s="3"/>
      <c r="C839" s="3"/>
      <c r="D839" s="3"/>
      <c r="E839" s="4"/>
      <c r="F839" s="3"/>
      <c r="G839" s="5"/>
      <c r="H839" s="3"/>
      <c r="I839" s="5"/>
      <c r="J839" s="3"/>
      <c r="K839" s="5"/>
      <c r="L839" s="3"/>
      <c r="M839" s="5"/>
      <c r="N839" s="5"/>
    </row>
    <row r="840">
      <c r="B840" s="3"/>
      <c r="C840" s="3"/>
      <c r="D840" s="3"/>
      <c r="E840" s="4"/>
      <c r="F840" s="3"/>
      <c r="G840" s="5"/>
      <c r="H840" s="3"/>
      <c r="I840" s="5"/>
      <c r="J840" s="3"/>
      <c r="K840" s="5"/>
      <c r="L840" s="3"/>
      <c r="M840" s="5"/>
      <c r="N840" s="5"/>
    </row>
    <row r="841">
      <c r="B841" s="3"/>
      <c r="C841" s="3"/>
      <c r="D841" s="3"/>
      <c r="E841" s="4"/>
      <c r="F841" s="3"/>
      <c r="G841" s="5"/>
      <c r="H841" s="3"/>
      <c r="I841" s="5"/>
      <c r="J841" s="3"/>
      <c r="K841" s="5"/>
      <c r="L841" s="3"/>
      <c r="M841" s="5"/>
      <c r="N841" s="5"/>
    </row>
    <row r="842">
      <c r="B842" s="3"/>
      <c r="C842" s="3"/>
      <c r="D842" s="3"/>
      <c r="E842" s="4"/>
      <c r="F842" s="3"/>
      <c r="G842" s="5"/>
      <c r="H842" s="3"/>
      <c r="I842" s="5"/>
      <c r="J842" s="3"/>
      <c r="K842" s="5"/>
      <c r="L842" s="3"/>
      <c r="M842" s="5"/>
      <c r="N842" s="5"/>
    </row>
    <row r="843">
      <c r="B843" s="3"/>
      <c r="C843" s="3"/>
      <c r="D843" s="3"/>
      <c r="E843" s="4"/>
      <c r="F843" s="3"/>
      <c r="G843" s="5"/>
      <c r="H843" s="3"/>
      <c r="I843" s="5"/>
      <c r="J843" s="3"/>
      <c r="K843" s="5"/>
      <c r="L843" s="3"/>
      <c r="M843" s="5"/>
      <c r="N843" s="5"/>
    </row>
    <row r="844">
      <c r="B844" s="3"/>
      <c r="C844" s="3"/>
      <c r="D844" s="3"/>
      <c r="E844" s="4"/>
      <c r="F844" s="3"/>
      <c r="G844" s="5"/>
      <c r="H844" s="3"/>
      <c r="I844" s="5"/>
      <c r="J844" s="3"/>
      <c r="K844" s="5"/>
      <c r="L844" s="3"/>
      <c r="M844" s="5"/>
      <c r="N844" s="5"/>
    </row>
    <row r="845">
      <c r="B845" s="3"/>
      <c r="C845" s="3"/>
      <c r="D845" s="3"/>
      <c r="E845" s="4"/>
      <c r="F845" s="3"/>
      <c r="G845" s="5"/>
      <c r="H845" s="3"/>
      <c r="I845" s="5"/>
      <c r="J845" s="3"/>
      <c r="K845" s="5"/>
      <c r="L845" s="3"/>
      <c r="M845" s="5"/>
      <c r="N845" s="5"/>
    </row>
    <row r="846">
      <c r="B846" s="3"/>
      <c r="C846" s="3"/>
      <c r="D846" s="3"/>
      <c r="E846" s="4"/>
      <c r="F846" s="3"/>
      <c r="G846" s="5"/>
      <c r="H846" s="3"/>
      <c r="I846" s="5"/>
      <c r="J846" s="3"/>
      <c r="K846" s="5"/>
      <c r="L846" s="3"/>
      <c r="M846" s="5"/>
      <c r="N846" s="5"/>
    </row>
    <row r="847">
      <c r="B847" s="3"/>
      <c r="C847" s="3"/>
      <c r="D847" s="3"/>
      <c r="E847" s="4"/>
      <c r="F847" s="3"/>
      <c r="G847" s="5"/>
      <c r="H847" s="3"/>
      <c r="I847" s="5"/>
      <c r="J847" s="3"/>
      <c r="K847" s="5"/>
      <c r="L847" s="3"/>
      <c r="M847" s="5"/>
      <c r="N847" s="5"/>
    </row>
    <row r="848">
      <c r="B848" s="3"/>
      <c r="C848" s="3"/>
      <c r="D848" s="3"/>
      <c r="E848" s="4"/>
      <c r="F848" s="3"/>
      <c r="G848" s="5"/>
      <c r="H848" s="3"/>
      <c r="I848" s="5"/>
      <c r="J848" s="3"/>
      <c r="K848" s="5"/>
      <c r="L848" s="3"/>
      <c r="M848" s="5"/>
      <c r="N848" s="5"/>
    </row>
    <row r="849">
      <c r="B849" s="3"/>
      <c r="C849" s="3"/>
      <c r="D849" s="3"/>
      <c r="E849" s="4"/>
      <c r="F849" s="3"/>
      <c r="G849" s="5"/>
      <c r="H849" s="3"/>
      <c r="I849" s="5"/>
      <c r="J849" s="3"/>
      <c r="K849" s="5"/>
      <c r="L849" s="3"/>
      <c r="M849" s="5"/>
      <c r="N849" s="5"/>
    </row>
    <row r="850">
      <c r="B850" s="3"/>
      <c r="C850" s="3"/>
      <c r="D850" s="3"/>
      <c r="E850" s="4"/>
      <c r="F850" s="3"/>
      <c r="G850" s="5"/>
      <c r="H850" s="3"/>
      <c r="I850" s="5"/>
      <c r="J850" s="3"/>
      <c r="K850" s="5"/>
      <c r="L850" s="3"/>
      <c r="M850" s="5"/>
      <c r="N850" s="5"/>
    </row>
    <row r="851">
      <c r="B851" s="3"/>
      <c r="C851" s="3"/>
      <c r="D851" s="3"/>
      <c r="E851" s="4"/>
      <c r="F851" s="3"/>
      <c r="G851" s="5"/>
      <c r="H851" s="3"/>
      <c r="I851" s="5"/>
      <c r="J851" s="3"/>
      <c r="K851" s="5"/>
      <c r="L851" s="3"/>
      <c r="M851" s="5"/>
      <c r="N851" s="5"/>
    </row>
    <row r="852">
      <c r="B852" s="3"/>
      <c r="C852" s="3"/>
      <c r="D852" s="3"/>
      <c r="E852" s="4"/>
      <c r="F852" s="3"/>
      <c r="G852" s="5"/>
      <c r="H852" s="3"/>
      <c r="I852" s="5"/>
      <c r="J852" s="3"/>
      <c r="K852" s="5"/>
      <c r="L852" s="3"/>
      <c r="M852" s="5"/>
      <c r="N852" s="5"/>
    </row>
    <row r="853">
      <c r="B853" s="3"/>
      <c r="C853" s="3"/>
      <c r="D853" s="3"/>
      <c r="E853" s="4"/>
      <c r="F853" s="3"/>
      <c r="G853" s="5"/>
      <c r="H853" s="3"/>
      <c r="I853" s="5"/>
      <c r="J853" s="3"/>
      <c r="K853" s="5"/>
      <c r="L853" s="3"/>
      <c r="M853" s="5"/>
      <c r="N853" s="5"/>
    </row>
    <row r="854">
      <c r="B854" s="3"/>
      <c r="C854" s="3"/>
      <c r="D854" s="3"/>
      <c r="E854" s="4"/>
      <c r="F854" s="3"/>
      <c r="G854" s="5"/>
      <c r="H854" s="3"/>
      <c r="I854" s="5"/>
      <c r="J854" s="3"/>
      <c r="K854" s="5"/>
      <c r="L854" s="3"/>
      <c r="M854" s="5"/>
      <c r="N854" s="5"/>
    </row>
    <row r="855">
      <c r="B855" s="3"/>
      <c r="C855" s="3"/>
      <c r="D855" s="3"/>
      <c r="E855" s="4"/>
      <c r="F855" s="3"/>
      <c r="G855" s="5"/>
      <c r="H855" s="3"/>
      <c r="I855" s="5"/>
      <c r="J855" s="3"/>
      <c r="K855" s="5"/>
      <c r="L855" s="3"/>
      <c r="M855" s="5"/>
      <c r="N855" s="5"/>
    </row>
    <row r="856">
      <c r="B856" s="3"/>
      <c r="C856" s="3"/>
      <c r="D856" s="3"/>
      <c r="E856" s="4"/>
      <c r="F856" s="3"/>
      <c r="G856" s="5"/>
      <c r="H856" s="3"/>
      <c r="I856" s="5"/>
      <c r="J856" s="3"/>
      <c r="K856" s="5"/>
      <c r="L856" s="3"/>
      <c r="M856" s="5"/>
      <c r="N856" s="5"/>
    </row>
    <row r="857">
      <c r="B857" s="3"/>
      <c r="C857" s="3"/>
      <c r="D857" s="3"/>
      <c r="E857" s="4"/>
      <c r="F857" s="3"/>
      <c r="G857" s="5"/>
      <c r="H857" s="3"/>
      <c r="I857" s="5"/>
      <c r="J857" s="3"/>
      <c r="K857" s="5"/>
      <c r="L857" s="3"/>
      <c r="M857" s="5"/>
      <c r="N857" s="5"/>
    </row>
    <row r="858">
      <c r="B858" s="3"/>
      <c r="C858" s="3"/>
      <c r="D858" s="3"/>
      <c r="E858" s="4"/>
      <c r="F858" s="3"/>
      <c r="G858" s="5"/>
      <c r="H858" s="3"/>
      <c r="I858" s="5"/>
      <c r="J858" s="3"/>
      <c r="K858" s="5"/>
      <c r="L858" s="3"/>
      <c r="M858" s="5"/>
      <c r="N858" s="5"/>
    </row>
    <row r="859">
      <c r="B859" s="3"/>
      <c r="C859" s="3"/>
      <c r="D859" s="3"/>
      <c r="E859" s="4"/>
      <c r="F859" s="3"/>
      <c r="G859" s="5"/>
      <c r="H859" s="3"/>
      <c r="I859" s="5"/>
      <c r="J859" s="3"/>
      <c r="K859" s="5"/>
      <c r="L859" s="3"/>
      <c r="M859" s="5"/>
      <c r="N859" s="5"/>
    </row>
    <row r="860">
      <c r="B860" s="3"/>
      <c r="C860" s="3"/>
      <c r="D860" s="3"/>
      <c r="E860" s="4"/>
      <c r="F860" s="3"/>
      <c r="G860" s="5"/>
      <c r="H860" s="3"/>
      <c r="I860" s="5"/>
      <c r="J860" s="3"/>
      <c r="K860" s="5"/>
      <c r="L860" s="3"/>
      <c r="M860" s="5"/>
      <c r="N860" s="5"/>
    </row>
    <row r="861">
      <c r="B861" s="3"/>
      <c r="C861" s="3"/>
      <c r="D861" s="3"/>
      <c r="E861" s="4"/>
      <c r="F861" s="3"/>
      <c r="G861" s="5"/>
      <c r="H861" s="3"/>
      <c r="I861" s="5"/>
      <c r="J861" s="3"/>
      <c r="K861" s="5"/>
      <c r="L861" s="3"/>
      <c r="M861" s="5"/>
      <c r="N861" s="5"/>
    </row>
    <row r="862">
      <c r="B862" s="3"/>
      <c r="C862" s="3"/>
      <c r="D862" s="3"/>
      <c r="E862" s="4"/>
      <c r="F862" s="3"/>
      <c r="G862" s="5"/>
      <c r="H862" s="3"/>
      <c r="I862" s="5"/>
      <c r="J862" s="3"/>
      <c r="K862" s="5"/>
      <c r="L862" s="3"/>
      <c r="M862" s="5"/>
      <c r="N862" s="5"/>
    </row>
    <row r="863">
      <c r="B863" s="3"/>
      <c r="C863" s="3"/>
      <c r="D863" s="3"/>
      <c r="E863" s="4"/>
      <c r="F863" s="3"/>
      <c r="G863" s="5"/>
      <c r="H863" s="3"/>
      <c r="I863" s="5"/>
      <c r="J863" s="3"/>
      <c r="K863" s="5"/>
      <c r="L863" s="3"/>
      <c r="M863" s="5"/>
      <c r="N863" s="5"/>
    </row>
    <row r="864">
      <c r="B864" s="3"/>
      <c r="C864" s="3"/>
      <c r="D864" s="3"/>
      <c r="E864" s="4"/>
      <c r="F864" s="3"/>
      <c r="G864" s="5"/>
      <c r="H864" s="3"/>
      <c r="I864" s="5"/>
      <c r="J864" s="3"/>
      <c r="K864" s="5"/>
      <c r="L864" s="3"/>
      <c r="M864" s="5"/>
      <c r="N864" s="5"/>
    </row>
    <row r="865">
      <c r="B865" s="3"/>
      <c r="C865" s="3"/>
      <c r="D865" s="3"/>
      <c r="E865" s="4"/>
      <c r="F865" s="3"/>
      <c r="G865" s="5"/>
      <c r="H865" s="3"/>
      <c r="I865" s="5"/>
      <c r="J865" s="3"/>
      <c r="K865" s="5"/>
      <c r="L865" s="3"/>
      <c r="M865" s="5"/>
      <c r="N865" s="5"/>
    </row>
    <row r="866">
      <c r="B866" s="3"/>
      <c r="C866" s="3"/>
      <c r="D866" s="3"/>
      <c r="E866" s="4"/>
      <c r="F866" s="3"/>
      <c r="G866" s="5"/>
      <c r="H866" s="3"/>
      <c r="I866" s="5"/>
      <c r="J866" s="3"/>
      <c r="K866" s="5"/>
      <c r="L866" s="3"/>
      <c r="M866" s="5"/>
      <c r="N866" s="5"/>
    </row>
    <row r="867">
      <c r="B867" s="3"/>
      <c r="C867" s="3"/>
      <c r="D867" s="3"/>
      <c r="E867" s="4"/>
      <c r="F867" s="3"/>
      <c r="G867" s="5"/>
      <c r="H867" s="3"/>
      <c r="I867" s="5"/>
      <c r="J867" s="3"/>
      <c r="K867" s="5"/>
      <c r="L867" s="3"/>
      <c r="M867" s="5"/>
      <c r="N867" s="5"/>
    </row>
    <row r="868">
      <c r="B868" s="3"/>
      <c r="C868" s="3"/>
      <c r="D868" s="3"/>
      <c r="E868" s="4"/>
      <c r="F868" s="3"/>
      <c r="G868" s="5"/>
      <c r="H868" s="3"/>
      <c r="I868" s="5"/>
      <c r="J868" s="3"/>
      <c r="K868" s="5"/>
      <c r="L868" s="3"/>
      <c r="M868" s="5"/>
      <c r="N868" s="5"/>
    </row>
    <row r="869">
      <c r="B869" s="3"/>
      <c r="C869" s="3"/>
      <c r="D869" s="3"/>
      <c r="E869" s="4"/>
      <c r="F869" s="3"/>
      <c r="G869" s="5"/>
      <c r="H869" s="3"/>
      <c r="I869" s="5"/>
      <c r="J869" s="3"/>
      <c r="K869" s="5"/>
      <c r="L869" s="3"/>
      <c r="M869" s="5"/>
      <c r="N869" s="5"/>
    </row>
    <row r="870">
      <c r="B870" s="3"/>
      <c r="C870" s="3"/>
      <c r="D870" s="3"/>
      <c r="E870" s="4"/>
      <c r="F870" s="3"/>
      <c r="G870" s="5"/>
      <c r="H870" s="3"/>
      <c r="I870" s="5"/>
      <c r="J870" s="3"/>
      <c r="K870" s="5"/>
      <c r="L870" s="3"/>
      <c r="M870" s="5"/>
      <c r="N870" s="5"/>
    </row>
    <row r="871">
      <c r="B871" s="3"/>
      <c r="C871" s="3"/>
      <c r="D871" s="3"/>
      <c r="E871" s="4"/>
      <c r="F871" s="3"/>
      <c r="G871" s="5"/>
      <c r="H871" s="3"/>
      <c r="I871" s="5"/>
      <c r="J871" s="3"/>
      <c r="K871" s="5"/>
      <c r="L871" s="3"/>
      <c r="M871" s="5"/>
      <c r="N871" s="5"/>
    </row>
    <row r="872">
      <c r="B872" s="3"/>
      <c r="C872" s="3"/>
      <c r="D872" s="3"/>
      <c r="E872" s="4"/>
      <c r="F872" s="3"/>
      <c r="G872" s="5"/>
      <c r="H872" s="3"/>
      <c r="I872" s="5"/>
      <c r="J872" s="3"/>
      <c r="K872" s="5"/>
      <c r="L872" s="3"/>
      <c r="M872" s="5"/>
      <c r="N872" s="5"/>
    </row>
    <row r="873">
      <c r="B873" s="3"/>
      <c r="C873" s="3"/>
      <c r="D873" s="3"/>
      <c r="E873" s="4"/>
      <c r="F873" s="3"/>
      <c r="G873" s="5"/>
      <c r="H873" s="3"/>
      <c r="I873" s="5"/>
      <c r="J873" s="3"/>
      <c r="K873" s="5"/>
      <c r="L873" s="3"/>
      <c r="M873" s="5"/>
      <c r="N873" s="5"/>
    </row>
    <row r="874">
      <c r="B874" s="3"/>
      <c r="C874" s="3"/>
      <c r="D874" s="3"/>
      <c r="E874" s="4"/>
      <c r="F874" s="3"/>
      <c r="G874" s="5"/>
      <c r="H874" s="3"/>
      <c r="I874" s="5"/>
      <c r="J874" s="3"/>
      <c r="K874" s="5"/>
      <c r="L874" s="3"/>
      <c r="M874" s="5"/>
      <c r="N874" s="5"/>
    </row>
    <row r="875">
      <c r="B875" s="3"/>
      <c r="C875" s="3"/>
      <c r="D875" s="3"/>
      <c r="E875" s="4"/>
      <c r="F875" s="3"/>
      <c r="G875" s="5"/>
      <c r="H875" s="3"/>
      <c r="I875" s="5"/>
      <c r="J875" s="3"/>
      <c r="K875" s="5"/>
      <c r="L875" s="3"/>
      <c r="M875" s="5"/>
      <c r="N875" s="5"/>
    </row>
    <row r="876">
      <c r="B876" s="3"/>
      <c r="C876" s="3"/>
      <c r="D876" s="3"/>
      <c r="E876" s="4"/>
      <c r="F876" s="3"/>
      <c r="G876" s="5"/>
      <c r="H876" s="3"/>
      <c r="I876" s="5"/>
      <c r="J876" s="3"/>
      <c r="K876" s="5"/>
      <c r="L876" s="3"/>
      <c r="M876" s="5"/>
      <c r="N876" s="5"/>
    </row>
    <row r="877">
      <c r="B877" s="3"/>
      <c r="C877" s="3"/>
      <c r="D877" s="3"/>
      <c r="E877" s="4"/>
      <c r="F877" s="3"/>
      <c r="G877" s="5"/>
      <c r="H877" s="3"/>
      <c r="I877" s="5"/>
      <c r="J877" s="3"/>
      <c r="K877" s="5"/>
      <c r="L877" s="3"/>
      <c r="M877" s="5"/>
      <c r="N877" s="5"/>
    </row>
    <row r="878">
      <c r="B878" s="3"/>
      <c r="C878" s="3"/>
      <c r="D878" s="3"/>
      <c r="E878" s="4"/>
      <c r="F878" s="3"/>
      <c r="G878" s="5"/>
      <c r="H878" s="3"/>
      <c r="I878" s="5"/>
      <c r="J878" s="3"/>
      <c r="K878" s="5"/>
      <c r="L878" s="3"/>
      <c r="M878" s="5"/>
      <c r="N878" s="5"/>
    </row>
    <row r="879">
      <c r="B879" s="3"/>
      <c r="C879" s="3"/>
      <c r="D879" s="3"/>
      <c r="E879" s="4"/>
      <c r="F879" s="3"/>
      <c r="G879" s="5"/>
      <c r="H879" s="3"/>
      <c r="I879" s="5"/>
      <c r="J879" s="3"/>
      <c r="K879" s="5"/>
      <c r="L879" s="3"/>
      <c r="M879" s="5"/>
      <c r="N879" s="5"/>
    </row>
    <row r="880">
      <c r="B880" s="3"/>
      <c r="C880" s="3"/>
      <c r="D880" s="3"/>
      <c r="E880" s="4"/>
      <c r="F880" s="3"/>
      <c r="G880" s="5"/>
      <c r="H880" s="3"/>
      <c r="I880" s="5"/>
      <c r="J880" s="3"/>
      <c r="K880" s="5"/>
      <c r="L880" s="3"/>
      <c r="M880" s="5"/>
      <c r="N880" s="5"/>
    </row>
    <row r="881">
      <c r="B881" s="3"/>
      <c r="C881" s="3"/>
      <c r="D881" s="3"/>
      <c r="E881" s="4"/>
      <c r="F881" s="3"/>
      <c r="G881" s="5"/>
      <c r="H881" s="3"/>
      <c r="I881" s="5"/>
      <c r="J881" s="3"/>
      <c r="K881" s="5"/>
      <c r="L881" s="3"/>
      <c r="M881" s="5"/>
      <c r="N881" s="5"/>
    </row>
    <row r="882">
      <c r="B882" s="3"/>
      <c r="C882" s="3"/>
      <c r="D882" s="3"/>
      <c r="E882" s="4"/>
      <c r="F882" s="3"/>
      <c r="G882" s="5"/>
      <c r="H882" s="3"/>
      <c r="I882" s="5"/>
      <c r="J882" s="3"/>
      <c r="K882" s="5"/>
      <c r="L882" s="3"/>
      <c r="M882" s="5"/>
      <c r="N882" s="5"/>
    </row>
    <row r="883">
      <c r="B883" s="3"/>
      <c r="C883" s="3"/>
      <c r="D883" s="3"/>
      <c r="E883" s="4"/>
      <c r="F883" s="3"/>
      <c r="G883" s="5"/>
      <c r="H883" s="3"/>
      <c r="I883" s="5"/>
      <c r="J883" s="3"/>
      <c r="K883" s="5"/>
      <c r="L883" s="3"/>
      <c r="M883" s="5"/>
      <c r="N883" s="5"/>
    </row>
    <row r="884">
      <c r="B884" s="3"/>
      <c r="C884" s="3"/>
      <c r="D884" s="3"/>
      <c r="E884" s="4"/>
      <c r="F884" s="3"/>
      <c r="G884" s="5"/>
      <c r="H884" s="3"/>
      <c r="I884" s="5"/>
      <c r="J884" s="3"/>
      <c r="K884" s="5"/>
      <c r="L884" s="3"/>
      <c r="M884" s="5"/>
      <c r="N884" s="5"/>
    </row>
    <row r="885">
      <c r="B885" s="3"/>
      <c r="C885" s="3"/>
      <c r="D885" s="3"/>
      <c r="E885" s="4"/>
      <c r="F885" s="3"/>
      <c r="G885" s="5"/>
      <c r="H885" s="3"/>
      <c r="I885" s="5"/>
      <c r="J885" s="3"/>
      <c r="K885" s="5"/>
      <c r="L885" s="3"/>
      <c r="M885" s="5"/>
      <c r="N885" s="5"/>
    </row>
    <row r="886">
      <c r="B886" s="3"/>
      <c r="C886" s="3"/>
      <c r="D886" s="3"/>
      <c r="E886" s="4"/>
      <c r="F886" s="3"/>
      <c r="G886" s="5"/>
      <c r="H886" s="3"/>
      <c r="I886" s="5"/>
      <c r="J886" s="3"/>
      <c r="K886" s="5"/>
      <c r="L886" s="3"/>
      <c r="M886" s="5"/>
      <c r="N886" s="5"/>
    </row>
    <row r="887">
      <c r="B887" s="3"/>
      <c r="C887" s="3"/>
      <c r="D887" s="3"/>
      <c r="E887" s="4"/>
      <c r="F887" s="3"/>
      <c r="G887" s="5"/>
      <c r="H887" s="3"/>
      <c r="I887" s="5"/>
      <c r="J887" s="3"/>
      <c r="K887" s="5"/>
      <c r="L887" s="3"/>
      <c r="M887" s="5"/>
      <c r="N887" s="5"/>
    </row>
    <row r="888">
      <c r="B888" s="3"/>
      <c r="C888" s="3"/>
      <c r="D888" s="3"/>
      <c r="E888" s="4"/>
      <c r="F888" s="3"/>
      <c r="G888" s="5"/>
      <c r="H888" s="3"/>
      <c r="I888" s="5"/>
      <c r="J888" s="3"/>
      <c r="K888" s="5"/>
      <c r="L888" s="3"/>
      <c r="M888" s="5"/>
      <c r="N888" s="5"/>
    </row>
    <row r="889">
      <c r="B889" s="3"/>
      <c r="C889" s="3"/>
      <c r="D889" s="3"/>
      <c r="E889" s="4"/>
      <c r="F889" s="3"/>
      <c r="G889" s="5"/>
      <c r="H889" s="3"/>
      <c r="I889" s="5"/>
      <c r="J889" s="3"/>
      <c r="K889" s="5"/>
      <c r="L889" s="3"/>
      <c r="M889" s="5"/>
      <c r="N889" s="5"/>
    </row>
    <row r="890">
      <c r="B890" s="3"/>
      <c r="C890" s="3"/>
      <c r="D890" s="3"/>
      <c r="E890" s="4"/>
      <c r="F890" s="3"/>
      <c r="G890" s="5"/>
      <c r="H890" s="3"/>
      <c r="I890" s="5"/>
      <c r="J890" s="3"/>
      <c r="K890" s="5"/>
      <c r="L890" s="3"/>
      <c r="M890" s="5"/>
      <c r="N890" s="5"/>
    </row>
    <row r="891">
      <c r="B891" s="3"/>
      <c r="C891" s="3"/>
      <c r="D891" s="3"/>
      <c r="E891" s="4"/>
      <c r="F891" s="3"/>
      <c r="G891" s="5"/>
      <c r="H891" s="3"/>
      <c r="I891" s="5"/>
      <c r="J891" s="3"/>
      <c r="K891" s="5"/>
      <c r="L891" s="3"/>
      <c r="M891" s="5"/>
      <c r="N891" s="5"/>
    </row>
    <row r="892">
      <c r="B892" s="3"/>
      <c r="C892" s="3"/>
      <c r="D892" s="3"/>
      <c r="E892" s="4"/>
      <c r="F892" s="3"/>
      <c r="G892" s="5"/>
      <c r="H892" s="3"/>
      <c r="I892" s="5"/>
      <c r="J892" s="3"/>
      <c r="K892" s="5"/>
      <c r="L892" s="3"/>
      <c r="M892" s="5"/>
      <c r="N892" s="5"/>
    </row>
    <row r="893">
      <c r="B893" s="3"/>
      <c r="C893" s="3"/>
      <c r="D893" s="3"/>
      <c r="E893" s="4"/>
      <c r="F893" s="3"/>
      <c r="G893" s="5"/>
      <c r="H893" s="3"/>
      <c r="I893" s="5"/>
      <c r="J893" s="3"/>
      <c r="K893" s="5"/>
      <c r="L893" s="3"/>
      <c r="M893" s="5"/>
      <c r="N893" s="5"/>
    </row>
    <row r="894">
      <c r="B894" s="3"/>
      <c r="C894" s="3"/>
      <c r="D894" s="3"/>
      <c r="E894" s="4"/>
      <c r="F894" s="3"/>
      <c r="G894" s="5"/>
      <c r="H894" s="3"/>
      <c r="I894" s="5"/>
      <c r="J894" s="3"/>
      <c r="K894" s="5"/>
      <c r="L894" s="3"/>
      <c r="M894" s="5"/>
      <c r="N894" s="5"/>
    </row>
    <row r="895">
      <c r="B895" s="3"/>
      <c r="C895" s="3"/>
      <c r="D895" s="3"/>
      <c r="E895" s="4"/>
      <c r="F895" s="3"/>
      <c r="G895" s="5"/>
      <c r="H895" s="3"/>
      <c r="I895" s="5"/>
      <c r="J895" s="3"/>
      <c r="K895" s="5"/>
      <c r="L895" s="3"/>
      <c r="M895" s="5"/>
      <c r="N895" s="5"/>
    </row>
    <row r="896">
      <c r="B896" s="3"/>
      <c r="C896" s="3"/>
      <c r="D896" s="3"/>
      <c r="E896" s="4"/>
      <c r="F896" s="3"/>
      <c r="G896" s="5"/>
      <c r="H896" s="3"/>
      <c r="I896" s="5"/>
      <c r="J896" s="3"/>
      <c r="K896" s="5"/>
      <c r="L896" s="3"/>
      <c r="M896" s="5"/>
      <c r="N896" s="5"/>
    </row>
    <row r="897">
      <c r="B897" s="3"/>
      <c r="C897" s="3"/>
      <c r="D897" s="3"/>
      <c r="E897" s="4"/>
      <c r="F897" s="3"/>
      <c r="G897" s="5"/>
      <c r="H897" s="3"/>
      <c r="I897" s="5"/>
      <c r="J897" s="3"/>
      <c r="K897" s="5"/>
      <c r="L897" s="3"/>
      <c r="M897" s="5"/>
      <c r="N897" s="5"/>
    </row>
    <row r="898">
      <c r="B898" s="3"/>
      <c r="C898" s="3"/>
      <c r="D898" s="3"/>
      <c r="E898" s="4"/>
      <c r="F898" s="3"/>
      <c r="G898" s="5"/>
      <c r="H898" s="3"/>
      <c r="I898" s="5"/>
      <c r="J898" s="3"/>
      <c r="K898" s="5"/>
      <c r="L898" s="3"/>
      <c r="M898" s="5"/>
      <c r="N898" s="5"/>
    </row>
    <row r="899">
      <c r="B899" s="3"/>
      <c r="C899" s="3"/>
      <c r="D899" s="3"/>
      <c r="E899" s="4"/>
      <c r="F899" s="3"/>
      <c r="G899" s="5"/>
      <c r="H899" s="3"/>
      <c r="I899" s="5"/>
      <c r="J899" s="3"/>
      <c r="K899" s="5"/>
      <c r="L899" s="3"/>
      <c r="M899" s="5"/>
      <c r="N899" s="5"/>
    </row>
    <row r="900">
      <c r="B900" s="3"/>
      <c r="C900" s="3"/>
      <c r="D900" s="3"/>
      <c r="E900" s="4"/>
      <c r="F900" s="3"/>
      <c r="G900" s="5"/>
      <c r="H900" s="3"/>
      <c r="I900" s="5"/>
      <c r="J900" s="3"/>
      <c r="K900" s="5"/>
      <c r="L900" s="3"/>
      <c r="M900" s="5"/>
      <c r="N900" s="5"/>
    </row>
    <row r="901">
      <c r="B901" s="3"/>
      <c r="C901" s="3"/>
      <c r="D901" s="3"/>
      <c r="E901" s="4"/>
      <c r="F901" s="3"/>
      <c r="G901" s="5"/>
      <c r="H901" s="3"/>
      <c r="I901" s="5"/>
      <c r="J901" s="3"/>
      <c r="K901" s="5"/>
      <c r="L901" s="3"/>
      <c r="M901" s="5"/>
      <c r="N901" s="5"/>
    </row>
    <row r="902">
      <c r="B902" s="3"/>
      <c r="C902" s="3"/>
      <c r="D902" s="3"/>
      <c r="E902" s="4"/>
      <c r="F902" s="3"/>
      <c r="G902" s="5"/>
      <c r="H902" s="3"/>
      <c r="I902" s="5"/>
      <c r="J902" s="3"/>
      <c r="K902" s="5"/>
      <c r="L902" s="3"/>
      <c r="M902" s="5"/>
      <c r="N902" s="5"/>
    </row>
    <row r="903">
      <c r="B903" s="3"/>
      <c r="C903" s="3"/>
      <c r="D903" s="3"/>
      <c r="E903" s="4"/>
      <c r="F903" s="3"/>
      <c r="G903" s="5"/>
      <c r="H903" s="3"/>
      <c r="I903" s="5"/>
      <c r="J903" s="3"/>
      <c r="K903" s="5"/>
      <c r="L903" s="3"/>
      <c r="M903" s="5"/>
      <c r="N903" s="5"/>
    </row>
    <row r="904">
      <c r="B904" s="3"/>
      <c r="C904" s="3"/>
      <c r="D904" s="3"/>
      <c r="E904" s="4"/>
      <c r="F904" s="3"/>
      <c r="G904" s="5"/>
      <c r="H904" s="3"/>
      <c r="I904" s="5"/>
      <c r="J904" s="3"/>
      <c r="K904" s="5"/>
      <c r="L904" s="3"/>
      <c r="M904" s="5"/>
      <c r="N904" s="5"/>
    </row>
    <row r="905">
      <c r="B905" s="3"/>
      <c r="C905" s="3"/>
      <c r="D905" s="3"/>
      <c r="E905" s="4"/>
      <c r="F905" s="3"/>
      <c r="G905" s="5"/>
      <c r="H905" s="3"/>
      <c r="I905" s="5"/>
      <c r="J905" s="3"/>
      <c r="K905" s="5"/>
      <c r="L905" s="3"/>
      <c r="M905" s="5"/>
      <c r="N905" s="5"/>
    </row>
    <row r="906">
      <c r="B906" s="3"/>
      <c r="C906" s="3"/>
      <c r="D906" s="3"/>
      <c r="E906" s="4"/>
      <c r="F906" s="3"/>
      <c r="G906" s="5"/>
      <c r="H906" s="3"/>
      <c r="I906" s="5"/>
      <c r="J906" s="3"/>
      <c r="K906" s="5"/>
      <c r="L906" s="3"/>
      <c r="M906" s="5"/>
      <c r="N906" s="5"/>
    </row>
    <row r="907">
      <c r="B907" s="3"/>
      <c r="C907" s="3"/>
      <c r="D907" s="3"/>
      <c r="E907" s="4"/>
      <c r="F907" s="3"/>
      <c r="G907" s="5"/>
      <c r="H907" s="3"/>
      <c r="I907" s="5"/>
      <c r="J907" s="3"/>
      <c r="K907" s="5"/>
      <c r="L907" s="3"/>
      <c r="M907" s="5"/>
      <c r="N907" s="5"/>
    </row>
    <row r="908">
      <c r="B908" s="3"/>
      <c r="C908" s="3"/>
      <c r="D908" s="3"/>
      <c r="E908" s="4"/>
      <c r="F908" s="3"/>
      <c r="G908" s="5"/>
      <c r="H908" s="3"/>
      <c r="I908" s="5"/>
      <c r="J908" s="3"/>
      <c r="K908" s="5"/>
      <c r="L908" s="3"/>
      <c r="M908" s="5"/>
      <c r="N908" s="5"/>
    </row>
    <row r="909">
      <c r="B909" s="3"/>
      <c r="C909" s="3"/>
      <c r="D909" s="3"/>
      <c r="E909" s="4"/>
      <c r="F909" s="3"/>
      <c r="G909" s="5"/>
      <c r="H909" s="3"/>
      <c r="I909" s="5"/>
      <c r="J909" s="3"/>
      <c r="K909" s="5"/>
      <c r="L909" s="3"/>
      <c r="M909" s="5"/>
      <c r="N909" s="5"/>
    </row>
    <row r="910">
      <c r="B910" s="3"/>
      <c r="C910" s="3"/>
      <c r="D910" s="3"/>
      <c r="E910" s="4"/>
      <c r="F910" s="3"/>
      <c r="G910" s="5"/>
      <c r="H910" s="3"/>
      <c r="I910" s="5"/>
      <c r="J910" s="3"/>
      <c r="K910" s="5"/>
      <c r="L910" s="3"/>
      <c r="M910" s="5"/>
      <c r="N910" s="5"/>
    </row>
    <row r="911">
      <c r="B911" s="3"/>
      <c r="C911" s="3"/>
      <c r="D911" s="3"/>
      <c r="E911" s="4"/>
      <c r="F911" s="3"/>
      <c r="G911" s="5"/>
      <c r="H911" s="3"/>
      <c r="I911" s="5"/>
      <c r="J911" s="3"/>
      <c r="K911" s="5"/>
      <c r="L911" s="3"/>
      <c r="M911" s="5"/>
      <c r="N911" s="5"/>
    </row>
    <row r="912">
      <c r="B912" s="3"/>
      <c r="C912" s="3"/>
      <c r="D912" s="3"/>
      <c r="E912" s="4"/>
      <c r="F912" s="3"/>
      <c r="G912" s="5"/>
      <c r="H912" s="3"/>
      <c r="I912" s="5"/>
      <c r="J912" s="3"/>
      <c r="K912" s="5"/>
      <c r="L912" s="3"/>
      <c r="M912" s="5"/>
      <c r="N912" s="5"/>
    </row>
    <row r="913">
      <c r="B913" s="3"/>
      <c r="C913" s="3"/>
      <c r="D913" s="3"/>
      <c r="E913" s="4"/>
      <c r="F913" s="3"/>
      <c r="G913" s="5"/>
      <c r="H913" s="3"/>
      <c r="I913" s="5"/>
      <c r="J913" s="3"/>
      <c r="K913" s="5"/>
      <c r="L913" s="3"/>
      <c r="M913" s="5"/>
      <c r="N913" s="5"/>
    </row>
    <row r="914">
      <c r="B914" s="3"/>
      <c r="C914" s="3"/>
      <c r="D914" s="3"/>
      <c r="E914" s="4"/>
      <c r="F914" s="3"/>
      <c r="G914" s="5"/>
      <c r="H914" s="3"/>
      <c r="I914" s="5"/>
      <c r="J914" s="3"/>
      <c r="K914" s="5"/>
      <c r="L914" s="3"/>
      <c r="M914" s="5"/>
      <c r="N914" s="5"/>
    </row>
    <row r="915">
      <c r="B915" s="3"/>
      <c r="C915" s="3"/>
      <c r="D915" s="3"/>
      <c r="E915" s="4"/>
      <c r="F915" s="3"/>
      <c r="G915" s="5"/>
      <c r="H915" s="3"/>
      <c r="I915" s="5"/>
      <c r="J915" s="3"/>
      <c r="K915" s="5"/>
      <c r="L915" s="3"/>
      <c r="M915" s="5"/>
      <c r="N915" s="5"/>
    </row>
    <row r="916">
      <c r="B916" s="3"/>
      <c r="C916" s="3"/>
      <c r="D916" s="3"/>
      <c r="E916" s="4"/>
      <c r="F916" s="3"/>
      <c r="G916" s="5"/>
      <c r="H916" s="3"/>
      <c r="I916" s="5"/>
      <c r="J916" s="3"/>
      <c r="K916" s="5"/>
      <c r="L916" s="3"/>
      <c r="M916" s="5"/>
      <c r="N916" s="5"/>
    </row>
    <row r="917">
      <c r="B917" s="3"/>
      <c r="C917" s="3"/>
      <c r="D917" s="3"/>
      <c r="E917" s="4"/>
      <c r="F917" s="3"/>
      <c r="G917" s="5"/>
      <c r="H917" s="3"/>
      <c r="I917" s="5"/>
      <c r="J917" s="3"/>
      <c r="K917" s="5"/>
      <c r="L917" s="3"/>
      <c r="M917" s="5"/>
      <c r="N917" s="5"/>
    </row>
    <row r="918">
      <c r="B918" s="3"/>
      <c r="C918" s="3"/>
      <c r="D918" s="3"/>
      <c r="E918" s="4"/>
      <c r="F918" s="3"/>
      <c r="G918" s="5"/>
      <c r="H918" s="3"/>
      <c r="I918" s="5"/>
      <c r="J918" s="3"/>
      <c r="K918" s="5"/>
      <c r="L918" s="3"/>
      <c r="M918" s="5"/>
      <c r="N918" s="5"/>
    </row>
    <row r="919">
      <c r="B919" s="3"/>
      <c r="C919" s="3"/>
      <c r="D919" s="3"/>
      <c r="E919" s="4"/>
      <c r="F919" s="3"/>
      <c r="G919" s="5"/>
      <c r="H919" s="3"/>
      <c r="I919" s="5"/>
      <c r="J919" s="3"/>
      <c r="K919" s="5"/>
      <c r="L919" s="3"/>
      <c r="M919" s="5"/>
      <c r="N919" s="5"/>
    </row>
    <row r="920">
      <c r="B920" s="3"/>
      <c r="C920" s="3"/>
      <c r="D920" s="3"/>
      <c r="E920" s="4"/>
      <c r="F920" s="3"/>
      <c r="G920" s="5"/>
      <c r="H920" s="3"/>
      <c r="I920" s="5"/>
      <c r="J920" s="3"/>
      <c r="K920" s="5"/>
      <c r="L920" s="3"/>
      <c r="M920" s="5"/>
      <c r="N920" s="5"/>
    </row>
    <row r="921">
      <c r="B921" s="3"/>
      <c r="C921" s="3"/>
      <c r="D921" s="3"/>
      <c r="E921" s="4"/>
      <c r="F921" s="3"/>
      <c r="G921" s="5"/>
      <c r="H921" s="3"/>
      <c r="I921" s="5"/>
      <c r="J921" s="3"/>
      <c r="K921" s="5"/>
      <c r="L921" s="3"/>
      <c r="M921" s="5"/>
      <c r="N921" s="5"/>
    </row>
    <row r="922">
      <c r="B922" s="3"/>
      <c r="C922" s="3"/>
      <c r="D922" s="3"/>
      <c r="E922" s="4"/>
      <c r="F922" s="3"/>
      <c r="G922" s="5"/>
      <c r="H922" s="3"/>
      <c r="I922" s="5"/>
      <c r="J922" s="3"/>
      <c r="K922" s="5"/>
      <c r="L922" s="3"/>
      <c r="M922" s="5"/>
      <c r="N922" s="5"/>
    </row>
    <row r="923">
      <c r="B923" s="3"/>
      <c r="C923" s="3"/>
      <c r="D923" s="3"/>
      <c r="E923" s="4"/>
      <c r="F923" s="3"/>
      <c r="G923" s="5"/>
      <c r="H923" s="3"/>
      <c r="I923" s="5"/>
      <c r="J923" s="3"/>
      <c r="K923" s="5"/>
      <c r="L923" s="3"/>
      <c r="M923" s="5"/>
      <c r="N923" s="5"/>
    </row>
    <row r="924">
      <c r="B924" s="3"/>
      <c r="C924" s="3"/>
      <c r="D924" s="3"/>
      <c r="E924" s="4"/>
      <c r="F924" s="3"/>
      <c r="G924" s="5"/>
      <c r="H924" s="3"/>
      <c r="I924" s="5"/>
      <c r="J924" s="3"/>
      <c r="K924" s="5"/>
      <c r="L924" s="3"/>
      <c r="M924" s="5"/>
      <c r="N924" s="5"/>
    </row>
    <row r="925">
      <c r="B925" s="3"/>
      <c r="C925" s="3"/>
      <c r="D925" s="3"/>
      <c r="E925" s="4"/>
      <c r="F925" s="3"/>
      <c r="G925" s="5"/>
      <c r="H925" s="3"/>
      <c r="I925" s="5"/>
      <c r="J925" s="3"/>
      <c r="K925" s="5"/>
      <c r="L925" s="3"/>
      <c r="M925" s="5"/>
      <c r="N925" s="5"/>
    </row>
    <row r="926">
      <c r="B926" s="3"/>
      <c r="C926" s="3"/>
      <c r="D926" s="3"/>
      <c r="E926" s="4"/>
      <c r="F926" s="3"/>
      <c r="G926" s="5"/>
      <c r="H926" s="3"/>
      <c r="I926" s="5"/>
      <c r="J926" s="3"/>
      <c r="K926" s="5"/>
      <c r="L926" s="3"/>
      <c r="M926" s="5"/>
      <c r="N926" s="5"/>
    </row>
    <row r="927">
      <c r="B927" s="3"/>
      <c r="C927" s="3"/>
      <c r="D927" s="3"/>
      <c r="E927" s="4"/>
      <c r="F927" s="3"/>
      <c r="G927" s="5"/>
      <c r="H927" s="3"/>
      <c r="I927" s="5"/>
      <c r="J927" s="3"/>
      <c r="K927" s="5"/>
      <c r="L927" s="3"/>
      <c r="M927" s="5"/>
      <c r="N927" s="5"/>
    </row>
    <row r="928">
      <c r="B928" s="3"/>
      <c r="C928" s="3"/>
      <c r="D928" s="3"/>
      <c r="E928" s="4"/>
      <c r="F928" s="3"/>
      <c r="G928" s="5"/>
      <c r="H928" s="3"/>
      <c r="I928" s="5"/>
      <c r="J928" s="3"/>
      <c r="K928" s="5"/>
      <c r="L928" s="3"/>
      <c r="M928" s="5"/>
      <c r="N928" s="5"/>
    </row>
    <row r="929">
      <c r="B929" s="3"/>
      <c r="C929" s="3"/>
      <c r="D929" s="3"/>
      <c r="E929" s="4"/>
      <c r="F929" s="3"/>
      <c r="G929" s="5"/>
      <c r="H929" s="3"/>
      <c r="I929" s="5"/>
      <c r="J929" s="3"/>
      <c r="K929" s="5"/>
      <c r="L929" s="3"/>
      <c r="M929" s="5"/>
      <c r="N929" s="5"/>
    </row>
    <row r="930">
      <c r="B930" s="3"/>
      <c r="C930" s="3"/>
      <c r="D930" s="3"/>
      <c r="E930" s="4"/>
      <c r="F930" s="3"/>
      <c r="G930" s="5"/>
      <c r="H930" s="3"/>
      <c r="I930" s="5"/>
      <c r="J930" s="3"/>
      <c r="K930" s="5"/>
      <c r="L930" s="3"/>
      <c r="M930" s="5"/>
      <c r="N930" s="5"/>
    </row>
    <row r="931">
      <c r="B931" s="3"/>
      <c r="C931" s="3"/>
      <c r="D931" s="3"/>
      <c r="E931" s="4"/>
      <c r="F931" s="3"/>
      <c r="G931" s="5"/>
      <c r="H931" s="3"/>
      <c r="I931" s="5"/>
      <c r="J931" s="3"/>
      <c r="K931" s="5"/>
      <c r="L931" s="3"/>
      <c r="M931" s="5"/>
      <c r="N931" s="5"/>
    </row>
    <row r="932">
      <c r="B932" s="3"/>
      <c r="C932" s="3"/>
      <c r="D932" s="3"/>
      <c r="E932" s="4"/>
      <c r="F932" s="3"/>
      <c r="G932" s="5"/>
      <c r="H932" s="3"/>
      <c r="I932" s="5"/>
      <c r="J932" s="3"/>
      <c r="K932" s="5"/>
      <c r="L932" s="3"/>
      <c r="M932" s="5"/>
      <c r="N932" s="5"/>
    </row>
    <row r="933">
      <c r="B933" s="3"/>
      <c r="C933" s="3"/>
      <c r="D933" s="3"/>
      <c r="E933" s="4"/>
      <c r="F933" s="3"/>
      <c r="G933" s="5"/>
      <c r="H933" s="3"/>
      <c r="I933" s="5"/>
      <c r="J933" s="3"/>
      <c r="K933" s="5"/>
      <c r="L933" s="3"/>
      <c r="M933" s="5"/>
      <c r="N933" s="5"/>
    </row>
    <row r="934">
      <c r="B934" s="3"/>
      <c r="C934" s="3"/>
      <c r="D934" s="3"/>
      <c r="E934" s="4"/>
      <c r="F934" s="3"/>
      <c r="G934" s="5"/>
      <c r="H934" s="3"/>
      <c r="I934" s="5"/>
      <c r="J934" s="3"/>
      <c r="K934" s="5"/>
      <c r="L934" s="3"/>
      <c r="M934" s="5"/>
      <c r="N934" s="5"/>
    </row>
    <row r="935">
      <c r="B935" s="3"/>
      <c r="C935" s="3"/>
      <c r="D935" s="3"/>
      <c r="E935" s="4"/>
      <c r="F935" s="3"/>
      <c r="G935" s="5"/>
      <c r="H935" s="3"/>
      <c r="I935" s="5"/>
      <c r="J935" s="3"/>
      <c r="K935" s="5"/>
      <c r="L935" s="3"/>
      <c r="M935" s="5"/>
      <c r="N935" s="5"/>
    </row>
    <row r="936">
      <c r="B936" s="3"/>
      <c r="C936" s="3"/>
      <c r="D936" s="3"/>
      <c r="E936" s="4"/>
      <c r="F936" s="3"/>
      <c r="G936" s="5"/>
      <c r="H936" s="3"/>
      <c r="I936" s="5"/>
      <c r="J936" s="3"/>
      <c r="K936" s="5"/>
      <c r="L936" s="3"/>
      <c r="M936" s="5"/>
      <c r="N936" s="5"/>
    </row>
    <row r="937">
      <c r="B937" s="3"/>
      <c r="C937" s="3"/>
      <c r="D937" s="3"/>
      <c r="E937" s="4"/>
      <c r="F937" s="3"/>
      <c r="G937" s="5"/>
      <c r="H937" s="3"/>
      <c r="I937" s="5"/>
      <c r="J937" s="3"/>
      <c r="K937" s="5"/>
      <c r="L937" s="3"/>
      <c r="M937" s="5"/>
      <c r="N937" s="5"/>
    </row>
    <row r="938">
      <c r="B938" s="3"/>
      <c r="C938" s="3"/>
      <c r="D938" s="3"/>
      <c r="E938" s="4"/>
      <c r="F938" s="3"/>
      <c r="G938" s="5"/>
      <c r="H938" s="3"/>
      <c r="I938" s="5"/>
      <c r="J938" s="3"/>
      <c r="K938" s="5"/>
      <c r="L938" s="3"/>
      <c r="M938" s="5"/>
      <c r="N938" s="5"/>
    </row>
    <row r="939">
      <c r="B939" s="3"/>
      <c r="C939" s="3"/>
      <c r="D939" s="3"/>
      <c r="E939" s="4"/>
      <c r="F939" s="3"/>
      <c r="G939" s="5"/>
      <c r="H939" s="3"/>
      <c r="I939" s="5"/>
      <c r="J939" s="3"/>
      <c r="K939" s="5"/>
      <c r="L939" s="3"/>
      <c r="M939" s="5"/>
      <c r="N939" s="5"/>
    </row>
    <row r="940">
      <c r="B940" s="3"/>
      <c r="C940" s="3"/>
      <c r="D940" s="3"/>
      <c r="E940" s="4"/>
      <c r="F940" s="3"/>
      <c r="G940" s="5"/>
      <c r="H940" s="3"/>
      <c r="I940" s="5"/>
      <c r="J940" s="3"/>
      <c r="K940" s="5"/>
      <c r="L940" s="3"/>
      <c r="M940" s="5"/>
      <c r="N940" s="5"/>
    </row>
    <row r="941">
      <c r="B941" s="3"/>
      <c r="C941" s="3"/>
      <c r="D941" s="3"/>
      <c r="E941" s="4"/>
      <c r="F941" s="3"/>
      <c r="G941" s="5"/>
      <c r="H941" s="3"/>
      <c r="I941" s="5"/>
      <c r="J941" s="3"/>
      <c r="K941" s="5"/>
      <c r="L941" s="3"/>
      <c r="M941" s="5"/>
      <c r="N941" s="5"/>
    </row>
    <row r="942">
      <c r="B942" s="3"/>
      <c r="C942" s="3"/>
      <c r="D942" s="3"/>
      <c r="E942" s="4"/>
      <c r="F942" s="3"/>
      <c r="G942" s="5"/>
      <c r="H942" s="3"/>
      <c r="I942" s="5"/>
      <c r="J942" s="3"/>
      <c r="K942" s="5"/>
      <c r="L942" s="3"/>
      <c r="M942" s="5"/>
      <c r="N942" s="5"/>
    </row>
    <row r="943">
      <c r="B943" s="3"/>
      <c r="C943" s="3"/>
      <c r="D943" s="3"/>
      <c r="E943" s="4"/>
      <c r="F943" s="3"/>
      <c r="G943" s="5"/>
      <c r="H943" s="3"/>
      <c r="I943" s="5"/>
      <c r="J943" s="3"/>
      <c r="K943" s="5"/>
      <c r="L943" s="3"/>
      <c r="M943" s="5"/>
      <c r="N943" s="5"/>
    </row>
    <row r="944">
      <c r="B944" s="3"/>
      <c r="C944" s="3"/>
      <c r="D944" s="3"/>
      <c r="E944" s="4"/>
      <c r="F944" s="3"/>
      <c r="G944" s="5"/>
      <c r="H944" s="3"/>
      <c r="I944" s="5"/>
      <c r="J944" s="3"/>
      <c r="K944" s="5"/>
      <c r="L944" s="3"/>
      <c r="M944" s="5"/>
      <c r="N944" s="5"/>
    </row>
    <row r="945">
      <c r="B945" s="3"/>
      <c r="C945" s="3"/>
      <c r="D945" s="3"/>
      <c r="E945" s="4"/>
      <c r="F945" s="3"/>
      <c r="G945" s="5"/>
      <c r="H945" s="3"/>
      <c r="I945" s="5"/>
      <c r="J945" s="3"/>
      <c r="K945" s="5"/>
      <c r="L945" s="3"/>
      <c r="M945" s="5"/>
      <c r="N945" s="5"/>
    </row>
    <row r="946">
      <c r="B946" s="3"/>
      <c r="C946" s="3"/>
      <c r="D946" s="3"/>
      <c r="E946" s="4"/>
      <c r="F946" s="3"/>
      <c r="G946" s="5"/>
      <c r="H946" s="3"/>
      <c r="I946" s="5"/>
      <c r="J946" s="3"/>
      <c r="K946" s="5"/>
      <c r="L946" s="3"/>
      <c r="M946" s="5"/>
      <c r="N946" s="5"/>
    </row>
    <row r="947">
      <c r="B947" s="3"/>
      <c r="C947" s="3"/>
      <c r="D947" s="3"/>
      <c r="E947" s="4"/>
      <c r="F947" s="3"/>
      <c r="G947" s="5"/>
      <c r="H947" s="3"/>
      <c r="I947" s="5"/>
      <c r="J947" s="3"/>
      <c r="K947" s="5"/>
      <c r="L947" s="3"/>
      <c r="M947" s="5"/>
      <c r="N947" s="5"/>
    </row>
    <row r="948">
      <c r="B948" s="3"/>
      <c r="C948" s="3"/>
      <c r="D948" s="3"/>
      <c r="E948" s="4"/>
      <c r="F948" s="3"/>
      <c r="G948" s="5"/>
      <c r="H948" s="3"/>
      <c r="I948" s="5"/>
      <c r="J948" s="3"/>
      <c r="K948" s="5"/>
      <c r="L948" s="3"/>
      <c r="M948" s="5"/>
      <c r="N948" s="5"/>
    </row>
    <row r="949">
      <c r="B949" s="3"/>
      <c r="C949" s="3"/>
      <c r="D949" s="3"/>
      <c r="E949" s="4"/>
      <c r="F949" s="3"/>
      <c r="G949" s="5"/>
      <c r="H949" s="3"/>
      <c r="I949" s="5"/>
      <c r="J949" s="3"/>
      <c r="K949" s="5"/>
      <c r="L949" s="3"/>
      <c r="M949" s="5"/>
      <c r="N949" s="5"/>
    </row>
    <row r="950">
      <c r="B950" s="3"/>
      <c r="C950" s="3"/>
      <c r="D950" s="3"/>
      <c r="E950" s="4"/>
      <c r="F950" s="3"/>
      <c r="G950" s="5"/>
      <c r="H950" s="3"/>
      <c r="I950" s="5"/>
      <c r="J950" s="3"/>
      <c r="K950" s="5"/>
      <c r="L950" s="3"/>
      <c r="M950" s="5"/>
      <c r="N950" s="5"/>
    </row>
    <row r="951">
      <c r="B951" s="3"/>
      <c r="C951" s="3"/>
      <c r="D951" s="3"/>
      <c r="E951" s="4"/>
      <c r="F951" s="3"/>
      <c r="G951" s="5"/>
      <c r="H951" s="3"/>
      <c r="I951" s="5"/>
      <c r="J951" s="3"/>
      <c r="K951" s="5"/>
      <c r="L951" s="3"/>
      <c r="M951" s="5"/>
      <c r="N951" s="5"/>
    </row>
    <row r="952">
      <c r="B952" s="3"/>
      <c r="C952" s="3"/>
      <c r="D952" s="3"/>
      <c r="E952" s="4"/>
      <c r="F952" s="3"/>
      <c r="G952" s="5"/>
      <c r="H952" s="3"/>
      <c r="I952" s="5"/>
      <c r="J952" s="3"/>
      <c r="K952" s="5"/>
      <c r="L952" s="3"/>
      <c r="M952" s="5"/>
      <c r="N952" s="5"/>
    </row>
    <row r="953">
      <c r="B953" s="3"/>
      <c r="C953" s="3"/>
      <c r="D953" s="3"/>
      <c r="E953" s="4"/>
      <c r="F953" s="3"/>
      <c r="G953" s="5"/>
      <c r="H953" s="3"/>
      <c r="I953" s="5"/>
      <c r="J953" s="3"/>
      <c r="K953" s="5"/>
      <c r="L953" s="3"/>
      <c r="M953" s="5"/>
      <c r="N953" s="5"/>
    </row>
    <row r="954">
      <c r="B954" s="3"/>
      <c r="C954" s="3"/>
      <c r="D954" s="3"/>
      <c r="E954" s="4"/>
      <c r="F954" s="3"/>
      <c r="G954" s="5"/>
      <c r="H954" s="3"/>
      <c r="I954" s="5"/>
      <c r="J954" s="3"/>
      <c r="K954" s="5"/>
      <c r="L954" s="3"/>
      <c r="M954" s="5"/>
      <c r="N954" s="5"/>
    </row>
    <row r="955">
      <c r="B955" s="3"/>
      <c r="C955" s="3"/>
      <c r="D955" s="3"/>
      <c r="E955" s="4"/>
      <c r="F955" s="3"/>
      <c r="G955" s="5"/>
      <c r="H955" s="3"/>
      <c r="I955" s="5"/>
      <c r="J955" s="3"/>
      <c r="K955" s="5"/>
      <c r="L955" s="3"/>
      <c r="M955" s="5"/>
      <c r="N955" s="5"/>
    </row>
    <row r="956">
      <c r="B956" s="3"/>
      <c r="C956" s="3"/>
      <c r="D956" s="3"/>
      <c r="E956" s="4"/>
      <c r="F956" s="3"/>
      <c r="G956" s="5"/>
      <c r="H956" s="3"/>
      <c r="I956" s="5"/>
      <c r="J956" s="3"/>
      <c r="K956" s="5"/>
      <c r="L956" s="3"/>
      <c r="M956" s="5"/>
      <c r="N956" s="5"/>
    </row>
    <row r="957">
      <c r="B957" s="3"/>
      <c r="C957" s="3"/>
      <c r="D957" s="3"/>
      <c r="E957" s="4"/>
      <c r="F957" s="3"/>
      <c r="G957" s="5"/>
      <c r="H957" s="3"/>
      <c r="I957" s="5"/>
      <c r="J957" s="3"/>
      <c r="K957" s="5"/>
      <c r="L957" s="3"/>
      <c r="M957" s="5"/>
      <c r="N957" s="5"/>
    </row>
    <row r="958">
      <c r="B958" s="3"/>
      <c r="C958" s="3"/>
      <c r="D958" s="3"/>
      <c r="E958" s="4"/>
      <c r="F958" s="3"/>
      <c r="G958" s="5"/>
      <c r="H958" s="3"/>
      <c r="I958" s="5"/>
      <c r="J958" s="3"/>
      <c r="K958" s="5"/>
      <c r="L958" s="3"/>
      <c r="M958" s="5"/>
      <c r="N958" s="5"/>
    </row>
    <row r="959">
      <c r="B959" s="3"/>
      <c r="C959" s="3"/>
      <c r="D959" s="3"/>
      <c r="E959" s="4"/>
      <c r="F959" s="3"/>
      <c r="G959" s="5"/>
      <c r="H959" s="3"/>
      <c r="I959" s="5"/>
      <c r="J959" s="3"/>
      <c r="K959" s="5"/>
      <c r="L959" s="3"/>
      <c r="M959" s="5"/>
      <c r="N959" s="5"/>
    </row>
    <row r="960">
      <c r="B960" s="3"/>
      <c r="C960" s="3"/>
      <c r="D960" s="3"/>
      <c r="E960" s="4"/>
      <c r="F960" s="3"/>
      <c r="G960" s="5"/>
      <c r="H960" s="3"/>
      <c r="I960" s="5"/>
      <c r="J960" s="3"/>
      <c r="K960" s="5"/>
      <c r="L960" s="3"/>
      <c r="M960" s="5"/>
      <c r="N960" s="5"/>
    </row>
    <row r="961">
      <c r="B961" s="3"/>
      <c r="C961" s="3"/>
      <c r="D961" s="3"/>
      <c r="E961" s="4"/>
      <c r="F961" s="3"/>
      <c r="G961" s="5"/>
      <c r="H961" s="3"/>
      <c r="I961" s="5"/>
      <c r="J961" s="3"/>
      <c r="K961" s="5"/>
      <c r="L961" s="3"/>
      <c r="M961" s="5"/>
      <c r="N961" s="5"/>
    </row>
    <row r="962">
      <c r="B962" s="3"/>
      <c r="C962" s="3"/>
      <c r="D962" s="3"/>
      <c r="E962" s="4"/>
      <c r="F962" s="3"/>
      <c r="G962" s="5"/>
      <c r="H962" s="3"/>
      <c r="I962" s="5"/>
      <c r="J962" s="3"/>
      <c r="K962" s="5"/>
      <c r="L962" s="3"/>
      <c r="M962" s="5"/>
      <c r="N962" s="5"/>
    </row>
    <row r="963">
      <c r="B963" s="3"/>
      <c r="C963" s="3"/>
      <c r="D963" s="3"/>
      <c r="E963" s="4"/>
      <c r="F963" s="3"/>
      <c r="G963" s="5"/>
      <c r="H963" s="3"/>
      <c r="I963" s="5"/>
      <c r="J963" s="3"/>
      <c r="K963" s="5"/>
      <c r="L963" s="3"/>
      <c r="M963" s="5"/>
      <c r="N963" s="5"/>
    </row>
    <row r="964">
      <c r="B964" s="3"/>
      <c r="C964" s="3"/>
      <c r="D964" s="3"/>
      <c r="E964" s="4"/>
      <c r="F964" s="3"/>
      <c r="G964" s="5"/>
      <c r="H964" s="3"/>
      <c r="I964" s="5"/>
      <c r="J964" s="3"/>
      <c r="K964" s="5"/>
      <c r="L964" s="3"/>
      <c r="M964" s="5"/>
      <c r="N964" s="5"/>
    </row>
    <row r="965">
      <c r="B965" s="3"/>
      <c r="C965" s="3"/>
      <c r="D965" s="3"/>
      <c r="E965" s="4"/>
      <c r="F965" s="3"/>
      <c r="G965" s="5"/>
      <c r="H965" s="3"/>
      <c r="I965" s="5"/>
      <c r="J965" s="3"/>
      <c r="K965" s="5"/>
      <c r="L965" s="3"/>
      <c r="M965" s="5"/>
      <c r="N965" s="5"/>
    </row>
    <row r="966">
      <c r="B966" s="3"/>
      <c r="C966" s="3"/>
      <c r="D966" s="3"/>
      <c r="E966" s="4"/>
      <c r="F966" s="3"/>
      <c r="G966" s="5"/>
      <c r="H966" s="3"/>
      <c r="I966" s="5"/>
      <c r="J966" s="3"/>
      <c r="K966" s="5"/>
      <c r="L966" s="3"/>
      <c r="M966" s="5"/>
      <c r="N966" s="5"/>
    </row>
    <row r="967">
      <c r="B967" s="3"/>
      <c r="C967" s="3"/>
      <c r="D967" s="3"/>
      <c r="E967" s="4"/>
      <c r="F967" s="3"/>
      <c r="G967" s="5"/>
      <c r="H967" s="3"/>
      <c r="I967" s="5"/>
      <c r="J967" s="3"/>
      <c r="K967" s="5"/>
      <c r="L967" s="3"/>
      <c r="M967" s="5"/>
      <c r="N967" s="5"/>
    </row>
    <row r="968">
      <c r="B968" s="3"/>
      <c r="C968" s="3"/>
      <c r="D968" s="3"/>
      <c r="E968" s="4"/>
      <c r="F968" s="3"/>
      <c r="G968" s="5"/>
      <c r="H968" s="3"/>
      <c r="I968" s="5"/>
      <c r="J968" s="3"/>
      <c r="K968" s="5"/>
      <c r="L968" s="3"/>
      <c r="M968" s="5"/>
      <c r="N968" s="5"/>
    </row>
    <row r="969">
      <c r="B969" s="3"/>
      <c r="C969" s="3"/>
      <c r="D969" s="3"/>
      <c r="E969" s="4"/>
      <c r="F969" s="3"/>
      <c r="G969" s="5"/>
      <c r="H969" s="3"/>
      <c r="I969" s="5"/>
      <c r="J969" s="3"/>
      <c r="K969" s="5"/>
      <c r="L969" s="3"/>
      <c r="M969" s="5"/>
      <c r="N969" s="5"/>
    </row>
    <row r="970">
      <c r="B970" s="3"/>
      <c r="C970" s="3"/>
      <c r="D970" s="3"/>
      <c r="E970" s="4"/>
      <c r="F970" s="3"/>
      <c r="G970" s="5"/>
      <c r="H970" s="3"/>
      <c r="I970" s="5"/>
      <c r="J970" s="3"/>
      <c r="K970" s="5"/>
      <c r="L970" s="3"/>
      <c r="M970" s="5"/>
      <c r="N970" s="5"/>
    </row>
    <row r="971">
      <c r="B971" s="3"/>
      <c r="C971" s="3"/>
      <c r="D971" s="3"/>
      <c r="E971" s="4"/>
      <c r="F971" s="3"/>
      <c r="G971" s="5"/>
      <c r="H971" s="3"/>
      <c r="I971" s="5"/>
      <c r="J971" s="3"/>
      <c r="K971" s="5"/>
      <c r="L971" s="3"/>
      <c r="M971" s="5"/>
      <c r="N971" s="5"/>
    </row>
    <row r="972">
      <c r="B972" s="3"/>
      <c r="C972" s="3"/>
      <c r="D972" s="3"/>
      <c r="E972" s="4"/>
      <c r="F972" s="3"/>
      <c r="G972" s="5"/>
      <c r="H972" s="3"/>
      <c r="I972" s="5"/>
      <c r="J972" s="3"/>
      <c r="K972" s="5"/>
      <c r="L972" s="3"/>
      <c r="M972" s="5"/>
      <c r="N972" s="5"/>
    </row>
    <row r="973">
      <c r="B973" s="3"/>
      <c r="C973" s="3"/>
      <c r="D973" s="3"/>
      <c r="E973" s="4"/>
      <c r="F973" s="3"/>
      <c r="G973" s="5"/>
      <c r="H973" s="3"/>
      <c r="I973" s="5"/>
      <c r="J973" s="3"/>
      <c r="K973" s="5"/>
      <c r="L973" s="3"/>
      <c r="M973" s="5"/>
      <c r="N973" s="5"/>
    </row>
    <row r="974">
      <c r="B974" s="3"/>
      <c r="C974" s="3"/>
      <c r="D974" s="3"/>
      <c r="E974" s="4"/>
      <c r="F974" s="3"/>
      <c r="G974" s="5"/>
      <c r="H974" s="3"/>
      <c r="I974" s="5"/>
      <c r="J974" s="3"/>
      <c r="K974" s="5"/>
      <c r="L974" s="3"/>
      <c r="M974" s="5"/>
      <c r="N974" s="5"/>
    </row>
    <row r="975">
      <c r="B975" s="3"/>
      <c r="C975" s="3"/>
      <c r="D975" s="3"/>
      <c r="E975" s="4"/>
      <c r="F975" s="3"/>
      <c r="G975" s="5"/>
      <c r="H975" s="3"/>
      <c r="I975" s="5"/>
      <c r="J975" s="3"/>
      <c r="K975" s="5"/>
      <c r="L975" s="3"/>
      <c r="M975" s="5"/>
      <c r="N975" s="5"/>
    </row>
    <row r="976">
      <c r="B976" s="3"/>
      <c r="C976" s="3"/>
      <c r="D976" s="3"/>
      <c r="E976" s="4"/>
      <c r="F976" s="3"/>
      <c r="G976" s="5"/>
      <c r="H976" s="3"/>
      <c r="I976" s="5"/>
      <c r="J976" s="3"/>
      <c r="K976" s="5"/>
      <c r="L976" s="3"/>
      <c r="M976" s="5"/>
      <c r="N976" s="5"/>
    </row>
    <row r="977">
      <c r="B977" s="3"/>
      <c r="C977" s="3"/>
      <c r="D977" s="3"/>
      <c r="E977" s="4"/>
      <c r="F977" s="3"/>
      <c r="G977" s="5"/>
      <c r="H977" s="3"/>
      <c r="I977" s="5"/>
      <c r="J977" s="3"/>
      <c r="K977" s="5"/>
      <c r="L977" s="3"/>
      <c r="M977" s="5"/>
      <c r="N977" s="5"/>
    </row>
    <row r="978">
      <c r="B978" s="3"/>
      <c r="C978" s="3"/>
      <c r="D978" s="3"/>
      <c r="E978" s="4"/>
      <c r="F978" s="3"/>
      <c r="G978" s="5"/>
      <c r="H978" s="3"/>
      <c r="I978" s="5"/>
      <c r="J978" s="3"/>
      <c r="K978" s="5"/>
      <c r="L978" s="3"/>
      <c r="M978" s="5"/>
      <c r="N978" s="5"/>
    </row>
    <row r="979">
      <c r="B979" s="3"/>
      <c r="C979" s="3"/>
      <c r="D979" s="3"/>
      <c r="E979" s="4"/>
      <c r="F979" s="3"/>
      <c r="G979" s="5"/>
      <c r="H979" s="3"/>
      <c r="I979" s="5"/>
      <c r="J979" s="3"/>
      <c r="K979" s="5"/>
      <c r="L979" s="3"/>
      <c r="M979" s="5"/>
      <c r="N979" s="5"/>
    </row>
    <row r="980">
      <c r="B980" s="3"/>
      <c r="C980" s="3"/>
      <c r="D980" s="3"/>
      <c r="E980" s="4"/>
      <c r="F980" s="3"/>
      <c r="G980" s="5"/>
      <c r="H980" s="3"/>
      <c r="I980" s="5"/>
      <c r="J980" s="3"/>
      <c r="K980" s="5"/>
      <c r="L980" s="3"/>
      <c r="M980" s="5"/>
      <c r="N980" s="5"/>
    </row>
    <row r="981">
      <c r="B981" s="3"/>
      <c r="C981" s="3"/>
      <c r="D981" s="3"/>
      <c r="E981" s="4"/>
      <c r="F981" s="3"/>
      <c r="G981" s="5"/>
      <c r="H981" s="3"/>
      <c r="I981" s="5"/>
      <c r="J981" s="3"/>
      <c r="K981" s="5"/>
      <c r="L981" s="3"/>
      <c r="M981" s="5"/>
      <c r="N981" s="5"/>
    </row>
    <row r="982">
      <c r="B982" s="3"/>
      <c r="C982" s="3"/>
      <c r="D982" s="3"/>
      <c r="E982" s="4"/>
      <c r="F982" s="3"/>
      <c r="G982" s="5"/>
      <c r="H982" s="3"/>
      <c r="I982" s="5"/>
      <c r="J982" s="3"/>
      <c r="K982" s="5"/>
      <c r="L982" s="3"/>
      <c r="M982" s="5"/>
      <c r="N982" s="5"/>
    </row>
    <row r="983">
      <c r="B983" s="3"/>
      <c r="C983" s="3"/>
      <c r="D983" s="3"/>
      <c r="E983" s="4"/>
      <c r="F983" s="3"/>
      <c r="G983" s="5"/>
      <c r="H983" s="3"/>
      <c r="I983" s="5"/>
      <c r="J983" s="3"/>
      <c r="K983" s="5"/>
      <c r="L983" s="3"/>
      <c r="M983" s="5"/>
      <c r="N983" s="5"/>
    </row>
    <row r="984">
      <c r="B984" s="3"/>
      <c r="C984" s="3"/>
      <c r="D984" s="3"/>
      <c r="E984" s="4"/>
      <c r="F984" s="3"/>
      <c r="G984" s="5"/>
      <c r="H984" s="3"/>
      <c r="I984" s="5"/>
      <c r="J984" s="3"/>
      <c r="K984" s="5"/>
      <c r="L984" s="3"/>
      <c r="M984" s="5"/>
      <c r="N984" s="5"/>
    </row>
    <row r="985">
      <c r="B985" s="3"/>
      <c r="C985" s="3"/>
      <c r="D985" s="3"/>
      <c r="E985" s="4"/>
      <c r="F985" s="3"/>
      <c r="G985" s="5"/>
      <c r="H985" s="3"/>
      <c r="I985" s="5"/>
      <c r="J985" s="3"/>
      <c r="K985" s="5"/>
      <c r="L985" s="3"/>
      <c r="M985" s="5"/>
      <c r="N985" s="5"/>
    </row>
    <row r="986">
      <c r="B986" s="3"/>
      <c r="C986" s="3"/>
      <c r="D986" s="3"/>
      <c r="E986" s="4"/>
      <c r="F986" s="3"/>
      <c r="G986" s="5"/>
      <c r="H986" s="3"/>
      <c r="I986" s="5"/>
      <c r="J986" s="3"/>
      <c r="K986" s="5"/>
      <c r="L986" s="3"/>
      <c r="M986" s="5"/>
      <c r="N986" s="5"/>
    </row>
    <row r="987">
      <c r="B987" s="3"/>
      <c r="C987" s="3"/>
      <c r="D987" s="3"/>
      <c r="E987" s="4"/>
      <c r="F987" s="3"/>
      <c r="G987" s="5"/>
      <c r="H987" s="3"/>
      <c r="I987" s="5"/>
      <c r="J987" s="3"/>
      <c r="K987" s="5"/>
      <c r="L987" s="3"/>
      <c r="M987" s="5"/>
      <c r="N987" s="5"/>
    </row>
    <row r="988">
      <c r="B988" s="3"/>
      <c r="C988" s="3"/>
      <c r="D988" s="3"/>
      <c r="E988" s="4"/>
      <c r="F988" s="3"/>
      <c r="G988" s="5"/>
      <c r="H988" s="3"/>
      <c r="I988" s="5"/>
      <c r="J988" s="3"/>
      <c r="K988" s="5"/>
      <c r="L988" s="3"/>
      <c r="M988" s="5"/>
      <c r="N988" s="5"/>
    </row>
    <row r="989">
      <c r="B989" s="3"/>
      <c r="C989" s="3"/>
      <c r="D989" s="3"/>
      <c r="E989" s="4"/>
      <c r="F989" s="3"/>
      <c r="G989" s="5"/>
      <c r="H989" s="3"/>
      <c r="I989" s="5"/>
      <c r="J989" s="3"/>
      <c r="K989" s="5"/>
      <c r="L989" s="3"/>
      <c r="M989" s="5"/>
      <c r="N989" s="5"/>
    </row>
    <row r="990">
      <c r="B990" s="3"/>
      <c r="C990" s="3"/>
      <c r="D990" s="3"/>
      <c r="E990" s="4"/>
      <c r="F990" s="3"/>
      <c r="G990" s="5"/>
      <c r="H990" s="3"/>
      <c r="I990" s="5"/>
      <c r="J990" s="3"/>
      <c r="K990" s="5"/>
      <c r="L990" s="3"/>
      <c r="M990" s="5"/>
      <c r="N990" s="5"/>
    </row>
    <row r="991">
      <c r="B991" s="3"/>
      <c r="C991" s="3"/>
      <c r="D991" s="3"/>
      <c r="E991" s="4"/>
      <c r="F991" s="3"/>
      <c r="G991" s="5"/>
      <c r="H991" s="3"/>
      <c r="I991" s="5"/>
      <c r="J991" s="3"/>
      <c r="K991" s="5"/>
      <c r="L991" s="3"/>
      <c r="M991" s="5"/>
      <c r="N991" s="5"/>
    </row>
    <row r="992">
      <c r="B992" s="3"/>
      <c r="C992" s="3"/>
      <c r="D992" s="3"/>
      <c r="E992" s="4"/>
      <c r="F992" s="3"/>
      <c r="G992" s="5"/>
      <c r="H992" s="3"/>
      <c r="I992" s="5"/>
      <c r="J992" s="3"/>
      <c r="K992" s="5"/>
      <c r="L992" s="3"/>
      <c r="M992" s="5"/>
      <c r="N992" s="5"/>
    </row>
    <row r="993">
      <c r="B993" s="3"/>
      <c r="C993" s="3"/>
      <c r="D993" s="3"/>
      <c r="E993" s="4"/>
      <c r="F993" s="3"/>
      <c r="G993" s="5"/>
      <c r="H993" s="3"/>
      <c r="I993" s="5"/>
      <c r="J993" s="3"/>
      <c r="K993" s="5"/>
      <c r="L993" s="3"/>
      <c r="M993" s="5"/>
      <c r="N993" s="5"/>
    </row>
    <row r="994">
      <c r="B994" s="3"/>
      <c r="C994" s="3"/>
      <c r="D994" s="3"/>
      <c r="E994" s="4"/>
      <c r="F994" s="3"/>
      <c r="G994" s="5"/>
      <c r="H994" s="3"/>
      <c r="I994" s="5"/>
      <c r="J994" s="3"/>
      <c r="K994" s="5"/>
      <c r="L994" s="3"/>
      <c r="M994" s="5"/>
      <c r="N994" s="5"/>
    </row>
    <row r="995">
      <c r="B995" s="3"/>
      <c r="C995" s="3"/>
      <c r="D995" s="3"/>
      <c r="E995" s="4"/>
      <c r="F995" s="3"/>
      <c r="G995" s="5"/>
      <c r="H995" s="3"/>
      <c r="I995" s="5"/>
      <c r="J995" s="3"/>
      <c r="K995" s="5"/>
      <c r="L995" s="3"/>
      <c r="M995" s="5"/>
      <c r="N995" s="5"/>
    </row>
    <row r="996">
      <c r="B996" s="3"/>
      <c r="C996" s="3"/>
      <c r="D996" s="3"/>
      <c r="E996" s="4"/>
      <c r="F996" s="3"/>
      <c r="G996" s="5"/>
      <c r="H996" s="3"/>
      <c r="I996" s="5"/>
      <c r="J996" s="3"/>
      <c r="K996" s="5"/>
      <c r="L996" s="3"/>
      <c r="M996" s="5"/>
      <c r="N996" s="5"/>
    </row>
    <row r="997">
      <c r="B997" s="3"/>
      <c r="C997" s="3"/>
      <c r="D997" s="3"/>
      <c r="E997" s="4"/>
      <c r="F997" s="3"/>
      <c r="G997" s="5"/>
      <c r="H997" s="3"/>
      <c r="I997" s="5"/>
      <c r="J997" s="3"/>
      <c r="K997" s="5"/>
      <c r="L997" s="3"/>
      <c r="M997" s="5"/>
      <c r="N997" s="5"/>
    </row>
    <row r="998">
      <c r="B998" s="3"/>
      <c r="C998" s="3"/>
      <c r="D998" s="3"/>
      <c r="E998" s="4"/>
      <c r="F998" s="3"/>
      <c r="G998" s="5"/>
      <c r="H998" s="3"/>
      <c r="I998" s="5"/>
      <c r="J998" s="3"/>
      <c r="K998" s="5"/>
      <c r="L998" s="3"/>
      <c r="M998" s="5"/>
      <c r="N998" s="5"/>
    </row>
    <row r="999">
      <c r="B999" s="3"/>
      <c r="C999" s="3"/>
      <c r="D999" s="3"/>
      <c r="E999" s="4"/>
      <c r="F999" s="3"/>
      <c r="G999" s="5"/>
      <c r="H999" s="3"/>
      <c r="I999" s="5"/>
      <c r="J999" s="3"/>
      <c r="K999" s="5"/>
      <c r="L999" s="3"/>
      <c r="M999" s="5"/>
      <c r="N999" s="5"/>
    </row>
    <row r="1000">
      <c r="B1000" s="3"/>
      <c r="C1000" s="3"/>
      <c r="D1000" s="3"/>
      <c r="E1000" s="4"/>
      <c r="F1000" s="3"/>
      <c r="G1000" s="5"/>
      <c r="H1000" s="3"/>
      <c r="I1000" s="5"/>
      <c r="J1000" s="3"/>
      <c r="K1000" s="5"/>
      <c r="L1000" s="3"/>
      <c r="M1000" s="5"/>
      <c r="N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tr">
        <f>IFERROR(__xludf.DUMMYFUNCTION("SORT(
  UNIQUE(
    FILTER(
      Raw!L2:L1000,
      Raw!L2:L1000&lt;&gt;"""",
      Raw!C2:C1000=""Season 1"",
      Raw!F2:F1000=""2v2""
    )
  )
)
"),"Aferdita")</f>
        <v>Aferdita</v>
      </c>
      <c r="B2" s="3">
        <f t="array" ref="B2:B1000">IF(A2:A1000="",
   ,
   COUNTIFS(
     Raw!L:L, A2:A1000,
     Raw!C:C, "Season 1",
     Raw!F:F, "2v2"
   )
)
</f>
        <v>3</v>
      </c>
      <c r="C2" s="3">
        <f t="array" ref="C2:C1000">IF(A2:A1000="",
   ,
   COUNTIFS(
     Raw!L:L, A2:A1000,
     Raw!I:I, "win",
     Raw!C:C, "Season 1",
     Raw!F:F, "2v2"
   )
)
</f>
        <v>1</v>
      </c>
      <c r="D2" s="3">
        <f t="array" ref="D2:D1000">IF(A2:A1000="",
   ,
   COUNTIFS(
     Raw!L:L, A2:A1000,
     Raw!I:I, "loss",
     Raw!C:C, "Season 1",
     Raw!F:F, "2v2"
   )
)
</f>
        <v>2</v>
      </c>
      <c r="E2" s="4">
        <f t="array" ref="E2:E1000">IF(A2:A1000="",
   ,
   IF(B2:B1000=0, , C2:C1000 / B2:B1000)
)
</f>
        <v>0.3333333333</v>
      </c>
      <c r="F2" s="3">
        <f>IFERROR(__xludf.DUMMYFUNCTION("ARRAYFORMULA( MAP( A2:A1000, LAMBDA(id, IF(id="""",, SUM( FILTER( N(Raw!M:M), Raw!L:L=id, TRIM(SUBSTITUTE(Raw!C:C,CHAR(160),"" ""))=""Season 1"", TRIM(SUBSTITUTE(Raw!F:F,CHAR(160),"" ""))=""2v2"" ) ) ) ) ) )"),6.0)</f>
        <v>6</v>
      </c>
      <c r="G2" s="5">
        <f t="array" ref="G2:G1000">IF(A2:A1000="",
   ,
   IF(B2:B1000=0, , F2:F1000 / B2:B1000)
)
</f>
        <v>2</v>
      </c>
      <c r="H2" s="3">
        <f>IFERROR(__xludf.DUMMYFUNCTION("ARRAYFORMULA( MAP( A2:A1000, LAMBDA(id, IF(id="""",, SUM( FILTER( N(Raw!O:O), Raw!L:L=id, TRIM(SUBSTITUTE(Raw!C:C,CHAR(160),"" ""))=""Season 1"", TRIM(SUBSTITUTE(Raw!F:F,CHAR(160),"" ""))=""2v2"" ) ) ) ) ) )"),1.0)</f>
        <v>1</v>
      </c>
      <c r="I2" s="5">
        <f t="array" ref="I2:I1000">IF(A2:A1000="",
   ,
   IF(B2:B1000=0, , H2:H1000 / B2:B1000)
)
</f>
        <v>0.3333333333</v>
      </c>
      <c r="J2" s="3">
        <f>IFERROR(__xludf.DUMMYFUNCTION("ARRAYFORMULA( MAP( A2:A1000, LAMBDA(id, IF(id="""",, SUM( FILTER( N(Raw!P:P), Raw!L:L=id, TRIM(SUBSTITUTE(Raw!C:C,CHAR(160),"" ""))=""Season 1"", TRIM(SUBSTITUTE(Raw!F:F,CHAR(160),"" ""))=""2v2"" ) ) ) ) ) )"),4796.0)</f>
        <v>4796</v>
      </c>
      <c r="K2" s="5">
        <f t="array" ref="K2:K1000">IF(A2:A1000="",
   ,
   IF(B2:B1000=0, , J2:J1000 / B2:B1000)
)
</f>
        <v>1598.666667</v>
      </c>
      <c r="L2" s="3">
        <f>IFERROR(__xludf.DUMMYFUNCTION("ARRAYFORMULA( MAP( A2:A1000, LAMBDA(id, IF(id="""",, SUM( FILTER( N(Raw!Q:Q), Raw!L:L=id, TRIM(SUBSTITUTE(Raw!C:C,CHAR(160),"" ""))=""Season 1"", TRIM(SUBSTITUTE(Raw!F:F,CHAR(160),"" ""))=""2v2"" ) ) ) ) ) )"),265.0)</f>
        <v>265</v>
      </c>
      <c r="M2" s="5">
        <f t="array" ref="M2:M1000">IF(A2:A1000="",
   ,
   IF(B2:B1000=0, , L2:L1000 / B2:B1000)
)
</f>
        <v>88.33333333</v>
      </c>
      <c r="N2" s="5">
        <f t="array" ref="N2:N1000">MAP(
  A2:A1000,
  LAMBDA(id,
    IF(id="",,
      IF(
        SUMIFS(
          Raw!E:E,
          Raw!L:L, id,
          Raw!C:C, "Season 1",
          Raw!F:F, "2v2"
        ) = 0,
        ,
        SUMIFS(
          Raw!P:P,
          Raw!L:L, id,
          Raw!C:C, "Season 1",
          Raw!F:F, "2v2"
        )
        /
        SUMIFS(
          Raw!E:E,
          Raw!L:L, id,
          Raw!C:C, "Season 1",
          Raw!F:F, "2v2"
        )
      )
    )
  )
)</f>
        <v>1.977731959</v>
      </c>
    </row>
    <row r="3">
      <c r="A3" s="2" t="str">
        <f>IFERROR(__xludf.DUMMYFUNCTION("""COMPUTED_VALUE"""),"Kesny")</f>
        <v>Kesny</v>
      </c>
      <c r="B3" s="3">
        <v>29.0</v>
      </c>
      <c r="C3" s="3">
        <v>9.0</v>
      </c>
      <c r="D3" s="3">
        <v>20.0</v>
      </c>
      <c r="E3" s="4">
        <v>0.3103448275862069</v>
      </c>
      <c r="F3" s="3">
        <f>IFERROR(__xludf.DUMMYFUNCTION("""COMPUTED_VALUE"""),114.0)</f>
        <v>114</v>
      </c>
      <c r="G3" s="5">
        <v>3.9310344827586206</v>
      </c>
      <c r="H3" s="3">
        <f>IFERROR(__xludf.DUMMYFUNCTION("""COMPUTED_VALUE"""),29.0)</f>
        <v>29</v>
      </c>
      <c r="I3" s="5">
        <v>1.0</v>
      </c>
      <c r="J3" s="3">
        <f>IFERROR(__xludf.DUMMYFUNCTION("""COMPUTED_VALUE"""),42717.0)</f>
        <v>42717</v>
      </c>
      <c r="K3" s="5">
        <v>1473.0</v>
      </c>
      <c r="L3" s="3">
        <f>IFERROR(__xludf.DUMMYFUNCTION("""COMPUTED_VALUE"""),3768.0)</f>
        <v>3768</v>
      </c>
      <c r="M3" s="5">
        <v>129.93103448275863</v>
      </c>
      <c r="N3" s="5">
        <v>1.8402981216612098</v>
      </c>
    </row>
    <row r="4">
      <c r="A4" s="2" t="str">
        <f>IFERROR(__xludf.DUMMYFUNCTION("""COMPUTED_VALUE"""),"Malena")</f>
        <v>Malena</v>
      </c>
      <c r="B4" s="3">
        <v>61.0</v>
      </c>
      <c r="C4" s="3">
        <v>36.0</v>
      </c>
      <c r="D4" s="3">
        <v>25.0</v>
      </c>
      <c r="E4" s="4">
        <v>0.5901639344262295</v>
      </c>
      <c r="F4" s="3">
        <f>IFERROR(__xludf.DUMMYFUNCTION("""COMPUTED_VALUE"""),339.0)</f>
        <v>339</v>
      </c>
      <c r="G4" s="5">
        <v>5.557377049180328</v>
      </c>
      <c r="H4" s="3">
        <f>IFERROR(__xludf.DUMMYFUNCTION("""COMPUTED_VALUE"""),19.0)</f>
        <v>19</v>
      </c>
      <c r="I4" s="5">
        <v>0.3114754098360656</v>
      </c>
      <c r="J4" s="3">
        <f>IFERROR(__xludf.DUMMYFUNCTION("""COMPUTED_VALUE"""),108436.0)</f>
        <v>108436</v>
      </c>
      <c r="K4" s="5">
        <v>1777.639344262295</v>
      </c>
      <c r="L4" s="3">
        <f>IFERROR(__xludf.DUMMYFUNCTION("""COMPUTED_VALUE"""),8617.0)</f>
        <v>8617</v>
      </c>
      <c r="M4" s="5">
        <v>141.2622950819672</v>
      </c>
      <c r="N4" s="5">
        <v>2.370185792349727</v>
      </c>
    </row>
    <row r="5">
      <c r="A5" s="2" t="str">
        <f>IFERROR(__xludf.DUMMYFUNCTION("""COMPUTED_VALUE"""),"Nebus.")</f>
        <v>Nebus.</v>
      </c>
      <c r="B5" s="3">
        <v>58.0</v>
      </c>
      <c r="C5" s="3">
        <v>35.0</v>
      </c>
      <c r="D5" s="3">
        <v>23.0</v>
      </c>
      <c r="E5" s="4">
        <v>0.603448275862069</v>
      </c>
      <c r="F5" s="3">
        <f>IFERROR(__xludf.DUMMYFUNCTION("""COMPUTED_VALUE"""),222.0)</f>
        <v>222</v>
      </c>
      <c r="G5" s="5">
        <v>3.8275862068965516</v>
      </c>
      <c r="H5" s="3">
        <f>IFERROR(__xludf.DUMMYFUNCTION("""COMPUTED_VALUE"""),25.0)</f>
        <v>25</v>
      </c>
      <c r="I5" s="5">
        <v>0.43103448275862066</v>
      </c>
      <c r="J5" s="3">
        <f>IFERROR(__xludf.DUMMYFUNCTION("""COMPUTED_VALUE"""),124145.0)</f>
        <v>124145</v>
      </c>
      <c r="K5" s="5">
        <v>2140.4310344827586</v>
      </c>
      <c r="L5" s="3">
        <f>IFERROR(__xludf.DUMMYFUNCTION("""COMPUTED_VALUE"""),7635.0)</f>
        <v>7635</v>
      </c>
      <c r="M5" s="5">
        <v>131.63793103448276</v>
      </c>
      <c r="N5" s="5">
        <v>2.8654356607039815</v>
      </c>
    </row>
    <row r="6">
      <c r="A6" s="2" t="str">
        <f>IFERROR(__xludf.DUMMYFUNCTION("""COMPUTED_VALUE"""),"Tess1509")</f>
        <v>Tess1509</v>
      </c>
      <c r="B6" s="3">
        <v>32.0</v>
      </c>
      <c r="C6" s="3">
        <v>6.0</v>
      </c>
      <c r="D6" s="3">
        <v>26.0</v>
      </c>
      <c r="E6" s="4">
        <v>0.1875</v>
      </c>
      <c r="F6" s="3">
        <f>IFERROR(__xludf.DUMMYFUNCTION("""COMPUTED_VALUE"""),44.0)</f>
        <v>44</v>
      </c>
      <c r="G6" s="5">
        <v>1.375</v>
      </c>
      <c r="H6" s="3">
        <f>IFERROR(__xludf.DUMMYFUNCTION("""COMPUTED_VALUE"""),7.0)</f>
        <v>7</v>
      </c>
      <c r="I6" s="5">
        <v>0.21875</v>
      </c>
      <c r="J6" s="3">
        <f>IFERROR(__xludf.DUMMYFUNCTION("""COMPUTED_VALUE"""),57045.0)</f>
        <v>57045</v>
      </c>
      <c r="K6" s="5">
        <v>1782.65625</v>
      </c>
      <c r="L6" s="3">
        <f>IFERROR(__xludf.DUMMYFUNCTION("""COMPUTED_VALUE"""),2575.0)</f>
        <v>2575</v>
      </c>
      <c r="M6" s="5">
        <v>80.46875</v>
      </c>
      <c r="N6" s="5">
        <v>2.5310586564912594</v>
      </c>
    </row>
    <row r="7">
      <c r="A7" s="2" t="str">
        <f>IFERROR(__xludf.DUMMYFUNCTION("""COMPUTED_VALUE"""),"ZeroO")</f>
        <v>ZeroO</v>
      </c>
      <c r="B7" s="3">
        <v>61.0</v>
      </c>
      <c r="C7" s="3">
        <v>35.0</v>
      </c>
      <c r="D7" s="3">
        <v>26.0</v>
      </c>
      <c r="E7" s="4">
        <v>0.5737704918032787</v>
      </c>
      <c r="F7" s="3">
        <f>IFERROR(__xludf.DUMMYFUNCTION("""COMPUTED_VALUE"""),317.0)</f>
        <v>317</v>
      </c>
      <c r="G7" s="5">
        <v>5.19672131147541</v>
      </c>
      <c r="H7" s="3">
        <f>IFERROR(__xludf.DUMMYFUNCTION("""COMPUTED_VALUE"""),24.0)</f>
        <v>24</v>
      </c>
      <c r="I7" s="5">
        <v>0.39344262295081966</v>
      </c>
      <c r="J7" s="3">
        <f>IFERROR(__xludf.DUMMYFUNCTION("""COMPUTED_VALUE"""),107389.0)</f>
        <v>107389</v>
      </c>
      <c r="K7" s="5">
        <v>1760.4754098360656</v>
      </c>
      <c r="L7" s="3">
        <f>IFERROR(__xludf.DUMMYFUNCTION("""COMPUTED_VALUE"""),8385.0)</f>
        <v>8385</v>
      </c>
      <c r="M7" s="5">
        <v>137.45901639344262</v>
      </c>
      <c r="N7" s="5">
        <v>2.3473005464480874</v>
      </c>
    </row>
    <row r="8">
      <c r="A8" s="2"/>
      <c r="B8" s="3"/>
      <c r="C8" s="3"/>
      <c r="D8" s="3"/>
      <c r="E8" s="4"/>
      <c r="F8" s="3"/>
      <c r="G8" s="5"/>
      <c r="H8" s="3"/>
      <c r="I8" s="5"/>
      <c r="J8" s="3"/>
      <c r="K8" s="5"/>
      <c r="L8" s="3"/>
      <c r="M8" s="5"/>
      <c r="N8" s="5"/>
    </row>
    <row r="9">
      <c r="A9" s="2"/>
      <c r="B9" s="3"/>
      <c r="C9" s="3"/>
      <c r="D9" s="3"/>
      <c r="E9" s="4"/>
      <c r="F9" s="3"/>
      <c r="G9" s="5"/>
      <c r="H9" s="3"/>
      <c r="I9" s="5"/>
      <c r="J9" s="3"/>
      <c r="K9" s="5"/>
      <c r="L9" s="3"/>
      <c r="M9" s="5"/>
      <c r="N9" s="5"/>
    </row>
    <row r="10">
      <c r="A10" s="2"/>
      <c r="B10" s="3"/>
      <c r="C10" s="3"/>
      <c r="D10" s="3"/>
      <c r="E10" s="4"/>
      <c r="F10" s="3"/>
      <c r="G10" s="5"/>
      <c r="H10" s="3"/>
      <c r="I10" s="5"/>
      <c r="J10" s="3"/>
      <c r="K10" s="5"/>
      <c r="L10" s="3"/>
      <c r="M10" s="5"/>
      <c r="N10" s="5"/>
    </row>
    <row r="11">
      <c r="A11" s="2"/>
      <c r="B11" s="3"/>
      <c r="C11" s="3"/>
      <c r="D11" s="3"/>
      <c r="E11" s="4"/>
      <c r="F11" s="3"/>
      <c r="G11" s="5"/>
      <c r="H11" s="3"/>
      <c r="I11" s="5"/>
      <c r="J11" s="3"/>
      <c r="K11" s="5"/>
      <c r="L11" s="3"/>
      <c r="M11" s="5"/>
      <c r="N11" s="5"/>
    </row>
    <row r="12">
      <c r="A12" s="2"/>
      <c r="B12" s="3"/>
      <c r="C12" s="3"/>
      <c r="D12" s="3"/>
      <c r="E12" s="4"/>
      <c r="F12" s="3"/>
      <c r="G12" s="5"/>
      <c r="H12" s="3"/>
      <c r="I12" s="5"/>
      <c r="J12" s="3"/>
      <c r="K12" s="5"/>
      <c r="L12" s="3"/>
      <c r="M12" s="5"/>
      <c r="N12" s="5"/>
    </row>
    <row r="13">
      <c r="A13" s="2"/>
      <c r="B13" s="3"/>
      <c r="C13" s="3"/>
      <c r="D13" s="3"/>
      <c r="E13" s="4"/>
      <c r="F13" s="3"/>
      <c r="G13" s="5"/>
      <c r="H13" s="3"/>
      <c r="I13" s="5"/>
      <c r="J13" s="3"/>
      <c r="K13" s="5"/>
      <c r="L13" s="3"/>
      <c r="M13" s="5"/>
      <c r="N13" s="5"/>
    </row>
    <row r="14">
      <c r="A14" s="2"/>
      <c r="B14" s="3"/>
      <c r="C14" s="3"/>
      <c r="D14" s="3"/>
      <c r="E14" s="4"/>
      <c r="F14" s="3"/>
      <c r="G14" s="5"/>
      <c r="H14" s="3"/>
      <c r="I14" s="5"/>
      <c r="J14" s="3"/>
      <c r="K14" s="5"/>
      <c r="L14" s="3"/>
      <c r="M14" s="5"/>
      <c r="N14" s="5"/>
    </row>
    <row r="15">
      <c r="A15" s="2"/>
      <c r="B15" s="3"/>
      <c r="C15" s="3"/>
      <c r="D15" s="3"/>
      <c r="E15" s="4"/>
      <c r="F15" s="3"/>
      <c r="G15" s="5"/>
      <c r="H15" s="3"/>
      <c r="I15" s="5"/>
      <c r="J15" s="3"/>
      <c r="K15" s="5"/>
      <c r="L15" s="3"/>
      <c r="M15" s="5"/>
      <c r="N15" s="5"/>
    </row>
    <row r="16">
      <c r="A16" s="2"/>
      <c r="B16" s="3"/>
      <c r="C16" s="3"/>
      <c r="D16" s="3"/>
      <c r="E16" s="4"/>
      <c r="F16" s="3"/>
      <c r="G16" s="5"/>
      <c r="H16" s="3"/>
      <c r="I16" s="5"/>
      <c r="J16" s="3"/>
      <c r="K16" s="5"/>
      <c r="L16" s="3"/>
      <c r="M16" s="5"/>
      <c r="N16" s="5"/>
    </row>
    <row r="17">
      <c r="A17" s="2"/>
      <c r="B17" s="3"/>
      <c r="C17" s="3"/>
      <c r="D17" s="3"/>
      <c r="E17" s="4"/>
      <c r="F17" s="3"/>
      <c r="G17" s="5"/>
      <c r="H17" s="3"/>
      <c r="I17" s="5"/>
      <c r="J17" s="3"/>
      <c r="K17" s="5"/>
      <c r="L17" s="3"/>
      <c r="M17" s="5"/>
      <c r="N17" s="5"/>
    </row>
    <row r="18">
      <c r="A18" s="2"/>
      <c r="B18" s="3"/>
      <c r="C18" s="3"/>
      <c r="D18" s="3"/>
      <c r="E18" s="4"/>
      <c r="F18" s="3"/>
      <c r="G18" s="5"/>
      <c r="H18" s="3"/>
      <c r="I18" s="5"/>
      <c r="J18" s="3"/>
      <c r="K18" s="5"/>
      <c r="L18" s="3"/>
      <c r="M18" s="5"/>
      <c r="N18" s="5"/>
    </row>
    <row r="19">
      <c r="A19" s="2"/>
      <c r="B19" s="3"/>
      <c r="C19" s="3"/>
      <c r="D19" s="3"/>
      <c r="E19" s="4"/>
      <c r="F19" s="3"/>
      <c r="G19" s="5"/>
      <c r="H19" s="3"/>
      <c r="I19" s="5"/>
      <c r="J19" s="3"/>
      <c r="K19" s="5"/>
      <c r="L19" s="3"/>
      <c r="M19" s="5"/>
      <c r="N19" s="5"/>
    </row>
    <row r="20">
      <c r="A20" s="2"/>
      <c r="B20" s="3"/>
      <c r="C20" s="3"/>
      <c r="D20" s="3"/>
      <c r="E20" s="4"/>
      <c r="F20" s="3"/>
      <c r="G20" s="5"/>
      <c r="H20" s="3"/>
      <c r="I20" s="5"/>
      <c r="J20" s="3"/>
      <c r="K20" s="5"/>
      <c r="L20" s="3"/>
      <c r="M20" s="5"/>
      <c r="N20" s="5"/>
    </row>
    <row r="21">
      <c r="A21" s="2"/>
      <c r="B21" s="3"/>
      <c r="C21" s="3"/>
      <c r="D21" s="3"/>
      <c r="E21" s="4"/>
      <c r="F21" s="3"/>
      <c r="G21" s="5"/>
      <c r="H21" s="3"/>
      <c r="I21" s="5"/>
      <c r="J21" s="3"/>
      <c r="K21" s="5"/>
      <c r="L21" s="3"/>
      <c r="M21" s="5"/>
      <c r="N21" s="5"/>
    </row>
    <row r="22">
      <c r="A22" s="2"/>
      <c r="B22" s="3"/>
      <c r="C22" s="3"/>
      <c r="D22" s="3"/>
      <c r="E22" s="4"/>
      <c r="F22" s="3"/>
      <c r="G22" s="5"/>
      <c r="H22" s="3"/>
      <c r="I22" s="5"/>
      <c r="J22" s="3"/>
      <c r="K22" s="5"/>
      <c r="L22" s="3"/>
      <c r="M22" s="5"/>
      <c r="N22" s="5"/>
    </row>
    <row r="23">
      <c r="A23" s="2"/>
      <c r="B23" s="3"/>
      <c r="C23" s="3"/>
      <c r="D23" s="3"/>
      <c r="E23" s="4"/>
      <c r="F23" s="3"/>
      <c r="G23" s="5"/>
      <c r="H23" s="3"/>
      <c r="I23" s="5"/>
      <c r="J23" s="3"/>
      <c r="K23" s="5"/>
      <c r="L23" s="3"/>
      <c r="M23" s="5"/>
      <c r="N23" s="5"/>
    </row>
    <row r="24">
      <c r="A24" s="2"/>
      <c r="B24" s="3"/>
      <c r="C24" s="3"/>
      <c r="D24" s="3"/>
      <c r="E24" s="4"/>
      <c r="F24" s="3"/>
      <c r="G24" s="5"/>
      <c r="H24" s="3"/>
      <c r="I24" s="5"/>
      <c r="J24" s="3"/>
      <c r="K24" s="5"/>
      <c r="L24" s="3"/>
      <c r="M24" s="5"/>
      <c r="N24" s="5"/>
    </row>
    <row r="25">
      <c r="A25" s="2"/>
      <c r="B25" s="3"/>
      <c r="C25" s="3"/>
      <c r="D25" s="3"/>
      <c r="E25" s="4"/>
      <c r="F25" s="3"/>
      <c r="G25" s="5"/>
      <c r="H25" s="3"/>
      <c r="I25" s="5"/>
      <c r="J25" s="3"/>
      <c r="K25" s="5"/>
      <c r="L25" s="3"/>
      <c r="M25" s="5"/>
      <c r="N25" s="5"/>
    </row>
    <row r="26">
      <c r="A26" s="2"/>
      <c r="B26" s="3"/>
      <c r="C26" s="3"/>
      <c r="D26" s="3"/>
      <c r="E26" s="4"/>
      <c r="F26" s="3"/>
      <c r="G26" s="5"/>
      <c r="H26" s="3"/>
      <c r="I26" s="5"/>
      <c r="J26" s="3"/>
      <c r="K26" s="5"/>
      <c r="L26" s="3"/>
      <c r="M26" s="5"/>
      <c r="N26" s="5"/>
    </row>
    <row r="27">
      <c r="A27" s="2"/>
      <c r="B27" s="3"/>
      <c r="C27" s="3"/>
      <c r="D27" s="3"/>
      <c r="E27" s="4"/>
      <c r="F27" s="3"/>
      <c r="G27" s="5"/>
      <c r="H27" s="3"/>
      <c r="I27" s="5"/>
      <c r="J27" s="3"/>
      <c r="K27" s="5"/>
      <c r="L27" s="3"/>
      <c r="M27" s="5"/>
      <c r="N27" s="5"/>
    </row>
    <row r="28">
      <c r="A28" s="2"/>
      <c r="B28" s="3"/>
      <c r="C28" s="3"/>
      <c r="D28" s="3"/>
      <c r="E28" s="4"/>
      <c r="F28" s="3"/>
      <c r="G28" s="5"/>
      <c r="H28" s="3"/>
      <c r="I28" s="5"/>
      <c r="J28" s="3"/>
      <c r="K28" s="5"/>
      <c r="L28" s="3"/>
      <c r="M28" s="5"/>
      <c r="N28" s="5"/>
    </row>
    <row r="29">
      <c r="A29" s="2"/>
      <c r="B29" s="3"/>
      <c r="C29" s="3"/>
      <c r="D29" s="3"/>
      <c r="E29" s="4"/>
      <c r="F29" s="3"/>
      <c r="G29" s="5"/>
      <c r="H29" s="3"/>
      <c r="I29" s="5"/>
      <c r="J29" s="3"/>
      <c r="K29" s="5"/>
      <c r="L29" s="3"/>
      <c r="M29" s="5"/>
      <c r="N29" s="5"/>
    </row>
    <row r="30">
      <c r="A30" s="2"/>
      <c r="B30" s="3"/>
      <c r="C30" s="3"/>
      <c r="D30" s="3"/>
      <c r="E30" s="4"/>
      <c r="F30" s="3"/>
      <c r="G30" s="5"/>
      <c r="H30" s="3"/>
      <c r="I30" s="5"/>
      <c r="J30" s="3"/>
      <c r="K30" s="5"/>
      <c r="L30" s="3"/>
      <c r="M30" s="5"/>
      <c r="N30" s="5"/>
    </row>
    <row r="31">
      <c r="A31" s="2"/>
      <c r="B31" s="3"/>
      <c r="C31" s="3"/>
      <c r="D31" s="3"/>
      <c r="E31" s="4"/>
      <c r="F31" s="3"/>
      <c r="G31" s="5"/>
      <c r="H31" s="3"/>
      <c r="I31" s="5"/>
      <c r="J31" s="3"/>
      <c r="K31" s="5"/>
      <c r="L31" s="3"/>
      <c r="M31" s="5"/>
      <c r="N31" s="5"/>
    </row>
    <row r="32">
      <c r="A32" s="2"/>
      <c r="B32" s="3"/>
      <c r="C32" s="3"/>
      <c r="D32" s="3"/>
      <c r="E32" s="4"/>
      <c r="F32" s="3"/>
      <c r="G32" s="5"/>
      <c r="H32" s="3"/>
      <c r="I32" s="5"/>
      <c r="J32" s="3"/>
      <c r="K32" s="5"/>
      <c r="L32" s="3"/>
      <c r="M32" s="5"/>
      <c r="N32" s="5"/>
    </row>
    <row r="33">
      <c r="A33" s="2"/>
      <c r="B33" s="3"/>
      <c r="C33" s="3"/>
      <c r="D33" s="3"/>
      <c r="E33" s="4"/>
      <c r="F33" s="3"/>
      <c r="G33" s="5"/>
      <c r="H33" s="3"/>
      <c r="I33" s="5"/>
      <c r="J33" s="3"/>
      <c r="K33" s="5"/>
      <c r="L33" s="3"/>
      <c r="M33" s="5"/>
      <c r="N33" s="5"/>
    </row>
    <row r="34">
      <c r="A34" s="2"/>
      <c r="B34" s="3"/>
      <c r="C34" s="3"/>
      <c r="D34" s="3"/>
      <c r="E34" s="4"/>
      <c r="F34" s="3"/>
      <c r="G34" s="5"/>
      <c r="H34" s="3"/>
      <c r="I34" s="5"/>
      <c r="J34" s="3"/>
      <c r="K34" s="5"/>
      <c r="L34" s="3"/>
      <c r="M34" s="5"/>
      <c r="N34" s="5"/>
    </row>
    <row r="35">
      <c r="A35" s="2"/>
      <c r="B35" s="3"/>
      <c r="C35" s="3"/>
      <c r="D35" s="3"/>
      <c r="E35" s="4"/>
      <c r="F35" s="3"/>
      <c r="G35" s="5"/>
      <c r="H35" s="3"/>
      <c r="I35" s="5"/>
      <c r="J35" s="3"/>
      <c r="K35" s="5"/>
      <c r="L35" s="3"/>
      <c r="M35" s="5"/>
      <c r="N35" s="5"/>
    </row>
    <row r="36">
      <c r="A36" s="2"/>
      <c r="B36" s="3"/>
      <c r="C36" s="3"/>
      <c r="D36" s="3"/>
      <c r="E36" s="4"/>
      <c r="F36" s="3"/>
      <c r="G36" s="5"/>
      <c r="H36" s="3"/>
      <c r="I36" s="5"/>
      <c r="J36" s="3"/>
      <c r="K36" s="5"/>
      <c r="L36" s="3"/>
      <c r="M36" s="5"/>
      <c r="N36" s="5"/>
    </row>
    <row r="37">
      <c r="A37" s="2"/>
      <c r="B37" s="3"/>
      <c r="C37" s="3"/>
      <c r="D37" s="3"/>
      <c r="E37" s="4"/>
      <c r="F37" s="3"/>
      <c r="G37" s="5"/>
      <c r="H37" s="3"/>
      <c r="I37" s="5"/>
      <c r="J37" s="3"/>
      <c r="K37" s="5"/>
      <c r="L37" s="3"/>
      <c r="M37" s="5"/>
      <c r="N37" s="5"/>
    </row>
    <row r="38">
      <c r="A38" s="2"/>
      <c r="B38" s="3"/>
      <c r="C38" s="3"/>
      <c r="D38" s="3"/>
      <c r="E38" s="4"/>
      <c r="F38" s="3"/>
      <c r="G38" s="5"/>
      <c r="H38" s="3"/>
      <c r="I38" s="5"/>
      <c r="J38" s="3"/>
      <c r="K38" s="5"/>
      <c r="L38" s="3"/>
      <c r="M38" s="5"/>
      <c r="N38" s="5"/>
    </row>
    <row r="39">
      <c r="A39" s="2"/>
      <c r="B39" s="3"/>
      <c r="C39" s="3"/>
      <c r="D39" s="3"/>
      <c r="E39" s="4"/>
      <c r="F39" s="3"/>
      <c r="G39" s="5"/>
      <c r="H39" s="3"/>
      <c r="I39" s="5"/>
      <c r="J39" s="3"/>
      <c r="K39" s="5"/>
      <c r="L39" s="3"/>
      <c r="M39" s="5"/>
      <c r="N39" s="5"/>
    </row>
    <row r="40">
      <c r="A40" s="2"/>
      <c r="B40" s="3"/>
      <c r="C40" s="3"/>
      <c r="D40" s="3"/>
      <c r="E40" s="4"/>
      <c r="F40" s="3"/>
      <c r="G40" s="5"/>
      <c r="H40" s="3"/>
      <c r="I40" s="5"/>
      <c r="J40" s="3"/>
      <c r="K40" s="5"/>
      <c r="L40" s="3"/>
      <c r="M40" s="5"/>
      <c r="N40" s="5"/>
    </row>
    <row r="41">
      <c r="A41" s="2"/>
      <c r="B41" s="3"/>
      <c r="C41" s="3"/>
      <c r="D41" s="3"/>
      <c r="E41" s="4"/>
      <c r="F41" s="3"/>
      <c r="G41" s="5"/>
      <c r="H41" s="3"/>
      <c r="I41" s="5"/>
      <c r="J41" s="3"/>
      <c r="K41" s="5"/>
      <c r="L41" s="3"/>
      <c r="M41" s="5"/>
      <c r="N41" s="5"/>
    </row>
    <row r="42">
      <c r="A42" s="2"/>
      <c r="B42" s="3"/>
      <c r="C42" s="3"/>
      <c r="D42" s="3"/>
      <c r="E42" s="4"/>
      <c r="F42" s="3"/>
      <c r="G42" s="5"/>
      <c r="H42" s="3"/>
      <c r="I42" s="5"/>
      <c r="J42" s="3"/>
      <c r="K42" s="5"/>
      <c r="L42" s="3"/>
      <c r="M42" s="5"/>
      <c r="N42" s="5"/>
    </row>
    <row r="43">
      <c r="A43" s="2"/>
      <c r="B43" s="3"/>
      <c r="C43" s="3"/>
      <c r="D43" s="3"/>
      <c r="E43" s="4"/>
      <c r="F43" s="3"/>
      <c r="G43" s="5"/>
      <c r="H43" s="3"/>
      <c r="I43" s="5"/>
      <c r="J43" s="3"/>
      <c r="K43" s="5"/>
      <c r="L43" s="3"/>
      <c r="M43" s="5"/>
      <c r="N43" s="5"/>
    </row>
    <row r="44">
      <c r="A44" s="2"/>
      <c r="B44" s="3"/>
      <c r="C44" s="3"/>
      <c r="D44" s="3"/>
      <c r="E44" s="4"/>
      <c r="F44" s="3"/>
      <c r="G44" s="5"/>
      <c r="H44" s="3"/>
      <c r="I44" s="5"/>
      <c r="J44" s="3"/>
      <c r="K44" s="5"/>
      <c r="L44" s="3"/>
      <c r="M44" s="5"/>
      <c r="N44" s="5"/>
    </row>
    <row r="45">
      <c r="A45" s="2"/>
      <c r="B45" s="3"/>
      <c r="C45" s="3"/>
      <c r="D45" s="3"/>
      <c r="E45" s="4"/>
      <c r="F45" s="3"/>
      <c r="G45" s="5"/>
      <c r="H45" s="3"/>
      <c r="I45" s="5"/>
      <c r="J45" s="3"/>
      <c r="K45" s="5"/>
      <c r="L45" s="3"/>
      <c r="M45" s="5"/>
      <c r="N45" s="5"/>
    </row>
    <row r="46">
      <c r="A46" s="2"/>
      <c r="B46" s="3"/>
      <c r="C46" s="3"/>
      <c r="D46" s="3"/>
      <c r="E46" s="4"/>
      <c r="F46" s="3"/>
      <c r="G46" s="5"/>
      <c r="H46" s="3"/>
      <c r="I46" s="5"/>
      <c r="J46" s="3"/>
      <c r="K46" s="5"/>
      <c r="L46" s="3"/>
      <c r="M46" s="5"/>
      <c r="N46" s="5"/>
    </row>
    <row r="47">
      <c r="A47" s="2"/>
      <c r="B47" s="3"/>
      <c r="C47" s="3"/>
      <c r="D47" s="3"/>
      <c r="E47" s="4"/>
      <c r="F47" s="3"/>
      <c r="G47" s="5"/>
      <c r="H47" s="3"/>
      <c r="I47" s="5"/>
      <c r="J47" s="3"/>
      <c r="K47" s="5"/>
      <c r="L47" s="3"/>
      <c r="M47" s="5"/>
      <c r="N47" s="5"/>
    </row>
    <row r="48">
      <c r="A48" s="2"/>
      <c r="B48" s="3"/>
      <c r="C48" s="3"/>
      <c r="D48" s="3"/>
      <c r="E48" s="4"/>
      <c r="F48" s="3"/>
      <c r="G48" s="5"/>
      <c r="H48" s="3"/>
      <c r="I48" s="5"/>
      <c r="J48" s="3"/>
      <c r="K48" s="5"/>
      <c r="L48" s="3"/>
      <c r="M48" s="5"/>
      <c r="N48" s="5"/>
    </row>
    <row r="49">
      <c r="A49" s="2"/>
      <c r="B49" s="3"/>
      <c r="C49" s="3"/>
      <c r="D49" s="3"/>
      <c r="E49" s="4"/>
      <c r="F49" s="3"/>
      <c r="G49" s="5"/>
      <c r="H49" s="3"/>
      <c r="I49" s="5"/>
      <c r="J49" s="3"/>
      <c r="K49" s="5"/>
      <c r="L49" s="3"/>
      <c r="M49" s="5"/>
      <c r="N49" s="5"/>
    </row>
    <row r="50">
      <c r="A50" s="2"/>
      <c r="B50" s="3"/>
      <c r="C50" s="3"/>
      <c r="D50" s="3"/>
      <c r="E50" s="4"/>
      <c r="F50" s="3"/>
      <c r="G50" s="5"/>
      <c r="H50" s="3"/>
      <c r="I50" s="5"/>
      <c r="J50" s="3"/>
      <c r="K50" s="5"/>
      <c r="L50" s="3"/>
      <c r="M50" s="5"/>
      <c r="N50" s="5"/>
    </row>
    <row r="51">
      <c r="A51" s="2"/>
      <c r="B51" s="3"/>
      <c r="C51" s="3"/>
      <c r="D51" s="3"/>
      <c r="E51" s="4"/>
      <c r="F51" s="3"/>
      <c r="G51" s="5"/>
      <c r="H51" s="3"/>
      <c r="I51" s="5"/>
      <c r="J51" s="3"/>
      <c r="K51" s="5"/>
      <c r="L51" s="3"/>
      <c r="M51" s="5"/>
      <c r="N51" s="5"/>
    </row>
    <row r="52">
      <c r="A52" s="2"/>
      <c r="B52" s="3"/>
      <c r="C52" s="3"/>
      <c r="D52" s="3"/>
      <c r="E52" s="4"/>
      <c r="F52" s="3"/>
      <c r="G52" s="5"/>
      <c r="H52" s="3"/>
      <c r="I52" s="5"/>
      <c r="J52" s="3"/>
      <c r="K52" s="5"/>
      <c r="L52" s="3"/>
      <c r="M52" s="5"/>
      <c r="N52" s="5"/>
    </row>
    <row r="53">
      <c r="A53" s="2"/>
      <c r="B53" s="3"/>
      <c r="C53" s="3"/>
      <c r="D53" s="3"/>
      <c r="E53" s="4"/>
      <c r="F53" s="3"/>
      <c r="G53" s="5"/>
      <c r="H53" s="3"/>
      <c r="I53" s="5"/>
      <c r="J53" s="3"/>
      <c r="K53" s="5"/>
      <c r="L53" s="3"/>
      <c r="M53" s="5"/>
      <c r="N53" s="5"/>
    </row>
    <row r="54">
      <c r="A54" s="2"/>
      <c r="B54" s="3"/>
      <c r="C54" s="3"/>
      <c r="D54" s="3"/>
      <c r="E54" s="4"/>
      <c r="F54" s="3"/>
      <c r="G54" s="5"/>
      <c r="H54" s="3"/>
      <c r="I54" s="5"/>
      <c r="J54" s="3"/>
      <c r="K54" s="5"/>
      <c r="L54" s="3"/>
      <c r="M54" s="5"/>
      <c r="N54" s="5"/>
    </row>
    <row r="55">
      <c r="A55" s="2"/>
      <c r="B55" s="3"/>
      <c r="C55" s="3"/>
      <c r="D55" s="3"/>
      <c r="E55" s="4"/>
      <c r="F55" s="3"/>
      <c r="G55" s="5"/>
      <c r="H55" s="3"/>
      <c r="I55" s="5"/>
      <c r="J55" s="3"/>
      <c r="K55" s="5"/>
      <c r="L55" s="3"/>
      <c r="M55" s="5"/>
      <c r="N55" s="5"/>
    </row>
    <row r="56">
      <c r="A56" s="2"/>
      <c r="B56" s="3"/>
      <c r="C56" s="3"/>
      <c r="D56" s="3"/>
      <c r="E56" s="4"/>
      <c r="F56" s="3"/>
      <c r="G56" s="5"/>
      <c r="H56" s="3"/>
      <c r="I56" s="5"/>
      <c r="J56" s="3"/>
      <c r="K56" s="5"/>
      <c r="L56" s="3"/>
      <c r="M56" s="5"/>
      <c r="N56" s="5"/>
    </row>
    <row r="57">
      <c r="A57" s="2"/>
      <c r="B57" s="3"/>
      <c r="C57" s="3"/>
      <c r="D57" s="3"/>
      <c r="E57" s="4"/>
      <c r="F57" s="3"/>
      <c r="G57" s="5"/>
      <c r="H57" s="3"/>
      <c r="I57" s="5"/>
      <c r="J57" s="3"/>
      <c r="K57" s="5"/>
      <c r="L57" s="3"/>
      <c r="M57" s="5"/>
      <c r="N57" s="5"/>
    </row>
    <row r="58">
      <c r="A58" s="2"/>
      <c r="B58" s="3"/>
      <c r="C58" s="3"/>
      <c r="D58" s="3"/>
      <c r="E58" s="4"/>
      <c r="F58" s="3"/>
      <c r="G58" s="5"/>
      <c r="H58" s="3"/>
      <c r="I58" s="5"/>
      <c r="J58" s="3"/>
      <c r="K58" s="5"/>
      <c r="L58" s="3"/>
      <c r="M58" s="5"/>
      <c r="N58" s="5"/>
    </row>
    <row r="59">
      <c r="A59" s="2"/>
      <c r="B59" s="3"/>
      <c r="C59" s="3"/>
      <c r="D59" s="3"/>
      <c r="E59" s="4"/>
      <c r="F59" s="3"/>
      <c r="G59" s="5"/>
      <c r="H59" s="3"/>
      <c r="I59" s="5"/>
      <c r="J59" s="3"/>
      <c r="K59" s="5"/>
      <c r="L59" s="3"/>
      <c r="M59" s="5"/>
      <c r="N59" s="5"/>
    </row>
    <row r="60">
      <c r="A60" s="2"/>
      <c r="B60" s="3"/>
      <c r="C60" s="3"/>
      <c r="D60" s="3"/>
      <c r="E60" s="4"/>
      <c r="F60" s="3"/>
      <c r="G60" s="5"/>
      <c r="H60" s="3"/>
      <c r="I60" s="5"/>
      <c r="J60" s="3"/>
      <c r="K60" s="5"/>
      <c r="L60" s="3"/>
      <c r="M60" s="5"/>
      <c r="N60" s="5"/>
    </row>
    <row r="61">
      <c r="A61" s="2"/>
      <c r="B61" s="3"/>
      <c r="C61" s="3"/>
      <c r="D61" s="3"/>
      <c r="E61" s="4"/>
      <c r="F61" s="3"/>
      <c r="G61" s="5"/>
      <c r="H61" s="3"/>
      <c r="I61" s="5"/>
      <c r="J61" s="3"/>
      <c r="K61" s="5"/>
      <c r="L61" s="3"/>
      <c r="M61" s="5"/>
      <c r="N61" s="5"/>
    </row>
    <row r="62">
      <c r="A62" s="2"/>
      <c r="B62" s="3"/>
      <c r="C62" s="3"/>
      <c r="D62" s="3"/>
      <c r="E62" s="4"/>
      <c r="F62" s="3"/>
      <c r="G62" s="5"/>
      <c r="H62" s="3"/>
      <c r="I62" s="5"/>
      <c r="J62" s="3"/>
      <c r="K62" s="5"/>
      <c r="L62" s="3"/>
      <c r="M62" s="5"/>
      <c r="N62" s="5"/>
    </row>
    <row r="63">
      <c r="A63" s="2"/>
      <c r="B63" s="3"/>
      <c r="C63" s="3"/>
      <c r="D63" s="3"/>
      <c r="E63" s="4"/>
      <c r="F63" s="3"/>
      <c r="G63" s="5"/>
      <c r="H63" s="3"/>
      <c r="I63" s="5"/>
      <c r="J63" s="3"/>
      <c r="K63" s="5"/>
      <c r="L63" s="3"/>
      <c r="M63" s="5"/>
      <c r="N63" s="5"/>
    </row>
    <row r="64">
      <c r="A64" s="2"/>
      <c r="B64" s="3"/>
      <c r="C64" s="3"/>
      <c r="D64" s="3"/>
      <c r="E64" s="4"/>
      <c r="F64" s="3"/>
      <c r="G64" s="5"/>
      <c r="H64" s="3"/>
      <c r="I64" s="5"/>
      <c r="J64" s="3"/>
      <c r="K64" s="5"/>
      <c r="L64" s="3"/>
      <c r="M64" s="5"/>
      <c r="N64" s="5"/>
    </row>
    <row r="65">
      <c r="A65" s="2"/>
      <c r="B65" s="3"/>
      <c r="C65" s="3"/>
      <c r="D65" s="3"/>
      <c r="E65" s="4"/>
      <c r="F65" s="3"/>
      <c r="G65" s="5"/>
      <c r="H65" s="3"/>
      <c r="I65" s="5"/>
      <c r="J65" s="3"/>
      <c r="K65" s="5"/>
      <c r="L65" s="3"/>
      <c r="M65" s="5"/>
      <c r="N65" s="5"/>
    </row>
    <row r="66">
      <c r="A66" s="2"/>
      <c r="B66" s="3"/>
      <c r="C66" s="3"/>
      <c r="D66" s="3"/>
      <c r="E66" s="4"/>
      <c r="F66" s="3"/>
      <c r="G66" s="5"/>
      <c r="H66" s="3"/>
      <c r="I66" s="5"/>
      <c r="J66" s="3"/>
      <c r="K66" s="5"/>
      <c r="L66" s="3"/>
      <c r="M66" s="5"/>
      <c r="N66" s="5"/>
    </row>
    <row r="67">
      <c r="A67" s="2"/>
      <c r="B67" s="3"/>
      <c r="C67" s="3"/>
      <c r="D67" s="3"/>
      <c r="E67" s="4"/>
      <c r="F67" s="3"/>
      <c r="G67" s="5"/>
      <c r="H67" s="3"/>
      <c r="I67" s="5"/>
      <c r="J67" s="3"/>
      <c r="K67" s="5"/>
      <c r="L67" s="3"/>
      <c r="M67" s="5"/>
      <c r="N67" s="5"/>
    </row>
    <row r="68">
      <c r="A68" s="2"/>
      <c r="B68" s="3"/>
      <c r="C68" s="3"/>
      <c r="D68" s="3"/>
      <c r="E68" s="4"/>
      <c r="F68" s="3"/>
      <c r="G68" s="5"/>
      <c r="H68" s="3"/>
      <c r="I68" s="5"/>
      <c r="J68" s="3"/>
      <c r="K68" s="5"/>
      <c r="L68" s="3"/>
      <c r="M68" s="5"/>
      <c r="N68" s="5"/>
    </row>
    <row r="69">
      <c r="A69" s="2"/>
      <c r="B69" s="3"/>
      <c r="C69" s="3"/>
      <c r="D69" s="3"/>
      <c r="E69" s="4"/>
      <c r="F69" s="3"/>
      <c r="G69" s="5"/>
      <c r="H69" s="3"/>
      <c r="I69" s="5"/>
      <c r="J69" s="3"/>
      <c r="K69" s="5"/>
      <c r="L69" s="3"/>
      <c r="M69" s="5"/>
      <c r="N69" s="5"/>
    </row>
    <row r="70">
      <c r="A70" s="2"/>
      <c r="B70" s="3"/>
      <c r="C70" s="3"/>
      <c r="D70" s="3"/>
      <c r="E70" s="4"/>
      <c r="F70" s="3"/>
      <c r="G70" s="5"/>
      <c r="H70" s="3"/>
      <c r="I70" s="5"/>
      <c r="J70" s="3"/>
      <c r="K70" s="5"/>
      <c r="L70" s="3"/>
      <c r="M70" s="5"/>
      <c r="N70" s="5"/>
    </row>
    <row r="71">
      <c r="A71" s="2"/>
      <c r="B71" s="3"/>
      <c r="C71" s="3"/>
      <c r="D71" s="3"/>
      <c r="E71" s="4"/>
      <c r="F71" s="3"/>
      <c r="G71" s="5"/>
      <c r="H71" s="3"/>
      <c r="I71" s="5"/>
      <c r="J71" s="3"/>
      <c r="K71" s="5"/>
      <c r="L71" s="3"/>
      <c r="M71" s="5"/>
      <c r="N71" s="5"/>
    </row>
    <row r="72">
      <c r="A72" s="2"/>
      <c r="B72" s="3"/>
      <c r="C72" s="3"/>
      <c r="D72" s="3"/>
      <c r="E72" s="4"/>
      <c r="F72" s="3"/>
      <c r="G72" s="5"/>
      <c r="H72" s="3"/>
      <c r="I72" s="5"/>
      <c r="J72" s="3"/>
      <c r="K72" s="5"/>
      <c r="L72" s="3"/>
      <c r="M72" s="5"/>
      <c r="N72" s="5"/>
    </row>
    <row r="73">
      <c r="A73" s="2"/>
      <c r="B73" s="3"/>
      <c r="C73" s="3"/>
      <c r="D73" s="3"/>
      <c r="E73" s="4"/>
      <c r="F73" s="3"/>
      <c r="G73" s="5"/>
      <c r="H73" s="3"/>
      <c r="I73" s="5"/>
      <c r="J73" s="3"/>
      <c r="K73" s="5"/>
      <c r="L73" s="3"/>
      <c r="M73" s="5"/>
      <c r="N73" s="5"/>
    </row>
    <row r="74">
      <c r="A74" s="2"/>
      <c r="B74" s="3"/>
      <c r="C74" s="3"/>
      <c r="D74" s="3"/>
      <c r="E74" s="4"/>
      <c r="F74" s="3"/>
      <c r="G74" s="5"/>
      <c r="H74" s="3"/>
      <c r="I74" s="5"/>
      <c r="J74" s="3"/>
      <c r="K74" s="5"/>
      <c r="L74" s="3"/>
      <c r="M74" s="5"/>
      <c r="N74" s="5"/>
    </row>
    <row r="75">
      <c r="A75" s="2"/>
      <c r="B75" s="3"/>
      <c r="C75" s="3"/>
      <c r="D75" s="3"/>
      <c r="E75" s="4"/>
      <c r="F75" s="3"/>
      <c r="G75" s="5"/>
      <c r="H75" s="3"/>
      <c r="I75" s="5"/>
      <c r="J75" s="3"/>
      <c r="K75" s="5"/>
      <c r="L75" s="3"/>
      <c r="M75" s="5"/>
      <c r="N75" s="5"/>
    </row>
    <row r="76">
      <c r="A76" s="2"/>
      <c r="B76" s="3"/>
      <c r="C76" s="3"/>
      <c r="D76" s="3"/>
      <c r="E76" s="4"/>
      <c r="F76" s="3"/>
      <c r="G76" s="5"/>
      <c r="H76" s="3"/>
      <c r="I76" s="5"/>
      <c r="J76" s="3"/>
      <c r="K76" s="5"/>
      <c r="L76" s="3"/>
      <c r="M76" s="5"/>
      <c r="N76" s="5"/>
    </row>
    <row r="77">
      <c r="A77" s="2"/>
      <c r="B77" s="3"/>
      <c r="C77" s="3"/>
      <c r="D77" s="3"/>
      <c r="E77" s="4"/>
      <c r="F77" s="3"/>
      <c r="G77" s="5"/>
      <c r="H77" s="3"/>
      <c r="I77" s="5"/>
      <c r="J77" s="3"/>
      <c r="K77" s="5"/>
      <c r="L77" s="3"/>
      <c r="M77" s="5"/>
      <c r="N77" s="5"/>
    </row>
    <row r="78">
      <c r="A78" s="2"/>
      <c r="B78" s="3"/>
      <c r="C78" s="3"/>
      <c r="D78" s="3"/>
      <c r="E78" s="4"/>
      <c r="F78" s="3"/>
      <c r="G78" s="5"/>
      <c r="H78" s="3"/>
      <c r="I78" s="5"/>
      <c r="J78" s="3"/>
      <c r="K78" s="5"/>
      <c r="L78" s="3"/>
      <c r="M78" s="5"/>
      <c r="N78" s="5"/>
    </row>
    <row r="79">
      <c r="A79" s="2"/>
      <c r="B79" s="3"/>
      <c r="C79" s="3"/>
      <c r="D79" s="3"/>
      <c r="E79" s="4"/>
      <c r="F79" s="3"/>
      <c r="G79" s="5"/>
      <c r="H79" s="3"/>
      <c r="I79" s="5"/>
      <c r="J79" s="3"/>
      <c r="K79" s="5"/>
      <c r="L79" s="3"/>
      <c r="M79" s="5"/>
      <c r="N79" s="5"/>
    </row>
    <row r="80">
      <c r="A80" s="2"/>
      <c r="B80" s="3"/>
      <c r="C80" s="3"/>
      <c r="D80" s="3"/>
      <c r="E80" s="4"/>
      <c r="F80" s="3"/>
      <c r="G80" s="5"/>
      <c r="H80" s="3"/>
      <c r="I80" s="5"/>
      <c r="J80" s="3"/>
      <c r="K80" s="5"/>
      <c r="L80" s="3"/>
      <c r="M80" s="5"/>
      <c r="N80" s="5"/>
    </row>
    <row r="81">
      <c r="A81" s="2"/>
      <c r="B81" s="3"/>
      <c r="C81" s="3"/>
      <c r="D81" s="3"/>
      <c r="E81" s="4"/>
      <c r="F81" s="3"/>
      <c r="G81" s="5"/>
      <c r="H81" s="3"/>
      <c r="I81" s="5"/>
      <c r="J81" s="3"/>
      <c r="K81" s="5"/>
      <c r="L81" s="3"/>
      <c r="M81" s="5"/>
      <c r="N81" s="5"/>
    </row>
    <row r="82">
      <c r="A82" s="2"/>
      <c r="B82" s="3"/>
      <c r="C82" s="3"/>
      <c r="D82" s="3"/>
      <c r="E82" s="4"/>
      <c r="F82" s="3"/>
      <c r="G82" s="5"/>
      <c r="H82" s="3"/>
      <c r="I82" s="5"/>
      <c r="J82" s="3"/>
      <c r="K82" s="5"/>
      <c r="L82" s="3"/>
      <c r="M82" s="5"/>
      <c r="N82" s="5"/>
    </row>
    <row r="83">
      <c r="A83" s="2"/>
      <c r="B83" s="3"/>
      <c r="C83" s="3"/>
      <c r="D83" s="3"/>
      <c r="E83" s="4"/>
      <c r="F83" s="3"/>
      <c r="G83" s="5"/>
      <c r="H83" s="3"/>
      <c r="I83" s="5"/>
      <c r="J83" s="3"/>
      <c r="K83" s="5"/>
      <c r="L83" s="3"/>
      <c r="M83" s="5"/>
      <c r="N83" s="5"/>
    </row>
    <row r="84">
      <c r="A84" s="2"/>
      <c r="B84" s="3"/>
      <c r="C84" s="3"/>
      <c r="D84" s="3"/>
      <c r="E84" s="4"/>
      <c r="F84" s="3"/>
      <c r="G84" s="5"/>
      <c r="H84" s="3"/>
      <c r="I84" s="5"/>
      <c r="J84" s="3"/>
      <c r="K84" s="5"/>
      <c r="L84" s="3"/>
      <c r="M84" s="5"/>
      <c r="N84" s="5"/>
    </row>
    <row r="85">
      <c r="A85" s="2"/>
      <c r="B85" s="3"/>
      <c r="C85" s="3"/>
      <c r="D85" s="3"/>
      <c r="E85" s="4"/>
      <c r="F85" s="3"/>
      <c r="G85" s="5"/>
      <c r="H85" s="3"/>
      <c r="I85" s="5"/>
      <c r="J85" s="3"/>
      <c r="K85" s="5"/>
      <c r="L85" s="3"/>
      <c r="M85" s="5"/>
      <c r="N85" s="5"/>
    </row>
    <row r="86">
      <c r="A86" s="2"/>
      <c r="B86" s="3"/>
      <c r="C86" s="3"/>
      <c r="D86" s="3"/>
      <c r="E86" s="4"/>
      <c r="F86" s="3"/>
      <c r="G86" s="5"/>
      <c r="H86" s="3"/>
      <c r="I86" s="5"/>
      <c r="J86" s="3"/>
      <c r="K86" s="5"/>
      <c r="L86" s="3"/>
      <c r="M86" s="5"/>
      <c r="N86" s="5"/>
    </row>
    <row r="87">
      <c r="A87" s="2"/>
      <c r="B87" s="3"/>
      <c r="C87" s="3"/>
      <c r="D87" s="3"/>
      <c r="E87" s="4"/>
      <c r="F87" s="3"/>
      <c r="G87" s="5"/>
      <c r="H87" s="3"/>
      <c r="I87" s="5"/>
      <c r="J87" s="3"/>
      <c r="K87" s="5"/>
      <c r="L87" s="3"/>
      <c r="M87" s="5"/>
      <c r="N87" s="5"/>
    </row>
    <row r="88">
      <c r="A88" s="2"/>
      <c r="B88" s="3"/>
      <c r="C88" s="3"/>
      <c r="D88" s="3"/>
      <c r="E88" s="4"/>
      <c r="F88" s="3"/>
      <c r="G88" s="5"/>
      <c r="H88" s="3"/>
      <c r="I88" s="5"/>
      <c r="J88" s="3"/>
      <c r="K88" s="5"/>
      <c r="L88" s="3"/>
      <c r="M88" s="5"/>
      <c r="N88" s="5"/>
    </row>
    <row r="89">
      <c r="A89" s="2"/>
      <c r="B89" s="3"/>
      <c r="C89" s="3"/>
      <c r="D89" s="3"/>
      <c r="E89" s="4"/>
      <c r="F89" s="3"/>
      <c r="G89" s="5"/>
      <c r="H89" s="3"/>
      <c r="I89" s="5"/>
      <c r="J89" s="3"/>
      <c r="K89" s="5"/>
      <c r="L89" s="3"/>
      <c r="M89" s="5"/>
      <c r="N89" s="5"/>
    </row>
    <row r="90">
      <c r="A90" s="2"/>
      <c r="B90" s="3"/>
      <c r="C90" s="3"/>
      <c r="D90" s="3"/>
      <c r="E90" s="4"/>
      <c r="F90" s="3"/>
      <c r="G90" s="5"/>
      <c r="H90" s="3"/>
      <c r="I90" s="5"/>
      <c r="J90" s="3"/>
      <c r="K90" s="5"/>
      <c r="L90" s="3"/>
      <c r="M90" s="5"/>
      <c r="N90" s="5"/>
    </row>
    <row r="91">
      <c r="A91" s="2"/>
      <c r="B91" s="3"/>
      <c r="C91" s="3"/>
      <c r="D91" s="3"/>
      <c r="E91" s="4"/>
      <c r="F91" s="3"/>
      <c r="G91" s="5"/>
      <c r="H91" s="3"/>
      <c r="I91" s="5"/>
      <c r="J91" s="3"/>
      <c r="K91" s="5"/>
      <c r="L91" s="3"/>
      <c r="M91" s="5"/>
      <c r="N91" s="5"/>
    </row>
    <row r="92">
      <c r="A92" s="2"/>
      <c r="B92" s="3"/>
      <c r="C92" s="3"/>
      <c r="D92" s="3"/>
      <c r="E92" s="4"/>
      <c r="F92" s="3"/>
      <c r="G92" s="5"/>
      <c r="H92" s="3"/>
      <c r="I92" s="5"/>
      <c r="J92" s="3"/>
      <c r="K92" s="5"/>
      <c r="L92" s="3"/>
      <c r="M92" s="5"/>
      <c r="N92" s="5"/>
    </row>
    <row r="93">
      <c r="A93" s="2"/>
      <c r="B93" s="3"/>
      <c r="C93" s="3"/>
      <c r="D93" s="3"/>
      <c r="E93" s="4"/>
      <c r="F93" s="3"/>
      <c r="G93" s="5"/>
      <c r="H93" s="3"/>
      <c r="I93" s="5"/>
      <c r="J93" s="3"/>
      <c r="K93" s="5"/>
      <c r="L93" s="3"/>
      <c r="M93" s="5"/>
      <c r="N93" s="5"/>
    </row>
    <row r="94">
      <c r="A94" s="2"/>
      <c r="B94" s="3"/>
      <c r="C94" s="3"/>
      <c r="D94" s="3"/>
      <c r="E94" s="4"/>
      <c r="F94" s="3"/>
      <c r="G94" s="5"/>
      <c r="H94" s="3"/>
      <c r="I94" s="5"/>
      <c r="J94" s="3"/>
      <c r="K94" s="5"/>
      <c r="L94" s="3"/>
      <c r="M94" s="5"/>
      <c r="N94" s="5"/>
    </row>
    <row r="95">
      <c r="A95" s="2"/>
      <c r="B95" s="3"/>
      <c r="C95" s="3"/>
      <c r="D95" s="3"/>
      <c r="E95" s="4"/>
      <c r="F95" s="3"/>
      <c r="G95" s="5"/>
      <c r="H95" s="3"/>
      <c r="I95" s="5"/>
      <c r="J95" s="3"/>
      <c r="K95" s="5"/>
      <c r="L95" s="3"/>
      <c r="M95" s="5"/>
      <c r="N95" s="5"/>
    </row>
    <row r="96">
      <c r="A96" s="2"/>
      <c r="B96" s="3"/>
      <c r="C96" s="3"/>
      <c r="D96" s="3"/>
      <c r="E96" s="4"/>
      <c r="F96" s="3"/>
      <c r="G96" s="5"/>
      <c r="H96" s="3"/>
      <c r="I96" s="5"/>
      <c r="J96" s="3"/>
      <c r="K96" s="5"/>
      <c r="L96" s="3"/>
      <c r="M96" s="5"/>
      <c r="N96" s="5"/>
    </row>
    <row r="97">
      <c r="A97" s="2"/>
      <c r="B97" s="3"/>
      <c r="C97" s="3"/>
      <c r="D97" s="3"/>
      <c r="E97" s="4"/>
      <c r="F97" s="3"/>
      <c r="G97" s="5"/>
      <c r="H97" s="3"/>
      <c r="I97" s="5"/>
      <c r="J97" s="3"/>
      <c r="K97" s="5"/>
      <c r="L97" s="3"/>
      <c r="M97" s="5"/>
      <c r="N97" s="5"/>
    </row>
    <row r="98">
      <c r="A98" s="2"/>
      <c r="B98" s="3"/>
      <c r="C98" s="3"/>
      <c r="D98" s="3"/>
      <c r="E98" s="4"/>
      <c r="F98" s="3"/>
      <c r="G98" s="5"/>
      <c r="H98" s="3"/>
      <c r="I98" s="5"/>
      <c r="J98" s="3"/>
      <c r="K98" s="5"/>
      <c r="L98" s="3"/>
      <c r="M98" s="5"/>
      <c r="N98" s="5"/>
    </row>
    <row r="99">
      <c r="A99" s="2"/>
      <c r="B99" s="3"/>
      <c r="C99" s="3"/>
      <c r="D99" s="3"/>
      <c r="E99" s="4"/>
      <c r="F99" s="3"/>
      <c r="G99" s="5"/>
      <c r="H99" s="3"/>
      <c r="I99" s="5"/>
      <c r="J99" s="3"/>
      <c r="K99" s="5"/>
      <c r="L99" s="3"/>
      <c r="M99" s="5"/>
      <c r="N99" s="5"/>
    </row>
    <row r="100">
      <c r="A100" s="2"/>
      <c r="B100" s="3"/>
      <c r="C100" s="3"/>
      <c r="D100" s="3"/>
      <c r="E100" s="4"/>
      <c r="F100" s="3"/>
      <c r="G100" s="5"/>
      <c r="H100" s="3"/>
      <c r="I100" s="5"/>
      <c r="J100" s="3"/>
      <c r="K100" s="5"/>
      <c r="L100" s="3"/>
      <c r="M100" s="5"/>
      <c r="N100" s="5"/>
    </row>
    <row r="101">
      <c r="A101" s="2"/>
      <c r="B101" s="3"/>
      <c r="C101" s="3"/>
      <c r="D101" s="3"/>
      <c r="E101" s="4"/>
      <c r="F101" s="3"/>
      <c r="G101" s="5"/>
      <c r="H101" s="3"/>
      <c r="I101" s="5"/>
      <c r="J101" s="3"/>
      <c r="K101" s="5"/>
      <c r="L101" s="3"/>
      <c r="M101" s="5"/>
      <c r="N101" s="5"/>
    </row>
    <row r="102">
      <c r="A102" s="2"/>
      <c r="B102" s="3"/>
      <c r="C102" s="3"/>
      <c r="D102" s="3"/>
      <c r="E102" s="4"/>
      <c r="F102" s="3"/>
      <c r="G102" s="5"/>
      <c r="H102" s="3"/>
      <c r="I102" s="5"/>
      <c r="J102" s="3"/>
      <c r="K102" s="5"/>
      <c r="L102" s="3"/>
      <c r="M102" s="5"/>
      <c r="N102" s="5"/>
    </row>
    <row r="103">
      <c r="A103" s="2"/>
      <c r="B103" s="3"/>
      <c r="C103" s="3"/>
      <c r="D103" s="3"/>
      <c r="E103" s="4"/>
      <c r="F103" s="3"/>
      <c r="G103" s="5"/>
      <c r="H103" s="3"/>
      <c r="I103" s="5"/>
      <c r="J103" s="3"/>
      <c r="K103" s="5"/>
      <c r="L103" s="3"/>
      <c r="M103" s="5"/>
      <c r="N103" s="5"/>
    </row>
    <row r="104">
      <c r="A104" s="2"/>
      <c r="B104" s="3"/>
      <c r="C104" s="3"/>
      <c r="D104" s="3"/>
      <c r="E104" s="4"/>
      <c r="F104" s="3"/>
      <c r="G104" s="5"/>
      <c r="H104" s="3"/>
      <c r="I104" s="5"/>
      <c r="J104" s="3"/>
      <c r="K104" s="5"/>
      <c r="L104" s="3"/>
      <c r="M104" s="5"/>
      <c r="N104" s="5"/>
    </row>
    <row r="105">
      <c r="A105" s="2"/>
      <c r="B105" s="3"/>
      <c r="C105" s="3"/>
      <c r="D105" s="3"/>
      <c r="E105" s="4"/>
      <c r="F105" s="3"/>
      <c r="G105" s="5"/>
      <c r="H105" s="3"/>
      <c r="I105" s="5"/>
      <c r="J105" s="3"/>
      <c r="K105" s="5"/>
      <c r="L105" s="3"/>
      <c r="M105" s="5"/>
      <c r="N105" s="5"/>
    </row>
    <row r="106">
      <c r="A106" s="2"/>
      <c r="B106" s="3"/>
      <c r="C106" s="3"/>
      <c r="D106" s="3"/>
      <c r="E106" s="4"/>
      <c r="F106" s="3"/>
      <c r="G106" s="5"/>
      <c r="H106" s="3"/>
      <c r="I106" s="5"/>
      <c r="J106" s="3"/>
      <c r="K106" s="5"/>
      <c r="L106" s="3"/>
      <c r="M106" s="5"/>
      <c r="N106" s="5"/>
    </row>
    <row r="107">
      <c r="A107" s="2"/>
      <c r="B107" s="3"/>
      <c r="C107" s="3"/>
      <c r="D107" s="3"/>
      <c r="E107" s="4"/>
      <c r="F107" s="3"/>
      <c r="G107" s="5"/>
      <c r="H107" s="3"/>
      <c r="I107" s="5"/>
      <c r="J107" s="3"/>
      <c r="K107" s="5"/>
      <c r="L107" s="3"/>
      <c r="M107" s="5"/>
      <c r="N107" s="5"/>
    </row>
    <row r="108">
      <c r="A108" s="2"/>
      <c r="B108" s="3"/>
      <c r="C108" s="3"/>
      <c r="D108" s="3"/>
      <c r="E108" s="4"/>
      <c r="F108" s="3"/>
      <c r="G108" s="5"/>
      <c r="H108" s="3"/>
      <c r="I108" s="5"/>
      <c r="J108" s="3"/>
      <c r="K108" s="5"/>
      <c r="L108" s="3"/>
      <c r="M108" s="5"/>
      <c r="N108" s="5"/>
    </row>
    <row r="109">
      <c r="A109" s="2"/>
      <c r="B109" s="3"/>
      <c r="C109" s="3"/>
      <c r="D109" s="3"/>
      <c r="E109" s="4"/>
      <c r="F109" s="3"/>
      <c r="G109" s="5"/>
      <c r="H109" s="3"/>
      <c r="I109" s="5"/>
      <c r="J109" s="3"/>
      <c r="K109" s="5"/>
      <c r="L109" s="3"/>
      <c r="M109" s="5"/>
      <c r="N109" s="5"/>
    </row>
    <row r="110">
      <c r="A110" s="2"/>
      <c r="B110" s="3"/>
      <c r="C110" s="3"/>
      <c r="D110" s="3"/>
      <c r="E110" s="4"/>
      <c r="F110" s="3"/>
      <c r="G110" s="5"/>
      <c r="H110" s="3"/>
      <c r="I110" s="5"/>
      <c r="J110" s="3"/>
      <c r="K110" s="5"/>
      <c r="L110" s="3"/>
      <c r="M110" s="5"/>
      <c r="N110" s="5"/>
    </row>
    <row r="111">
      <c r="A111" s="2"/>
      <c r="B111" s="3"/>
      <c r="C111" s="3"/>
      <c r="D111" s="3"/>
      <c r="E111" s="4"/>
      <c r="F111" s="3"/>
      <c r="G111" s="5"/>
      <c r="H111" s="3"/>
      <c r="I111" s="5"/>
      <c r="J111" s="3"/>
      <c r="K111" s="5"/>
      <c r="L111" s="3"/>
      <c r="M111" s="5"/>
      <c r="N111" s="5"/>
    </row>
    <row r="112">
      <c r="A112" s="2"/>
      <c r="B112" s="3"/>
      <c r="C112" s="3"/>
      <c r="D112" s="3"/>
      <c r="E112" s="4"/>
      <c r="F112" s="3"/>
      <c r="G112" s="5"/>
      <c r="H112" s="3"/>
      <c r="I112" s="5"/>
      <c r="J112" s="3"/>
      <c r="K112" s="5"/>
      <c r="L112" s="3"/>
      <c r="M112" s="5"/>
      <c r="N112" s="5"/>
    </row>
    <row r="113">
      <c r="A113" s="2"/>
      <c r="B113" s="3"/>
      <c r="C113" s="3"/>
      <c r="D113" s="3"/>
      <c r="E113" s="4"/>
      <c r="F113" s="3"/>
      <c r="G113" s="5"/>
      <c r="H113" s="3"/>
      <c r="I113" s="5"/>
      <c r="J113" s="3"/>
      <c r="K113" s="5"/>
      <c r="L113" s="3"/>
      <c r="M113" s="5"/>
      <c r="N113" s="5"/>
    </row>
    <row r="114">
      <c r="A114" s="2"/>
      <c r="B114" s="3"/>
      <c r="C114" s="3"/>
      <c r="D114" s="3"/>
      <c r="E114" s="4"/>
      <c r="F114" s="3"/>
      <c r="G114" s="5"/>
      <c r="H114" s="3"/>
      <c r="I114" s="5"/>
      <c r="J114" s="3"/>
      <c r="K114" s="5"/>
      <c r="L114" s="3"/>
      <c r="M114" s="5"/>
      <c r="N114" s="5"/>
    </row>
    <row r="115">
      <c r="A115" s="2"/>
      <c r="B115" s="3"/>
      <c r="C115" s="3"/>
      <c r="D115" s="3"/>
      <c r="E115" s="4"/>
      <c r="F115" s="3"/>
      <c r="G115" s="5"/>
      <c r="H115" s="3"/>
      <c r="I115" s="5"/>
      <c r="J115" s="3"/>
      <c r="K115" s="5"/>
      <c r="L115" s="3"/>
      <c r="M115" s="5"/>
      <c r="N115" s="5"/>
    </row>
    <row r="116">
      <c r="A116" s="2"/>
      <c r="B116" s="3"/>
      <c r="C116" s="3"/>
      <c r="D116" s="3"/>
      <c r="E116" s="4"/>
      <c r="F116" s="3"/>
      <c r="G116" s="5"/>
      <c r="H116" s="3"/>
      <c r="I116" s="5"/>
      <c r="J116" s="3"/>
      <c r="K116" s="5"/>
      <c r="L116" s="3"/>
      <c r="M116" s="5"/>
      <c r="N116" s="5"/>
    </row>
    <row r="117">
      <c r="A117" s="2"/>
      <c r="B117" s="3"/>
      <c r="C117" s="3"/>
      <c r="D117" s="3"/>
      <c r="E117" s="4"/>
      <c r="F117" s="3"/>
      <c r="G117" s="5"/>
      <c r="H117" s="3"/>
      <c r="I117" s="5"/>
      <c r="J117" s="3"/>
      <c r="K117" s="5"/>
      <c r="L117" s="3"/>
      <c r="M117" s="5"/>
      <c r="N117" s="5"/>
    </row>
    <row r="118">
      <c r="A118" s="2"/>
      <c r="B118" s="3"/>
      <c r="C118" s="3"/>
      <c r="D118" s="3"/>
      <c r="E118" s="4"/>
      <c r="F118" s="3"/>
      <c r="G118" s="5"/>
      <c r="H118" s="3"/>
      <c r="I118" s="5"/>
      <c r="J118" s="3"/>
      <c r="K118" s="5"/>
      <c r="L118" s="3"/>
      <c r="M118" s="5"/>
      <c r="N118" s="5"/>
    </row>
    <row r="119">
      <c r="A119" s="2"/>
      <c r="B119" s="3"/>
      <c r="C119" s="3"/>
      <c r="D119" s="3"/>
      <c r="E119" s="4"/>
      <c r="F119" s="3"/>
      <c r="G119" s="5"/>
      <c r="H119" s="3"/>
      <c r="I119" s="5"/>
      <c r="J119" s="3"/>
      <c r="K119" s="5"/>
      <c r="L119" s="3"/>
      <c r="M119" s="5"/>
      <c r="N119" s="5"/>
    </row>
    <row r="120">
      <c r="A120" s="2"/>
      <c r="B120" s="3"/>
      <c r="C120" s="3"/>
      <c r="D120" s="3"/>
      <c r="E120" s="4"/>
      <c r="F120" s="3"/>
      <c r="G120" s="5"/>
      <c r="H120" s="3"/>
      <c r="I120" s="5"/>
      <c r="J120" s="3"/>
      <c r="K120" s="5"/>
      <c r="L120" s="3"/>
      <c r="M120" s="5"/>
      <c r="N120" s="5"/>
    </row>
    <row r="121">
      <c r="A121" s="2"/>
      <c r="B121" s="3"/>
      <c r="C121" s="3"/>
      <c r="D121" s="3"/>
      <c r="E121" s="4"/>
      <c r="F121" s="3"/>
      <c r="G121" s="5"/>
      <c r="H121" s="3"/>
      <c r="I121" s="5"/>
      <c r="J121" s="3"/>
      <c r="K121" s="5"/>
      <c r="L121" s="3"/>
      <c r="M121" s="5"/>
      <c r="N121" s="5"/>
    </row>
    <row r="122">
      <c r="A122" s="2"/>
      <c r="B122" s="3"/>
      <c r="C122" s="3"/>
      <c r="D122" s="3"/>
      <c r="E122" s="4"/>
      <c r="F122" s="3"/>
      <c r="G122" s="5"/>
      <c r="H122" s="3"/>
      <c r="I122" s="5"/>
      <c r="J122" s="3"/>
      <c r="K122" s="5"/>
      <c r="L122" s="3"/>
      <c r="M122" s="5"/>
      <c r="N122" s="5"/>
    </row>
    <row r="123">
      <c r="A123" s="2"/>
      <c r="B123" s="3"/>
      <c r="C123" s="3"/>
      <c r="D123" s="3"/>
      <c r="E123" s="4"/>
      <c r="F123" s="3"/>
      <c r="G123" s="5"/>
      <c r="H123" s="3"/>
      <c r="I123" s="5"/>
      <c r="J123" s="3"/>
      <c r="K123" s="5"/>
      <c r="L123" s="3"/>
      <c r="M123" s="5"/>
      <c r="N123" s="5"/>
    </row>
    <row r="124">
      <c r="A124" s="2"/>
      <c r="B124" s="3"/>
      <c r="C124" s="3"/>
      <c r="D124" s="3"/>
      <c r="E124" s="4"/>
      <c r="F124" s="3"/>
      <c r="G124" s="5"/>
      <c r="H124" s="3"/>
      <c r="I124" s="5"/>
      <c r="J124" s="3"/>
      <c r="K124" s="5"/>
      <c r="L124" s="3"/>
      <c r="M124" s="5"/>
      <c r="N124" s="5"/>
    </row>
    <row r="125">
      <c r="A125" s="2"/>
      <c r="B125" s="3"/>
      <c r="C125" s="3"/>
      <c r="D125" s="3"/>
      <c r="E125" s="4"/>
      <c r="F125" s="3"/>
      <c r="G125" s="5"/>
      <c r="H125" s="3"/>
      <c r="I125" s="5"/>
      <c r="J125" s="3"/>
      <c r="K125" s="5"/>
      <c r="L125" s="3"/>
      <c r="M125" s="5"/>
      <c r="N125" s="5"/>
    </row>
    <row r="126">
      <c r="A126" s="2"/>
      <c r="B126" s="3"/>
      <c r="C126" s="3"/>
      <c r="D126" s="3"/>
      <c r="E126" s="4"/>
      <c r="F126" s="3"/>
      <c r="G126" s="5"/>
      <c r="H126" s="3"/>
      <c r="I126" s="5"/>
      <c r="J126" s="3"/>
      <c r="K126" s="5"/>
      <c r="L126" s="3"/>
      <c r="M126" s="5"/>
      <c r="N126" s="5"/>
    </row>
    <row r="127">
      <c r="A127" s="2"/>
      <c r="B127" s="3"/>
      <c r="C127" s="3"/>
      <c r="D127" s="3"/>
      <c r="E127" s="4"/>
      <c r="F127" s="3"/>
      <c r="G127" s="5"/>
      <c r="H127" s="3"/>
      <c r="I127" s="5"/>
      <c r="J127" s="3"/>
      <c r="K127" s="5"/>
      <c r="L127" s="3"/>
      <c r="M127" s="5"/>
      <c r="N127" s="5"/>
    </row>
    <row r="128">
      <c r="A128" s="2"/>
      <c r="B128" s="3"/>
      <c r="C128" s="3"/>
      <c r="D128" s="3"/>
      <c r="E128" s="4"/>
      <c r="F128" s="3"/>
      <c r="G128" s="5"/>
      <c r="H128" s="3"/>
      <c r="I128" s="5"/>
      <c r="J128" s="3"/>
      <c r="K128" s="5"/>
      <c r="L128" s="3"/>
      <c r="M128" s="5"/>
      <c r="N128" s="5"/>
    </row>
    <row r="129">
      <c r="A129" s="2"/>
      <c r="B129" s="3"/>
      <c r="C129" s="3"/>
      <c r="D129" s="3"/>
      <c r="E129" s="4"/>
      <c r="F129" s="3"/>
      <c r="G129" s="5"/>
      <c r="H129" s="3"/>
      <c r="I129" s="5"/>
      <c r="J129" s="3"/>
      <c r="K129" s="5"/>
      <c r="L129" s="3"/>
      <c r="M129" s="5"/>
      <c r="N129" s="5"/>
    </row>
    <row r="130">
      <c r="A130" s="2"/>
      <c r="B130" s="3"/>
      <c r="C130" s="3"/>
      <c r="D130" s="3"/>
      <c r="E130" s="4"/>
      <c r="F130" s="3"/>
      <c r="G130" s="5"/>
      <c r="H130" s="3"/>
      <c r="I130" s="5"/>
      <c r="J130" s="3"/>
      <c r="K130" s="5"/>
      <c r="L130" s="3"/>
      <c r="M130" s="5"/>
      <c r="N130" s="5"/>
    </row>
    <row r="131">
      <c r="A131" s="2"/>
      <c r="B131" s="3"/>
      <c r="C131" s="3"/>
      <c r="D131" s="3"/>
      <c r="E131" s="4"/>
      <c r="F131" s="3"/>
      <c r="G131" s="5"/>
      <c r="H131" s="3"/>
      <c r="I131" s="5"/>
      <c r="J131" s="3"/>
      <c r="K131" s="5"/>
      <c r="L131" s="3"/>
      <c r="M131" s="5"/>
      <c r="N131" s="5"/>
    </row>
    <row r="132">
      <c r="A132" s="2"/>
      <c r="B132" s="3"/>
      <c r="C132" s="3"/>
      <c r="D132" s="3"/>
      <c r="E132" s="4"/>
      <c r="F132" s="3"/>
      <c r="G132" s="5"/>
      <c r="H132" s="3"/>
      <c r="I132" s="5"/>
      <c r="J132" s="3"/>
      <c r="K132" s="5"/>
      <c r="L132" s="3"/>
      <c r="M132" s="5"/>
      <c r="N132" s="5"/>
    </row>
    <row r="133">
      <c r="A133" s="2"/>
      <c r="B133" s="3"/>
      <c r="C133" s="3"/>
      <c r="D133" s="3"/>
      <c r="E133" s="4"/>
      <c r="F133" s="3"/>
      <c r="G133" s="5"/>
      <c r="H133" s="3"/>
      <c r="I133" s="5"/>
      <c r="J133" s="3"/>
      <c r="K133" s="5"/>
      <c r="L133" s="3"/>
      <c r="M133" s="5"/>
      <c r="N133" s="5"/>
    </row>
    <row r="134">
      <c r="A134" s="2"/>
      <c r="B134" s="3"/>
      <c r="C134" s="3"/>
      <c r="D134" s="3"/>
      <c r="E134" s="4"/>
      <c r="F134" s="3"/>
      <c r="G134" s="5"/>
      <c r="H134" s="3"/>
      <c r="I134" s="5"/>
      <c r="J134" s="3"/>
      <c r="K134" s="5"/>
      <c r="L134" s="3"/>
      <c r="M134" s="5"/>
      <c r="N134" s="5"/>
    </row>
    <row r="135">
      <c r="A135" s="2"/>
      <c r="B135" s="3"/>
      <c r="C135" s="3"/>
      <c r="D135" s="3"/>
      <c r="E135" s="4"/>
      <c r="F135" s="3"/>
      <c r="G135" s="5"/>
      <c r="H135" s="3"/>
      <c r="I135" s="5"/>
      <c r="J135" s="3"/>
      <c r="K135" s="5"/>
      <c r="L135" s="3"/>
      <c r="M135" s="5"/>
      <c r="N135" s="5"/>
    </row>
    <row r="136">
      <c r="A136" s="2"/>
      <c r="B136" s="3"/>
      <c r="C136" s="3"/>
      <c r="D136" s="3"/>
      <c r="E136" s="4"/>
      <c r="F136" s="3"/>
      <c r="G136" s="5"/>
      <c r="H136" s="3"/>
      <c r="I136" s="5"/>
      <c r="J136" s="3"/>
      <c r="K136" s="5"/>
      <c r="L136" s="3"/>
      <c r="M136" s="5"/>
      <c r="N136" s="5"/>
    </row>
    <row r="137">
      <c r="A137" s="2"/>
      <c r="B137" s="3"/>
      <c r="C137" s="3"/>
      <c r="D137" s="3"/>
      <c r="E137" s="4"/>
      <c r="F137" s="3"/>
      <c r="G137" s="5"/>
      <c r="H137" s="3"/>
      <c r="I137" s="5"/>
      <c r="J137" s="3"/>
      <c r="K137" s="5"/>
      <c r="L137" s="3"/>
      <c r="M137" s="5"/>
      <c r="N137" s="5"/>
    </row>
    <row r="138">
      <c r="A138" s="2"/>
      <c r="B138" s="3"/>
      <c r="C138" s="3"/>
      <c r="D138" s="3"/>
      <c r="E138" s="4"/>
      <c r="F138" s="3"/>
      <c r="G138" s="5"/>
      <c r="H138" s="3"/>
      <c r="I138" s="5"/>
      <c r="J138" s="3"/>
      <c r="K138" s="5"/>
      <c r="L138" s="3"/>
      <c r="M138" s="5"/>
      <c r="N138" s="5"/>
    </row>
    <row r="139">
      <c r="A139" s="2"/>
      <c r="B139" s="3"/>
      <c r="C139" s="3"/>
      <c r="D139" s="3"/>
      <c r="E139" s="4"/>
      <c r="F139" s="3"/>
      <c r="G139" s="5"/>
      <c r="H139" s="3"/>
      <c r="I139" s="5"/>
      <c r="J139" s="3"/>
      <c r="K139" s="5"/>
      <c r="L139" s="3"/>
      <c r="M139" s="5"/>
      <c r="N139" s="5"/>
    </row>
    <row r="140">
      <c r="A140" s="2"/>
      <c r="B140" s="3"/>
      <c r="C140" s="3"/>
      <c r="D140" s="3"/>
      <c r="E140" s="4"/>
      <c r="F140" s="3"/>
      <c r="G140" s="5"/>
      <c r="H140" s="3"/>
      <c r="I140" s="5"/>
      <c r="J140" s="3"/>
      <c r="K140" s="5"/>
      <c r="L140" s="3"/>
      <c r="M140" s="5"/>
      <c r="N140" s="5"/>
    </row>
    <row r="141">
      <c r="A141" s="2"/>
      <c r="B141" s="3"/>
      <c r="C141" s="3"/>
      <c r="D141" s="3"/>
      <c r="E141" s="4"/>
      <c r="F141" s="3"/>
      <c r="G141" s="5"/>
      <c r="H141" s="3"/>
      <c r="I141" s="5"/>
      <c r="J141" s="3"/>
      <c r="K141" s="5"/>
      <c r="L141" s="3"/>
      <c r="M141" s="5"/>
      <c r="N141" s="5"/>
    </row>
    <row r="142">
      <c r="A142" s="2"/>
      <c r="B142" s="3"/>
      <c r="C142" s="3"/>
      <c r="D142" s="3"/>
      <c r="E142" s="4"/>
      <c r="F142" s="3"/>
      <c r="G142" s="5"/>
      <c r="H142" s="3"/>
      <c r="I142" s="5"/>
      <c r="J142" s="3"/>
      <c r="K142" s="5"/>
      <c r="L142" s="3"/>
      <c r="M142" s="5"/>
      <c r="N142" s="5"/>
    </row>
    <row r="143">
      <c r="A143" s="2"/>
      <c r="B143" s="3"/>
      <c r="C143" s="3"/>
      <c r="D143" s="3"/>
      <c r="E143" s="4"/>
      <c r="F143" s="3"/>
      <c r="G143" s="5"/>
      <c r="H143" s="3"/>
      <c r="I143" s="5"/>
      <c r="J143" s="3"/>
      <c r="K143" s="5"/>
      <c r="L143" s="3"/>
      <c r="M143" s="5"/>
      <c r="N143" s="5"/>
    </row>
    <row r="144">
      <c r="A144" s="2"/>
      <c r="B144" s="3"/>
      <c r="C144" s="3"/>
      <c r="D144" s="3"/>
      <c r="E144" s="4"/>
      <c r="F144" s="3"/>
      <c r="G144" s="5"/>
      <c r="H144" s="3"/>
      <c r="I144" s="5"/>
      <c r="J144" s="3"/>
      <c r="K144" s="5"/>
      <c r="L144" s="3"/>
      <c r="M144" s="5"/>
      <c r="N144" s="5"/>
    </row>
    <row r="145">
      <c r="A145" s="2"/>
      <c r="B145" s="3"/>
      <c r="C145" s="3"/>
      <c r="D145" s="3"/>
      <c r="E145" s="4"/>
      <c r="F145" s="3"/>
      <c r="G145" s="5"/>
      <c r="H145" s="3"/>
      <c r="I145" s="5"/>
      <c r="J145" s="3"/>
      <c r="K145" s="5"/>
      <c r="L145" s="3"/>
      <c r="M145" s="5"/>
      <c r="N145" s="5"/>
    </row>
    <row r="146">
      <c r="A146" s="2"/>
      <c r="B146" s="3"/>
      <c r="C146" s="3"/>
      <c r="D146" s="3"/>
      <c r="E146" s="4"/>
      <c r="F146" s="3"/>
      <c r="G146" s="5"/>
      <c r="H146" s="3"/>
      <c r="I146" s="5"/>
      <c r="J146" s="3"/>
      <c r="K146" s="5"/>
      <c r="L146" s="3"/>
      <c r="M146" s="5"/>
      <c r="N146" s="5"/>
    </row>
    <row r="147">
      <c r="A147" s="2"/>
      <c r="B147" s="3"/>
      <c r="C147" s="3"/>
      <c r="D147" s="3"/>
      <c r="E147" s="4"/>
      <c r="F147" s="3"/>
      <c r="G147" s="5"/>
      <c r="H147" s="3"/>
      <c r="I147" s="5"/>
      <c r="J147" s="3"/>
      <c r="K147" s="5"/>
      <c r="L147" s="3"/>
      <c r="M147" s="5"/>
      <c r="N147" s="5"/>
    </row>
    <row r="148">
      <c r="A148" s="2"/>
      <c r="B148" s="3"/>
      <c r="C148" s="3"/>
      <c r="D148" s="3"/>
      <c r="E148" s="4"/>
      <c r="F148" s="3"/>
      <c r="G148" s="5"/>
      <c r="H148" s="3"/>
      <c r="I148" s="5"/>
      <c r="J148" s="3"/>
      <c r="K148" s="5"/>
      <c r="L148" s="3"/>
      <c r="M148" s="5"/>
      <c r="N148" s="5"/>
    </row>
    <row r="149">
      <c r="A149" s="2"/>
      <c r="B149" s="3"/>
      <c r="C149" s="3"/>
      <c r="D149" s="3"/>
      <c r="E149" s="4"/>
      <c r="F149" s="3"/>
      <c r="G149" s="5"/>
      <c r="H149" s="3"/>
      <c r="I149" s="5"/>
      <c r="J149" s="3"/>
      <c r="K149" s="5"/>
      <c r="L149" s="3"/>
      <c r="M149" s="5"/>
      <c r="N149" s="5"/>
    </row>
    <row r="150">
      <c r="A150" s="2"/>
      <c r="B150" s="3"/>
      <c r="C150" s="3"/>
      <c r="D150" s="3"/>
      <c r="E150" s="4"/>
      <c r="F150" s="3"/>
      <c r="G150" s="5"/>
      <c r="H150" s="3"/>
      <c r="I150" s="5"/>
      <c r="J150" s="3"/>
      <c r="K150" s="5"/>
      <c r="L150" s="3"/>
      <c r="M150" s="5"/>
      <c r="N150" s="5"/>
    </row>
    <row r="151">
      <c r="A151" s="2"/>
      <c r="B151" s="3"/>
      <c r="C151" s="3"/>
      <c r="D151" s="3"/>
      <c r="E151" s="4"/>
      <c r="F151" s="3"/>
      <c r="G151" s="5"/>
      <c r="H151" s="3"/>
      <c r="I151" s="5"/>
      <c r="J151" s="3"/>
      <c r="K151" s="5"/>
      <c r="L151" s="3"/>
      <c r="M151" s="5"/>
      <c r="N151" s="5"/>
    </row>
    <row r="152">
      <c r="A152" s="2"/>
      <c r="B152" s="3"/>
      <c r="C152" s="3"/>
      <c r="D152" s="3"/>
      <c r="E152" s="4"/>
      <c r="F152" s="3"/>
      <c r="G152" s="5"/>
      <c r="H152" s="3"/>
      <c r="I152" s="5"/>
      <c r="J152" s="3"/>
      <c r="K152" s="5"/>
      <c r="L152" s="3"/>
      <c r="M152" s="5"/>
      <c r="N152" s="5"/>
    </row>
    <row r="153">
      <c r="A153" s="2"/>
      <c r="B153" s="3"/>
      <c r="C153" s="3"/>
      <c r="D153" s="3"/>
      <c r="E153" s="4"/>
      <c r="F153" s="3"/>
      <c r="G153" s="5"/>
      <c r="H153" s="3"/>
      <c r="I153" s="5"/>
      <c r="J153" s="3"/>
      <c r="K153" s="5"/>
      <c r="L153" s="3"/>
      <c r="M153" s="5"/>
      <c r="N153" s="5"/>
    </row>
    <row r="154">
      <c r="A154" s="2"/>
      <c r="B154" s="3"/>
      <c r="C154" s="3"/>
      <c r="D154" s="3"/>
      <c r="E154" s="4"/>
      <c r="F154" s="3"/>
      <c r="G154" s="5"/>
      <c r="H154" s="3"/>
      <c r="I154" s="5"/>
      <c r="J154" s="3"/>
      <c r="K154" s="5"/>
      <c r="L154" s="3"/>
      <c r="M154" s="5"/>
      <c r="N154" s="5"/>
    </row>
    <row r="155">
      <c r="A155" s="2"/>
      <c r="B155" s="3"/>
      <c r="C155" s="3"/>
      <c r="D155" s="3"/>
      <c r="E155" s="4"/>
      <c r="F155" s="3"/>
      <c r="G155" s="5"/>
      <c r="H155" s="3"/>
      <c r="I155" s="5"/>
      <c r="J155" s="3"/>
      <c r="K155" s="5"/>
      <c r="L155" s="3"/>
      <c r="M155" s="5"/>
      <c r="N155" s="5"/>
    </row>
    <row r="156">
      <c r="A156" s="2"/>
      <c r="B156" s="3"/>
      <c r="C156" s="3"/>
      <c r="D156" s="3"/>
      <c r="E156" s="4"/>
      <c r="F156" s="3"/>
      <c r="G156" s="5"/>
      <c r="H156" s="3"/>
      <c r="I156" s="5"/>
      <c r="J156" s="3"/>
      <c r="K156" s="5"/>
      <c r="L156" s="3"/>
      <c r="M156" s="5"/>
      <c r="N156" s="5"/>
    </row>
    <row r="157">
      <c r="A157" s="2"/>
      <c r="B157" s="3"/>
      <c r="C157" s="3"/>
      <c r="D157" s="3"/>
      <c r="E157" s="4"/>
      <c r="F157" s="3"/>
      <c r="G157" s="5"/>
      <c r="H157" s="3"/>
      <c r="I157" s="5"/>
      <c r="J157" s="3"/>
      <c r="K157" s="5"/>
      <c r="L157" s="3"/>
      <c r="M157" s="5"/>
      <c r="N157" s="5"/>
    </row>
    <row r="158">
      <c r="A158" s="2"/>
      <c r="B158" s="3"/>
      <c r="C158" s="3"/>
      <c r="D158" s="3"/>
      <c r="E158" s="4"/>
      <c r="F158" s="3"/>
      <c r="G158" s="5"/>
      <c r="H158" s="3"/>
      <c r="I158" s="5"/>
      <c r="J158" s="3"/>
      <c r="K158" s="5"/>
      <c r="L158" s="3"/>
      <c r="M158" s="5"/>
      <c r="N158" s="5"/>
    </row>
    <row r="159">
      <c r="A159" s="2"/>
      <c r="B159" s="3"/>
      <c r="C159" s="3"/>
      <c r="D159" s="3"/>
      <c r="E159" s="4"/>
      <c r="F159" s="3"/>
      <c r="G159" s="5"/>
      <c r="H159" s="3"/>
      <c r="I159" s="5"/>
      <c r="J159" s="3"/>
      <c r="K159" s="5"/>
      <c r="L159" s="3"/>
      <c r="M159" s="5"/>
      <c r="N159" s="5"/>
    </row>
    <row r="160">
      <c r="A160" s="2"/>
      <c r="B160" s="3"/>
      <c r="C160" s="3"/>
      <c r="D160" s="3"/>
      <c r="E160" s="4"/>
      <c r="F160" s="3"/>
      <c r="G160" s="5"/>
      <c r="H160" s="3"/>
      <c r="I160" s="5"/>
      <c r="J160" s="3"/>
      <c r="K160" s="5"/>
      <c r="L160" s="3"/>
      <c r="M160" s="5"/>
      <c r="N160" s="5"/>
    </row>
    <row r="161">
      <c r="A161" s="2"/>
      <c r="B161" s="3"/>
      <c r="C161" s="3"/>
      <c r="D161" s="3"/>
      <c r="E161" s="4"/>
      <c r="F161" s="3"/>
      <c r="G161" s="5"/>
      <c r="H161" s="3"/>
      <c r="I161" s="5"/>
      <c r="J161" s="3"/>
      <c r="K161" s="5"/>
      <c r="L161" s="3"/>
      <c r="M161" s="5"/>
      <c r="N161" s="5"/>
    </row>
    <row r="162">
      <c r="A162" s="2"/>
      <c r="B162" s="3"/>
      <c r="C162" s="3"/>
      <c r="D162" s="3"/>
      <c r="E162" s="4"/>
      <c r="F162" s="3"/>
      <c r="G162" s="5"/>
      <c r="H162" s="3"/>
      <c r="I162" s="5"/>
      <c r="J162" s="3"/>
      <c r="K162" s="5"/>
      <c r="L162" s="3"/>
      <c r="M162" s="5"/>
      <c r="N162" s="5"/>
    </row>
    <row r="163">
      <c r="A163" s="2"/>
      <c r="B163" s="3"/>
      <c r="C163" s="3"/>
      <c r="D163" s="3"/>
      <c r="E163" s="4"/>
      <c r="F163" s="3"/>
      <c r="G163" s="5"/>
      <c r="H163" s="3"/>
      <c r="I163" s="5"/>
      <c r="J163" s="3"/>
      <c r="K163" s="5"/>
      <c r="L163" s="3"/>
      <c r="M163" s="5"/>
      <c r="N163" s="5"/>
    </row>
    <row r="164">
      <c r="A164" s="2"/>
      <c r="B164" s="3"/>
      <c r="C164" s="3"/>
      <c r="D164" s="3"/>
      <c r="E164" s="4"/>
      <c r="F164" s="3"/>
      <c r="G164" s="5"/>
      <c r="H164" s="3"/>
      <c r="I164" s="5"/>
      <c r="J164" s="3"/>
      <c r="K164" s="5"/>
      <c r="L164" s="3"/>
      <c r="M164" s="5"/>
      <c r="N164" s="5"/>
    </row>
    <row r="165">
      <c r="A165" s="2"/>
      <c r="B165" s="3"/>
      <c r="C165" s="3"/>
      <c r="D165" s="3"/>
      <c r="E165" s="4"/>
      <c r="F165" s="3"/>
      <c r="G165" s="5"/>
      <c r="H165" s="3"/>
      <c r="I165" s="5"/>
      <c r="J165" s="3"/>
      <c r="K165" s="5"/>
      <c r="L165" s="3"/>
      <c r="M165" s="5"/>
      <c r="N165" s="5"/>
    </row>
    <row r="166">
      <c r="A166" s="2"/>
      <c r="B166" s="3"/>
      <c r="C166" s="3"/>
      <c r="D166" s="3"/>
      <c r="E166" s="4"/>
      <c r="F166" s="3"/>
      <c r="G166" s="5"/>
      <c r="H166" s="3"/>
      <c r="I166" s="5"/>
      <c r="J166" s="3"/>
      <c r="K166" s="5"/>
      <c r="L166" s="3"/>
      <c r="M166" s="5"/>
      <c r="N166" s="5"/>
    </row>
    <row r="167">
      <c r="A167" s="2"/>
      <c r="B167" s="3"/>
      <c r="C167" s="3"/>
      <c r="D167" s="3"/>
      <c r="E167" s="4"/>
      <c r="F167" s="3"/>
      <c r="G167" s="5"/>
      <c r="H167" s="3"/>
      <c r="I167" s="5"/>
      <c r="J167" s="3"/>
      <c r="K167" s="5"/>
      <c r="L167" s="3"/>
      <c r="M167" s="5"/>
      <c r="N167" s="5"/>
    </row>
    <row r="168">
      <c r="A168" s="2"/>
      <c r="B168" s="3"/>
      <c r="C168" s="3"/>
      <c r="D168" s="3"/>
      <c r="E168" s="4"/>
      <c r="F168" s="3"/>
      <c r="G168" s="5"/>
      <c r="H168" s="3"/>
      <c r="I168" s="5"/>
      <c r="J168" s="3"/>
      <c r="K168" s="5"/>
      <c r="L168" s="3"/>
      <c r="M168" s="5"/>
      <c r="N168" s="5"/>
    </row>
    <row r="169">
      <c r="A169" s="2"/>
      <c r="B169" s="3"/>
      <c r="C169" s="3"/>
      <c r="D169" s="3"/>
      <c r="E169" s="4"/>
      <c r="F169" s="3"/>
      <c r="G169" s="5"/>
      <c r="H169" s="3"/>
      <c r="I169" s="5"/>
      <c r="J169" s="3"/>
      <c r="K169" s="5"/>
      <c r="L169" s="3"/>
      <c r="M169" s="5"/>
      <c r="N169" s="5"/>
    </row>
    <row r="170">
      <c r="A170" s="2"/>
      <c r="B170" s="3"/>
      <c r="C170" s="3"/>
      <c r="D170" s="3"/>
      <c r="E170" s="4"/>
      <c r="F170" s="3"/>
      <c r="G170" s="5"/>
      <c r="H170" s="3"/>
      <c r="I170" s="5"/>
      <c r="J170" s="3"/>
      <c r="K170" s="5"/>
      <c r="L170" s="3"/>
      <c r="M170" s="5"/>
      <c r="N170" s="5"/>
    </row>
    <row r="171">
      <c r="A171" s="2"/>
      <c r="B171" s="3"/>
      <c r="C171" s="3"/>
      <c r="D171" s="3"/>
      <c r="E171" s="4"/>
      <c r="F171" s="3"/>
      <c r="G171" s="5"/>
      <c r="H171" s="3"/>
      <c r="I171" s="5"/>
      <c r="J171" s="3"/>
      <c r="K171" s="5"/>
      <c r="L171" s="3"/>
      <c r="M171" s="5"/>
      <c r="N171" s="5"/>
    </row>
    <row r="172">
      <c r="A172" s="2"/>
      <c r="B172" s="3"/>
      <c r="C172" s="3"/>
      <c r="D172" s="3"/>
      <c r="E172" s="4"/>
      <c r="F172" s="3"/>
      <c r="G172" s="5"/>
      <c r="H172" s="3"/>
      <c r="I172" s="5"/>
      <c r="J172" s="3"/>
      <c r="K172" s="5"/>
      <c r="L172" s="3"/>
      <c r="M172" s="5"/>
      <c r="N172" s="5"/>
    </row>
    <row r="173">
      <c r="A173" s="2"/>
      <c r="B173" s="3"/>
      <c r="C173" s="3"/>
      <c r="D173" s="3"/>
      <c r="E173" s="4"/>
      <c r="F173" s="3"/>
      <c r="G173" s="5"/>
      <c r="H173" s="3"/>
      <c r="I173" s="5"/>
      <c r="J173" s="3"/>
      <c r="K173" s="5"/>
      <c r="L173" s="3"/>
      <c r="M173" s="5"/>
      <c r="N173" s="5"/>
    </row>
    <row r="174">
      <c r="A174" s="2"/>
      <c r="B174" s="3"/>
      <c r="C174" s="3"/>
      <c r="D174" s="3"/>
      <c r="E174" s="4"/>
      <c r="F174" s="3"/>
      <c r="G174" s="5"/>
      <c r="H174" s="3"/>
      <c r="I174" s="5"/>
      <c r="J174" s="3"/>
      <c r="K174" s="5"/>
      <c r="L174" s="3"/>
      <c r="M174" s="5"/>
      <c r="N174" s="5"/>
    </row>
    <row r="175">
      <c r="A175" s="2"/>
      <c r="B175" s="3"/>
      <c r="C175" s="3"/>
      <c r="D175" s="3"/>
      <c r="E175" s="4"/>
      <c r="F175" s="3"/>
      <c r="G175" s="5"/>
      <c r="H175" s="3"/>
      <c r="I175" s="5"/>
      <c r="J175" s="3"/>
      <c r="K175" s="5"/>
      <c r="L175" s="3"/>
      <c r="M175" s="5"/>
      <c r="N175" s="5"/>
    </row>
    <row r="176">
      <c r="A176" s="2"/>
      <c r="B176" s="3"/>
      <c r="C176" s="3"/>
      <c r="D176" s="3"/>
      <c r="E176" s="4"/>
      <c r="F176" s="3"/>
      <c r="G176" s="5"/>
      <c r="H176" s="3"/>
      <c r="I176" s="5"/>
      <c r="J176" s="3"/>
      <c r="K176" s="5"/>
      <c r="L176" s="3"/>
      <c r="M176" s="5"/>
      <c r="N176" s="5"/>
    </row>
    <row r="177">
      <c r="A177" s="2"/>
      <c r="B177" s="3"/>
      <c r="C177" s="3"/>
      <c r="D177" s="3"/>
      <c r="E177" s="4"/>
      <c r="F177" s="3"/>
      <c r="G177" s="5"/>
      <c r="H177" s="3"/>
      <c r="I177" s="5"/>
      <c r="J177" s="3"/>
      <c r="K177" s="5"/>
      <c r="L177" s="3"/>
      <c r="M177" s="5"/>
      <c r="N177" s="5"/>
    </row>
    <row r="178">
      <c r="A178" s="2"/>
      <c r="B178" s="3"/>
      <c r="C178" s="3"/>
      <c r="D178" s="3"/>
      <c r="E178" s="4"/>
      <c r="F178" s="3"/>
      <c r="G178" s="5"/>
      <c r="H178" s="3"/>
      <c r="I178" s="5"/>
      <c r="J178" s="3"/>
      <c r="K178" s="5"/>
      <c r="L178" s="3"/>
      <c r="M178" s="5"/>
      <c r="N178" s="5"/>
    </row>
    <row r="179">
      <c r="A179" s="2"/>
      <c r="B179" s="3"/>
      <c r="C179" s="3"/>
      <c r="D179" s="3"/>
      <c r="E179" s="4"/>
      <c r="F179" s="3"/>
      <c r="G179" s="5"/>
      <c r="H179" s="3"/>
      <c r="I179" s="5"/>
      <c r="J179" s="3"/>
      <c r="K179" s="5"/>
      <c r="L179" s="3"/>
      <c r="M179" s="5"/>
      <c r="N179" s="5"/>
    </row>
    <row r="180">
      <c r="A180" s="2"/>
      <c r="B180" s="3"/>
      <c r="C180" s="3"/>
      <c r="D180" s="3"/>
      <c r="E180" s="4"/>
      <c r="F180" s="3"/>
      <c r="G180" s="5"/>
      <c r="H180" s="3"/>
      <c r="I180" s="5"/>
      <c r="J180" s="3"/>
      <c r="K180" s="5"/>
      <c r="L180" s="3"/>
      <c r="M180" s="5"/>
      <c r="N180" s="5"/>
    </row>
    <row r="181">
      <c r="A181" s="2"/>
      <c r="B181" s="3"/>
      <c r="C181" s="3"/>
      <c r="D181" s="3"/>
      <c r="E181" s="4"/>
      <c r="F181" s="3"/>
      <c r="G181" s="5"/>
      <c r="H181" s="3"/>
      <c r="I181" s="5"/>
      <c r="J181" s="3"/>
      <c r="K181" s="5"/>
      <c r="L181" s="3"/>
      <c r="M181" s="5"/>
      <c r="N181" s="5"/>
    </row>
    <row r="182">
      <c r="A182" s="2"/>
      <c r="B182" s="3"/>
      <c r="C182" s="3"/>
      <c r="D182" s="3"/>
      <c r="E182" s="4"/>
      <c r="F182" s="3"/>
      <c r="G182" s="5"/>
      <c r="H182" s="3"/>
      <c r="I182" s="5"/>
      <c r="J182" s="3"/>
      <c r="K182" s="5"/>
      <c r="L182" s="3"/>
      <c r="M182" s="5"/>
      <c r="N182" s="5"/>
    </row>
    <row r="183">
      <c r="A183" s="2"/>
      <c r="B183" s="3"/>
      <c r="C183" s="3"/>
      <c r="D183" s="3"/>
      <c r="E183" s="4"/>
      <c r="F183" s="3"/>
      <c r="G183" s="5"/>
      <c r="H183" s="3"/>
      <c r="I183" s="5"/>
      <c r="J183" s="3"/>
      <c r="K183" s="5"/>
      <c r="L183" s="3"/>
      <c r="M183" s="5"/>
      <c r="N183" s="5"/>
    </row>
    <row r="184">
      <c r="A184" s="2"/>
      <c r="B184" s="3"/>
      <c r="C184" s="3"/>
      <c r="D184" s="3"/>
      <c r="E184" s="4"/>
      <c r="F184" s="3"/>
      <c r="G184" s="5"/>
      <c r="H184" s="3"/>
      <c r="I184" s="5"/>
      <c r="J184" s="3"/>
      <c r="K184" s="5"/>
      <c r="L184" s="3"/>
      <c r="M184" s="5"/>
      <c r="N184" s="5"/>
    </row>
    <row r="185">
      <c r="A185" s="2"/>
      <c r="B185" s="3"/>
      <c r="C185" s="3"/>
      <c r="D185" s="3"/>
      <c r="E185" s="4"/>
      <c r="F185" s="3"/>
      <c r="G185" s="5"/>
      <c r="H185" s="3"/>
      <c r="I185" s="5"/>
      <c r="J185" s="3"/>
      <c r="K185" s="5"/>
      <c r="L185" s="3"/>
      <c r="M185" s="5"/>
      <c r="N185" s="5"/>
    </row>
    <row r="186">
      <c r="A186" s="2"/>
      <c r="B186" s="3"/>
      <c r="C186" s="3"/>
      <c r="D186" s="3"/>
      <c r="E186" s="4"/>
      <c r="F186" s="3"/>
      <c r="G186" s="5"/>
      <c r="H186" s="3"/>
      <c r="I186" s="5"/>
      <c r="J186" s="3"/>
      <c r="K186" s="5"/>
      <c r="L186" s="3"/>
      <c r="M186" s="5"/>
      <c r="N186" s="5"/>
    </row>
    <row r="187">
      <c r="A187" s="2"/>
      <c r="B187" s="3"/>
      <c r="C187" s="3"/>
      <c r="D187" s="3"/>
      <c r="E187" s="4"/>
      <c r="F187" s="3"/>
      <c r="G187" s="5"/>
      <c r="H187" s="3"/>
      <c r="I187" s="5"/>
      <c r="J187" s="3"/>
      <c r="K187" s="5"/>
      <c r="L187" s="3"/>
      <c r="M187" s="5"/>
      <c r="N187" s="5"/>
    </row>
    <row r="188">
      <c r="A188" s="2"/>
      <c r="B188" s="3"/>
      <c r="C188" s="3"/>
      <c r="D188" s="3"/>
      <c r="E188" s="4"/>
      <c r="F188" s="3"/>
      <c r="G188" s="5"/>
      <c r="H188" s="3"/>
      <c r="I188" s="5"/>
      <c r="J188" s="3"/>
      <c r="K188" s="5"/>
      <c r="L188" s="3"/>
      <c r="M188" s="5"/>
      <c r="N188" s="5"/>
    </row>
    <row r="189">
      <c r="A189" s="2"/>
      <c r="B189" s="3"/>
      <c r="C189" s="3"/>
      <c r="D189" s="3"/>
      <c r="E189" s="4"/>
      <c r="F189" s="3"/>
      <c r="G189" s="5"/>
      <c r="H189" s="3"/>
      <c r="I189" s="5"/>
      <c r="J189" s="3"/>
      <c r="K189" s="5"/>
      <c r="L189" s="3"/>
      <c r="M189" s="5"/>
      <c r="N189" s="5"/>
    </row>
    <row r="190">
      <c r="A190" s="2"/>
      <c r="B190" s="3"/>
      <c r="C190" s="3"/>
      <c r="D190" s="3"/>
      <c r="E190" s="4"/>
      <c r="F190" s="3"/>
      <c r="G190" s="5"/>
      <c r="H190" s="3"/>
      <c r="I190" s="5"/>
      <c r="J190" s="3"/>
      <c r="K190" s="5"/>
      <c r="L190" s="3"/>
      <c r="M190" s="5"/>
      <c r="N190" s="5"/>
    </row>
    <row r="191">
      <c r="A191" s="2"/>
      <c r="B191" s="3"/>
      <c r="C191" s="3"/>
      <c r="D191" s="3"/>
      <c r="E191" s="4"/>
      <c r="F191" s="3"/>
      <c r="G191" s="5"/>
      <c r="H191" s="3"/>
      <c r="I191" s="5"/>
      <c r="J191" s="3"/>
      <c r="K191" s="5"/>
      <c r="L191" s="3"/>
      <c r="M191" s="5"/>
      <c r="N191" s="5"/>
    </row>
    <row r="192">
      <c r="A192" s="2"/>
      <c r="B192" s="3"/>
      <c r="C192" s="3"/>
      <c r="D192" s="3"/>
      <c r="E192" s="4"/>
      <c r="F192" s="3"/>
      <c r="G192" s="5"/>
      <c r="H192" s="3"/>
      <c r="I192" s="5"/>
      <c r="J192" s="3"/>
      <c r="K192" s="5"/>
      <c r="L192" s="3"/>
      <c r="M192" s="5"/>
      <c r="N192" s="5"/>
    </row>
    <row r="193">
      <c r="A193" s="2"/>
      <c r="B193" s="3"/>
      <c r="C193" s="3"/>
      <c r="D193" s="3"/>
      <c r="E193" s="4"/>
      <c r="F193" s="3"/>
      <c r="G193" s="5"/>
      <c r="H193" s="3"/>
      <c r="I193" s="5"/>
      <c r="J193" s="3"/>
      <c r="K193" s="5"/>
      <c r="L193" s="3"/>
      <c r="M193" s="5"/>
      <c r="N193" s="5"/>
    </row>
    <row r="194">
      <c r="A194" s="2"/>
      <c r="B194" s="3"/>
      <c r="C194" s="3"/>
      <c r="D194" s="3"/>
      <c r="E194" s="4"/>
      <c r="F194" s="3"/>
      <c r="G194" s="5"/>
      <c r="H194" s="3"/>
      <c r="I194" s="5"/>
      <c r="J194" s="3"/>
      <c r="K194" s="5"/>
      <c r="L194" s="3"/>
      <c r="M194" s="5"/>
      <c r="N194" s="5"/>
    </row>
    <row r="195">
      <c r="A195" s="2"/>
      <c r="B195" s="3"/>
      <c r="C195" s="3"/>
      <c r="D195" s="3"/>
      <c r="E195" s="4"/>
      <c r="F195" s="3"/>
      <c r="G195" s="5"/>
      <c r="H195" s="3"/>
      <c r="I195" s="5"/>
      <c r="J195" s="3"/>
      <c r="K195" s="5"/>
      <c r="L195" s="3"/>
      <c r="M195" s="5"/>
      <c r="N195" s="5"/>
    </row>
    <row r="196">
      <c r="A196" s="2"/>
      <c r="B196" s="3"/>
      <c r="C196" s="3"/>
      <c r="D196" s="3"/>
      <c r="E196" s="4"/>
      <c r="F196" s="3"/>
      <c r="G196" s="5"/>
      <c r="H196" s="3"/>
      <c r="I196" s="5"/>
      <c r="J196" s="3"/>
      <c r="K196" s="5"/>
      <c r="L196" s="3"/>
      <c r="M196" s="5"/>
      <c r="N196" s="5"/>
    </row>
    <row r="197">
      <c r="A197" s="2"/>
      <c r="B197" s="3"/>
      <c r="C197" s="3"/>
      <c r="D197" s="3"/>
      <c r="E197" s="4"/>
      <c r="F197" s="3"/>
      <c r="G197" s="5"/>
      <c r="H197" s="3"/>
      <c r="I197" s="5"/>
      <c r="J197" s="3"/>
      <c r="K197" s="5"/>
      <c r="L197" s="3"/>
      <c r="M197" s="5"/>
      <c r="N197" s="5"/>
    </row>
    <row r="198">
      <c r="A198" s="2"/>
      <c r="B198" s="3"/>
      <c r="C198" s="3"/>
      <c r="D198" s="3"/>
      <c r="E198" s="4"/>
      <c r="F198" s="3"/>
      <c r="G198" s="5"/>
      <c r="H198" s="3"/>
      <c r="I198" s="5"/>
      <c r="J198" s="3"/>
      <c r="K198" s="5"/>
      <c r="L198" s="3"/>
      <c r="M198" s="5"/>
      <c r="N198" s="5"/>
    </row>
    <row r="199">
      <c r="A199" s="2"/>
      <c r="B199" s="3"/>
      <c r="C199" s="3"/>
      <c r="D199" s="3"/>
      <c r="E199" s="4"/>
      <c r="F199" s="3"/>
      <c r="G199" s="5"/>
      <c r="H199" s="3"/>
      <c r="I199" s="5"/>
      <c r="J199" s="3"/>
      <c r="K199" s="5"/>
      <c r="L199" s="3"/>
      <c r="M199" s="5"/>
      <c r="N199" s="5"/>
    </row>
    <row r="200">
      <c r="A200" s="2"/>
      <c r="B200" s="3"/>
      <c r="C200" s="3"/>
      <c r="D200" s="3"/>
      <c r="E200" s="4"/>
      <c r="F200" s="3"/>
      <c r="G200" s="5"/>
      <c r="H200" s="3"/>
      <c r="I200" s="5"/>
      <c r="J200" s="3"/>
      <c r="K200" s="5"/>
      <c r="L200" s="3"/>
      <c r="M200" s="5"/>
      <c r="N200" s="5"/>
    </row>
    <row r="201">
      <c r="A201" s="2"/>
      <c r="B201" s="3"/>
      <c r="C201" s="3"/>
      <c r="D201" s="3"/>
      <c r="E201" s="4"/>
      <c r="F201" s="3"/>
      <c r="G201" s="5"/>
      <c r="H201" s="3"/>
      <c r="I201" s="5"/>
      <c r="J201" s="3"/>
      <c r="K201" s="5"/>
      <c r="L201" s="3"/>
      <c r="M201" s="5"/>
      <c r="N201" s="5"/>
    </row>
    <row r="202">
      <c r="A202" s="2"/>
      <c r="B202" s="3"/>
      <c r="C202" s="3"/>
      <c r="D202" s="3"/>
      <c r="E202" s="4"/>
      <c r="F202" s="3"/>
      <c r="G202" s="5"/>
      <c r="H202" s="3"/>
      <c r="I202" s="5"/>
      <c r="J202" s="3"/>
      <c r="K202" s="5"/>
      <c r="L202" s="3"/>
      <c r="M202" s="5"/>
      <c r="N202" s="5"/>
    </row>
    <row r="203">
      <c r="A203" s="2"/>
      <c r="B203" s="3"/>
      <c r="C203" s="3"/>
      <c r="D203" s="3"/>
      <c r="E203" s="4"/>
      <c r="F203" s="3"/>
      <c r="G203" s="5"/>
      <c r="H203" s="3"/>
      <c r="I203" s="5"/>
      <c r="J203" s="3"/>
      <c r="K203" s="5"/>
      <c r="L203" s="3"/>
      <c r="M203" s="5"/>
      <c r="N203" s="5"/>
    </row>
    <row r="204">
      <c r="A204" s="2"/>
      <c r="B204" s="3"/>
      <c r="C204" s="3"/>
      <c r="D204" s="3"/>
      <c r="E204" s="4"/>
      <c r="F204" s="3"/>
      <c r="G204" s="5"/>
      <c r="H204" s="3"/>
      <c r="I204" s="5"/>
      <c r="J204" s="3"/>
      <c r="K204" s="5"/>
      <c r="L204" s="3"/>
      <c r="M204" s="5"/>
      <c r="N204" s="5"/>
    </row>
    <row r="205">
      <c r="A205" s="2"/>
      <c r="B205" s="3"/>
      <c r="C205" s="3"/>
      <c r="D205" s="3"/>
      <c r="E205" s="4"/>
      <c r="F205" s="3"/>
      <c r="G205" s="5"/>
      <c r="H205" s="3"/>
      <c r="I205" s="5"/>
      <c r="J205" s="3"/>
      <c r="K205" s="5"/>
      <c r="L205" s="3"/>
      <c r="M205" s="5"/>
      <c r="N205" s="5"/>
    </row>
    <row r="206">
      <c r="A206" s="2"/>
      <c r="B206" s="3"/>
      <c r="C206" s="3"/>
      <c r="D206" s="3"/>
      <c r="E206" s="4"/>
      <c r="F206" s="3"/>
      <c r="G206" s="5"/>
      <c r="H206" s="3"/>
      <c r="I206" s="5"/>
      <c r="J206" s="3"/>
      <c r="K206" s="5"/>
      <c r="L206" s="3"/>
      <c r="M206" s="5"/>
      <c r="N206" s="5"/>
    </row>
    <row r="207">
      <c r="A207" s="2"/>
      <c r="B207" s="3"/>
      <c r="C207" s="3"/>
      <c r="D207" s="3"/>
      <c r="E207" s="4"/>
      <c r="F207" s="3"/>
      <c r="G207" s="5"/>
      <c r="H207" s="3"/>
      <c r="I207" s="5"/>
      <c r="J207" s="3"/>
      <c r="K207" s="5"/>
      <c r="L207" s="3"/>
      <c r="M207" s="5"/>
      <c r="N207" s="5"/>
    </row>
    <row r="208">
      <c r="A208" s="2"/>
      <c r="B208" s="3"/>
      <c r="C208" s="3"/>
      <c r="D208" s="3"/>
      <c r="E208" s="4"/>
      <c r="F208" s="3"/>
      <c r="G208" s="5"/>
      <c r="H208" s="3"/>
      <c r="I208" s="5"/>
      <c r="J208" s="3"/>
      <c r="K208" s="5"/>
      <c r="L208" s="3"/>
      <c r="M208" s="5"/>
      <c r="N208" s="5"/>
    </row>
    <row r="209">
      <c r="A209" s="2"/>
      <c r="B209" s="3"/>
      <c r="C209" s="3"/>
      <c r="D209" s="3"/>
      <c r="E209" s="4"/>
      <c r="F209" s="3"/>
      <c r="G209" s="5"/>
      <c r="H209" s="3"/>
      <c r="I209" s="5"/>
      <c r="J209" s="3"/>
      <c r="K209" s="5"/>
      <c r="L209" s="3"/>
      <c r="M209" s="5"/>
      <c r="N209" s="5"/>
    </row>
    <row r="210">
      <c r="A210" s="2"/>
      <c r="B210" s="3"/>
      <c r="C210" s="3"/>
      <c r="D210" s="3"/>
      <c r="E210" s="4"/>
      <c r="F210" s="3"/>
      <c r="G210" s="5"/>
      <c r="H210" s="3"/>
      <c r="I210" s="5"/>
      <c r="J210" s="3"/>
      <c r="K210" s="5"/>
      <c r="L210" s="3"/>
      <c r="M210" s="5"/>
      <c r="N210" s="5"/>
    </row>
    <row r="211">
      <c r="A211" s="2"/>
      <c r="B211" s="3"/>
      <c r="C211" s="3"/>
      <c r="D211" s="3"/>
      <c r="E211" s="4"/>
      <c r="F211" s="3"/>
      <c r="G211" s="5"/>
      <c r="H211" s="3"/>
      <c r="I211" s="5"/>
      <c r="J211" s="3"/>
      <c r="K211" s="5"/>
      <c r="L211" s="3"/>
      <c r="M211" s="5"/>
      <c r="N211" s="5"/>
    </row>
    <row r="212">
      <c r="A212" s="2"/>
      <c r="B212" s="3"/>
      <c r="C212" s="3"/>
      <c r="D212" s="3"/>
      <c r="E212" s="4"/>
      <c r="F212" s="3"/>
      <c r="G212" s="5"/>
      <c r="H212" s="3"/>
      <c r="I212" s="5"/>
      <c r="J212" s="3"/>
      <c r="K212" s="5"/>
      <c r="L212" s="3"/>
      <c r="M212" s="5"/>
      <c r="N212" s="5"/>
    </row>
    <row r="213">
      <c r="A213" s="2"/>
      <c r="B213" s="3"/>
      <c r="C213" s="3"/>
      <c r="D213" s="3"/>
      <c r="E213" s="4"/>
      <c r="F213" s="3"/>
      <c r="G213" s="5"/>
      <c r="H213" s="3"/>
      <c r="I213" s="5"/>
      <c r="J213" s="3"/>
      <c r="K213" s="5"/>
      <c r="L213" s="3"/>
      <c r="M213" s="5"/>
      <c r="N213" s="5"/>
    </row>
    <row r="214">
      <c r="A214" s="2"/>
      <c r="B214" s="3"/>
      <c r="C214" s="3"/>
      <c r="D214" s="3"/>
      <c r="E214" s="4"/>
      <c r="F214" s="3"/>
      <c r="G214" s="5"/>
      <c r="H214" s="3"/>
      <c r="I214" s="5"/>
      <c r="J214" s="3"/>
      <c r="K214" s="5"/>
      <c r="L214" s="3"/>
      <c r="M214" s="5"/>
      <c r="N214" s="5"/>
    </row>
    <row r="215">
      <c r="A215" s="2"/>
      <c r="B215" s="3"/>
      <c r="C215" s="3"/>
      <c r="D215" s="3"/>
      <c r="E215" s="4"/>
      <c r="F215" s="3"/>
      <c r="G215" s="5"/>
      <c r="H215" s="3"/>
      <c r="I215" s="5"/>
      <c r="J215" s="3"/>
      <c r="K215" s="5"/>
      <c r="L215" s="3"/>
      <c r="M215" s="5"/>
      <c r="N215" s="5"/>
    </row>
    <row r="216">
      <c r="A216" s="2"/>
      <c r="B216" s="3"/>
      <c r="C216" s="3"/>
      <c r="D216" s="3"/>
      <c r="E216" s="4"/>
      <c r="F216" s="3"/>
      <c r="G216" s="5"/>
      <c r="H216" s="3"/>
      <c r="I216" s="5"/>
      <c r="J216" s="3"/>
      <c r="K216" s="5"/>
      <c r="L216" s="3"/>
      <c r="M216" s="5"/>
      <c r="N216" s="5"/>
    </row>
    <row r="217">
      <c r="A217" s="2"/>
      <c r="B217" s="3"/>
      <c r="C217" s="3"/>
      <c r="D217" s="3"/>
      <c r="E217" s="4"/>
      <c r="F217" s="3"/>
      <c r="G217" s="5"/>
      <c r="H217" s="3"/>
      <c r="I217" s="5"/>
      <c r="J217" s="3"/>
      <c r="K217" s="5"/>
      <c r="L217" s="3"/>
      <c r="M217" s="5"/>
      <c r="N217" s="5"/>
    </row>
    <row r="218">
      <c r="A218" s="2"/>
      <c r="B218" s="3"/>
      <c r="C218" s="3"/>
      <c r="D218" s="3"/>
      <c r="E218" s="4"/>
      <c r="F218" s="3"/>
      <c r="G218" s="5"/>
      <c r="H218" s="3"/>
      <c r="I218" s="5"/>
      <c r="J218" s="3"/>
      <c r="K218" s="5"/>
      <c r="L218" s="3"/>
      <c r="M218" s="5"/>
      <c r="N218" s="5"/>
    </row>
    <row r="219">
      <c r="A219" s="2"/>
      <c r="B219" s="3"/>
      <c r="C219" s="3"/>
      <c r="D219" s="3"/>
      <c r="E219" s="4"/>
      <c r="F219" s="3"/>
      <c r="G219" s="5"/>
      <c r="H219" s="3"/>
      <c r="I219" s="5"/>
      <c r="J219" s="3"/>
      <c r="K219" s="5"/>
      <c r="L219" s="3"/>
      <c r="M219" s="5"/>
      <c r="N219" s="5"/>
    </row>
    <row r="220">
      <c r="A220" s="2"/>
      <c r="B220" s="3"/>
      <c r="C220" s="3"/>
      <c r="D220" s="3"/>
      <c r="E220" s="4"/>
      <c r="F220" s="3"/>
      <c r="G220" s="5"/>
      <c r="H220" s="3"/>
      <c r="I220" s="5"/>
      <c r="J220" s="3"/>
      <c r="K220" s="5"/>
      <c r="L220" s="3"/>
      <c r="M220" s="5"/>
      <c r="N220" s="5"/>
    </row>
    <row r="221">
      <c r="A221" s="2"/>
      <c r="B221" s="3"/>
      <c r="C221" s="3"/>
      <c r="D221" s="3"/>
      <c r="E221" s="4"/>
      <c r="F221" s="3"/>
      <c r="G221" s="5"/>
      <c r="H221" s="3"/>
      <c r="I221" s="5"/>
      <c r="J221" s="3"/>
      <c r="K221" s="5"/>
      <c r="L221" s="3"/>
      <c r="M221" s="5"/>
      <c r="N221" s="5"/>
    </row>
    <row r="222">
      <c r="A222" s="2"/>
      <c r="B222" s="3"/>
      <c r="C222" s="3"/>
      <c r="D222" s="3"/>
      <c r="E222" s="4"/>
      <c r="F222" s="3"/>
      <c r="G222" s="5"/>
      <c r="H222" s="3"/>
      <c r="I222" s="5"/>
      <c r="J222" s="3"/>
      <c r="K222" s="5"/>
      <c r="L222" s="3"/>
      <c r="M222" s="5"/>
      <c r="N222" s="5"/>
    </row>
    <row r="223">
      <c r="A223" s="2"/>
      <c r="B223" s="3"/>
      <c r="C223" s="3"/>
      <c r="D223" s="3"/>
      <c r="E223" s="4"/>
      <c r="F223" s="3"/>
      <c r="G223" s="5"/>
      <c r="H223" s="3"/>
      <c r="I223" s="5"/>
      <c r="J223" s="3"/>
      <c r="K223" s="5"/>
      <c r="L223" s="3"/>
      <c r="M223" s="5"/>
      <c r="N223" s="5"/>
    </row>
    <row r="224">
      <c r="A224" s="2"/>
      <c r="B224" s="3"/>
      <c r="C224" s="3"/>
      <c r="D224" s="3"/>
      <c r="E224" s="4"/>
      <c r="F224" s="3"/>
      <c r="G224" s="5"/>
      <c r="H224" s="3"/>
      <c r="I224" s="5"/>
      <c r="J224" s="3"/>
      <c r="K224" s="5"/>
      <c r="L224" s="3"/>
      <c r="M224" s="5"/>
      <c r="N224" s="5"/>
    </row>
    <row r="225">
      <c r="A225" s="2"/>
      <c r="B225" s="3"/>
      <c r="C225" s="3"/>
      <c r="D225" s="3"/>
      <c r="E225" s="4"/>
      <c r="F225" s="3"/>
      <c r="G225" s="5"/>
      <c r="H225" s="3"/>
      <c r="I225" s="5"/>
      <c r="J225" s="3"/>
      <c r="K225" s="5"/>
      <c r="L225" s="3"/>
      <c r="M225" s="5"/>
      <c r="N225" s="5"/>
    </row>
    <row r="226">
      <c r="A226" s="2"/>
      <c r="B226" s="3"/>
      <c r="C226" s="3"/>
      <c r="D226" s="3"/>
      <c r="E226" s="4"/>
      <c r="F226" s="3"/>
      <c r="G226" s="5"/>
      <c r="H226" s="3"/>
      <c r="I226" s="5"/>
      <c r="J226" s="3"/>
      <c r="K226" s="5"/>
      <c r="L226" s="3"/>
      <c r="M226" s="5"/>
      <c r="N226" s="5"/>
    </row>
    <row r="227">
      <c r="A227" s="2"/>
      <c r="B227" s="3"/>
      <c r="C227" s="3"/>
      <c r="D227" s="3"/>
      <c r="E227" s="4"/>
      <c r="F227" s="3"/>
      <c r="G227" s="5"/>
      <c r="H227" s="3"/>
      <c r="I227" s="5"/>
      <c r="J227" s="3"/>
      <c r="K227" s="5"/>
      <c r="L227" s="3"/>
      <c r="M227" s="5"/>
      <c r="N227" s="5"/>
    </row>
    <row r="228">
      <c r="A228" s="2"/>
      <c r="B228" s="3"/>
      <c r="C228" s="3"/>
      <c r="D228" s="3"/>
      <c r="E228" s="4"/>
      <c r="F228" s="3"/>
      <c r="G228" s="5"/>
      <c r="H228" s="3"/>
      <c r="I228" s="5"/>
      <c r="J228" s="3"/>
      <c r="K228" s="5"/>
      <c r="L228" s="3"/>
      <c r="M228" s="5"/>
      <c r="N228" s="5"/>
    </row>
    <row r="229">
      <c r="A229" s="2"/>
      <c r="B229" s="3"/>
      <c r="C229" s="3"/>
      <c r="D229" s="3"/>
      <c r="E229" s="4"/>
      <c r="F229" s="3"/>
      <c r="G229" s="5"/>
      <c r="H229" s="3"/>
      <c r="I229" s="5"/>
      <c r="J229" s="3"/>
      <c r="K229" s="5"/>
      <c r="L229" s="3"/>
      <c r="M229" s="5"/>
      <c r="N229" s="5"/>
    </row>
    <row r="230">
      <c r="A230" s="2"/>
      <c r="B230" s="3"/>
      <c r="C230" s="3"/>
      <c r="D230" s="3"/>
      <c r="E230" s="4"/>
      <c r="F230" s="3"/>
      <c r="G230" s="5"/>
      <c r="H230" s="3"/>
      <c r="I230" s="5"/>
      <c r="J230" s="3"/>
      <c r="K230" s="5"/>
      <c r="L230" s="3"/>
      <c r="M230" s="5"/>
      <c r="N230" s="5"/>
    </row>
    <row r="231">
      <c r="A231" s="2"/>
      <c r="B231" s="3"/>
      <c r="C231" s="3"/>
      <c r="D231" s="3"/>
      <c r="E231" s="4"/>
      <c r="F231" s="3"/>
      <c r="G231" s="5"/>
      <c r="H231" s="3"/>
      <c r="I231" s="5"/>
      <c r="J231" s="3"/>
      <c r="K231" s="5"/>
      <c r="L231" s="3"/>
      <c r="M231" s="5"/>
      <c r="N231" s="5"/>
    </row>
    <row r="232">
      <c r="A232" s="2"/>
      <c r="B232" s="3"/>
      <c r="C232" s="3"/>
      <c r="D232" s="3"/>
      <c r="E232" s="4"/>
      <c r="F232" s="3"/>
      <c r="G232" s="5"/>
      <c r="H232" s="3"/>
      <c r="I232" s="5"/>
      <c r="J232" s="3"/>
      <c r="K232" s="5"/>
      <c r="L232" s="3"/>
      <c r="M232" s="5"/>
      <c r="N232" s="5"/>
    </row>
    <row r="233">
      <c r="A233" s="2"/>
      <c r="B233" s="3"/>
      <c r="C233" s="3"/>
      <c r="D233" s="3"/>
      <c r="E233" s="4"/>
      <c r="F233" s="3"/>
      <c r="G233" s="5"/>
      <c r="H233" s="3"/>
      <c r="I233" s="5"/>
      <c r="J233" s="3"/>
      <c r="K233" s="5"/>
      <c r="L233" s="3"/>
      <c r="M233" s="5"/>
      <c r="N233" s="5"/>
    </row>
    <row r="234">
      <c r="A234" s="2"/>
      <c r="B234" s="3"/>
      <c r="C234" s="3"/>
      <c r="D234" s="3"/>
      <c r="E234" s="4"/>
      <c r="F234" s="3"/>
      <c r="G234" s="5"/>
      <c r="H234" s="3"/>
      <c r="I234" s="5"/>
      <c r="J234" s="3"/>
      <c r="K234" s="5"/>
      <c r="L234" s="3"/>
      <c r="M234" s="5"/>
      <c r="N234" s="5"/>
    </row>
    <row r="235">
      <c r="A235" s="2"/>
      <c r="B235" s="3"/>
      <c r="C235" s="3"/>
      <c r="D235" s="3"/>
      <c r="E235" s="4"/>
      <c r="F235" s="3"/>
      <c r="G235" s="5"/>
      <c r="H235" s="3"/>
      <c r="I235" s="5"/>
      <c r="J235" s="3"/>
      <c r="K235" s="5"/>
      <c r="L235" s="3"/>
      <c r="M235" s="5"/>
      <c r="N235" s="5"/>
    </row>
    <row r="236">
      <c r="A236" s="2"/>
      <c r="B236" s="3"/>
      <c r="C236" s="3"/>
      <c r="D236" s="3"/>
      <c r="E236" s="4"/>
      <c r="F236" s="3"/>
      <c r="G236" s="5"/>
      <c r="H236" s="3"/>
      <c r="I236" s="5"/>
      <c r="J236" s="3"/>
      <c r="K236" s="5"/>
      <c r="L236" s="3"/>
      <c r="M236" s="5"/>
      <c r="N236" s="5"/>
    </row>
    <row r="237">
      <c r="A237" s="2"/>
      <c r="B237" s="3"/>
      <c r="C237" s="3"/>
      <c r="D237" s="3"/>
      <c r="E237" s="4"/>
      <c r="F237" s="3"/>
      <c r="G237" s="5"/>
      <c r="H237" s="3"/>
      <c r="I237" s="5"/>
      <c r="J237" s="3"/>
      <c r="K237" s="5"/>
      <c r="L237" s="3"/>
      <c r="M237" s="5"/>
      <c r="N237" s="5"/>
    </row>
    <row r="238">
      <c r="A238" s="2"/>
      <c r="B238" s="3"/>
      <c r="C238" s="3"/>
      <c r="D238" s="3"/>
      <c r="E238" s="4"/>
      <c r="F238" s="3"/>
      <c r="G238" s="5"/>
      <c r="H238" s="3"/>
      <c r="I238" s="5"/>
      <c r="J238" s="3"/>
      <c r="K238" s="5"/>
      <c r="L238" s="3"/>
      <c r="M238" s="5"/>
      <c r="N238" s="5"/>
    </row>
    <row r="239">
      <c r="A239" s="2"/>
      <c r="B239" s="3"/>
      <c r="C239" s="3"/>
      <c r="D239" s="3"/>
      <c r="E239" s="4"/>
      <c r="F239" s="3"/>
      <c r="G239" s="5"/>
      <c r="H239" s="3"/>
      <c r="I239" s="5"/>
      <c r="J239" s="3"/>
      <c r="K239" s="5"/>
      <c r="L239" s="3"/>
      <c r="M239" s="5"/>
      <c r="N239" s="5"/>
    </row>
    <row r="240">
      <c r="A240" s="2"/>
      <c r="B240" s="3"/>
      <c r="C240" s="3"/>
      <c r="D240" s="3"/>
      <c r="E240" s="4"/>
      <c r="F240" s="3"/>
      <c r="G240" s="5"/>
      <c r="H240" s="3"/>
      <c r="I240" s="5"/>
      <c r="J240" s="3"/>
      <c r="K240" s="5"/>
      <c r="L240" s="3"/>
      <c r="M240" s="5"/>
      <c r="N240" s="5"/>
    </row>
    <row r="241">
      <c r="A241" s="2"/>
      <c r="B241" s="3"/>
      <c r="C241" s="3"/>
      <c r="D241" s="3"/>
      <c r="E241" s="4"/>
      <c r="F241" s="3"/>
      <c r="G241" s="5"/>
      <c r="H241" s="3"/>
      <c r="I241" s="5"/>
      <c r="J241" s="3"/>
      <c r="K241" s="5"/>
      <c r="L241" s="3"/>
      <c r="M241" s="5"/>
      <c r="N241" s="5"/>
    </row>
    <row r="242">
      <c r="A242" s="2"/>
      <c r="B242" s="3"/>
      <c r="C242" s="3"/>
      <c r="D242" s="3"/>
      <c r="E242" s="4"/>
      <c r="F242" s="3"/>
      <c r="G242" s="5"/>
      <c r="H242" s="3"/>
      <c r="I242" s="5"/>
      <c r="J242" s="3"/>
      <c r="K242" s="5"/>
      <c r="L242" s="3"/>
      <c r="M242" s="5"/>
      <c r="N242" s="5"/>
    </row>
    <row r="243">
      <c r="A243" s="2"/>
      <c r="B243" s="3"/>
      <c r="C243" s="3"/>
      <c r="D243" s="3"/>
      <c r="E243" s="4"/>
      <c r="F243" s="3"/>
      <c r="G243" s="5"/>
      <c r="H243" s="3"/>
      <c r="I243" s="5"/>
      <c r="J243" s="3"/>
      <c r="K243" s="5"/>
      <c r="L243" s="3"/>
      <c r="M243" s="5"/>
      <c r="N243" s="5"/>
    </row>
    <row r="244">
      <c r="A244" s="2"/>
      <c r="B244" s="3"/>
      <c r="C244" s="3"/>
      <c r="D244" s="3"/>
      <c r="E244" s="4"/>
      <c r="F244" s="3"/>
      <c r="G244" s="5"/>
      <c r="H244" s="3"/>
      <c r="I244" s="5"/>
      <c r="J244" s="3"/>
      <c r="K244" s="5"/>
      <c r="L244" s="3"/>
      <c r="M244" s="5"/>
      <c r="N244" s="5"/>
    </row>
    <row r="245">
      <c r="A245" s="2"/>
      <c r="B245" s="3"/>
      <c r="C245" s="3"/>
      <c r="D245" s="3"/>
      <c r="E245" s="4"/>
      <c r="F245" s="3"/>
      <c r="G245" s="5"/>
      <c r="H245" s="3"/>
      <c r="I245" s="5"/>
      <c r="J245" s="3"/>
      <c r="K245" s="5"/>
      <c r="L245" s="3"/>
      <c r="M245" s="5"/>
      <c r="N245" s="5"/>
    </row>
    <row r="246">
      <c r="A246" s="2"/>
      <c r="B246" s="3"/>
      <c r="C246" s="3"/>
      <c r="D246" s="3"/>
      <c r="E246" s="4"/>
      <c r="F246" s="3"/>
      <c r="G246" s="5"/>
      <c r="H246" s="3"/>
      <c r="I246" s="5"/>
      <c r="J246" s="3"/>
      <c r="K246" s="5"/>
      <c r="L246" s="3"/>
      <c r="M246" s="5"/>
      <c r="N246" s="5"/>
    </row>
    <row r="247">
      <c r="A247" s="2"/>
      <c r="B247" s="3"/>
      <c r="C247" s="3"/>
      <c r="D247" s="3"/>
      <c r="E247" s="4"/>
      <c r="F247" s="3"/>
      <c r="G247" s="5"/>
      <c r="H247" s="3"/>
      <c r="I247" s="5"/>
      <c r="J247" s="3"/>
      <c r="K247" s="5"/>
      <c r="L247" s="3"/>
      <c r="M247" s="5"/>
      <c r="N247" s="5"/>
    </row>
    <row r="248">
      <c r="A248" s="2"/>
      <c r="B248" s="3"/>
      <c r="C248" s="3"/>
      <c r="D248" s="3"/>
      <c r="E248" s="4"/>
      <c r="F248" s="3"/>
      <c r="G248" s="5"/>
      <c r="H248" s="3"/>
      <c r="I248" s="5"/>
      <c r="J248" s="3"/>
      <c r="K248" s="5"/>
      <c r="L248" s="3"/>
      <c r="M248" s="5"/>
      <c r="N248" s="5"/>
    </row>
    <row r="249">
      <c r="A249" s="2"/>
      <c r="B249" s="3"/>
      <c r="C249" s="3"/>
      <c r="D249" s="3"/>
      <c r="E249" s="4"/>
      <c r="F249" s="3"/>
      <c r="G249" s="5"/>
      <c r="H249" s="3"/>
      <c r="I249" s="5"/>
      <c r="J249" s="3"/>
      <c r="K249" s="5"/>
      <c r="L249" s="3"/>
      <c r="M249" s="5"/>
      <c r="N249" s="5"/>
    </row>
    <row r="250">
      <c r="A250" s="2"/>
      <c r="B250" s="3"/>
      <c r="C250" s="3"/>
      <c r="D250" s="3"/>
      <c r="E250" s="4"/>
      <c r="F250" s="3"/>
      <c r="G250" s="5"/>
      <c r="H250" s="3"/>
      <c r="I250" s="5"/>
      <c r="J250" s="3"/>
      <c r="K250" s="5"/>
      <c r="L250" s="3"/>
      <c r="M250" s="5"/>
      <c r="N250" s="5"/>
    </row>
    <row r="251">
      <c r="A251" s="2"/>
      <c r="B251" s="3"/>
      <c r="C251" s="3"/>
      <c r="D251" s="3"/>
      <c r="E251" s="4"/>
      <c r="F251" s="3"/>
      <c r="G251" s="5"/>
      <c r="H251" s="3"/>
      <c r="I251" s="5"/>
      <c r="J251" s="3"/>
      <c r="K251" s="5"/>
      <c r="L251" s="3"/>
      <c r="M251" s="5"/>
      <c r="N251" s="5"/>
    </row>
    <row r="252">
      <c r="A252" s="2"/>
      <c r="B252" s="3"/>
      <c r="C252" s="3"/>
      <c r="D252" s="3"/>
      <c r="E252" s="4"/>
      <c r="F252" s="3"/>
      <c r="G252" s="5"/>
      <c r="H252" s="3"/>
      <c r="I252" s="5"/>
      <c r="J252" s="3"/>
      <c r="K252" s="5"/>
      <c r="L252" s="3"/>
      <c r="M252" s="5"/>
      <c r="N252" s="5"/>
    </row>
    <row r="253">
      <c r="A253" s="2"/>
      <c r="B253" s="3"/>
      <c r="C253" s="3"/>
      <c r="D253" s="3"/>
      <c r="E253" s="4"/>
      <c r="F253" s="3"/>
      <c r="G253" s="5"/>
      <c r="H253" s="3"/>
      <c r="I253" s="5"/>
      <c r="J253" s="3"/>
      <c r="K253" s="5"/>
      <c r="L253" s="3"/>
      <c r="M253" s="5"/>
      <c r="N253" s="5"/>
    </row>
    <row r="254">
      <c r="A254" s="2"/>
      <c r="B254" s="3"/>
      <c r="C254" s="3"/>
      <c r="D254" s="3"/>
      <c r="E254" s="4"/>
      <c r="F254" s="3"/>
      <c r="G254" s="5"/>
      <c r="H254" s="3"/>
      <c r="I254" s="5"/>
      <c r="J254" s="3"/>
      <c r="K254" s="5"/>
      <c r="L254" s="3"/>
      <c r="M254" s="5"/>
      <c r="N254" s="5"/>
    </row>
    <row r="255">
      <c r="A255" s="2"/>
      <c r="B255" s="3"/>
      <c r="C255" s="3"/>
      <c r="D255" s="3"/>
      <c r="E255" s="4"/>
      <c r="F255" s="3"/>
      <c r="G255" s="5"/>
      <c r="H255" s="3"/>
      <c r="I255" s="5"/>
      <c r="J255" s="3"/>
      <c r="K255" s="5"/>
      <c r="L255" s="3"/>
      <c r="M255" s="5"/>
      <c r="N255" s="5"/>
    </row>
    <row r="256">
      <c r="A256" s="2"/>
      <c r="B256" s="3"/>
      <c r="C256" s="3"/>
      <c r="D256" s="3"/>
      <c r="E256" s="4"/>
      <c r="F256" s="3"/>
      <c r="G256" s="5"/>
      <c r="H256" s="3"/>
      <c r="I256" s="5"/>
      <c r="J256" s="3"/>
      <c r="K256" s="5"/>
      <c r="L256" s="3"/>
      <c r="M256" s="5"/>
      <c r="N256" s="5"/>
    </row>
    <row r="257">
      <c r="A257" s="2"/>
      <c r="B257" s="3"/>
      <c r="C257" s="3"/>
      <c r="D257" s="3"/>
      <c r="E257" s="4"/>
      <c r="F257" s="3"/>
      <c r="G257" s="5"/>
      <c r="H257" s="3"/>
      <c r="I257" s="5"/>
      <c r="J257" s="3"/>
      <c r="K257" s="5"/>
      <c r="L257" s="3"/>
      <c r="M257" s="5"/>
      <c r="N257" s="5"/>
    </row>
    <row r="258">
      <c r="A258" s="2"/>
      <c r="B258" s="3"/>
      <c r="C258" s="3"/>
      <c r="D258" s="3"/>
      <c r="E258" s="4"/>
      <c r="F258" s="3"/>
      <c r="G258" s="5"/>
      <c r="H258" s="3"/>
      <c r="I258" s="5"/>
      <c r="J258" s="3"/>
      <c r="K258" s="5"/>
      <c r="L258" s="3"/>
      <c r="M258" s="5"/>
      <c r="N258" s="5"/>
    </row>
    <row r="259">
      <c r="A259" s="2"/>
      <c r="B259" s="3"/>
      <c r="C259" s="3"/>
      <c r="D259" s="3"/>
      <c r="E259" s="4"/>
      <c r="F259" s="3"/>
      <c r="G259" s="5"/>
      <c r="H259" s="3"/>
      <c r="I259" s="5"/>
      <c r="J259" s="3"/>
      <c r="K259" s="5"/>
      <c r="L259" s="3"/>
      <c r="M259" s="5"/>
      <c r="N259" s="5"/>
    </row>
    <row r="260">
      <c r="A260" s="2"/>
      <c r="B260" s="3"/>
      <c r="C260" s="3"/>
      <c r="D260" s="3"/>
      <c r="E260" s="4"/>
      <c r="F260" s="3"/>
      <c r="G260" s="5"/>
      <c r="H260" s="3"/>
      <c r="I260" s="5"/>
      <c r="J260" s="3"/>
      <c r="K260" s="5"/>
      <c r="L260" s="3"/>
      <c r="M260" s="5"/>
      <c r="N260" s="5"/>
    </row>
    <row r="261">
      <c r="A261" s="2"/>
      <c r="B261" s="3"/>
      <c r="C261" s="3"/>
      <c r="D261" s="3"/>
      <c r="E261" s="4"/>
      <c r="F261" s="3"/>
      <c r="G261" s="5"/>
      <c r="H261" s="3"/>
      <c r="I261" s="5"/>
      <c r="J261" s="3"/>
      <c r="K261" s="5"/>
      <c r="L261" s="3"/>
      <c r="M261" s="5"/>
      <c r="N261" s="5"/>
    </row>
    <row r="262">
      <c r="A262" s="2"/>
      <c r="B262" s="3"/>
      <c r="C262" s="3"/>
      <c r="D262" s="3"/>
      <c r="E262" s="4"/>
      <c r="F262" s="3"/>
      <c r="G262" s="5"/>
      <c r="H262" s="3"/>
      <c r="I262" s="5"/>
      <c r="J262" s="3"/>
      <c r="K262" s="5"/>
      <c r="L262" s="3"/>
      <c r="M262" s="5"/>
      <c r="N262" s="5"/>
    </row>
    <row r="263">
      <c r="A263" s="2"/>
      <c r="B263" s="3"/>
      <c r="C263" s="3"/>
      <c r="D263" s="3"/>
      <c r="E263" s="4"/>
      <c r="F263" s="3"/>
      <c r="G263" s="5"/>
      <c r="H263" s="3"/>
      <c r="I263" s="5"/>
      <c r="J263" s="3"/>
      <c r="K263" s="5"/>
      <c r="L263" s="3"/>
      <c r="M263" s="5"/>
      <c r="N263" s="5"/>
    </row>
    <row r="264">
      <c r="A264" s="2"/>
      <c r="B264" s="3"/>
      <c r="C264" s="3"/>
      <c r="D264" s="3"/>
      <c r="E264" s="4"/>
      <c r="F264" s="3"/>
      <c r="G264" s="5"/>
      <c r="H264" s="3"/>
      <c r="I264" s="5"/>
      <c r="J264" s="3"/>
      <c r="K264" s="5"/>
      <c r="L264" s="3"/>
      <c r="M264" s="5"/>
      <c r="N264" s="5"/>
    </row>
    <row r="265">
      <c r="A265" s="2"/>
      <c r="B265" s="3"/>
      <c r="C265" s="3"/>
      <c r="D265" s="3"/>
      <c r="E265" s="4"/>
      <c r="F265" s="3"/>
      <c r="G265" s="5"/>
      <c r="H265" s="3"/>
      <c r="I265" s="5"/>
      <c r="J265" s="3"/>
      <c r="K265" s="5"/>
      <c r="L265" s="3"/>
      <c r="M265" s="5"/>
      <c r="N265" s="5"/>
    </row>
    <row r="266">
      <c r="A266" s="2"/>
      <c r="B266" s="3"/>
      <c r="C266" s="3"/>
      <c r="D266" s="3"/>
      <c r="E266" s="4"/>
      <c r="F266" s="3"/>
      <c r="G266" s="5"/>
      <c r="H266" s="3"/>
      <c r="I266" s="5"/>
      <c r="J266" s="3"/>
      <c r="K266" s="5"/>
      <c r="L266" s="3"/>
      <c r="M266" s="5"/>
      <c r="N266" s="5"/>
    </row>
    <row r="267">
      <c r="A267" s="2"/>
      <c r="B267" s="3"/>
      <c r="C267" s="3"/>
      <c r="D267" s="3"/>
      <c r="E267" s="4"/>
      <c r="F267" s="3"/>
      <c r="G267" s="5"/>
      <c r="H267" s="3"/>
      <c r="I267" s="5"/>
      <c r="J267" s="3"/>
      <c r="K267" s="5"/>
      <c r="L267" s="3"/>
      <c r="M267" s="5"/>
      <c r="N267" s="5"/>
    </row>
    <row r="268">
      <c r="A268" s="2"/>
      <c r="B268" s="3"/>
      <c r="C268" s="3"/>
      <c r="D268" s="3"/>
      <c r="E268" s="4"/>
      <c r="F268" s="3"/>
      <c r="G268" s="5"/>
      <c r="H268" s="3"/>
      <c r="I268" s="5"/>
      <c r="J268" s="3"/>
      <c r="K268" s="5"/>
      <c r="L268" s="3"/>
      <c r="M268" s="5"/>
      <c r="N268" s="5"/>
    </row>
    <row r="269">
      <c r="A269" s="2"/>
      <c r="B269" s="3"/>
      <c r="C269" s="3"/>
      <c r="D269" s="3"/>
      <c r="E269" s="4"/>
      <c r="F269" s="3"/>
      <c r="G269" s="5"/>
      <c r="H269" s="3"/>
      <c r="I269" s="5"/>
      <c r="J269" s="3"/>
      <c r="K269" s="5"/>
      <c r="L269" s="3"/>
      <c r="M269" s="5"/>
      <c r="N269" s="5"/>
    </row>
    <row r="270">
      <c r="A270" s="2"/>
      <c r="B270" s="3"/>
      <c r="C270" s="3"/>
      <c r="D270" s="3"/>
      <c r="E270" s="4"/>
      <c r="F270" s="3"/>
      <c r="G270" s="5"/>
      <c r="H270" s="3"/>
      <c r="I270" s="5"/>
      <c r="J270" s="3"/>
      <c r="K270" s="5"/>
      <c r="L270" s="3"/>
      <c r="M270" s="5"/>
      <c r="N270" s="5"/>
    </row>
    <row r="271">
      <c r="A271" s="2"/>
      <c r="B271" s="3"/>
      <c r="C271" s="3"/>
      <c r="D271" s="3"/>
      <c r="E271" s="4"/>
      <c r="F271" s="3"/>
      <c r="G271" s="5"/>
      <c r="H271" s="3"/>
      <c r="I271" s="5"/>
      <c r="J271" s="3"/>
      <c r="K271" s="5"/>
      <c r="L271" s="3"/>
      <c r="M271" s="5"/>
      <c r="N271" s="5"/>
    </row>
    <row r="272">
      <c r="A272" s="2"/>
      <c r="B272" s="3"/>
      <c r="C272" s="3"/>
      <c r="D272" s="3"/>
      <c r="E272" s="4"/>
      <c r="F272" s="3"/>
      <c r="G272" s="5"/>
      <c r="H272" s="3"/>
      <c r="I272" s="5"/>
      <c r="J272" s="3"/>
      <c r="K272" s="5"/>
      <c r="L272" s="3"/>
      <c r="M272" s="5"/>
      <c r="N272" s="5"/>
    </row>
    <row r="273">
      <c r="A273" s="2"/>
      <c r="B273" s="3"/>
      <c r="C273" s="3"/>
      <c r="D273" s="3"/>
      <c r="E273" s="4"/>
      <c r="F273" s="3"/>
      <c r="G273" s="5"/>
      <c r="H273" s="3"/>
      <c r="I273" s="5"/>
      <c r="J273" s="3"/>
      <c r="K273" s="5"/>
      <c r="L273" s="3"/>
      <c r="M273" s="5"/>
      <c r="N273" s="5"/>
    </row>
    <row r="274">
      <c r="A274" s="2"/>
      <c r="B274" s="3"/>
      <c r="C274" s="3"/>
      <c r="D274" s="3"/>
      <c r="E274" s="4"/>
      <c r="F274" s="3"/>
      <c r="G274" s="5"/>
      <c r="H274" s="3"/>
      <c r="I274" s="5"/>
      <c r="J274" s="3"/>
      <c r="K274" s="5"/>
      <c r="L274" s="3"/>
      <c r="M274" s="5"/>
      <c r="N274" s="5"/>
    </row>
    <row r="275">
      <c r="A275" s="2"/>
      <c r="B275" s="3"/>
      <c r="C275" s="3"/>
      <c r="D275" s="3"/>
      <c r="E275" s="4"/>
      <c r="F275" s="3"/>
      <c r="G275" s="5"/>
      <c r="H275" s="3"/>
      <c r="I275" s="5"/>
      <c r="J275" s="3"/>
      <c r="K275" s="5"/>
      <c r="L275" s="3"/>
      <c r="M275" s="5"/>
      <c r="N275" s="5"/>
    </row>
    <row r="276">
      <c r="A276" s="2"/>
      <c r="B276" s="3"/>
      <c r="C276" s="3"/>
      <c r="D276" s="3"/>
      <c r="E276" s="4"/>
      <c r="F276" s="3"/>
      <c r="G276" s="5"/>
      <c r="H276" s="3"/>
      <c r="I276" s="5"/>
      <c r="J276" s="3"/>
      <c r="K276" s="5"/>
      <c r="L276" s="3"/>
      <c r="M276" s="5"/>
      <c r="N276" s="5"/>
    </row>
    <row r="277">
      <c r="A277" s="2"/>
      <c r="B277" s="3"/>
      <c r="C277" s="3"/>
      <c r="D277" s="3"/>
      <c r="E277" s="4"/>
      <c r="F277" s="3"/>
      <c r="G277" s="5"/>
      <c r="H277" s="3"/>
      <c r="I277" s="5"/>
      <c r="J277" s="3"/>
      <c r="K277" s="5"/>
      <c r="L277" s="3"/>
      <c r="M277" s="5"/>
      <c r="N277" s="5"/>
    </row>
    <row r="278">
      <c r="A278" s="2"/>
      <c r="B278" s="3"/>
      <c r="C278" s="3"/>
      <c r="D278" s="3"/>
      <c r="E278" s="4"/>
      <c r="F278" s="3"/>
      <c r="G278" s="5"/>
      <c r="H278" s="3"/>
      <c r="I278" s="5"/>
      <c r="J278" s="3"/>
      <c r="K278" s="5"/>
      <c r="L278" s="3"/>
      <c r="M278" s="5"/>
      <c r="N278" s="5"/>
    </row>
    <row r="279">
      <c r="A279" s="2"/>
      <c r="B279" s="3"/>
      <c r="C279" s="3"/>
      <c r="D279" s="3"/>
      <c r="E279" s="4"/>
      <c r="F279" s="3"/>
      <c r="G279" s="5"/>
      <c r="H279" s="3"/>
      <c r="I279" s="5"/>
      <c r="J279" s="3"/>
      <c r="K279" s="5"/>
      <c r="L279" s="3"/>
      <c r="M279" s="5"/>
      <c r="N279" s="5"/>
    </row>
    <row r="280">
      <c r="A280" s="2"/>
      <c r="B280" s="3"/>
      <c r="C280" s="3"/>
      <c r="D280" s="3"/>
      <c r="E280" s="4"/>
      <c r="F280" s="3"/>
      <c r="G280" s="5"/>
      <c r="H280" s="3"/>
      <c r="I280" s="5"/>
      <c r="J280" s="3"/>
      <c r="K280" s="5"/>
      <c r="L280" s="3"/>
      <c r="M280" s="5"/>
      <c r="N280" s="5"/>
    </row>
    <row r="281">
      <c r="A281" s="2"/>
      <c r="B281" s="3"/>
      <c r="C281" s="3"/>
      <c r="D281" s="3"/>
      <c r="E281" s="4"/>
      <c r="F281" s="3"/>
      <c r="G281" s="5"/>
      <c r="H281" s="3"/>
      <c r="I281" s="5"/>
      <c r="J281" s="3"/>
      <c r="K281" s="5"/>
      <c r="L281" s="3"/>
      <c r="M281" s="5"/>
      <c r="N281" s="5"/>
    </row>
    <row r="282">
      <c r="A282" s="2"/>
      <c r="B282" s="3"/>
      <c r="C282" s="3"/>
      <c r="D282" s="3"/>
      <c r="E282" s="4"/>
      <c r="F282" s="3"/>
      <c r="G282" s="5"/>
      <c r="H282" s="3"/>
      <c r="I282" s="5"/>
      <c r="J282" s="3"/>
      <c r="K282" s="5"/>
      <c r="L282" s="3"/>
      <c r="M282" s="5"/>
      <c r="N282" s="5"/>
    </row>
    <row r="283">
      <c r="A283" s="2"/>
      <c r="B283" s="3"/>
      <c r="C283" s="3"/>
      <c r="D283" s="3"/>
      <c r="E283" s="4"/>
      <c r="F283" s="3"/>
      <c r="G283" s="5"/>
      <c r="H283" s="3"/>
      <c r="I283" s="5"/>
      <c r="J283" s="3"/>
      <c r="K283" s="5"/>
      <c r="L283" s="3"/>
      <c r="M283" s="5"/>
      <c r="N283" s="5"/>
    </row>
    <row r="284">
      <c r="A284" s="2"/>
      <c r="B284" s="3"/>
      <c r="C284" s="3"/>
      <c r="D284" s="3"/>
      <c r="E284" s="4"/>
      <c r="F284" s="3"/>
      <c r="G284" s="5"/>
      <c r="H284" s="3"/>
      <c r="I284" s="5"/>
      <c r="J284" s="3"/>
      <c r="K284" s="5"/>
      <c r="L284" s="3"/>
      <c r="M284" s="5"/>
      <c r="N284" s="5"/>
    </row>
    <row r="285">
      <c r="A285" s="2"/>
      <c r="B285" s="3"/>
      <c r="C285" s="3"/>
      <c r="D285" s="3"/>
      <c r="E285" s="4"/>
      <c r="F285" s="3"/>
      <c r="G285" s="5"/>
      <c r="H285" s="3"/>
      <c r="I285" s="5"/>
      <c r="J285" s="3"/>
      <c r="K285" s="5"/>
      <c r="L285" s="3"/>
      <c r="M285" s="5"/>
      <c r="N285" s="5"/>
    </row>
    <row r="286">
      <c r="A286" s="2"/>
      <c r="B286" s="3"/>
      <c r="C286" s="3"/>
      <c r="D286" s="3"/>
      <c r="E286" s="4"/>
      <c r="F286" s="3"/>
      <c r="G286" s="5"/>
      <c r="H286" s="3"/>
      <c r="I286" s="5"/>
      <c r="J286" s="3"/>
      <c r="K286" s="5"/>
      <c r="L286" s="3"/>
      <c r="M286" s="5"/>
      <c r="N286" s="5"/>
    </row>
    <row r="287">
      <c r="A287" s="2"/>
      <c r="B287" s="3"/>
      <c r="C287" s="3"/>
      <c r="D287" s="3"/>
      <c r="E287" s="4"/>
      <c r="F287" s="3"/>
      <c r="G287" s="5"/>
      <c r="H287" s="3"/>
      <c r="I287" s="5"/>
      <c r="J287" s="3"/>
      <c r="K287" s="5"/>
      <c r="L287" s="3"/>
      <c r="M287" s="5"/>
      <c r="N287" s="5"/>
    </row>
    <row r="288">
      <c r="A288" s="2"/>
      <c r="B288" s="3"/>
      <c r="C288" s="3"/>
      <c r="D288" s="3"/>
      <c r="E288" s="4"/>
      <c r="F288" s="3"/>
      <c r="G288" s="5"/>
      <c r="H288" s="3"/>
      <c r="I288" s="5"/>
      <c r="J288" s="3"/>
      <c r="K288" s="5"/>
      <c r="L288" s="3"/>
      <c r="M288" s="5"/>
      <c r="N288" s="5"/>
    </row>
    <row r="289">
      <c r="A289" s="2"/>
      <c r="B289" s="3"/>
      <c r="C289" s="3"/>
      <c r="D289" s="3"/>
      <c r="E289" s="4"/>
      <c r="F289" s="3"/>
      <c r="G289" s="5"/>
      <c r="H289" s="3"/>
      <c r="I289" s="5"/>
      <c r="J289" s="3"/>
      <c r="K289" s="5"/>
      <c r="L289" s="3"/>
      <c r="M289" s="5"/>
      <c r="N289" s="5"/>
    </row>
    <row r="290">
      <c r="A290" s="2"/>
      <c r="B290" s="3"/>
      <c r="C290" s="3"/>
      <c r="D290" s="3"/>
      <c r="E290" s="4"/>
      <c r="F290" s="3"/>
      <c r="G290" s="5"/>
      <c r="H290" s="3"/>
      <c r="I290" s="5"/>
      <c r="J290" s="3"/>
      <c r="K290" s="5"/>
      <c r="L290" s="3"/>
      <c r="M290" s="5"/>
      <c r="N290" s="5"/>
    </row>
    <row r="291">
      <c r="A291" s="2"/>
      <c r="B291" s="3"/>
      <c r="C291" s="3"/>
      <c r="D291" s="3"/>
      <c r="E291" s="4"/>
      <c r="F291" s="3"/>
      <c r="G291" s="5"/>
      <c r="H291" s="3"/>
      <c r="I291" s="5"/>
      <c r="J291" s="3"/>
      <c r="K291" s="5"/>
      <c r="L291" s="3"/>
      <c r="M291" s="5"/>
      <c r="N291" s="5"/>
    </row>
    <row r="292">
      <c r="A292" s="2"/>
      <c r="B292" s="3"/>
      <c r="C292" s="3"/>
      <c r="D292" s="3"/>
      <c r="E292" s="4"/>
      <c r="F292" s="3"/>
      <c r="G292" s="5"/>
      <c r="H292" s="3"/>
      <c r="I292" s="5"/>
      <c r="J292" s="3"/>
      <c r="K292" s="5"/>
      <c r="L292" s="3"/>
      <c r="M292" s="5"/>
      <c r="N292" s="5"/>
    </row>
    <row r="293">
      <c r="A293" s="2"/>
      <c r="B293" s="3"/>
      <c r="C293" s="3"/>
      <c r="D293" s="3"/>
      <c r="E293" s="4"/>
      <c r="F293" s="3"/>
      <c r="G293" s="5"/>
      <c r="H293" s="3"/>
      <c r="I293" s="5"/>
      <c r="J293" s="3"/>
      <c r="K293" s="5"/>
      <c r="L293" s="3"/>
      <c r="M293" s="5"/>
      <c r="N293" s="5"/>
    </row>
    <row r="294">
      <c r="A294" s="2"/>
      <c r="B294" s="3"/>
      <c r="C294" s="3"/>
      <c r="D294" s="3"/>
      <c r="E294" s="4"/>
      <c r="F294" s="3"/>
      <c r="G294" s="5"/>
      <c r="H294" s="3"/>
      <c r="I294" s="5"/>
      <c r="J294" s="3"/>
      <c r="K294" s="5"/>
      <c r="L294" s="3"/>
      <c r="M294" s="5"/>
      <c r="N294" s="5"/>
    </row>
    <row r="295">
      <c r="A295" s="2"/>
      <c r="B295" s="3"/>
      <c r="C295" s="3"/>
      <c r="D295" s="3"/>
      <c r="E295" s="4"/>
      <c r="F295" s="3"/>
      <c r="G295" s="5"/>
      <c r="H295" s="3"/>
      <c r="I295" s="5"/>
      <c r="J295" s="3"/>
      <c r="K295" s="5"/>
      <c r="L295" s="3"/>
      <c r="M295" s="5"/>
      <c r="N295" s="5"/>
    </row>
    <row r="296">
      <c r="A296" s="2"/>
      <c r="B296" s="3"/>
      <c r="C296" s="3"/>
      <c r="D296" s="3"/>
      <c r="E296" s="4"/>
      <c r="F296" s="3"/>
      <c r="G296" s="5"/>
      <c r="H296" s="3"/>
      <c r="I296" s="5"/>
      <c r="J296" s="3"/>
      <c r="K296" s="5"/>
      <c r="L296" s="3"/>
      <c r="M296" s="5"/>
      <c r="N296" s="5"/>
    </row>
    <row r="297">
      <c r="A297" s="2"/>
      <c r="B297" s="3"/>
      <c r="C297" s="3"/>
      <c r="D297" s="3"/>
      <c r="E297" s="4"/>
      <c r="F297" s="3"/>
      <c r="G297" s="5"/>
      <c r="H297" s="3"/>
      <c r="I297" s="5"/>
      <c r="J297" s="3"/>
      <c r="K297" s="5"/>
      <c r="L297" s="3"/>
      <c r="M297" s="5"/>
      <c r="N297" s="5"/>
    </row>
    <row r="298">
      <c r="A298" s="2"/>
      <c r="B298" s="3"/>
      <c r="C298" s="3"/>
      <c r="D298" s="3"/>
      <c r="E298" s="4"/>
      <c r="F298" s="3"/>
      <c r="G298" s="5"/>
      <c r="H298" s="3"/>
      <c r="I298" s="5"/>
      <c r="J298" s="3"/>
      <c r="K298" s="5"/>
      <c r="L298" s="3"/>
      <c r="M298" s="5"/>
      <c r="N298" s="5"/>
    </row>
    <row r="299">
      <c r="A299" s="2"/>
      <c r="B299" s="3"/>
      <c r="C299" s="3"/>
      <c r="D299" s="3"/>
      <c r="E299" s="4"/>
      <c r="F299" s="3"/>
      <c r="G299" s="5"/>
      <c r="H299" s="3"/>
      <c r="I299" s="5"/>
      <c r="J299" s="3"/>
      <c r="K299" s="5"/>
      <c r="L299" s="3"/>
      <c r="M299" s="5"/>
      <c r="N299" s="5"/>
    </row>
    <row r="300">
      <c r="A300" s="2"/>
      <c r="B300" s="3"/>
      <c r="C300" s="3"/>
      <c r="D300" s="3"/>
      <c r="E300" s="4"/>
      <c r="F300" s="3"/>
      <c r="G300" s="5"/>
      <c r="H300" s="3"/>
      <c r="I300" s="5"/>
      <c r="J300" s="3"/>
      <c r="K300" s="5"/>
      <c r="L300" s="3"/>
      <c r="M300" s="5"/>
      <c r="N300" s="5"/>
    </row>
    <row r="301">
      <c r="A301" s="2"/>
      <c r="B301" s="3"/>
      <c r="C301" s="3"/>
      <c r="D301" s="3"/>
      <c r="E301" s="4"/>
      <c r="F301" s="3"/>
      <c r="G301" s="5"/>
      <c r="H301" s="3"/>
      <c r="I301" s="5"/>
      <c r="J301" s="3"/>
      <c r="K301" s="5"/>
      <c r="L301" s="3"/>
      <c r="M301" s="5"/>
      <c r="N301" s="5"/>
    </row>
    <row r="302">
      <c r="A302" s="2"/>
      <c r="B302" s="3"/>
      <c r="C302" s="3"/>
      <c r="D302" s="3"/>
      <c r="E302" s="4"/>
      <c r="F302" s="3"/>
      <c r="G302" s="5"/>
      <c r="H302" s="3"/>
      <c r="I302" s="5"/>
      <c r="J302" s="3"/>
      <c r="K302" s="5"/>
      <c r="L302" s="3"/>
      <c r="M302" s="5"/>
      <c r="N302" s="5"/>
    </row>
    <row r="303">
      <c r="A303" s="2"/>
      <c r="B303" s="3"/>
      <c r="C303" s="3"/>
      <c r="D303" s="3"/>
      <c r="E303" s="4"/>
      <c r="F303" s="3"/>
      <c r="G303" s="5"/>
      <c r="H303" s="3"/>
      <c r="I303" s="5"/>
      <c r="J303" s="3"/>
      <c r="K303" s="5"/>
      <c r="L303" s="3"/>
      <c r="M303" s="5"/>
      <c r="N303" s="5"/>
    </row>
    <row r="304">
      <c r="A304" s="2"/>
      <c r="B304" s="3"/>
      <c r="C304" s="3"/>
      <c r="D304" s="3"/>
      <c r="E304" s="4"/>
      <c r="F304" s="3"/>
      <c r="G304" s="5"/>
      <c r="H304" s="3"/>
      <c r="I304" s="5"/>
      <c r="J304" s="3"/>
      <c r="K304" s="5"/>
      <c r="L304" s="3"/>
      <c r="M304" s="5"/>
      <c r="N304" s="5"/>
    </row>
    <row r="305">
      <c r="A305" s="2"/>
      <c r="B305" s="3"/>
      <c r="C305" s="3"/>
      <c r="D305" s="3"/>
      <c r="E305" s="4"/>
      <c r="F305" s="3"/>
      <c r="G305" s="5"/>
      <c r="H305" s="3"/>
      <c r="I305" s="5"/>
      <c r="J305" s="3"/>
      <c r="K305" s="5"/>
      <c r="L305" s="3"/>
      <c r="M305" s="5"/>
      <c r="N305" s="5"/>
    </row>
    <row r="306">
      <c r="A306" s="2"/>
      <c r="B306" s="3"/>
      <c r="C306" s="3"/>
      <c r="D306" s="3"/>
      <c r="E306" s="4"/>
      <c r="F306" s="3"/>
      <c r="G306" s="5"/>
      <c r="H306" s="3"/>
      <c r="I306" s="5"/>
      <c r="J306" s="3"/>
      <c r="K306" s="5"/>
      <c r="L306" s="3"/>
      <c r="M306" s="5"/>
      <c r="N306" s="5"/>
    </row>
    <row r="307">
      <c r="A307" s="2"/>
      <c r="B307" s="3"/>
      <c r="C307" s="3"/>
      <c r="D307" s="3"/>
      <c r="E307" s="4"/>
      <c r="F307" s="3"/>
      <c r="G307" s="5"/>
      <c r="H307" s="3"/>
      <c r="I307" s="5"/>
      <c r="J307" s="3"/>
      <c r="K307" s="5"/>
      <c r="L307" s="3"/>
      <c r="M307" s="5"/>
      <c r="N307" s="5"/>
    </row>
    <row r="308">
      <c r="A308" s="2"/>
      <c r="B308" s="3"/>
      <c r="C308" s="3"/>
      <c r="D308" s="3"/>
      <c r="E308" s="4"/>
      <c r="F308" s="3"/>
      <c r="G308" s="5"/>
      <c r="H308" s="3"/>
      <c r="I308" s="5"/>
      <c r="J308" s="3"/>
      <c r="K308" s="5"/>
      <c r="L308" s="3"/>
      <c r="M308" s="5"/>
      <c r="N308" s="5"/>
    </row>
    <row r="309">
      <c r="A309" s="2"/>
      <c r="B309" s="3"/>
      <c r="C309" s="3"/>
      <c r="D309" s="3"/>
      <c r="E309" s="4"/>
      <c r="F309" s="3"/>
      <c r="G309" s="5"/>
      <c r="H309" s="3"/>
      <c r="I309" s="5"/>
      <c r="J309" s="3"/>
      <c r="K309" s="5"/>
      <c r="L309" s="3"/>
      <c r="M309" s="5"/>
      <c r="N309" s="5"/>
    </row>
    <row r="310">
      <c r="A310" s="2"/>
      <c r="B310" s="3"/>
      <c r="C310" s="3"/>
      <c r="D310" s="3"/>
      <c r="E310" s="4"/>
      <c r="F310" s="3"/>
      <c r="G310" s="5"/>
      <c r="H310" s="3"/>
      <c r="I310" s="5"/>
      <c r="J310" s="3"/>
      <c r="K310" s="5"/>
      <c r="L310" s="3"/>
      <c r="M310" s="5"/>
      <c r="N310" s="5"/>
    </row>
    <row r="311">
      <c r="A311" s="2"/>
      <c r="B311" s="3"/>
      <c r="C311" s="3"/>
      <c r="D311" s="3"/>
      <c r="E311" s="4"/>
      <c r="F311" s="3"/>
      <c r="G311" s="5"/>
      <c r="H311" s="3"/>
      <c r="I311" s="5"/>
      <c r="J311" s="3"/>
      <c r="K311" s="5"/>
      <c r="L311" s="3"/>
      <c r="M311" s="5"/>
      <c r="N311" s="5"/>
    </row>
    <row r="312">
      <c r="A312" s="2"/>
      <c r="B312" s="3"/>
      <c r="C312" s="3"/>
      <c r="D312" s="3"/>
      <c r="E312" s="4"/>
      <c r="F312" s="3"/>
      <c r="G312" s="5"/>
      <c r="H312" s="3"/>
      <c r="I312" s="5"/>
      <c r="J312" s="3"/>
      <c r="K312" s="5"/>
      <c r="L312" s="3"/>
      <c r="M312" s="5"/>
      <c r="N312" s="5"/>
    </row>
    <row r="313">
      <c r="A313" s="2"/>
      <c r="B313" s="3"/>
      <c r="C313" s="3"/>
      <c r="D313" s="3"/>
      <c r="E313" s="4"/>
      <c r="F313" s="3"/>
      <c r="G313" s="5"/>
      <c r="H313" s="3"/>
      <c r="I313" s="5"/>
      <c r="J313" s="3"/>
      <c r="K313" s="5"/>
      <c r="L313" s="3"/>
      <c r="M313" s="5"/>
      <c r="N313" s="5"/>
    </row>
    <row r="314">
      <c r="A314" s="2"/>
      <c r="B314" s="3"/>
      <c r="C314" s="3"/>
      <c r="D314" s="3"/>
      <c r="E314" s="4"/>
      <c r="F314" s="3"/>
      <c r="G314" s="5"/>
      <c r="H314" s="3"/>
      <c r="I314" s="5"/>
      <c r="J314" s="3"/>
      <c r="K314" s="5"/>
      <c r="L314" s="3"/>
      <c r="M314" s="5"/>
      <c r="N314" s="5"/>
    </row>
    <row r="315">
      <c r="A315" s="2"/>
      <c r="B315" s="3"/>
      <c r="C315" s="3"/>
      <c r="D315" s="3"/>
      <c r="E315" s="4"/>
      <c r="F315" s="3"/>
      <c r="G315" s="5"/>
      <c r="H315" s="3"/>
      <c r="I315" s="5"/>
      <c r="J315" s="3"/>
      <c r="K315" s="5"/>
      <c r="L315" s="3"/>
      <c r="M315" s="5"/>
      <c r="N315" s="5"/>
    </row>
    <row r="316">
      <c r="A316" s="2"/>
      <c r="B316" s="3"/>
      <c r="C316" s="3"/>
      <c r="D316" s="3"/>
      <c r="E316" s="4"/>
      <c r="F316" s="3"/>
      <c r="G316" s="5"/>
      <c r="H316" s="3"/>
      <c r="I316" s="5"/>
      <c r="J316" s="3"/>
      <c r="K316" s="5"/>
      <c r="L316" s="3"/>
      <c r="M316" s="5"/>
      <c r="N316" s="5"/>
    </row>
    <row r="317">
      <c r="A317" s="2"/>
      <c r="B317" s="3"/>
      <c r="C317" s="3"/>
      <c r="D317" s="3"/>
      <c r="E317" s="4"/>
      <c r="F317" s="3"/>
      <c r="G317" s="5"/>
      <c r="H317" s="3"/>
      <c r="I317" s="5"/>
      <c r="J317" s="3"/>
      <c r="K317" s="5"/>
      <c r="L317" s="3"/>
      <c r="M317" s="5"/>
      <c r="N317" s="5"/>
    </row>
    <row r="318">
      <c r="A318" s="2"/>
      <c r="B318" s="3"/>
      <c r="C318" s="3"/>
      <c r="D318" s="3"/>
      <c r="E318" s="4"/>
      <c r="F318" s="3"/>
      <c r="G318" s="5"/>
      <c r="H318" s="3"/>
      <c r="I318" s="5"/>
      <c r="J318" s="3"/>
      <c r="K318" s="5"/>
      <c r="L318" s="3"/>
      <c r="M318" s="5"/>
      <c r="N318" s="5"/>
    </row>
    <row r="319">
      <c r="A319" s="2"/>
      <c r="B319" s="3"/>
      <c r="C319" s="3"/>
      <c r="D319" s="3"/>
      <c r="E319" s="4"/>
      <c r="F319" s="3"/>
      <c r="G319" s="5"/>
      <c r="H319" s="3"/>
      <c r="I319" s="5"/>
      <c r="J319" s="3"/>
      <c r="K319" s="5"/>
      <c r="L319" s="3"/>
      <c r="M319" s="5"/>
      <c r="N319" s="5"/>
    </row>
    <row r="320">
      <c r="A320" s="2"/>
      <c r="B320" s="3"/>
      <c r="C320" s="3"/>
      <c r="D320" s="3"/>
      <c r="E320" s="4"/>
      <c r="F320" s="3"/>
      <c r="G320" s="5"/>
      <c r="H320" s="3"/>
      <c r="I320" s="5"/>
      <c r="J320" s="3"/>
      <c r="K320" s="5"/>
      <c r="L320" s="3"/>
      <c r="M320" s="5"/>
      <c r="N320" s="5"/>
    </row>
    <row r="321">
      <c r="A321" s="2"/>
      <c r="B321" s="3"/>
      <c r="C321" s="3"/>
      <c r="D321" s="3"/>
      <c r="E321" s="4"/>
      <c r="F321" s="3"/>
      <c r="G321" s="5"/>
      <c r="H321" s="3"/>
      <c r="I321" s="5"/>
      <c r="J321" s="3"/>
      <c r="K321" s="5"/>
      <c r="L321" s="3"/>
      <c r="M321" s="5"/>
      <c r="N321" s="5"/>
    </row>
    <row r="322">
      <c r="A322" s="2"/>
      <c r="B322" s="3"/>
      <c r="C322" s="3"/>
      <c r="D322" s="3"/>
      <c r="E322" s="4"/>
      <c r="F322" s="3"/>
      <c r="G322" s="5"/>
      <c r="H322" s="3"/>
      <c r="I322" s="5"/>
      <c r="J322" s="3"/>
      <c r="K322" s="5"/>
      <c r="L322" s="3"/>
      <c r="M322" s="5"/>
      <c r="N322" s="5"/>
    </row>
    <row r="323">
      <c r="A323" s="2"/>
      <c r="B323" s="3"/>
      <c r="C323" s="3"/>
      <c r="D323" s="3"/>
      <c r="E323" s="4"/>
      <c r="F323" s="3"/>
      <c r="G323" s="5"/>
      <c r="H323" s="3"/>
      <c r="I323" s="5"/>
      <c r="J323" s="3"/>
      <c r="K323" s="5"/>
      <c r="L323" s="3"/>
      <c r="M323" s="5"/>
      <c r="N323" s="5"/>
    </row>
    <row r="324">
      <c r="A324" s="2"/>
      <c r="B324" s="3"/>
      <c r="C324" s="3"/>
      <c r="D324" s="3"/>
      <c r="E324" s="4"/>
      <c r="F324" s="3"/>
      <c r="G324" s="5"/>
      <c r="H324" s="3"/>
      <c r="I324" s="5"/>
      <c r="J324" s="3"/>
      <c r="K324" s="5"/>
      <c r="L324" s="3"/>
      <c r="M324" s="5"/>
      <c r="N324" s="5"/>
    </row>
    <row r="325">
      <c r="A325" s="2"/>
      <c r="B325" s="3"/>
      <c r="C325" s="3"/>
      <c r="D325" s="3"/>
      <c r="E325" s="4"/>
      <c r="F325" s="3"/>
      <c r="G325" s="5"/>
      <c r="H325" s="3"/>
      <c r="I325" s="5"/>
      <c r="J325" s="3"/>
      <c r="K325" s="5"/>
      <c r="L325" s="3"/>
      <c r="M325" s="5"/>
      <c r="N325" s="5"/>
    </row>
    <row r="326">
      <c r="A326" s="2"/>
      <c r="B326" s="3"/>
      <c r="C326" s="3"/>
      <c r="D326" s="3"/>
      <c r="E326" s="4"/>
      <c r="F326" s="3"/>
      <c r="G326" s="5"/>
      <c r="H326" s="3"/>
      <c r="I326" s="5"/>
      <c r="J326" s="3"/>
      <c r="K326" s="5"/>
      <c r="L326" s="3"/>
      <c r="M326" s="5"/>
      <c r="N326" s="5"/>
    </row>
    <row r="327">
      <c r="A327" s="2"/>
      <c r="B327" s="3"/>
      <c r="C327" s="3"/>
      <c r="D327" s="3"/>
      <c r="E327" s="4"/>
      <c r="F327" s="3"/>
      <c r="G327" s="5"/>
      <c r="H327" s="3"/>
      <c r="I327" s="5"/>
      <c r="J327" s="3"/>
      <c r="K327" s="5"/>
      <c r="L327" s="3"/>
      <c r="M327" s="5"/>
      <c r="N327" s="5"/>
    </row>
    <row r="328">
      <c r="A328" s="2"/>
      <c r="B328" s="3"/>
      <c r="C328" s="3"/>
      <c r="D328" s="3"/>
      <c r="E328" s="4"/>
      <c r="F328" s="3"/>
      <c r="G328" s="5"/>
      <c r="H328" s="3"/>
      <c r="I328" s="5"/>
      <c r="J328" s="3"/>
      <c r="K328" s="5"/>
      <c r="L328" s="3"/>
      <c r="M328" s="5"/>
      <c r="N328" s="5"/>
    </row>
    <row r="329">
      <c r="A329" s="2"/>
      <c r="B329" s="3"/>
      <c r="C329" s="3"/>
      <c r="D329" s="3"/>
      <c r="E329" s="4"/>
      <c r="F329" s="3"/>
      <c r="G329" s="5"/>
      <c r="H329" s="3"/>
      <c r="I329" s="5"/>
      <c r="J329" s="3"/>
      <c r="K329" s="5"/>
      <c r="L329" s="3"/>
      <c r="M329" s="5"/>
      <c r="N329" s="5"/>
    </row>
    <row r="330">
      <c r="A330" s="2"/>
      <c r="B330" s="3"/>
      <c r="C330" s="3"/>
      <c r="D330" s="3"/>
      <c r="E330" s="4"/>
      <c r="F330" s="3"/>
      <c r="G330" s="5"/>
      <c r="H330" s="3"/>
      <c r="I330" s="5"/>
      <c r="J330" s="3"/>
      <c r="K330" s="5"/>
      <c r="L330" s="3"/>
      <c r="M330" s="5"/>
      <c r="N330" s="5"/>
    </row>
    <row r="331">
      <c r="A331" s="2"/>
      <c r="B331" s="3"/>
      <c r="C331" s="3"/>
      <c r="D331" s="3"/>
      <c r="E331" s="4"/>
      <c r="F331" s="3"/>
      <c r="G331" s="5"/>
      <c r="H331" s="3"/>
      <c r="I331" s="5"/>
      <c r="J331" s="3"/>
      <c r="K331" s="5"/>
      <c r="L331" s="3"/>
      <c r="M331" s="5"/>
      <c r="N331" s="5"/>
    </row>
    <row r="332">
      <c r="A332" s="2"/>
      <c r="B332" s="3"/>
      <c r="C332" s="3"/>
      <c r="D332" s="3"/>
      <c r="E332" s="4"/>
      <c r="F332" s="3"/>
      <c r="G332" s="5"/>
      <c r="H332" s="3"/>
      <c r="I332" s="5"/>
      <c r="J332" s="3"/>
      <c r="K332" s="5"/>
      <c r="L332" s="3"/>
      <c r="M332" s="5"/>
      <c r="N332" s="5"/>
    </row>
    <row r="333">
      <c r="A333" s="2"/>
      <c r="B333" s="3"/>
      <c r="C333" s="3"/>
      <c r="D333" s="3"/>
      <c r="E333" s="4"/>
      <c r="F333" s="3"/>
      <c r="G333" s="5"/>
      <c r="H333" s="3"/>
      <c r="I333" s="5"/>
      <c r="J333" s="3"/>
      <c r="K333" s="5"/>
      <c r="L333" s="3"/>
      <c r="M333" s="5"/>
      <c r="N333" s="5"/>
    </row>
    <row r="334">
      <c r="A334" s="2"/>
      <c r="B334" s="3"/>
      <c r="C334" s="3"/>
      <c r="D334" s="3"/>
      <c r="E334" s="4"/>
      <c r="F334" s="3"/>
      <c r="G334" s="5"/>
      <c r="H334" s="3"/>
      <c r="I334" s="5"/>
      <c r="J334" s="3"/>
      <c r="K334" s="5"/>
      <c r="L334" s="3"/>
      <c r="M334" s="5"/>
      <c r="N334" s="5"/>
    </row>
    <row r="335">
      <c r="A335" s="2"/>
      <c r="B335" s="3"/>
      <c r="C335" s="3"/>
      <c r="D335" s="3"/>
      <c r="E335" s="4"/>
      <c r="F335" s="3"/>
      <c r="G335" s="5"/>
      <c r="H335" s="3"/>
      <c r="I335" s="5"/>
      <c r="J335" s="3"/>
      <c r="K335" s="5"/>
      <c r="L335" s="3"/>
      <c r="M335" s="5"/>
      <c r="N335" s="5"/>
    </row>
    <row r="336">
      <c r="A336" s="2"/>
      <c r="B336" s="3"/>
      <c r="C336" s="3"/>
      <c r="D336" s="3"/>
      <c r="E336" s="4"/>
      <c r="F336" s="3"/>
      <c r="G336" s="5"/>
      <c r="H336" s="3"/>
      <c r="I336" s="5"/>
      <c r="J336" s="3"/>
      <c r="K336" s="5"/>
      <c r="L336" s="3"/>
      <c r="M336" s="5"/>
      <c r="N336" s="5"/>
    </row>
    <row r="337">
      <c r="A337" s="2"/>
      <c r="B337" s="3"/>
      <c r="C337" s="3"/>
      <c r="D337" s="3"/>
      <c r="E337" s="4"/>
      <c r="F337" s="3"/>
      <c r="G337" s="5"/>
      <c r="H337" s="3"/>
      <c r="I337" s="5"/>
      <c r="J337" s="3"/>
      <c r="K337" s="5"/>
      <c r="L337" s="3"/>
      <c r="M337" s="5"/>
      <c r="N337" s="5"/>
    </row>
    <row r="338">
      <c r="A338" s="2"/>
      <c r="B338" s="3"/>
      <c r="C338" s="3"/>
      <c r="D338" s="3"/>
      <c r="E338" s="4"/>
      <c r="F338" s="3"/>
      <c r="G338" s="5"/>
      <c r="H338" s="3"/>
      <c r="I338" s="5"/>
      <c r="J338" s="3"/>
      <c r="K338" s="5"/>
      <c r="L338" s="3"/>
      <c r="M338" s="5"/>
      <c r="N338" s="5"/>
    </row>
    <row r="339">
      <c r="A339" s="2"/>
      <c r="B339" s="3"/>
      <c r="C339" s="3"/>
      <c r="D339" s="3"/>
      <c r="E339" s="4"/>
      <c r="F339" s="3"/>
      <c r="G339" s="5"/>
      <c r="H339" s="3"/>
      <c r="I339" s="5"/>
      <c r="J339" s="3"/>
      <c r="K339" s="5"/>
      <c r="L339" s="3"/>
      <c r="M339" s="5"/>
      <c r="N339" s="5"/>
    </row>
    <row r="340">
      <c r="A340" s="2"/>
      <c r="B340" s="3"/>
      <c r="C340" s="3"/>
      <c r="D340" s="3"/>
      <c r="E340" s="4"/>
      <c r="F340" s="3"/>
      <c r="G340" s="5"/>
      <c r="H340" s="3"/>
      <c r="I340" s="5"/>
      <c r="J340" s="3"/>
      <c r="K340" s="5"/>
      <c r="L340" s="3"/>
      <c r="M340" s="5"/>
      <c r="N340" s="5"/>
    </row>
    <row r="341">
      <c r="A341" s="2"/>
      <c r="B341" s="3"/>
      <c r="C341" s="3"/>
      <c r="D341" s="3"/>
      <c r="E341" s="4"/>
      <c r="F341" s="3"/>
      <c r="G341" s="5"/>
      <c r="H341" s="3"/>
      <c r="I341" s="5"/>
      <c r="J341" s="3"/>
      <c r="K341" s="5"/>
      <c r="L341" s="3"/>
      <c r="M341" s="5"/>
      <c r="N341" s="5"/>
    </row>
    <row r="342">
      <c r="A342" s="2"/>
      <c r="B342" s="3"/>
      <c r="C342" s="3"/>
      <c r="D342" s="3"/>
      <c r="E342" s="4"/>
      <c r="F342" s="3"/>
      <c r="G342" s="5"/>
      <c r="H342" s="3"/>
      <c r="I342" s="5"/>
      <c r="J342" s="3"/>
      <c r="K342" s="5"/>
      <c r="L342" s="3"/>
      <c r="M342" s="5"/>
      <c r="N342" s="5"/>
    </row>
    <row r="343">
      <c r="A343" s="2"/>
      <c r="B343" s="3"/>
      <c r="C343" s="3"/>
      <c r="D343" s="3"/>
      <c r="E343" s="4"/>
      <c r="F343" s="3"/>
      <c r="G343" s="5"/>
      <c r="H343" s="3"/>
      <c r="I343" s="5"/>
      <c r="J343" s="3"/>
      <c r="K343" s="5"/>
      <c r="L343" s="3"/>
      <c r="M343" s="5"/>
      <c r="N343" s="5"/>
    </row>
    <row r="344">
      <c r="A344" s="2"/>
      <c r="B344" s="3"/>
      <c r="C344" s="3"/>
      <c r="D344" s="3"/>
      <c r="E344" s="4"/>
      <c r="F344" s="3"/>
      <c r="G344" s="5"/>
      <c r="H344" s="3"/>
      <c r="I344" s="5"/>
      <c r="J344" s="3"/>
      <c r="K344" s="5"/>
      <c r="L344" s="3"/>
      <c r="M344" s="5"/>
      <c r="N344" s="5"/>
    </row>
    <row r="345">
      <c r="A345" s="2"/>
      <c r="B345" s="3"/>
      <c r="C345" s="3"/>
      <c r="D345" s="3"/>
      <c r="E345" s="4"/>
      <c r="F345" s="3"/>
      <c r="G345" s="5"/>
      <c r="H345" s="3"/>
      <c r="I345" s="5"/>
      <c r="J345" s="3"/>
      <c r="K345" s="5"/>
      <c r="L345" s="3"/>
      <c r="M345" s="5"/>
      <c r="N345" s="5"/>
    </row>
    <row r="346">
      <c r="A346" s="2"/>
      <c r="B346" s="3"/>
      <c r="C346" s="3"/>
      <c r="D346" s="3"/>
      <c r="E346" s="4"/>
      <c r="F346" s="3"/>
      <c r="G346" s="5"/>
      <c r="H346" s="3"/>
      <c r="I346" s="5"/>
      <c r="J346" s="3"/>
      <c r="K346" s="5"/>
      <c r="L346" s="3"/>
      <c r="M346" s="5"/>
      <c r="N346" s="5"/>
    </row>
    <row r="347">
      <c r="A347" s="2"/>
      <c r="B347" s="3"/>
      <c r="C347" s="3"/>
      <c r="D347" s="3"/>
      <c r="E347" s="4"/>
      <c r="F347" s="3"/>
      <c r="G347" s="5"/>
      <c r="H347" s="3"/>
      <c r="I347" s="5"/>
      <c r="J347" s="3"/>
      <c r="K347" s="5"/>
      <c r="L347" s="3"/>
      <c r="M347" s="5"/>
      <c r="N347" s="5"/>
    </row>
    <row r="348">
      <c r="A348" s="2"/>
      <c r="B348" s="3"/>
      <c r="C348" s="3"/>
      <c r="D348" s="3"/>
      <c r="E348" s="4"/>
      <c r="F348" s="3"/>
      <c r="G348" s="5"/>
      <c r="H348" s="3"/>
      <c r="I348" s="5"/>
      <c r="J348" s="3"/>
      <c r="K348" s="5"/>
      <c r="L348" s="3"/>
      <c r="M348" s="5"/>
      <c r="N348" s="5"/>
    </row>
    <row r="349">
      <c r="A349" s="2"/>
      <c r="B349" s="3"/>
      <c r="C349" s="3"/>
      <c r="D349" s="3"/>
      <c r="E349" s="4"/>
      <c r="F349" s="3"/>
      <c r="G349" s="5"/>
      <c r="H349" s="3"/>
      <c r="I349" s="5"/>
      <c r="J349" s="3"/>
      <c r="K349" s="5"/>
      <c r="L349" s="3"/>
      <c r="M349" s="5"/>
      <c r="N349" s="5"/>
    </row>
    <row r="350">
      <c r="A350" s="2"/>
      <c r="B350" s="3"/>
      <c r="C350" s="3"/>
      <c r="D350" s="3"/>
      <c r="E350" s="4"/>
      <c r="F350" s="3"/>
      <c r="G350" s="5"/>
      <c r="H350" s="3"/>
      <c r="I350" s="5"/>
      <c r="J350" s="3"/>
      <c r="K350" s="5"/>
      <c r="L350" s="3"/>
      <c r="M350" s="5"/>
      <c r="N350" s="5"/>
    </row>
    <row r="351">
      <c r="A351" s="2"/>
      <c r="B351" s="3"/>
      <c r="C351" s="3"/>
      <c r="D351" s="3"/>
      <c r="E351" s="4"/>
      <c r="F351" s="3"/>
      <c r="G351" s="5"/>
      <c r="H351" s="3"/>
      <c r="I351" s="5"/>
      <c r="J351" s="3"/>
      <c r="K351" s="5"/>
      <c r="L351" s="3"/>
      <c r="M351" s="5"/>
      <c r="N351" s="5"/>
    </row>
    <row r="352">
      <c r="A352" s="2"/>
      <c r="B352" s="3"/>
      <c r="C352" s="3"/>
      <c r="D352" s="3"/>
      <c r="E352" s="4"/>
      <c r="F352" s="3"/>
      <c r="G352" s="5"/>
      <c r="H352" s="3"/>
      <c r="I352" s="5"/>
      <c r="J352" s="3"/>
      <c r="K352" s="5"/>
      <c r="L352" s="3"/>
      <c r="M352" s="5"/>
      <c r="N352" s="5"/>
    </row>
    <row r="353">
      <c r="A353" s="2"/>
      <c r="B353" s="3"/>
      <c r="C353" s="3"/>
      <c r="D353" s="3"/>
      <c r="E353" s="4"/>
      <c r="F353" s="3"/>
      <c r="G353" s="5"/>
      <c r="H353" s="3"/>
      <c r="I353" s="5"/>
      <c r="J353" s="3"/>
      <c r="K353" s="5"/>
      <c r="L353" s="3"/>
      <c r="M353" s="5"/>
      <c r="N353" s="5"/>
    </row>
    <row r="354">
      <c r="A354" s="2"/>
      <c r="B354" s="3"/>
      <c r="C354" s="3"/>
      <c r="D354" s="3"/>
      <c r="E354" s="4"/>
      <c r="F354" s="3"/>
      <c r="G354" s="5"/>
      <c r="H354" s="3"/>
      <c r="I354" s="5"/>
      <c r="J354" s="3"/>
      <c r="K354" s="5"/>
      <c r="L354" s="3"/>
      <c r="M354" s="5"/>
      <c r="N354" s="5"/>
    </row>
    <row r="355">
      <c r="A355" s="2"/>
      <c r="B355" s="3"/>
      <c r="C355" s="3"/>
      <c r="D355" s="3"/>
      <c r="E355" s="4"/>
      <c r="F355" s="3"/>
      <c r="G355" s="5"/>
      <c r="H355" s="3"/>
      <c r="I355" s="5"/>
      <c r="J355" s="3"/>
      <c r="K355" s="5"/>
      <c r="L355" s="3"/>
      <c r="M355" s="5"/>
      <c r="N355" s="5"/>
    </row>
    <row r="356">
      <c r="A356" s="2"/>
      <c r="B356" s="3"/>
      <c r="C356" s="3"/>
      <c r="D356" s="3"/>
      <c r="E356" s="4"/>
      <c r="F356" s="3"/>
      <c r="G356" s="5"/>
      <c r="H356" s="3"/>
      <c r="I356" s="5"/>
      <c r="J356" s="3"/>
      <c r="K356" s="5"/>
      <c r="L356" s="3"/>
      <c r="M356" s="5"/>
      <c r="N356" s="5"/>
    </row>
    <row r="357">
      <c r="A357" s="2"/>
      <c r="B357" s="3"/>
      <c r="C357" s="3"/>
      <c r="D357" s="3"/>
      <c r="E357" s="4"/>
      <c r="F357" s="3"/>
      <c r="G357" s="5"/>
      <c r="H357" s="3"/>
      <c r="I357" s="5"/>
      <c r="J357" s="3"/>
      <c r="K357" s="5"/>
      <c r="L357" s="3"/>
      <c r="M357" s="5"/>
      <c r="N357" s="5"/>
    </row>
    <row r="358">
      <c r="A358" s="2"/>
      <c r="B358" s="3"/>
      <c r="C358" s="3"/>
      <c r="D358" s="3"/>
      <c r="E358" s="4"/>
      <c r="F358" s="3"/>
      <c r="G358" s="5"/>
      <c r="H358" s="3"/>
      <c r="I358" s="5"/>
      <c r="J358" s="3"/>
      <c r="K358" s="5"/>
      <c r="L358" s="3"/>
      <c r="M358" s="5"/>
      <c r="N358" s="5"/>
    </row>
    <row r="359">
      <c r="A359" s="2"/>
      <c r="B359" s="3"/>
      <c r="C359" s="3"/>
      <c r="D359" s="3"/>
      <c r="E359" s="4"/>
      <c r="F359" s="3"/>
      <c r="G359" s="5"/>
      <c r="H359" s="3"/>
      <c r="I359" s="5"/>
      <c r="J359" s="3"/>
      <c r="K359" s="5"/>
      <c r="L359" s="3"/>
      <c r="M359" s="5"/>
      <c r="N359" s="5"/>
    </row>
    <row r="360">
      <c r="A360" s="2"/>
      <c r="B360" s="3"/>
      <c r="C360" s="3"/>
      <c r="D360" s="3"/>
      <c r="E360" s="4"/>
      <c r="F360" s="3"/>
      <c r="G360" s="5"/>
      <c r="H360" s="3"/>
      <c r="I360" s="5"/>
      <c r="J360" s="3"/>
      <c r="K360" s="5"/>
      <c r="L360" s="3"/>
      <c r="M360" s="5"/>
      <c r="N360" s="5"/>
    </row>
    <row r="361">
      <c r="A361" s="2"/>
      <c r="B361" s="3"/>
      <c r="C361" s="3"/>
      <c r="D361" s="3"/>
      <c r="E361" s="4"/>
      <c r="F361" s="3"/>
      <c r="G361" s="5"/>
      <c r="H361" s="3"/>
      <c r="I361" s="5"/>
      <c r="J361" s="3"/>
      <c r="K361" s="5"/>
      <c r="L361" s="3"/>
      <c r="M361" s="5"/>
      <c r="N361" s="5"/>
    </row>
    <row r="362">
      <c r="A362" s="2"/>
      <c r="B362" s="3"/>
      <c r="C362" s="3"/>
      <c r="D362" s="3"/>
      <c r="E362" s="4"/>
      <c r="F362" s="3"/>
      <c r="G362" s="5"/>
      <c r="H362" s="3"/>
      <c r="I362" s="5"/>
      <c r="J362" s="3"/>
      <c r="K362" s="5"/>
      <c r="L362" s="3"/>
      <c r="M362" s="5"/>
      <c r="N362" s="5"/>
    </row>
    <row r="363">
      <c r="A363" s="2"/>
      <c r="B363" s="3"/>
      <c r="C363" s="3"/>
      <c r="D363" s="3"/>
      <c r="E363" s="4"/>
      <c r="F363" s="3"/>
      <c r="G363" s="5"/>
      <c r="H363" s="3"/>
      <c r="I363" s="5"/>
      <c r="J363" s="3"/>
      <c r="K363" s="5"/>
      <c r="L363" s="3"/>
      <c r="M363" s="5"/>
      <c r="N363" s="5"/>
    </row>
    <row r="364">
      <c r="A364" s="2"/>
      <c r="B364" s="3"/>
      <c r="C364" s="3"/>
      <c r="D364" s="3"/>
      <c r="E364" s="4"/>
      <c r="F364" s="3"/>
      <c r="G364" s="5"/>
      <c r="H364" s="3"/>
      <c r="I364" s="5"/>
      <c r="J364" s="3"/>
      <c r="K364" s="5"/>
      <c r="L364" s="3"/>
      <c r="M364" s="5"/>
      <c r="N364" s="5"/>
    </row>
    <row r="365">
      <c r="A365" s="2"/>
      <c r="B365" s="3"/>
      <c r="C365" s="3"/>
      <c r="D365" s="3"/>
      <c r="E365" s="4"/>
      <c r="F365" s="3"/>
      <c r="G365" s="5"/>
      <c r="H365" s="3"/>
      <c r="I365" s="5"/>
      <c r="J365" s="3"/>
      <c r="K365" s="5"/>
      <c r="L365" s="3"/>
      <c r="M365" s="5"/>
      <c r="N365" s="5"/>
    </row>
    <row r="366">
      <c r="A366" s="2"/>
      <c r="B366" s="3"/>
      <c r="C366" s="3"/>
      <c r="D366" s="3"/>
      <c r="E366" s="4"/>
      <c r="F366" s="3"/>
      <c r="G366" s="5"/>
      <c r="H366" s="3"/>
      <c r="I366" s="5"/>
      <c r="J366" s="3"/>
      <c r="K366" s="5"/>
      <c r="L366" s="3"/>
      <c r="M366" s="5"/>
      <c r="N366" s="5"/>
    </row>
    <row r="367">
      <c r="A367" s="2"/>
      <c r="B367" s="3"/>
      <c r="C367" s="3"/>
      <c r="D367" s="3"/>
      <c r="E367" s="4"/>
      <c r="F367" s="3"/>
      <c r="G367" s="5"/>
      <c r="H367" s="3"/>
      <c r="I367" s="5"/>
      <c r="J367" s="3"/>
      <c r="K367" s="5"/>
      <c r="L367" s="3"/>
      <c r="M367" s="5"/>
      <c r="N367" s="5"/>
    </row>
    <row r="368">
      <c r="A368" s="2"/>
      <c r="B368" s="3"/>
      <c r="C368" s="3"/>
      <c r="D368" s="3"/>
      <c r="E368" s="4"/>
      <c r="F368" s="3"/>
      <c r="G368" s="5"/>
      <c r="H368" s="3"/>
      <c r="I368" s="5"/>
      <c r="J368" s="3"/>
      <c r="K368" s="5"/>
      <c r="L368" s="3"/>
      <c r="M368" s="5"/>
      <c r="N368" s="5"/>
    </row>
    <row r="369">
      <c r="A369" s="2"/>
      <c r="B369" s="3"/>
      <c r="C369" s="3"/>
      <c r="D369" s="3"/>
      <c r="E369" s="4"/>
      <c r="F369" s="3"/>
      <c r="G369" s="5"/>
      <c r="H369" s="3"/>
      <c r="I369" s="5"/>
      <c r="J369" s="3"/>
      <c r="K369" s="5"/>
      <c r="L369" s="3"/>
      <c r="M369" s="5"/>
      <c r="N369" s="5"/>
    </row>
    <row r="370">
      <c r="A370" s="2"/>
      <c r="B370" s="3"/>
      <c r="C370" s="3"/>
      <c r="D370" s="3"/>
      <c r="E370" s="4"/>
      <c r="F370" s="3"/>
      <c r="G370" s="5"/>
      <c r="H370" s="3"/>
      <c r="I370" s="5"/>
      <c r="J370" s="3"/>
      <c r="K370" s="5"/>
      <c r="L370" s="3"/>
      <c r="M370" s="5"/>
      <c r="N370" s="5"/>
    </row>
    <row r="371">
      <c r="A371" s="2"/>
      <c r="B371" s="3"/>
      <c r="C371" s="3"/>
      <c r="D371" s="3"/>
      <c r="E371" s="4"/>
      <c r="F371" s="3"/>
      <c r="G371" s="5"/>
      <c r="H371" s="3"/>
      <c r="I371" s="5"/>
      <c r="J371" s="3"/>
      <c r="K371" s="5"/>
      <c r="L371" s="3"/>
      <c r="M371" s="5"/>
      <c r="N371" s="5"/>
    </row>
    <row r="372">
      <c r="A372" s="2"/>
      <c r="B372" s="3"/>
      <c r="C372" s="3"/>
      <c r="D372" s="3"/>
      <c r="E372" s="4"/>
      <c r="F372" s="3"/>
      <c r="G372" s="5"/>
      <c r="H372" s="3"/>
      <c r="I372" s="5"/>
      <c r="J372" s="3"/>
      <c r="K372" s="5"/>
      <c r="L372" s="3"/>
      <c r="M372" s="5"/>
      <c r="N372" s="5"/>
    </row>
    <row r="373">
      <c r="A373" s="2"/>
      <c r="B373" s="3"/>
      <c r="C373" s="3"/>
      <c r="D373" s="3"/>
      <c r="E373" s="4"/>
      <c r="F373" s="3"/>
      <c r="G373" s="5"/>
      <c r="H373" s="3"/>
      <c r="I373" s="5"/>
      <c r="J373" s="3"/>
      <c r="K373" s="5"/>
      <c r="L373" s="3"/>
      <c r="M373" s="5"/>
      <c r="N373" s="5"/>
    </row>
    <row r="374">
      <c r="A374" s="2"/>
      <c r="B374" s="3"/>
      <c r="C374" s="3"/>
      <c r="D374" s="3"/>
      <c r="E374" s="4"/>
      <c r="F374" s="3"/>
      <c r="G374" s="5"/>
      <c r="H374" s="3"/>
      <c r="I374" s="5"/>
      <c r="J374" s="3"/>
      <c r="K374" s="5"/>
      <c r="L374" s="3"/>
      <c r="M374" s="5"/>
      <c r="N374" s="5"/>
    </row>
    <row r="375">
      <c r="A375" s="2"/>
      <c r="B375" s="3"/>
      <c r="C375" s="3"/>
      <c r="D375" s="3"/>
      <c r="E375" s="4"/>
      <c r="F375" s="3"/>
      <c r="G375" s="5"/>
      <c r="H375" s="3"/>
      <c r="I375" s="5"/>
      <c r="J375" s="3"/>
      <c r="K375" s="5"/>
      <c r="L375" s="3"/>
      <c r="M375" s="5"/>
      <c r="N375" s="5"/>
    </row>
    <row r="376">
      <c r="A376" s="2"/>
      <c r="B376" s="3"/>
      <c r="C376" s="3"/>
      <c r="D376" s="3"/>
      <c r="E376" s="4"/>
      <c r="F376" s="3"/>
      <c r="G376" s="5"/>
      <c r="H376" s="3"/>
      <c r="I376" s="5"/>
      <c r="J376" s="3"/>
      <c r="K376" s="5"/>
      <c r="L376" s="3"/>
      <c r="M376" s="5"/>
      <c r="N376" s="5"/>
    </row>
    <row r="377">
      <c r="A377" s="2"/>
      <c r="B377" s="3"/>
      <c r="C377" s="3"/>
      <c r="D377" s="3"/>
      <c r="E377" s="4"/>
      <c r="F377" s="3"/>
      <c r="G377" s="5"/>
      <c r="H377" s="3"/>
      <c r="I377" s="5"/>
      <c r="J377" s="3"/>
      <c r="K377" s="5"/>
      <c r="L377" s="3"/>
      <c r="M377" s="5"/>
      <c r="N377" s="5"/>
    </row>
    <row r="378">
      <c r="A378" s="2"/>
      <c r="B378" s="3"/>
      <c r="C378" s="3"/>
      <c r="D378" s="3"/>
      <c r="E378" s="4"/>
      <c r="F378" s="3"/>
      <c r="G378" s="5"/>
      <c r="H378" s="3"/>
      <c r="I378" s="5"/>
      <c r="J378" s="3"/>
      <c r="K378" s="5"/>
      <c r="L378" s="3"/>
      <c r="M378" s="5"/>
      <c r="N378" s="5"/>
    </row>
    <row r="379">
      <c r="A379" s="2"/>
      <c r="B379" s="3"/>
      <c r="C379" s="3"/>
      <c r="D379" s="3"/>
      <c r="E379" s="4"/>
      <c r="F379" s="3"/>
      <c r="G379" s="5"/>
      <c r="H379" s="3"/>
      <c r="I379" s="5"/>
      <c r="J379" s="3"/>
      <c r="K379" s="5"/>
      <c r="L379" s="3"/>
      <c r="M379" s="5"/>
      <c r="N379" s="5"/>
    </row>
    <row r="380">
      <c r="A380" s="2"/>
      <c r="B380" s="3"/>
      <c r="C380" s="3"/>
      <c r="D380" s="3"/>
      <c r="E380" s="4"/>
      <c r="F380" s="3"/>
      <c r="G380" s="5"/>
      <c r="H380" s="3"/>
      <c r="I380" s="5"/>
      <c r="J380" s="3"/>
      <c r="K380" s="5"/>
      <c r="L380" s="3"/>
      <c r="M380" s="5"/>
      <c r="N380" s="5"/>
    </row>
    <row r="381">
      <c r="A381" s="2"/>
      <c r="B381" s="3"/>
      <c r="C381" s="3"/>
      <c r="D381" s="3"/>
      <c r="E381" s="4"/>
      <c r="F381" s="3"/>
      <c r="G381" s="5"/>
      <c r="H381" s="3"/>
      <c r="I381" s="5"/>
      <c r="J381" s="3"/>
      <c r="K381" s="5"/>
      <c r="L381" s="3"/>
      <c r="M381" s="5"/>
      <c r="N381" s="5"/>
    </row>
    <row r="382">
      <c r="A382" s="2"/>
      <c r="B382" s="3"/>
      <c r="C382" s="3"/>
      <c r="D382" s="3"/>
      <c r="E382" s="4"/>
      <c r="F382" s="3"/>
      <c r="G382" s="5"/>
      <c r="H382" s="3"/>
      <c r="I382" s="5"/>
      <c r="J382" s="3"/>
      <c r="K382" s="5"/>
      <c r="L382" s="3"/>
      <c r="M382" s="5"/>
      <c r="N382" s="5"/>
    </row>
    <row r="383">
      <c r="A383" s="2"/>
      <c r="B383" s="3"/>
      <c r="C383" s="3"/>
      <c r="D383" s="3"/>
      <c r="E383" s="4"/>
      <c r="F383" s="3"/>
      <c r="G383" s="5"/>
      <c r="H383" s="3"/>
      <c r="I383" s="5"/>
      <c r="J383" s="3"/>
      <c r="K383" s="5"/>
      <c r="L383" s="3"/>
      <c r="M383" s="5"/>
      <c r="N383" s="5"/>
    </row>
    <row r="384">
      <c r="A384" s="2"/>
      <c r="B384" s="3"/>
      <c r="C384" s="3"/>
      <c r="D384" s="3"/>
      <c r="E384" s="4"/>
      <c r="F384" s="3"/>
      <c r="G384" s="5"/>
      <c r="H384" s="3"/>
      <c r="I384" s="5"/>
      <c r="J384" s="3"/>
      <c r="K384" s="5"/>
      <c r="L384" s="3"/>
      <c r="M384" s="5"/>
      <c r="N384" s="5"/>
    </row>
    <row r="385">
      <c r="A385" s="2"/>
      <c r="B385" s="3"/>
      <c r="C385" s="3"/>
      <c r="D385" s="3"/>
      <c r="E385" s="4"/>
      <c r="F385" s="3"/>
      <c r="G385" s="5"/>
      <c r="H385" s="3"/>
      <c r="I385" s="5"/>
      <c r="J385" s="3"/>
      <c r="K385" s="5"/>
      <c r="L385" s="3"/>
      <c r="M385" s="5"/>
      <c r="N385" s="5"/>
    </row>
    <row r="386">
      <c r="A386" s="2"/>
      <c r="B386" s="3"/>
      <c r="C386" s="3"/>
      <c r="D386" s="3"/>
      <c r="E386" s="4"/>
      <c r="F386" s="3"/>
      <c r="G386" s="5"/>
      <c r="H386" s="3"/>
      <c r="I386" s="5"/>
      <c r="J386" s="3"/>
      <c r="K386" s="5"/>
      <c r="L386" s="3"/>
      <c r="M386" s="5"/>
      <c r="N386" s="5"/>
    </row>
    <row r="387">
      <c r="A387" s="2"/>
      <c r="B387" s="3"/>
      <c r="C387" s="3"/>
      <c r="D387" s="3"/>
      <c r="E387" s="4"/>
      <c r="F387" s="3"/>
      <c r="G387" s="5"/>
      <c r="H387" s="3"/>
      <c r="I387" s="5"/>
      <c r="J387" s="3"/>
      <c r="K387" s="5"/>
      <c r="L387" s="3"/>
      <c r="M387" s="5"/>
      <c r="N387" s="5"/>
    </row>
    <row r="388">
      <c r="A388" s="2"/>
      <c r="B388" s="3"/>
      <c r="C388" s="3"/>
      <c r="D388" s="3"/>
      <c r="E388" s="4"/>
      <c r="F388" s="3"/>
      <c r="G388" s="5"/>
      <c r="H388" s="3"/>
      <c r="I388" s="5"/>
      <c r="J388" s="3"/>
      <c r="K388" s="5"/>
      <c r="L388" s="3"/>
      <c r="M388" s="5"/>
      <c r="N388" s="5"/>
    </row>
    <row r="389">
      <c r="A389" s="2"/>
      <c r="B389" s="3"/>
      <c r="C389" s="3"/>
      <c r="D389" s="3"/>
      <c r="E389" s="4"/>
      <c r="F389" s="3"/>
      <c r="G389" s="5"/>
      <c r="H389" s="3"/>
      <c r="I389" s="5"/>
      <c r="J389" s="3"/>
      <c r="K389" s="5"/>
      <c r="L389" s="3"/>
      <c r="M389" s="5"/>
      <c r="N389" s="5"/>
    </row>
    <row r="390">
      <c r="A390" s="2"/>
      <c r="B390" s="3"/>
      <c r="C390" s="3"/>
      <c r="D390" s="3"/>
      <c r="E390" s="4"/>
      <c r="F390" s="3"/>
      <c r="G390" s="5"/>
      <c r="H390" s="3"/>
      <c r="I390" s="5"/>
      <c r="J390" s="3"/>
      <c r="K390" s="5"/>
      <c r="L390" s="3"/>
      <c r="M390" s="5"/>
      <c r="N390" s="5"/>
    </row>
    <row r="391">
      <c r="A391" s="2"/>
      <c r="B391" s="3"/>
      <c r="C391" s="3"/>
      <c r="D391" s="3"/>
      <c r="E391" s="4"/>
      <c r="F391" s="3"/>
      <c r="G391" s="5"/>
      <c r="H391" s="3"/>
      <c r="I391" s="5"/>
      <c r="J391" s="3"/>
      <c r="K391" s="5"/>
      <c r="L391" s="3"/>
      <c r="M391" s="5"/>
      <c r="N391" s="5"/>
    </row>
    <row r="392">
      <c r="A392" s="2"/>
      <c r="B392" s="3"/>
      <c r="C392" s="3"/>
      <c r="D392" s="3"/>
      <c r="E392" s="4"/>
      <c r="F392" s="3"/>
      <c r="G392" s="5"/>
      <c r="H392" s="3"/>
      <c r="I392" s="5"/>
      <c r="J392" s="3"/>
      <c r="K392" s="5"/>
      <c r="L392" s="3"/>
      <c r="M392" s="5"/>
      <c r="N392" s="5"/>
    </row>
    <row r="393">
      <c r="A393" s="2"/>
      <c r="B393" s="3"/>
      <c r="C393" s="3"/>
      <c r="D393" s="3"/>
      <c r="E393" s="4"/>
      <c r="F393" s="3"/>
      <c r="G393" s="5"/>
      <c r="H393" s="3"/>
      <c r="I393" s="5"/>
      <c r="J393" s="3"/>
      <c r="K393" s="5"/>
      <c r="L393" s="3"/>
      <c r="M393" s="5"/>
      <c r="N393" s="5"/>
    </row>
    <row r="394">
      <c r="A394" s="2"/>
      <c r="B394" s="3"/>
      <c r="C394" s="3"/>
      <c r="D394" s="3"/>
      <c r="E394" s="4"/>
      <c r="F394" s="3"/>
      <c r="G394" s="5"/>
      <c r="H394" s="3"/>
      <c r="I394" s="5"/>
      <c r="J394" s="3"/>
      <c r="K394" s="5"/>
      <c r="L394" s="3"/>
      <c r="M394" s="5"/>
      <c r="N394" s="5"/>
    </row>
    <row r="395">
      <c r="A395" s="2"/>
      <c r="B395" s="3"/>
      <c r="C395" s="3"/>
      <c r="D395" s="3"/>
      <c r="E395" s="4"/>
      <c r="F395" s="3"/>
      <c r="G395" s="5"/>
      <c r="H395" s="3"/>
      <c r="I395" s="5"/>
      <c r="J395" s="3"/>
      <c r="K395" s="5"/>
      <c r="L395" s="3"/>
      <c r="M395" s="5"/>
      <c r="N395" s="5"/>
    </row>
    <row r="396">
      <c r="A396" s="2"/>
      <c r="B396" s="3"/>
      <c r="C396" s="3"/>
      <c r="D396" s="3"/>
      <c r="E396" s="4"/>
      <c r="F396" s="3"/>
      <c r="G396" s="5"/>
      <c r="H396" s="3"/>
      <c r="I396" s="5"/>
      <c r="J396" s="3"/>
      <c r="K396" s="5"/>
      <c r="L396" s="3"/>
      <c r="M396" s="5"/>
      <c r="N396" s="5"/>
    </row>
    <row r="397">
      <c r="A397" s="2"/>
      <c r="B397" s="3"/>
      <c r="C397" s="3"/>
      <c r="D397" s="3"/>
      <c r="E397" s="4"/>
      <c r="F397" s="3"/>
      <c r="G397" s="5"/>
      <c r="H397" s="3"/>
      <c r="I397" s="5"/>
      <c r="J397" s="3"/>
      <c r="K397" s="5"/>
      <c r="L397" s="3"/>
      <c r="M397" s="5"/>
      <c r="N397" s="5"/>
    </row>
    <row r="398">
      <c r="A398" s="2"/>
      <c r="B398" s="3"/>
      <c r="C398" s="3"/>
      <c r="D398" s="3"/>
      <c r="E398" s="4"/>
      <c r="F398" s="3"/>
      <c r="G398" s="5"/>
      <c r="H398" s="3"/>
      <c r="I398" s="5"/>
      <c r="J398" s="3"/>
      <c r="K398" s="5"/>
      <c r="L398" s="3"/>
      <c r="M398" s="5"/>
      <c r="N398" s="5"/>
    </row>
    <row r="399">
      <c r="A399" s="2"/>
      <c r="B399" s="3"/>
      <c r="C399" s="3"/>
      <c r="D399" s="3"/>
      <c r="E399" s="4"/>
      <c r="F399" s="3"/>
      <c r="G399" s="5"/>
      <c r="H399" s="3"/>
      <c r="I399" s="5"/>
      <c r="J399" s="3"/>
      <c r="K399" s="5"/>
      <c r="L399" s="3"/>
      <c r="M399" s="5"/>
      <c r="N399" s="5"/>
    </row>
    <row r="400">
      <c r="A400" s="2"/>
      <c r="B400" s="3"/>
      <c r="C400" s="3"/>
      <c r="D400" s="3"/>
      <c r="E400" s="4"/>
      <c r="F400" s="3"/>
      <c r="G400" s="5"/>
      <c r="H400" s="3"/>
      <c r="I400" s="5"/>
      <c r="J400" s="3"/>
      <c r="K400" s="5"/>
      <c r="L400" s="3"/>
      <c r="M400" s="5"/>
      <c r="N400" s="5"/>
    </row>
    <row r="401">
      <c r="A401" s="2"/>
      <c r="B401" s="3"/>
      <c r="C401" s="3"/>
      <c r="D401" s="3"/>
      <c r="E401" s="4"/>
      <c r="F401" s="3"/>
      <c r="G401" s="5"/>
      <c r="H401" s="3"/>
      <c r="I401" s="5"/>
      <c r="J401" s="3"/>
      <c r="K401" s="5"/>
      <c r="L401" s="3"/>
      <c r="M401" s="5"/>
      <c r="N401" s="5"/>
    </row>
    <row r="402">
      <c r="A402" s="2"/>
      <c r="B402" s="3"/>
      <c r="C402" s="3"/>
      <c r="D402" s="3"/>
      <c r="E402" s="4"/>
      <c r="F402" s="3"/>
      <c r="G402" s="5"/>
      <c r="H402" s="3"/>
      <c r="I402" s="5"/>
      <c r="J402" s="3"/>
      <c r="K402" s="5"/>
      <c r="L402" s="3"/>
      <c r="M402" s="5"/>
      <c r="N402" s="5"/>
    </row>
    <row r="403">
      <c r="A403" s="2"/>
      <c r="B403" s="3"/>
      <c r="C403" s="3"/>
      <c r="D403" s="3"/>
      <c r="E403" s="4"/>
      <c r="F403" s="3"/>
      <c r="G403" s="5"/>
      <c r="H403" s="3"/>
      <c r="I403" s="5"/>
      <c r="J403" s="3"/>
      <c r="K403" s="5"/>
      <c r="L403" s="3"/>
      <c r="M403" s="5"/>
      <c r="N403" s="5"/>
    </row>
    <row r="404">
      <c r="A404" s="2"/>
      <c r="B404" s="3"/>
      <c r="C404" s="3"/>
      <c r="D404" s="3"/>
      <c r="E404" s="4"/>
      <c r="F404" s="3"/>
      <c r="G404" s="5"/>
      <c r="H404" s="3"/>
      <c r="I404" s="5"/>
      <c r="J404" s="3"/>
      <c r="K404" s="5"/>
      <c r="L404" s="3"/>
      <c r="M404" s="5"/>
      <c r="N404" s="5"/>
    </row>
    <row r="405">
      <c r="A405" s="2"/>
      <c r="B405" s="3"/>
      <c r="C405" s="3"/>
      <c r="D405" s="3"/>
      <c r="E405" s="4"/>
      <c r="F405" s="3"/>
      <c r="G405" s="5"/>
      <c r="H405" s="3"/>
      <c r="I405" s="5"/>
      <c r="J405" s="3"/>
      <c r="K405" s="5"/>
      <c r="L405" s="3"/>
      <c r="M405" s="5"/>
      <c r="N405" s="5"/>
    </row>
    <row r="406">
      <c r="A406" s="2"/>
      <c r="B406" s="3"/>
      <c r="C406" s="3"/>
      <c r="D406" s="3"/>
      <c r="E406" s="4"/>
      <c r="F406" s="3"/>
      <c r="G406" s="5"/>
      <c r="H406" s="3"/>
      <c r="I406" s="5"/>
      <c r="J406" s="3"/>
      <c r="K406" s="5"/>
      <c r="L406" s="3"/>
      <c r="M406" s="5"/>
      <c r="N406" s="5"/>
    </row>
    <row r="407">
      <c r="A407" s="2"/>
      <c r="B407" s="3"/>
      <c r="C407" s="3"/>
      <c r="D407" s="3"/>
      <c r="E407" s="4"/>
      <c r="F407" s="3"/>
      <c r="G407" s="5"/>
      <c r="H407" s="3"/>
      <c r="I407" s="5"/>
      <c r="J407" s="3"/>
      <c r="K407" s="5"/>
      <c r="L407" s="3"/>
      <c r="M407" s="5"/>
      <c r="N407" s="5"/>
    </row>
    <row r="408">
      <c r="A408" s="2"/>
      <c r="B408" s="3"/>
      <c r="C408" s="3"/>
      <c r="D408" s="3"/>
      <c r="E408" s="4"/>
      <c r="F408" s="3"/>
      <c r="G408" s="5"/>
      <c r="H408" s="3"/>
      <c r="I408" s="5"/>
      <c r="J408" s="3"/>
      <c r="K408" s="5"/>
      <c r="L408" s="3"/>
      <c r="M408" s="5"/>
      <c r="N408" s="5"/>
    </row>
    <row r="409">
      <c r="A409" s="2"/>
      <c r="B409" s="3"/>
      <c r="C409" s="3"/>
      <c r="D409" s="3"/>
      <c r="E409" s="4"/>
      <c r="F409" s="3"/>
      <c r="G409" s="5"/>
      <c r="H409" s="3"/>
      <c r="I409" s="5"/>
      <c r="J409" s="3"/>
      <c r="K409" s="5"/>
      <c r="L409" s="3"/>
      <c r="M409" s="5"/>
      <c r="N409" s="5"/>
    </row>
    <row r="410">
      <c r="A410" s="2"/>
      <c r="B410" s="3"/>
      <c r="C410" s="3"/>
      <c r="D410" s="3"/>
      <c r="E410" s="4"/>
      <c r="F410" s="3"/>
      <c r="G410" s="5"/>
      <c r="H410" s="3"/>
      <c r="I410" s="5"/>
      <c r="J410" s="3"/>
      <c r="K410" s="5"/>
      <c r="L410" s="3"/>
      <c r="M410" s="5"/>
      <c r="N410" s="5"/>
    </row>
    <row r="411">
      <c r="A411" s="2"/>
      <c r="B411" s="3"/>
      <c r="C411" s="3"/>
      <c r="D411" s="3"/>
      <c r="E411" s="4"/>
      <c r="F411" s="3"/>
      <c r="G411" s="5"/>
      <c r="H411" s="3"/>
      <c r="I411" s="5"/>
      <c r="J411" s="3"/>
      <c r="K411" s="5"/>
      <c r="L411" s="3"/>
      <c r="M411" s="5"/>
      <c r="N411" s="5"/>
    </row>
    <row r="412">
      <c r="A412" s="2"/>
      <c r="B412" s="3"/>
      <c r="C412" s="3"/>
      <c r="D412" s="3"/>
      <c r="E412" s="4"/>
      <c r="F412" s="3"/>
      <c r="G412" s="5"/>
      <c r="H412" s="3"/>
      <c r="I412" s="5"/>
      <c r="J412" s="3"/>
      <c r="K412" s="5"/>
      <c r="L412" s="3"/>
      <c r="M412" s="5"/>
      <c r="N412" s="5"/>
    </row>
    <row r="413">
      <c r="A413" s="2"/>
      <c r="B413" s="3"/>
      <c r="C413" s="3"/>
      <c r="D413" s="3"/>
      <c r="E413" s="4"/>
      <c r="F413" s="3"/>
      <c r="G413" s="5"/>
      <c r="H413" s="3"/>
      <c r="I413" s="5"/>
      <c r="J413" s="3"/>
      <c r="K413" s="5"/>
      <c r="L413" s="3"/>
      <c r="M413" s="5"/>
      <c r="N413" s="5"/>
    </row>
    <row r="414">
      <c r="A414" s="2"/>
      <c r="B414" s="3"/>
      <c r="C414" s="3"/>
      <c r="D414" s="3"/>
      <c r="E414" s="4"/>
      <c r="F414" s="3"/>
      <c r="G414" s="5"/>
      <c r="H414" s="3"/>
      <c r="I414" s="5"/>
      <c r="J414" s="3"/>
      <c r="K414" s="5"/>
      <c r="L414" s="3"/>
      <c r="M414" s="5"/>
      <c r="N414" s="5"/>
    </row>
    <row r="415">
      <c r="A415" s="2"/>
      <c r="B415" s="3"/>
      <c r="C415" s="3"/>
      <c r="D415" s="3"/>
      <c r="E415" s="4"/>
      <c r="F415" s="3"/>
      <c r="G415" s="5"/>
      <c r="H415" s="3"/>
      <c r="I415" s="5"/>
      <c r="J415" s="3"/>
      <c r="K415" s="5"/>
      <c r="L415" s="3"/>
      <c r="M415" s="5"/>
      <c r="N415" s="5"/>
    </row>
    <row r="416">
      <c r="A416" s="2"/>
      <c r="B416" s="3"/>
      <c r="C416" s="3"/>
      <c r="D416" s="3"/>
      <c r="E416" s="4"/>
      <c r="F416" s="3"/>
      <c r="G416" s="5"/>
      <c r="H416" s="3"/>
      <c r="I416" s="5"/>
      <c r="J416" s="3"/>
      <c r="K416" s="5"/>
      <c r="L416" s="3"/>
      <c r="M416" s="5"/>
      <c r="N416" s="5"/>
    </row>
    <row r="417">
      <c r="A417" s="2"/>
      <c r="B417" s="3"/>
      <c r="C417" s="3"/>
      <c r="D417" s="3"/>
      <c r="E417" s="4"/>
      <c r="F417" s="3"/>
      <c r="G417" s="5"/>
      <c r="H417" s="3"/>
      <c r="I417" s="5"/>
      <c r="J417" s="3"/>
      <c r="K417" s="5"/>
      <c r="L417" s="3"/>
      <c r="M417" s="5"/>
      <c r="N417" s="5"/>
    </row>
    <row r="418">
      <c r="A418" s="2"/>
      <c r="B418" s="3"/>
      <c r="C418" s="3"/>
      <c r="D418" s="3"/>
      <c r="E418" s="4"/>
      <c r="F418" s="3"/>
      <c r="G418" s="5"/>
      <c r="H418" s="3"/>
      <c r="I418" s="5"/>
      <c r="J418" s="3"/>
      <c r="K418" s="5"/>
      <c r="L418" s="3"/>
      <c r="M418" s="5"/>
      <c r="N418" s="5"/>
    </row>
    <row r="419">
      <c r="A419" s="2"/>
      <c r="B419" s="3"/>
      <c r="C419" s="3"/>
      <c r="D419" s="3"/>
      <c r="E419" s="4"/>
      <c r="F419" s="3"/>
      <c r="G419" s="5"/>
      <c r="H419" s="3"/>
      <c r="I419" s="5"/>
      <c r="J419" s="3"/>
      <c r="K419" s="5"/>
      <c r="L419" s="3"/>
      <c r="M419" s="5"/>
      <c r="N419" s="5"/>
    </row>
    <row r="420">
      <c r="A420" s="2"/>
      <c r="B420" s="3"/>
      <c r="C420" s="3"/>
      <c r="D420" s="3"/>
      <c r="E420" s="4"/>
      <c r="F420" s="3"/>
      <c r="G420" s="5"/>
      <c r="H420" s="3"/>
      <c r="I420" s="5"/>
      <c r="J420" s="3"/>
      <c r="K420" s="5"/>
      <c r="L420" s="3"/>
      <c r="M420" s="5"/>
      <c r="N420" s="5"/>
    </row>
    <row r="421">
      <c r="A421" s="2"/>
      <c r="B421" s="3"/>
      <c r="C421" s="3"/>
      <c r="D421" s="3"/>
      <c r="E421" s="4"/>
      <c r="F421" s="3"/>
      <c r="G421" s="5"/>
      <c r="H421" s="3"/>
      <c r="I421" s="5"/>
      <c r="J421" s="3"/>
      <c r="K421" s="5"/>
      <c r="L421" s="3"/>
      <c r="M421" s="5"/>
      <c r="N421" s="5"/>
    </row>
    <row r="422">
      <c r="A422" s="2"/>
      <c r="B422" s="3"/>
      <c r="C422" s="3"/>
      <c r="D422" s="3"/>
      <c r="E422" s="4"/>
      <c r="F422" s="3"/>
      <c r="G422" s="5"/>
      <c r="H422" s="3"/>
      <c r="I422" s="5"/>
      <c r="J422" s="3"/>
      <c r="K422" s="5"/>
      <c r="L422" s="3"/>
      <c r="M422" s="5"/>
      <c r="N422" s="5"/>
    </row>
    <row r="423">
      <c r="A423" s="2"/>
      <c r="B423" s="3"/>
      <c r="C423" s="3"/>
      <c r="D423" s="3"/>
      <c r="E423" s="4"/>
      <c r="F423" s="3"/>
      <c r="G423" s="5"/>
      <c r="H423" s="3"/>
      <c r="I423" s="5"/>
      <c r="J423" s="3"/>
      <c r="K423" s="5"/>
      <c r="L423" s="3"/>
      <c r="M423" s="5"/>
      <c r="N423" s="5"/>
    </row>
    <row r="424">
      <c r="A424" s="2"/>
      <c r="B424" s="3"/>
      <c r="C424" s="3"/>
      <c r="D424" s="3"/>
      <c r="E424" s="4"/>
      <c r="F424" s="3"/>
      <c r="G424" s="5"/>
      <c r="H424" s="3"/>
      <c r="I424" s="5"/>
      <c r="J424" s="3"/>
      <c r="K424" s="5"/>
      <c r="L424" s="3"/>
      <c r="M424" s="5"/>
      <c r="N424" s="5"/>
    </row>
    <row r="425">
      <c r="A425" s="2"/>
      <c r="B425" s="3"/>
      <c r="C425" s="3"/>
      <c r="D425" s="3"/>
      <c r="E425" s="4"/>
      <c r="F425" s="3"/>
      <c r="G425" s="5"/>
      <c r="H425" s="3"/>
      <c r="I425" s="5"/>
      <c r="J425" s="3"/>
      <c r="K425" s="5"/>
      <c r="L425" s="3"/>
      <c r="M425" s="5"/>
      <c r="N425" s="5"/>
    </row>
    <row r="426">
      <c r="A426" s="2"/>
      <c r="B426" s="3"/>
      <c r="C426" s="3"/>
      <c r="D426" s="3"/>
      <c r="E426" s="4"/>
      <c r="F426" s="3"/>
      <c r="G426" s="5"/>
      <c r="H426" s="3"/>
      <c r="I426" s="5"/>
      <c r="J426" s="3"/>
      <c r="K426" s="5"/>
      <c r="L426" s="3"/>
      <c r="M426" s="5"/>
      <c r="N426" s="5"/>
    </row>
    <row r="427">
      <c r="A427" s="2"/>
      <c r="B427" s="3"/>
      <c r="C427" s="3"/>
      <c r="D427" s="3"/>
      <c r="E427" s="4"/>
      <c r="F427" s="3"/>
      <c r="G427" s="5"/>
      <c r="H427" s="3"/>
      <c r="I427" s="5"/>
      <c r="J427" s="3"/>
      <c r="K427" s="5"/>
      <c r="L427" s="3"/>
      <c r="M427" s="5"/>
      <c r="N427" s="5"/>
    </row>
    <row r="428">
      <c r="A428" s="2"/>
      <c r="B428" s="3"/>
      <c r="C428" s="3"/>
      <c r="D428" s="3"/>
      <c r="E428" s="4"/>
      <c r="F428" s="3"/>
      <c r="G428" s="5"/>
      <c r="H428" s="3"/>
      <c r="I428" s="5"/>
      <c r="J428" s="3"/>
      <c r="K428" s="5"/>
      <c r="L428" s="3"/>
      <c r="M428" s="5"/>
      <c r="N428" s="5"/>
    </row>
    <row r="429">
      <c r="A429" s="2"/>
      <c r="B429" s="3"/>
      <c r="C429" s="3"/>
      <c r="D429" s="3"/>
      <c r="E429" s="4"/>
      <c r="F429" s="3"/>
      <c r="G429" s="5"/>
      <c r="H429" s="3"/>
      <c r="I429" s="5"/>
      <c r="J429" s="3"/>
      <c r="K429" s="5"/>
      <c r="L429" s="3"/>
      <c r="M429" s="5"/>
      <c r="N429" s="5"/>
    </row>
    <row r="430">
      <c r="A430" s="2"/>
      <c r="B430" s="3"/>
      <c r="C430" s="3"/>
      <c r="D430" s="3"/>
      <c r="E430" s="4"/>
      <c r="F430" s="3"/>
      <c r="G430" s="5"/>
      <c r="H430" s="3"/>
      <c r="I430" s="5"/>
      <c r="J430" s="3"/>
      <c r="K430" s="5"/>
      <c r="L430" s="3"/>
      <c r="M430" s="5"/>
      <c r="N430" s="5"/>
    </row>
    <row r="431">
      <c r="A431" s="2"/>
      <c r="B431" s="3"/>
      <c r="C431" s="3"/>
      <c r="D431" s="3"/>
      <c r="E431" s="4"/>
      <c r="F431" s="3"/>
      <c r="G431" s="5"/>
      <c r="H431" s="3"/>
      <c r="I431" s="5"/>
      <c r="J431" s="3"/>
      <c r="K431" s="5"/>
      <c r="L431" s="3"/>
      <c r="M431" s="5"/>
      <c r="N431" s="5"/>
    </row>
    <row r="432">
      <c r="A432" s="2"/>
      <c r="B432" s="3"/>
      <c r="C432" s="3"/>
      <c r="D432" s="3"/>
      <c r="E432" s="4"/>
      <c r="F432" s="3"/>
      <c r="G432" s="5"/>
      <c r="H432" s="3"/>
      <c r="I432" s="5"/>
      <c r="J432" s="3"/>
      <c r="K432" s="5"/>
      <c r="L432" s="3"/>
      <c r="M432" s="5"/>
      <c r="N432" s="5"/>
    </row>
    <row r="433">
      <c r="A433" s="2"/>
      <c r="B433" s="3"/>
      <c r="C433" s="3"/>
      <c r="D433" s="3"/>
      <c r="E433" s="4"/>
      <c r="F433" s="3"/>
      <c r="G433" s="5"/>
      <c r="H433" s="3"/>
      <c r="I433" s="5"/>
      <c r="J433" s="3"/>
      <c r="K433" s="5"/>
      <c r="L433" s="3"/>
      <c r="M433" s="5"/>
      <c r="N433" s="5"/>
    </row>
    <row r="434">
      <c r="A434" s="2"/>
      <c r="B434" s="3"/>
      <c r="C434" s="3"/>
      <c r="D434" s="3"/>
      <c r="E434" s="4"/>
      <c r="F434" s="3"/>
      <c r="G434" s="5"/>
      <c r="H434" s="3"/>
      <c r="I434" s="5"/>
      <c r="J434" s="3"/>
      <c r="K434" s="5"/>
      <c r="L434" s="3"/>
      <c r="M434" s="5"/>
      <c r="N434" s="5"/>
    </row>
    <row r="435">
      <c r="A435" s="2"/>
      <c r="B435" s="3"/>
      <c r="C435" s="3"/>
      <c r="D435" s="3"/>
      <c r="E435" s="4"/>
      <c r="F435" s="3"/>
      <c r="G435" s="5"/>
      <c r="H435" s="3"/>
      <c r="I435" s="5"/>
      <c r="J435" s="3"/>
      <c r="K435" s="5"/>
      <c r="L435" s="3"/>
      <c r="M435" s="5"/>
      <c r="N435" s="5"/>
    </row>
    <row r="436">
      <c r="A436" s="2"/>
      <c r="B436" s="3"/>
      <c r="C436" s="3"/>
      <c r="D436" s="3"/>
      <c r="E436" s="4"/>
      <c r="F436" s="3"/>
      <c r="G436" s="5"/>
      <c r="H436" s="3"/>
      <c r="I436" s="5"/>
      <c r="J436" s="3"/>
      <c r="K436" s="5"/>
      <c r="L436" s="3"/>
      <c r="M436" s="5"/>
      <c r="N436" s="5"/>
    </row>
    <row r="437">
      <c r="A437" s="2"/>
      <c r="B437" s="3"/>
      <c r="C437" s="3"/>
      <c r="D437" s="3"/>
      <c r="E437" s="4"/>
      <c r="F437" s="3"/>
      <c r="G437" s="5"/>
      <c r="H437" s="3"/>
      <c r="I437" s="5"/>
      <c r="J437" s="3"/>
      <c r="K437" s="5"/>
      <c r="L437" s="3"/>
      <c r="M437" s="5"/>
      <c r="N437" s="5"/>
    </row>
    <row r="438">
      <c r="A438" s="2"/>
      <c r="B438" s="3"/>
      <c r="C438" s="3"/>
      <c r="D438" s="3"/>
      <c r="E438" s="4"/>
      <c r="F438" s="3"/>
      <c r="G438" s="5"/>
      <c r="H438" s="3"/>
      <c r="I438" s="5"/>
      <c r="J438" s="3"/>
      <c r="K438" s="5"/>
      <c r="L438" s="3"/>
      <c r="M438" s="5"/>
      <c r="N438" s="5"/>
    </row>
    <row r="439">
      <c r="A439" s="2"/>
      <c r="B439" s="3"/>
      <c r="C439" s="3"/>
      <c r="D439" s="3"/>
      <c r="E439" s="4"/>
      <c r="F439" s="3"/>
      <c r="G439" s="5"/>
      <c r="H439" s="3"/>
      <c r="I439" s="5"/>
      <c r="J439" s="3"/>
      <c r="K439" s="5"/>
      <c r="L439" s="3"/>
      <c r="M439" s="5"/>
      <c r="N439" s="5"/>
    </row>
    <row r="440">
      <c r="A440" s="2"/>
      <c r="B440" s="3"/>
      <c r="C440" s="3"/>
      <c r="D440" s="3"/>
      <c r="E440" s="4"/>
      <c r="F440" s="3"/>
      <c r="G440" s="5"/>
      <c r="H440" s="3"/>
      <c r="I440" s="5"/>
      <c r="J440" s="3"/>
      <c r="K440" s="5"/>
      <c r="L440" s="3"/>
      <c r="M440" s="5"/>
      <c r="N440" s="5"/>
    </row>
    <row r="441">
      <c r="A441" s="2"/>
      <c r="B441" s="3"/>
      <c r="C441" s="3"/>
      <c r="D441" s="3"/>
      <c r="E441" s="4"/>
      <c r="F441" s="3"/>
      <c r="G441" s="5"/>
      <c r="H441" s="3"/>
      <c r="I441" s="5"/>
      <c r="J441" s="3"/>
      <c r="K441" s="5"/>
      <c r="L441" s="3"/>
      <c r="M441" s="5"/>
      <c r="N441" s="5"/>
    </row>
    <row r="442">
      <c r="A442" s="2"/>
      <c r="B442" s="3"/>
      <c r="C442" s="3"/>
      <c r="D442" s="3"/>
      <c r="E442" s="4"/>
      <c r="F442" s="3"/>
      <c r="G442" s="5"/>
      <c r="H442" s="3"/>
      <c r="I442" s="5"/>
      <c r="J442" s="3"/>
      <c r="K442" s="5"/>
      <c r="L442" s="3"/>
      <c r="M442" s="5"/>
      <c r="N442" s="5"/>
    </row>
    <row r="443">
      <c r="A443" s="2"/>
      <c r="B443" s="3"/>
      <c r="C443" s="3"/>
      <c r="D443" s="3"/>
      <c r="E443" s="4"/>
      <c r="F443" s="3"/>
      <c r="G443" s="5"/>
      <c r="H443" s="3"/>
      <c r="I443" s="5"/>
      <c r="J443" s="3"/>
      <c r="K443" s="5"/>
      <c r="L443" s="3"/>
      <c r="M443" s="5"/>
      <c r="N443" s="5"/>
    </row>
    <row r="444">
      <c r="A444" s="2"/>
      <c r="B444" s="3"/>
      <c r="C444" s="3"/>
      <c r="D444" s="3"/>
      <c r="E444" s="4"/>
      <c r="F444" s="3"/>
      <c r="G444" s="5"/>
      <c r="H444" s="3"/>
      <c r="I444" s="5"/>
      <c r="J444" s="3"/>
      <c r="K444" s="5"/>
      <c r="L444" s="3"/>
      <c r="M444" s="5"/>
      <c r="N444" s="5"/>
    </row>
    <row r="445">
      <c r="A445" s="2"/>
      <c r="B445" s="3"/>
      <c r="C445" s="3"/>
      <c r="D445" s="3"/>
      <c r="E445" s="4"/>
      <c r="F445" s="3"/>
      <c r="G445" s="5"/>
      <c r="H445" s="3"/>
      <c r="I445" s="5"/>
      <c r="J445" s="3"/>
      <c r="K445" s="5"/>
      <c r="L445" s="3"/>
      <c r="M445" s="5"/>
      <c r="N445" s="5"/>
    </row>
    <row r="446">
      <c r="A446" s="2"/>
      <c r="B446" s="3"/>
      <c r="C446" s="3"/>
      <c r="D446" s="3"/>
      <c r="E446" s="4"/>
      <c r="F446" s="3"/>
      <c r="G446" s="5"/>
      <c r="H446" s="3"/>
      <c r="I446" s="5"/>
      <c r="J446" s="3"/>
      <c r="K446" s="5"/>
      <c r="L446" s="3"/>
      <c r="M446" s="5"/>
      <c r="N446" s="5"/>
    </row>
    <row r="447">
      <c r="A447" s="2"/>
      <c r="B447" s="3"/>
      <c r="C447" s="3"/>
      <c r="D447" s="3"/>
      <c r="E447" s="4"/>
      <c r="F447" s="3"/>
      <c r="G447" s="5"/>
      <c r="H447" s="3"/>
      <c r="I447" s="5"/>
      <c r="J447" s="3"/>
      <c r="K447" s="5"/>
      <c r="L447" s="3"/>
      <c r="M447" s="5"/>
      <c r="N447" s="5"/>
    </row>
    <row r="448">
      <c r="A448" s="2"/>
      <c r="B448" s="3"/>
      <c r="C448" s="3"/>
      <c r="D448" s="3"/>
      <c r="E448" s="4"/>
      <c r="F448" s="3"/>
      <c r="G448" s="5"/>
      <c r="H448" s="3"/>
      <c r="I448" s="5"/>
      <c r="J448" s="3"/>
      <c r="K448" s="5"/>
      <c r="L448" s="3"/>
      <c r="M448" s="5"/>
      <c r="N448" s="5"/>
    </row>
    <row r="449">
      <c r="A449" s="2"/>
      <c r="B449" s="3"/>
      <c r="C449" s="3"/>
      <c r="D449" s="3"/>
      <c r="E449" s="4"/>
      <c r="F449" s="3"/>
      <c r="G449" s="5"/>
      <c r="H449" s="3"/>
      <c r="I449" s="5"/>
      <c r="J449" s="3"/>
      <c r="K449" s="5"/>
      <c r="L449" s="3"/>
      <c r="M449" s="5"/>
      <c r="N449" s="5"/>
    </row>
    <row r="450">
      <c r="A450" s="2"/>
      <c r="B450" s="3"/>
      <c r="C450" s="3"/>
      <c r="D450" s="3"/>
      <c r="E450" s="4"/>
      <c r="F450" s="3"/>
      <c r="G450" s="5"/>
      <c r="H450" s="3"/>
      <c r="I450" s="5"/>
      <c r="J450" s="3"/>
      <c r="K450" s="5"/>
      <c r="L450" s="3"/>
      <c r="M450" s="5"/>
      <c r="N450" s="5"/>
    </row>
    <row r="451">
      <c r="A451" s="2"/>
      <c r="B451" s="3"/>
      <c r="C451" s="3"/>
      <c r="D451" s="3"/>
      <c r="E451" s="4"/>
      <c r="F451" s="3"/>
      <c r="G451" s="5"/>
      <c r="H451" s="3"/>
      <c r="I451" s="5"/>
      <c r="J451" s="3"/>
      <c r="K451" s="5"/>
      <c r="L451" s="3"/>
      <c r="M451" s="5"/>
      <c r="N451" s="5"/>
    </row>
    <row r="452">
      <c r="A452" s="2"/>
      <c r="B452" s="3"/>
      <c r="C452" s="3"/>
      <c r="D452" s="3"/>
      <c r="E452" s="4"/>
      <c r="F452" s="3"/>
      <c r="G452" s="5"/>
      <c r="H452" s="3"/>
      <c r="I452" s="5"/>
      <c r="J452" s="3"/>
      <c r="K452" s="5"/>
      <c r="L452" s="3"/>
      <c r="M452" s="5"/>
      <c r="N452" s="5"/>
    </row>
    <row r="453">
      <c r="A453" s="2"/>
      <c r="B453" s="3"/>
      <c r="C453" s="3"/>
      <c r="D453" s="3"/>
      <c r="E453" s="4"/>
      <c r="F453" s="3"/>
      <c r="G453" s="5"/>
      <c r="H453" s="3"/>
      <c r="I453" s="5"/>
      <c r="J453" s="3"/>
      <c r="K453" s="5"/>
      <c r="L453" s="3"/>
      <c r="M453" s="5"/>
      <c r="N453" s="5"/>
    </row>
    <row r="454">
      <c r="A454" s="2"/>
      <c r="B454" s="3"/>
      <c r="C454" s="3"/>
      <c r="D454" s="3"/>
      <c r="E454" s="4"/>
      <c r="F454" s="3"/>
      <c r="G454" s="5"/>
      <c r="H454" s="3"/>
      <c r="I454" s="5"/>
      <c r="J454" s="3"/>
      <c r="K454" s="5"/>
      <c r="L454" s="3"/>
      <c r="M454" s="5"/>
      <c r="N454" s="5"/>
    </row>
    <row r="455">
      <c r="A455" s="2"/>
      <c r="B455" s="3"/>
      <c r="C455" s="3"/>
      <c r="D455" s="3"/>
      <c r="E455" s="4"/>
      <c r="F455" s="3"/>
      <c r="G455" s="5"/>
      <c r="H455" s="3"/>
      <c r="I455" s="5"/>
      <c r="J455" s="3"/>
      <c r="K455" s="5"/>
      <c r="L455" s="3"/>
      <c r="M455" s="5"/>
      <c r="N455" s="5"/>
    </row>
    <row r="456">
      <c r="A456" s="2"/>
      <c r="B456" s="3"/>
      <c r="C456" s="3"/>
      <c r="D456" s="3"/>
      <c r="E456" s="4"/>
      <c r="F456" s="3"/>
      <c r="G456" s="5"/>
      <c r="H456" s="3"/>
      <c r="I456" s="5"/>
      <c r="J456" s="3"/>
      <c r="K456" s="5"/>
      <c r="L456" s="3"/>
      <c r="M456" s="5"/>
      <c r="N456" s="5"/>
    </row>
    <row r="457">
      <c r="A457" s="2"/>
      <c r="B457" s="3"/>
      <c r="C457" s="3"/>
      <c r="D457" s="3"/>
      <c r="E457" s="4"/>
      <c r="F457" s="3"/>
      <c r="G457" s="5"/>
      <c r="H457" s="3"/>
      <c r="I457" s="5"/>
      <c r="J457" s="3"/>
      <c r="K457" s="5"/>
      <c r="L457" s="3"/>
      <c r="M457" s="5"/>
      <c r="N457" s="5"/>
    </row>
    <row r="458">
      <c r="A458" s="2"/>
      <c r="B458" s="3"/>
      <c r="C458" s="3"/>
      <c r="D458" s="3"/>
      <c r="E458" s="4"/>
      <c r="F458" s="3"/>
      <c r="G458" s="5"/>
      <c r="H458" s="3"/>
      <c r="I458" s="5"/>
      <c r="J458" s="3"/>
      <c r="K458" s="5"/>
      <c r="L458" s="3"/>
      <c r="M458" s="5"/>
      <c r="N458" s="5"/>
    </row>
    <row r="459">
      <c r="A459" s="2"/>
      <c r="B459" s="3"/>
      <c r="C459" s="3"/>
      <c r="D459" s="3"/>
      <c r="E459" s="4"/>
      <c r="F459" s="3"/>
      <c r="G459" s="5"/>
      <c r="H459" s="3"/>
      <c r="I459" s="5"/>
      <c r="J459" s="3"/>
      <c r="K459" s="5"/>
      <c r="L459" s="3"/>
      <c r="M459" s="5"/>
      <c r="N459" s="5"/>
    </row>
    <row r="460">
      <c r="A460" s="2"/>
      <c r="B460" s="3"/>
      <c r="C460" s="3"/>
      <c r="D460" s="3"/>
      <c r="E460" s="4"/>
      <c r="F460" s="3"/>
      <c r="G460" s="5"/>
      <c r="H460" s="3"/>
      <c r="I460" s="5"/>
      <c r="J460" s="3"/>
      <c r="K460" s="5"/>
      <c r="L460" s="3"/>
      <c r="M460" s="5"/>
      <c r="N460" s="5"/>
    </row>
    <row r="461">
      <c r="A461" s="2"/>
      <c r="B461" s="3"/>
      <c r="C461" s="3"/>
      <c r="D461" s="3"/>
      <c r="E461" s="4"/>
      <c r="F461" s="3"/>
      <c r="G461" s="5"/>
      <c r="H461" s="3"/>
      <c r="I461" s="5"/>
      <c r="J461" s="3"/>
      <c r="K461" s="5"/>
      <c r="L461" s="3"/>
      <c r="M461" s="5"/>
      <c r="N461" s="5"/>
    </row>
    <row r="462">
      <c r="A462" s="2"/>
      <c r="B462" s="3"/>
      <c r="C462" s="3"/>
      <c r="D462" s="3"/>
      <c r="E462" s="4"/>
      <c r="F462" s="3"/>
      <c r="G462" s="5"/>
      <c r="H462" s="3"/>
      <c r="I462" s="5"/>
      <c r="J462" s="3"/>
      <c r="K462" s="5"/>
      <c r="L462" s="3"/>
      <c r="M462" s="5"/>
      <c r="N462" s="5"/>
    </row>
    <row r="463">
      <c r="A463" s="2"/>
      <c r="B463" s="3"/>
      <c r="C463" s="3"/>
      <c r="D463" s="3"/>
      <c r="E463" s="4"/>
      <c r="F463" s="3"/>
      <c r="G463" s="5"/>
      <c r="H463" s="3"/>
      <c r="I463" s="5"/>
      <c r="J463" s="3"/>
      <c r="K463" s="5"/>
      <c r="L463" s="3"/>
      <c r="M463" s="5"/>
      <c r="N463" s="5"/>
    </row>
    <row r="464">
      <c r="A464" s="2"/>
      <c r="B464" s="3"/>
      <c r="C464" s="3"/>
      <c r="D464" s="3"/>
      <c r="E464" s="4"/>
      <c r="F464" s="3"/>
      <c r="G464" s="5"/>
      <c r="H464" s="3"/>
      <c r="I464" s="5"/>
      <c r="J464" s="3"/>
      <c r="K464" s="5"/>
      <c r="L464" s="3"/>
      <c r="M464" s="5"/>
      <c r="N464" s="5"/>
    </row>
    <row r="465">
      <c r="A465" s="2"/>
      <c r="B465" s="3"/>
      <c r="C465" s="3"/>
      <c r="D465" s="3"/>
      <c r="E465" s="4"/>
      <c r="F465" s="3"/>
      <c r="G465" s="5"/>
      <c r="H465" s="3"/>
      <c r="I465" s="5"/>
      <c r="J465" s="3"/>
      <c r="K465" s="5"/>
      <c r="L465" s="3"/>
      <c r="M465" s="5"/>
      <c r="N465" s="5"/>
    </row>
    <row r="466">
      <c r="A466" s="2"/>
      <c r="B466" s="3"/>
      <c r="C466" s="3"/>
      <c r="D466" s="3"/>
      <c r="E466" s="4"/>
      <c r="F466" s="3"/>
      <c r="G466" s="5"/>
      <c r="H466" s="3"/>
      <c r="I466" s="5"/>
      <c r="J466" s="3"/>
      <c r="K466" s="5"/>
      <c r="L466" s="3"/>
      <c r="M466" s="5"/>
      <c r="N466" s="5"/>
    </row>
    <row r="467">
      <c r="A467" s="2"/>
      <c r="B467" s="3"/>
      <c r="C467" s="3"/>
      <c r="D467" s="3"/>
      <c r="E467" s="4"/>
      <c r="F467" s="3"/>
      <c r="G467" s="5"/>
      <c r="H467" s="3"/>
      <c r="I467" s="5"/>
      <c r="J467" s="3"/>
      <c r="K467" s="5"/>
      <c r="L467" s="3"/>
      <c r="M467" s="5"/>
      <c r="N467" s="5"/>
    </row>
    <row r="468">
      <c r="A468" s="2"/>
      <c r="B468" s="3"/>
      <c r="C468" s="3"/>
      <c r="D468" s="3"/>
      <c r="E468" s="4"/>
      <c r="F468" s="3"/>
      <c r="G468" s="5"/>
      <c r="H468" s="3"/>
      <c r="I468" s="5"/>
      <c r="J468" s="3"/>
      <c r="K468" s="5"/>
      <c r="L468" s="3"/>
      <c r="M468" s="5"/>
      <c r="N468" s="5"/>
    </row>
    <row r="469">
      <c r="A469" s="2"/>
      <c r="B469" s="3"/>
      <c r="C469" s="3"/>
      <c r="D469" s="3"/>
      <c r="E469" s="4"/>
      <c r="F469" s="3"/>
      <c r="G469" s="5"/>
      <c r="H469" s="3"/>
      <c r="I469" s="5"/>
      <c r="J469" s="3"/>
      <c r="K469" s="5"/>
      <c r="L469" s="3"/>
      <c r="M469" s="5"/>
      <c r="N469" s="5"/>
    </row>
    <row r="470">
      <c r="A470" s="2"/>
      <c r="B470" s="3"/>
      <c r="C470" s="3"/>
      <c r="D470" s="3"/>
      <c r="E470" s="4"/>
      <c r="F470" s="3"/>
      <c r="G470" s="5"/>
      <c r="H470" s="3"/>
      <c r="I470" s="5"/>
      <c r="J470" s="3"/>
      <c r="K470" s="5"/>
      <c r="L470" s="3"/>
      <c r="M470" s="5"/>
      <c r="N470" s="5"/>
    </row>
    <row r="471">
      <c r="A471" s="2"/>
      <c r="B471" s="3"/>
      <c r="C471" s="3"/>
      <c r="D471" s="3"/>
      <c r="E471" s="4"/>
      <c r="F471" s="3"/>
      <c r="G471" s="5"/>
      <c r="H471" s="3"/>
      <c r="I471" s="5"/>
      <c r="J471" s="3"/>
      <c r="K471" s="5"/>
      <c r="L471" s="3"/>
      <c r="M471" s="5"/>
      <c r="N471" s="5"/>
    </row>
    <row r="472">
      <c r="A472" s="2"/>
      <c r="B472" s="3"/>
      <c r="C472" s="3"/>
      <c r="D472" s="3"/>
      <c r="E472" s="4"/>
      <c r="F472" s="3"/>
      <c r="G472" s="5"/>
      <c r="H472" s="3"/>
      <c r="I472" s="5"/>
      <c r="J472" s="3"/>
      <c r="K472" s="5"/>
      <c r="L472" s="3"/>
      <c r="M472" s="5"/>
      <c r="N472" s="5"/>
    </row>
    <row r="473">
      <c r="A473" s="2"/>
      <c r="B473" s="3"/>
      <c r="C473" s="3"/>
      <c r="D473" s="3"/>
      <c r="E473" s="4"/>
      <c r="F473" s="3"/>
      <c r="G473" s="5"/>
      <c r="H473" s="3"/>
      <c r="I473" s="5"/>
      <c r="J473" s="3"/>
      <c r="K473" s="5"/>
      <c r="L473" s="3"/>
      <c r="M473" s="5"/>
      <c r="N473" s="5"/>
    </row>
    <row r="474">
      <c r="A474" s="2"/>
      <c r="B474" s="3"/>
      <c r="C474" s="3"/>
      <c r="D474" s="3"/>
      <c r="E474" s="4"/>
      <c r="F474" s="3"/>
      <c r="G474" s="5"/>
      <c r="H474" s="3"/>
      <c r="I474" s="5"/>
      <c r="J474" s="3"/>
      <c r="K474" s="5"/>
      <c r="L474" s="3"/>
      <c r="M474" s="5"/>
      <c r="N474" s="5"/>
    </row>
    <row r="475">
      <c r="A475" s="2"/>
      <c r="B475" s="3"/>
      <c r="C475" s="3"/>
      <c r="D475" s="3"/>
      <c r="E475" s="4"/>
      <c r="F475" s="3"/>
      <c r="G475" s="5"/>
      <c r="H475" s="3"/>
      <c r="I475" s="5"/>
      <c r="J475" s="3"/>
      <c r="K475" s="5"/>
      <c r="L475" s="3"/>
      <c r="M475" s="5"/>
      <c r="N475" s="5"/>
    </row>
    <row r="476">
      <c r="A476" s="2"/>
      <c r="B476" s="3"/>
      <c r="C476" s="3"/>
      <c r="D476" s="3"/>
      <c r="E476" s="4"/>
      <c r="F476" s="3"/>
      <c r="G476" s="5"/>
      <c r="H476" s="3"/>
      <c r="I476" s="5"/>
      <c r="J476" s="3"/>
      <c r="K476" s="5"/>
      <c r="L476" s="3"/>
      <c r="M476" s="5"/>
      <c r="N476" s="5"/>
    </row>
    <row r="477">
      <c r="A477" s="2"/>
      <c r="B477" s="3"/>
      <c r="C477" s="3"/>
      <c r="D477" s="3"/>
      <c r="E477" s="4"/>
      <c r="F477" s="3"/>
      <c r="G477" s="5"/>
      <c r="H477" s="3"/>
      <c r="I477" s="5"/>
      <c r="J477" s="3"/>
      <c r="K477" s="5"/>
      <c r="L477" s="3"/>
      <c r="M477" s="5"/>
      <c r="N477" s="5"/>
    </row>
    <row r="478">
      <c r="A478" s="2"/>
      <c r="B478" s="3"/>
      <c r="C478" s="3"/>
      <c r="D478" s="3"/>
      <c r="E478" s="4"/>
      <c r="F478" s="3"/>
      <c r="G478" s="5"/>
      <c r="H478" s="3"/>
      <c r="I478" s="5"/>
      <c r="J478" s="3"/>
      <c r="K478" s="5"/>
      <c r="L478" s="3"/>
      <c r="M478" s="5"/>
      <c r="N478" s="5"/>
    </row>
    <row r="479">
      <c r="A479" s="2"/>
      <c r="B479" s="3"/>
      <c r="C479" s="3"/>
      <c r="D479" s="3"/>
      <c r="E479" s="4"/>
      <c r="F479" s="3"/>
      <c r="G479" s="5"/>
      <c r="H479" s="3"/>
      <c r="I479" s="5"/>
      <c r="J479" s="3"/>
      <c r="K479" s="5"/>
      <c r="L479" s="3"/>
      <c r="M479" s="5"/>
      <c r="N479" s="5"/>
    </row>
    <row r="480">
      <c r="A480" s="2"/>
      <c r="B480" s="3"/>
      <c r="C480" s="3"/>
      <c r="D480" s="3"/>
      <c r="E480" s="4"/>
      <c r="F480" s="3"/>
      <c r="G480" s="5"/>
      <c r="H480" s="3"/>
      <c r="I480" s="5"/>
      <c r="J480" s="3"/>
      <c r="K480" s="5"/>
      <c r="L480" s="3"/>
      <c r="M480" s="5"/>
      <c r="N480" s="5"/>
    </row>
    <row r="481">
      <c r="A481" s="2"/>
      <c r="B481" s="3"/>
      <c r="C481" s="3"/>
      <c r="D481" s="3"/>
      <c r="E481" s="4"/>
      <c r="F481" s="3"/>
      <c r="G481" s="5"/>
      <c r="H481" s="3"/>
      <c r="I481" s="5"/>
      <c r="J481" s="3"/>
      <c r="K481" s="5"/>
      <c r="L481" s="3"/>
      <c r="M481" s="5"/>
      <c r="N481" s="5"/>
    </row>
    <row r="482">
      <c r="A482" s="2"/>
      <c r="B482" s="3"/>
      <c r="C482" s="3"/>
      <c r="D482" s="3"/>
      <c r="E482" s="4"/>
      <c r="F482" s="3"/>
      <c r="G482" s="5"/>
      <c r="H482" s="3"/>
      <c r="I482" s="5"/>
      <c r="J482" s="3"/>
      <c r="K482" s="5"/>
      <c r="L482" s="3"/>
      <c r="M482" s="5"/>
      <c r="N482" s="5"/>
    </row>
    <row r="483">
      <c r="A483" s="2"/>
      <c r="B483" s="3"/>
      <c r="C483" s="3"/>
      <c r="D483" s="3"/>
      <c r="E483" s="4"/>
      <c r="F483" s="3"/>
      <c r="G483" s="5"/>
      <c r="H483" s="3"/>
      <c r="I483" s="5"/>
      <c r="J483" s="3"/>
      <c r="K483" s="5"/>
      <c r="L483" s="3"/>
      <c r="M483" s="5"/>
      <c r="N483" s="5"/>
    </row>
    <row r="484">
      <c r="A484" s="2"/>
      <c r="B484" s="3"/>
      <c r="C484" s="3"/>
      <c r="D484" s="3"/>
      <c r="E484" s="4"/>
      <c r="F484" s="3"/>
      <c r="G484" s="5"/>
      <c r="H484" s="3"/>
      <c r="I484" s="5"/>
      <c r="J484" s="3"/>
      <c r="K484" s="5"/>
      <c r="L484" s="3"/>
      <c r="M484" s="5"/>
      <c r="N484" s="5"/>
    </row>
    <row r="485">
      <c r="A485" s="2"/>
      <c r="B485" s="3"/>
      <c r="C485" s="3"/>
      <c r="D485" s="3"/>
      <c r="E485" s="4"/>
      <c r="F485" s="3"/>
      <c r="G485" s="5"/>
      <c r="H485" s="3"/>
      <c r="I485" s="5"/>
      <c r="J485" s="3"/>
      <c r="K485" s="5"/>
      <c r="L485" s="3"/>
      <c r="M485" s="5"/>
      <c r="N485" s="5"/>
    </row>
    <row r="486">
      <c r="A486" s="2"/>
      <c r="B486" s="3"/>
      <c r="C486" s="3"/>
      <c r="D486" s="3"/>
      <c r="E486" s="4"/>
      <c r="F486" s="3"/>
      <c r="G486" s="5"/>
      <c r="H486" s="3"/>
      <c r="I486" s="5"/>
      <c r="J486" s="3"/>
      <c r="K486" s="5"/>
      <c r="L486" s="3"/>
      <c r="M486" s="5"/>
      <c r="N486" s="5"/>
    </row>
    <row r="487">
      <c r="A487" s="2"/>
      <c r="B487" s="3"/>
      <c r="C487" s="3"/>
      <c r="D487" s="3"/>
      <c r="E487" s="4"/>
      <c r="F487" s="3"/>
      <c r="G487" s="5"/>
      <c r="H487" s="3"/>
      <c r="I487" s="5"/>
      <c r="J487" s="3"/>
      <c r="K487" s="5"/>
      <c r="L487" s="3"/>
      <c r="M487" s="5"/>
      <c r="N487" s="5"/>
    </row>
    <row r="488">
      <c r="A488" s="2"/>
      <c r="B488" s="3"/>
      <c r="C488" s="3"/>
      <c r="D488" s="3"/>
      <c r="E488" s="4"/>
      <c r="F488" s="3"/>
      <c r="G488" s="5"/>
      <c r="H488" s="3"/>
      <c r="I488" s="5"/>
      <c r="J488" s="3"/>
      <c r="K488" s="5"/>
      <c r="L488" s="3"/>
      <c r="M488" s="5"/>
      <c r="N488" s="5"/>
    </row>
    <row r="489">
      <c r="A489" s="2"/>
      <c r="B489" s="3"/>
      <c r="C489" s="3"/>
      <c r="D489" s="3"/>
      <c r="E489" s="4"/>
      <c r="F489" s="3"/>
      <c r="G489" s="5"/>
      <c r="H489" s="3"/>
      <c r="I489" s="5"/>
      <c r="J489" s="3"/>
      <c r="K489" s="5"/>
      <c r="L489" s="3"/>
      <c r="M489" s="5"/>
      <c r="N489" s="5"/>
    </row>
    <row r="490">
      <c r="A490" s="2"/>
      <c r="B490" s="3"/>
      <c r="C490" s="3"/>
      <c r="D490" s="3"/>
      <c r="E490" s="4"/>
      <c r="F490" s="3"/>
      <c r="G490" s="5"/>
      <c r="H490" s="3"/>
      <c r="I490" s="5"/>
      <c r="J490" s="3"/>
      <c r="K490" s="5"/>
      <c r="L490" s="3"/>
      <c r="M490" s="5"/>
      <c r="N490" s="5"/>
    </row>
    <row r="491">
      <c r="A491" s="2"/>
      <c r="B491" s="3"/>
      <c r="C491" s="3"/>
      <c r="D491" s="3"/>
      <c r="E491" s="4"/>
      <c r="F491" s="3"/>
      <c r="G491" s="5"/>
      <c r="H491" s="3"/>
      <c r="I491" s="5"/>
      <c r="J491" s="3"/>
      <c r="K491" s="5"/>
      <c r="L491" s="3"/>
      <c r="M491" s="5"/>
      <c r="N491" s="5"/>
    </row>
    <row r="492">
      <c r="A492" s="2"/>
      <c r="B492" s="3"/>
      <c r="C492" s="3"/>
      <c r="D492" s="3"/>
      <c r="E492" s="4"/>
      <c r="F492" s="3"/>
      <c r="G492" s="5"/>
      <c r="H492" s="3"/>
      <c r="I492" s="5"/>
      <c r="J492" s="3"/>
      <c r="K492" s="5"/>
      <c r="L492" s="3"/>
      <c r="M492" s="5"/>
      <c r="N492" s="5"/>
    </row>
    <row r="493">
      <c r="A493" s="2"/>
      <c r="B493" s="3"/>
      <c r="C493" s="3"/>
      <c r="D493" s="3"/>
      <c r="E493" s="4"/>
      <c r="F493" s="3"/>
      <c r="G493" s="5"/>
      <c r="H493" s="3"/>
      <c r="I493" s="5"/>
      <c r="J493" s="3"/>
      <c r="K493" s="5"/>
      <c r="L493" s="3"/>
      <c r="M493" s="5"/>
      <c r="N493" s="5"/>
    </row>
    <row r="494">
      <c r="A494" s="2"/>
      <c r="B494" s="3"/>
      <c r="C494" s="3"/>
      <c r="D494" s="3"/>
      <c r="E494" s="4"/>
      <c r="F494" s="3"/>
      <c r="G494" s="5"/>
      <c r="H494" s="3"/>
      <c r="I494" s="5"/>
      <c r="J494" s="3"/>
      <c r="K494" s="5"/>
      <c r="L494" s="3"/>
      <c r="M494" s="5"/>
      <c r="N494" s="5"/>
    </row>
    <row r="495">
      <c r="A495" s="2"/>
      <c r="B495" s="3"/>
      <c r="C495" s="3"/>
      <c r="D495" s="3"/>
      <c r="E495" s="4"/>
      <c r="F495" s="3"/>
      <c r="G495" s="5"/>
      <c r="H495" s="3"/>
      <c r="I495" s="5"/>
      <c r="J495" s="3"/>
      <c r="K495" s="5"/>
      <c r="L495" s="3"/>
      <c r="M495" s="5"/>
      <c r="N495" s="5"/>
    </row>
    <row r="496">
      <c r="A496" s="2"/>
      <c r="B496" s="3"/>
      <c r="C496" s="3"/>
      <c r="D496" s="3"/>
      <c r="E496" s="4"/>
      <c r="F496" s="3"/>
      <c r="G496" s="5"/>
      <c r="H496" s="3"/>
      <c r="I496" s="5"/>
      <c r="J496" s="3"/>
      <c r="K496" s="5"/>
      <c r="L496" s="3"/>
      <c r="M496" s="5"/>
      <c r="N496" s="5"/>
    </row>
    <row r="497">
      <c r="A497" s="2"/>
      <c r="B497" s="3"/>
      <c r="C497" s="3"/>
      <c r="D497" s="3"/>
      <c r="E497" s="4"/>
      <c r="F497" s="3"/>
      <c r="G497" s="5"/>
      <c r="H497" s="3"/>
      <c r="I497" s="5"/>
      <c r="J497" s="3"/>
      <c r="K497" s="5"/>
      <c r="L497" s="3"/>
      <c r="M497" s="5"/>
      <c r="N497" s="5"/>
    </row>
    <row r="498">
      <c r="A498" s="2"/>
      <c r="B498" s="3"/>
      <c r="C498" s="3"/>
      <c r="D498" s="3"/>
      <c r="E498" s="4"/>
      <c r="F498" s="3"/>
      <c r="G498" s="5"/>
      <c r="H498" s="3"/>
      <c r="I498" s="5"/>
      <c r="J498" s="3"/>
      <c r="K498" s="5"/>
      <c r="L498" s="3"/>
      <c r="M498" s="5"/>
      <c r="N498" s="5"/>
    </row>
    <row r="499">
      <c r="A499" s="2"/>
      <c r="B499" s="3"/>
      <c r="C499" s="3"/>
      <c r="D499" s="3"/>
      <c r="E499" s="4"/>
      <c r="F499" s="3"/>
      <c r="G499" s="5"/>
      <c r="H499" s="3"/>
      <c r="I499" s="5"/>
      <c r="J499" s="3"/>
      <c r="K499" s="5"/>
      <c r="L499" s="3"/>
      <c r="M499" s="5"/>
      <c r="N499" s="5"/>
    </row>
    <row r="500">
      <c r="A500" s="2"/>
      <c r="B500" s="3"/>
      <c r="C500" s="3"/>
      <c r="D500" s="3"/>
      <c r="E500" s="4"/>
      <c r="F500" s="3"/>
      <c r="G500" s="5"/>
      <c r="H500" s="3"/>
      <c r="I500" s="5"/>
      <c r="J500" s="3"/>
      <c r="K500" s="5"/>
      <c r="L500" s="3"/>
      <c r="M500" s="5"/>
      <c r="N500" s="5"/>
    </row>
    <row r="501">
      <c r="A501" s="2"/>
      <c r="B501" s="3"/>
      <c r="C501" s="3"/>
      <c r="D501" s="3"/>
      <c r="E501" s="4"/>
      <c r="F501" s="3"/>
      <c r="G501" s="5"/>
      <c r="H501" s="3"/>
      <c r="I501" s="5"/>
      <c r="J501" s="3"/>
      <c r="K501" s="5"/>
      <c r="L501" s="3"/>
      <c r="M501" s="5"/>
      <c r="N501" s="5"/>
    </row>
    <row r="502">
      <c r="A502" s="2"/>
      <c r="B502" s="3"/>
      <c r="C502" s="3"/>
      <c r="D502" s="3"/>
      <c r="E502" s="4"/>
      <c r="F502" s="3"/>
      <c r="G502" s="5"/>
      <c r="H502" s="3"/>
      <c r="I502" s="5"/>
      <c r="J502" s="3"/>
      <c r="K502" s="5"/>
      <c r="L502" s="3"/>
      <c r="M502" s="5"/>
      <c r="N502" s="5"/>
    </row>
    <row r="503">
      <c r="A503" s="2"/>
      <c r="B503" s="3"/>
      <c r="C503" s="3"/>
      <c r="D503" s="3"/>
      <c r="E503" s="4"/>
      <c r="F503" s="3"/>
      <c r="G503" s="5"/>
      <c r="H503" s="3"/>
      <c r="I503" s="5"/>
      <c r="J503" s="3"/>
      <c r="K503" s="5"/>
      <c r="L503" s="3"/>
      <c r="M503" s="5"/>
      <c r="N503" s="5"/>
    </row>
    <row r="504">
      <c r="A504" s="2"/>
      <c r="B504" s="3"/>
      <c r="C504" s="3"/>
      <c r="D504" s="3"/>
      <c r="E504" s="4"/>
      <c r="F504" s="3"/>
      <c r="G504" s="5"/>
      <c r="H504" s="3"/>
      <c r="I504" s="5"/>
      <c r="J504" s="3"/>
      <c r="K504" s="5"/>
      <c r="L504" s="3"/>
      <c r="M504" s="5"/>
      <c r="N504" s="5"/>
    </row>
    <row r="505">
      <c r="A505" s="2"/>
      <c r="B505" s="3"/>
      <c r="C505" s="3"/>
      <c r="D505" s="3"/>
      <c r="E505" s="4"/>
      <c r="F505" s="3"/>
      <c r="G505" s="5"/>
      <c r="H505" s="3"/>
      <c r="I505" s="5"/>
      <c r="J505" s="3"/>
      <c r="K505" s="5"/>
      <c r="L505" s="3"/>
      <c r="M505" s="5"/>
      <c r="N505" s="5"/>
    </row>
    <row r="506">
      <c r="A506" s="2"/>
      <c r="B506" s="3"/>
      <c r="C506" s="3"/>
      <c r="D506" s="3"/>
      <c r="E506" s="4"/>
      <c r="F506" s="3"/>
      <c r="G506" s="5"/>
      <c r="H506" s="3"/>
      <c r="I506" s="5"/>
      <c r="J506" s="3"/>
      <c r="K506" s="5"/>
      <c r="L506" s="3"/>
      <c r="M506" s="5"/>
      <c r="N506" s="5"/>
    </row>
    <row r="507">
      <c r="A507" s="2"/>
      <c r="B507" s="3"/>
      <c r="C507" s="3"/>
      <c r="D507" s="3"/>
      <c r="E507" s="4"/>
      <c r="F507" s="3"/>
      <c r="G507" s="5"/>
      <c r="H507" s="3"/>
      <c r="I507" s="5"/>
      <c r="J507" s="3"/>
      <c r="K507" s="5"/>
      <c r="L507" s="3"/>
      <c r="M507" s="5"/>
      <c r="N507" s="5"/>
    </row>
    <row r="508">
      <c r="A508" s="2"/>
      <c r="B508" s="3"/>
      <c r="C508" s="3"/>
      <c r="D508" s="3"/>
      <c r="E508" s="4"/>
      <c r="F508" s="3"/>
      <c r="G508" s="5"/>
      <c r="H508" s="3"/>
      <c r="I508" s="5"/>
      <c r="J508" s="3"/>
      <c r="K508" s="5"/>
      <c r="L508" s="3"/>
      <c r="M508" s="5"/>
      <c r="N508" s="5"/>
    </row>
    <row r="509">
      <c r="A509" s="2"/>
      <c r="B509" s="3"/>
      <c r="C509" s="3"/>
      <c r="D509" s="3"/>
      <c r="E509" s="4"/>
      <c r="F509" s="3"/>
      <c r="G509" s="5"/>
      <c r="H509" s="3"/>
      <c r="I509" s="5"/>
      <c r="J509" s="3"/>
      <c r="K509" s="5"/>
      <c r="L509" s="3"/>
      <c r="M509" s="5"/>
      <c r="N509" s="5"/>
    </row>
    <row r="510">
      <c r="A510" s="2"/>
      <c r="B510" s="3"/>
      <c r="C510" s="3"/>
      <c r="D510" s="3"/>
      <c r="E510" s="4"/>
      <c r="F510" s="3"/>
      <c r="G510" s="5"/>
      <c r="H510" s="3"/>
      <c r="I510" s="5"/>
      <c r="J510" s="3"/>
      <c r="K510" s="5"/>
      <c r="L510" s="3"/>
      <c r="M510" s="5"/>
      <c r="N510" s="5"/>
    </row>
    <row r="511">
      <c r="A511" s="2"/>
      <c r="B511" s="3"/>
      <c r="C511" s="3"/>
      <c r="D511" s="3"/>
      <c r="E511" s="4"/>
      <c r="F511" s="3"/>
      <c r="G511" s="5"/>
      <c r="H511" s="3"/>
      <c r="I511" s="5"/>
      <c r="J511" s="3"/>
      <c r="K511" s="5"/>
      <c r="L511" s="3"/>
      <c r="M511" s="5"/>
      <c r="N511" s="5"/>
    </row>
    <row r="512">
      <c r="A512" s="2"/>
      <c r="B512" s="3"/>
      <c r="C512" s="3"/>
      <c r="D512" s="3"/>
      <c r="E512" s="4"/>
      <c r="F512" s="3"/>
      <c r="G512" s="5"/>
      <c r="H512" s="3"/>
      <c r="I512" s="5"/>
      <c r="J512" s="3"/>
      <c r="K512" s="5"/>
      <c r="L512" s="3"/>
      <c r="M512" s="5"/>
      <c r="N512" s="5"/>
    </row>
    <row r="513">
      <c r="A513" s="2"/>
      <c r="B513" s="3"/>
      <c r="C513" s="3"/>
      <c r="D513" s="3"/>
      <c r="E513" s="4"/>
      <c r="F513" s="3"/>
      <c r="G513" s="5"/>
      <c r="H513" s="3"/>
      <c r="I513" s="5"/>
      <c r="J513" s="3"/>
      <c r="K513" s="5"/>
      <c r="L513" s="3"/>
      <c r="M513" s="5"/>
      <c r="N513" s="5"/>
    </row>
    <row r="514">
      <c r="A514" s="2"/>
      <c r="B514" s="3"/>
      <c r="C514" s="3"/>
      <c r="D514" s="3"/>
      <c r="E514" s="4"/>
      <c r="F514" s="3"/>
      <c r="G514" s="5"/>
      <c r="H514" s="3"/>
      <c r="I514" s="5"/>
      <c r="J514" s="3"/>
      <c r="K514" s="5"/>
      <c r="L514" s="3"/>
      <c r="M514" s="5"/>
      <c r="N514" s="5"/>
    </row>
    <row r="515">
      <c r="A515" s="2"/>
      <c r="B515" s="3"/>
      <c r="C515" s="3"/>
      <c r="D515" s="3"/>
      <c r="E515" s="4"/>
      <c r="F515" s="3"/>
      <c r="G515" s="5"/>
      <c r="H515" s="3"/>
      <c r="I515" s="5"/>
      <c r="J515" s="3"/>
      <c r="K515" s="5"/>
      <c r="L515" s="3"/>
      <c r="M515" s="5"/>
      <c r="N515" s="5"/>
    </row>
    <row r="516">
      <c r="A516" s="2"/>
      <c r="B516" s="3"/>
      <c r="C516" s="3"/>
      <c r="D516" s="3"/>
      <c r="E516" s="4"/>
      <c r="F516" s="3"/>
      <c r="G516" s="5"/>
      <c r="H516" s="3"/>
      <c r="I516" s="5"/>
      <c r="J516" s="3"/>
      <c r="K516" s="5"/>
      <c r="L516" s="3"/>
      <c r="M516" s="5"/>
      <c r="N516" s="5"/>
    </row>
    <row r="517">
      <c r="A517" s="2"/>
      <c r="B517" s="3"/>
      <c r="C517" s="3"/>
      <c r="D517" s="3"/>
      <c r="E517" s="4"/>
      <c r="F517" s="3"/>
      <c r="G517" s="5"/>
      <c r="H517" s="3"/>
      <c r="I517" s="5"/>
      <c r="J517" s="3"/>
      <c r="K517" s="5"/>
      <c r="L517" s="3"/>
      <c r="M517" s="5"/>
      <c r="N517" s="5"/>
    </row>
    <row r="518">
      <c r="A518" s="2"/>
      <c r="B518" s="3"/>
      <c r="C518" s="3"/>
      <c r="D518" s="3"/>
      <c r="E518" s="4"/>
      <c r="F518" s="3"/>
      <c r="G518" s="5"/>
      <c r="H518" s="3"/>
      <c r="I518" s="5"/>
      <c r="J518" s="3"/>
      <c r="K518" s="5"/>
      <c r="L518" s="3"/>
      <c r="M518" s="5"/>
      <c r="N518" s="5"/>
    </row>
    <row r="519">
      <c r="A519" s="2"/>
      <c r="B519" s="3"/>
      <c r="C519" s="3"/>
      <c r="D519" s="3"/>
      <c r="E519" s="4"/>
      <c r="F519" s="3"/>
      <c r="G519" s="5"/>
      <c r="H519" s="3"/>
      <c r="I519" s="5"/>
      <c r="J519" s="3"/>
      <c r="K519" s="5"/>
      <c r="L519" s="3"/>
      <c r="M519" s="5"/>
      <c r="N519" s="5"/>
    </row>
    <row r="520">
      <c r="A520" s="2"/>
      <c r="B520" s="3"/>
      <c r="C520" s="3"/>
      <c r="D520" s="3"/>
      <c r="E520" s="4"/>
      <c r="F520" s="3"/>
      <c r="G520" s="5"/>
      <c r="H520" s="3"/>
      <c r="I520" s="5"/>
      <c r="J520" s="3"/>
      <c r="K520" s="5"/>
      <c r="L520" s="3"/>
      <c r="M520" s="5"/>
      <c r="N520" s="5"/>
    </row>
    <row r="521">
      <c r="A521" s="2"/>
      <c r="B521" s="3"/>
      <c r="C521" s="3"/>
      <c r="D521" s="3"/>
      <c r="E521" s="4"/>
      <c r="F521" s="3"/>
      <c r="G521" s="5"/>
      <c r="H521" s="3"/>
      <c r="I521" s="5"/>
      <c r="J521" s="3"/>
      <c r="K521" s="5"/>
      <c r="L521" s="3"/>
      <c r="M521" s="5"/>
      <c r="N521" s="5"/>
    </row>
    <row r="522">
      <c r="A522" s="2"/>
      <c r="B522" s="3"/>
      <c r="C522" s="3"/>
      <c r="D522" s="3"/>
      <c r="E522" s="4"/>
      <c r="F522" s="3"/>
      <c r="G522" s="5"/>
      <c r="H522" s="3"/>
      <c r="I522" s="5"/>
      <c r="J522" s="3"/>
      <c r="K522" s="5"/>
      <c r="L522" s="3"/>
      <c r="M522" s="5"/>
      <c r="N522" s="5"/>
    </row>
    <row r="523">
      <c r="A523" s="2"/>
      <c r="B523" s="3"/>
      <c r="C523" s="3"/>
      <c r="D523" s="3"/>
      <c r="E523" s="4"/>
      <c r="F523" s="3"/>
      <c r="G523" s="5"/>
      <c r="H523" s="3"/>
      <c r="I523" s="5"/>
      <c r="J523" s="3"/>
      <c r="K523" s="5"/>
      <c r="L523" s="3"/>
      <c r="M523" s="5"/>
      <c r="N523" s="5"/>
    </row>
    <row r="524">
      <c r="A524" s="2"/>
      <c r="B524" s="3"/>
      <c r="C524" s="3"/>
      <c r="D524" s="3"/>
      <c r="E524" s="4"/>
      <c r="F524" s="3"/>
      <c r="G524" s="5"/>
      <c r="H524" s="3"/>
      <c r="I524" s="5"/>
      <c r="J524" s="3"/>
      <c r="K524" s="5"/>
      <c r="L524" s="3"/>
      <c r="M524" s="5"/>
      <c r="N524" s="5"/>
    </row>
    <row r="525">
      <c r="A525" s="2"/>
      <c r="B525" s="3"/>
      <c r="C525" s="3"/>
      <c r="D525" s="3"/>
      <c r="E525" s="4"/>
      <c r="F525" s="3"/>
      <c r="G525" s="5"/>
      <c r="H525" s="3"/>
      <c r="I525" s="5"/>
      <c r="J525" s="3"/>
      <c r="K525" s="5"/>
      <c r="L525" s="3"/>
      <c r="M525" s="5"/>
      <c r="N525" s="5"/>
    </row>
    <row r="526">
      <c r="A526" s="2"/>
      <c r="B526" s="3"/>
      <c r="C526" s="3"/>
      <c r="D526" s="3"/>
      <c r="E526" s="4"/>
      <c r="F526" s="3"/>
      <c r="G526" s="5"/>
      <c r="H526" s="3"/>
      <c r="I526" s="5"/>
      <c r="J526" s="3"/>
      <c r="K526" s="5"/>
      <c r="L526" s="3"/>
      <c r="M526" s="5"/>
      <c r="N526" s="5"/>
    </row>
    <row r="527">
      <c r="A527" s="2"/>
      <c r="B527" s="3"/>
      <c r="C527" s="3"/>
      <c r="D527" s="3"/>
      <c r="E527" s="4"/>
      <c r="F527" s="3"/>
      <c r="G527" s="5"/>
      <c r="H527" s="3"/>
      <c r="I527" s="5"/>
      <c r="J527" s="3"/>
      <c r="K527" s="5"/>
      <c r="L527" s="3"/>
      <c r="M527" s="5"/>
      <c r="N527" s="5"/>
    </row>
    <row r="528">
      <c r="A528" s="2"/>
      <c r="B528" s="3"/>
      <c r="C528" s="3"/>
      <c r="D528" s="3"/>
      <c r="E528" s="4"/>
      <c r="F528" s="3"/>
      <c r="G528" s="5"/>
      <c r="H528" s="3"/>
      <c r="I528" s="5"/>
      <c r="J528" s="3"/>
      <c r="K528" s="5"/>
      <c r="L528" s="3"/>
      <c r="M528" s="5"/>
      <c r="N528" s="5"/>
    </row>
    <row r="529">
      <c r="A529" s="2"/>
      <c r="B529" s="3"/>
      <c r="C529" s="3"/>
      <c r="D529" s="3"/>
      <c r="E529" s="4"/>
      <c r="F529" s="3"/>
      <c r="G529" s="5"/>
      <c r="H529" s="3"/>
      <c r="I529" s="5"/>
      <c r="J529" s="3"/>
      <c r="K529" s="5"/>
      <c r="L529" s="3"/>
      <c r="M529" s="5"/>
      <c r="N529" s="5"/>
    </row>
    <row r="530">
      <c r="A530" s="2"/>
      <c r="B530" s="3"/>
      <c r="C530" s="3"/>
      <c r="D530" s="3"/>
      <c r="E530" s="4"/>
      <c r="F530" s="3"/>
      <c r="G530" s="5"/>
      <c r="H530" s="3"/>
      <c r="I530" s="5"/>
      <c r="J530" s="3"/>
      <c r="K530" s="5"/>
      <c r="L530" s="3"/>
      <c r="M530" s="5"/>
      <c r="N530" s="5"/>
    </row>
    <row r="531">
      <c r="A531" s="2"/>
      <c r="B531" s="3"/>
      <c r="C531" s="3"/>
      <c r="D531" s="3"/>
      <c r="E531" s="4"/>
      <c r="F531" s="3"/>
      <c r="G531" s="5"/>
      <c r="H531" s="3"/>
      <c r="I531" s="5"/>
      <c r="J531" s="3"/>
      <c r="K531" s="5"/>
      <c r="L531" s="3"/>
      <c r="M531" s="5"/>
      <c r="N531" s="5"/>
    </row>
    <row r="532">
      <c r="A532" s="2"/>
      <c r="B532" s="3"/>
      <c r="C532" s="3"/>
      <c r="D532" s="3"/>
      <c r="E532" s="4"/>
      <c r="F532" s="3"/>
      <c r="G532" s="5"/>
      <c r="H532" s="3"/>
      <c r="I532" s="5"/>
      <c r="J532" s="3"/>
      <c r="K532" s="5"/>
      <c r="L532" s="3"/>
      <c r="M532" s="5"/>
      <c r="N532" s="5"/>
    </row>
    <row r="533">
      <c r="A533" s="2"/>
      <c r="B533" s="3"/>
      <c r="C533" s="3"/>
      <c r="D533" s="3"/>
      <c r="E533" s="4"/>
      <c r="F533" s="3"/>
      <c r="G533" s="5"/>
      <c r="H533" s="3"/>
      <c r="I533" s="5"/>
      <c r="J533" s="3"/>
      <c r="K533" s="5"/>
      <c r="L533" s="3"/>
      <c r="M533" s="5"/>
      <c r="N533" s="5"/>
    </row>
    <row r="534">
      <c r="A534" s="2"/>
      <c r="B534" s="3"/>
      <c r="C534" s="3"/>
      <c r="D534" s="3"/>
      <c r="E534" s="4"/>
      <c r="F534" s="3"/>
      <c r="G534" s="5"/>
      <c r="H534" s="3"/>
      <c r="I534" s="5"/>
      <c r="J534" s="3"/>
      <c r="K534" s="5"/>
      <c r="L534" s="3"/>
      <c r="M534" s="5"/>
      <c r="N534" s="5"/>
    </row>
    <row r="535">
      <c r="A535" s="2"/>
      <c r="B535" s="3"/>
      <c r="C535" s="3"/>
      <c r="D535" s="3"/>
      <c r="E535" s="4"/>
      <c r="F535" s="3"/>
      <c r="G535" s="5"/>
      <c r="H535" s="3"/>
      <c r="I535" s="5"/>
      <c r="J535" s="3"/>
      <c r="K535" s="5"/>
      <c r="L535" s="3"/>
      <c r="M535" s="5"/>
      <c r="N535" s="5"/>
    </row>
    <row r="536">
      <c r="A536" s="2"/>
      <c r="B536" s="3"/>
      <c r="C536" s="3"/>
      <c r="D536" s="3"/>
      <c r="E536" s="4"/>
      <c r="F536" s="3"/>
      <c r="G536" s="5"/>
      <c r="H536" s="3"/>
      <c r="I536" s="5"/>
      <c r="J536" s="3"/>
      <c r="K536" s="5"/>
      <c r="L536" s="3"/>
      <c r="M536" s="5"/>
      <c r="N536" s="5"/>
    </row>
    <row r="537">
      <c r="A537" s="2"/>
      <c r="B537" s="3"/>
      <c r="C537" s="3"/>
      <c r="D537" s="3"/>
      <c r="E537" s="4"/>
      <c r="F537" s="3"/>
      <c r="G537" s="5"/>
      <c r="H537" s="3"/>
      <c r="I537" s="5"/>
      <c r="J537" s="3"/>
      <c r="K537" s="5"/>
      <c r="L537" s="3"/>
      <c r="M537" s="5"/>
      <c r="N537" s="5"/>
    </row>
    <row r="538">
      <c r="A538" s="2"/>
      <c r="B538" s="3"/>
      <c r="C538" s="3"/>
      <c r="D538" s="3"/>
      <c r="E538" s="4"/>
      <c r="F538" s="3"/>
      <c r="G538" s="5"/>
      <c r="H538" s="3"/>
      <c r="I538" s="5"/>
      <c r="J538" s="3"/>
      <c r="K538" s="5"/>
      <c r="L538" s="3"/>
      <c r="M538" s="5"/>
      <c r="N538" s="5"/>
    </row>
    <row r="539">
      <c r="A539" s="2"/>
      <c r="B539" s="3"/>
      <c r="C539" s="3"/>
      <c r="D539" s="3"/>
      <c r="E539" s="4"/>
      <c r="F539" s="3"/>
      <c r="G539" s="5"/>
      <c r="H539" s="3"/>
      <c r="I539" s="5"/>
      <c r="J539" s="3"/>
      <c r="K539" s="5"/>
      <c r="L539" s="3"/>
      <c r="M539" s="5"/>
      <c r="N539" s="5"/>
    </row>
    <row r="540">
      <c r="A540" s="2"/>
      <c r="B540" s="3"/>
      <c r="C540" s="3"/>
      <c r="D540" s="3"/>
      <c r="E540" s="4"/>
      <c r="F540" s="3"/>
      <c r="G540" s="5"/>
      <c r="H540" s="3"/>
      <c r="I540" s="5"/>
      <c r="J540" s="3"/>
      <c r="K540" s="5"/>
      <c r="L540" s="3"/>
      <c r="M540" s="5"/>
      <c r="N540" s="5"/>
    </row>
    <row r="541">
      <c r="A541" s="2"/>
      <c r="B541" s="3"/>
      <c r="C541" s="3"/>
      <c r="D541" s="3"/>
      <c r="E541" s="4"/>
      <c r="F541" s="3"/>
      <c r="G541" s="5"/>
      <c r="H541" s="3"/>
      <c r="I541" s="5"/>
      <c r="J541" s="3"/>
      <c r="K541" s="5"/>
      <c r="L541" s="3"/>
      <c r="M541" s="5"/>
      <c r="N541" s="5"/>
    </row>
    <row r="542">
      <c r="A542" s="2"/>
      <c r="B542" s="3"/>
      <c r="C542" s="3"/>
      <c r="D542" s="3"/>
      <c r="E542" s="4"/>
      <c r="F542" s="3"/>
      <c r="G542" s="5"/>
      <c r="H542" s="3"/>
      <c r="I542" s="5"/>
      <c r="J542" s="3"/>
      <c r="K542" s="5"/>
      <c r="L542" s="3"/>
      <c r="M542" s="5"/>
      <c r="N542" s="5"/>
    </row>
    <row r="543">
      <c r="A543" s="2"/>
      <c r="B543" s="3"/>
      <c r="C543" s="3"/>
      <c r="D543" s="3"/>
      <c r="E543" s="4"/>
      <c r="F543" s="3"/>
      <c r="G543" s="5"/>
      <c r="H543" s="3"/>
      <c r="I543" s="5"/>
      <c r="J543" s="3"/>
      <c r="K543" s="5"/>
      <c r="L543" s="3"/>
      <c r="M543" s="5"/>
      <c r="N543" s="5"/>
    </row>
    <row r="544">
      <c r="A544" s="2"/>
      <c r="B544" s="3"/>
      <c r="C544" s="3"/>
      <c r="D544" s="3"/>
      <c r="E544" s="4"/>
      <c r="F544" s="3"/>
      <c r="G544" s="5"/>
      <c r="H544" s="3"/>
      <c r="I544" s="5"/>
      <c r="J544" s="3"/>
      <c r="K544" s="5"/>
      <c r="L544" s="3"/>
      <c r="M544" s="5"/>
      <c r="N544" s="5"/>
    </row>
    <row r="545">
      <c r="A545" s="2"/>
      <c r="B545" s="3"/>
      <c r="C545" s="3"/>
      <c r="D545" s="3"/>
      <c r="E545" s="4"/>
      <c r="F545" s="3"/>
      <c r="G545" s="5"/>
      <c r="H545" s="3"/>
      <c r="I545" s="5"/>
      <c r="J545" s="3"/>
      <c r="K545" s="5"/>
      <c r="L545" s="3"/>
      <c r="M545" s="5"/>
      <c r="N545" s="5"/>
    </row>
    <row r="546">
      <c r="A546" s="2"/>
      <c r="B546" s="3"/>
      <c r="C546" s="3"/>
      <c r="D546" s="3"/>
      <c r="E546" s="4"/>
      <c r="F546" s="3"/>
      <c r="G546" s="5"/>
      <c r="H546" s="3"/>
      <c r="I546" s="5"/>
      <c r="J546" s="3"/>
      <c r="K546" s="5"/>
      <c r="L546" s="3"/>
      <c r="M546" s="5"/>
      <c r="N546" s="5"/>
    </row>
    <row r="547">
      <c r="A547" s="2"/>
      <c r="B547" s="3"/>
      <c r="C547" s="3"/>
      <c r="D547" s="3"/>
      <c r="E547" s="4"/>
      <c r="F547" s="3"/>
      <c r="G547" s="5"/>
      <c r="H547" s="3"/>
      <c r="I547" s="5"/>
      <c r="J547" s="3"/>
      <c r="K547" s="5"/>
      <c r="L547" s="3"/>
      <c r="M547" s="5"/>
      <c r="N547" s="5"/>
    </row>
    <row r="548">
      <c r="A548" s="2"/>
      <c r="B548" s="3"/>
      <c r="C548" s="3"/>
      <c r="D548" s="3"/>
      <c r="E548" s="4"/>
      <c r="F548" s="3"/>
      <c r="G548" s="5"/>
      <c r="H548" s="3"/>
      <c r="I548" s="5"/>
      <c r="J548" s="3"/>
      <c r="K548" s="5"/>
      <c r="L548" s="3"/>
      <c r="M548" s="5"/>
      <c r="N548" s="5"/>
    </row>
    <row r="549">
      <c r="A549" s="2"/>
      <c r="B549" s="3"/>
      <c r="C549" s="3"/>
      <c r="D549" s="3"/>
      <c r="E549" s="4"/>
      <c r="F549" s="3"/>
      <c r="G549" s="5"/>
      <c r="H549" s="3"/>
      <c r="I549" s="5"/>
      <c r="J549" s="3"/>
      <c r="K549" s="5"/>
      <c r="L549" s="3"/>
      <c r="M549" s="5"/>
      <c r="N549" s="5"/>
    </row>
    <row r="550">
      <c r="A550" s="2"/>
      <c r="B550" s="3"/>
      <c r="C550" s="3"/>
      <c r="D550" s="3"/>
      <c r="E550" s="4"/>
      <c r="F550" s="3"/>
      <c r="G550" s="5"/>
      <c r="H550" s="3"/>
      <c r="I550" s="5"/>
      <c r="J550" s="3"/>
      <c r="K550" s="5"/>
      <c r="L550" s="3"/>
      <c r="M550" s="5"/>
      <c r="N550" s="5"/>
    </row>
    <row r="551">
      <c r="A551" s="2"/>
      <c r="B551" s="3"/>
      <c r="C551" s="3"/>
      <c r="D551" s="3"/>
      <c r="E551" s="4"/>
      <c r="F551" s="3"/>
      <c r="G551" s="5"/>
      <c r="H551" s="3"/>
      <c r="I551" s="5"/>
      <c r="J551" s="3"/>
      <c r="K551" s="5"/>
      <c r="L551" s="3"/>
      <c r="M551" s="5"/>
      <c r="N551" s="5"/>
    </row>
    <row r="552">
      <c r="A552" s="2"/>
      <c r="B552" s="3"/>
      <c r="C552" s="3"/>
      <c r="D552" s="3"/>
      <c r="E552" s="4"/>
      <c r="F552" s="3"/>
      <c r="G552" s="5"/>
      <c r="H552" s="3"/>
      <c r="I552" s="5"/>
      <c r="J552" s="3"/>
      <c r="K552" s="5"/>
      <c r="L552" s="3"/>
      <c r="M552" s="5"/>
      <c r="N552" s="5"/>
    </row>
    <row r="553">
      <c r="A553" s="2"/>
      <c r="B553" s="3"/>
      <c r="C553" s="3"/>
      <c r="D553" s="3"/>
      <c r="E553" s="4"/>
      <c r="F553" s="3"/>
      <c r="G553" s="5"/>
      <c r="H553" s="3"/>
      <c r="I553" s="5"/>
      <c r="J553" s="3"/>
      <c r="K553" s="5"/>
      <c r="L553" s="3"/>
      <c r="M553" s="5"/>
      <c r="N553" s="5"/>
    </row>
    <row r="554">
      <c r="A554" s="2"/>
      <c r="B554" s="3"/>
      <c r="C554" s="3"/>
      <c r="D554" s="3"/>
      <c r="E554" s="4"/>
      <c r="F554" s="3"/>
      <c r="G554" s="5"/>
      <c r="H554" s="3"/>
      <c r="I554" s="5"/>
      <c r="J554" s="3"/>
      <c r="K554" s="5"/>
      <c r="L554" s="3"/>
      <c r="M554" s="5"/>
      <c r="N554" s="5"/>
    </row>
    <row r="555">
      <c r="A555" s="2"/>
      <c r="B555" s="3"/>
      <c r="C555" s="3"/>
      <c r="D555" s="3"/>
      <c r="E555" s="4"/>
      <c r="F555" s="3"/>
      <c r="G555" s="5"/>
      <c r="H555" s="3"/>
      <c r="I555" s="5"/>
      <c r="J555" s="3"/>
      <c r="K555" s="5"/>
      <c r="L555" s="3"/>
      <c r="M555" s="5"/>
      <c r="N555" s="5"/>
    </row>
    <row r="556">
      <c r="A556" s="2"/>
      <c r="B556" s="3"/>
      <c r="C556" s="3"/>
      <c r="D556" s="3"/>
      <c r="E556" s="4"/>
      <c r="F556" s="3"/>
      <c r="G556" s="5"/>
      <c r="H556" s="3"/>
      <c r="I556" s="5"/>
      <c r="J556" s="3"/>
      <c r="K556" s="5"/>
      <c r="L556" s="3"/>
      <c r="M556" s="5"/>
      <c r="N556" s="5"/>
    </row>
    <row r="557">
      <c r="A557" s="2"/>
      <c r="B557" s="3"/>
      <c r="C557" s="3"/>
      <c r="D557" s="3"/>
      <c r="E557" s="4"/>
      <c r="F557" s="3"/>
      <c r="G557" s="5"/>
      <c r="H557" s="3"/>
      <c r="I557" s="5"/>
      <c r="J557" s="3"/>
      <c r="K557" s="5"/>
      <c r="L557" s="3"/>
      <c r="M557" s="5"/>
      <c r="N557" s="5"/>
    </row>
    <row r="558">
      <c r="A558" s="2"/>
      <c r="B558" s="3"/>
      <c r="C558" s="3"/>
      <c r="D558" s="3"/>
      <c r="E558" s="4"/>
      <c r="F558" s="3"/>
      <c r="G558" s="5"/>
      <c r="H558" s="3"/>
      <c r="I558" s="5"/>
      <c r="J558" s="3"/>
      <c r="K558" s="5"/>
      <c r="L558" s="3"/>
      <c r="M558" s="5"/>
      <c r="N558" s="5"/>
    </row>
    <row r="559">
      <c r="A559" s="2"/>
      <c r="B559" s="3"/>
      <c r="C559" s="3"/>
      <c r="D559" s="3"/>
      <c r="E559" s="4"/>
      <c r="F559" s="3"/>
      <c r="G559" s="5"/>
      <c r="H559" s="3"/>
      <c r="I559" s="5"/>
      <c r="J559" s="3"/>
      <c r="K559" s="5"/>
      <c r="L559" s="3"/>
      <c r="M559" s="5"/>
      <c r="N559" s="5"/>
    </row>
    <row r="560">
      <c r="A560" s="2"/>
      <c r="B560" s="3"/>
      <c r="C560" s="3"/>
      <c r="D560" s="3"/>
      <c r="E560" s="4"/>
      <c r="F560" s="3"/>
      <c r="G560" s="5"/>
      <c r="H560" s="3"/>
      <c r="I560" s="5"/>
      <c r="J560" s="3"/>
      <c r="K560" s="5"/>
      <c r="L560" s="3"/>
      <c r="M560" s="5"/>
      <c r="N560" s="5"/>
    </row>
    <row r="561">
      <c r="A561" s="2"/>
      <c r="B561" s="3"/>
      <c r="C561" s="3"/>
      <c r="D561" s="3"/>
      <c r="E561" s="4"/>
      <c r="F561" s="3"/>
      <c r="G561" s="5"/>
      <c r="H561" s="3"/>
      <c r="I561" s="5"/>
      <c r="J561" s="3"/>
      <c r="K561" s="5"/>
      <c r="L561" s="3"/>
      <c r="M561" s="5"/>
      <c r="N561" s="5"/>
    </row>
    <row r="562">
      <c r="A562" s="2"/>
      <c r="B562" s="3"/>
      <c r="C562" s="3"/>
      <c r="D562" s="3"/>
      <c r="E562" s="4"/>
      <c r="F562" s="3"/>
      <c r="G562" s="5"/>
      <c r="H562" s="3"/>
      <c r="I562" s="5"/>
      <c r="J562" s="3"/>
      <c r="K562" s="5"/>
      <c r="L562" s="3"/>
      <c r="M562" s="5"/>
      <c r="N562" s="5"/>
    </row>
    <row r="563">
      <c r="A563" s="2"/>
      <c r="B563" s="3"/>
      <c r="C563" s="3"/>
      <c r="D563" s="3"/>
      <c r="E563" s="4"/>
      <c r="F563" s="3"/>
      <c r="G563" s="5"/>
      <c r="H563" s="3"/>
      <c r="I563" s="5"/>
      <c r="J563" s="3"/>
      <c r="K563" s="5"/>
      <c r="L563" s="3"/>
      <c r="M563" s="5"/>
      <c r="N563" s="5"/>
    </row>
    <row r="564">
      <c r="A564" s="2"/>
      <c r="B564" s="3"/>
      <c r="C564" s="3"/>
      <c r="D564" s="3"/>
      <c r="E564" s="4"/>
      <c r="F564" s="3"/>
      <c r="G564" s="5"/>
      <c r="H564" s="3"/>
      <c r="I564" s="5"/>
      <c r="J564" s="3"/>
      <c r="K564" s="5"/>
      <c r="L564" s="3"/>
      <c r="M564" s="5"/>
      <c r="N564" s="5"/>
    </row>
    <row r="565">
      <c r="A565" s="2"/>
      <c r="B565" s="3"/>
      <c r="C565" s="3"/>
      <c r="D565" s="3"/>
      <c r="E565" s="4"/>
      <c r="F565" s="3"/>
      <c r="G565" s="5"/>
      <c r="H565" s="3"/>
      <c r="I565" s="5"/>
      <c r="J565" s="3"/>
      <c r="K565" s="5"/>
      <c r="L565" s="3"/>
      <c r="M565" s="5"/>
      <c r="N565" s="5"/>
    </row>
    <row r="566">
      <c r="A566" s="2"/>
      <c r="B566" s="3"/>
      <c r="C566" s="3"/>
      <c r="D566" s="3"/>
      <c r="E566" s="4"/>
      <c r="F566" s="3"/>
      <c r="G566" s="5"/>
      <c r="H566" s="3"/>
      <c r="I566" s="5"/>
      <c r="J566" s="3"/>
      <c r="K566" s="5"/>
      <c r="L566" s="3"/>
      <c r="M566" s="5"/>
      <c r="N566" s="5"/>
    </row>
    <row r="567">
      <c r="A567" s="2"/>
      <c r="B567" s="3"/>
      <c r="C567" s="3"/>
      <c r="D567" s="3"/>
      <c r="E567" s="4"/>
      <c r="F567" s="3"/>
      <c r="G567" s="5"/>
      <c r="H567" s="3"/>
      <c r="I567" s="5"/>
      <c r="J567" s="3"/>
      <c r="K567" s="5"/>
      <c r="L567" s="3"/>
      <c r="M567" s="5"/>
      <c r="N567" s="5"/>
    </row>
    <row r="568">
      <c r="A568" s="2"/>
      <c r="B568" s="3"/>
      <c r="C568" s="3"/>
      <c r="D568" s="3"/>
      <c r="E568" s="4"/>
      <c r="F568" s="3"/>
      <c r="G568" s="5"/>
      <c r="H568" s="3"/>
      <c r="I568" s="5"/>
      <c r="J568" s="3"/>
      <c r="K568" s="5"/>
      <c r="L568" s="3"/>
      <c r="M568" s="5"/>
      <c r="N568" s="5"/>
    </row>
    <row r="569">
      <c r="A569" s="2"/>
      <c r="B569" s="3"/>
      <c r="C569" s="3"/>
      <c r="D569" s="3"/>
      <c r="E569" s="4"/>
      <c r="F569" s="3"/>
      <c r="G569" s="5"/>
      <c r="H569" s="3"/>
      <c r="I569" s="5"/>
      <c r="J569" s="3"/>
      <c r="K569" s="5"/>
      <c r="L569" s="3"/>
      <c r="M569" s="5"/>
      <c r="N569" s="5"/>
    </row>
    <row r="570">
      <c r="A570" s="2"/>
      <c r="B570" s="3"/>
      <c r="C570" s="3"/>
      <c r="D570" s="3"/>
      <c r="E570" s="4"/>
      <c r="F570" s="3"/>
      <c r="G570" s="5"/>
      <c r="H570" s="3"/>
      <c r="I570" s="5"/>
      <c r="J570" s="3"/>
      <c r="K570" s="5"/>
      <c r="L570" s="3"/>
      <c r="M570" s="5"/>
      <c r="N570" s="5"/>
    </row>
    <row r="571">
      <c r="A571" s="2"/>
      <c r="B571" s="3"/>
      <c r="C571" s="3"/>
      <c r="D571" s="3"/>
      <c r="E571" s="4"/>
      <c r="F571" s="3"/>
      <c r="G571" s="5"/>
      <c r="H571" s="3"/>
      <c r="I571" s="5"/>
      <c r="J571" s="3"/>
      <c r="K571" s="5"/>
      <c r="L571" s="3"/>
      <c r="M571" s="5"/>
      <c r="N571" s="5"/>
    </row>
    <row r="572">
      <c r="A572" s="2"/>
      <c r="B572" s="3"/>
      <c r="C572" s="3"/>
      <c r="D572" s="3"/>
      <c r="E572" s="4"/>
      <c r="F572" s="3"/>
      <c r="G572" s="5"/>
      <c r="H572" s="3"/>
      <c r="I572" s="5"/>
      <c r="J572" s="3"/>
      <c r="K572" s="5"/>
      <c r="L572" s="3"/>
      <c r="M572" s="5"/>
      <c r="N572" s="5"/>
    </row>
    <row r="573">
      <c r="A573" s="2"/>
      <c r="B573" s="3"/>
      <c r="C573" s="3"/>
      <c r="D573" s="3"/>
      <c r="E573" s="4"/>
      <c r="F573" s="3"/>
      <c r="G573" s="5"/>
      <c r="H573" s="3"/>
      <c r="I573" s="5"/>
      <c r="J573" s="3"/>
      <c r="K573" s="5"/>
      <c r="L573" s="3"/>
      <c r="M573" s="5"/>
      <c r="N573" s="5"/>
    </row>
    <row r="574">
      <c r="A574" s="2"/>
      <c r="B574" s="3"/>
      <c r="C574" s="3"/>
      <c r="D574" s="3"/>
      <c r="E574" s="4"/>
      <c r="F574" s="3"/>
      <c r="G574" s="5"/>
      <c r="H574" s="3"/>
      <c r="I574" s="5"/>
      <c r="J574" s="3"/>
      <c r="K574" s="5"/>
      <c r="L574" s="3"/>
      <c r="M574" s="5"/>
      <c r="N574" s="5"/>
    </row>
    <row r="575">
      <c r="A575" s="2"/>
      <c r="B575" s="3"/>
      <c r="C575" s="3"/>
      <c r="D575" s="3"/>
      <c r="E575" s="4"/>
      <c r="F575" s="3"/>
      <c r="G575" s="5"/>
      <c r="H575" s="3"/>
      <c r="I575" s="5"/>
      <c r="J575" s="3"/>
      <c r="K575" s="5"/>
      <c r="L575" s="3"/>
      <c r="M575" s="5"/>
      <c r="N575" s="5"/>
    </row>
    <row r="576">
      <c r="A576" s="2"/>
      <c r="B576" s="3"/>
      <c r="C576" s="3"/>
      <c r="D576" s="3"/>
      <c r="E576" s="4"/>
      <c r="F576" s="3"/>
      <c r="G576" s="5"/>
      <c r="H576" s="3"/>
      <c r="I576" s="5"/>
      <c r="J576" s="3"/>
      <c r="K576" s="5"/>
      <c r="L576" s="3"/>
      <c r="M576" s="5"/>
      <c r="N576" s="5"/>
    </row>
    <row r="577">
      <c r="A577" s="2"/>
      <c r="B577" s="3"/>
      <c r="C577" s="3"/>
      <c r="D577" s="3"/>
      <c r="E577" s="4"/>
      <c r="F577" s="3"/>
      <c r="G577" s="5"/>
      <c r="H577" s="3"/>
      <c r="I577" s="5"/>
      <c r="J577" s="3"/>
      <c r="K577" s="5"/>
      <c r="L577" s="3"/>
      <c r="M577" s="5"/>
      <c r="N577" s="5"/>
    </row>
    <row r="578">
      <c r="A578" s="2"/>
      <c r="B578" s="3"/>
      <c r="C578" s="3"/>
      <c r="D578" s="3"/>
      <c r="E578" s="4"/>
      <c r="F578" s="3"/>
      <c r="G578" s="5"/>
      <c r="H578" s="3"/>
      <c r="I578" s="5"/>
      <c r="J578" s="3"/>
      <c r="K578" s="5"/>
      <c r="L578" s="3"/>
      <c r="M578" s="5"/>
      <c r="N578" s="5"/>
    </row>
    <row r="579">
      <c r="A579" s="2"/>
      <c r="B579" s="3"/>
      <c r="C579" s="3"/>
      <c r="D579" s="3"/>
      <c r="E579" s="4"/>
      <c r="F579" s="3"/>
      <c r="G579" s="5"/>
      <c r="H579" s="3"/>
      <c r="I579" s="5"/>
      <c r="J579" s="3"/>
      <c r="K579" s="5"/>
      <c r="L579" s="3"/>
      <c r="M579" s="5"/>
      <c r="N579" s="5"/>
    </row>
    <row r="580">
      <c r="A580" s="2"/>
      <c r="B580" s="3"/>
      <c r="C580" s="3"/>
      <c r="D580" s="3"/>
      <c r="E580" s="4"/>
      <c r="F580" s="3"/>
      <c r="G580" s="5"/>
      <c r="H580" s="3"/>
      <c r="I580" s="5"/>
      <c r="J580" s="3"/>
      <c r="K580" s="5"/>
      <c r="L580" s="3"/>
      <c r="M580" s="5"/>
      <c r="N580" s="5"/>
    </row>
    <row r="581">
      <c r="A581" s="2"/>
      <c r="B581" s="3"/>
      <c r="C581" s="3"/>
      <c r="D581" s="3"/>
      <c r="E581" s="4"/>
      <c r="F581" s="3"/>
      <c r="G581" s="5"/>
      <c r="H581" s="3"/>
      <c r="I581" s="5"/>
      <c r="J581" s="3"/>
      <c r="K581" s="5"/>
      <c r="L581" s="3"/>
      <c r="M581" s="5"/>
      <c r="N581" s="5"/>
    </row>
    <row r="582">
      <c r="A582" s="2"/>
      <c r="B582" s="3"/>
      <c r="C582" s="3"/>
      <c r="D582" s="3"/>
      <c r="E582" s="4"/>
      <c r="F582" s="3"/>
      <c r="G582" s="5"/>
      <c r="H582" s="3"/>
      <c r="I582" s="5"/>
      <c r="J582" s="3"/>
      <c r="K582" s="5"/>
      <c r="L582" s="3"/>
      <c r="M582" s="5"/>
      <c r="N582" s="5"/>
    </row>
    <row r="583">
      <c r="A583" s="2"/>
      <c r="B583" s="3"/>
      <c r="C583" s="3"/>
      <c r="D583" s="3"/>
      <c r="E583" s="4"/>
      <c r="F583" s="3"/>
      <c r="G583" s="5"/>
      <c r="H583" s="3"/>
      <c r="I583" s="5"/>
      <c r="J583" s="3"/>
      <c r="K583" s="5"/>
      <c r="L583" s="3"/>
      <c r="M583" s="5"/>
      <c r="N583" s="5"/>
    </row>
    <row r="584">
      <c r="A584" s="2"/>
      <c r="B584" s="3"/>
      <c r="C584" s="3"/>
      <c r="D584" s="3"/>
      <c r="E584" s="4"/>
      <c r="F584" s="3"/>
      <c r="G584" s="5"/>
      <c r="H584" s="3"/>
      <c r="I584" s="5"/>
      <c r="J584" s="3"/>
      <c r="K584" s="5"/>
      <c r="L584" s="3"/>
      <c r="M584" s="5"/>
      <c r="N584" s="5"/>
    </row>
    <row r="585">
      <c r="A585" s="2"/>
      <c r="B585" s="3"/>
      <c r="C585" s="3"/>
      <c r="D585" s="3"/>
      <c r="E585" s="4"/>
      <c r="F585" s="3"/>
      <c r="G585" s="5"/>
      <c r="H585" s="3"/>
      <c r="I585" s="5"/>
      <c r="J585" s="3"/>
      <c r="K585" s="5"/>
      <c r="L585" s="3"/>
      <c r="M585" s="5"/>
      <c r="N585" s="5"/>
    </row>
    <row r="586">
      <c r="A586" s="2"/>
      <c r="B586" s="3"/>
      <c r="C586" s="3"/>
      <c r="D586" s="3"/>
      <c r="E586" s="4"/>
      <c r="F586" s="3"/>
      <c r="G586" s="5"/>
      <c r="H586" s="3"/>
      <c r="I586" s="5"/>
      <c r="J586" s="3"/>
      <c r="K586" s="5"/>
      <c r="L586" s="3"/>
      <c r="M586" s="5"/>
      <c r="N586" s="5"/>
    </row>
    <row r="587">
      <c r="A587" s="2"/>
      <c r="B587" s="3"/>
      <c r="C587" s="3"/>
      <c r="D587" s="3"/>
      <c r="E587" s="4"/>
      <c r="F587" s="3"/>
      <c r="G587" s="5"/>
      <c r="H587" s="3"/>
      <c r="I587" s="5"/>
      <c r="J587" s="3"/>
      <c r="K587" s="5"/>
      <c r="L587" s="3"/>
      <c r="M587" s="5"/>
      <c r="N587" s="5"/>
    </row>
    <row r="588">
      <c r="A588" s="2"/>
      <c r="B588" s="3"/>
      <c r="C588" s="3"/>
      <c r="D588" s="3"/>
      <c r="E588" s="4"/>
      <c r="F588" s="3"/>
      <c r="G588" s="5"/>
      <c r="H588" s="3"/>
      <c r="I588" s="5"/>
      <c r="J588" s="3"/>
      <c r="K588" s="5"/>
      <c r="L588" s="3"/>
      <c r="M588" s="5"/>
      <c r="N588" s="5"/>
    </row>
    <row r="589">
      <c r="A589" s="2"/>
      <c r="B589" s="3"/>
      <c r="C589" s="3"/>
      <c r="D589" s="3"/>
      <c r="E589" s="4"/>
      <c r="F589" s="3"/>
      <c r="G589" s="5"/>
      <c r="H589" s="3"/>
      <c r="I589" s="5"/>
      <c r="J589" s="3"/>
      <c r="K589" s="5"/>
      <c r="L589" s="3"/>
      <c r="M589" s="5"/>
      <c r="N589" s="5"/>
    </row>
    <row r="590">
      <c r="A590" s="2"/>
      <c r="B590" s="3"/>
      <c r="C590" s="3"/>
      <c r="D590" s="3"/>
      <c r="E590" s="4"/>
      <c r="F590" s="3"/>
      <c r="G590" s="5"/>
      <c r="H590" s="3"/>
      <c r="I590" s="5"/>
      <c r="J590" s="3"/>
      <c r="K590" s="5"/>
      <c r="L590" s="3"/>
      <c r="M590" s="5"/>
      <c r="N590" s="5"/>
    </row>
    <row r="591">
      <c r="A591" s="2"/>
      <c r="B591" s="3"/>
      <c r="C591" s="3"/>
      <c r="D591" s="3"/>
      <c r="E591" s="4"/>
      <c r="F591" s="3"/>
      <c r="G591" s="5"/>
      <c r="H591" s="3"/>
      <c r="I591" s="5"/>
      <c r="J591" s="3"/>
      <c r="K591" s="5"/>
      <c r="L591" s="3"/>
      <c r="M591" s="5"/>
      <c r="N591" s="5"/>
    </row>
    <row r="592">
      <c r="A592" s="2"/>
      <c r="B592" s="3"/>
      <c r="C592" s="3"/>
      <c r="D592" s="3"/>
      <c r="E592" s="4"/>
      <c r="F592" s="3"/>
      <c r="G592" s="5"/>
      <c r="H592" s="3"/>
      <c r="I592" s="5"/>
      <c r="J592" s="3"/>
      <c r="K592" s="5"/>
      <c r="L592" s="3"/>
      <c r="M592" s="5"/>
      <c r="N592" s="5"/>
    </row>
    <row r="593">
      <c r="A593" s="2"/>
      <c r="B593" s="3"/>
      <c r="C593" s="3"/>
      <c r="D593" s="3"/>
      <c r="E593" s="4"/>
      <c r="F593" s="3"/>
      <c r="G593" s="5"/>
      <c r="H593" s="3"/>
      <c r="I593" s="5"/>
      <c r="J593" s="3"/>
      <c r="K593" s="5"/>
      <c r="L593" s="3"/>
      <c r="M593" s="5"/>
      <c r="N593" s="5"/>
    </row>
    <row r="594">
      <c r="A594" s="2"/>
      <c r="B594" s="3"/>
      <c r="C594" s="3"/>
      <c r="D594" s="3"/>
      <c r="E594" s="4"/>
      <c r="F594" s="3"/>
      <c r="G594" s="5"/>
      <c r="H594" s="3"/>
      <c r="I594" s="5"/>
      <c r="J594" s="3"/>
      <c r="K594" s="5"/>
      <c r="L594" s="3"/>
      <c r="M594" s="5"/>
      <c r="N594" s="5"/>
    </row>
    <row r="595">
      <c r="A595" s="2"/>
      <c r="B595" s="3"/>
      <c r="C595" s="3"/>
      <c r="D595" s="3"/>
      <c r="E595" s="4"/>
      <c r="F595" s="3"/>
      <c r="G595" s="5"/>
      <c r="H595" s="3"/>
      <c r="I595" s="5"/>
      <c r="J595" s="3"/>
      <c r="K595" s="5"/>
      <c r="L595" s="3"/>
      <c r="M595" s="5"/>
      <c r="N595" s="5"/>
    </row>
    <row r="596">
      <c r="A596" s="2"/>
      <c r="B596" s="3"/>
      <c r="C596" s="3"/>
      <c r="D596" s="3"/>
      <c r="E596" s="4"/>
      <c r="F596" s="3"/>
      <c r="G596" s="5"/>
      <c r="H596" s="3"/>
      <c r="I596" s="5"/>
      <c r="J596" s="3"/>
      <c r="K596" s="5"/>
      <c r="L596" s="3"/>
      <c r="M596" s="5"/>
      <c r="N596" s="5"/>
    </row>
    <row r="597">
      <c r="A597" s="2"/>
      <c r="B597" s="3"/>
      <c r="C597" s="3"/>
      <c r="D597" s="3"/>
      <c r="E597" s="4"/>
      <c r="F597" s="3"/>
      <c r="G597" s="5"/>
      <c r="H597" s="3"/>
      <c r="I597" s="5"/>
      <c r="J597" s="3"/>
      <c r="K597" s="5"/>
      <c r="L597" s="3"/>
      <c r="M597" s="5"/>
      <c r="N597" s="5"/>
    </row>
    <row r="598">
      <c r="A598" s="2"/>
      <c r="B598" s="3"/>
      <c r="C598" s="3"/>
      <c r="D598" s="3"/>
      <c r="E598" s="4"/>
      <c r="F598" s="3"/>
      <c r="G598" s="5"/>
      <c r="H598" s="3"/>
      <c r="I598" s="5"/>
      <c r="J598" s="3"/>
      <c r="K598" s="5"/>
      <c r="L598" s="3"/>
      <c r="M598" s="5"/>
      <c r="N598" s="5"/>
    </row>
    <row r="599">
      <c r="A599" s="2"/>
      <c r="B599" s="3"/>
      <c r="C599" s="3"/>
      <c r="D599" s="3"/>
      <c r="E599" s="4"/>
      <c r="F599" s="3"/>
      <c r="G599" s="5"/>
      <c r="H599" s="3"/>
      <c r="I599" s="5"/>
      <c r="J599" s="3"/>
      <c r="K599" s="5"/>
      <c r="L599" s="3"/>
      <c r="M599" s="5"/>
      <c r="N599" s="5"/>
    </row>
    <row r="600">
      <c r="A600" s="2"/>
      <c r="B600" s="3"/>
      <c r="C600" s="3"/>
      <c r="D600" s="3"/>
      <c r="E600" s="4"/>
      <c r="F600" s="3"/>
      <c r="G600" s="5"/>
      <c r="H600" s="3"/>
      <c r="I600" s="5"/>
      <c r="J600" s="3"/>
      <c r="K600" s="5"/>
      <c r="L600" s="3"/>
      <c r="M600" s="5"/>
      <c r="N600" s="5"/>
    </row>
    <row r="601">
      <c r="A601" s="2"/>
      <c r="B601" s="3"/>
      <c r="C601" s="3"/>
      <c r="D601" s="3"/>
      <c r="E601" s="4"/>
      <c r="F601" s="3"/>
      <c r="G601" s="5"/>
      <c r="H601" s="3"/>
      <c r="I601" s="5"/>
      <c r="J601" s="3"/>
      <c r="K601" s="5"/>
      <c r="L601" s="3"/>
      <c r="M601" s="5"/>
      <c r="N601" s="5"/>
    </row>
    <row r="602">
      <c r="A602" s="2"/>
      <c r="B602" s="3"/>
      <c r="C602" s="3"/>
      <c r="D602" s="3"/>
      <c r="E602" s="4"/>
      <c r="F602" s="3"/>
      <c r="G602" s="5"/>
      <c r="H602" s="3"/>
      <c r="I602" s="5"/>
      <c r="J602" s="3"/>
      <c r="K602" s="5"/>
      <c r="L602" s="3"/>
      <c r="M602" s="5"/>
      <c r="N602" s="5"/>
    </row>
    <row r="603">
      <c r="A603" s="2"/>
      <c r="B603" s="3"/>
      <c r="C603" s="3"/>
      <c r="D603" s="3"/>
      <c r="E603" s="4"/>
      <c r="F603" s="3"/>
      <c r="G603" s="5"/>
      <c r="H603" s="3"/>
      <c r="I603" s="5"/>
      <c r="J603" s="3"/>
      <c r="K603" s="5"/>
      <c r="L603" s="3"/>
      <c r="M603" s="5"/>
      <c r="N603" s="5"/>
    </row>
    <row r="604">
      <c r="A604" s="2"/>
      <c r="B604" s="3"/>
      <c r="C604" s="3"/>
      <c r="D604" s="3"/>
      <c r="E604" s="4"/>
      <c r="F604" s="3"/>
      <c r="G604" s="5"/>
      <c r="H604" s="3"/>
      <c r="I604" s="5"/>
      <c r="J604" s="3"/>
      <c r="K604" s="5"/>
      <c r="L604" s="3"/>
      <c r="M604" s="5"/>
      <c r="N604" s="5"/>
    </row>
    <row r="605">
      <c r="A605" s="2"/>
      <c r="B605" s="3"/>
      <c r="C605" s="3"/>
      <c r="D605" s="3"/>
      <c r="E605" s="4"/>
      <c r="F605" s="3"/>
      <c r="G605" s="5"/>
      <c r="H605" s="3"/>
      <c r="I605" s="5"/>
      <c r="J605" s="3"/>
      <c r="K605" s="5"/>
      <c r="L605" s="3"/>
      <c r="M605" s="5"/>
      <c r="N605" s="5"/>
    </row>
    <row r="606">
      <c r="A606" s="2"/>
      <c r="B606" s="3"/>
      <c r="C606" s="3"/>
      <c r="D606" s="3"/>
      <c r="E606" s="4"/>
      <c r="F606" s="3"/>
      <c r="G606" s="5"/>
      <c r="H606" s="3"/>
      <c r="I606" s="5"/>
      <c r="J606" s="3"/>
      <c r="K606" s="5"/>
      <c r="L606" s="3"/>
      <c r="M606" s="5"/>
      <c r="N606" s="5"/>
    </row>
    <row r="607">
      <c r="A607" s="2"/>
      <c r="B607" s="3"/>
      <c r="C607" s="3"/>
      <c r="D607" s="3"/>
      <c r="E607" s="4"/>
      <c r="F607" s="3"/>
      <c r="G607" s="5"/>
      <c r="H607" s="3"/>
      <c r="I607" s="5"/>
      <c r="J607" s="3"/>
      <c r="K607" s="5"/>
      <c r="L607" s="3"/>
      <c r="M607" s="5"/>
      <c r="N607" s="5"/>
    </row>
    <row r="608">
      <c r="A608" s="2"/>
      <c r="B608" s="3"/>
      <c r="C608" s="3"/>
      <c r="D608" s="3"/>
      <c r="E608" s="4"/>
      <c r="F608" s="3"/>
      <c r="G608" s="5"/>
      <c r="H608" s="3"/>
      <c r="I608" s="5"/>
      <c r="J608" s="3"/>
      <c r="K608" s="5"/>
      <c r="L608" s="3"/>
      <c r="M608" s="5"/>
      <c r="N608" s="5"/>
    </row>
    <row r="609">
      <c r="A609" s="2"/>
      <c r="B609" s="3"/>
      <c r="C609" s="3"/>
      <c r="D609" s="3"/>
      <c r="E609" s="4"/>
      <c r="F609" s="3"/>
      <c r="G609" s="5"/>
      <c r="H609" s="3"/>
      <c r="I609" s="5"/>
      <c r="J609" s="3"/>
      <c r="K609" s="5"/>
      <c r="L609" s="3"/>
      <c r="M609" s="5"/>
      <c r="N609" s="5"/>
    </row>
    <row r="610">
      <c r="A610" s="2"/>
      <c r="B610" s="3"/>
      <c r="C610" s="3"/>
      <c r="D610" s="3"/>
      <c r="E610" s="4"/>
      <c r="F610" s="3"/>
      <c r="G610" s="5"/>
      <c r="H610" s="3"/>
      <c r="I610" s="5"/>
      <c r="J610" s="3"/>
      <c r="K610" s="5"/>
      <c r="L610" s="3"/>
      <c r="M610" s="5"/>
      <c r="N610" s="5"/>
    </row>
    <row r="611">
      <c r="A611" s="2"/>
      <c r="B611" s="3"/>
      <c r="C611" s="3"/>
      <c r="D611" s="3"/>
      <c r="E611" s="4"/>
      <c r="F611" s="3"/>
      <c r="G611" s="5"/>
      <c r="H611" s="3"/>
      <c r="I611" s="5"/>
      <c r="J611" s="3"/>
      <c r="K611" s="5"/>
      <c r="L611" s="3"/>
      <c r="M611" s="5"/>
      <c r="N611" s="5"/>
    </row>
    <row r="612">
      <c r="A612" s="2"/>
      <c r="B612" s="3"/>
      <c r="C612" s="3"/>
      <c r="D612" s="3"/>
      <c r="E612" s="4"/>
      <c r="F612" s="3"/>
      <c r="G612" s="5"/>
      <c r="H612" s="3"/>
      <c r="I612" s="5"/>
      <c r="J612" s="3"/>
      <c r="K612" s="5"/>
      <c r="L612" s="3"/>
      <c r="M612" s="5"/>
      <c r="N612" s="5"/>
    </row>
    <row r="613">
      <c r="A613" s="2"/>
      <c r="B613" s="3"/>
      <c r="C613" s="3"/>
      <c r="D613" s="3"/>
      <c r="E613" s="4"/>
      <c r="F613" s="3"/>
      <c r="G613" s="5"/>
      <c r="H613" s="3"/>
      <c r="I613" s="5"/>
      <c r="J613" s="3"/>
      <c r="K613" s="5"/>
      <c r="L613" s="3"/>
      <c r="M613" s="5"/>
      <c r="N613" s="5"/>
    </row>
    <row r="614">
      <c r="A614" s="2"/>
      <c r="B614" s="3"/>
      <c r="C614" s="3"/>
      <c r="D614" s="3"/>
      <c r="E614" s="4"/>
      <c r="F614" s="3"/>
      <c r="G614" s="5"/>
      <c r="H614" s="3"/>
      <c r="I614" s="5"/>
      <c r="J614" s="3"/>
      <c r="K614" s="5"/>
      <c r="L614" s="3"/>
      <c r="M614" s="5"/>
      <c r="N614" s="5"/>
    </row>
    <row r="615">
      <c r="A615" s="2"/>
      <c r="B615" s="3"/>
      <c r="C615" s="3"/>
      <c r="D615" s="3"/>
      <c r="E615" s="4"/>
      <c r="F615" s="3"/>
      <c r="G615" s="5"/>
      <c r="H615" s="3"/>
      <c r="I615" s="5"/>
      <c r="J615" s="3"/>
      <c r="K615" s="5"/>
      <c r="L615" s="3"/>
      <c r="M615" s="5"/>
      <c r="N615" s="5"/>
    </row>
    <row r="616">
      <c r="A616" s="2"/>
      <c r="B616" s="3"/>
      <c r="C616" s="3"/>
      <c r="D616" s="3"/>
      <c r="E616" s="4"/>
      <c r="F616" s="3"/>
      <c r="G616" s="5"/>
      <c r="H616" s="3"/>
      <c r="I616" s="5"/>
      <c r="J616" s="3"/>
      <c r="K616" s="5"/>
      <c r="L616" s="3"/>
      <c r="M616" s="5"/>
      <c r="N616" s="5"/>
    </row>
    <row r="617">
      <c r="A617" s="2"/>
      <c r="B617" s="3"/>
      <c r="C617" s="3"/>
      <c r="D617" s="3"/>
      <c r="E617" s="4"/>
      <c r="F617" s="3"/>
      <c r="G617" s="5"/>
      <c r="H617" s="3"/>
      <c r="I617" s="5"/>
      <c r="J617" s="3"/>
      <c r="K617" s="5"/>
      <c r="L617" s="3"/>
      <c r="M617" s="5"/>
      <c r="N617" s="5"/>
    </row>
    <row r="618">
      <c r="A618" s="2"/>
      <c r="B618" s="3"/>
      <c r="C618" s="3"/>
      <c r="D618" s="3"/>
      <c r="E618" s="4"/>
      <c r="F618" s="3"/>
      <c r="G618" s="5"/>
      <c r="H618" s="3"/>
      <c r="I618" s="5"/>
      <c r="J618" s="3"/>
      <c r="K618" s="5"/>
      <c r="L618" s="3"/>
      <c r="M618" s="5"/>
      <c r="N618" s="5"/>
    </row>
    <row r="619">
      <c r="A619" s="2"/>
      <c r="B619" s="3"/>
      <c r="C619" s="3"/>
      <c r="D619" s="3"/>
      <c r="E619" s="4"/>
      <c r="F619" s="3"/>
      <c r="G619" s="5"/>
      <c r="H619" s="3"/>
      <c r="I619" s="5"/>
      <c r="J619" s="3"/>
      <c r="K619" s="5"/>
      <c r="L619" s="3"/>
      <c r="M619" s="5"/>
      <c r="N619" s="5"/>
    </row>
    <row r="620">
      <c r="A620" s="2"/>
      <c r="B620" s="3"/>
      <c r="C620" s="3"/>
      <c r="D620" s="3"/>
      <c r="E620" s="4"/>
      <c r="F620" s="3"/>
      <c r="G620" s="5"/>
      <c r="H620" s="3"/>
      <c r="I620" s="5"/>
      <c r="J620" s="3"/>
      <c r="K620" s="5"/>
      <c r="L620" s="3"/>
      <c r="M620" s="5"/>
      <c r="N620" s="5"/>
    </row>
    <row r="621">
      <c r="A621" s="2"/>
      <c r="B621" s="3"/>
      <c r="C621" s="3"/>
      <c r="D621" s="3"/>
      <c r="E621" s="4"/>
      <c r="F621" s="3"/>
      <c r="G621" s="5"/>
      <c r="H621" s="3"/>
      <c r="I621" s="5"/>
      <c r="J621" s="3"/>
      <c r="K621" s="5"/>
      <c r="L621" s="3"/>
      <c r="M621" s="5"/>
      <c r="N621" s="5"/>
    </row>
    <row r="622">
      <c r="A622" s="2"/>
      <c r="B622" s="3"/>
      <c r="C622" s="3"/>
      <c r="D622" s="3"/>
      <c r="E622" s="4"/>
      <c r="F622" s="3"/>
      <c r="G622" s="5"/>
      <c r="H622" s="3"/>
      <c r="I622" s="5"/>
      <c r="J622" s="3"/>
      <c r="K622" s="5"/>
      <c r="L622" s="3"/>
      <c r="M622" s="5"/>
      <c r="N622" s="5"/>
    </row>
    <row r="623">
      <c r="A623" s="2"/>
      <c r="B623" s="3"/>
      <c r="C623" s="3"/>
      <c r="D623" s="3"/>
      <c r="E623" s="4"/>
      <c r="F623" s="3"/>
      <c r="G623" s="5"/>
      <c r="H623" s="3"/>
      <c r="I623" s="5"/>
      <c r="J623" s="3"/>
      <c r="K623" s="5"/>
      <c r="L623" s="3"/>
      <c r="M623" s="5"/>
      <c r="N623" s="5"/>
    </row>
    <row r="624">
      <c r="A624" s="2"/>
      <c r="B624" s="3"/>
      <c r="C624" s="3"/>
      <c r="D624" s="3"/>
      <c r="E624" s="4"/>
      <c r="F624" s="3"/>
      <c r="G624" s="5"/>
      <c r="H624" s="3"/>
      <c r="I624" s="5"/>
      <c r="J624" s="3"/>
      <c r="K624" s="5"/>
      <c r="L624" s="3"/>
      <c r="M624" s="5"/>
      <c r="N624" s="5"/>
    </row>
    <row r="625">
      <c r="A625" s="2"/>
      <c r="B625" s="3"/>
      <c r="C625" s="3"/>
      <c r="D625" s="3"/>
      <c r="E625" s="4"/>
      <c r="F625" s="3"/>
      <c r="G625" s="5"/>
      <c r="H625" s="3"/>
      <c r="I625" s="5"/>
      <c r="J625" s="3"/>
      <c r="K625" s="5"/>
      <c r="L625" s="3"/>
      <c r="M625" s="5"/>
      <c r="N625" s="5"/>
    </row>
    <row r="626">
      <c r="A626" s="2"/>
      <c r="B626" s="3"/>
      <c r="C626" s="3"/>
      <c r="D626" s="3"/>
      <c r="E626" s="4"/>
      <c r="F626" s="3"/>
      <c r="G626" s="5"/>
      <c r="H626" s="3"/>
      <c r="I626" s="5"/>
      <c r="J626" s="3"/>
      <c r="K626" s="5"/>
      <c r="L626" s="3"/>
      <c r="M626" s="5"/>
      <c r="N626" s="5"/>
    </row>
    <row r="627">
      <c r="A627" s="2"/>
      <c r="B627" s="3"/>
      <c r="C627" s="3"/>
      <c r="D627" s="3"/>
      <c r="E627" s="4"/>
      <c r="F627" s="3"/>
      <c r="G627" s="5"/>
      <c r="H627" s="3"/>
      <c r="I627" s="5"/>
      <c r="J627" s="3"/>
      <c r="K627" s="5"/>
      <c r="L627" s="3"/>
      <c r="M627" s="5"/>
      <c r="N627" s="5"/>
    </row>
    <row r="628">
      <c r="A628" s="2"/>
      <c r="B628" s="3"/>
      <c r="C628" s="3"/>
      <c r="D628" s="3"/>
      <c r="E628" s="4"/>
      <c r="F628" s="3"/>
      <c r="G628" s="5"/>
      <c r="H628" s="3"/>
      <c r="I628" s="5"/>
      <c r="J628" s="3"/>
      <c r="K628" s="5"/>
      <c r="L628" s="3"/>
      <c r="M628" s="5"/>
      <c r="N628" s="5"/>
    </row>
    <row r="629">
      <c r="A629" s="2"/>
      <c r="B629" s="3"/>
      <c r="C629" s="3"/>
      <c r="D629" s="3"/>
      <c r="E629" s="4"/>
      <c r="F629" s="3"/>
      <c r="G629" s="5"/>
      <c r="H629" s="3"/>
      <c r="I629" s="5"/>
      <c r="J629" s="3"/>
      <c r="K629" s="5"/>
      <c r="L629" s="3"/>
      <c r="M629" s="5"/>
      <c r="N629" s="5"/>
    </row>
    <row r="630">
      <c r="A630" s="2"/>
      <c r="B630" s="3"/>
      <c r="C630" s="3"/>
      <c r="D630" s="3"/>
      <c r="E630" s="4"/>
      <c r="F630" s="3"/>
      <c r="G630" s="5"/>
      <c r="H630" s="3"/>
      <c r="I630" s="5"/>
      <c r="J630" s="3"/>
      <c r="K630" s="5"/>
      <c r="L630" s="3"/>
      <c r="M630" s="5"/>
      <c r="N630" s="5"/>
    </row>
    <row r="631">
      <c r="A631" s="2"/>
      <c r="B631" s="3"/>
      <c r="C631" s="3"/>
      <c r="D631" s="3"/>
      <c r="E631" s="4"/>
      <c r="F631" s="3"/>
      <c r="G631" s="5"/>
      <c r="H631" s="3"/>
      <c r="I631" s="5"/>
      <c r="J631" s="3"/>
      <c r="K631" s="5"/>
      <c r="L631" s="3"/>
      <c r="M631" s="5"/>
      <c r="N631" s="5"/>
    </row>
    <row r="632">
      <c r="A632" s="2"/>
      <c r="B632" s="3"/>
      <c r="C632" s="3"/>
      <c r="D632" s="3"/>
      <c r="E632" s="4"/>
      <c r="F632" s="3"/>
      <c r="G632" s="5"/>
      <c r="H632" s="3"/>
      <c r="I632" s="5"/>
      <c r="J632" s="3"/>
      <c r="K632" s="5"/>
      <c r="L632" s="3"/>
      <c r="M632" s="5"/>
      <c r="N632" s="5"/>
    </row>
    <row r="633">
      <c r="A633" s="2"/>
      <c r="B633" s="3"/>
      <c r="C633" s="3"/>
      <c r="D633" s="3"/>
      <c r="E633" s="4"/>
      <c r="F633" s="3"/>
      <c r="G633" s="5"/>
      <c r="H633" s="3"/>
      <c r="I633" s="5"/>
      <c r="J633" s="3"/>
      <c r="K633" s="5"/>
      <c r="L633" s="3"/>
      <c r="M633" s="5"/>
      <c r="N633" s="5"/>
    </row>
    <row r="634">
      <c r="A634" s="2"/>
      <c r="B634" s="3"/>
      <c r="C634" s="3"/>
      <c r="D634" s="3"/>
      <c r="E634" s="4"/>
      <c r="F634" s="3"/>
      <c r="G634" s="5"/>
      <c r="H634" s="3"/>
      <c r="I634" s="5"/>
      <c r="J634" s="3"/>
      <c r="K634" s="5"/>
      <c r="L634" s="3"/>
      <c r="M634" s="5"/>
      <c r="N634" s="5"/>
    </row>
    <row r="635">
      <c r="A635" s="2"/>
      <c r="B635" s="3"/>
      <c r="C635" s="3"/>
      <c r="D635" s="3"/>
      <c r="E635" s="4"/>
      <c r="F635" s="3"/>
      <c r="G635" s="5"/>
      <c r="H635" s="3"/>
      <c r="I635" s="5"/>
      <c r="J635" s="3"/>
      <c r="K635" s="5"/>
      <c r="L635" s="3"/>
      <c r="M635" s="5"/>
      <c r="N635" s="5"/>
    </row>
    <row r="636">
      <c r="A636" s="2"/>
      <c r="B636" s="3"/>
      <c r="C636" s="3"/>
      <c r="D636" s="3"/>
      <c r="E636" s="4"/>
      <c r="F636" s="3"/>
      <c r="G636" s="5"/>
      <c r="H636" s="3"/>
      <c r="I636" s="5"/>
      <c r="J636" s="3"/>
      <c r="K636" s="5"/>
      <c r="L636" s="3"/>
      <c r="M636" s="5"/>
      <c r="N636" s="5"/>
    </row>
    <row r="637">
      <c r="A637" s="2"/>
      <c r="B637" s="3"/>
      <c r="C637" s="3"/>
      <c r="D637" s="3"/>
      <c r="E637" s="4"/>
      <c r="F637" s="3"/>
      <c r="G637" s="5"/>
      <c r="H637" s="3"/>
      <c r="I637" s="5"/>
      <c r="J637" s="3"/>
      <c r="K637" s="5"/>
      <c r="L637" s="3"/>
      <c r="M637" s="5"/>
      <c r="N637" s="5"/>
    </row>
    <row r="638">
      <c r="A638" s="2"/>
      <c r="B638" s="3"/>
      <c r="C638" s="3"/>
      <c r="D638" s="3"/>
      <c r="E638" s="4"/>
      <c r="F638" s="3"/>
      <c r="G638" s="5"/>
      <c r="H638" s="3"/>
      <c r="I638" s="5"/>
      <c r="J638" s="3"/>
      <c r="K638" s="5"/>
      <c r="L638" s="3"/>
      <c r="M638" s="5"/>
      <c r="N638" s="5"/>
    </row>
    <row r="639">
      <c r="A639" s="2"/>
      <c r="B639" s="3"/>
      <c r="C639" s="3"/>
      <c r="D639" s="3"/>
      <c r="E639" s="4"/>
      <c r="F639" s="3"/>
      <c r="G639" s="5"/>
      <c r="H639" s="3"/>
      <c r="I639" s="5"/>
      <c r="J639" s="3"/>
      <c r="K639" s="5"/>
      <c r="L639" s="3"/>
      <c r="M639" s="5"/>
      <c r="N639" s="5"/>
    </row>
    <row r="640">
      <c r="A640" s="2"/>
      <c r="B640" s="3"/>
      <c r="C640" s="3"/>
      <c r="D640" s="3"/>
      <c r="E640" s="4"/>
      <c r="F640" s="3"/>
      <c r="G640" s="5"/>
      <c r="H640" s="3"/>
      <c r="I640" s="5"/>
      <c r="J640" s="3"/>
      <c r="K640" s="5"/>
      <c r="L640" s="3"/>
      <c r="M640" s="5"/>
      <c r="N640" s="5"/>
    </row>
    <row r="641">
      <c r="A641" s="2"/>
      <c r="B641" s="3"/>
      <c r="C641" s="3"/>
      <c r="D641" s="3"/>
      <c r="E641" s="4"/>
      <c r="F641" s="3"/>
      <c r="G641" s="5"/>
      <c r="H641" s="3"/>
      <c r="I641" s="5"/>
      <c r="J641" s="3"/>
      <c r="K641" s="5"/>
      <c r="L641" s="3"/>
      <c r="M641" s="5"/>
      <c r="N641" s="5"/>
    </row>
    <row r="642">
      <c r="A642" s="2"/>
      <c r="B642" s="3"/>
      <c r="C642" s="3"/>
      <c r="D642" s="3"/>
      <c r="E642" s="4"/>
      <c r="F642" s="3"/>
      <c r="G642" s="5"/>
      <c r="H642" s="3"/>
      <c r="I642" s="5"/>
      <c r="J642" s="3"/>
      <c r="K642" s="5"/>
      <c r="L642" s="3"/>
      <c r="M642" s="5"/>
      <c r="N642" s="5"/>
    </row>
    <row r="643">
      <c r="A643" s="2"/>
      <c r="B643" s="3"/>
      <c r="C643" s="3"/>
      <c r="D643" s="3"/>
      <c r="E643" s="4"/>
      <c r="F643" s="3"/>
      <c r="G643" s="5"/>
      <c r="H643" s="3"/>
      <c r="I643" s="5"/>
      <c r="J643" s="3"/>
      <c r="K643" s="5"/>
      <c r="L643" s="3"/>
      <c r="M643" s="5"/>
      <c r="N643" s="5"/>
    </row>
    <row r="644">
      <c r="A644" s="2"/>
      <c r="B644" s="3"/>
      <c r="C644" s="3"/>
      <c r="D644" s="3"/>
      <c r="E644" s="4"/>
      <c r="F644" s="3"/>
      <c r="G644" s="5"/>
      <c r="H644" s="3"/>
      <c r="I644" s="5"/>
      <c r="J644" s="3"/>
      <c r="K644" s="5"/>
      <c r="L644" s="3"/>
      <c r="M644" s="5"/>
      <c r="N644" s="5"/>
    </row>
    <row r="645">
      <c r="A645" s="2"/>
      <c r="B645" s="3"/>
      <c r="C645" s="3"/>
      <c r="D645" s="3"/>
      <c r="E645" s="4"/>
      <c r="F645" s="3"/>
      <c r="G645" s="5"/>
      <c r="H645" s="3"/>
      <c r="I645" s="5"/>
      <c r="J645" s="3"/>
      <c r="K645" s="5"/>
      <c r="L645" s="3"/>
      <c r="M645" s="5"/>
      <c r="N645" s="5"/>
    </row>
    <row r="646">
      <c r="A646" s="2"/>
      <c r="B646" s="3"/>
      <c r="C646" s="3"/>
      <c r="D646" s="3"/>
      <c r="E646" s="4"/>
      <c r="F646" s="3"/>
      <c r="G646" s="5"/>
      <c r="H646" s="3"/>
      <c r="I646" s="5"/>
      <c r="J646" s="3"/>
      <c r="K646" s="5"/>
      <c r="L646" s="3"/>
      <c r="M646" s="5"/>
      <c r="N646" s="5"/>
    </row>
    <row r="647">
      <c r="A647" s="2"/>
      <c r="B647" s="3"/>
      <c r="C647" s="3"/>
      <c r="D647" s="3"/>
      <c r="E647" s="4"/>
      <c r="F647" s="3"/>
      <c r="G647" s="5"/>
      <c r="H647" s="3"/>
      <c r="I647" s="5"/>
      <c r="J647" s="3"/>
      <c r="K647" s="5"/>
      <c r="L647" s="3"/>
      <c r="M647" s="5"/>
      <c r="N647" s="5"/>
    </row>
    <row r="648">
      <c r="A648" s="2"/>
      <c r="B648" s="3"/>
      <c r="C648" s="3"/>
      <c r="D648" s="3"/>
      <c r="E648" s="4"/>
      <c r="F648" s="3"/>
      <c r="G648" s="5"/>
      <c r="H648" s="3"/>
      <c r="I648" s="5"/>
      <c r="J648" s="3"/>
      <c r="K648" s="5"/>
      <c r="L648" s="3"/>
      <c r="M648" s="5"/>
      <c r="N648" s="5"/>
    </row>
    <row r="649">
      <c r="A649" s="2"/>
      <c r="B649" s="3"/>
      <c r="C649" s="3"/>
      <c r="D649" s="3"/>
      <c r="E649" s="4"/>
      <c r="F649" s="3"/>
      <c r="G649" s="5"/>
      <c r="H649" s="3"/>
      <c r="I649" s="5"/>
      <c r="J649" s="3"/>
      <c r="K649" s="5"/>
      <c r="L649" s="3"/>
      <c r="M649" s="5"/>
      <c r="N649" s="5"/>
    </row>
    <row r="650">
      <c r="A650" s="2"/>
      <c r="B650" s="3"/>
      <c r="C650" s="3"/>
      <c r="D650" s="3"/>
      <c r="E650" s="4"/>
      <c r="F650" s="3"/>
      <c r="G650" s="5"/>
      <c r="H650" s="3"/>
      <c r="I650" s="5"/>
      <c r="J650" s="3"/>
      <c r="K650" s="5"/>
      <c r="L650" s="3"/>
      <c r="M650" s="5"/>
      <c r="N650" s="5"/>
    </row>
    <row r="651">
      <c r="A651" s="2"/>
      <c r="B651" s="3"/>
      <c r="C651" s="3"/>
      <c r="D651" s="3"/>
      <c r="E651" s="4"/>
      <c r="F651" s="3"/>
      <c r="G651" s="5"/>
      <c r="H651" s="3"/>
      <c r="I651" s="5"/>
      <c r="J651" s="3"/>
      <c r="K651" s="5"/>
      <c r="L651" s="3"/>
      <c r="M651" s="5"/>
      <c r="N651" s="5"/>
    </row>
    <row r="652">
      <c r="A652" s="2"/>
      <c r="B652" s="3"/>
      <c r="C652" s="3"/>
      <c r="D652" s="3"/>
      <c r="E652" s="4"/>
      <c r="F652" s="3"/>
      <c r="G652" s="5"/>
      <c r="H652" s="3"/>
      <c r="I652" s="5"/>
      <c r="J652" s="3"/>
      <c r="K652" s="5"/>
      <c r="L652" s="3"/>
      <c r="M652" s="5"/>
      <c r="N652" s="5"/>
    </row>
    <row r="653">
      <c r="A653" s="2"/>
      <c r="B653" s="3"/>
      <c r="C653" s="3"/>
      <c r="D653" s="3"/>
      <c r="E653" s="4"/>
      <c r="F653" s="3"/>
      <c r="G653" s="5"/>
      <c r="H653" s="3"/>
      <c r="I653" s="5"/>
      <c r="J653" s="3"/>
      <c r="K653" s="5"/>
      <c r="L653" s="3"/>
      <c r="M653" s="5"/>
      <c r="N653" s="5"/>
    </row>
    <row r="654">
      <c r="A654" s="2"/>
      <c r="B654" s="3"/>
      <c r="C654" s="3"/>
      <c r="D654" s="3"/>
      <c r="E654" s="4"/>
      <c r="F654" s="3"/>
      <c r="G654" s="5"/>
      <c r="H654" s="3"/>
      <c r="I654" s="5"/>
      <c r="J654" s="3"/>
      <c r="K654" s="5"/>
      <c r="L654" s="3"/>
      <c r="M654" s="5"/>
      <c r="N654" s="5"/>
    </row>
    <row r="655">
      <c r="A655" s="2"/>
      <c r="B655" s="3"/>
      <c r="C655" s="3"/>
      <c r="D655" s="3"/>
      <c r="E655" s="4"/>
      <c r="F655" s="3"/>
      <c r="G655" s="5"/>
      <c r="H655" s="3"/>
      <c r="I655" s="5"/>
      <c r="J655" s="3"/>
      <c r="K655" s="5"/>
      <c r="L655" s="3"/>
      <c r="M655" s="5"/>
      <c r="N655" s="5"/>
    </row>
    <row r="656">
      <c r="A656" s="2"/>
      <c r="B656" s="3"/>
      <c r="C656" s="3"/>
      <c r="D656" s="3"/>
      <c r="E656" s="4"/>
      <c r="F656" s="3"/>
      <c r="G656" s="5"/>
      <c r="H656" s="3"/>
      <c r="I656" s="5"/>
      <c r="J656" s="3"/>
      <c r="K656" s="5"/>
      <c r="L656" s="3"/>
      <c r="M656" s="5"/>
      <c r="N656" s="5"/>
    </row>
    <row r="657">
      <c r="A657" s="2"/>
      <c r="B657" s="3"/>
      <c r="C657" s="3"/>
      <c r="D657" s="3"/>
      <c r="E657" s="4"/>
      <c r="F657" s="3"/>
      <c r="G657" s="5"/>
      <c r="H657" s="3"/>
      <c r="I657" s="5"/>
      <c r="J657" s="3"/>
      <c r="K657" s="5"/>
      <c r="L657" s="3"/>
      <c r="M657" s="5"/>
      <c r="N657" s="5"/>
    </row>
    <row r="658">
      <c r="A658" s="2"/>
      <c r="B658" s="3"/>
      <c r="C658" s="3"/>
      <c r="D658" s="3"/>
      <c r="E658" s="4"/>
      <c r="F658" s="3"/>
      <c r="G658" s="5"/>
      <c r="H658" s="3"/>
      <c r="I658" s="5"/>
      <c r="J658" s="3"/>
      <c r="K658" s="5"/>
      <c r="L658" s="3"/>
      <c r="M658" s="5"/>
      <c r="N658" s="5"/>
    </row>
    <row r="659">
      <c r="A659" s="2"/>
      <c r="B659" s="3"/>
      <c r="C659" s="3"/>
      <c r="D659" s="3"/>
      <c r="E659" s="4"/>
      <c r="F659" s="3"/>
      <c r="G659" s="5"/>
      <c r="H659" s="3"/>
      <c r="I659" s="5"/>
      <c r="J659" s="3"/>
      <c r="K659" s="5"/>
      <c r="L659" s="3"/>
      <c r="M659" s="5"/>
      <c r="N659" s="5"/>
    </row>
    <row r="660">
      <c r="A660" s="2"/>
      <c r="B660" s="3"/>
      <c r="C660" s="3"/>
      <c r="D660" s="3"/>
      <c r="E660" s="4"/>
      <c r="F660" s="3"/>
      <c r="G660" s="5"/>
      <c r="H660" s="3"/>
      <c r="I660" s="5"/>
      <c r="J660" s="3"/>
      <c r="K660" s="5"/>
      <c r="L660" s="3"/>
      <c r="M660" s="5"/>
      <c r="N660" s="5"/>
    </row>
    <row r="661">
      <c r="A661" s="2"/>
      <c r="B661" s="3"/>
      <c r="C661" s="3"/>
      <c r="D661" s="3"/>
      <c r="E661" s="4"/>
      <c r="F661" s="3"/>
      <c r="G661" s="5"/>
      <c r="H661" s="3"/>
      <c r="I661" s="5"/>
      <c r="J661" s="3"/>
      <c r="K661" s="5"/>
      <c r="L661" s="3"/>
      <c r="M661" s="5"/>
      <c r="N661" s="5"/>
    </row>
    <row r="662">
      <c r="A662" s="2"/>
      <c r="B662" s="3"/>
      <c r="C662" s="3"/>
      <c r="D662" s="3"/>
      <c r="E662" s="4"/>
      <c r="F662" s="3"/>
      <c r="G662" s="5"/>
      <c r="H662" s="3"/>
      <c r="I662" s="5"/>
      <c r="J662" s="3"/>
      <c r="K662" s="5"/>
      <c r="L662" s="3"/>
      <c r="M662" s="5"/>
      <c r="N662" s="5"/>
    </row>
    <row r="663">
      <c r="A663" s="2"/>
      <c r="B663" s="3"/>
      <c r="C663" s="3"/>
      <c r="D663" s="3"/>
      <c r="E663" s="4"/>
      <c r="F663" s="3"/>
      <c r="G663" s="5"/>
      <c r="H663" s="3"/>
      <c r="I663" s="5"/>
      <c r="J663" s="3"/>
      <c r="K663" s="5"/>
      <c r="L663" s="3"/>
      <c r="M663" s="5"/>
      <c r="N663" s="5"/>
    </row>
    <row r="664">
      <c r="A664" s="2"/>
      <c r="B664" s="3"/>
      <c r="C664" s="3"/>
      <c r="D664" s="3"/>
      <c r="E664" s="4"/>
      <c r="F664" s="3"/>
      <c r="G664" s="5"/>
      <c r="H664" s="3"/>
      <c r="I664" s="5"/>
      <c r="J664" s="3"/>
      <c r="K664" s="5"/>
      <c r="L664" s="3"/>
      <c r="M664" s="5"/>
      <c r="N664" s="5"/>
    </row>
    <row r="665">
      <c r="A665" s="2"/>
      <c r="B665" s="3"/>
      <c r="C665" s="3"/>
      <c r="D665" s="3"/>
      <c r="E665" s="4"/>
      <c r="F665" s="3"/>
      <c r="G665" s="5"/>
      <c r="H665" s="3"/>
      <c r="I665" s="5"/>
      <c r="J665" s="3"/>
      <c r="K665" s="5"/>
      <c r="L665" s="3"/>
      <c r="M665" s="5"/>
      <c r="N665" s="5"/>
    </row>
    <row r="666">
      <c r="A666" s="2"/>
      <c r="B666" s="3"/>
      <c r="C666" s="3"/>
      <c r="D666" s="3"/>
      <c r="E666" s="4"/>
      <c r="F666" s="3"/>
      <c r="G666" s="5"/>
      <c r="H666" s="3"/>
      <c r="I666" s="5"/>
      <c r="J666" s="3"/>
      <c r="K666" s="5"/>
      <c r="L666" s="3"/>
      <c r="M666" s="5"/>
      <c r="N666" s="5"/>
    </row>
    <row r="667">
      <c r="A667" s="2"/>
      <c r="B667" s="3"/>
      <c r="C667" s="3"/>
      <c r="D667" s="3"/>
      <c r="E667" s="4"/>
      <c r="F667" s="3"/>
      <c r="G667" s="5"/>
      <c r="H667" s="3"/>
      <c r="I667" s="5"/>
      <c r="J667" s="3"/>
      <c r="K667" s="5"/>
      <c r="L667" s="3"/>
      <c r="M667" s="5"/>
      <c r="N667" s="5"/>
    </row>
    <row r="668">
      <c r="A668" s="2"/>
      <c r="B668" s="3"/>
      <c r="C668" s="3"/>
      <c r="D668" s="3"/>
      <c r="E668" s="4"/>
      <c r="F668" s="3"/>
      <c r="G668" s="5"/>
      <c r="H668" s="3"/>
      <c r="I668" s="5"/>
      <c r="J668" s="3"/>
      <c r="K668" s="5"/>
      <c r="L668" s="3"/>
      <c r="M668" s="5"/>
      <c r="N668" s="5"/>
    </row>
    <row r="669">
      <c r="A669" s="2"/>
      <c r="B669" s="3"/>
      <c r="C669" s="3"/>
      <c r="D669" s="3"/>
      <c r="E669" s="4"/>
      <c r="F669" s="3"/>
      <c r="G669" s="5"/>
      <c r="H669" s="3"/>
      <c r="I669" s="5"/>
      <c r="J669" s="3"/>
      <c r="K669" s="5"/>
      <c r="L669" s="3"/>
      <c r="M669" s="5"/>
      <c r="N669" s="5"/>
    </row>
    <row r="670">
      <c r="A670" s="2"/>
      <c r="B670" s="3"/>
      <c r="C670" s="3"/>
      <c r="D670" s="3"/>
      <c r="E670" s="4"/>
      <c r="F670" s="3"/>
      <c r="G670" s="5"/>
      <c r="H670" s="3"/>
      <c r="I670" s="5"/>
      <c r="J670" s="3"/>
      <c r="K670" s="5"/>
      <c r="L670" s="3"/>
      <c r="M670" s="5"/>
      <c r="N670" s="5"/>
    </row>
    <row r="671">
      <c r="A671" s="2"/>
      <c r="B671" s="3"/>
      <c r="C671" s="3"/>
      <c r="D671" s="3"/>
      <c r="E671" s="4"/>
      <c r="F671" s="3"/>
      <c r="G671" s="5"/>
      <c r="H671" s="3"/>
      <c r="I671" s="5"/>
      <c r="J671" s="3"/>
      <c r="K671" s="5"/>
      <c r="L671" s="3"/>
      <c r="M671" s="5"/>
      <c r="N671" s="5"/>
    </row>
    <row r="672">
      <c r="A672" s="2"/>
      <c r="B672" s="3"/>
      <c r="C672" s="3"/>
      <c r="D672" s="3"/>
      <c r="E672" s="4"/>
      <c r="F672" s="3"/>
      <c r="G672" s="5"/>
      <c r="H672" s="3"/>
      <c r="I672" s="5"/>
      <c r="J672" s="3"/>
      <c r="K672" s="5"/>
      <c r="L672" s="3"/>
      <c r="M672" s="5"/>
      <c r="N672" s="5"/>
    </row>
    <row r="673">
      <c r="A673" s="2"/>
      <c r="B673" s="3"/>
      <c r="C673" s="3"/>
      <c r="D673" s="3"/>
      <c r="E673" s="4"/>
      <c r="F673" s="3"/>
      <c r="G673" s="5"/>
      <c r="H673" s="3"/>
      <c r="I673" s="5"/>
      <c r="J673" s="3"/>
      <c r="K673" s="5"/>
      <c r="L673" s="3"/>
      <c r="M673" s="5"/>
      <c r="N673" s="5"/>
    </row>
    <row r="674">
      <c r="A674" s="2"/>
      <c r="B674" s="3"/>
      <c r="C674" s="3"/>
      <c r="D674" s="3"/>
      <c r="E674" s="4"/>
      <c r="F674" s="3"/>
      <c r="G674" s="5"/>
      <c r="H674" s="3"/>
      <c r="I674" s="5"/>
      <c r="J674" s="3"/>
      <c r="K674" s="5"/>
      <c r="L674" s="3"/>
      <c r="M674" s="5"/>
      <c r="N674" s="5"/>
    </row>
    <row r="675">
      <c r="A675" s="2"/>
      <c r="B675" s="3"/>
      <c r="C675" s="3"/>
      <c r="D675" s="3"/>
      <c r="E675" s="4"/>
      <c r="F675" s="3"/>
      <c r="G675" s="5"/>
      <c r="H675" s="3"/>
      <c r="I675" s="5"/>
      <c r="J675" s="3"/>
      <c r="K675" s="5"/>
      <c r="L675" s="3"/>
      <c r="M675" s="5"/>
      <c r="N675" s="5"/>
    </row>
    <row r="676">
      <c r="A676" s="2"/>
      <c r="B676" s="3"/>
      <c r="C676" s="3"/>
      <c r="D676" s="3"/>
      <c r="E676" s="4"/>
      <c r="F676" s="3"/>
      <c r="G676" s="5"/>
      <c r="H676" s="3"/>
      <c r="I676" s="5"/>
      <c r="J676" s="3"/>
      <c r="K676" s="5"/>
      <c r="L676" s="3"/>
      <c r="M676" s="5"/>
      <c r="N676" s="5"/>
    </row>
    <row r="677">
      <c r="A677" s="2"/>
      <c r="B677" s="3"/>
      <c r="C677" s="3"/>
      <c r="D677" s="3"/>
      <c r="E677" s="4"/>
      <c r="F677" s="3"/>
      <c r="G677" s="5"/>
      <c r="H677" s="3"/>
      <c r="I677" s="5"/>
      <c r="J677" s="3"/>
      <c r="K677" s="5"/>
      <c r="L677" s="3"/>
      <c r="M677" s="5"/>
      <c r="N677" s="5"/>
    </row>
    <row r="678">
      <c r="A678" s="2"/>
      <c r="B678" s="3"/>
      <c r="C678" s="3"/>
      <c r="D678" s="3"/>
      <c r="E678" s="4"/>
      <c r="F678" s="3"/>
      <c r="G678" s="5"/>
      <c r="H678" s="3"/>
      <c r="I678" s="5"/>
      <c r="J678" s="3"/>
      <c r="K678" s="5"/>
      <c r="L678" s="3"/>
      <c r="M678" s="5"/>
      <c r="N678" s="5"/>
    </row>
    <row r="679">
      <c r="A679" s="2"/>
      <c r="B679" s="3"/>
      <c r="C679" s="3"/>
      <c r="D679" s="3"/>
      <c r="E679" s="4"/>
      <c r="F679" s="3"/>
      <c r="G679" s="5"/>
      <c r="H679" s="3"/>
      <c r="I679" s="5"/>
      <c r="J679" s="3"/>
      <c r="K679" s="5"/>
      <c r="L679" s="3"/>
      <c r="M679" s="5"/>
      <c r="N679" s="5"/>
    </row>
    <row r="680">
      <c r="A680" s="2"/>
      <c r="B680" s="3"/>
      <c r="C680" s="3"/>
      <c r="D680" s="3"/>
      <c r="E680" s="4"/>
      <c r="F680" s="3"/>
      <c r="G680" s="5"/>
      <c r="H680" s="3"/>
      <c r="I680" s="5"/>
      <c r="J680" s="3"/>
      <c r="K680" s="5"/>
      <c r="L680" s="3"/>
      <c r="M680" s="5"/>
      <c r="N680" s="5"/>
    </row>
    <row r="681">
      <c r="A681" s="2"/>
      <c r="B681" s="3"/>
      <c r="C681" s="3"/>
      <c r="D681" s="3"/>
      <c r="E681" s="4"/>
      <c r="F681" s="3"/>
      <c r="G681" s="5"/>
      <c r="H681" s="3"/>
      <c r="I681" s="5"/>
      <c r="J681" s="3"/>
      <c r="K681" s="5"/>
      <c r="L681" s="3"/>
      <c r="M681" s="5"/>
      <c r="N681" s="5"/>
    </row>
    <row r="682">
      <c r="A682" s="2"/>
      <c r="B682" s="3"/>
      <c r="C682" s="3"/>
      <c r="D682" s="3"/>
      <c r="E682" s="4"/>
      <c r="F682" s="3"/>
      <c r="G682" s="5"/>
      <c r="H682" s="3"/>
      <c r="I682" s="5"/>
      <c r="J682" s="3"/>
      <c r="K682" s="5"/>
      <c r="L682" s="3"/>
      <c r="M682" s="5"/>
      <c r="N682" s="5"/>
    </row>
    <row r="683">
      <c r="A683" s="2"/>
      <c r="B683" s="3"/>
      <c r="C683" s="3"/>
      <c r="D683" s="3"/>
      <c r="E683" s="4"/>
      <c r="F683" s="3"/>
      <c r="G683" s="5"/>
      <c r="H683" s="3"/>
      <c r="I683" s="5"/>
      <c r="J683" s="3"/>
      <c r="K683" s="5"/>
      <c r="L683" s="3"/>
      <c r="M683" s="5"/>
      <c r="N683" s="5"/>
    </row>
    <row r="684">
      <c r="A684" s="2"/>
      <c r="B684" s="3"/>
      <c r="C684" s="3"/>
      <c r="D684" s="3"/>
      <c r="E684" s="4"/>
      <c r="F684" s="3"/>
      <c r="G684" s="5"/>
      <c r="H684" s="3"/>
      <c r="I684" s="5"/>
      <c r="J684" s="3"/>
      <c r="K684" s="5"/>
      <c r="L684" s="3"/>
      <c r="M684" s="5"/>
      <c r="N684" s="5"/>
    </row>
    <row r="685">
      <c r="A685" s="2"/>
      <c r="B685" s="3"/>
      <c r="C685" s="3"/>
      <c r="D685" s="3"/>
      <c r="E685" s="4"/>
      <c r="F685" s="3"/>
      <c r="G685" s="5"/>
      <c r="H685" s="3"/>
      <c r="I685" s="5"/>
      <c r="J685" s="3"/>
      <c r="K685" s="5"/>
      <c r="L685" s="3"/>
      <c r="M685" s="5"/>
      <c r="N685" s="5"/>
    </row>
    <row r="686">
      <c r="A686" s="2"/>
      <c r="B686" s="3"/>
      <c r="C686" s="3"/>
      <c r="D686" s="3"/>
      <c r="E686" s="4"/>
      <c r="F686" s="3"/>
      <c r="G686" s="5"/>
      <c r="H686" s="3"/>
      <c r="I686" s="5"/>
      <c r="J686" s="3"/>
      <c r="K686" s="5"/>
      <c r="L686" s="3"/>
      <c r="M686" s="5"/>
      <c r="N686" s="5"/>
    </row>
    <row r="687">
      <c r="A687" s="2"/>
      <c r="B687" s="3"/>
      <c r="C687" s="3"/>
      <c r="D687" s="3"/>
      <c r="E687" s="4"/>
      <c r="F687" s="3"/>
      <c r="G687" s="5"/>
      <c r="H687" s="3"/>
      <c r="I687" s="5"/>
      <c r="J687" s="3"/>
      <c r="K687" s="5"/>
      <c r="L687" s="3"/>
      <c r="M687" s="5"/>
      <c r="N687" s="5"/>
    </row>
    <row r="688">
      <c r="A688" s="2"/>
      <c r="B688" s="3"/>
      <c r="C688" s="3"/>
      <c r="D688" s="3"/>
      <c r="E688" s="4"/>
      <c r="F688" s="3"/>
      <c r="G688" s="5"/>
      <c r="H688" s="3"/>
      <c r="I688" s="5"/>
      <c r="J688" s="3"/>
      <c r="K688" s="5"/>
      <c r="L688" s="3"/>
      <c r="M688" s="5"/>
      <c r="N688" s="5"/>
    </row>
    <row r="689">
      <c r="A689" s="2"/>
      <c r="B689" s="3"/>
      <c r="C689" s="3"/>
      <c r="D689" s="3"/>
      <c r="E689" s="4"/>
      <c r="F689" s="3"/>
      <c r="G689" s="5"/>
      <c r="H689" s="3"/>
      <c r="I689" s="5"/>
      <c r="J689" s="3"/>
      <c r="K689" s="5"/>
      <c r="L689" s="3"/>
      <c r="M689" s="5"/>
      <c r="N689" s="5"/>
    </row>
    <row r="690">
      <c r="A690" s="2"/>
      <c r="B690" s="3"/>
      <c r="C690" s="3"/>
      <c r="D690" s="3"/>
      <c r="E690" s="4"/>
      <c r="F690" s="3"/>
      <c r="G690" s="5"/>
      <c r="H690" s="3"/>
      <c r="I690" s="5"/>
      <c r="J690" s="3"/>
      <c r="K690" s="5"/>
      <c r="L690" s="3"/>
      <c r="M690" s="5"/>
      <c r="N690" s="5"/>
    </row>
    <row r="691">
      <c r="A691" s="2"/>
      <c r="B691" s="3"/>
      <c r="C691" s="3"/>
      <c r="D691" s="3"/>
      <c r="E691" s="4"/>
      <c r="F691" s="3"/>
      <c r="G691" s="5"/>
      <c r="H691" s="3"/>
      <c r="I691" s="5"/>
      <c r="J691" s="3"/>
      <c r="K691" s="5"/>
      <c r="L691" s="3"/>
      <c r="M691" s="5"/>
      <c r="N691" s="5"/>
    </row>
    <row r="692">
      <c r="A692" s="2"/>
      <c r="B692" s="3"/>
      <c r="C692" s="3"/>
      <c r="D692" s="3"/>
      <c r="E692" s="4"/>
      <c r="F692" s="3"/>
      <c r="G692" s="5"/>
      <c r="H692" s="3"/>
      <c r="I692" s="5"/>
      <c r="J692" s="3"/>
      <c r="K692" s="5"/>
      <c r="L692" s="3"/>
      <c r="M692" s="5"/>
      <c r="N692" s="5"/>
    </row>
    <row r="693">
      <c r="A693" s="2"/>
      <c r="B693" s="3"/>
      <c r="C693" s="3"/>
      <c r="D693" s="3"/>
      <c r="E693" s="4"/>
      <c r="F693" s="3"/>
      <c r="G693" s="5"/>
      <c r="H693" s="3"/>
      <c r="I693" s="5"/>
      <c r="J693" s="3"/>
      <c r="K693" s="5"/>
      <c r="L693" s="3"/>
      <c r="M693" s="5"/>
      <c r="N693" s="5"/>
    </row>
    <row r="694">
      <c r="A694" s="2"/>
      <c r="B694" s="3"/>
      <c r="C694" s="3"/>
      <c r="D694" s="3"/>
      <c r="E694" s="4"/>
      <c r="F694" s="3"/>
      <c r="G694" s="5"/>
      <c r="H694" s="3"/>
      <c r="I694" s="5"/>
      <c r="J694" s="3"/>
      <c r="K694" s="5"/>
      <c r="L694" s="3"/>
      <c r="M694" s="5"/>
      <c r="N694" s="5"/>
    </row>
    <row r="695">
      <c r="A695" s="2"/>
      <c r="B695" s="3"/>
      <c r="C695" s="3"/>
      <c r="D695" s="3"/>
      <c r="E695" s="4"/>
      <c r="F695" s="3"/>
      <c r="G695" s="5"/>
      <c r="H695" s="3"/>
      <c r="I695" s="5"/>
      <c r="J695" s="3"/>
      <c r="K695" s="5"/>
      <c r="L695" s="3"/>
      <c r="M695" s="5"/>
      <c r="N695" s="5"/>
    </row>
    <row r="696">
      <c r="A696" s="2"/>
      <c r="B696" s="3"/>
      <c r="C696" s="3"/>
      <c r="D696" s="3"/>
      <c r="E696" s="4"/>
      <c r="F696" s="3"/>
      <c r="G696" s="5"/>
      <c r="H696" s="3"/>
      <c r="I696" s="5"/>
      <c r="J696" s="3"/>
      <c r="K696" s="5"/>
      <c r="L696" s="3"/>
      <c r="M696" s="5"/>
      <c r="N696" s="5"/>
    </row>
    <row r="697">
      <c r="A697" s="2"/>
      <c r="B697" s="3"/>
      <c r="C697" s="3"/>
      <c r="D697" s="3"/>
      <c r="E697" s="4"/>
      <c r="F697" s="3"/>
      <c r="G697" s="5"/>
      <c r="H697" s="3"/>
      <c r="I697" s="5"/>
      <c r="J697" s="3"/>
      <c r="K697" s="5"/>
      <c r="L697" s="3"/>
      <c r="M697" s="5"/>
      <c r="N697" s="5"/>
    </row>
    <row r="698">
      <c r="A698" s="2"/>
      <c r="B698" s="3"/>
      <c r="C698" s="3"/>
      <c r="D698" s="3"/>
      <c r="E698" s="4"/>
      <c r="F698" s="3"/>
      <c r="G698" s="5"/>
      <c r="H698" s="3"/>
      <c r="I698" s="5"/>
      <c r="J698" s="3"/>
      <c r="K698" s="5"/>
      <c r="L698" s="3"/>
      <c r="M698" s="5"/>
      <c r="N698" s="5"/>
    </row>
    <row r="699">
      <c r="A699" s="2"/>
      <c r="B699" s="3"/>
      <c r="C699" s="3"/>
      <c r="D699" s="3"/>
      <c r="E699" s="4"/>
      <c r="F699" s="3"/>
      <c r="G699" s="5"/>
      <c r="H699" s="3"/>
      <c r="I699" s="5"/>
      <c r="J699" s="3"/>
      <c r="K699" s="5"/>
      <c r="L699" s="3"/>
      <c r="M699" s="5"/>
      <c r="N699" s="5"/>
    </row>
    <row r="700">
      <c r="A700" s="2"/>
      <c r="B700" s="3"/>
      <c r="C700" s="3"/>
      <c r="D700" s="3"/>
      <c r="E700" s="4"/>
      <c r="F700" s="3"/>
      <c r="G700" s="5"/>
      <c r="H700" s="3"/>
      <c r="I700" s="5"/>
      <c r="J700" s="3"/>
      <c r="K700" s="5"/>
      <c r="L700" s="3"/>
      <c r="M700" s="5"/>
      <c r="N700" s="5"/>
    </row>
    <row r="701">
      <c r="A701" s="2"/>
      <c r="B701" s="3"/>
      <c r="C701" s="3"/>
      <c r="D701" s="3"/>
      <c r="E701" s="4"/>
      <c r="F701" s="3"/>
      <c r="G701" s="5"/>
      <c r="H701" s="3"/>
      <c r="I701" s="5"/>
      <c r="J701" s="3"/>
      <c r="K701" s="5"/>
      <c r="L701" s="3"/>
      <c r="M701" s="5"/>
      <c r="N701" s="5"/>
    </row>
    <row r="702">
      <c r="A702" s="2"/>
      <c r="B702" s="3"/>
      <c r="C702" s="3"/>
      <c r="D702" s="3"/>
      <c r="E702" s="4"/>
      <c r="F702" s="3"/>
      <c r="G702" s="5"/>
      <c r="H702" s="3"/>
      <c r="I702" s="5"/>
      <c r="J702" s="3"/>
      <c r="K702" s="5"/>
      <c r="L702" s="3"/>
      <c r="M702" s="5"/>
      <c r="N702" s="5"/>
    </row>
    <row r="703">
      <c r="A703" s="2"/>
      <c r="B703" s="3"/>
      <c r="C703" s="3"/>
      <c r="D703" s="3"/>
      <c r="E703" s="4"/>
      <c r="F703" s="3"/>
      <c r="G703" s="5"/>
      <c r="H703" s="3"/>
      <c r="I703" s="5"/>
      <c r="J703" s="3"/>
      <c r="K703" s="5"/>
      <c r="L703" s="3"/>
      <c r="M703" s="5"/>
      <c r="N703" s="5"/>
    </row>
    <row r="704">
      <c r="A704" s="2"/>
      <c r="B704" s="3"/>
      <c r="C704" s="3"/>
      <c r="D704" s="3"/>
      <c r="E704" s="4"/>
      <c r="F704" s="3"/>
      <c r="G704" s="5"/>
      <c r="H704" s="3"/>
      <c r="I704" s="5"/>
      <c r="J704" s="3"/>
      <c r="K704" s="5"/>
      <c r="L704" s="3"/>
      <c r="M704" s="5"/>
      <c r="N704" s="5"/>
    </row>
    <row r="705">
      <c r="A705" s="2"/>
      <c r="B705" s="3"/>
      <c r="C705" s="3"/>
      <c r="D705" s="3"/>
      <c r="E705" s="4"/>
      <c r="F705" s="3"/>
      <c r="G705" s="5"/>
      <c r="H705" s="3"/>
      <c r="I705" s="5"/>
      <c r="J705" s="3"/>
      <c r="K705" s="5"/>
      <c r="L705" s="3"/>
      <c r="M705" s="5"/>
      <c r="N705" s="5"/>
    </row>
    <row r="706">
      <c r="A706" s="2"/>
      <c r="B706" s="3"/>
      <c r="C706" s="3"/>
      <c r="D706" s="3"/>
      <c r="E706" s="4"/>
      <c r="F706" s="3"/>
      <c r="G706" s="5"/>
      <c r="H706" s="3"/>
      <c r="I706" s="5"/>
      <c r="J706" s="3"/>
      <c r="K706" s="5"/>
      <c r="L706" s="3"/>
      <c r="M706" s="5"/>
      <c r="N706" s="5"/>
    </row>
    <row r="707">
      <c r="A707" s="2"/>
      <c r="B707" s="3"/>
      <c r="C707" s="3"/>
      <c r="D707" s="3"/>
      <c r="E707" s="4"/>
      <c r="F707" s="3"/>
      <c r="G707" s="5"/>
      <c r="H707" s="3"/>
      <c r="I707" s="5"/>
      <c r="J707" s="3"/>
      <c r="K707" s="5"/>
      <c r="L707" s="3"/>
      <c r="M707" s="5"/>
      <c r="N707" s="5"/>
    </row>
    <row r="708">
      <c r="A708" s="2"/>
      <c r="B708" s="3"/>
      <c r="C708" s="3"/>
      <c r="D708" s="3"/>
      <c r="E708" s="4"/>
      <c r="F708" s="3"/>
      <c r="G708" s="5"/>
      <c r="H708" s="3"/>
      <c r="I708" s="5"/>
      <c r="J708" s="3"/>
      <c r="K708" s="5"/>
      <c r="L708" s="3"/>
      <c r="M708" s="5"/>
      <c r="N708" s="5"/>
    </row>
    <row r="709">
      <c r="A709" s="2"/>
      <c r="B709" s="3"/>
      <c r="C709" s="3"/>
      <c r="D709" s="3"/>
      <c r="E709" s="4"/>
      <c r="F709" s="3"/>
      <c r="G709" s="5"/>
      <c r="H709" s="3"/>
      <c r="I709" s="5"/>
      <c r="J709" s="3"/>
      <c r="K709" s="5"/>
      <c r="L709" s="3"/>
      <c r="M709" s="5"/>
      <c r="N709" s="5"/>
    </row>
    <row r="710">
      <c r="A710" s="2"/>
      <c r="B710" s="3"/>
      <c r="C710" s="3"/>
      <c r="D710" s="3"/>
      <c r="E710" s="4"/>
      <c r="F710" s="3"/>
      <c r="G710" s="5"/>
      <c r="H710" s="3"/>
      <c r="I710" s="5"/>
      <c r="J710" s="3"/>
      <c r="K710" s="5"/>
      <c r="L710" s="3"/>
      <c r="M710" s="5"/>
      <c r="N710" s="5"/>
    </row>
    <row r="711">
      <c r="A711" s="2"/>
      <c r="B711" s="3"/>
      <c r="C711" s="3"/>
      <c r="D711" s="3"/>
      <c r="E711" s="4"/>
      <c r="F711" s="3"/>
      <c r="G711" s="5"/>
      <c r="H711" s="3"/>
      <c r="I711" s="5"/>
      <c r="J711" s="3"/>
      <c r="K711" s="5"/>
      <c r="L711" s="3"/>
      <c r="M711" s="5"/>
      <c r="N711" s="5"/>
    </row>
    <row r="712">
      <c r="A712" s="2"/>
      <c r="B712" s="3"/>
      <c r="C712" s="3"/>
      <c r="D712" s="3"/>
      <c r="E712" s="4"/>
      <c r="F712" s="3"/>
      <c r="G712" s="5"/>
      <c r="H712" s="3"/>
      <c r="I712" s="5"/>
      <c r="J712" s="3"/>
      <c r="K712" s="5"/>
      <c r="L712" s="3"/>
      <c r="M712" s="5"/>
      <c r="N712" s="5"/>
    </row>
    <row r="713">
      <c r="A713" s="2"/>
      <c r="B713" s="3"/>
      <c r="C713" s="3"/>
      <c r="D713" s="3"/>
      <c r="E713" s="4"/>
      <c r="F713" s="3"/>
      <c r="G713" s="5"/>
      <c r="H713" s="3"/>
      <c r="I713" s="5"/>
      <c r="J713" s="3"/>
      <c r="K713" s="5"/>
      <c r="L713" s="3"/>
      <c r="M713" s="5"/>
      <c r="N713" s="5"/>
    </row>
    <row r="714">
      <c r="A714" s="2"/>
      <c r="B714" s="3"/>
      <c r="C714" s="3"/>
      <c r="D714" s="3"/>
      <c r="E714" s="4"/>
      <c r="F714" s="3"/>
      <c r="G714" s="5"/>
      <c r="H714" s="3"/>
      <c r="I714" s="5"/>
      <c r="J714" s="3"/>
      <c r="K714" s="5"/>
      <c r="L714" s="3"/>
      <c r="M714" s="5"/>
      <c r="N714" s="5"/>
    </row>
    <row r="715">
      <c r="A715" s="2"/>
      <c r="B715" s="3"/>
      <c r="C715" s="3"/>
      <c r="D715" s="3"/>
      <c r="E715" s="4"/>
      <c r="F715" s="3"/>
      <c r="G715" s="5"/>
      <c r="H715" s="3"/>
      <c r="I715" s="5"/>
      <c r="J715" s="3"/>
      <c r="K715" s="5"/>
      <c r="L715" s="3"/>
      <c r="M715" s="5"/>
      <c r="N715" s="5"/>
    </row>
    <row r="716">
      <c r="A716" s="2"/>
      <c r="B716" s="3"/>
      <c r="C716" s="3"/>
      <c r="D716" s="3"/>
      <c r="E716" s="4"/>
      <c r="F716" s="3"/>
      <c r="G716" s="5"/>
      <c r="H716" s="3"/>
      <c r="I716" s="5"/>
      <c r="J716" s="3"/>
      <c r="K716" s="5"/>
      <c r="L716" s="3"/>
      <c r="M716" s="5"/>
      <c r="N716" s="5"/>
    </row>
    <row r="717">
      <c r="A717" s="2"/>
      <c r="B717" s="3"/>
      <c r="C717" s="3"/>
      <c r="D717" s="3"/>
      <c r="E717" s="4"/>
      <c r="F717" s="3"/>
      <c r="G717" s="5"/>
      <c r="H717" s="3"/>
      <c r="I717" s="5"/>
      <c r="J717" s="3"/>
      <c r="K717" s="5"/>
      <c r="L717" s="3"/>
      <c r="M717" s="5"/>
      <c r="N717" s="5"/>
    </row>
    <row r="718">
      <c r="A718" s="2"/>
      <c r="B718" s="3"/>
      <c r="C718" s="3"/>
      <c r="D718" s="3"/>
      <c r="E718" s="4"/>
      <c r="F718" s="3"/>
      <c r="G718" s="5"/>
      <c r="H718" s="3"/>
      <c r="I718" s="5"/>
      <c r="J718" s="3"/>
      <c r="K718" s="5"/>
      <c r="L718" s="3"/>
      <c r="M718" s="5"/>
      <c r="N718" s="5"/>
    </row>
    <row r="719">
      <c r="A719" s="2"/>
      <c r="B719" s="3"/>
      <c r="C719" s="3"/>
      <c r="D719" s="3"/>
      <c r="E719" s="4"/>
      <c r="F719" s="3"/>
      <c r="G719" s="5"/>
      <c r="H719" s="3"/>
      <c r="I719" s="5"/>
      <c r="J719" s="3"/>
      <c r="K719" s="5"/>
      <c r="L719" s="3"/>
      <c r="M719" s="5"/>
      <c r="N719" s="5"/>
    </row>
    <row r="720">
      <c r="A720" s="2"/>
      <c r="B720" s="3"/>
      <c r="C720" s="3"/>
      <c r="D720" s="3"/>
      <c r="E720" s="4"/>
      <c r="F720" s="3"/>
      <c r="G720" s="5"/>
      <c r="H720" s="3"/>
      <c r="I720" s="5"/>
      <c r="J720" s="3"/>
      <c r="K720" s="5"/>
      <c r="L720" s="3"/>
      <c r="M720" s="5"/>
      <c r="N720" s="5"/>
    </row>
    <row r="721">
      <c r="A721" s="2"/>
      <c r="B721" s="3"/>
      <c r="C721" s="3"/>
      <c r="D721" s="3"/>
      <c r="E721" s="4"/>
      <c r="F721" s="3"/>
      <c r="G721" s="5"/>
      <c r="H721" s="3"/>
      <c r="I721" s="5"/>
      <c r="J721" s="3"/>
      <c r="K721" s="5"/>
      <c r="L721" s="3"/>
      <c r="M721" s="5"/>
      <c r="N721" s="5"/>
    </row>
    <row r="722">
      <c r="A722" s="2"/>
      <c r="B722" s="3"/>
      <c r="C722" s="3"/>
      <c r="D722" s="3"/>
      <c r="E722" s="4"/>
      <c r="F722" s="3"/>
      <c r="G722" s="5"/>
      <c r="H722" s="3"/>
      <c r="I722" s="5"/>
      <c r="J722" s="3"/>
      <c r="K722" s="5"/>
      <c r="L722" s="3"/>
      <c r="M722" s="5"/>
      <c r="N722" s="5"/>
    </row>
    <row r="723">
      <c r="A723" s="2"/>
      <c r="B723" s="3"/>
      <c r="C723" s="3"/>
      <c r="D723" s="3"/>
      <c r="E723" s="4"/>
      <c r="F723" s="3"/>
      <c r="G723" s="5"/>
      <c r="H723" s="3"/>
      <c r="I723" s="5"/>
      <c r="J723" s="3"/>
      <c r="K723" s="5"/>
      <c r="L723" s="3"/>
      <c r="M723" s="5"/>
      <c r="N723" s="5"/>
    </row>
    <row r="724">
      <c r="A724" s="2"/>
      <c r="B724" s="3"/>
      <c r="C724" s="3"/>
      <c r="D724" s="3"/>
      <c r="E724" s="4"/>
      <c r="F724" s="3"/>
      <c r="G724" s="5"/>
      <c r="H724" s="3"/>
      <c r="I724" s="5"/>
      <c r="J724" s="3"/>
      <c r="K724" s="5"/>
      <c r="L724" s="3"/>
      <c r="M724" s="5"/>
      <c r="N724" s="5"/>
    </row>
    <row r="725">
      <c r="A725" s="2"/>
      <c r="B725" s="3"/>
      <c r="C725" s="3"/>
      <c r="D725" s="3"/>
      <c r="E725" s="4"/>
      <c r="F725" s="3"/>
      <c r="G725" s="5"/>
      <c r="H725" s="3"/>
      <c r="I725" s="5"/>
      <c r="J725" s="3"/>
      <c r="K725" s="5"/>
      <c r="L725" s="3"/>
      <c r="M725" s="5"/>
      <c r="N725" s="5"/>
    </row>
    <row r="726">
      <c r="A726" s="2"/>
      <c r="B726" s="3"/>
      <c r="C726" s="3"/>
      <c r="D726" s="3"/>
      <c r="E726" s="4"/>
      <c r="F726" s="3"/>
      <c r="G726" s="5"/>
      <c r="H726" s="3"/>
      <c r="I726" s="5"/>
      <c r="J726" s="3"/>
      <c r="K726" s="5"/>
      <c r="L726" s="3"/>
      <c r="M726" s="5"/>
      <c r="N726" s="5"/>
    </row>
    <row r="727">
      <c r="A727" s="2"/>
      <c r="B727" s="3"/>
      <c r="C727" s="3"/>
      <c r="D727" s="3"/>
      <c r="E727" s="4"/>
      <c r="F727" s="3"/>
      <c r="G727" s="5"/>
      <c r="H727" s="3"/>
      <c r="I727" s="5"/>
      <c r="J727" s="3"/>
      <c r="K727" s="5"/>
      <c r="L727" s="3"/>
      <c r="M727" s="5"/>
      <c r="N727" s="5"/>
    </row>
    <row r="728">
      <c r="A728" s="2"/>
      <c r="B728" s="3"/>
      <c r="C728" s="3"/>
      <c r="D728" s="3"/>
      <c r="E728" s="4"/>
      <c r="F728" s="3"/>
      <c r="G728" s="5"/>
      <c r="H728" s="3"/>
      <c r="I728" s="5"/>
      <c r="J728" s="3"/>
      <c r="K728" s="5"/>
      <c r="L728" s="3"/>
      <c r="M728" s="5"/>
      <c r="N728" s="5"/>
    </row>
    <row r="729">
      <c r="A729" s="2"/>
      <c r="B729" s="3"/>
      <c r="C729" s="3"/>
      <c r="D729" s="3"/>
      <c r="E729" s="4"/>
      <c r="F729" s="3"/>
      <c r="G729" s="5"/>
      <c r="H729" s="3"/>
      <c r="I729" s="5"/>
      <c r="J729" s="3"/>
      <c r="K729" s="5"/>
      <c r="L729" s="3"/>
      <c r="M729" s="5"/>
      <c r="N729" s="5"/>
    </row>
    <row r="730">
      <c r="A730" s="2"/>
      <c r="B730" s="3"/>
      <c r="C730" s="3"/>
      <c r="D730" s="3"/>
      <c r="E730" s="4"/>
      <c r="F730" s="3"/>
      <c r="G730" s="5"/>
      <c r="H730" s="3"/>
      <c r="I730" s="5"/>
      <c r="J730" s="3"/>
      <c r="K730" s="5"/>
      <c r="L730" s="3"/>
      <c r="M730" s="5"/>
      <c r="N730" s="5"/>
    </row>
    <row r="731">
      <c r="A731" s="2"/>
      <c r="B731" s="3"/>
      <c r="C731" s="3"/>
      <c r="D731" s="3"/>
      <c r="E731" s="4"/>
      <c r="F731" s="3"/>
      <c r="G731" s="5"/>
      <c r="H731" s="3"/>
      <c r="I731" s="5"/>
      <c r="J731" s="3"/>
      <c r="K731" s="5"/>
      <c r="L731" s="3"/>
      <c r="M731" s="5"/>
      <c r="N731" s="5"/>
    </row>
    <row r="732">
      <c r="A732" s="2"/>
      <c r="B732" s="3"/>
      <c r="C732" s="3"/>
      <c r="D732" s="3"/>
      <c r="E732" s="4"/>
      <c r="F732" s="3"/>
      <c r="G732" s="5"/>
      <c r="H732" s="3"/>
      <c r="I732" s="5"/>
      <c r="J732" s="3"/>
      <c r="K732" s="5"/>
      <c r="L732" s="3"/>
      <c r="M732" s="5"/>
      <c r="N732" s="5"/>
    </row>
    <row r="733">
      <c r="A733" s="2"/>
      <c r="B733" s="3"/>
      <c r="C733" s="3"/>
      <c r="D733" s="3"/>
      <c r="E733" s="4"/>
      <c r="F733" s="3"/>
      <c r="G733" s="5"/>
      <c r="H733" s="3"/>
      <c r="I733" s="5"/>
      <c r="J733" s="3"/>
      <c r="K733" s="5"/>
      <c r="L733" s="3"/>
      <c r="M733" s="5"/>
      <c r="N733" s="5"/>
    </row>
    <row r="734">
      <c r="A734" s="2"/>
      <c r="B734" s="3"/>
      <c r="C734" s="3"/>
      <c r="D734" s="3"/>
      <c r="E734" s="4"/>
      <c r="F734" s="3"/>
      <c r="G734" s="5"/>
      <c r="H734" s="3"/>
      <c r="I734" s="5"/>
      <c r="J734" s="3"/>
      <c r="K734" s="5"/>
      <c r="L734" s="3"/>
      <c r="M734" s="5"/>
      <c r="N734" s="5"/>
    </row>
    <row r="735">
      <c r="A735" s="2"/>
      <c r="B735" s="3"/>
      <c r="C735" s="3"/>
      <c r="D735" s="3"/>
      <c r="E735" s="4"/>
      <c r="F735" s="3"/>
      <c r="G735" s="5"/>
      <c r="H735" s="3"/>
      <c r="I735" s="5"/>
      <c r="J735" s="3"/>
      <c r="K735" s="5"/>
      <c r="L735" s="3"/>
      <c r="M735" s="5"/>
      <c r="N735" s="5"/>
    </row>
    <row r="736">
      <c r="A736" s="2"/>
      <c r="B736" s="3"/>
      <c r="C736" s="3"/>
      <c r="D736" s="3"/>
      <c r="E736" s="4"/>
      <c r="F736" s="3"/>
      <c r="G736" s="5"/>
      <c r="H736" s="3"/>
      <c r="I736" s="5"/>
      <c r="J736" s="3"/>
      <c r="K736" s="5"/>
      <c r="L736" s="3"/>
      <c r="M736" s="5"/>
      <c r="N736" s="5"/>
    </row>
    <row r="737">
      <c r="A737" s="2"/>
      <c r="B737" s="3"/>
      <c r="C737" s="3"/>
      <c r="D737" s="3"/>
      <c r="E737" s="4"/>
      <c r="F737" s="3"/>
      <c r="G737" s="5"/>
      <c r="H737" s="3"/>
      <c r="I737" s="5"/>
      <c r="J737" s="3"/>
      <c r="K737" s="5"/>
      <c r="L737" s="3"/>
      <c r="M737" s="5"/>
      <c r="N737" s="5"/>
    </row>
    <row r="738">
      <c r="A738" s="2"/>
      <c r="B738" s="3"/>
      <c r="C738" s="3"/>
      <c r="D738" s="3"/>
      <c r="E738" s="4"/>
      <c r="F738" s="3"/>
      <c r="G738" s="5"/>
      <c r="H738" s="3"/>
      <c r="I738" s="5"/>
      <c r="J738" s="3"/>
      <c r="K738" s="5"/>
      <c r="L738" s="3"/>
      <c r="M738" s="5"/>
      <c r="N738" s="5"/>
    </row>
    <row r="739">
      <c r="A739" s="2"/>
      <c r="B739" s="3"/>
      <c r="C739" s="3"/>
      <c r="D739" s="3"/>
      <c r="E739" s="4"/>
      <c r="F739" s="3"/>
      <c r="G739" s="5"/>
      <c r="H739" s="3"/>
      <c r="I739" s="5"/>
      <c r="J739" s="3"/>
      <c r="K739" s="5"/>
      <c r="L739" s="3"/>
      <c r="M739" s="5"/>
      <c r="N739" s="5"/>
    </row>
    <row r="740">
      <c r="A740" s="2"/>
      <c r="B740" s="3"/>
      <c r="C740" s="3"/>
      <c r="D740" s="3"/>
      <c r="E740" s="4"/>
      <c r="F740" s="3"/>
      <c r="G740" s="5"/>
      <c r="H740" s="3"/>
      <c r="I740" s="5"/>
      <c r="J740" s="3"/>
      <c r="K740" s="5"/>
      <c r="L740" s="3"/>
      <c r="M740" s="5"/>
      <c r="N740" s="5"/>
    </row>
    <row r="741">
      <c r="A741" s="2"/>
      <c r="B741" s="3"/>
      <c r="C741" s="3"/>
      <c r="D741" s="3"/>
      <c r="E741" s="4"/>
      <c r="F741" s="3"/>
      <c r="G741" s="5"/>
      <c r="H741" s="3"/>
      <c r="I741" s="5"/>
      <c r="J741" s="3"/>
      <c r="K741" s="5"/>
      <c r="L741" s="3"/>
      <c r="M741" s="5"/>
      <c r="N741" s="5"/>
    </row>
    <row r="742">
      <c r="A742" s="2"/>
      <c r="B742" s="3"/>
      <c r="C742" s="3"/>
      <c r="D742" s="3"/>
      <c r="E742" s="4"/>
      <c r="F742" s="3"/>
      <c r="G742" s="5"/>
      <c r="H742" s="3"/>
      <c r="I742" s="5"/>
      <c r="J742" s="3"/>
      <c r="K742" s="5"/>
      <c r="L742" s="3"/>
      <c r="M742" s="5"/>
      <c r="N742" s="5"/>
    </row>
    <row r="743">
      <c r="A743" s="2"/>
      <c r="B743" s="3"/>
      <c r="C743" s="3"/>
      <c r="D743" s="3"/>
      <c r="E743" s="4"/>
      <c r="F743" s="3"/>
      <c r="G743" s="5"/>
      <c r="H743" s="3"/>
      <c r="I743" s="5"/>
      <c r="J743" s="3"/>
      <c r="K743" s="5"/>
      <c r="L743" s="3"/>
      <c r="M743" s="5"/>
      <c r="N743" s="5"/>
    </row>
    <row r="744">
      <c r="A744" s="2"/>
      <c r="B744" s="3"/>
      <c r="C744" s="3"/>
      <c r="D744" s="3"/>
      <c r="E744" s="4"/>
      <c r="F744" s="3"/>
      <c r="G744" s="5"/>
      <c r="H744" s="3"/>
      <c r="I744" s="5"/>
      <c r="J744" s="3"/>
      <c r="K744" s="5"/>
      <c r="L744" s="3"/>
      <c r="M744" s="5"/>
      <c r="N744" s="5"/>
    </row>
    <row r="745">
      <c r="A745" s="2"/>
      <c r="B745" s="3"/>
      <c r="C745" s="3"/>
      <c r="D745" s="3"/>
      <c r="E745" s="4"/>
      <c r="F745" s="3"/>
      <c r="G745" s="5"/>
      <c r="H745" s="3"/>
      <c r="I745" s="5"/>
      <c r="J745" s="3"/>
      <c r="K745" s="5"/>
      <c r="L745" s="3"/>
      <c r="M745" s="5"/>
      <c r="N745" s="5"/>
    </row>
    <row r="746">
      <c r="A746" s="2"/>
      <c r="B746" s="3"/>
      <c r="C746" s="3"/>
      <c r="D746" s="3"/>
      <c r="E746" s="4"/>
      <c r="F746" s="3"/>
      <c r="G746" s="5"/>
      <c r="H746" s="3"/>
      <c r="I746" s="5"/>
      <c r="J746" s="3"/>
      <c r="K746" s="5"/>
      <c r="L746" s="3"/>
      <c r="M746" s="5"/>
      <c r="N746" s="5"/>
    </row>
    <row r="747">
      <c r="A747" s="2"/>
      <c r="B747" s="3"/>
      <c r="C747" s="3"/>
      <c r="D747" s="3"/>
      <c r="E747" s="4"/>
      <c r="F747" s="3"/>
      <c r="G747" s="5"/>
      <c r="H747" s="3"/>
      <c r="I747" s="5"/>
      <c r="J747" s="3"/>
      <c r="K747" s="5"/>
      <c r="L747" s="3"/>
      <c r="M747" s="5"/>
      <c r="N747" s="5"/>
    </row>
    <row r="748">
      <c r="A748" s="2"/>
      <c r="B748" s="3"/>
      <c r="C748" s="3"/>
      <c r="D748" s="3"/>
      <c r="E748" s="4"/>
      <c r="F748" s="3"/>
      <c r="G748" s="5"/>
      <c r="H748" s="3"/>
      <c r="I748" s="5"/>
      <c r="J748" s="3"/>
      <c r="K748" s="5"/>
      <c r="L748" s="3"/>
      <c r="M748" s="5"/>
      <c r="N748" s="5"/>
    </row>
    <row r="749">
      <c r="A749" s="2"/>
      <c r="B749" s="3"/>
      <c r="C749" s="3"/>
      <c r="D749" s="3"/>
      <c r="E749" s="4"/>
      <c r="F749" s="3"/>
      <c r="G749" s="5"/>
      <c r="H749" s="3"/>
      <c r="I749" s="5"/>
      <c r="J749" s="3"/>
      <c r="K749" s="5"/>
      <c r="L749" s="3"/>
      <c r="M749" s="5"/>
      <c r="N749" s="5"/>
    </row>
    <row r="750">
      <c r="A750" s="2"/>
      <c r="B750" s="3"/>
      <c r="C750" s="3"/>
      <c r="D750" s="3"/>
      <c r="E750" s="4"/>
      <c r="F750" s="3"/>
      <c r="G750" s="5"/>
      <c r="H750" s="3"/>
      <c r="I750" s="5"/>
      <c r="J750" s="3"/>
      <c r="K750" s="5"/>
      <c r="L750" s="3"/>
      <c r="M750" s="5"/>
      <c r="N750" s="5"/>
    </row>
    <row r="751">
      <c r="A751" s="2"/>
      <c r="B751" s="3"/>
      <c r="C751" s="3"/>
      <c r="D751" s="3"/>
      <c r="E751" s="4"/>
      <c r="F751" s="3"/>
      <c r="G751" s="5"/>
      <c r="H751" s="3"/>
      <c r="I751" s="5"/>
      <c r="J751" s="3"/>
      <c r="K751" s="5"/>
      <c r="L751" s="3"/>
      <c r="M751" s="5"/>
      <c r="N751" s="5"/>
    </row>
    <row r="752">
      <c r="A752" s="2"/>
      <c r="B752" s="3"/>
      <c r="C752" s="3"/>
      <c r="D752" s="3"/>
      <c r="E752" s="4"/>
      <c r="F752" s="3"/>
      <c r="G752" s="5"/>
      <c r="H752" s="3"/>
      <c r="I752" s="5"/>
      <c r="J752" s="3"/>
      <c r="K752" s="5"/>
      <c r="L752" s="3"/>
      <c r="M752" s="5"/>
      <c r="N752" s="5"/>
    </row>
    <row r="753">
      <c r="A753" s="2"/>
      <c r="B753" s="3"/>
      <c r="C753" s="3"/>
      <c r="D753" s="3"/>
      <c r="E753" s="4"/>
      <c r="F753" s="3"/>
      <c r="G753" s="5"/>
      <c r="H753" s="3"/>
      <c r="I753" s="5"/>
      <c r="J753" s="3"/>
      <c r="K753" s="5"/>
      <c r="L753" s="3"/>
      <c r="M753" s="5"/>
      <c r="N753" s="5"/>
    </row>
    <row r="754">
      <c r="A754" s="2"/>
      <c r="B754" s="3"/>
      <c r="C754" s="3"/>
      <c r="D754" s="3"/>
      <c r="E754" s="4"/>
      <c r="F754" s="3"/>
      <c r="G754" s="5"/>
      <c r="H754" s="3"/>
      <c r="I754" s="5"/>
      <c r="J754" s="3"/>
      <c r="K754" s="5"/>
      <c r="L754" s="3"/>
      <c r="M754" s="5"/>
      <c r="N754" s="5"/>
    </row>
    <row r="755">
      <c r="A755" s="2"/>
      <c r="B755" s="3"/>
      <c r="C755" s="3"/>
      <c r="D755" s="3"/>
      <c r="E755" s="4"/>
      <c r="F755" s="3"/>
      <c r="G755" s="5"/>
      <c r="H755" s="3"/>
      <c r="I755" s="5"/>
      <c r="J755" s="3"/>
      <c r="K755" s="5"/>
      <c r="L755" s="3"/>
      <c r="M755" s="5"/>
      <c r="N755" s="5"/>
    </row>
    <row r="756">
      <c r="A756" s="2"/>
      <c r="B756" s="3"/>
      <c r="C756" s="3"/>
      <c r="D756" s="3"/>
      <c r="E756" s="4"/>
      <c r="F756" s="3"/>
      <c r="G756" s="5"/>
      <c r="H756" s="3"/>
      <c r="I756" s="5"/>
      <c r="J756" s="3"/>
      <c r="K756" s="5"/>
      <c r="L756" s="3"/>
      <c r="M756" s="5"/>
      <c r="N756" s="5"/>
    </row>
    <row r="757">
      <c r="A757" s="2"/>
      <c r="B757" s="3"/>
      <c r="C757" s="3"/>
      <c r="D757" s="3"/>
      <c r="E757" s="4"/>
      <c r="F757" s="3"/>
      <c r="G757" s="5"/>
      <c r="H757" s="3"/>
      <c r="I757" s="5"/>
      <c r="J757" s="3"/>
      <c r="K757" s="5"/>
      <c r="L757" s="3"/>
      <c r="M757" s="5"/>
      <c r="N757" s="5"/>
    </row>
    <row r="758">
      <c r="A758" s="2"/>
      <c r="B758" s="3"/>
      <c r="C758" s="3"/>
      <c r="D758" s="3"/>
      <c r="E758" s="4"/>
      <c r="F758" s="3"/>
      <c r="G758" s="5"/>
      <c r="H758" s="3"/>
      <c r="I758" s="5"/>
      <c r="J758" s="3"/>
      <c r="K758" s="5"/>
      <c r="L758" s="3"/>
      <c r="M758" s="5"/>
      <c r="N758" s="5"/>
    </row>
    <row r="759">
      <c r="A759" s="2"/>
      <c r="B759" s="3"/>
      <c r="C759" s="3"/>
      <c r="D759" s="3"/>
      <c r="E759" s="4"/>
      <c r="F759" s="3"/>
      <c r="G759" s="5"/>
      <c r="H759" s="3"/>
      <c r="I759" s="5"/>
      <c r="J759" s="3"/>
      <c r="K759" s="5"/>
      <c r="L759" s="3"/>
      <c r="M759" s="5"/>
      <c r="N759" s="5"/>
    </row>
    <row r="760">
      <c r="A760" s="2"/>
      <c r="B760" s="3"/>
      <c r="C760" s="3"/>
      <c r="D760" s="3"/>
      <c r="E760" s="4"/>
      <c r="F760" s="3"/>
      <c r="G760" s="5"/>
      <c r="H760" s="3"/>
      <c r="I760" s="5"/>
      <c r="J760" s="3"/>
      <c r="K760" s="5"/>
      <c r="L760" s="3"/>
      <c r="M760" s="5"/>
      <c r="N760" s="5"/>
    </row>
    <row r="761">
      <c r="A761" s="2"/>
      <c r="B761" s="3"/>
      <c r="C761" s="3"/>
      <c r="D761" s="3"/>
      <c r="E761" s="4"/>
      <c r="F761" s="3"/>
      <c r="G761" s="5"/>
      <c r="H761" s="3"/>
      <c r="I761" s="5"/>
      <c r="J761" s="3"/>
      <c r="K761" s="5"/>
      <c r="L761" s="3"/>
      <c r="M761" s="5"/>
      <c r="N761" s="5"/>
    </row>
    <row r="762">
      <c r="A762" s="2"/>
      <c r="B762" s="3"/>
      <c r="C762" s="3"/>
      <c r="D762" s="3"/>
      <c r="E762" s="4"/>
      <c r="F762" s="3"/>
      <c r="G762" s="5"/>
      <c r="H762" s="3"/>
      <c r="I762" s="5"/>
      <c r="J762" s="3"/>
      <c r="K762" s="5"/>
      <c r="L762" s="3"/>
      <c r="M762" s="5"/>
      <c r="N762" s="5"/>
    </row>
    <row r="763">
      <c r="A763" s="2"/>
      <c r="B763" s="3"/>
      <c r="C763" s="3"/>
      <c r="D763" s="3"/>
      <c r="E763" s="4"/>
      <c r="F763" s="3"/>
      <c r="G763" s="5"/>
      <c r="H763" s="3"/>
      <c r="I763" s="5"/>
      <c r="J763" s="3"/>
      <c r="K763" s="5"/>
      <c r="L763" s="3"/>
      <c r="M763" s="5"/>
      <c r="N763" s="5"/>
    </row>
    <row r="764">
      <c r="A764" s="2"/>
      <c r="B764" s="3"/>
      <c r="C764" s="3"/>
      <c r="D764" s="3"/>
      <c r="E764" s="4"/>
      <c r="F764" s="3"/>
      <c r="G764" s="5"/>
      <c r="H764" s="3"/>
      <c r="I764" s="5"/>
      <c r="J764" s="3"/>
      <c r="K764" s="5"/>
      <c r="L764" s="3"/>
      <c r="M764" s="5"/>
      <c r="N764" s="5"/>
    </row>
    <row r="765">
      <c r="A765" s="2"/>
      <c r="B765" s="3"/>
      <c r="C765" s="3"/>
      <c r="D765" s="3"/>
      <c r="E765" s="4"/>
      <c r="F765" s="3"/>
      <c r="G765" s="5"/>
      <c r="H765" s="3"/>
      <c r="I765" s="5"/>
      <c r="J765" s="3"/>
      <c r="K765" s="5"/>
      <c r="L765" s="3"/>
      <c r="M765" s="5"/>
      <c r="N765" s="5"/>
    </row>
    <row r="766">
      <c r="A766" s="2"/>
      <c r="B766" s="3"/>
      <c r="C766" s="3"/>
      <c r="D766" s="3"/>
      <c r="E766" s="4"/>
      <c r="F766" s="3"/>
      <c r="G766" s="5"/>
      <c r="H766" s="3"/>
      <c r="I766" s="5"/>
      <c r="J766" s="3"/>
      <c r="K766" s="5"/>
      <c r="L766" s="3"/>
      <c r="M766" s="5"/>
      <c r="N766" s="5"/>
    </row>
    <row r="767">
      <c r="A767" s="2"/>
      <c r="B767" s="3"/>
      <c r="C767" s="3"/>
      <c r="D767" s="3"/>
      <c r="E767" s="4"/>
      <c r="F767" s="3"/>
      <c r="G767" s="5"/>
      <c r="H767" s="3"/>
      <c r="I767" s="5"/>
      <c r="J767" s="3"/>
      <c r="K767" s="5"/>
      <c r="L767" s="3"/>
      <c r="M767" s="5"/>
      <c r="N767" s="5"/>
    </row>
    <row r="768">
      <c r="A768" s="2"/>
      <c r="B768" s="3"/>
      <c r="C768" s="3"/>
      <c r="D768" s="3"/>
      <c r="E768" s="4"/>
      <c r="F768" s="3"/>
      <c r="G768" s="5"/>
      <c r="H768" s="3"/>
      <c r="I768" s="5"/>
      <c r="J768" s="3"/>
      <c r="K768" s="5"/>
      <c r="L768" s="3"/>
      <c r="M768" s="5"/>
      <c r="N768" s="5"/>
    </row>
    <row r="769">
      <c r="A769" s="2"/>
      <c r="B769" s="3"/>
      <c r="C769" s="3"/>
      <c r="D769" s="3"/>
      <c r="E769" s="4"/>
      <c r="F769" s="3"/>
      <c r="G769" s="5"/>
      <c r="H769" s="3"/>
      <c r="I769" s="5"/>
      <c r="J769" s="3"/>
      <c r="K769" s="5"/>
      <c r="L769" s="3"/>
      <c r="M769" s="5"/>
      <c r="N769" s="5"/>
    </row>
    <row r="770">
      <c r="A770" s="2"/>
      <c r="B770" s="3"/>
      <c r="C770" s="3"/>
      <c r="D770" s="3"/>
      <c r="E770" s="4"/>
      <c r="F770" s="3"/>
      <c r="G770" s="5"/>
      <c r="H770" s="3"/>
      <c r="I770" s="5"/>
      <c r="J770" s="3"/>
      <c r="K770" s="5"/>
      <c r="L770" s="3"/>
      <c r="M770" s="5"/>
      <c r="N770" s="5"/>
    </row>
    <row r="771">
      <c r="A771" s="2"/>
      <c r="B771" s="3"/>
      <c r="C771" s="3"/>
      <c r="D771" s="3"/>
      <c r="E771" s="4"/>
      <c r="F771" s="3"/>
      <c r="G771" s="5"/>
      <c r="H771" s="3"/>
      <c r="I771" s="5"/>
      <c r="J771" s="3"/>
      <c r="K771" s="5"/>
      <c r="L771" s="3"/>
      <c r="M771" s="5"/>
      <c r="N771" s="5"/>
    </row>
    <row r="772">
      <c r="A772" s="2"/>
      <c r="B772" s="3"/>
      <c r="C772" s="3"/>
      <c r="D772" s="3"/>
      <c r="E772" s="4"/>
      <c r="F772" s="3"/>
      <c r="G772" s="5"/>
      <c r="H772" s="3"/>
      <c r="I772" s="5"/>
      <c r="J772" s="3"/>
      <c r="K772" s="5"/>
      <c r="L772" s="3"/>
      <c r="M772" s="5"/>
      <c r="N772" s="5"/>
    </row>
    <row r="773">
      <c r="A773" s="2"/>
      <c r="B773" s="3"/>
      <c r="C773" s="3"/>
      <c r="D773" s="3"/>
      <c r="E773" s="4"/>
      <c r="F773" s="3"/>
      <c r="G773" s="5"/>
      <c r="H773" s="3"/>
      <c r="I773" s="5"/>
      <c r="J773" s="3"/>
      <c r="K773" s="5"/>
      <c r="L773" s="3"/>
      <c r="M773" s="5"/>
      <c r="N773" s="5"/>
    </row>
    <row r="774">
      <c r="A774" s="2"/>
      <c r="B774" s="3"/>
      <c r="C774" s="3"/>
      <c r="D774" s="3"/>
      <c r="E774" s="4"/>
      <c r="F774" s="3"/>
      <c r="G774" s="5"/>
      <c r="H774" s="3"/>
      <c r="I774" s="5"/>
      <c r="J774" s="3"/>
      <c r="K774" s="5"/>
      <c r="L774" s="3"/>
      <c r="M774" s="5"/>
      <c r="N774" s="5"/>
    </row>
    <row r="775">
      <c r="A775" s="2"/>
      <c r="B775" s="3"/>
      <c r="C775" s="3"/>
      <c r="D775" s="3"/>
      <c r="E775" s="4"/>
      <c r="F775" s="3"/>
      <c r="G775" s="5"/>
      <c r="H775" s="3"/>
      <c r="I775" s="5"/>
      <c r="J775" s="3"/>
      <c r="K775" s="5"/>
      <c r="L775" s="3"/>
      <c r="M775" s="5"/>
      <c r="N775" s="5"/>
    </row>
    <row r="776">
      <c r="A776" s="2"/>
      <c r="B776" s="3"/>
      <c r="C776" s="3"/>
      <c r="D776" s="3"/>
      <c r="E776" s="4"/>
      <c r="F776" s="3"/>
      <c r="G776" s="5"/>
      <c r="H776" s="3"/>
      <c r="I776" s="5"/>
      <c r="J776" s="3"/>
      <c r="K776" s="5"/>
      <c r="L776" s="3"/>
      <c r="M776" s="5"/>
      <c r="N776" s="5"/>
    </row>
    <row r="777">
      <c r="A777" s="2"/>
      <c r="B777" s="3"/>
      <c r="C777" s="3"/>
      <c r="D777" s="3"/>
      <c r="E777" s="4"/>
      <c r="F777" s="3"/>
      <c r="G777" s="5"/>
      <c r="H777" s="3"/>
      <c r="I777" s="5"/>
      <c r="J777" s="3"/>
      <c r="K777" s="5"/>
      <c r="L777" s="3"/>
      <c r="M777" s="5"/>
      <c r="N777" s="5"/>
    </row>
    <row r="778">
      <c r="A778" s="2"/>
      <c r="B778" s="3"/>
      <c r="C778" s="3"/>
      <c r="D778" s="3"/>
      <c r="E778" s="4"/>
      <c r="F778" s="3"/>
      <c r="G778" s="5"/>
      <c r="H778" s="3"/>
      <c r="I778" s="5"/>
      <c r="J778" s="3"/>
      <c r="K778" s="5"/>
      <c r="L778" s="3"/>
      <c r="M778" s="5"/>
      <c r="N778" s="5"/>
    </row>
    <row r="779">
      <c r="A779" s="2"/>
      <c r="B779" s="3"/>
      <c r="C779" s="3"/>
      <c r="D779" s="3"/>
      <c r="E779" s="4"/>
      <c r="F779" s="3"/>
      <c r="G779" s="5"/>
      <c r="H779" s="3"/>
      <c r="I779" s="5"/>
      <c r="J779" s="3"/>
      <c r="K779" s="5"/>
      <c r="L779" s="3"/>
      <c r="M779" s="5"/>
      <c r="N779" s="5"/>
    </row>
    <row r="780">
      <c r="A780" s="2"/>
      <c r="B780" s="3"/>
      <c r="C780" s="3"/>
      <c r="D780" s="3"/>
      <c r="E780" s="4"/>
      <c r="F780" s="3"/>
      <c r="G780" s="5"/>
      <c r="H780" s="3"/>
      <c r="I780" s="5"/>
      <c r="J780" s="3"/>
      <c r="K780" s="5"/>
      <c r="L780" s="3"/>
      <c r="M780" s="5"/>
      <c r="N780" s="5"/>
    </row>
    <row r="781">
      <c r="A781" s="2"/>
      <c r="B781" s="3"/>
      <c r="C781" s="3"/>
      <c r="D781" s="3"/>
      <c r="E781" s="4"/>
      <c r="F781" s="3"/>
      <c r="G781" s="5"/>
      <c r="H781" s="3"/>
      <c r="I781" s="5"/>
      <c r="J781" s="3"/>
      <c r="K781" s="5"/>
      <c r="L781" s="3"/>
      <c r="M781" s="5"/>
      <c r="N781" s="5"/>
    </row>
    <row r="782">
      <c r="A782" s="2"/>
      <c r="B782" s="3"/>
      <c r="C782" s="3"/>
      <c r="D782" s="3"/>
      <c r="E782" s="4"/>
      <c r="F782" s="3"/>
      <c r="G782" s="5"/>
      <c r="H782" s="3"/>
      <c r="I782" s="5"/>
      <c r="J782" s="3"/>
      <c r="K782" s="5"/>
      <c r="L782" s="3"/>
      <c r="M782" s="5"/>
      <c r="N782" s="5"/>
    </row>
    <row r="783">
      <c r="A783" s="2"/>
      <c r="B783" s="3"/>
      <c r="C783" s="3"/>
      <c r="D783" s="3"/>
      <c r="E783" s="4"/>
      <c r="F783" s="3"/>
      <c r="G783" s="5"/>
      <c r="H783" s="3"/>
      <c r="I783" s="5"/>
      <c r="J783" s="3"/>
      <c r="K783" s="5"/>
      <c r="L783" s="3"/>
      <c r="M783" s="5"/>
      <c r="N783" s="5"/>
    </row>
    <row r="784">
      <c r="A784" s="2"/>
      <c r="B784" s="3"/>
      <c r="C784" s="3"/>
      <c r="D784" s="3"/>
      <c r="E784" s="4"/>
      <c r="F784" s="3"/>
      <c r="G784" s="5"/>
      <c r="H784" s="3"/>
      <c r="I784" s="5"/>
      <c r="J784" s="3"/>
      <c r="K784" s="5"/>
      <c r="L784" s="3"/>
      <c r="M784" s="5"/>
      <c r="N784" s="5"/>
    </row>
    <row r="785">
      <c r="A785" s="2"/>
      <c r="B785" s="3"/>
      <c r="C785" s="3"/>
      <c r="D785" s="3"/>
      <c r="E785" s="4"/>
      <c r="F785" s="3"/>
      <c r="G785" s="5"/>
      <c r="H785" s="3"/>
      <c r="I785" s="5"/>
      <c r="J785" s="3"/>
      <c r="K785" s="5"/>
      <c r="L785" s="3"/>
      <c r="M785" s="5"/>
      <c r="N785" s="5"/>
    </row>
    <row r="786">
      <c r="A786" s="2"/>
      <c r="B786" s="3"/>
      <c r="C786" s="3"/>
      <c r="D786" s="3"/>
      <c r="E786" s="4"/>
      <c r="F786" s="3"/>
      <c r="G786" s="5"/>
      <c r="H786" s="3"/>
      <c r="I786" s="5"/>
      <c r="J786" s="3"/>
      <c r="K786" s="5"/>
      <c r="L786" s="3"/>
      <c r="M786" s="5"/>
      <c r="N786" s="5"/>
    </row>
    <row r="787">
      <c r="A787" s="2"/>
      <c r="B787" s="3"/>
      <c r="C787" s="3"/>
      <c r="D787" s="3"/>
      <c r="E787" s="4"/>
      <c r="F787" s="3"/>
      <c r="G787" s="5"/>
      <c r="H787" s="3"/>
      <c r="I787" s="5"/>
      <c r="J787" s="3"/>
      <c r="K787" s="5"/>
      <c r="L787" s="3"/>
      <c r="M787" s="5"/>
      <c r="N787" s="5"/>
    </row>
    <row r="788">
      <c r="A788" s="2"/>
      <c r="B788" s="3"/>
      <c r="C788" s="3"/>
      <c r="D788" s="3"/>
      <c r="E788" s="4"/>
      <c r="F788" s="3"/>
      <c r="G788" s="5"/>
      <c r="H788" s="3"/>
      <c r="I788" s="5"/>
      <c r="J788" s="3"/>
      <c r="K788" s="5"/>
      <c r="L788" s="3"/>
      <c r="M788" s="5"/>
      <c r="N788" s="5"/>
    </row>
    <row r="789">
      <c r="A789" s="2"/>
      <c r="B789" s="3"/>
      <c r="C789" s="3"/>
      <c r="D789" s="3"/>
      <c r="E789" s="4"/>
      <c r="F789" s="3"/>
      <c r="G789" s="5"/>
      <c r="H789" s="3"/>
      <c r="I789" s="5"/>
      <c r="J789" s="3"/>
      <c r="K789" s="5"/>
      <c r="L789" s="3"/>
      <c r="M789" s="5"/>
      <c r="N789" s="5"/>
    </row>
    <row r="790">
      <c r="A790" s="2"/>
      <c r="B790" s="3"/>
      <c r="C790" s="3"/>
      <c r="D790" s="3"/>
      <c r="E790" s="4"/>
      <c r="F790" s="3"/>
      <c r="G790" s="5"/>
      <c r="H790" s="3"/>
      <c r="I790" s="5"/>
      <c r="J790" s="3"/>
      <c r="K790" s="5"/>
      <c r="L790" s="3"/>
      <c r="M790" s="5"/>
      <c r="N790" s="5"/>
    </row>
    <row r="791">
      <c r="A791" s="2"/>
      <c r="B791" s="3"/>
      <c r="C791" s="3"/>
      <c r="D791" s="3"/>
      <c r="E791" s="4"/>
      <c r="F791" s="3"/>
      <c r="G791" s="5"/>
      <c r="H791" s="3"/>
      <c r="I791" s="5"/>
      <c r="J791" s="3"/>
      <c r="K791" s="5"/>
      <c r="L791" s="3"/>
      <c r="M791" s="5"/>
      <c r="N791" s="5"/>
    </row>
    <row r="792">
      <c r="A792" s="2"/>
      <c r="B792" s="3"/>
      <c r="C792" s="3"/>
      <c r="D792" s="3"/>
      <c r="E792" s="4"/>
      <c r="F792" s="3"/>
      <c r="G792" s="5"/>
      <c r="H792" s="3"/>
      <c r="I792" s="5"/>
      <c r="J792" s="3"/>
      <c r="K792" s="5"/>
      <c r="L792" s="3"/>
      <c r="M792" s="5"/>
      <c r="N792" s="5"/>
    </row>
    <row r="793">
      <c r="A793" s="2"/>
      <c r="B793" s="3"/>
      <c r="C793" s="3"/>
      <c r="D793" s="3"/>
      <c r="E793" s="4"/>
      <c r="F793" s="3"/>
      <c r="G793" s="5"/>
      <c r="H793" s="3"/>
      <c r="I793" s="5"/>
      <c r="J793" s="3"/>
      <c r="K793" s="5"/>
      <c r="L793" s="3"/>
      <c r="M793" s="5"/>
      <c r="N793" s="5"/>
    </row>
    <row r="794">
      <c r="A794" s="2"/>
      <c r="B794" s="3"/>
      <c r="C794" s="3"/>
      <c r="D794" s="3"/>
      <c r="E794" s="4"/>
      <c r="F794" s="3"/>
      <c r="G794" s="5"/>
      <c r="H794" s="3"/>
      <c r="I794" s="5"/>
      <c r="J794" s="3"/>
      <c r="K794" s="5"/>
      <c r="L794" s="3"/>
      <c r="M794" s="5"/>
      <c r="N794" s="5"/>
    </row>
    <row r="795">
      <c r="A795" s="2"/>
      <c r="B795" s="3"/>
      <c r="C795" s="3"/>
      <c r="D795" s="3"/>
      <c r="E795" s="4"/>
      <c r="F795" s="3"/>
      <c r="G795" s="5"/>
      <c r="H795" s="3"/>
      <c r="I795" s="5"/>
      <c r="J795" s="3"/>
      <c r="K795" s="5"/>
      <c r="L795" s="3"/>
      <c r="M795" s="5"/>
      <c r="N795" s="5"/>
    </row>
    <row r="796">
      <c r="A796" s="2"/>
      <c r="B796" s="3"/>
      <c r="C796" s="3"/>
      <c r="D796" s="3"/>
      <c r="E796" s="4"/>
      <c r="F796" s="3"/>
      <c r="G796" s="5"/>
      <c r="H796" s="3"/>
      <c r="I796" s="5"/>
      <c r="J796" s="3"/>
      <c r="K796" s="5"/>
      <c r="L796" s="3"/>
      <c r="M796" s="5"/>
      <c r="N796" s="5"/>
    </row>
    <row r="797">
      <c r="A797" s="2"/>
      <c r="B797" s="3"/>
      <c r="C797" s="3"/>
      <c r="D797" s="3"/>
      <c r="E797" s="4"/>
      <c r="F797" s="3"/>
      <c r="G797" s="5"/>
      <c r="H797" s="3"/>
      <c r="I797" s="5"/>
      <c r="J797" s="3"/>
      <c r="K797" s="5"/>
      <c r="L797" s="3"/>
      <c r="M797" s="5"/>
      <c r="N797" s="5"/>
    </row>
    <row r="798">
      <c r="A798" s="2"/>
      <c r="B798" s="3"/>
      <c r="C798" s="3"/>
      <c r="D798" s="3"/>
      <c r="E798" s="4"/>
      <c r="F798" s="3"/>
      <c r="G798" s="5"/>
      <c r="H798" s="3"/>
      <c r="I798" s="5"/>
      <c r="J798" s="3"/>
      <c r="K798" s="5"/>
      <c r="L798" s="3"/>
      <c r="M798" s="5"/>
      <c r="N798" s="5"/>
    </row>
    <row r="799">
      <c r="A799" s="2"/>
      <c r="B799" s="3"/>
      <c r="C799" s="3"/>
      <c r="D799" s="3"/>
      <c r="E799" s="4"/>
      <c r="F799" s="3"/>
      <c r="G799" s="5"/>
      <c r="H799" s="3"/>
      <c r="I799" s="5"/>
      <c r="J799" s="3"/>
      <c r="K799" s="5"/>
      <c r="L799" s="3"/>
      <c r="M799" s="5"/>
      <c r="N799" s="5"/>
    </row>
    <row r="800">
      <c r="A800" s="2"/>
      <c r="B800" s="3"/>
      <c r="C800" s="3"/>
      <c r="D800" s="3"/>
      <c r="E800" s="4"/>
      <c r="F800" s="3"/>
      <c r="G800" s="5"/>
      <c r="H800" s="3"/>
      <c r="I800" s="5"/>
      <c r="J800" s="3"/>
      <c r="K800" s="5"/>
      <c r="L800" s="3"/>
      <c r="M800" s="5"/>
      <c r="N800" s="5"/>
    </row>
    <row r="801">
      <c r="A801" s="2"/>
      <c r="B801" s="3"/>
      <c r="C801" s="3"/>
      <c r="D801" s="3"/>
      <c r="E801" s="4"/>
      <c r="F801" s="3"/>
      <c r="G801" s="5"/>
      <c r="H801" s="3"/>
      <c r="I801" s="5"/>
      <c r="J801" s="3"/>
      <c r="K801" s="5"/>
      <c r="L801" s="3"/>
      <c r="M801" s="5"/>
      <c r="N801" s="5"/>
    </row>
    <row r="802">
      <c r="A802" s="2"/>
      <c r="B802" s="3"/>
      <c r="C802" s="3"/>
      <c r="D802" s="3"/>
      <c r="E802" s="4"/>
      <c r="F802" s="3"/>
      <c r="G802" s="5"/>
      <c r="H802" s="3"/>
      <c r="I802" s="5"/>
      <c r="J802" s="3"/>
      <c r="K802" s="5"/>
      <c r="L802" s="3"/>
      <c r="M802" s="5"/>
      <c r="N802" s="5"/>
    </row>
    <row r="803">
      <c r="A803" s="2"/>
      <c r="B803" s="3"/>
      <c r="C803" s="3"/>
      <c r="D803" s="3"/>
      <c r="E803" s="4"/>
      <c r="F803" s="3"/>
      <c r="G803" s="5"/>
      <c r="H803" s="3"/>
      <c r="I803" s="5"/>
      <c r="J803" s="3"/>
      <c r="K803" s="5"/>
      <c r="L803" s="3"/>
      <c r="M803" s="5"/>
      <c r="N803" s="5"/>
    </row>
    <row r="804">
      <c r="A804" s="2"/>
      <c r="B804" s="3"/>
      <c r="C804" s="3"/>
      <c r="D804" s="3"/>
      <c r="E804" s="4"/>
      <c r="F804" s="3"/>
      <c r="G804" s="5"/>
      <c r="H804" s="3"/>
      <c r="I804" s="5"/>
      <c r="J804" s="3"/>
      <c r="K804" s="5"/>
      <c r="L804" s="3"/>
      <c r="M804" s="5"/>
      <c r="N804" s="5"/>
    </row>
    <row r="805">
      <c r="A805" s="2"/>
      <c r="B805" s="3"/>
      <c r="C805" s="3"/>
      <c r="D805" s="3"/>
      <c r="E805" s="4"/>
      <c r="F805" s="3"/>
      <c r="G805" s="5"/>
      <c r="H805" s="3"/>
      <c r="I805" s="5"/>
      <c r="J805" s="3"/>
      <c r="K805" s="5"/>
      <c r="L805" s="3"/>
      <c r="M805" s="5"/>
      <c r="N805" s="5"/>
    </row>
    <row r="806">
      <c r="A806" s="2"/>
      <c r="B806" s="3"/>
      <c r="C806" s="3"/>
      <c r="D806" s="3"/>
      <c r="E806" s="4"/>
      <c r="F806" s="3"/>
      <c r="G806" s="5"/>
      <c r="H806" s="3"/>
      <c r="I806" s="5"/>
      <c r="J806" s="3"/>
      <c r="K806" s="5"/>
      <c r="L806" s="3"/>
      <c r="M806" s="5"/>
      <c r="N806" s="5"/>
    </row>
    <row r="807">
      <c r="A807" s="2"/>
      <c r="B807" s="3"/>
      <c r="C807" s="3"/>
      <c r="D807" s="3"/>
      <c r="E807" s="4"/>
      <c r="F807" s="3"/>
      <c r="G807" s="5"/>
      <c r="H807" s="3"/>
      <c r="I807" s="5"/>
      <c r="J807" s="3"/>
      <c r="K807" s="5"/>
      <c r="L807" s="3"/>
      <c r="M807" s="5"/>
      <c r="N807" s="5"/>
    </row>
    <row r="808">
      <c r="A808" s="2"/>
      <c r="B808" s="3"/>
      <c r="C808" s="3"/>
      <c r="D808" s="3"/>
      <c r="E808" s="4"/>
      <c r="F808" s="3"/>
      <c r="G808" s="5"/>
      <c r="H808" s="3"/>
      <c r="I808" s="5"/>
      <c r="J808" s="3"/>
      <c r="K808" s="5"/>
      <c r="L808" s="3"/>
      <c r="M808" s="5"/>
      <c r="N808" s="5"/>
    </row>
    <row r="809">
      <c r="A809" s="2"/>
      <c r="B809" s="3"/>
      <c r="C809" s="3"/>
      <c r="D809" s="3"/>
      <c r="E809" s="4"/>
      <c r="F809" s="3"/>
      <c r="G809" s="5"/>
      <c r="H809" s="3"/>
      <c r="I809" s="5"/>
      <c r="J809" s="3"/>
      <c r="K809" s="5"/>
      <c r="L809" s="3"/>
      <c r="M809" s="5"/>
      <c r="N809" s="5"/>
    </row>
    <row r="810">
      <c r="A810" s="2"/>
      <c r="B810" s="3"/>
      <c r="C810" s="3"/>
      <c r="D810" s="3"/>
      <c r="E810" s="4"/>
      <c r="F810" s="3"/>
      <c r="G810" s="5"/>
      <c r="H810" s="3"/>
      <c r="I810" s="5"/>
      <c r="J810" s="3"/>
      <c r="K810" s="5"/>
      <c r="L810" s="3"/>
      <c r="M810" s="5"/>
      <c r="N810" s="5"/>
    </row>
    <row r="811">
      <c r="A811" s="2"/>
      <c r="B811" s="3"/>
      <c r="C811" s="3"/>
      <c r="D811" s="3"/>
      <c r="E811" s="4"/>
      <c r="F811" s="3"/>
      <c r="G811" s="5"/>
      <c r="H811" s="3"/>
      <c r="I811" s="5"/>
      <c r="J811" s="3"/>
      <c r="K811" s="5"/>
      <c r="L811" s="3"/>
      <c r="M811" s="5"/>
      <c r="N811" s="5"/>
    </row>
    <row r="812">
      <c r="A812" s="2"/>
      <c r="B812" s="3"/>
      <c r="C812" s="3"/>
      <c r="D812" s="3"/>
      <c r="E812" s="4"/>
      <c r="F812" s="3"/>
      <c r="G812" s="5"/>
      <c r="H812" s="3"/>
      <c r="I812" s="5"/>
      <c r="J812" s="3"/>
      <c r="K812" s="5"/>
      <c r="L812" s="3"/>
      <c r="M812" s="5"/>
      <c r="N812" s="5"/>
    </row>
    <row r="813">
      <c r="A813" s="2"/>
      <c r="B813" s="3"/>
      <c r="C813" s="3"/>
      <c r="D813" s="3"/>
      <c r="E813" s="4"/>
      <c r="F813" s="3"/>
      <c r="G813" s="5"/>
      <c r="H813" s="3"/>
      <c r="I813" s="5"/>
      <c r="J813" s="3"/>
      <c r="K813" s="5"/>
      <c r="L813" s="3"/>
      <c r="M813" s="5"/>
      <c r="N813" s="5"/>
    </row>
    <row r="814">
      <c r="A814" s="2"/>
      <c r="B814" s="3"/>
      <c r="C814" s="3"/>
      <c r="D814" s="3"/>
      <c r="E814" s="4"/>
      <c r="F814" s="3"/>
      <c r="G814" s="5"/>
      <c r="H814" s="3"/>
      <c r="I814" s="5"/>
      <c r="J814" s="3"/>
      <c r="K814" s="5"/>
      <c r="L814" s="3"/>
      <c r="M814" s="5"/>
      <c r="N814" s="5"/>
    </row>
    <row r="815">
      <c r="A815" s="2"/>
      <c r="B815" s="3"/>
      <c r="C815" s="3"/>
      <c r="D815" s="3"/>
      <c r="E815" s="4"/>
      <c r="F815" s="3"/>
      <c r="G815" s="5"/>
      <c r="H815" s="3"/>
      <c r="I815" s="5"/>
      <c r="J815" s="3"/>
      <c r="K815" s="5"/>
      <c r="L815" s="3"/>
      <c r="M815" s="5"/>
      <c r="N815" s="5"/>
    </row>
    <row r="816">
      <c r="A816" s="2"/>
      <c r="B816" s="3"/>
      <c r="C816" s="3"/>
      <c r="D816" s="3"/>
      <c r="E816" s="4"/>
      <c r="F816" s="3"/>
      <c r="G816" s="5"/>
      <c r="H816" s="3"/>
      <c r="I816" s="5"/>
      <c r="J816" s="3"/>
      <c r="K816" s="5"/>
      <c r="L816" s="3"/>
      <c r="M816" s="5"/>
      <c r="N816" s="5"/>
    </row>
    <row r="817">
      <c r="A817" s="2"/>
      <c r="B817" s="3"/>
      <c r="C817" s="3"/>
      <c r="D817" s="3"/>
      <c r="E817" s="4"/>
      <c r="F817" s="3"/>
      <c r="G817" s="5"/>
      <c r="H817" s="3"/>
      <c r="I817" s="5"/>
      <c r="J817" s="3"/>
      <c r="K817" s="5"/>
      <c r="L817" s="3"/>
      <c r="M817" s="5"/>
      <c r="N817" s="5"/>
    </row>
    <row r="818">
      <c r="A818" s="2"/>
      <c r="B818" s="3"/>
      <c r="C818" s="3"/>
      <c r="D818" s="3"/>
      <c r="E818" s="4"/>
      <c r="F818" s="3"/>
      <c r="G818" s="5"/>
      <c r="H818" s="3"/>
      <c r="I818" s="5"/>
      <c r="J818" s="3"/>
      <c r="K818" s="5"/>
      <c r="L818" s="3"/>
      <c r="M818" s="5"/>
      <c r="N818" s="5"/>
    </row>
    <row r="819">
      <c r="A819" s="2"/>
      <c r="B819" s="3"/>
      <c r="C819" s="3"/>
      <c r="D819" s="3"/>
      <c r="E819" s="4"/>
      <c r="F819" s="3"/>
      <c r="G819" s="5"/>
      <c r="H819" s="3"/>
      <c r="I819" s="5"/>
      <c r="J819" s="3"/>
      <c r="K819" s="5"/>
      <c r="L819" s="3"/>
      <c r="M819" s="5"/>
      <c r="N819" s="5"/>
    </row>
    <row r="820">
      <c r="A820" s="2"/>
      <c r="B820" s="3"/>
      <c r="C820" s="3"/>
      <c r="D820" s="3"/>
      <c r="E820" s="4"/>
      <c r="F820" s="3"/>
      <c r="G820" s="5"/>
      <c r="H820" s="3"/>
      <c r="I820" s="5"/>
      <c r="J820" s="3"/>
      <c r="K820" s="5"/>
      <c r="L820" s="3"/>
      <c r="M820" s="5"/>
      <c r="N820" s="5"/>
    </row>
    <row r="821">
      <c r="A821" s="2"/>
      <c r="B821" s="3"/>
      <c r="C821" s="3"/>
      <c r="D821" s="3"/>
      <c r="E821" s="4"/>
      <c r="F821" s="3"/>
      <c r="G821" s="5"/>
      <c r="H821" s="3"/>
      <c r="I821" s="5"/>
      <c r="J821" s="3"/>
      <c r="K821" s="5"/>
      <c r="L821" s="3"/>
      <c r="M821" s="5"/>
      <c r="N821" s="5"/>
    </row>
    <row r="822">
      <c r="A822" s="2"/>
      <c r="B822" s="3"/>
      <c r="C822" s="3"/>
      <c r="D822" s="3"/>
      <c r="E822" s="4"/>
      <c r="F822" s="3"/>
      <c r="G822" s="5"/>
      <c r="H822" s="3"/>
      <c r="I822" s="5"/>
      <c r="J822" s="3"/>
      <c r="K822" s="5"/>
      <c r="L822" s="3"/>
      <c r="M822" s="5"/>
      <c r="N822" s="5"/>
    </row>
    <row r="823">
      <c r="A823" s="2"/>
      <c r="B823" s="3"/>
      <c r="C823" s="3"/>
      <c r="D823" s="3"/>
      <c r="E823" s="4"/>
      <c r="F823" s="3"/>
      <c r="G823" s="5"/>
      <c r="H823" s="3"/>
      <c r="I823" s="5"/>
      <c r="J823" s="3"/>
      <c r="K823" s="5"/>
      <c r="L823" s="3"/>
      <c r="M823" s="5"/>
      <c r="N823" s="5"/>
    </row>
    <row r="824">
      <c r="A824" s="2"/>
      <c r="B824" s="3"/>
      <c r="C824" s="3"/>
      <c r="D824" s="3"/>
      <c r="E824" s="4"/>
      <c r="F824" s="3"/>
      <c r="G824" s="5"/>
      <c r="H824" s="3"/>
      <c r="I824" s="5"/>
      <c r="J824" s="3"/>
      <c r="K824" s="5"/>
      <c r="L824" s="3"/>
      <c r="M824" s="5"/>
      <c r="N824" s="5"/>
    </row>
    <row r="825">
      <c r="A825" s="2"/>
      <c r="B825" s="3"/>
      <c r="C825" s="3"/>
      <c r="D825" s="3"/>
      <c r="E825" s="4"/>
      <c r="F825" s="3"/>
      <c r="G825" s="5"/>
      <c r="H825" s="3"/>
      <c r="I825" s="5"/>
      <c r="J825" s="3"/>
      <c r="K825" s="5"/>
      <c r="L825" s="3"/>
      <c r="M825" s="5"/>
      <c r="N825" s="5"/>
    </row>
    <row r="826">
      <c r="A826" s="2"/>
      <c r="B826" s="3"/>
      <c r="C826" s="3"/>
      <c r="D826" s="3"/>
      <c r="E826" s="4"/>
      <c r="F826" s="3"/>
      <c r="G826" s="5"/>
      <c r="H826" s="3"/>
      <c r="I826" s="5"/>
      <c r="J826" s="3"/>
      <c r="K826" s="5"/>
      <c r="L826" s="3"/>
      <c r="M826" s="5"/>
      <c r="N826" s="5"/>
    </row>
    <row r="827">
      <c r="A827" s="2"/>
      <c r="B827" s="3"/>
      <c r="C827" s="3"/>
      <c r="D827" s="3"/>
      <c r="E827" s="4"/>
      <c r="F827" s="3"/>
      <c r="G827" s="5"/>
      <c r="H827" s="3"/>
      <c r="I827" s="5"/>
      <c r="J827" s="3"/>
      <c r="K827" s="5"/>
      <c r="L827" s="3"/>
      <c r="M827" s="5"/>
      <c r="N827" s="5"/>
    </row>
    <row r="828">
      <c r="A828" s="2"/>
      <c r="B828" s="3"/>
      <c r="C828" s="3"/>
      <c r="D828" s="3"/>
      <c r="E828" s="4"/>
      <c r="F828" s="3"/>
      <c r="G828" s="5"/>
      <c r="H828" s="3"/>
      <c r="I828" s="5"/>
      <c r="J828" s="3"/>
      <c r="K828" s="5"/>
      <c r="L828" s="3"/>
      <c r="M828" s="5"/>
      <c r="N828" s="5"/>
    </row>
    <row r="829">
      <c r="A829" s="2"/>
      <c r="B829" s="3"/>
      <c r="C829" s="3"/>
      <c r="D829" s="3"/>
      <c r="E829" s="4"/>
      <c r="F829" s="3"/>
      <c r="G829" s="5"/>
      <c r="H829" s="3"/>
      <c r="I829" s="5"/>
      <c r="J829" s="3"/>
      <c r="K829" s="5"/>
      <c r="L829" s="3"/>
      <c r="M829" s="5"/>
      <c r="N829" s="5"/>
    </row>
    <row r="830">
      <c r="A830" s="2"/>
      <c r="B830" s="3"/>
      <c r="C830" s="3"/>
      <c r="D830" s="3"/>
      <c r="E830" s="4"/>
      <c r="F830" s="3"/>
      <c r="G830" s="5"/>
      <c r="H830" s="3"/>
      <c r="I830" s="5"/>
      <c r="J830" s="3"/>
      <c r="K830" s="5"/>
      <c r="L830" s="3"/>
      <c r="M830" s="5"/>
      <c r="N830" s="5"/>
    </row>
    <row r="831">
      <c r="A831" s="2"/>
      <c r="B831" s="3"/>
      <c r="C831" s="3"/>
      <c r="D831" s="3"/>
      <c r="E831" s="4"/>
      <c r="F831" s="3"/>
      <c r="G831" s="5"/>
      <c r="H831" s="3"/>
      <c r="I831" s="5"/>
      <c r="J831" s="3"/>
      <c r="K831" s="5"/>
      <c r="L831" s="3"/>
      <c r="M831" s="5"/>
      <c r="N831" s="5"/>
    </row>
    <row r="832">
      <c r="A832" s="2"/>
      <c r="B832" s="3"/>
      <c r="C832" s="3"/>
      <c r="D832" s="3"/>
      <c r="E832" s="4"/>
      <c r="F832" s="3"/>
      <c r="G832" s="5"/>
      <c r="H832" s="3"/>
      <c r="I832" s="5"/>
      <c r="J832" s="3"/>
      <c r="K832" s="5"/>
      <c r="L832" s="3"/>
      <c r="M832" s="5"/>
      <c r="N832" s="5"/>
    </row>
    <row r="833">
      <c r="A833" s="2"/>
      <c r="B833" s="3"/>
      <c r="C833" s="3"/>
      <c r="D833" s="3"/>
      <c r="E833" s="4"/>
      <c r="F833" s="3"/>
      <c r="G833" s="5"/>
      <c r="H833" s="3"/>
      <c r="I833" s="5"/>
      <c r="J833" s="3"/>
      <c r="K833" s="5"/>
      <c r="L833" s="3"/>
      <c r="M833" s="5"/>
      <c r="N833" s="5"/>
    </row>
    <row r="834">
      <c r="A834" s="2"/>
      <c r="B834" s="3"/>
      <c r="C834" s="3"/>
      <c r="D834" s="3"/>
      <c r="E834" s="4"/>
      <c r="F834" s="3"/>
      <c r="G834" s="5"/>
      <c r="H834" s="3"/>
      <c r="I834" s="5"/>
      <c r="J834" s="3"/>
      <c r="K834" s="5"/>
      <c r="L834" s="3"/>
      <c r="M834" s="5"/>
      <c r="N834" s="5"/>
    </row>
    <row r="835">
      <c r="A835" s="2"/>
      <c r="B835" s="3"/>
      <c r="C835" s="3"/>
      <c r="D835" s="3"/>
      <c r="E835" s="4"/>
      <c r="F835" s="3"/>
      <c r="G835" s="5"/>
      <c r="H835" s="3"/>
      <c r="I835" s="5"/>
      <c r="J835" s="3"/>
      <c r="K835" s="5"/>
      <c r="L835" s="3"/>
      <c r="M835" s="5"/>
      <c r="N835" s="5"/>
    </row>
    <row r="836">
      <c r="A836" s="2"/>
      <c r="B836" s="3"/>
      <c r="C836" s="3"/>
      <c r="D836" s="3"/>
      <c r="E836" s="4"/>
      <c r="F836" s="3"/>
      <c r="G836" s="5"/>
      <c r="H836" s="3"/>
      <c r="I836" s="5"/>
      <c r="J836" s="3"/>
      <c r="K836" s="5"/>
      <c r="L836" s="3"/>
      <c r="M836" s="5"/>
      <c r="N836" s="5"/>
    </row>
    <row r="837">
      <c r="A837" s="2"/>
      <c r="B837" s="3"/>
      <c r="C837" s="3"/>
      <c r="D837" s="3"/>
      <c r="E837" s="4"/>
      <c r="F837" s="3"/>
      <c r="G837" s="5"/>
      <c r="H837" s="3"/>
      <c r="I837" s="5"/>
      <c r="J837" s="3"/>
      <c r="K837" s="5"/>
      <c r="L837" s="3"/>
      <c r="M837" s="5"/>
      <c r="N837" s="5"/>
    </row>
    <row r="838">
      <c r="A838" s="2"/>
      <c r="B838" s="3"/>
      <c r="C838" s="3"/>
      <c r="D838" s="3"/>
      <c r="E838" s="4"/>
      <c r="F838" s="3"/>
      <c r="G838" s="5"/>
      <c r="H838" s="3"/>
      <c r="I838" s="5"/>
      <c r="J838" s="3"/>
      <c r="K838" s="5"/>
      <c r="L838" s="3"/>
      <c r="M838" s="5"/>
      <c r="N838" s="5"/>
    </row>
    <row r="839">
      <c r="A839" s="2"/>
      <c r="B839" s="3"/>
      <c r="C839" s="3"/>
      <c r="D839" s="3"/>
      <c r="E839" s="4"/>
      <c r="F839" s="3"/>
      <c r="G839" s="5"/>
      <c r="H839" s="3"/>
      <c r="I839" s="5"/>
      <c r="J839" s="3"/>
      <c r="K839" s="5"/>
      <c r="L839" s="3"/>
      <c r="M839" s="5"/>
      <c r="N839" s="5"/>
    </row>
    <row r="840">
      <c r="A840" s="2"/>
      <c r="B840" s="3"/>
      <c r="C840" s="3"/>
      <c r="D840" s="3"/>
      <c r="E840" s="4"/>
      <c r="F840" s="3"/>
      <c r="G840" s="5"/>
      <c r="H840" s="3"/>
      <c r="I840" s="5"/>
      <c r="J840" s="3"/>
      <c r="K840" s="5"/>
      <c r="L840" s="3"/>
      <c r="M840" s="5"/>
      <c r="N840" s="5"/>
    </row>
    <row r="841">
      <c r="A841" s="2"/>
      <c r="B841" s="3"/>
      <c r="C841" s="3"/>
      <c r="D841" s="3"/>
      <c r="E841" s="4"/>
      <c r="F841" s="3"/>
      <c r="G841" s="5"/>
      <c r="H841" s="3"/>
      <c r="I841" s="5"/>
      <c r="J841" s="3"/>
      <c r="K841" s="5"/>
      <c r="L841" s="3"/>
      <c r="M841" s="5"/>
      <c r="N841" s="5"/>
    </row>
    <row r="842">
      <c r="A842" s="2"/>
      <c r="B842" s="3"/>
      <c r="C842" s="3"/>
      <c r="D842" s="3"/>
      <c r="E842" s="4"/>
      <c r="F842" s="3"/>
      <c r="G842" s="5"/>
      <c r="H842" s="3"/>
      <c r="I842" s="5"/>
      <c r="J842" s="3"/>
      <c r="K842" s="5"/>
      <c r="L842" s="3"/>
      <c r="M842" s="5"/>
      <c r="N842" s="5"/>
    </row>
    <row r="843">
      <c r="A843" s="2"/>
      <c r="B843" s="3"/>
      <c r="C843" s="3"/>
      <c r="D843" s="3"/>
      <c r="E843" s="4"/>
      <c r="F843" s="3"/>
      <c r="G843" s="5"/>
      <c r="H843" s="3"/>
      <c r="I843" s="5"/>
      <c r="J843" s="3"/>
      <c r="K843" s="5"/>
      <c r="L843" s="3"/>
      <c r="M843" s="5"/>
      <c r="N843" s="5"/>
    </row>
    <row r="844">
      <c r="A844" s="2"/>
      <c r="B844" s="3"/>
      <c r="C844" s="3"/>
      <c r="D844" s="3"/>
      <c r="E844" s="4"/>
      <c r="F844" s="3"/>
      <c r="G844" s="5"/>
      <c r="H844" s="3"/>
      <c r="I844" s="5"/>
      <c r="J844" s="3"/>
      <c r="K844" s="5"/>
      <c r="L844" s="3"/>
      <c r="M844" s="5"/>
      <c r="N844" s="5"/>
    </row>
    <row r="845">
      <c r="A845" s="2"/>
      <c r="B845" s="3"/>
      <c r="C845" s="3"/>
      <c r="D845" s="3"/>
      <c r="E845" s="4"/>
      <c r="F845" s="3"/>
      <c r="G845" s="5"/>
      <c r="H845" s="3"/>
      <c r="I845" s="5"/>
      <c r="J845" s="3"/>
      <c r="K845" s="5"/>
      <c r="L845" s="3"/>
      <c r="M845" s="5"/>
      <c r="N845" s="5"/>
    </row>
    <row r="846">
      <c r="A846" s="2"/>
      <c r="B846" s="3"/>
      <c r="C846" s="3"/>
      <c r="D846" s="3"/>
      <c r="E846" s="4"/>
      <c r="F846" s="3"/>
      <c r="G846" s="5"/>
      <c r="H846" s="3"/>
      <c r="I846" s="5"/>
      <c r="J846" s="3"/>
      <c r="K846" s="5"/>
      <c r="L846" s="3"/>
      <c r="M846" s="5"/>
      <c r="N846" s="5"/>
    </row>
    <row r="847">
      <c r="A847" s="2"/>
      <c r="B847" s="3"/>
      <c r="C847" s="3"/>
      <c r="D847" s="3"/>
      <c r="E847" s="4"/>
      <c r="F847" s="3"/>
      <c r="G847" s="5"/>
      <c r="H847" s="3"/>
      <c r="I847" s="5"/>
      <c r="J847" s="3"/>
      <c r="K847" s="5"/>
      <c r="L847" s="3"/>
      <c r="M847" s="5"/>
      <c r="N847" s="5"/>
    </row>
    <row r="848">
      <c r="A848" s="2"/>
      <c r="B848" s="3"/>
      <c r="C848" s="3"/>
      <c r="D848" s="3"/>
      <c r="E848" s="4"/>
      <c r="F848" s="3"/>
      <c r="G848" s="5"/>
      <c r="H848" s="3"/>
      <c r="I848" s="5"/>
      <c r="J848" s="3"/>
      <c r="K848" s="5"/>
      <c r="L848" s="3"/>
      <c r="M848" s="5"/>
      <c r="N848" s="5"/>
    </row>
    <row r="849">
      <c r="A849" s="2"/>
      <c r="B849" s="3"/>
      <c r="C849" s="3"/>
      <c r="D849" s="3"/>
      <c r="E849" s="4"/>
      <c r="F849" s="3"/>
      <c r="G849" s="5"/>
      <c r="H849" s="3"/>
      <c r="I849" s="5"/>
      <c r="J849" s="3"/>
      <c r="K849" s="5"/>
      <c r="L849" s="3"/>
      <c r="M849" s="5"/>
      <c r="N849" s="5"/>
    </row>
    <row r="850">
      <c r="A850" s="2"/>
      <c r="B850" s="3"/>
      <c r="C850" s="3"/>
      <c r="D850" s="3"/>
      <c r="E850" s="4"/>
      <c r="F850" s="3"/>
      <c r="G850" s="5"/>
      <c r="H850" s="3"/>
      <c r="I850" s="5"/>
      <c r="J850" s="3"/>
      <c r="K850" s="5"/>
      <c r="L850" s="3"/>
      <c r="M850" s="5"/>
      <c r="N850" s="5"/>
    </row>
    <row r="851">
      <c r="A851" s="2"/>
      <c r="B851" s="3"/>
      <c r="C851" s="3"/>
      <c r="D851" s="3"/>
      <c r="E851" s="4"/>
      <c r="F851" s="3"/>
      <c r="G851" s="5"/>
      <c r="H851" s="3"/>
      <c r="I851" s="5"/>
      <c r="J851" s="3"/>
      <c r="K851" s="5"/>
      <c r="L851" s="3"/>
      <c r="M851" s="5"/>
      <c r="N851" s="5"/>
    </row>
    <row r="852">
      <c r="A852" s="2"/>
      <c r="B852" s="3"/>
      <c r="C852" s="3"/>
      <c r="D852" s="3"/>
      <c r="E852" s="4"/>
      <c r="F852" s="3"/>
      <c r="G852" s="5"/>
      <c r="H852" s="3"/>
      <c r="I852" s="5"/>
      <c r="J852" s="3"/>
      <c r="K852" s="5"/>
      <c r="L852" s="3"/>
      <c r="M852" s="5"/>
      <c r="N852" s="5"/>
    </row>
    <row r="853">
      <c r="A853" s="2"/>
      <c r="B853" s="3"/>
      <c r="C853" s="3"/>
      <c r="D853" s="3"/>
      <c r="E853" s="4"/>
      <c r="F853" s="3"/>
      <c r="G853" s="5"/>
      <c r="H853" s="3"/>
      <c r="I853" s="5"/>
      <c r="J853" s="3"/>
      <c r="K853" s="5"/>
      <c r="L853" s="3"/>
      <c r="M853" s="5"/>
      <c r="N853" s="5"/>
    </row>
    <row r="854">
      <c r="A854" s="2"/>
      <c r="B854" s="3"/>
      <c r="C854" s="3"/>
      <c r="D854" s="3"/>
      <c r="E854" s="4"/>
      <c r="F854" s="3"/>
      <c r="G854" s="5"/>
      <c r="H854" s="3"/>
      <c r="I854" s="5"/>
      <c r="J854" s="3"/>
      <c r="K854" s="5"/>
      <c r="L854" s="3"/>
      <c r="M854" s="5"/>
      <c r="N854" s="5"/>
    </row>
    <row r="855">
      <c r="A855" s="2"/>
      <c r="B855" s="3"/>
      <c r="C855" s="3"/>
      <c r="D855" s="3"/>
      <c r="E855" s="4"/>
      <c r="F855" s="3"/>
      <c r="G855" s="5"/>
      <c r="H855" s="3"/>
      <c r="I855" s="5"/>
      <c r="J855" s="3"/>
      <c r="K855" s="5"/>
      <c r="L855" s="3"/>
      <c r="M855" s="5"/>
      <c r="N855" s="5"/>
    </row>
    <row r="856">
      <c r="A856" s="2"/>
      <c r="B856" s="3"/>
      <c r="C856" s="3"/>
      <c r="D856" s="3"/>
      <c r="E856" s="4"/>
      <c r="F856" s="3"/>
      <c r="G856" s="5"/>
      <c r="H856" s="3"/>
      <c r="I856" s="5"/>
      <c r="J856" s="3"/>
      <c r="K856" s="5"/>
      <c r="L856" s="3"/>
      <c r="M856" s="5"/>
      <c r="N856" s="5"/>
    </row>
    <row r="857">
      <c r="A857" s="2"/>
      <c r="B857" s="3"/>
      <c r="C857" s="3"/>
      <c r="D857" s="3"/>
      <c r="E857" s="4"/>
      <c r="F857" s="3"/>
      <c r="G857" s="5"/>
      <c r="H857" s="3"/>
      <c r="I857" s="5"/>
      <c r="J857" s="3"/>
      <c r="K857" s="5"/>
      <c r="L857" s="3"/>
      <c r="M857" s="5"/>
      <c r="N857" s="5"/>
    </row>
    <row r="858">
      <c r="A858" s="2"/>
      <c r="B858" s="3"/>
      <c r="C858" s="3"/>
      <c r="D858" s="3"/>
      <c r="E858" s="4"/>
      <c r="F858" s="3"/>
      <c r="G858" s="5"/>
      <c r="H858" s="3"/>
      <c r="I858" s="5"/>
      <c r="J858" s="3"/>
      <c r="K858" s="5"/>
      <c r="L858" s="3"/>
      <c r="M858" s="5"/>
      <c r="N858" s="5"/>
    </row>
    <row r="859">
      <c r="A859" s="2"/>
      <c r="B859" s="3"/>
      <c r="C859" s="3"/>
      <c r="D859" s="3"/>
      <c r="E859" s="4"/>
      <c r="F859" s="3"/>
      <c r="G859" s="5"/>
      <c r="H859" s="3"/>
      <c r="I859" s="5"/>
      <c r="J859" s="3"/>
      <c r="K859" s="5"/>
      <c r="L859" s="3"/>
      <c r="M859" s="5"/>
      <c r="N859" s="5"/>
    </row>
    <row r="860">
      <c r="A860" s="2"/>
      <c r="B860" s="3"/>
      <c r="C860" s="3"/>
      <c r="D860" s="3"/>
      <c r="E860" s="4"/>
      <c r="F860" s="3"/>
      <c r="G860" s="5"/>
      <c r="H860" s="3"/>
      <c r="I860" s="5"/>
      <c r="J860" s="3"/>
      <c r="K860" s="5"/>
      <c r="L860" s="3"/>
      <c r="M860" s="5"/>
      <c r="N860" s="5"/>
    </row>
    <row r="861">
      <c r="A861" s="2"/>
      <c r="B861" s="3"/>
      <c r="C861" s="3"/>
      <c r="D861" s="3"/>
      <c r="E861" s="4"/>
      <c r="F861" s="3"/>
      <c r="G861" s="5"/>
      <c r="H861" s="3"/>
      <c r="I861" s="5"/>
      <c r="J861" s="3"/>
      <c r="K861" s="5"/>
      <c r="L861" s="3"/>
      <c r="M861" s="5"/>
      <c r="N861" s="5"/>
    </row>
    <row r="862">
      <c r="A862" s="2"/>
      <c r="B862" s="3"/>
      <c r="C862" s="3"/>
      <c r="D862" s="3"/>
      <c r="E862" s="4"/>
      <c r="F862" s="3"/>
      <c r="G862" s="5"/>
      <c r="H862" s="3"/>
      <c r="I862" s="5"/>
      <c r="J862" s="3"/>
      <c r="K862" s="5"/>
      <c r="L862" s="3"/>
      <c r="M862" s="5"/>
      <c r="N862" s="5"/>
    </row>
    <row r="863">
      <c r="A863" s="2"/>
      <c r="B863" s="3"/>
      <c r="C863" s="3"/>
      <c r="D863" s="3"/>
      <c r="E863" s="4"/>
      <c r="F863" s="3"/>
      <c r="G863" s="5"/>
      <c r="H863" s="3"/>
      <c r="I863" s="5"/>
      <c r="J863" s="3"/>
      <c r="K863" s="5"/>
      <c r="L863" s="3"/>
      <c r="M863" s="5"/>
      <c r="N863" s="5"/>
    </row>
    <row r="864">
      <c r="A864" s="2"/>
      <c r="B864" s="3"/>
      <c r="C864" s="3"/>
      <c r="D864" s="3"/>
      <c r="E864" s="4"/>
      <c r="F864" s="3"/>
      <c r="G864" s="5"/>
      <c r="H864" s="3"/>
      <c r="I864" s="5"/>
      <c r="J864" s="3"/>
      <c r="K864" s="5"/>
      <c r="L864" s="3"/>
      <c r="M864" s="5"/>
      <c r="N864" s="5"/>
    </row>
    <row r="865">
      <c r="A865" s="2"/>
      <c r="B865" s="3"/>
      <c r="C865" s="3"/>
      <c r="D865" s="3"/>
      <c r="E865" s="4"/>
      <c r="F865" s="3"/>
      <c r="G865" s="5"/>
      <c r="H865" s="3"/>
      <c r="I865" s="5"/>
      <c r="J865" s="3"/>
      <c r="K865" s="5"/>
      <c r="L865" s="3"/>
      <c r="M865" s="5"/>
      <c r="N865" s="5"/>
    </row>
    <row r="866">
      <c r="A866" s="2"/>
      <c r="B866" s="3"/>
      <c r="C866" s="3"/>
      <c r="D866" s="3"/>
      <c r="E866" s="4"/>
      <c r="F866" s="3"/>
      <c r="G866" s="5"/>
      <c r="H866" s="3"/>
      <c r="I866" s="5"/>
      <c r="J866" s="3"/>
      <c r="K866" s="5"/>
      <c r="L866" s="3"/>
      <c r="M866" s="5"/>
      <c r="N866" s="5"/>
    </row>
    <row r="867">
      <c r="A867" s="2"/>
      <c r="B867" s="3"/>
      <c r="C867" s="3"/>
      <c r="D867" s="3"/>
      <c r="E867" s="4"/>
      <c r="F867" s="3"/>
      <c r="G867" s="5"/>
      <c r="H867" s="3"/>
      <c r="I867" s="5"/>
      <c r="J867" s="3"/>
      <c r="K867" s="5"/>
      <c r="L867" s="3"/>
      <c r="M867" s="5"/>
      <c r="N867" s="5"/>
    </row>
    <row r="868">
      <c r="A868" s="2"/>
      <c r="B868" s="3"/>
      <c r="C868" s="3"/>
      <c r="D868" s="3"/>
      <c r="E868" s="4"/>
      <c r="F868" s="3"/>
      <c r="G868" s="5"/>
      <c r="H868" s="3"/>
      <c r="I868" s="5"/>
      <c r="J868" s="3"/>
      <c r="K868" s="5"/>
      <c r="L868" s="3"/>
      <c r="M868" s="5"/>
      <c r="N868" s="5"/>
    </row>
    <row r="869">
      <c r="A869" s="2"/>
      <c r="B869" s="3"/>
      <c r="C869" s="3"/>
      <c r="D869" s="3"/>
      <c r="E869" s="4"/>
      <c r="F869" s="3"/>
      <c r="G869" s="5"/>
      <c r="H869" s="3"/>
      <c r="I869" s="5"/>
      <c r="J869" s="3"/>
      <c r="K869" s="5"/>
      <c r="L869" s="3"/>
      <c r="M869" s="5"/>
      <c r="N869" s="5"/>
    </row>
    <row r="870">
      <c r="A870" s="2"/>
      <c r="B870" s="3"/>
      <c r="C870" s="3"/>
      <c r="D870" s="3"/>
      <c r="E870" s="4"/>
      <c r="F870" s="3"/>
      <c r="G870" s="5"/>
      <c r="H870" s="3"/>
      <c r="I870" s="5"/>
      <c r="J870" s="3"/>
      <c r="K870" s="5"/>
      <c r="L870" s="3"/>
      <c r="M870" s="5"/>
      <c r="N870" s="5"/>
    </row>
    <row r="871">
      <c r="A871" s="2"/>
      <c r="B871" s="3"/>
      <c r="C871" s="3"/>
      <c r="D871" s="3"/>
      <c r="E871" s="4"/>
      <c r="F871" s="3"/>
      <c r="G871" s="5"/>
      <c r="H871" s="3"/>
      <c r="I871" s="5"/>
      <c r="J871" s="3"/>
      <c r="K871" s="5"/>
      <c r="L871" s="3"/>
      <c r="M871" s="5"/>
      <c r="N871" s="5"/>
    </row>
    <row r="872">
      <c r="A872" s="2"/>
      <c r="B872" s="3"/>
      <c r="C872" s="3"/>
      <c r="D872" s="3"/>
      <c r="E872" s="4"/>
      <c r="F872" s="3"/>
      <c r="G872" s="5"/>
      <c r="H872" s="3"/>
      <c r="I872" s="5"/>
      <c r="J872" s="3"/>
      <c r="K872" s="5"/>
      <c r="L872" s="3"/>
      <c r="M872" s="5"/>
      <c r="N872" s="5"/>
    </row>
    <row r="873">
      <c r="A873" s="2"/>
      <c r="B873" s="3"/>
      <c r="C873" s="3"/>
      <c r="D873" s="3"/>
      <c r="E873" s="4"/>
      <c r="F873" s="3"/>
      <c r="G873" s="5"/>
      <c r="H873" s="3"/>
      <c r="I873" s="5"/>
      <c r="J873" s="3"/>
      <c r="K873" s="5"/>
      <c r="L873" s="3"/>
      <c r="M873" s="5"/>
      <c r="N873" s="5"/>
    </row>
    <row r="874">
      <c r="A874" s="2"/>
      <c r="B874" s="3"/>
      <c r="C874" s="3"/>
      <c r="D874" s="3"/>
      <c r="E874" s="4"/>
      <c r="F874" s="3"/>
      <c r="G874" s="5"/>
      <c r="H874" s="3"/>
      <c r="I874" s="5"/>
      <c r="J874" s="3"/>
      <c r="K874" s="5"/>
      <c r="L874" s="3"/>
      <c r="M874" s="5"/>
      <c r="N874" s="5"/>
    </row>
    <row r="875">
      <c r="A875" s="2"/>
      <c r="B875" s="3"/>
      <c r="C875" s="3"/>
      <c r="D875" s="3"/>
      <c r="E875" s="4"/>
      <c r="F875" s="3"/>
      <c r="G875" s="5"/>
      <c r="H875" s="3"/>
      <c r="I875" s="5"/>
      <c r="J875" s="3"/>
      <c r="K875" s="5"/>
      <c r="L875" s="3"/>
      <c r="M875" s="5"/>
      <c r="N875" s="5"/>
    </row>
    <row r="876">
      <c r="A876" s="2"/>
      <c r="B876" s="3"/>
      <c r="C876" s="3"/>
      <c r="D876" s="3"/>
      <c r="E876" s="4"/>
      <c r="F876" s="3"/>
      <c r="G876" s="5"/>
      <c r="H876" s="3"/>
      <c r="I876" s="5"/>
      <c r="J876" s="3"/>
      <c r="K876" s="5"/>
      <c r="L876" s="3"/>
      <c r="M876" s="5"/>
      <c r="N876" s="5"/>
    </row>
    <row r="877">
      <c r="A877" s="2"/>
      <c r="B877" s="3"/>
      <c r="C877" s="3"/>
      <c r="D877" s="3"/>
      <c r="E877" s="4"/>
      <c r="F877" s="3"/>
      <c r="G877" s="5"/>
      <c r="H877" s="3"/>
      <c r="I877" s="5"/>
      <c r="J877" s="3"/>
      <c r="K877" s="5"/>
      <c r="L877" s="3"/>
      <c r="M877" s="5"/>
      <c r="N877" s="5"/>
    </row>
    <row r="878">
      <c r="A878" s="2"/>
      <c r="B878" s="3"/>
      <c r="C878" s="3"/>
      <c r="D878" s="3"/>
      <c r="E878" s="4"/>
      <c r="F878" s="3"/>
      <c r="G878" s="5"/>
      <c r="H878" s="3"/>
      <c r="I878" s="5"/>
      <c r="J878" s="3"/>
      <c r="K878" s="5"/>
      <c r="L878" s="3"/>
      <c r="M878" s="5"/>
      <c r="N878" s="5"/>
    </row>
    <row r="879">
      <c r="A879" s="2"/>
      <c r="B879" s="3"/>
      <c r="C879" s="3"/>
      <c r="D879" s="3"/>
      <c r="E879" s="4"/>
      <c r="F879" s="3"/>
      <c r="G879" s="5"/>
      <c r="H879" s="3"/>
      <c r="I879" s="5"/>
      <c r="J879" s="3"/>
      <c r="K879" s="5"/>
      <c r="L879" s="3"/>
      <c r="M879" s="5"/>
      <c r="N879" s="5"/>
    </row>
    <row r="880">
      <c r="A880" s="2"/>
      <c r="B880" s="3"/>
      <c r="C880" s="3"/>
      <c r="D880" s="3"/>
      <c r="E880" s="4"/>
      <c r="F880" s="3"/>
      <c r="G880" s="5"/>
      <c r="H880" s="3"/>
      <c r="I880" s="5"/>
      <c r="J880" s="3"/>
      <c r="K880" s="5"/>
      <c r="L880" s="3"/>
      <c r="M880" s="5"/>
      <c r="N880" s="5"/>
    </row>
    <row r="881">
      <c r="A881" s="2"/>
      <c r="B881" s="3"/>
      <c r="C881" s="3"/>
      <c r="D881" s="3"/>
      <c r="E881" s="4"/>
      <c r="F881" s="3"/>
      <c r="G881" s="5"/>
      <c r="H881" s="3"/>
      <c r="I881" s="5"/>
      <c r="J881" s="3"/>
      <c r="K881" s="5"/>
      <c r="L881" s="3"/>
      <c r="M881" s="5"/>
      <c r="N881" s="5"/>
    </row>
    <row r="882">
      <c r="A882" s="2"/>
      <c r="B882" s="3"/>
      <c r="C882" s="3"/>
      <c r="D882" s="3"/>
      <c r="E882" s="4"/>
      <c r="F882" s="3"/>
      <c r="G882" s="5"/>
      <c r="H882" s="3"/>
      <c r="I882" s="5"/>
      <c r="J882" s="3"/>
      <c r="K882" s="5"/>
      <c r="L882" s="3"/>
      <c r="M882" s="5"/>
      <c r="N882" s="5"/>
    </row>
    <row r="883">
      <c r="A883" s="2"/>
      <c r="B883" s="3"/>
      <c r="C883" s="3"/>
      <c r="D883" s="3"/>
      <c r="E883" s="4"/>
      <c r="F883" s="3"/>
      <c r="G883" s="5"/>
      <c r="H883" s="3"/>
      <c r="I883" s="5"/>
      <c r="J883" s="3"/>
      <c r="K883" s="5"/>
      <c r="L883" s="3"/>
      <c r="M883" s="5"/>
      <c r="N883" s="5"/>
    </row>
    <row r="884">
      <c r="A884" s="2"/>
      <c r="B884" s="3"/>
      <c r="C884" s="3"/>
      <c r="D884" s="3"/>
      <c r="E884" s="4"/>
      <c r="F884" s="3"/>
      <c r="G884" s="5"/>
      <c r="H884" s="3"/>
      <c r="I884" s="5"/>
      <c r="J884" s="3"/>
      <c r="K884" s="5"/>
      <c r="L884" s="3"/>
      <c r="M884" s="5"/>
      <c r="N884" s="5"/>
    </row>
    <row r="885">
      <c r="A885" s="2"/>
      <c r="B885" s="3"/>
      <c r="C885" s="3"/>
      <c r="D885" s="3"/>
      <c r="E885" s="4"/>
      <c r="F885" s="3"/>
      <c r="G885" s="5"/>
      <c r="H885" s="3"/>
      <c r="I885" s="5"/>
      <c r="J885" s="3"/>
      <c r="K885" s="5"/>
      <c r="L885" s="3"/>
      <c r="M885" s="5"/>
      <c r="N885" s="5"/>
    </row>
    <row r="886">
      <c r="A886" s="2"/>
      <c r="B886" s="3"/>
      <c r="C886" s="3"/>
      <c r="D886" s="3"/>
      <c r="E886" s="4"/>
      <c r="F886" s="3"/>
      <c r="G886" s="5"/>
      <c r="H886" s="3"/>
      <c r="I886" s="5"/>
      <c r="J886" s="3"/>
      <c r="K886" s="5"/>
      <c r="L886" s="3"/>
      <c r="M886" s="5"/>
      <c r="N886" s="5"/>
    </row>
    <row r="887">
      <c r="A887" s="2"/>
      <c r="B887" s="3"/>
      <c r="C887" s="3"/>
      <c r="D887" s="3"/>
      <c r="E887" s="4"/>
      <c r="F887" s="3"/>
      <c r="G887" s="5"/>
      <c r="H887" s="3"/>
      <c r="I887" s="5"/>
      <c r="J887" s="3"/>
      <c r="K887" s="5"/>
      <c r="L887" s="3"/>
      <c r="M887" s="5"/>
      <c r="N887" s="5"/>
    </row>
    <row r="888">
      <c r="A888" s="2"/>
      <c r="B888" s="3"/>
      <c r="C888" s="3"/>
      <c r="D888" s="3"/>
      <c r="E888" s="4"/>
      <c r="F888" s="3"/>
      <c r="G888" s="5"/>
      <c r="H888" s="3"/>
      <c r="I888" s="5"/>
      <c r="J888" s="3"/>
      <c r="K888" s="5"/>
      <c r="L888" s="3"/>
      <c r="M888" s="5"/>
      <c r="N888" s="5"/>
    </row>
    <row r="889">
      <c r="A889" s="2"/>
      <c r="B889" s="3"/>
      <c r="C889" s="3"/>
      <c r="D889" s="3"/>
      <c r="E889" s="4"/>
      <c r="F889" s="3"/>
      <c r="G889" s="5"/>
      <c r="H889" s="3"/>
      <c r="I889" s="5"/>
      <c r="J889" s="3"/>
      <c r="K889" s="5"/>
      <c r="L889" s="3"/>
      <c r="M889" s="5"/>
      <c r="N889" s="5"/>
    </row>
    <row r="890">
      <c r="A890" s="2"/>
      <c r="B890" s="3"/>
      <c r="C890" s="3"/>
      <c r="D890" s="3"/>
      <c r="E890" s="4"/>
      <c r="F890" s="3"/>
      <c r="G890" s="5"/>
      <c r="H890" s="3"/>
      <c r="I890" s="5"/>
      <c r="J890" s="3"/>
      <c r="K890" s="5"/>
      <c r="L890" s="3"/>
      <c r="M890" s="5"/>
      <c r="N890" s="5"/>
    </row>
    <row r="891">
      <c r="A891" s="2"/>
      <c r="B891" s="3"/>
      <c r="C891" s="3"/>
      <c r="D891" s="3"/>
      <c r="E891" s="4"/>
      <c r="F891" s="3"/>
      <c r="G891" s="5"/>
      <c r="H891" s="3"/>
      <c r="I891" s="5"/>
      <c r="J891" s="3"/>
      <c r="K891" s="5"/>
      <c r="L891" s="3"/>
      <c r="M891" s="5"/>
      <c r="N891" s="5"/>
    </row>
    <row r="892">
      <c r="A892" s="2"/>
      <c r="B892" s="3"/>
      <c r="C892" s="3"/>
      <c r="D892" s="3"/>
      <c r="E892" s="4"/>
      <c r="F892" s="3"/>
      <c r="G892" s="5"/>
      <c r="H892" s="3"/>
      <c r="I892" s="5"/>
      <c r="J892" s="3"/>
      <c r="K892" s="5"/>
      <c r="L892" s="3"/>
      <c r="M892" s="5"/>
      <c r="N892" s="5"/>
    </row>
    <row r="893">
      <c r="A893" s="2"/>
      <c r="B893" s="3"/>
      <c r="C893" s="3"/>
      <c r="D893" s="3"/>
      <c r="E893" s="4"/>
      <c r="F893" s="3"/>
      <c r="G893" s="5"/>
      <c r="H893" s="3"/>
      <c r="I893" s="5"/>
      <c r="J893" s="3"/>
      <c r="K893" s="5"/>
      <c r="L893" s="3"/>
      <c r="M893" s="5"/>
      <c r="N893" s="5"/>
    </row>
    <row r="894">
      <c r="A894" s="2"/>
      <c r="B894" s="3"/>
      <c r="C894" s="3"/>
      <c r="D894" s="3"/>
      <c r="E894" s="4"/>
      <c r="F894" s="3"/>
      <c r="G894" s="5"/>
      <c r="H894" s="3"/>
      <c r="I894" s="5"/>
      <c r="J894" s="3"/>
      <c r="K894" s="5"/>
      <c r="L894" s="3"/>
      <c r="M894" s="5"/>
      <c r="N894" s="5"/>
    </row>
    <row r="895">
      <c r="A895" s="2"/>
      <c r="B895" s="3"/>
      <c r="C895" s="3"/>
      <c r="D895" s="3"/>
      <c r="E895" s="4"/>
      <c r="F895" s="3"/>
      <c r="G895" s="5"/>
      <c r="H895" s="3"/>
      <c r="I895" s="5"/>
      <c r="J895" s="3"/>
      <c r="K895" s="5"/>
      <c r="L895" s="3"/>
      <c r="M895" s="5"/>
      <c r="N895" s="5"/>
    </row>
    <row r="896">
      <c r="A896" s="2"/>
      <c r="B896" s="3"/>
      <c r="C896" s="3"/>
      <c r="D896" s="3"/>
      <c r="E896" s="4"/>
      <c r="F896" s="3"/>
      <c r="G896" s="5"/>
      <c r="H896" s="3"/>
      <c r="I896" s="5"/>
      <c r="J896" s="3"/>
      <c r="K896" s="5"/>
      <c r="L896" s="3"/>
      <c r="M896" s="5"/>
      <c r="N896" s="5"/>
    </row>
    <row r="897">
      <c r="A897" s="2"/>
      <c r="B897" s="3"/>
      <c r="C897" s="3"/>
      <c r="D897" s="3"/>
      <c r="E897" s="4"/>
      <c r="F897" s="3"/>
      <c r="G897" s="5"/>
      <c r="H897" s="3"/>
      <c r="I897" s="5"/>
      <c r="J897" s="3"/>
      <c r="K897" s="5"/>
      <c r="L897" s="3"/>
      <c r="M897" s="5"/>
      <c r="N897" s="5"/>
    </row>
    <row r="898">
      <c r="A898" s="2"/>
      <c r="B898" s="3"/>
      <c r="C898" s="3"/>
      <c r="D898" s="3"/>
      <c r="E898" s="4"/>
      <c r="F898" s="3"/>
      <c r="G898" s="5"/>
      <c r="H898" s="3"/>
      <c r="I898" s="5"/>
      <c r="J898" s="3"/>
      <c r="K898" s="5"/>
      <c r="L898" s="3"/>
      <c r="M898" s="5"/>
      <c r="N898" s="5"/>
    </row>
    <row r="899">
      <c r="A899" s="2"/>
      <c r="B899" s="3"/>
      <c r="C899" s="3"/>
      <c r="D899" s="3"/>
      <c r="E899" s="4"/>
      <c r="F899" s="3"/>
      <c r="G899" s="5"/>
      <c r="H899" s="3"/>
      <c r="I899" s="5"/>
      <c r="J899" s="3"/>
      <c r="K899" s="5"/>
      <c r="L899" s="3"/>
      <c r="M899" s="5"/>
      <c r="N899" s="5"/>
    </row>
    <row r="900">
      <c r="A900" s="2"/>
      <c r="B900" s="3"/>
      <c r="C900" s="3"/>
      <c r="D900" s="3"/>
      <c r="E900" s="4"/>
      <c r="F900" s="3"/>
      <c r="G900" s="5"/>
      <c r="H900" s="3"/>
      <c r="I900" s="5"/>
      <c r="J900" s="3"/>
      <c r="K900" s="5"/>
      <c r="L900" s="3"/>
      <c r="M900" s="5"/>
      <c r="N900" s="5"/>
    </row>
    <row r="901">
      <c r="A901" s="2"/>
      <c r="B901" s="3"/>
      <c r="C901" s="3"/>
      <c r="D901" s="3"/>
      <c r="E901" s="4"/>
      <c r="F901" s="3"/>
      <c r="G901" s="5"/>
      <c r="H901" s="3"/>
      <c r="I901" s="5"/>
      <c r="J901" s="3"/>
      <c r="K901" s="5"/>
      <c r="L901" s="3"/>
      <c r="M901" s="5"/>
      <c r="N901" s="5"/>
    </row>
    <row r="902">
      <c r="A902" s="2"/>
      <c r="B902" s="3"/>
      <c r="C902" s="3"/>
      <c r="D902" s="3"/>
      <c r="E902" s="4"/>
      <c r="F902" s="3"/>
      <c r="G902" s="5"/>
      <c r="H902" s="3"/>
      <c r="I902" s="5"/>
      <c r="J902" s="3"/>
      <c r="K902" s="5"/>
      <c r="L902" s="3"/>
      <c r="M902" s="5"/>
      <c r="N902" s="5"/>
    </row>
    <row r="903">
      <c r="A903" s="2"/>
      <c r="B903" s="3"/>
      <c r="C903" s="3"/>
      <c r="D903" s="3"/>
      <c r="E903" s="4"/>
      <c r="F903" s="3"/>
      <c r="G903" s="5"/>
      <c r="H903" s="3"/>
      <c r="I903" s="5"/>
      <c r="J903" s="3"/>
      <c r="K903" s="5"/>
      <c r="L903" s="3"/>
      <c r="M903" s="5"/>
      <c r="N903" s="5"/>
    </row>
    <row r="904">
      <c r="A904" s="2"/>
      <c r="B904" s="3"/>
      <c r="C904" s="3"/>
      <c r="D904" s="3"/>
      <c r="E904" s="4"/>
      <c r="F904" s="3"/>
      <c r="G904" s="5"/>
      <c r="H904" s="3"/>
      <c r="I904" s="5"/>
      <c r="J904" s="3"/>
      <c r="K904" s="5"/>
      <c r="L904" s="3"/>
      <c r="M904" s="5"/>
      <c r="N904" s="5"/>
    </row>
    <row r="905">
      <c r="A905" s="2"/>
      <c r="B905" s="3"/>
      <c r="C905" s="3"/>
      <c r="D905" s="3"/>
      <c r="E905" s="4"/>
      <c r="F905" s="3"/>
      <c r="G905" s="5"/>
      <c r="H905" s="3"/>
      <c r="I905" s="5"/>
      <c r="J905" s="3"/>
      <c r="K905" s="5"/>
      <c r="L905" s="3"/>
      <c r="M905" s="5"/>
      <c r="N905" s="5"/>
    </row>
    <row r="906">
      <c r="A906" s="2"/>
      <c r="B906" s="3"/>
      <c r="C906" s="3"/>
      <c r="D906" s="3"/>
      <c r="E906" s="4"/>
      <c r="F906" s="3"/>
      <c r="G906" s="5"/>
      <c r="H906" s="3"/>
      <c r="I906" s="5"/>
      <c r="J906" s="3"/>
      <c r="K906" s="5"/>
      <c r="L906" s="3"/>
      <c r="M906" s="5"/>
      <c r="N906" s="5"/>
    </row>
    <row r="907">
      <c r="A907" s="2"/>
      <c r="B907" s="3"/>
      <c r="C907" s="3"/>
      <c r="D907" s="3"/>
      <c r="E907" s="4"/>
      <c r="F907" s="3"/>
      <c r="G907" s="5"/>
      <c r="H907" s="3"/>
      <c r="I907" s="5"/>
      <c r="J907" s="3"/>
      <c r="K907" s="5"/>
      <c r="L907" s="3"/>
      <c r="M907" s="5"/>
      <c r="N907" s="5"/>
    </row>
    <row r="908">
      <c r="A908" s="2"/>
      <c r="B908" s="3"/>
      <c r="C908" s="3"/>
      <c r="D908" s="3"/>
      <c r="E908" s="4"/>
      <c r="F908" s="3"/>
      <c r="G908" s="5"/>
      <c r="H908" s="3"/>
      <c r="I908" s="5"/>
      <c r="J908" s="3"/>
      <c r="K908" s="5"/>
      <c r="L908" s="3"/>
      <c r="M908" s="5"/>
      <c r="N908" s="5"/>
    </row>
    <row r="909">
      <c r="A909" s="2"/>
      <c r="B909" s="3"/>
      <c r="C909" s="3"/>
      <c r="D909" s="3"/>
      <c r="E909" s="4"/>
      <c r="F909" s="3"/>
      <c r="G909" s="5"/>
      <c r="H909" s="3"/>
      <c r="I909" s="5"/>
      <c r="J909" s="3"/>
      <c r="K909" s="5"/>
      <c r="L909" s="3"/>
      <c r="M909" s="5"/>
      <c r="N909" s="5"/>
    </row>
    <row r="910">
      <c r="A910" s="2"/>
      <c r="B910" s="3"/>
      <c r="C910" s="3"/>
      <c r="D910" s="3"/>
      <c r="E910" s="4"/>
      <c r="F910" s="3"/>
      <c r="G910" s="5"/>
      <c r="H910" s="3"/>
      <c r="I910" s="5"/>
      <c r="J910" s="3"/>
      <c r="K910" s="5"/>
      <c r="L910" s="3"/>
      <c r="M910" s="5"/>
      <c r="N910" s="5"/>
    </row>
    <row r="911">
      <c r="A911" s="2"/>
      <c r="B911" s="3"/>
      <c r="C911" s="3"/>
      <c r="D911" s="3"/>
      <c r="E911" s="4"/>
      <c r="F911" s="3"/>
      <c r="G911" s="5"/>
      <c r="H911" s="3"/>
      <c r="I911" s="5"/>
      <c r="J911" s="3"/>
      <c r="K911" s="5"/>
      <c r="L911" s="3"/>
      <c r="M911" s="5"/>
      <c r="N911" s="5"/>
    </row>
    <row r="912">
      <c r="A912" s="2"/>
      <c r="B912" s="3"/>
      <c r="C912" s="3"/>
      <c r="D912" s="3"/>
      <c r="E912" s="4"/>
      <c r="F912" s="3"/>
      <c r="G912" s="5"/>
      <c r="H912" s="3"/>
      <c r="I912" s="5"/>
      <c r="J912" s="3"/>
      <c r="K912" s="5"/>
      <c r="L912" s="3"/>
      <c r="M912" s="5"/>
      <c r="N912" s="5"/>
    </row>
    <row r="913">
      <c r="A913" s="2"/>
      <c r="B913" s="3"/>
      <c r="C913" s="3"/>
      <c r="D913" s="3"/>
      <c r="E913" s="4"/>
      <c r="F913" s="3"/>
      <c r="G913" s="5"/>
      <c r="H913" s="3"/>
      <c r="I913" s="5"/>
      <c r="J913" s="3"/>
      <c r="K913" s="5"/>
      <c r="L913" s="3"/>
      <c r="M913" s="5"/>
      <c r="N913" s="5"/>
    </row>
    <row r="914">
      <c r="A914" s="2"/>
      <c r="B914" s="3"/>
      <c r="C914" s="3"/>
      <c r="D914" s="3"/>
      <c r="E914" s="4"/>
      <c r="F914" s="3"/>
      <c r="G914" s="5"/>
      <c r="H914" s="3"/>
      <c r="I914" s="5"/>
      <c r="J914" s="3"/>
      <c r="K914" s="5"/>
      <c r="L914" s="3"/>
      <c r="M914" s="5"/>
      <c r="N914" s="5"/>
    </row>
    <row r="915">
      <c r="A915" s="2"/>
      <c r="B915" s="3"/>
      <c r="C915" s="3"/>
      <c r="D915" s="3"/>
      <c r="E915" s="4"/>
      <c r="F915" s="3"/>
      <c r="G915" s="5"/>
      <c r="H915" s="3"/>
      <c r="I915" s="5"/>
      <c r="J915" s="3"/>
      <c r="K915" s="5"/>
      <c r="L915" s="3"/>
      <c r="M915" s="5"/>
      <c r="N915" s="5"/>
    </row>
    <row r="916">
      <c r="A916" s="2"/>
      <c r="B916" s="3"/>
      <c r="C916" s="3"/>
      <c r="D916" s="3"/>
      <c r="E916" s="4"/>
      <c r="F916" s="3"/>
      <c r="G916" s="5"/>
      <c r="H916" s="3"/>
      <c r="I916" s="5"/>
      <c r="J916" s="3"/>
      <c r="K916" s="5"/>
      <c r="L916" s="3"/>
      <c r="M916" s="5"/>
      <c r="N916" s="5"/>
    </row>
    <row r="917">
      <c r="A917" s="2"/>
      <c r="B917" s="3"/>
      <c r="C917" s="3"/>
      <c r="D917" s="3"/>
      <c r="E917" s="4"/>
      <c r="F917" s="3"/>
      <c r="G917" s="5"/>
      <c r="H917" s="3"/>
      <c r="I917" s="5"/>
      <c r="J917" s="3"/>
      <c r="K917" s="5"/>
      <c r="L917" s="3"/>
      <c r="M917" s="5"/>
      <c r="N917" s="5"/>
    </row>
    <row r="918">
      <c r="A918" s="2"/>
      <c r="B918" s="3"/>
      <c r="C918" s="3"/>
      <c r="D918" s="3"/>
      <c r="E918" s="4"/>
      <c r="F918" s="3"/>
      <c r="G918" s="5"/>
      <c r="H918" s="3"/>
      <c r="I918" s="5"/>
      <c r="J918" s="3"/>
      <c r="K918" s="5"/>
      <c r="L918" s="3"/>
      <c r="M918" s="5"/>
      <c r="N918" s="5"/>
    </row>
    <row r="919">
      <c r="A919" s="2"/>
      <c r="B919" s="3"/>
      <c r="C919" s="3"/>
      <c r="D919" s="3"/>
      <c r="E919" s="4"/>
      <c r="F919" s="3"/>
      <c r="G919" s="5"/>
      <c r="H919" s="3"/>
      <c r="I919" s="5"/>
      <c r="J919" s="3"/>
      <c r="K919" s="5"/>
      <c r="L919" s="3"/>
      <c r="M919" s="5"/>
      <c r="N919" s="5"/>
    </row>
    <row r="920">
      <c r="A920" s="2"/>
      <c r="B920" s="3"/>
      <c r="C920" s="3"/>
      <c r="D920" s="3"/>
      <c r="E920" s="4"/>
      <c r="F920" s="3"/>
      <c r="G920" s="5"/>
      <c r="H920" s="3"/>
      <c r="I920" s="5"/>
      <c r="J920" s="3"/>
      <c r="K920" s="5"/>
      <c r="L920" s="3"/>
      <c r="M920" s="5"/>
      <c r="N920" s="5"/>
    </row>
    <row r="921">
      <c r="A921" s="2"/>
      <c r="B921" s="3"/>
      <c r="C921" s="3"/>
      <c r="D921" s="3"/>
      <c r="E921" s="4"/>
      <c r="F921" s="3"/>
      <c r="G921" s="5"/>
      <c r="H921" s="3"/>
      <c r="I921" s="5"/>
      <c r="J921" s="3"/>
      <c r="K921" s="5"/>
      <c r="L921" s="3"/>
      <c r="M921" s="5"/>
      <c r="N921" s="5"/>
    </row>
    <row r="922">
      <c r="A922" s="2"/>
      <c r="B922" s="3"/>
      <c r="C922" s="3"/>
      <c r="D922" s="3"/>
      <c r="E922" s="4"/>
      <c r="F922" s="3"/>
      <c r="G922" s="5"/>
      <c r="H922" s="3"/>
      <c r="I922" s="5"/>
      <c r="J922" s="3"/>
      <c r="K922" s="5"/>
      <c r="L922" s="3"/>
      <c r="M922" s="5"/>
      <c r="N922" s="5"/>
    </row>
    <row r="923">
      <c r="A923" s="2"/>
      <c r="B923" s="3"/>
      <c r="C923" s="3"/>
      <c r="D923" s="3"/>
      <c r="E923" s="4"/>
      <c r="F923" s="3"/>
      <c r="G923" s="5"/>
      <c r="H923" s="3"/>
      <c r="I923" s="5"/>
      <c r="J923" s="3"/>
      <c r="K923" s="5"/>
      <c r="L923" s="3"/>
      <c r="M923" s="5"/>
      <c r="N923" s="5"/>
    </row>
    <row r="924">
      <c r="A924" s="2"/>
      <c r="B924" s="3"/>
      <c r="C924" s="3"/>
      <c r="D924" s="3"/>
      <c r="E924" s="4"/>
      <c r="F924" s="3"/>
      <c r="G924" s="5"/>
      <c r="H924" s="3"/>
      <c r="I924" s="5"/>
      <c r="J924" s="3"/>
      <c r="K924" s="5"/>
      <c r="L924" s="3"/>
      <c r="M924" s="5"/>
      <c r="N924" s="5"/>
    </row>
    <row r="925">
      <c r="A925" s="2"/>
      <c r="B925" s="3"/>
      <c r="C925" s="3"/>
      <c r="D925" s="3"/>
      <c r="E925" s="4"/>
      <c r="F925" s="3"/>
      <c r="G925" s="5"/>
      <c r="H925" s="3"/>
      <c r="I925" s="5"/>
      <c r="J925" s="3"/>
      <c r="K925" s="5"/>
      <c r="L925" s="3"/>
      <c r="M925" s="5"/>
      <c r="N925" s="5"/>
    </row>
    <row r="926">
      <c r="A926" s="2"/>
      <c r="B926" s="3"/>
      <c r="C926" s="3"/>
      <c r="D926" s="3"/>
      <c r="E926" s="4"/>
      <c r="F926" s="3"/>
      <c r="G926" s="5"/>
      <c r="H926" s="3"/>
      <c r="I926" s="5"/>
      <c r="J926" s="3"/>
      <c r="K926" s="5"/>
      <c r="L926" s="3"/>
      <c r="M926" s="5"/>
      <c r="N926" s="5"/>
    </row>
    <row r="927">
      <c r="A927" s="2"/>
      <c r="B927" s="3"/>
      <c r="C927" s="3"/>
      <c r="D927" s="3"/>
      <c r="E927" s="4"/>
      <c r="F927" s="3"/>
      <c r="G927" s="5"/>
      <c r="H927" s="3"/>
      <c r="I927" s="5"/>
      <c r="J927" s="3"/>
      <c r="K927" s="5"/>
      <c r="L927" s="3"/>
      <c r="M927" s="5"/>
      <c r="N927" s="5"/>
    </row>
    <row r="928">
      <c r="A928" s="2"/>
      <c r="B928" s="3"/>
      <c r="C928" s="3"/>
      <c r="D928" s="3"/>
      <c r="E928" s="4"/>
      <c r="F928" s="3"/>
      <c r="G928" s="5"/>
      <c r="H928" s="3"/>
      <c r="I928" s="5"/>
      <c r="J928" s="3"/>
      <c r="K928" s="5"/>
      <c r="L928" s="3"/>
      <c r="M928" s="5"/>
      <c r="N928" s="5"/>
    </row>
    <row r="929">
      <c r="A929" s="2"/>
      <c r="B929" s="3"/>
      <c r="C929" s="3"/>
      <c r="D929" s="3"/>
      <c r="E929" s="4"/>
      <c r="F929" s="3"/>
      <c r="G929" s="5"/>
      <c r="H929" s="3"/>
      <c r="I929" s="5"/>
      <c r="J929" s="3"/>
      <c r="K929" s="5"/>
      <c r="L929" s="3"/>
      <c r="M929" s="5"/>
      <c r="N929" s="5"/>
    </row>
    <row r="930">
      <c r="A930" s="2"/>
      <c r="B930" s="3"/>
      <c r="C930" s="3"/>
      <c r="D930" s="3"/>
      <c r="E930" s="4"/>
      <c r="F930" s="3"/>
      <c r="G930" s="5"/>
      <c r="H930" s="3"/>
      <c r="I930" s="5"/>
      <c r="J930" s="3"/>
      <c r="K930" s="5"/>
      <c r="L930" s="3"/>
      <c r="M930" s="5"/>
      <c r="N930" s="5"/>
    </row>
    <row r="931">
      <c r="A931" s="2"/>
      <c r="B931" s="3"/>
      <c r="C931" s="3"/>
      <c r="D931" s="3"/>
      <c r="E931" s="4"/>
      <c r="F931" s="3"/>
      <c r="G931" s="5"/>
      <c r="H931" s="3"/>
      <c r="I931" s="5"/>
      <c r="J931" s="3"/>
      <c r="K931" s="5"/>
      <c r="L931" s="3"/>
      <c r="M931" s="5"/>
      <c r="N931" s="5"/>
    </row>
    <row r="932">
      <c r="A932" s="2"/>
      <c r="B932" s="3"/>
      <c r="C932" s="3"/>
      <c r="D932" s="3"/>
      <c r="E932" s="4"/>
      <c r="F932" s="3"/>
      <c r="G932" s="5"/>
      <c r="H932" s="3"/>
      <c r="I932" s="5"/>
      <c r="J932" s="3"/>
      <c r="K932" s="5"/>
      <c r="L932" s="3"/>
      <c r="M932" s="5"/>
      <c r="N932" s="5"/>
    </row>
    <row r="933">
      <c r="A933" s="2"/>
      <c r="B933" s="3"/>
      <c r="C933" s="3"/>
      <c r="D933" s="3"/>
      <c r="E933" s="4"/>
      <c r="F933" s="3"/>
      <c r="G933" s="5"/>
      <c r="H933" s="3"/>
      <c r="I933" s="5"/>
      <c r="J933" s="3"/>
      <c r="K933" s="5"/>
      <c r="L933" s="3"/>
      <c r="M933" s="5"/>
      <c r="N933" s="5"/>
    </row>
    <row r="934">
      <c r="A934" s="2"/>
      <c r="B934" s="3"/>
      <c r="C934" s="3"/>
      <c r="D934" s="3"/>
      <c r="E934" s="4"/>
      <c r="F934" s="3"/>
      <c r="G934" s="5"/>
      <c r="H934" s="3"/>
      <c r="I934" s="5"/>
      <c r="J934" s="3"/>
      <c r="K934" s="5"/>
      <c r="L934" s="3"/>
      <c r="M934" s="5"/>
      <c r="N934" s="5"/>
    </row>
    <row r="935">
      <c r="A935" s="2"/>
      <c r="B935" s="3"/>
      <c r="C935" s="3"/>
      <c r="D935" s="3"/>
      <c r="E935" s="4"/>
      <c r="F935" s="3"/>
      <c r="G935" s="5"/>
      <c r="H935" s="3"/>
      <c r="I935" s="5"/>
      <c r="J935" s="3"/>
      <c r="K935" s="5"/>
      <c r="L935" s="3"/>
      <c r="M935" s="5"/>
      <c r="N935" s="5"/>
    </row>
    <row r="936">
      <c r="A936" s="2"/>
      <c r="B936" s="3"/>
      <c r="C936" s="3"/>
      <c r="D936" s="3"/>
      <c r="E936" s="4"/>
      <c r="F936" s="3"/>
      <c r="G936" s="5"/>
      <c r="H936" s="3"/>
      <c r="I936" s="5"/>
      <c r="J936" s="3"/>
      <c r="K936" s="5"/>
      <c r="L936" s="3"/>
      <c r="M936" s="5"/>
      <c r="N936" s="5"/>
    </row>
    <row r="937">
      <c r="A937" s="2"/>
      <c r="B937" s="3"/>
      <c r="C937" s="3"/>
      <c r="D937" s="3"/>
      <c r="E937" s="4"/>
      <c r="F937" s="3"/>
      <c r="G937" s="5"/>
      <c r="H937" s="3"/>
      <c r="I937" s="5"/>
      <c r="J937" s="3"/>
      <c r="K937" s="5"/>
      <c r="L937" s="3"/>
      <c r="M937" s="5"/>
      <c r="N937" s="5"/>
    </row>
    <row r="938">
      <c r="A938" s="2"/>
      <c r="B938" s="3"/>
      <c r="C938" s="3"/>
      <c r="D938" s="3"/>
      <c r="E938" s="4"/>
      <c r="F938" s="3"/>
      <c r="G938" s="5"/>
      <c r="H938" s="3"/>
      <c r="I938" s="5"/>
      <c r="J938" s="3"/>
      <c r="K938" s="5"/>
      <c r="L938" s="3"/>
      <c r="M938" s="5"/>
      <c r="N938" s="5"/>
    </row>
    <row r="939">
      <c r="A939" s="2"/>
      <c r="B939" s="3"/>
      <c r="C939" s="3"/>
      <c r="D939" s="3"/>
      <c r="E939" s="4"/>
      <c r="F939" s="3"/>
      <c r="G939" s="5"/>
      <c r="H939" s="3"/>
      <c r="I939" s="5"/>
      <c r="J939" s="3"/>
      <c r="K939" s="5"/>
      <c r="L939" s="3"/>
      <c r="M939" s="5"/>
      <c r="N939" s="5"/>
    </row>
    <row r="940">
      <c r="A940" s="2"/>
      <c r="B940" s="3"/>
      <c r="C940" s="3"/>
      <c r="D940" s="3"/>
      <c r="E940" s="4"/>
      <c r="F940" s="3"/>
      <c r="G940" s="5"/>
      <c r="H940" s="3"/>
      <c r="I940" s="5"/>
      <c r="J940" s="3"/>
      <c r="K940" s="5"/>
      <c r="L940" s="3"/>
      <c r="M940" s="5"/>
      <c r="N940" s="5"/>
    </row>
    <row r="941">
      <c r="A941" s="2"/>
      <c r="B941" s="3"/>
      <c r="C941" s="3"/>
      <c r="D941" s="3"/>
      <c r="E941" s="4"/>
      <c r="F941" s="3"/>
      <c r="G941" s="5"/>
      <c r="H941" s="3"/>
      <c r="I941" s="5"/>
      <c r="J941" s="3"/>
      <c r="K941" s="5"/>
      <c r="L941" s="3"/>
      <c r="M941" s="5"/>
      <c r="N941" s="5"/>
    </row>
    <row r="942">
      <c r="A942" s="2"/>
      <c r="B942" s="3"/>
      <c r="C942" s="3"/>
      <c r="D942" s="3"/>
      <c r="E942" s="4"/>
      <c r="F942" s="3"/>
      <c r="G942" s="5"/>
      <c r="H942" s="3"/>
      <c r="I942" s="5"/>
      <c r="J942" s="3"/>
      <c r="K942" s="5"/>
      <c r="L942" s="3"/>
      <c r="M942" s="5"/>
      <c r="N942" s="5"/>
    </row>
    <row r="943">
      <c r="A943" s="2"/>
      <c r="B943" s="3"/>
      <c r="C943" s="3"/>
      <c r="D943" s="3"/>
      <c r="E943" s="4"/>
      <c r="F943" s="3"/>
      <c r="G943" s="5"/>
      <c r="H943" s="3"/>
      <c r="I943" s="5"/>
      <c r="J943" s="3"/>
      <c r="K943" s="5"/>
      <c r="L943" s="3"/>
      <c r="M943" s="5"/>
      <c r="N943" s="5"/>
    </row>
    <row r="944">
      <c r="A944" s="2"/>
      <c r="B944" s="3"/>
      <c r="C944" s="3"/>
      <c r="D944" s="3"/>
      <c r="E944" s="4"/>
      <c r="F944" s="3"/>
      <c r="G944" s="5"/>
      <c r="H944" s="3"/>
      <c r="I944" s="5"/>
      <c r="J944" s="3"/>
      <c r="K944" s="5"/>
      <c r="L944" s="3"/>
      <c r="M944" s="5"/>
      <c r="N944" s="5"/>
    </row>
    <row r="945">
      <c r="A945" s="2"/>
      <c r="B945" s="3"/>
      <c r="C945" s="3"/>
      <c r="D945" s="3"/>
      <c r="E945" s="4"/>
      <c r="F945" s="3"/>
      <c r="G945" s="5"/>
      <c r="H945" s="3"/>
      <c r="I945" s="5"/>
      <c r="J945" s="3"/>
      <c r="K945" s="5"/>
      <c r="L945" s="3"/>
      <c r="M945" s="5"/>
      <c r="N945" s="5"/>
    </row>
    <row r="946">
      <c r="A946" s="2"/>
      <c r="B946" s="3"/>
      <c r="C946" s="3"/>
      <c r="D946" s="3"/>
      <c r="E946" s="4"/>
      <c r="F946" s="3"/>
      <c r="G946" s="5"/>
      <c r="H946" s="3"/>
      <c r="I946" s="5"/>
      <c r="J946" s="3"/>
      <c r="K946" s="5"/>
      <c r="L946" s="3"/>
      <c r="M946" s="5"/>
      <c r="N946" s="5"/>
    </row>
    <row r="947">
      <c r="A947" s="2"/>
      <c r="B947" s="3"/>
      <c r="C947" s="3"/>
      <c r="D947" s="3"/>
      <c r="E947" s="4"/>
      <c r="F947" s="3"/>
      <c r="G947" s="5"/>
      <c r="H947" s="3"/>
      <c r="I947" s="5"/>
      <c r="J947" s="3"/>
      <c r="K947" s="5"/>
      <c r="L947" s="3"/>
      <c r="M947" s="5"/>
      <c r="N947" s="5"/>
    </row>
    <row r="948">
      <c r="A948" s="2"/>
      <c r="B948" s="3"/>
      <c r="C948" s="3"/>
      <c r="D948" s="3"/>
      <c r="E948" s="4"/>
      <c r="F948" s="3"/>
      <c r="G948" s="5"/>
      <c r="H948" s="3"/>
      <c r="I948" s="5"/>
      <c r="J948" s="3"/>
      <c r="K948" s="5"/>
      <c r="L948" s="3"/>
      <c r="M948" s="5"/>
      <c r="N948" s="5"/>
    </row>
    <row r="949">
      <c r="A949" s="2"/>
      <c r="B949" s="3"/>
      <c r="C949" s="3"/>
      <c r="D949" s="3"/>
      <c r="E949" s="4"/>
      <c r="F949" s="3"/>
      <c r="G949" s="5"/>
      <c r="H949" s="3"/>
      <c r="I949" s="5"/>
      <c r="J949" s="3"/>
      <c r="K949" s="5"/>
      <c r="L949" s="3"/>
      <c r="M949" s="5"/>
      <c r="N949" s="5"/>
    </row>
    <row r="950">
      <c r="A950" s="2"/>
      <c r="B950" s="3"/>
      <c r="C950" s="3"/>
      <c r="D950" s="3"/>
      <c r="E950" s="4"/>
      <c r="F950" s="3"/>
      <c r="G950" s="5"/>
      <c r="H950" s="3"/>
      <c r="I950" s="5"/>
      <c r="J950" s="3"/>
      <c r="K950" s="5"/>
      <c r="L950" s="3"/>
      <c r="M950" s="5"/>
      <c r="N950" s="5"/>
    </row>
    <row r="951">
      <c r="A951" s="2"/>
      <c r="B951" s="3"/>
      <c r="C951" s="3"/>
      <c r="D951" s="3"/>
      <c r="E951" s="4"/>
      <c r="F951" s="3"/>
      <c r="G951" s="5"/>
      <c r="H951" s="3"/>
      <c r="I951" s="5"/>
      <c r="J951" s="3"/>
      <c r="K951" s="5"/>
      <c r="L951" s="3"/>
      <c r="M951" s="5"/>
      <c r="N951" s="5"/>
    </row>
    <row r="952">
      <c r="A952" s="2"/>
      <c r="B952" s="3"/>
      <c r="C952" s="3"/>
      <c r="D952" s="3"/>
      <c r="E952" s="4"/>
      <c r="F952" s="3"/>
      <c r="G952" s="5"/>
      <c r="H952" s="3"/>
      <c r="I952" s="5"/>
      <c r="J952" s="3"/>
      <c r="K952" s="5"/>
      <c r="L952" s="3"/>
      <c r="M952" s="5"/>
      <c r="N952" s="5"/>
    </row>
    <row r="953">
      <c r="A953" s="2"/>
      <c r="B953" s="3"/>
      <c r="C953" s="3"/>
      <c r="D953" s="3"/>
      <c r="E953" s="4"/>
      <c r="F953" s="3"/>
      <c r="G953" s="5"/>
      <c r="H953" s="3"/>
      <c r="I953" s="5"/>
      <c r="J953" s="3"/>
      <c r="K953" s="5"/>
      <c r="L953" s="3"/>
      <c r="M953" s="5"/>
      <c r="N953" s="5"/>
    </row>
    <row r="954">
      <c r="A954" s="2"/>
      <c r="B954" s="3"/>
      <c r="C954" s="3"/>
      <c r="D954" s="3"/>
      <c r="E954" s="4"/>
      <c r="F954" s="3"/>
      <c r="G954" s="5"/>
      <c r="H954" s="3"/>
      <c r="I954" s="5"/>
      <c r="J954" s="3"/>
      <c r="K954" s="5"/>
      <c r="L954" s="3"/>
      <c r="M954" s="5"/>
      <c r="N954" s="5"/>
    </row>
    <row r="955">
      <c r="A955" s="2"/>
      <c r="B955" s="3"/>
      <c r="C955" s="3"/>
      <c r="D955" s="3"/>
      <c r="E955" s="4"/>
      <c r="F955" s="3"/>
      <c r="G955" s="5"/>
      <c r="H955" s="3"/>
      <c r="I955" s="5"/>
      <c r="J955" s="3"/>
      <c r="K955" s="5"/>
      <c r="L955" s="3"/>
      <c r="M955" s="5"/>
      <c r="N955" s="5"/>
    </row>
    <row r="956">
      <c r="A956" s="2"/>
      <c r="B956" s="3"/>
      <c r="C956" s="3"/>
      <c r="D956" s="3"/>
      <c r="E956" s="4"/>
      <c r="F956" s="3"/>
      <c r="G956" s="5"/>
      <c r="H956" s="3"/>
      <c r="I956" s="5"/>
      <c r="J956" s="3"/>
      <c r="K956" s="5"/>
      <c r="L956" s="3"/>
      <c r="M956" s="5"/>
      <c r="N956" s="5"/>
    </row>
    <row r="957">
      <c r="A957" s="2"/>
      <c r="B957" s="3"/>
      <c r="C957" s="3"/>
      <c r="D957" s="3"/>
      <c r="E957" s="4"/>
      <c r="F957" s="3"/>
      <c r="G957" s="5"/>
      <c r="H957" s="3"/>
      <c r="I957" s="5"/>
      <c r="J957" s="3"/>
      <c r="K957" s="5"/>
      <c r="L957" s="3"/>
      <c r="M957" s="5"/>
      <c r="N957" s="5"/>
    </row>
    <row r="958">
      <c r="A958" s="2"/>
      <c r="B958" s="3"/>
      <c r="C958" s="3"/>
      <c r="D958" s="3"/>
      <c r="E958" s="4"/>
      <c r="F958" s="3"/>
      <c r="G958" s="5"/>
      <c r="H958" s="3"/>
      <c r="I958" s="5"/>
      <c r="J958" s="3"/>
      <c r="K958" s="5"/>
      <c r="L958" s="3"/>
      <c r="M958" s="5"/>
      <c r="N958" s="5"/>
    </row>
    <row r="959">
      <c r="A959" s="2"/>
      <c r="B959" s="3"/>
      <c r="C959" s="3"/>
      <c r="D959" s="3"/>
      <c r="E959" s="4"/>
      <c r="F959" s="3"/>
      <c r="G959" s="5"/>
      <c r="H959" s="3"/>
      <c r="I959" s="5"/>
      <c r="J959" s="3"/>
      <c r="K959" s="5"/>
      <c r="L959" s="3"/>
      <c r="M959" s="5"/>
      <c r="N959" s="5"/>
    </row>
    <row r="960">
      <c r="A960" s="2"/>
      <c r="B960" s="3"/>
      <c r="C960" s="3"/>
      <c r="D960" s="3"/>
      <c r="E960" s="4"/>
      <c r="F960" s="3"/>
      <c r="G960" s="5"/>
      <c r="H960" s="3"/>
      <c r="I960" s="5"/>
      <c r="J960" s="3"/>
      <c r="K960" s="5"/>
      <c r="L960" s="3"/>
      <c r="M960" s="5"/>
      <c r="N960" s="5"/>
    </row>
    <row r="961">
      <c r="A961" s="2"/>
      <c r="B961" s="3"/>
      <c r="C961" s="3"/>
      <c r="D961" s="3"/>
      <c r="E961" s="4"/>
      <c r="F961" s="3"/>
      <c r="G961" s="5"/>
      <c r="H961" s="3"/>
      <c r="I961" s="5"/>
      <c r="J961" s="3"/>
      <c r="K961" s="5"/>
      <c r="L961" s="3"/>
      <c r="M961" s="5"/>
      <c r="N961" s="5"/>
    </row>
    <row r="962">
      <c r="A962" s="2"/>
      <c r="B962" s="3"/>
      <c r="C962" s="3"/>
      <c r="D962" s="3"/>
      <c r="E962" s="4"/>
      <c r="F962" s="3"/>
      <c r="G962" s="5"/>
      <c r="H962" s="3"/>
      <c r="I962" s="5"/>
      <c r="J962" s="3"/>
      <c r="K962" s="5"/>
      <c r="L962" s="3"/>
      <c r="M962" s="5"/>
      <c r="N962" s="5"/>
    </row>
    <row r="963">
      <c r="A963" s="2"/>
      <c r="B963" s="3"/>
      <c r="C963" s="3"/>
      <c r="D963" s="3"/>
      <c r="E963" s="4"/>
      <c r="F963" s="3"/>
      <c r="G963" s="5"/>
      <c r="H963" s="3"/>
      <c r="I963" s="5"/>
      <c r="J963" s="3"/>
      <c r="K963" s="5"/>
      <c r="L963" s="3"/>
      <c r="M963" s="5"/>
      <c r="N963" s="5"/>
    </row>
    <row r="964">
      <c r="A964" s="2"/>
      <c r="B964" s="3"/>
      <c r="C964" s="3"/>
      <c r="D964" s="3"/>
      <c r="E964" s="4"/>
      <c r="F964" s="3"/>
      <c r="G964" s="5"/>
      <c r="H964" s="3"/>
      <c r="I964" s="5"/>
      <c r="J964" s="3"/>
      <c r="K964" s="5"/>
      <c r="L964" s="3"/>
      <c r="M964" s="5"/>
      <c r="N964" s="5"/>
    </row>
    <row r="965">
      <c r="A965" s="2"/>
      <c r="B965" s="3"/>
      <c r="C965" s="3"/>
      <c r="D965" s="3"/>
      <c r="E965" s="4"/>
      <c r="F965" s="3"/>
      <c r="G965" s="5"/>
      <c r="H965" s="3"/>
      <c r="I965" s="5"/>
      <c r="J965" s="3"/>
      <c r="K965" s="5"/>
      <c r="L965" s="3"/>
      <c r="M965" s="5"/>
      <c r="N965" s="5"/>
    </row>
    <row r="966">
      <c r="A966" s="2"/>
      <c r="B966" s="3"/>
      <c r="C966" s="3"/>
      <c r="D966" s="3"/>
      <c r="E966" s="4"/>
      <c r="F966" s="3"/>
      <c r="G966" s="5"/>
      <c r="H966" s="3"/>
      <c r="I966" s="5"/>
      <c r="J966" s="3"/>
      <c r="K966" s="5"/>
      <c r="L966" s="3"/>
      <c r="M966" s="5"/>
      <c r="N966" s="5"/>
    </row>
    <row r="967">
      <c r="A967" s="2"/>
      <c r="B967" s="3"/>
      <c r="C967" s="3"/>
      <c r="D967" s="3"/>
      <c r="E967" s="4"/>
      <c r="F967" s="3"/>
      <c r="G967" s="5"/>
      <c r="H967" s="3"/>
      <c r="I967" s="5"/>
      <c r="J967" s="3"/>
      <c r="K967" s="5"/>
      <c r="L967" s="3"/>
      <c r="M967" s="5"/>
      <c r="N967" s="5"/>
    </row>
    <row r="968">
      <c r="A968" s="2"/>
      <c r="B968" s="3"/>
      <c r="C968" s="3"/>
      <c r="D968" s="3"/>
      <c r="E968" s="4"/>
      <c r="F968" s="3"/>
      <c r="G968" s="5"/>
      <c r="H968" s="3"/>
      <c r="I968" s="5"/>
      <c r="J968" s="3"/>
      <c r="K968" s="5"/>
      <c r="L968" s="3"/>
      <c r="M968" s="5"/>
      <c r="N968" s="5"/>
    </row>
    <row r="969">
      <c r="A969" s="2"/>
      <c r="B969" s="3"/>
      <c r="C969" s="3"/>
      <c r="D969" s="3"/>
      <c r="E969" s="4"/>
      <c r="F969" s="3"/>
      <c r="G969" s="5"/>
      <c r="H969" s="3"/>
      <c r="I969" s="5"/>
      <c r="J969" s="3"/>
      <c r="K969" s="5"/>
      <c r="L969" s="3"/>
      <c r="M969" s="5"/>
      <c r="N969" s="5"/>
    </row>
    <row r="970">
      <c r="A970" s="2"/>
      <c r="B970" s="3"/>
      <c r="C970" s="3"/>
      <c r="D970" s="3"/>
      <c r="E970" s="4"/>
      <c r="F970" s="3"/>
      <c r="G970" s="5"/>
      <c r="H970" s="3"/>
      <c r="I970" s="5"/>
      <c r="J970" s="3"/>
      <c r="K970" s="5"/>
      <c r="L970" s="3"/>
      <c r="M970" s="5"/>
      <c r="N970" s="5"/>
    </row>
    <row r="971">
      <c r="A971" s="2"/>
      <c r="B971" s="3"/>
      <c r="C971" s="3"/>
      <c r="D971" s="3"/>
      <c r="E971" s="4"/>
      <c r="F971" s="3"/>
      <c r="G971" s="5"/>
      <c r="H971" s="3"/>
      <c r="I971" s="5"/>
      <c r="J971" s="3"/>
      <c r="K971" s="5"/>
      <c r="L971" s="3"/>
      <c r="M971" s="5"/>
      <c r="N971" s="5"/>
    </row>
    <row r="972">
      <c r="A972" s="2"/>
      <c r="B972" s="3"/>
      <c r="C972" s="3"/>
      <c r="D972" s="3"/>
      <c r="E972" s="4"/>
      <c r="F972" s="3"/>
      <c r="G972" s="5"/>
      <c r="H972" s="3"/>
      <c r="I972" s="5"/>
      <c r="J972" s="3"/>
      <c r="K972" s="5"/>
      <c r="L972" s="3"/>
      <c r="M972" s="5"/>
      <c r="N972" s="5"/>
    </row>
    <row r="973">
      <c r="A973" s="2"/>
      <c r="B973" s="3"/>
      <c r="C973" s="3"/>
      <c r="D973" s="3"/>
      <c r="E973" s="4"/>
      <c r="F973" s="3"/>
      <c r="G973" s="5"/>
      <c r="H973" s="3"/>
      <c r="I973" s="5"/>
      <c r="J973" s="3"/>
      <c r="K973" s="5"/>
      <c r="L973" s="3"/>
      <c r="M973" s="5"/>
      <c r="N973" s="5"/>
    </row>
    <row r="974">
      <c r="A974" s="2"/>
      <c r="B974" s="3"/>
      <c r="C974" s="3"/>
      <c r="D974" s="3"/>
      <c r="E974" s="4"/>
      <c r="F974" s="3"/>
      <c r="G974" s="5"/>
      <c r="H974" s="3"/>
      <c r="I974" s="5"/>
      <c r="J974" s="3"/>
      <c r="K974" s="5"/>
      <c r="L974" s="3"/>
      <c r="M974" s="5"/>
      <c r="N974" s="5"/>
    </row>
    <row r="975">
      <c r="A975" s="2"/>
      <c r="B975" s="3"/>
      <c r="C975" s="3"/>
      <c r="D975" s="3"/>
      <c r="E975" s="4"/>
      <c r="F975" s="3"/>
      <c r="G975" s="5"/>
      <c r="H975" s="3"/>
      <c r="I975" s="5"/>
      <c r="J975" s="3"/>
      <c r="K975" s="5"/>
      <c r="L975" s="3"/>
      <c r="M975" s="5"/>
      <c r="N975" s="5"/>
    </row>
    <row r="976">
      <c r="A976" s="2"/>
      <c r="B976" s="3"/>
      <c r="C976" s="3"/>
      <c r="D976" s="3"/>
      <c r="E976" s="4"/>
      <c r="F976" s="3"/>
      <c r="G976" s="5"/>
      <c r="H976" s="3"/>
      <c r="I976" s="5"/>
      <c r="J976" s="3"/>
      <c r="K976" s="5"/>
      <c r="L976" s="3"/>
      <c r="M976" s="5"/>
      <c r="N976" s="5"/>
    </row>
    <row r="977">
      <c r="A977" s="2"/>
      <c r="B977" s="3"/>
      <c r="C977" s="3"/>
      <c r="D977" s="3"/>
      <c r="E977" s="4"/>
      <c r="F977" s="3"/>
      <c r="G977" s="5"/>
      <c r="H977" s="3"/>
      <c r="I977" s="5"/>
      <c r="J977" s="3"/>
      <c r="K977" s="5"/>
      <c r="L977" s="3"/>
      <c r="M977" s="5"/>
      <c r="N977" s="5"/>
    </row>
    <row r="978">
      <c r="A978" s="2"/>
      <c r="B978" s="3"/>
      <c r="C978" s="3"/>
      <c r="D978" s="3"/>
      <c r="E978" s="4"/>
      <c r="F978" s="3"/>
      <c r="G978" s="5"/>
      <c r="H978" s="3"/>
      <c r="I978" s="5"/>
      <c r="J978" s="3"/>
      <c r="K978" s="5"/>
      <c r="L978" s="3"/>
      <c r="M978" s="5"/>
      <c r="N978" s="5"/>
    </row>
    <row r="979">
      <c r="A979" s="2"/>
      <c r="B979" s="3"/>
      <c r="C979" s="3"/>
      <c r="D979" s="3"/>
      <c r="E979" s="4"/>
      <c r="F979" s="3"/>
      <c r="G979" s="5"/>
      <c r="H979" s="3"/>
      <c r="I979" s="5"/>
      <c r="J979" s="3"/>
      <c r="K979" s="5"/>
      <c r="L979" s="3"/>
      <c r="M979" s="5"/>
      <c r="N979" s="5"/>
    </row>
    <row r="980">
      <c r="A980" s="2"/>
      <c r="B980" s="3"/>
      <c r="C980" s="3"/>
      <c r="D980" s="3"/>
      <c r="E980" s="4"/>
      <c r="F980" s="3"/>
      <c r="G980" s="5"/>
      <c r="H980" s="3"/>
      <c r="I980" s="5"/>
      <c r="J980" s="3"/>
      <c r="K980" s="5"/>
      <c r="L980" s="3"/>
      <c r="M980" s="5"/>
      <c r="N980" s="5"/>
    </row>
    <row r="981">
      <c r="A981" s="2"/>
      <c r="B981" s="3"/>
      <c r="C981" s="3"/>
      <c r="D981" s="3"/>
      <c r="E981" s="4"/>
      <c r="F981" s="3"/>
      <c r="G981" s="5"/>
      <c r="H981" s="3"/>
      <c r="I981" s="5"/>
      <c r="J981" s="3"/>
      <c r="K981" s="5"/>
      <c r="L981" s="3"/>
      <c r="M981" s="5"/>
      <c r="N981" s="5"/>
    </row>
    <row r="982">
      <c r="A982" s="2"/>
      <c r="B982" s="3"/>
      <c r="C982" s="3"/>
      <c r="D982" s="3"/>
      <c r="E982" s="4"/>
      <c r="F982" s="3"/>
      <c r="G982" s="5"/>
      <c r="H982" s="3"/>
      <c r="I982" s="5"/>
      <c r="J982" s="3"/>
      <c r="K982" s="5"/>
      <c r="L982" s="3"/>
      <c r="M982" s="5"/>
      <c r="N982" s="5"/>
    </row>
    <row r="983">
      <c r="A983" s="2"/>
      <c r="B983" s="3"/>
      <c r="C983" s="3"/>
      <c r="D983" s="3"/>
      <c r="E983" s="4"/>
      <c r="F983" s="3"/>
      <c r="G983" s="5"/>
      <c r="H983" s="3"/>
      <c r="I983" s="5"/>
      <c r="J983" s="3"/>
      <c r="K983" s="5"/>
      <c r="L983" s="3"/>
      <c r="M983" s="5"/>
      <c r="N983" s="5"/>
    </row>
    <row r="984">
      <c r="A984" s="2"/>
      <c r="B984" s="3"/>
      <c r="C984" s="3"/>
      <c r="D984" s="3"/>
      <c r="E984" s="4"/>
      <c r="F984" s="3"/>
      <c r="G984" s="5"/>
      <c r="H984" s="3"/>
      <c r="I984" s="5"/>
      <c r="J984" s="3"/>
      <c r="K984" s="5"/>
      <c r="L984" s="3"/>
      <c r="M984" s="5"/>
      <c r="N984" s="5"/>
    </row>
    <row r="985">
      <c r="A985" s="2"/>
      <c r="B985" s="3"/>
      <c r="C985" s="3"/>
      <c r="D985" s="3"/>
      <c r="E985" s="4"/>
      <c r="F985" s="3"/>
      <c r="G985" s="5"/>
      <c r="H985" s="3"/>
      <c r="I985" s="5"/>
      <c r="J985" s="3"/>
      <c r="K985" s="5"/>
      <c r="L985" s="3"/>
      <c r="M985" s="5"/>
      <c r="N985" s="5"/>
    </row>
    <row r="986">
      <c r="A986" s="2"/>
      <c r="B986" s="3"/>
      <c r="C986" s="3"/>
      <c r="D986" s="3"/>
      <c r="E986" s="4"/>
      <c r="F986" s="3"/>
      <c r="G986" s="5"/>
      <c r="H986" s="3"/>
      <c r="I986" s="5"/>
      <c r="J986" s="3"/>
      <c r="K986" s="5"/>
      <c r="L986" s="3"/>
      <c r="M986" s="5"/>
      <c r="N986" s="5"/>
    </row>
    <row r="987">
      <c r="A987" s="2"/>
      <c r="B987" s="3"/>
      <c r="C987" s="3"/>
      <c r="D987" s="3"/>
      <c r="E987" s="4"/>
      <c r="F987" s="3"/>
      <c r="G987" s="5"/>
      <c r="H987" s="3"/>
      <c r="I987" s="5"/>
      <c r="J987" s="3"/>
      <c r="K987" s="5"/>
      <c r="L987" s="3"/>
      <c r="M987" s="5"/>
      <c r="N987" s="5"/>
    </row>
    <row r="988">
      <c r="A988" s="2"/>
      <c r="B988" s="3"/>
      <c r="C988" s="3"/>
      <c r="D988" s="3"/>
      <c r="E988" s="4"/>
      <c r="F988" s="3"/>
      <c r="G988" s="5"/>
      <c r="H988" s="3"/>
      <c r="I988" s="5"/>
      <c r="J988" s="3"/>
      <c r="K988" s="5"/>
      <c r="L988" s="3"/>
      <c r="M988" s="5"/>
      <c r="N988" s="5"/>
    </row>
    <row r="989">
      <c r="A989" s="2"/>
      <c r="B989" s="3"/>
      <c r="C989" s="3"/>
      <c r="D989" s="3"/>
      <c r="E989" s="4"/>
      <c r="F989" s="3"/>
      <c r="G989" s="5"/>
      <c r="H989" s="3"/>
      <c r="I989" s="5"/>
      <c r="J989" s="3"/>
      <c r="K989" s="5"/>
      <c r="L989" s="3"/>
      <c r="M989" s="5"/>
      <c r="N989" s="5"/>
    </row>
    <row r="990">
      <c r="A990" s="2"/>
      <c r="B990" s="3"/>
      <c r="C990" s="3"/>
      <c r="D990" s="3"/>
      <c r="E990" s="4"/>
      <c r="F990" s="3"/>
      <c r="G990" s="5"/>
      <c r="H990" s="3"/>
      <c r="I990" s="5"/>
      <c r="J990" s="3"/>
      <c r="K990" s="5"/>
      <c r="L990" s="3"/>
      <c r="M990" s="5"/>
      <c r="N990" s="5"/>
    </row>
    <row r="991">
      <c r="A991" s="2"/>
      <c r="B991" s="3"/>
      <c r="C991" s="3"/>
      <c r="D991" s="3"/>
      <c r="E991" s="4"/>
      <c r="F991" s="3"/>
      <c r="G991" s="5"/>
      <c r="H991" s="3"/>
      <c r="I991" s="5"/>
      <c r="J991" s="3"/>
      <c r="K991" s="5"/>
      <c r="L991" s="3"/>
      <c r="M991" s="5"/>
      <c r="N991" s="5"/>
    </row>
    <row r="992">
      <c r="A992" s="2"/>
      <c r="B992" s="3"/>
      <c r="C992" s="3"/>
      <c r="D992" s="3"/>
      <c r="E992" s="4"/>
      <c r="F992" s="3"/>
      <c r="G992" s="5"/>
      <c r="H992" s="3"/>
      <c r="I992" s="5"/>
      <c r="J992" s="3"/>
      <c r="K992" s="5"/>
      <c r="L992" s="3"/>
      <c r="M992" s="5"/>
      <c r="N992" s="5"/>
    </row>
    <row r="993">
      <c r="A993" s="2"/>
      <c r="B993" s="3"/>
      <c r="C993" s="3"/>
      <c r="D993" s="3"/>
      <c r="E993" s="4"/>
      <c r="F993" s="3"/>
      <c r="G993" s="5"/>
      <c r="H993" s="3"/>
      <c r="I993" s="5"/>
      <c r="J993" s="3"/>
      <c r="K993" s="5"/>
      <c r="L993" s="3"/>
      <c r="M993" s="5"/>
      <c r="N993" s="5"/>
    </row>
    <row r="994">
      <c r="A994" s="2"/>
      <c r="B994" s="3"/>
      <c r="C994" s="3"/>
      <c r="D994" s="3"/>
      <c r="E994" s="4"/>
      <c r="F994" s="3"/>
      <c r="G994" s="5"/>
      <c r="H994" s="3"/>
      <c r="I994" s="5"/>
      <c r="J994" s="3"/>
      <c r="K994" s="5"/>
      <c r="L994" s="3"/>
      <c r="M994" s="5"/>
      <c r="N994" s="5"/>
    </row>
    <row r="995">
      <c r="A995" s="2"/>
      <c r="B995" s="3"/>
      <c r="C995" s="3"/>
      <c r="D995" s="3"/>
      <c r="E995" s="4"/>
      <c r="F995" s="3"/>
      <c r="G995" s="5"/>
      <c r="H995" s="3"/>
      <c r="I995" s="5"/>
      <c r="J995" s="3"/>
      <c r="K995" s="5"/>
      <c r="L995" s="3"/>
      <c r="M995" s="5"/>
      <c r="N995" s="5"/>
    </row>
    <row r="996">
      <c r="A996" s="2"/>
      <c r="B996" s="3"/>
      <c r="C996" s="3"/>
      <c r="D996" s="3"/>
      <c r="E996" s="4"/>
      <c r="F996" s="3"/>
      <c r="G996" s="5"/>
      <c r="H996" s="3"/>
      <c r="I996" s="5"/>
      <c r="J996" s="3"/>
      <c r="K996" s="5"/>
      <c r="L996" s="3"/>
      <c r="M996" s="5"/>
      <c r="N996" s="5"/>
    </row>
    <row r="997">
      <c r="A997" s="2"/>
      <c r="B997" s="3"/>
      <c r="C997" s="3"/>
      <c r="D997" s="3"/>
      <c r="E997" s="4"/>
      <c r="F997" s="3"/>
      <c r="G997" s="5"/>
      <c r="H997" s="3"/>
      <c r="I997" s="5"/>
      <c r="J997" s="3"/>
      <c r="K997" s="5"/>
      <c r="L997" s="3"/>
      <c r="M997" s="5"/>
      <c r="N997" s="5"/>
    </row>
    <row r="998">
      <c r="A998" s="2"/>
      <c r="B998" s="3"/>
      <c r="C998" s="3"/>
      <c r="D998" s="3"/>
      <c r="E998" s="4"/>
      <c r="F998" s="3"/>
      <c r="G998" s="5"/>
      <c r="H998" s="3"/>
      <c r="I998" s="5"/>
      <c r="J998" s="3"/>
      <c r="K998" s="5"/>
      <c r="L998" s="3"/>
      <c r="M998" s="5"/>
      <c r="N998" s="5"/>
    </row>
    <row r="999">
      <c r="A999" s="2"/>
      <c r="B999" s="3"/>
      <c r="C999" s="3"/>
      <c r="D999" s="3"/>
      <c r="E999" s="4"/>
      <c r="F999" s="3"/>
      <c r="G999" s="5"/>
      <c r="H999" s="3"/>
      <c r="I999" s="5"/>
      <c r="J999" s="3"/>
      <c r="K999" s="5"/>
      <c r="L999" s="3"/>
      <c r="M999" s="5"/>
      <c r="N999" s="5"/>
    </row>
    <row r="1000">
      <c r="A1000" s="2"/>
      <c r="B1000" s="3"/>
      <c r="C1000" s="3"/>
      <c r="D1000" s="3"/>
      <c r="E1000" s="4"/>
      <c r="F1000" s="3"/>
      <c r="G1000" s="5"/>
      <c r="H1000" s="3"/>
      <c r="I1000" s="5"/>
      <c r="J1000" s="3"/>
      <c r="K1000" s="5"/>
      <c r="L1000" s="3"/>
      <c r="M1000" s="5"/>
      <c r="N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tr">
        <f>IFERROR(__xludf.DUMMYFUNCTION("SORT(
  UNIQUE(
    FILTER(
      Raw!L2:L1000,
      Raw!L2:L1000&lt;&gt;"""",
      Raw!C2:C1000=""Season 1"",
      Raw!F2:F1000=""2v2""
    )
  )
)
"),"Aferdita")</f>
        <v>Aferdita</v>
      </c>
      <c r="B2" s="3">
        <f t="array" ref="B2:B1000">IF(A2:A1000="",
   ,
   COUNTIFS(
     Raw!L:L, A2:A1000,
     Raw!C:C, "Season 2",
     Raw!F:F, "2v2"
   )
)
</f>
        <v>5</v>
      </c>
      <c r="C2" s="3">
        <f t="array" ref="C2:C1000">IF(A2:A1000="",
   ,
   COUNTIFS(
     Raw!L:L, A2:A1000,
     Raw!I:I, "win",
     Raw!C:C, "Season 2",
     Raw!F:F, "2v2"
   )
)
</f>
        <v>2</v>
      </c>
      <c r="D2" s="3">
        <f t="array" ref="D2:D1000">IF(A2:A1000="",
   ,
   COUNTIFS(
     Raw!L:L, A2:A1000,
     Raw!I:I, "loss",
     Raw!C:C, "Season 2",
     Raw!F:F, "2v2"
   )
)
</f>
        <v>3</v>
      </c>
      <c r="E2" s="4">
        <f t="array" ref="E2:E1000">IF(A2:A1000="",
   ,
   IF(B2:B1000=0, , C2:C1000 / B2:B1000)
)
</f>
        <v>0.4</v>
      </c>
      <c r="F2" s="3">
        <f>IFERROR(__xludf.DUMMYFUNCTION("ARRAYFORMULA( MAP( A2:A1000, LAMBDA(id, IF(id="""",, SUM( FILTER( N(Raw!M:M), Raw!L:L=id, TRIM(SUBSTITUTE(Raw!C:C,CHAR(160),"" ""))=""Season 2"", TRIM(SUBSTITUTE(Raw!F:F,CHAR(160),"" ""))=""2v2"" ) ) ) ) ) )"),9.0)</f>
        <v>9</v>
      </c>
      <c r="G2" s="5">
        <f t="array" ref="G2:G1000">IF(A2:A1000="",
   ,
   IF(B2:B1000=0, , F2:F1000 / B2:B1000)
)
</f>
        <v>1.8</v>
      </c>
      <c r="H2" s="3">
        <f>IFERROR(__xludf.DUMMYFUNCTION("ARRAYFORMULA( MAP( A2:A1000, LAMBDA(id, IF(id="""",, SUM( FILTER( N(Raw!O:O), Raw!L:L=id, TRIM(SUBSTITUTE(Raw!C:C,CHAR(160),"" ""))=""Season 2"", TRIM(SUBSTITUTE(Raw!F:F,CHAR(160),"" ""))=""2v2"" ) ) ) ) ) )"),2.0)</f>
        <v>2</v>
      </c>
      <c r="I2" s="5">
        <f t="array" ref="I2:I1000">IF(A2:A1000="",
   ,
   IF(B2:B1000=0, , H2:H1000 / B2:B1000)
)
</f>
        <v>0.4</v>
      </c>
      <c r="J2" s="3">
        <f>IFERROR(__xludf.DUMMYFUNCTION("ARRAYFORMULA( MAP( A2:A1000, LAMBDA(id, IF(id="""",, SUM( FILTER( N(Raw!P:P), Raw!L:L=id, TRIM(SUBSTITUTE(Raw!C:C,CHAR(160),"" ""))=""Season 2"", TRIM(SUBSTITUTE(Raw!F:F,CHAR(160),"" ""))=""2v2"" ) ) ) ) ) )"),7898.0)</f>
        <v>7898</v>
      </c>
      <c r="K2" s="5">
        <f t="array" ref="K2:K1000">IF(A2:A1000="",
   ,
   IF(B2:B1000=0, , J2:J1000 / B2:B1000)
)
</f>
        <v>1579.6</v>
      </c>
      <c r="L2" s="3">
        <f>IFERROR(__xludf.DUMMYFUNCTION("ARRAYFORMULA( MAP( A2:A1000, LAMBDA(id, IF(id="""",, SUM( FILTER( N(Raw!Q:Q), Raw!L:L=id, TRIM(SUBSTITUTE(Raw!C:C,CHAR(160),"" ""))=""Season 2"", TRIM(SUBSTITUTE(Raw!F:F,CHAR(160),"" ""))=""2v2"" ) ) ) ) ) )"),462.0)</f>
        <v>462</v>
      </c>
      <c r="M2" s="5">
        <f t="array" ref="M2:M1000">IF(A2:A1000="",
   ,
   IF(B2:B1000=0, , L2:L1000 / B2:B1000)
)
</f>
        <v>92.4</v>
      </c>
      <c r="N2" s="5">
        <f t="array" ref="N2:N1000">MAP(
  A2:A1000,
  LAMBDA(id,
    IF(id="",,
      IF(
        SUMIFS(
          Raw!E:E,
          Raw!L:L, id,
          Raw!C:C, "Season 2",
          Raw!F:F, "2v2"
        ) = 0,
        ,
        SUMIFS(
          Raw!P:P,
          Raw!L:L, id,
          Raw!C:C, "Season 2",
          Raw!F:F, "2v2"
        )
        /
        SUMIFS(
          Raw!E:E,
          Raw!L:L, id,
          Raw!C:C, "Season 2",
          Raw!F:F, "2v2"
        )
      )
    )
  )
)</f>
        <v>1.917455693</v>
      </c>
    </row>
    <row r="3">
      <c r="A3" s="2" t="str">
        <f>IFERROR(__xludf.DUMMYFUNCTION("""COMPUTED_VALUE"""),"Kesny")</f>
        <v>Kesny</v>
      </c>
      <c r="B3" s="3">
        <v>6.0</v>
      </c>
      <c r="C3" s="3">
        <v>2.0</v>
      </c>
      <c r="D3" s="3">
        <v>4.0</v>
      </c>
      <c r="E3" s="4">
        <v>0.3333333333333333</v>
      </c>
      <c r="F3" s="3">
        <f>IFERROR(__xludf.DUMMYFUNCTION("""COMPUTED_VALUE"""),26.0)</f>
        <v>26</v>
      </c>
      <c r="G3" s="5">
        <v>4.333333333333333</v>
      </c>
      <c r="H3" s="3">
        <f>IFERROR(__xludf.DUMMYFUNCTION("""COMPUTED_VALUE"""),5.0)</f>
        <v>5</v>
      </c>
      <c r="I3" s="5">
        <v>0.8333333333333334</v>
      </c>
      <c r="J3" s="3">
        <f>IFERROR(__xludf.DUMMYFUNCTION("""COMPUTED_VALUE"""),10192.0)</f>
        <v>10192</v>
      </c>
      <c r="K3" s="5">
        <v>1698.6666666666667</v>
      </c>
      <c r="L3" s="3">
        <f>IFERROR(__xludf.DUMMYFUNCTION("""COMPUTED_VALUE"""),868.0)</f>
        <v>868</v>
      </c>
      <c r="M3" s="5">
        <v>144.66666666666666</v>
      </c>
      <c r="N3" s="5">
        <v>2.101010101010101</v>
      </c>
    </row>
    <row r="4">
      <c r="A4" s="2" t="str">
        <f>IFERROR(__xludf.DUMMYFUNCTION("""COMPUTED_VALUE"""),"Malena")</f>
        <v>Malena</v>
      </c>
      <c r="B4" s="3">
        <v>6.0</v>
      </c>
      <c r="C4" s="3">
        <v>3.0</v>
      </c>
      <c r="D4" s="3">
        <v>3.0</v>
      </c>
      <c r="E4" s="4">
        <v>0.5</v>
      </c>
      <c r="F4" s="3">
        <f>IFERROR(__xludf.DUMMYFUNCTION("""COMPUTED_VALUE"""),36.0)</f>
        <v>36</v>
      </c>
      <c r="G4" s="5">
        <v>6.0</v>
      </c>
      <c r="H4" s="3">
        <f>IFERROR(__xludf.DUMMYFUNCTION("""COMPUTED_VALUE"""),1.0)</f>
        <v>1</v>
      </c>
      <c r="I4" s="5">
        <v>0.16666666666666666</v>
      </c>
      <c r="J4" s="3">
        <f>IFERROR(__xludf.DUMMYFUNCTION("""COMPUTED_VALUE"""),15049.0)</f>
        <v>15049</v>
      </c>
      <c r="K4" s="5">
        <v>2508.1666666666665</v>
      </c>
      <c r="L4" s="3">
        <f>IFERROR(__xludf.DUMMYFUNCTION("""COMPUTED_VALUE"""),1021.0)</f>
        <v>1021</v>
      </c>
      <c r="M4" s="5">
        <v>170.16666666666666</v>
      </c>
      <c r="N4" s="5">
        <v>3.1022469593898165</v>
      </c>
    </row>
    <row r="5">
      <c r="A5" s="2" t="str">
        <f>IFERROR(__xludf.DUMMYFUNCTION("""COMPUTED_VALUE"""),"Nebus.")</f>
        <v>Nebus.</v>
      </c>
      <c r="B5" s="3">
        <v>5.0</v>
      </c>
      <c r="C5" s="3">
        <v>4.0</v>
      </c>
      <c r="D5" s="3">
        <v>1.0</v>
      </c>
      <c r="E5" s="4">
        <v>0.8</v>
      </c>
      <c r="F5" s="3">
        <f>IFERROR(__xludf.DUMMYFUNCTION("""COMPUTED_VALUE"""),29.0)</f>
        <v>29</v>
      </c>
      <c r="G5" s="5">
        <v>5.8</v>
      </c>
      <c r="H5" s="3">
        <f>IFERROR(__xludf.DUMMYFUNCTION("""COMPUTED_VALUE"""),1.0)</f>
        <v>1</v>
      </c>
      <c r="I5" s="5">
        <v>0.2</v>
      </c>
      <c r="J5" s="3">
        <f>IFERROR(__xludf.DUMMYFUNCTION("""COMPUTED_VALUE"""),13911.0)</f>
        <v>13911</v>
      </c>
      <c r="K5" s="5">
        <v>2782.2</v>
      </c>
      <c r="L5" s="3">
        <f>IFERROR(__xludf.DUMMYFUNCTION("""COMPUTED_VALUE"""),893.0)</f>
        <v>893</v>
      </c>
      <c r="M5" s="5">
        <v>178.6</v>
      </c>
      <c r="N5" s="5">
        <v>3.37727603787327</v>
      </c>
    </row>
    <row r="6">
      <c r="A6" s="2" t="str">
        <f>IFERROR(__xludf.DUMMYFUNCTION("""COMPUTED_VALUE"""),"Tess1509")</f>
        <v>Tess1509</v>
      </c>
      <c r="B6" s="3">
        <v>1.0</v>
      </c>
      <c r="C6" s="3">
        <v>0.0</v>
      </c>
      <c r="D6" s="3">
        <v>1.0</v>
      </c>
      <c r="E6" s="4">
        <v>0.0</v>
      </c>
      <c r="F6" s="3">
        <f>IFERROR(__xludf.DUMMYFUNCTION("""COMPUTED_VALUE"""),2.0)</f>
        <v>2</v>
      </c>
      <c r="G6" s="5">
        <v>2.0</v>
      </c>
      <c r="H6" s="3">
        <f>IFERROR(__xludf.DUMMYFUNCTION("""COMPUTED_VALUE"""),0.0)</f>
        <v>0</v>
      </c>
      <c r="I6" s="5">
        <v>0.0</v>
      </c>
      <c r="J6" s="3">
        <f>IFERROR(__xludf.DUMMYFUNCTION("""COMPUTED_VALUE"""),2243.0)</f>
        <v>2243</v>
      </c>
      <c r="K6" s="5">
        <v>2243.0</v>
      </c>
      <c r="L6" s="3">
        <f>IFERROR(__xludf.DUMMYFUNCTION("""COMPUTED_VALUE"""),100.0)</f>
        <v>100</v>
      </c>
      <c r="M6" s="5">
        <v>100.0</v>
      </c>
      <c r="N6" s="5">
        <v>3.064207650273224</v>
      </c>
    </row>
    <row r="7">
      <c r="A7" s="2" t="str">
        <f>IFERROR(__xludf.DUMMYFUNCTION("""COMPUTED_VALUE"""),"ZeroO")</f>
        <v>ZeroO</v>
      </c>
      <c r="B7" s="3">
        <v>1.0</v>
      </c>
      <c r="C7" s="3">
        <v>1.0</v>
      </c>
      <c r="D7" s="3">
        <v>0.0</v>
      </c>
      <c r="E7" s="4">
        <v>1.0</v>
      </c>
      <c r="F7" s="3">
        <f>IFERROR(__xludf.DUMMYFUNCTION("""COMPUTED_VALUE"""),5.0)</f>
        <v>5</v>
      </c>
      <c r="G7" s="5">
        <v>5.0</v>
      </c>
      <c r="H7" s="3">
        <f>IFERROR(__xludf.DUMMYFUNCTION("""COMPUTED_VALUE"""),3.0)</f>
        <v>3</v>
      </c>
      <c r="I7" s="5">
        <v>3.0</v>
      </c>
      <c r="J7" s="3">
        <f>IFERROR(__xludf.DUMMYFUNCTION("""COMPUTED_VALUE"""),1291.0)</f>
        <v>1291</v>
      </c>
      <c r="K7" s="5">
        <v>1291.0</v>
      </c>
      <c r="L7" s="3">
        <f>IFERROR(__xludf.DUMMYFUNCTION("""COMPUTED_VALUE"""),132.0)</f>
        <v>132</v>
      </c>
      <c r="M7" s="5">
        <v>132.0</v>
      </c>
      <c r="N7" s="5">
        <v>1.7636612021857923</v>
      </c>
    </row>
    <row r="8">
      <c r="A8" s="2"/>
      <c r="B8" s="3"/>
      <c r="C8" s="3"/>
      <c r="D8" s="3"/>
      <c r="E8" s="4"/>
      <c r="F8" s="3"/>
      <c r="G8" s="5"/>
      <c r="H8" s="3"/>
      <c r="I8" s="5"/>
      <c r="J8" s="3"/>
      <c r="K8" s="5"/>
      <c r="L8" s="3"/>
      <c r="M8" s="5"/>
      <c r="N8" s="5"/>
    </row>
    <row r="9">
      <c r="A9" s="2"/>
      <c r="B9" s="3"/>
      <c r="C9" s="3"/>
      <c r="D9" s="3"/>
      <c r="E9" s="4"/>
      <c r="F9" s="3"/>
      <c r="G9" s="5"/>
      <c r="H9" s="3"/>
      <c r="I9" s="5"/>
      <c r="J9" s="3"/>
      <c r="K9" s="5"/>
      <c r="L9" s="3"/>
      <c r="M9" s="5"/>
      <c r="N9" s="5"/>
    </row>
    <row r="10">
      <c r="A10" s="2"/>
      <c r="B10" s="3"/>
      <c r="C10" s="3"/>
      <c r="D10" s="3"/>
      <c r="E10" s="4"/>
      <c r="F10" s="3"/>
      <c r="G10" s="5"/>
      <c r="H10" s="3"/>
      <c r="I10" s="5"/>
      <c r="J10" s="3"/>
      <c r="K10" s="5"/>
      <c r="L10" s="3"/>
      <c r="M10" s="5"/>
      <c r="N10" s="5"/>
    </row>
    <row r="11">
      <c r="A11" s="2"/>
      <c r="B11" s="3"/>
      <c r="C11" s="3"/>
      <c r="D11" s="3"/>
      <c r="E11" s="4"/>
      <c r="F11" s="3"/>
      <c r="G11" s="5"/>
      <c r="H11" s="3"/>
      <c r="I11" s="5"/>
      <c r="J11" s="3"/>
      <c r="K11" s="5"/>
      <c r="L11" s="3"/>
      <c r="M11" s="5"/>
      <c r="N11" s="5"/>
    </row>
    <row r="12">
      <c r="A12" s="2"/>
      <c r="B12" s="3"/>
      <c r="C12" s="3"/>
      <c r="D12" s="3"/>
      <c r="E12" s="4"/>
      <c r="F12" s="3"/>
      <c r="G12" s="5"/>
      <c r="H12" s="3"/>
      <c r="I12" s="5"/>
      <c r="J12" s="3"/>
      <c r="K12" s="5"/>
      <c r="L12" s="3"/>
      <c r="M12" s="5"/>
      <c r="N12" s="5"/>
    </row>
    <row r="13">
      <c r="A13" s="2"/>
      <c r="B13" s="3"/>
      <c r="C13" s="3"/>
      <c r="D13" s="3"/>
      <c r="E13" s="4"/>
      <c r="F13" s="3"/>
      <c r="G13" s="5"/>
      <c r="H13" s="3"/>
      <c r="I13" s="5"/>
      <c r="J13" s="3"/>
      <c r="K13" s="5"/>
      <c r="L13" s="3"/>
      <c r="M13" s="5"/>
      <c r="N13" s="5"/>
    </row>
    <row r="14">
      <c r="A14" s="2"/>
      <c r="B14" s="3"/>
      <c r="C14" s="3"/>
      <c r="D14" s="3"/>
      <c r="E14" s="4"/>
      <c r="F14" s="3"/>
      <c r="G14" s="5"/>
      <c r="H14" s="3"/>
      <c r="I14" s="5"/>
      <c r="J14" s="3"/>
      <c r="K14" s="5"/>
      <c r="L14" s="3"/>
      <c r="M14" s="5"/>
      <c r="N14" s="5"/>
    </row>
    <row r="15">
      <c r="A15" s="2"/>
      <c r="B15" s="3"/>
      <c r="C15" s="3"/>
      <c r="D15" s="3"/>
      <c r="E15" s="4"/>
      <c r="F15" s="3"/>
      <c r="G15" s="5"/>
      <c r="H15" s="3"/>
      <c r="I15" s="5"/>
      <c r="J15" s="3"/>
      <c r="K15" s="5"/>
      <c r="L15" s="3"/>
      <c r="M15" s="5"/>
      <c r="N15" s="5"/>
    </row>
    <row r="16">
      <c r="A16" s="2"/>
      <c r="B16" s="3"/>
      <c r="C16" s="3"/>
      <c r="D16" s="3"/>
      <c r="E16" s="4"/>
      <c r="F16" s="3"/>
      <c r="G16" s="5"/>
      <c r="H16" s="3"/>
      <c r="I16" s="5"/>
      <c r="J16" s="3"/>
      <c r="K16" s="5"/>
      <c r="L16" s="3"/>
      <c r="M16" s="5"/>
      <c r="N16" s="5"/>
    </row>
    <row r="17">
      <c r="A17" s="2"/>
      <c r="B17" s="3"/>
      <c r="C17" s="3"/>
      <c r="D17" s="3"/>
      <c r="E17" s="4"/>
      <c r="F17" s="3"/>
      <c r="G17" s="5"/>
      <c r="H17" s="3"/>
      <c r="I17" s="5"/>
      <c r="J17" s="3"/>
      <c r="K17" s="5"/>
      <c r="L17" s="3"/>
      <c r="M17" s="5"/>
      <c r="N17" s="5"/>
    </row>
    <row r="18">
      <c r="A18" s="2"/>
      <c r="B18" s="3"/>
      <c r="C18" s="3"/>
      <c r="D18" s="3"/>
      <c r="E18" s="4"/>
      <c r="F18" s="3"/>
      <c r="G18" s="5"/>
      <c r="H18" s="3"/>
      <c r="I18" s="5"/>
      <c r="J18" s="3"/>
      <c r="K18" s="5"/>
      <c r="L18" s="3"/>
      <c r="M18" s="5"/>
      <c r="N18" s="5"/>
    </row>
    <row r="19">
      <c r="A19" s="2"/>
      <c r="B19" s="3"/>
      <c r="C19" s="3"/>
      <c r="D19" s="3"/>
      <c r="E19" s="4"/>
      <c r="F19" s="3"/>
      <c r="G19" s="5"/>
      <c r="H19" s="3"/>
      <c r="I19" s="5"/>
      <c r="J19" s="3"/>
      <c r="K19" s="5"/>
      <c r="L19" s="3"/>
      <c r="M19" s="5"/>
      <c r="N19" s="5"/>
    </row>
    <row r="20">
      <c r="A20" s="2"/>
      <c r="B20" s="3"/>
      <c r="C20" s="3"/>
      <c r="D20" s="3"/>
      <c r="E20" s="4"/>
      <c r="F20" s="3"/>
      <c r="G20" s="5"/>
      <c r="H20" s="3"/>
      <c r="I20" s="5"/>
      <c r="J20" s="3"/>
      <c r="K20" s="5"/>
      <c r="L20" s="3"/>
      <c r="M20" s="5"/>
      <c r="N20" s="5"/>
    </row>
    <row r="21">
      <c r="A21" s="2"/>
      <c r="B21" s="3"/>
      <c r="C21" s="3"/>
      <c r="D21" s="3"/>
      <c r="E21" s="4"/>
      <c r="F21" s="3"/>
      <c r="G21" s="5"/>
      <c r="H21" s="3"/>
      <c r="I21" s="5"/>
      <c r="J21" s="3"/>
      <c r="K21" s="5"/>
      <c r="L21" s="3"/>
      <c r="M21" s="5"/>
      <c r="N21" s="5"/>
    </row>
    <row r="22">
      <c r="A22" s="2"/>
      <c r="B22" s="3"/>
      <c r="C22" s="3"/>
      <c r="D22" s="3"/>
      <c r="E22" s="4"/>
      <c r="F22" s="3"/>
      <c r="G22" s="5"/>
      <c r="H22" s="3"/>
      <c r="I22" s="5"/>
      <c r="J22" s="3"/>
      <c r="K22" s="5"/>
      <c r="L22" s="3"/>
      <c r="M22" s="5"/>
      <c r="N22" s="5"/>
    </row>
    <row r="23">
      <c r="A23" s="2"/>
      <c r="B23" s="3"/>
      <c r="C23" s="3"/>
      <c r="D23" s="3"/>
      <c r="E23" s="4"/>
      <c r="F23" s="3"/>
      <c r="G23" s="5"/>
      <c r="H23" s="3"/>
      <c r="I23" s="5"/>
      <c r="J23" s="3"/>
      <c r="K23" s="5"/>
      <c r="L23" s="3"/>
      <c r="M23" s="5"/>
      <c r="N23" s="5"/>
    </row>
    <row r="24">
      <c r="A24" s="2"/>
      <c r="B24" s="3"/>
      <c r="C24" s="3"/>
      <c r="D24" s="3"/>
      <c r="E24" s="4"/>
      <c r="F24" s="3"/>
      <c r="G24" s="5"/>
      <c r="H24" s="3"/>
      <c r="I24" s="5"/>
      <c r="J24" s="3"/>
      <c r="K24" s="5"/>
      <c r="L24" s="3"/>
      <c r="M24" s="5"/>
      <c r="N24" s="5"/>
    </row>
    <row r="25">
      <c r="A25" s="2"/>
      <c r="B25" s="3"/>
      <c r="C25" s="3"/>
      <c r="D25" s="3"/>
      <c r="E25" s="4"/>
      <c r="F25" s="3"/>
      <c r="G25" s="5"/>
      <c r="H25" s="3"/>
      <c r="I25" s="5"/>
      <c r="J25" s="3"/>
      <c r="K25" s="5"/>
      <c r="L25" s="3"/>
      <c r="M25" s="5"/>
      <c r="N25" s="5"/>
    </row>
    <row r="26">
      <c r="A26" s="2"/>
      <c r="B26" s="3"/>
      <c r="C26" s="3"/>
      <c r="D26" s="3"/>
      <c r="E26" s="4"/>
      <c r="F26" s="3"/>
      <c r="G26" s="5"/>
      <c r="H26" s="3"/>
      <c r="I26" s="5"/>
      <c r="J26" s="3"/>
      <c r="K26" s="5"/>
      <c r="L26" s="3"/>
      <c r="M26" s="5"/>
      <c r="N26" s="5"/>
    </row>
    <row r="27">
      <c r="A27" s="2"/>
      <c r="B27" s="3"/>
      <c r="C27" s="3"/>
      <c r="D27" s="3"/>
      <c r="E27" s="4"/>
      <c r="F27" s="3"/>
      <c r="G27" s="5"/>
      <c r="H27" s="3"/>
      <c r="I27" s="5"/>
      <c r="J27" s="3"/>
      <c r="K27" s="5"/>
      <c r="L27" s="3"/>
      <c r="M27" s="5"/>
      <c r="N27" s="5"/>
    </row>
    <row r="28">
      <c r="A28" s="2"/>
      <c r="B28" s="3"/>
      <c r="C28" s="3"/>
      <c r="D28" s="3"/>
      <c r="E28" s="4"/>
      <c r="F28" s="3"/>
      <c r="G28" s="5"/>
      <c r="H28" s="3"/>
      <c r="I28" s="5"/>
      <c r="J28" s="3"/>
      <c r="K28" s="5"/>
      <c r="L28" s="3"/>
      <c r="M28" s="5"/>
      <c r="N28" s="5"/>
    </row>
    <row r="29">
      <c r="A29" s="2"/>
      <c r="B29" s="3"/>
      <c r="C29" s="3"/>
      <c r="D29" s="3"/>
      <c r="E29" s="4"/>
      <c r="F29" s="3"/>
      <c r="G29" s="5"/>
      <c r="H29" s="3"/>
      <c r="I29" s="5"/>
      <c r="J29" s="3"/>
      <c r="K29" s="5"/>
      <c r="L29" s="3"/>
      <c r="M29" s="5"/>
      <c r="N29" s="5"/>
    </row>
    <row r="30">
      <c r="A30" s="2"/>
      <c r="B30" s="3"/>
      <c r="C30" s="3"/>
      <c r="D30" s="3"/>
      <c r="E30" s="4"/>
      <c r="F30" s="3"/>
      <c r="G30" s="5"/>
      <c r="H30" s="3"/>
      <c r="I30" s="5"/>
      <c r="J30" s="3"/>
      <c r="K30" s="5"/>
      <c r="L30" s="3"/>
      <c r="M30" s="5"/>
      <c r="N30" s="5"/>
    </row>
    <row r="31">
      <c r="A31" s="2"/>
      <c r="B31" s="3"/>
      <c r="C31" s="3"/>
      <c r="D31" s="3"/>
      <c r="E31" s="4"/>
      <c r="F31" s="3"/>
      <c r="G31" s="5"/>
      <c r="H31" s="3"/>
      <c r="I31" s="5"/>
      <c r="J31" s="3"/>
      <c r="K31" s="5"/>
      <c r="L31" s="3"/>
      <c r="M31" s="5"/>
      <c r="N31" s="5"/>
    </row>
    <row r="32">
      <c r="A32" s="2"/>
      <c r="B32" s="3"/>
      <c r="C32" s="3"/>
      <c r="D32" s="3"/>
      <c r="E32" s="4"/>
      <c r="F32" s="3"/>
      <c r="G32" s="5"/>
      <c r="H32" s="3"/>
      <c r="I32" s="5"/>
      <c r="J32" s="3"/>
      <c r="K32" s="5"/>
      <c r="L32" s="3"/>
      <c r="M32" s="5"/>
      <c r="N32" s="5"/>
    </row>
    <row r="33">
      <c r="A33" s="2"/>
      <c r="B33" s="3"/>
      <c r="C33" s="3"/>
      <c r="D33" s="3"/>
      <c r="E33" s="4"/>
      <c r="F33" s="3"/>
      <c r="G33" s="5"/>
      <c r="H33" s="3"/>
      <c r="I33" s="5"/>
      <c r="J33" s="3"/>
      <c r="K33" s="5"/>
      <c r="L33" s="3"/>
      <c r="M33" s="5"/>
      <c r="N33" s="5"/>
    </row>
    <row r="34">
      <c r="A34" s="2"/>
      <c r="B34" s="3"/>
      <c r="C34" s="3"/>
      <c r="D34" s="3"/>
      <c r="E34" s="4"/>
      <c r="F34" s="3"/>
      <c r="G34" s="5"/>
      <c r="H34" s="3"/>
      <c r="I34" s="5"/>
      <c r="J34" s="3"/>
      <c r="K34" s="5"/>
      <c r="L34" s="3"/>
      <c r="M34" s="5"/>
      <c r="N34" s="5"/>
    </row>
    <row r="35">
      <c r="A35" s="2"/>
      <c r="B35" s="3"/>
      <c r="C35" s="3"/>
      <c r="D35" s="3"/>
      <c r="E35" s="4"/>
      <c r="F35" s="3"/>
      <c r="G35" s="5"/>
      <c r="H35" s="3"/>
      <c r="I35" s="5"/>
      <c r="J35" s="3"/>
      <c r="K35" s="5"/>
      <c r="L35" s="3"/>
      <c r="M35" s="5"/>
      <c r="N35" s="5"/>
    </row>
    <row r="36">
      <c r="A36" s="2"/>
      <c r="B36" s="3"/>
      <c r="C36" s="3"/>
      <c r="D36" s="3"/>
      <c r="E36" s="4"/>
      <c r="F36" s="3"/>
      <c r="G36" s="5"/>
      <c r="H36" s="3"/>
      <c r="I36" s="5"/>
      <c r="J36" s="3"/>
      <c r="K36" s="5"/>
      <c r="L36" s="3"/>
      <c r="M36" s="5"/>
      <c r="N36" s="5"/>
    </row>
    <row r="37">
      <c r="A37" s="2"/>
      <c r="B37" s="3"/>
      <c r="C37" s="3"/>
      <c r="D37" s="3"/>
      <c r="E37" s="4"/>
      <c r="F37" s="3"/>
      <c r="G37" s="5"/>
      <c r="H37" s="3"/>
      <c r="I37" s="5"/>
      <c r="J37" s="3"/>
      <c r="K37" s="5"/>
      <c r="L37" s="3"/>
      <c r="M37" s="5"/>
      <c r="N37" s="5"/>
    </row>
    <row r="38">
      <c r="A38" s="2"/>
      <c r="B38" s="3"/>
      <c r="C38" s="3"/>
      <c r="D38" s="3"/>
      <c r="E38" s="4"/>
      <c r="F38" s="3"/>
      <c r="G38" s="5"/>
      <c r="H38" s="3"/>
      <c r="I38" s="5"/>
      <c r="J38" s="3"/>
      <c r="K38" s="5"/>
      <c r="L38" s="3"/>
      <c r="M38" s="5"/>
      <c r="N38" s="5"/>
    </row>
    <row r="39">
      <c r="A39" s="2"/>
      <c r="B39" s="3"/>
      <c r="C39" s="3"/>
      <c r="D39" s="3"/>
      <c r="E39" s="4"/>
      <c r="F39" s="3"/>
      <c r="G39" s="5"/>
      <c r="H39" s="3"/>
      <c r="I39" s="5"/>
      <c r="J39" s="3"/>
      <c r="K39" s="5"/>
      <c r="L39" s="3"/>
      <c r="M39" s="5"/>
      <c r="N39" s="5"/>
    </row>
    <row r="40">
      <c r="A40" s="2"/>
      <c r="B40" s="3"/>
      <c r="C40" s="3"/>
      <c r="D40" s="3"/>
      <c r="E40" s="4"/>
      <c r="F40" s="3"/>
      <c r="G40" s="5"/>
      <c r="H40" s="3"/>
      <c r="I40" s="5"/>
      <c r="J40" s="3"/>
      <c r="K40" s="5"/>
      <c r="L40" s="3"/>
      <c r="M40" s="5"/>
      <c r="N40" s="5"/>
    </row>
    <row r="41">
      <c r="A41" s="2"/>
      <c r="B41" s="3"/>
      <c r="C41" s="3"/>
      <c r="D41" s="3"/>
      <c r="E41" s="4"/>
      <c r="F41" s="3"/>
      <c r="G41" s="5"/>
      <c r="H41" s="3"/>
      <c r="I41" s="5"/>
      <c r="J41" s="3"/>
      <c r="K41" s="5"/>
      <c r="L41" s="3"/>
      <c r="M41" s="5"/>
      <c r="N41" s="5"/>
    </row>
    <row r="42">
      <c r="A42" s="2"/>
      <c r="B42" s="3"/>
      <c r="C42" s="3"/>
      <c r="D42" s="3"/>
      <c r="E42" s="4"/>
      <c r="F42" s="3"/>
      <c r="G42" s="5"/>
      <c r="H42" s="3"/>
      <c r="I42" s="5"/>
      <c r="J42" s="3"/>
      <c r="K42" s="5"/>
      <c r="L42" s="3"/>
      <c r="M42" s="5"/>
      <c r="N42" s="5"/>
    </row>
    <row r="43">
      <c r="A43" s="2"/>
      <c r="B43" s="3"/>
      <c r="C43" s="3"/>
      <c r="D43" s="3"/>
      <c r="E43" s="4"/>
      <c r="F43" s="3"/>
      <c r="G43" s="5"/>
      <c r="H43" s="3"/>
      <c r="I43" s="5"/>
      <c r="J43" s="3"/>
      <c r="K43" s="5"/>
      <c r="L43" s="3"/>
      <c r="M43" s="5"/>
      <c r="N43" s="5"/>
    </row>
    <row r="44">
      <c r="A44" s="2"/>
      <c r="B44" s="3"/>
      <c r="C44" s="3"/>
      <c r="D44" s="3"/>
      <c r="E44" s="4"/>
      <c r="F44" s="3"/>
      <c r="G44" s="5"/>
      <c r="H44" s="3"/>
      <c r="I44" s="5"/>
      <c r="J44" s="3"/>
      <c r="K44" s="5"/>
      <c r="L44" s="3"/>
      <c r="M44" s="5"/>
      <c r="N44" s="5"/>
    </row>
    <row r="45">
      <c r="A45" s="2"/>
      <c r="B45" s="3"/>
      <c r="C45" s="3"/>
      <c r="D45" s="3"/>
      <c r="E45" s="4"/>
      <c r="F45" s="3"/>
      <c r="G45" s="5"/>
      <c r="H45" s="3"/>
      <c r="I45" s="5"/>
      <c r="J45" s="3"/>
      <c r="K45" s="5"/>
      <c r="L45" s="3"/>
      <c r="M45" s="5"/>
      <c r="N45" s="5"/>
    </row>
    <row r="46">
      <c r="A46" s="2"/>
      <c r="B46" s="3"/>
      <c r="C46" s="3"/>
      <c r="D46" s="3"/>
      <c r="E46" s="4"/>
      <c r="F46" s="3"/>
      <c r="G46" s="5"/>
      <c r="H46" s="3"/>
      <c r="I46" s="5"/>
      <c r="J46" s="3"/>
      <c r="K46" s="5"/>
      <c r="L46" s="3"/>
      <c r="M46" s="5"/>
      <c r="N46" s="5"/>
    </row>
    <row r="47">
      <c r="A47" s="2"/>
      <c r="B47" s="3"/>
      <c r="C47" s="3"/>
      <c r="D47" s="3"/>
      <c r="E47" s="4"/>
      <c r="F47" s="3"/>
      <c r="G47" s="5"/>
      <c r="H47" s="3"/>
      <c r="I47" s="5"/>
      <c r="J47" s="3"/>
      <c r="K47" s="5"/>
      <c r="L47" s="3"/>
      <c r="M47" s="5"/>
      <c r="N47" s="5"/>
    </row>
    <row r="48">
      <c r="A48" s="2"/>
      <c r="B48" s="3"/>
      <c r="C48" s="3"/>
      <c r="D48" s="3"/>
      <c r="E48" s="4"/>
      <c r="F48" s="3"/>
      <c r="G48" s="5"/>
      <c r="H48" s="3"/>
      <c r="I48" s="5"/>
      <c r="J48" s="3"/>
      <c r="K48" s="5"/>
      <c r="L48" s="3"/>
      <c r="M48" s="5"/>
      <c r="N48" s="5"/>
    </row>
    <row r="49">
      <c r="A49" s="2"/>
      <c r="B49" s="3"/>
      <c r="C49" s="3"/>
      <c r="D49" s="3"/>
      <c r="E49" s="4"/>
      <c r="F49" s="3"/>
      <c r="G49" s="5"/>
      <c r="H49" s="3"/>
      <c r="I49" s="5"/>
      <c r="J49" s="3"/>
      <c r="K49" s="5"/>
      <c r="L49" s="3"/>
      <c r="M49" s="5"/>
      <c r="N49" s="5"/>
    </row>
    <row r="50">
      <c r="A50" s="2"/>
      <c r="B50" s="3"/>
      <c r="C50" s="3"/>
      <c r="D50" s="3"/>
      <c r="E50" s="4"/>
      <c r="F50" s="3"/>
      <c r="G50" s="5"/>
      <c r="H50" s="3"/>
      <c r="I50" s="5"/>
      <c r="J50" s="3"/>
      <c r="K50" s="5"/>
      <c r="L50" s="3"/>
      <c r="M50" s="5"/>
      <c r="N50" s="5"/>
    </row>
    <row r="51">
      <c r="A51" s="2"/>
      <c r="B51" s="3"/>
      <c r="C51" s="3"/>
      <c r="D51" s="3"/>
      <c r="E51" s="4"/>
      <c r="F51" s="3"/>
      <c r="G51" s="5"/>
      <c r="H51" s="3"/>
      <c r="I51" s="5"/>
      <c r="J51" s="3"/>
      <c r="K51" s="5"/>
      <c r="L51" s="3"/>
      <c r="M51" s="5"/>
      <c r="N51" s="5"/>
    </row>
    <row r="52">
      <c r="A52" s="2"/>
      <c r="B52" s="3"/>
      <c r="C52" s="3"/>
      <c r="D52" s="3"/>
      <c r="E52" s="4"/>
      <c r="F52" s="3"/>
      <c r="G52" s="5"/>
      <c r="H52" s="3"/>
      <c r="I52" s="5"/>
      <c r="J52" s="3"/>
      <c r="K52" s="5"/>
      <c r="L52" s="3"/>
      <c r="M52" s="5"/>
      <c r="N52" s="5"/>
    </row>
    <row r="53">
      <c r="A53" s="2"/>
      <c r="B53" s="3"/>
      <c r="C53" s="3"/>
      <c r="D53" s="3"/>
      <c r="E53" s="4"/>
      <c r="F53" s="3"/>
      <c r="G53" s="5"/>
      <c r="H53" s="3"/>
      <c r="I53" s="5"/>
      <c r="J53" s="3"/>
      <c r="K53" s="5"/>
      <c r="L53" s="3"/>
      <c r="M53" s="5"/>
      <c r="N53" s="5"/>
    </row>
    <row r="54">
      <c r="A54" s="2"/>
      <c r="B54" s="3"/>
      <c r="C54" s="3"/>
      <c r="D54" s="3"/>
      <c r="E54" s="4"/>
      <c r="F54" s="3"/>
      <c r="G54" s="5"/>
      <c r="H54" s="3"/>
      <c r="I54" s="5"/>
      <c r="J54" s="3"/>
      <c r="K54" s="5"/>
      <c r="L54" s="3"/>
      <c r="M54" s="5"/>
      <c r="N54" s="5"/>
    </row>
    <row r="55">
      <c r="A55" s="2"/>
      <c r="B55" s="3"/>
      <c r="C55" s="3"/>
      <c r="D55" s="3"/>
      <c r="E55" s="4"/>
      <c r="F55" s="3"/>
      <c r="G55" s="5"/>
      <c r="H55" s="3"/>
      <c r="I55" s="5"/>
      <c r="J55" s="3"/>
      <c r="K55" s="5"/>
      <c r="L55" s="3"/>
      <c r="M55" s="5"/>
      <c r="N55" s="5"/>
    </row>
    <row r="56">
      <c r="A56" s="2"/>
      <c r="B56" s="3"/>
      <c r="C56" s="3"/>
      <c r="D56" s="3"/>
      <c r="E56" s="4"/>
      <c r="F56" s="3"/>
      <c r="G56" s="5"/>
      <c r="H56" s="3"/>
      <c r="I56" s="5"/>
      <c r="J56" s="3"/>
      <c r="K56" s="5"/>
      <c r="L56" s="3"/>
      <c r="M56" s="5"/>
      <c r="N56" s="5"/>
    </row>
    <row r="57">
      <c r="A57" s="2"/>
      <c r="B57" s="3"/>
      <c r="C57" s="3"/>
      <c r="D57" s="3"/>
      <c r="E57" s="4"/>
      <c r="F57" s="3"/>
      <c r="G57" s="5"/>
      <c r="H57" s="3"/>
      <c r="I57" s="5"/>
      <c r="J57" s="3"/>
      <c r="K57" s="5"/>
      <c r="L57" s="3"/>
      <c r="M57" s="5"/>
      <c r="N57" s="5"/>
    </row>
    <row r="58">
      <c r="A58" s="2"/>
      <c r="B58" s="3"/>
      <c r="C58" s="3"/>
      <c r="D58" s="3"/>
      <c r="E58" s="4"/>
      <c r="F58" s="3"/>
      <c r="G58" s="5"/>
      <c r="H58" s="3"/>
      <c r="I58" s="5"/>
      <c r="J58" s="3"/>
      <c r="K58" s="5"/>
      <c r="L58" s="3"/>
      <c r="M58" s="5"/>
      <c r="N58" s="5"/>
    </row>
    <row r="59">
      <c r="A59" s="2"/>
      <c r="B59" s="3"/>
      <c r="C59" s="3"/>
      <c r="D59" s="3"/>
      <c r="E59" s="4"/>
      <c r="F59" s="3"/>
      <c r="G59" s="5"/>
      <c r="H59" s="3"/>
      <c r="I59" s="5"/>
      <c r="J59" s="3"/>
      <c r="K59" s="5"/>
      <c r="L59" s="3"/>
      <c r="M59" s="5"/>
      <c r="N59" s="5"/>
    </row>
    <row r="60">
      <c r="A60" s="2"/>
      <c r="B60" s="3"/>
      <c r="C60" s="3"/>
      <c r="D60" s="3"/>
      <c r="E60" s="4"/>
      <c r="F60" s="3"/>
      <c r="G60" s="5"/>
      <c r="H60" s="3"/>
      <c r="I60" s="5"/>
      <c r="J60" s="3"/>
      <c r="K60" s="5"/>
      <c r="L60" s="3"/>
      <c r="M60" s="5"/>
      <c r="N60" s="5"/>
    </row>
    <row r="61">
      <c r="A61" s="2"/>
      <c r="B61" s="3"/>
      <c r="C61" s="3"/>
      <c r="D61" s="3"/>
      <c r="E61" s="4"/>
      <c r="F61" s="3"/>
      <c r="G61" s="5"/>
      <c r="H61" s="3"/>
      <c r="I61" s="5"/>
      <c r="J61" s="3"/>
      <c r="K61" s="5"/>
      <c r="L61" s="3"/>
      <c r="M61" s="5"/>
      <c r="N61" s="5"/>
    </row>
    <row r="62">
      <c r="A62" s="2"/>
      <c r="B62" s="3"/>
      <c r="C62" s="3"/>
      <c r="D62" s="3"/>
      <c r="E62" s="4"/>
      <c r="F62" s="3"/>
      <c r="G62" s="5"/>
      <c r="H62" s="3"/>
      <c r="I62" s="5"/>
      <c r="J62" s="3"/>
      <c r="K62" s="5"/>
      <c r="L62" s="3"/>
      <c r="M62" s="5"/>
      <c r="N62" s="5"/>
    </row>
    <row r="63">
      <c r="A63" s="2"/>
      <c r="B63" s="3"/>
      <c r="C63" s="3"/>
      <c r="D63" s="3"/>
      <c r="E63" s="4"/>
      <c r="F63" s="3"/>
      <c r="G63" s="5"/>
      <c r="H63" s="3"/>
      <c r="I63" s="5"/>
      <c r="J63" s="3"/>
      <c r="K63" s="5"/>
      <c r="L63" s="3"/>
      <c r="M63" s="5"/>
      <c r="N63" s="5"/>
    </row>
    <row r="64">
      <c r="A64" s="2"/>
      <c r="B64" s="3"/>
      <c r="C64" s="3"/>
      <c r="D64" s="3"/>
      <c r="E64" s="4"/>
      <c r="F64" s="3"/>
      <c r="G64" s="5"/>
      <c r="H64" s="3"/>
      <c r="I64" s="5"/>
      <c r="J64" s="3"/>
      <c r="K64" s="5"/>
      <c r="L64" s="3"/>
      <c r="M64" s="5"/>
      <c r="N64" s="5"/>
    </row>
    <row r="65">
      <c r="A65" s="2"/>
      <c r="B65" s="3"/>
      <c r="C65" s="3"/>
      <c r="D65" s="3"/>
      <c r="E65" s="4"/>
      <c r="F65" s="3"/>
      <c r="G65" s="5"/>
      <c r="H65" s="3"/>
      <c r="I65" s="5"/>
      <c r="J65" s="3"/>
      <c r="K65" s="5"/>
      <c r="L65" s="3"/>
      <c r="M65" s="5"/>
      <c r="N65" s="5"/>
    </row>
    <row r="66">
      <c r="A66" s="2"/>
      <c r="B66" s="3"/>
      <c r="C66" s="3"/>
      <c r="D66" s="3"/>
      <c r="E66" s="4"/>
      <c r="F66" s="3"/>
      <c r="G66" s="5"/>
      <c r="H66" s="3"/>
      <c r="I66" s="5"/>
      <c r="J66" s="3"/>
      <c r="K66" s="5"/>
      <c r="L66" s="3"/>
      <c r="M66" s="5"/>
      <c r="N66" s="5"/>
    </row>
    <row r="67">
      <c r="A67" s="2"/>
      <c r="B67" s="3"/>
      <c r="C67" s="3"/>
      <c r="D67" s="3"/>
      <c r="E67" s="4"/>
      <c r="F67" s="3"/>
      <c r="G67" s="5"/>
      <c r="H67" s="3"/>
      <c r="I67" s="5"/>
      <c r="J67" s="3"/>
      <c r="K67" s="5"/>
      <c r="L67" s="3"/>
      <c r="M67" s="5"/>
      <c r="N67" s="5"/>
    </row>
    <row r="68">
      <c r="A68" s="2"/>
      <c r="B68" s="3"/>
      <c r="C68" s="3"/>
      <c r="D68" s="3"/>
      <c r="E68" s="4"/>
      <c r="F68" s="3"/>
      <c r="G68" s="5"/>
      <c r="H68" s="3"/>
      <c r="I68" s="5"/>
      <c r="J68" s="3"/>
      <c r="K68" s="5"/>
      <c r="L68" s="3"/>
      <c r="M68" s="5"/>
      <c r="N68" s="5"/>
    </row>
    <row r="69">
      <c r="A69" s="2"/>
      <c r="B69" s="3"/>
      <c r="C69" s="3"/>
      <c r="D69" s="3"/>
      <c r="E69" s="4"/>
      <c r="F69" s="3"/>
      <c r="G69" s="5"/>
      <c r="H69" s="3"/>
      <c r="I69" s="5"/>
      <c r="J69" s="3"/>
      <c r="K69" s="5"/>
      <c r="L69" s="3"/>
      <c r="M69" s="5"/>
      <c r="N69" s="5"/>
    </row>
    <row r="70">
      <c r="A70" s="2"/>
      <c r="B70" s="3"/>
      <c r="C70" s="3"/>
      <c r="D70" s="3"/>
      <c r="E70" s="4"/>
      <c r="F70" s="3"/>
      <c r="G70" s="5"/>
      <c r="H70" s="3"/>
      <c r="I70" s="5"/>
      <c r="J70" s="3"/>
      <c r="K70" s="5"/>
      <c r="L70" s="3"/>
      <c r="M70" s="5"/>
      <c r="N70" s="5"/>
    </row>
    <row r="71">
      <c r="A71" s="2"/>
      <c r="B71" s="3"/>
      <c r="C71" s="3"/>
      <c r="D71" s="3"/>
      <c r="E71" s="4"/>
      <c r="F71" s="3"/>
      <c r="G71" s="5"/>
      <c r="H71" s="3"/>
      <c r="I71" s="5"/>
      <c r="J71" s="3"/>
      <c r="K71" s="5"/>
      <c r="L71" s="3"/>
      <c r="M71" s="5"/>
      <c r="N71" s="5"/>
    </row>
    <row r="72">
      <c r="A72" s="2"/>
      <c r="B72" s="3"/>
      <c r="C72" s="3"/>
      <c r="D72" s="3"/>
      <c r="E72" s="4"/>
      <c r="F72" s="3"/>
      <c r="G72" s="5"/>
      <c r="H72" s="3"/>
      <c r="I72" s="5"/>
      <c r="J72" s="3"/>
      <c r="K72" s="5"/>
      <c r="L72" s="3"/>
      <c r="M72" s="5"/>
      <c r="N72" s="5"/>
    </row>
    <row r="73">
      <c r="A73" s="2"/>
      <c r="B73" s="3"/>
      <c r="C73" s="3"/>
      <c r="D73" s="3"/>
      <c r="E73" s="4"/>
      <c r="F73" s="3"/>
      <c r="G73" s="5"/>
      <c r="H73" s="3"/>
      <c r="I73" s="5"/>
      <c r="J73" s="3"/>
      <c r="K73" s="5"/>
      <c r="L73" s="3"/>
      <c r="M73" s="5"/>
      <c r="N73" s="5"/>
    </row>
    <row r="74">
      <c r="A74" s="2"/>
      <c r="B74" s="3"/>
      <c r="C74" s="3"/>
      <c r="D74" s="3"/>
      <c r="E74" s="4"/>
      <c r="F74" s="3"/>
      <c r="G74" s="5"/>
      <c r="H74" s="3"/>
      <c r="I74" s="5"/>
      <c r="J74" s="3"/>
      <c r="K74" s="5"/>
      <c r="L74" s="3"/>
      <c r="M74" s="5"/>
      <c r="N74" s="5"/>
    </row>
    <row r="75">
      <c r="A75" s="2"/>
      <c r="B75" s="3"/>
      <c r="C75" s="3"/>
      <c r="D75" s="3"/>
      <c r="E75" s="4"/>
      <c r="F75" s="3"/>
      <c r="G75" s="5"/>
      <c r="H75" s="3"/>
      <c r="I75" s="5"/>
      <c r="J75" s="3"/>
      <c r="K75" s="5"/>
      <c r="L75" s="3"/>
      <c r="M75" s="5"/>
      <c r="N75" s="5"/>
    </row>
    <row r="76">
      <c r="A76" s="2"/>
      <c r="B76" s="3"/>
      <c r="C76" s="3"/>
      <c r="D76" s="3"/>
      <c r="E76" s="4"/>
      <c r="F76" s="3"/>
      <c r="G76" s="5"/>
      <c r="H76" s="3"/>
      <c r="I76" s="5"/>
      <c r="J76" s="3"/>
      <c r="K76" s="5"/>
      <c r="L76" s="3"/>
      <c r="M76" s="5"/>
      <c r="N76" s="5"/>
    </row>
    <row r="77">
      <c r="A77" s="2"/>
      <c r="B77" s="3"/>
      <c r="C77" s="3"/>
      <c r="D77" s="3"/>
      <c r="E77" s="4"/>
      <c r="F77" s="3"/>
      <c r="G77" s="5"/>
      <c r="H77" s="3"/>
      <c r="I77" s="5"/>
      <c r="J77" s="3"/>
      <c r="K77" s="5"/>
      <c r="L77" s="3"/>
      <c r="M77" s="5"/>
      <c r="N77" s="5"/>
    </row>
    <row r="78">
      <c r="A78" s="2"/>
      <c r="B78" s="3"/>
      <c r="C78" s="3"/>
      <c r="D78" s="3"/>
      <c r="E78" s="4"/>
      <c r="F78" s="3"/>
      <c r="G78" s="5"/>
      <c r="H78" s="3"/>
      <c r="I78" s="5"/>
      <c r="J78" s="3"/>
      <c r="K78" s="5"/>
      <c r="L78" s="3"/>
      <c r="M78" s="5"/>
      <c r="N78" s="5"/>
    </row>
    <row r="79">
      <c r="A79" s="2"/>
      <c r="B79" s="3"/>
      <c r="C79" s="3"/>
      <c r="D79" s="3"/>
      <c r="E79" s="4"/>
      <c r="F79" s="3"/>
      <c r="G79" s="5"/>
      <c r="H79" s="3"/>
      <c r="I79" s="5"/>
      <c r="J79" s="3"/>
      <c r="K79" s="5"/>
      <c r="L79" s="3"/>
      <c r="M79" s="5"/>
      <c r="N79" s="5"/>
    </row>
    <row r="80">
      <c r="A80" s="2"/>
      <c r="B80" s="3"/>
      <c r="C80" s="3"/>
      <c r="D80" s="3"/>
      <c r="E80" s="4"/>
      <c r="F80" s="3"/>
      <c r="G80" s="5"/>
      <c r="H80" s="3"/>
      <c r="I80" s="5"/>
      <c r="J80" s="3"/>
      <c r="K80" s="5"/>
      <c r="L80" s="3"/>
      <c r="M80" s="5"/>
      <c r="N80" s="5"/>
    </row>
    <row r="81">
      <c r="A81" s="2"/>
      <c r="B81" s="3"/>
      <c r="C81" s="3"/>
      <c r="D81" s="3"/>
      <c r="E81" s="4"/>
      <c r="F81" s="3"/>
      <c r="G81" s="5"/>
      <c r="H81" s="3"/>
      <c r="I81" s="5"/>
      <c r="J81" s="3"/>
      <c r="K81" s="5"/>
      <c r="L81" s="3"/>
      <c r="M81" s="5"/>
      <c r="N81" s="5"/>
    </row>
    <row r="82">
      <c r="A82" s="2"/>
      <c r="B82" s="3"/>
      <c r="C82" s="3"/>
      <c r="D82" s="3"/>
      <c r="E82" s="4"/>
      <c r="F82" s="3"/>
      <c r="G82" s="5"/>
      <c r="H82" s="3"/>
      <c r="I82" s="5"/>
      <c r="J82" s="3"/>
      <c r="K82" s="5"/>
      <c r="L82" s="3"/>
      <c r="M82" s="5"/>
      <c r="N82" s="5"/>
    </row>
    <row r="83">
      <c r="A83" s="2"/>
      <c r="B83" s="3"/>
      <c r="C83" s="3"/>
      <c r="D83" s="3"/>
      <c r="E83" s="4"/>
      <c r="F83" s="3"/>
      <c r="G83" s="5"/>
      <c r="H83" s="3"/>
      <c r="I83" s="5"/>
      <c r="J83" s="3"/>
      <c r="K83" s="5"/>
      <c r="L83" s="3"/>
      <c r="M83" s="5"/>
      <c r="N83" s="5"/>
    </row>
    <row r="84">
      <c r="A84" s="2"/>
      <c r="B84" s="3"/>
      <c r="C84" s="3"/>
      <c r="D84" s="3"/>
      <c r="E84" s="4"/>
      <c r="F84" s="3"/>
      <c r="G84" s="5"/>
      <c r="H84" s="3"/>
      <c r="I84" s="5"/>
      <c r="J84" s="3"/>
      <c r="K84" s="5"/>
      <c r="L84" s="3"/>
      <c r="M84" s="5"/>
      <c r="N84" s="5"/>
    </row>
    <row r="85">
      <c r="A85" s="2"/>
      <c r="B85" s="3"/>
      <c r="C85" s="3"/>
      <c r="D85" s="3"/>
      <c r="E85" s="4"/>
      <c r="F85" s="3"/>
      <c r="G85" s="5"/>
      <c r="H85" s="3"/>
      <c r="I85" s="5"/>
      <c r="J85" s="3"/>
      <c r="K85" s="5"/>
      <c r="L85" s="3"/>
      <c r="M85" s="5"/>
      <c r="N85" s="5"/>
    </row>
    <row r="86">
      <c r="A86" s="2"/>
      <c r="B86" s="3"/>
      <c r="C86" s="3"/>
      <c r="D86" s="3"/>
      <c r="E86" s="4"/>
      <c r="F86" s="3"/>
      <c r="G86" s="5"/>
      <c r="H86" s="3"/>
      <c r="I86" s="5"/>
      <c r="J86" s="3"/>
      <c r="K86" s="5"/>
      <c r="L86" s="3"/>
      <c r="M86" s="5"/>
      <c r="N86" s="5"/>
    </row>
    <row r="87">
      <c r="A87" s="2"/>
      <c r="B87" s="3"/>
      <c r="C87" s="3"/>
      <c r="D87" s="3"/>
      <c r="E87" s="4"/>
      <c r="F87" s="3"/>
      <c r="G87" s="5"/>
      <c r="H87" s="3"/>
      <c r="I87" s="5"/>
      <c r="J87" s="3"/>
      <c r="K87" s="5"/>
      <c r="L87" s="3"/>
      <c r="M87" s="5"/>
      <c r="N87" s="5"/>
    </row>
    <row r="88">
      <c r="A88" s="2"/>
      <c r="B88" s="3"/>
      <c r="C88" s="3"/>
      <c r="D88" s="3"/>
      <c r="E88" s="4"/>
      <c r="F88" s="3"/>
      <c r="G88" s="5"/>
      <c r="H88" s="3"/>
      <c r="I88" s="5"/>
      <c r="J88" s="3"/>
      <c r="K88" s="5"/>
      <c r="L88" s="3"/>
      <c r="M88" s="5"/>
      <c r="N88" s="5"/>
    </row>
    <row r="89">
      <c r="A89" s="2"/>
      <c r="B89" s="3"/>
      <c r="C89" s="3"/>
      <c r="D89" s="3"/>
      <c r="E89" s="4"/>
      <c r="F89" s="3"/>
      <c r="G89" s="5"/>
      <c r="H89" s="3"/>
      <c r="I89" s="5"/>
      <c r="J89" s="3"/>
      <c r="K89" s="5"/>
      <c r="L89" s="3"/>
      <c r="M89" s="5"/>
      <c r="N89" s="5"/>
    </row>
    <row r="90">
      <c r="A90" s="2"/>
      <c r="B90" s="3"/>
      <c r="C90" s="3"/>
      <c r="D90" s="3"/>
      <c r="E90" s="4"/>
      <c r="F90" s="3"/>
      <c r="G90" s="5"/>
      <c r="H90" s="3"/>
      <c r="I90" s="5"/>
      <c r="J90" s="3"/>
      <c r="K90" s="5"/>
      <c r="L90" s="3"/>
      <c r="M90" s="5"/>
      <c r="N90" s="5"/>
    </row>
    <row r="91">
      <c r="A91" s="2"/>
      <c r="B91" s="3"/>
      <c r="C91" s="3"/>
      <c r="D91" s="3"/>
      <c r="E91" s="4"/>
      <c r="F91" s="3"/>
      <c r="G91" s="5"/>
      <c r="H91" s="3"/>
      <c r="I91" s="5"/>
      <c r="J91" s="3"/>
      <c r="K91" s="5"/>
      <c r="L91" s="3"/>
      <c r="M91" s="5"/>
      <c r="N91" s="5"/>
    </row>
    <row r="92">
      <c r="A92" s="2"/>
      <c r="B92" s="3"/>
      <c r="C92" s="3"/>
      <c r="D92" s="3"/>
      <c r="E92" s="4"/>
      <c r="F92" s="3"/>
      <c r="G92" s="5"/>
      <c r="H92" s="3"/>
      <c r="I92" s="5"/>
      <c r="J92" s="3"/>
      <c r="K92" s="5"/>
      <c r="L92" s="3"/>
      <c r="M92" s="5"/>
      <c r="N92" s="5"/>
    </row>
    <row r="93">
      <c r="A93" s="2"/>
      <c r="B93" s="3"/>
      <c r="C93" s="3"/>
      <c r="D93" s="3"/>
      <c r="E93" s="4"/>
      <c r="F93" s="3"/>
      <c r="G93" s="5"/>
      <c r="H93" s="3"/>
      <c r="I93" s="5"/>
      <c r="J93" s="3"/>
      <c r="K93" s="5"/>
      <c r="L93" s="3"/>
      <c r="M93" s="5"/>
      <c r="N93" s="5"/>
    </row>
    <row r="94">
      <c r="A94" s="2"/>
      <c r="B94" s="3"/>
      <c r="C94" s="3"/>
      <c r="D94" s="3"/>
      <c r="E94" s="4"/>
      <c r="F94" s="3"/>
      <c r="G94" s="5"/>
      <c r="H94" s="3"/>
      <c r="I94" s="5"/>
      <c r="J94" s="3"/>
      <c r="K94" s="5"/>
      <c r="L94" s="3"/>
      <c r="M94" s="5"/>
      <c r="N94" s="5"/>
    </row>
    <row r="95">
      <c r="A95" s="2"/>
      <c r="B95" s="3"/>
      <c r="C95" s="3"/>
      <c r="D95" s="3"/>
      <c r="E95" s="4"/>
      <c r="F95" s="3"/>
      <c r="G95" s="5"/>
      <c r="H95" s="3"/>
      <c r="I95" s="5"/>
      <c r="J95" s="3"/>
      <c r="K95" s="5"/>
      <c r="L95" s="3"/>
      <c r="M95" s="5"/>
      <c r="N95" s="5"/>
    </row>
    <row r="96">
      <c r="A96" s="2"/>
      <c r="B96" s="3"/>
      <c r="C96" s="3"/>
      <c r="D96" s="3"/>
      <c r="E96" s="4"/>
      <c r="F96" s="3"/>
      <c r="G96" s="5"/>
      <c r="H96" s="3"/>
      <c r="I96" s="5"/>
      <c r="J96" s="3"/>
      <c r="K96" s="5"/>
      <c r="L96" s="3"/>
      <c r="M96" s="5"/>
      <c r="N96" s="5"/>
    </row>
    <row r="97">
      <c r="A97" s="2"/>
      <c r="B97" s="3"/>
      <c r="C97" s="3"/>
      <c r="D97" s="3"/>
      <c r="E97" s="4"/>
      <c r="F97" s="3"/>
      <c r="G97" s="5"/>
      <c r="H97" s="3"/>
      <c r="I97" s="5"/>
      <c r="J97" s="3"/>
      <c r="K97" s="5"/>
      <c r="L97" s="3"/>
      <c r="M97" s="5"/>
      <c r="N97" s="5"/>
    </row>
    <row r="98">
      <c r="A98" s="2"/>
      <c r="B98" s="3"/>
      <c r="C98" s="3"/>
      <c r="D98" s="3"/>
      <c r="E98" s="4"/>
      <c r="F98" s="3"/>
      <c r="G98" s="5"/>
      <c r="H98" s="3"/>
      <c r="I98" s="5"/>
      <c r="J98" s="3"/>
      <c r="K98" s="5"/>
      <c r="L98" s="3"/>
      <c r="M98" s="5"/>
      <c r="N98" s="5"/>
    </row>
    <row r="99">
      <c r="A99" s="2"/>
      <c r="B99" s="3"/>
      <c r="C99" s="3"/>
      <c r="D99" s="3"/>
      <c r="E99" s="4"/>
      <c r="F99" s="3"/>
      <c r="G99" s="5"/>
      <c r="H99" s="3"/>
      <c r="I99" s="5"/>
      <c r="J99" s="3"/>
      <c r="K99" s="5"/>
      <c r="L99" s="3"/>
      <c r="M99" s="5"/>
      <c r="N99" s="5"/>
    </row>
    <row r="100">
      <c r="A100" s="2"/>
      <c r="B100" s="3"/>
      <c r="C100" s="3"/>
      <c r="D100" s="3"/>
      <c r="E100" s="4"/>
      <c r="F100" s="3"/>
      <c r="G100" s="5"/>
      <c r="H100" s="3"/>
      <c r="I100" s="5"/>
      <c r="J100" s="3"/>
      <c r="K100" s="5"/>
      <c r="L100" s="3"/>
      <c r="M100" s="5"/>
      <c r="N100" s="5"/>
    </row>
    <row r="101">
      <c r="A101" s="2"/>
      <c r="B101" s="3"/>
      <c r="C101" s="3"/>
      <c r="D101" s="3"/>
      <c r="E101" s="4"/>
      <c r="F101" s="3"/>
      <c r="G101" s="5"/>
      <c r="H101" s="3"/>
      <c r="I101" s="5"/>
      <c r="J101" s="3"/>
      <c r="K101" s="5"/>
      <c r="L101" s="3"/>
      <c r="M101" s="5"/>
      <c r="N101" s="5"/>
    </row>
    <row r="102">
      <c r="A102" s="2"/>
      <c r="B102" s="3"/>
      <c r="C102" s="3"/>
      <c r="D102" s="3"/>
      <c r="E102" s="4"/>
      <c r="F102" s="3"/>
      <c r="G102" s="5"/>
      <c r="H102" s="3"/>
      <c r="I102" s="5"/>
      <c r="J102" s="3"/>
      <c r="K102" s="5"/>
      <c r="L102" s="3"/>
      <c r="M102" s="5"/>
      <c r="N102" s="5"/>
    </row>
    <row r="103">
      <c r="A103" s="2"/>
      <c r="B103" s="3"/>
      <c r="C103" s="3"/>
      <c r="D103" s="3"/>
      <c r="E103" s="4"/>
      <c r="F103" s="3"/>
      <c r="G103" s="5"/>
      <c r="H103" s="3"/>
      <c r="I103" s="5"/>
      <c r="J103" s="3"/>
      <c r="K103" s="5"/>
      <c r="L103" s="3"/>
      <c r="M103" s="5"/>
      <c r="N103" s="5"/>
    </row>
    <row r="104">
      <c r="A104" s="2"/>
      <c r="B104" s="3"/>
      <c r="C104" s="3"/>
      <c r="D104" s="3"/>
      <c r="E104" s="4"/>
      <c r="F104" s="3"/>
      <c r="G104" s="5"/>
      <c r="H104" s="3"/>
      <c r="I104" s="5"/>
      <c r="J104" s="3"/>
      <c r="K104" s="5"/>
      <c r="L104" s="3"/>
      <c r="M104" s="5"/>
      <c r="N104" s="5"/>
    </row>
    <row r="105">
      <c r="A105" s="2"/>
      <c r="B105" s="3"/>
      <c r="C105" s="3"/>
      <c r="D105" s="3"/>
      <c r="E105" s="4"/>
      <c r="F105" s="3"/>
      <c r="G105" s="5"/>
      <c r="H105" s="3"/>
      <c r="I105" s="5"/>
      <c r="J105" s="3"/>
      <c r="K105" s="5"/>
      <c r="L105" s="3"/>
      <c r="M105" s="5"/>
      <c r="N105" s="5"/>
    </row>
    <row r="106">
      <c r="A106" s="2"/>
      <c r="B106" s="3"/>
      <c r="C106" s="3"/>
      <c r="D106" s="3"/>
      <c r="E106" s="4"/>
      <c r="F106" s="3"/>
      <c r="G106" s="5"/>
      <c r="H106" s="3"/>
      <c r="I106" s="5"/>
      <c r="J106" s="3"/>
      <c r="K106" s="5"/>
      <c r="L106" s="3"/>
      <c r="M106" s="5"/>
      <c r="N106" s="5"/>
    </row>
    <row r="107">
      <c r="A107" s="2"/>
      <c r="B107" s="3"/>
      <c r="C107" s="3"/>
      <c r="D107" s="3"/>
      <c r="E107" s="4"/>
      <c r="F107" s="3"/>
      <c r="G107" s="5"/>
      <c r="H107" s="3"/>
      <c r="I107" s="5"/>
      <c r="J107" s="3"/>
      <c r="K107" s="5"/>
      <c r="L107" s="3"/>
      <c r="M107" s="5"/>
      <c r="N107" s="5"/>
    </row>
    <row r="108">
      <c r="A108" s="2"/>
      <c r="B108" s="3"/>
      <c r="C108" s="3"/>
      <c r="D108" s="3"/>
      <c r="E108" s="4"/>
      <c r="F108" s="3"/>
      <c r="G108" s="5"/>
      <c r="H108" s="3"/>
      <c r="I108" s="5"/>
      <c r="J108" s="3"/>
      <c r="K108" s="5"/>
      <c r="L108" s="3"/>
      <c r="M108" s="5"/>
      <c r="N108" s="5"/>
    </row>
    <row r="109">
      <c r="A109" s="2"/>
      <c r="B109" s="3"/>
      <c r="C109" s="3"/>
      <c r="D109" s="3"/>
      <c r="E109" s="4"/>
      <c r="F109" s="3"/>
      <c r="G109" s="5"/>
      <c r="H109" s="3"/>
      <c r="I109" s="5"/>
      <c r="J109" s="3"/>
      <c r="K109" s="5"/>
      <c r="L109" s="3"/>
      <c r="M109" s="5"/>
      <c r="N109" s="5"/>
    </row>
    <row r="110">
      <c r="A110" s="2"/>
      <c r="B110" s="3"/>
      <c r="C110" s="3"/>
      <c r="D110" s="3"/>
      <c r="E110" s="4"/>
      <c r="F110" s="3"/>
      <c r="G110" s="5"/>
      <c r="H110" s="3"/>
      <c r="I110" s="5"/>
      <c r="J110" s="3"/>
      <c r="K110" s="5"/>
      <c r="L110" s="3"/>
      <c r="M110" s="5"/>
      <c r="N110" s="5"/>
    </row>
    <row r="111">
      <c r="A111" s="2"/>
      <c r="B111" s="3"/>
      <c r="C111" s="3"/>
      <c r="D111" s="3"/>
      <c r="E111" s="4"/>
      <c r="F111" s="3"/>
      <c r="G111" s="5"/>
      <c r="H111" s="3"/>
      <c r="I111" s="5"/>
      <c r="J111" s="3"/>
      <c r="K111" s="5"/>
      <c r="L111" s="3"/>
      <c r="M111" s="5"/>
      <c r="N111" s="5"/>
    </row>
    <row r="112">
      <c r="A112" s="2"/>
      <c r="B112" s="3"/>
      <c r="C112" s="3"/>
      <c r="D112" s="3"/>
      <c r="E112" s="4"/>
      <c r="F112" s="3"/>
      <c r="G112" s="5"/>
      <c r="H112" s="3"/>
      <c r="I112" s="5"/>
      <c r="J112" s="3"/>
      <c r="K112" s="5"/>
      <c r="L112" s="3"/>
      <c r="M112" s="5"/>
      <c r="N112" s="5"/>
    </row>
    <row r="113">
      <c r="A113" s="2"/>
      <c r="B113" s="3"/>
      <c r="C113" s="3"/>
      <c r="D113" s="3"/>
      <c r="E113" s="4"/>
      <c r="F113" s="3"/>
      <c r="G113" s="5"/>
      <c r="H113" s="3"/>
      <c r="I113" s="5"/>
      <c r="J113" s="3"/>
      <c r="K113" s="5"/>
      <c r="L113" s="3"/>
      <c r="M113" s="5"/>
      <c r="N113" s="5"/>
    </row>
    <row r="114">
      <c r="A114" s="2"/>
      <c r="B114" s="3"/>
      <c r="C114" s="3"/>
      <c r="D114" s="3"/>
      <c r="E114" s="4"/>
      <c r="F114" s="3"/>
      <c r="G114" s="5"/>
      <c r="H114" s="3"/>
      <c r="I114" s="5"/>
      <c r="J114" s="3"/>
      <c r="K114" s="5"/>
      <c r="L114" s="3"/>
      <c r="M114" s="5"/>
      <c r="N114" s="5"/>
    </row>
    <row r="115">
      <c r="A115" s="2"/>
      <c r="B115" s="3"/>
      <c r="C115" s="3"/>
      <c r="D115" s="3"/>
      <c r="E115" s="4"/>
      <c r="F115" s="3"/>
      <c r="G115" s="5"/>
      <c r="H115" s="3"/>
      <c r="I115" s="5"/>
      <c r="J115" s="3"/>
      <c r="K115" s="5"/>
      <c r="L115" s="3"/>
      <c r="M115" s="5"/>
      <c r="N115" s="5"/>
    </row>
    <row r="116">
      <c r="A116" s="2"/>
      <c r="B116" s="3"/>
      <c r="C116" s="3"/>
      <c r="D116" s="3"/>
      <c r="E116" s="4"/>
      <c r="F116" s="3"/>
      <c r="G116" s="5"/>
      <c r="H116" s="3"/>
      <c r="I116" s="5"/>
      <c r="J116" s="3"/>
      <c r="K116" s="5"/>
      <c r="L116" s="3"/>
      <c r="M116" s="5"/>
      <c r="N116" s="5"/>
    </row>
    <row r="117">
      <c r="A117" s="2"/>
      <c r="B117" s="3"/>
      <c r="C117" s="3"/>
      <c r="D117" s="3"/>
      <c r="E117" s="4"/>
      <c r="F117" s="3"/>
      <c r="G117" s="5"/>
      <c r="H117" s="3"/>
      <c r="I117" s="5"/>
      <c r="J117" s="3"/>
      <c r="K117" s="5"/>
      <c r="L117" s="3"/>
      <c r="M117" s="5"/>
      <c r="N117" s="5"/>
    </row>
    <row r="118">
      <c r="A118" s="2"/>
      <c r="B118" s="3"/>
      <c r="C118" s="3"/>
      <c r="D118" s="3"/>
      <c r="E118" s="4"/>
      <c r="F118" s="3"/>
      <c r="G118" s="5"/>
      <c r="H118" s="3"/>
      <c r="I118" s="5"/>
      <c r="J118" s="3"/>
      <c r="K118" s="5"/>
      <c r="L118" s="3"/>
      <c r="M118" s="5"/>
      <c r="N118" s="5"/>
    </row>
    <row r="119">
      <c r="A119" s="2"/>
      <c r="B119" s="3"/>
      <c r="C119" s="3"/>
      <c r="D119" s="3"/>
      <c r="E119" s="4"/>
      <c r="F119" s="3"/>
      <c r="G119" s="5"/>
      <c r="H119" s="3"/>
      <c r="I119" s="5"/>
      <c r="J119" s="3"/>
      <c r="K119" s="5"/>
      <c r="L119" s="3"/>
      <c r="M119" s="5"/>
      <c r="N119" s="5"/>
    </row>
    <row r="120">
      <c r="A120" s="2"/>
      <c r="B120" s="3"/>
      <c r="C120" s="3"/>
      <c r="D120" s="3"/>
      <c r="E120" s="4"/>
      <c r="F120" s="3"/>
      <c r="G120" s="5"/>
      <c r="H120" s="3"/>
      <c r="I120" s="5"/>
      <c r="J120" s="3"/>
      <c r="K120" s="5"/>
      <c r="L120" s="3"/>
      <c r="M120" s="5"/>
      <c r="N120" s="5"/>
    </row>
    <row r="121">
      <c r="A121" s="2"/>
      <c r="B121" s="3"/>
      <c r="C121" s="3"/>
      <c r="D121" s="3"/>
      <c r="E121" s="4"/>
      <c r="F121" s="3"/>
      <c r="G121" s="5"/>
      <c r="H121" s="3"/>
      <c r="I121" s="5"/>
      <c r="J121" s="3"/>
      <c r="K121" s="5"/>
      <c r="L121" s="3"/>
      <c r="M121" s="5"/>
      <c r="N121" s="5"/>
    </row>
    <row r="122">
      <c r="A122" s="2"/>
      <c r="B122" s="3"/>
      <c r="C122" s="3"/>
      <c r="D122" s="3"/>
      <c r="E122" s="4"/>
      <c r="F122" s="3"/>
      <c r="G122" s="5"/>
      <c r="H122" s="3"/>
      <c r="I122" s="5"/>
      <c r="J122" s="3"/>
      <c r="K122" s="5"/>
      <c r="L122" s="3"/>
      <c r="M122" s="5"/>
      <c r="N122" s="5"/>
    </row>
    <row r="123">
      <c r="A123" s="2"/>
      <c r="B123" s="3"/>
      <c r="C123" s="3"/>
      <c r="D123" s="3"/>
      <c r="E123" s="4"/>
      <c r="F123" s="3"/>
      <c r="G123" s="5"/>
      <c r="H123" s="3"/>
      <c r="I123" s="5"/>
      <c r="J123" s="3"/>
      <c r="K123" s="5"/>
      <c r="L123" s="3"/>
      <c r="M123" s="5"/>
      <c r="N123" s="5"/>
    </row>
    <row r="124">
      <c r="A124" s="2"/>
      <c r="B124" s="3"/>
      <c r="C124" s="3"/>
      <c r="D124" s="3"/>
      <c r="E124" s="4"/>
      <c r="F124" s="3"/>
      <c r="G124" s="5"/>
      <c r="H124" s="3"/>
      <c r="I124" s="5"/>
      <c r="J124" s="3"/>
      <c r="K124" s="5"/>
      <c r="L124" s="3"/>
      <c r="M124" s="5"/>
      <c r="N124" s="5"/>
    </row>
    <row r="125">
      <c r="A125" s="2"/>
      <c r="B125" s="3"/>
      <c r="C125" s="3"/>
      <c r="D125" s="3"/>
      <c r="E125" s="4"/>
      <c r="F125" s="3"/>
      <c r="G125" s="5"/>
      <c r="H125" s="3"/>
      <c r="I125" s="5"/>
      <c r="J125" s="3"/>
      <c r="K125" s="5"/>
      <c r="L125" s="3"/>
      <c r="M125" s="5"/>
      <c r="N125" s="5"/>
    </row>
    <row r="126">
      <c r="A126" s="2"/>
      <c r="B126" s="3"/>
      <c r="C126" s="3"/>
      <c r="D126" s="3"/>
      <c r="E126" s="4"/>
      <c r="F126" s="3"/>
      <c r="G126" s="5"/>
      <c r="H126" s="3"/>
      <c r="I126" s="5"/>
      <c r="J126" s="3"/>
      <c r="K126" s="5"/>
      <c r="L126" s="3"/>
      <c r="M126" s="5"/>
      <c r="N126" s="5"/>
    </row>
    <row r="127">
      <c r="A127" s="2"/>
      <c r="B127" s="3"/>
      <c r="C127" s="3"/>
      <c r="D127" s="3"/>
      <c r="E127" s="4"/>
      <c r="F127" s="3"/>
      <c r="G127" s="5"/>
      <c r="H127" s="3"/>
      <c r="I127" s="5"/>
      <c r="J127" s="3"/>
      <c r="K127" s="5"/>
      <c r="L127" s="3"/>
      <c r="M127" s="5"/>
      <c r="N127" s="5"/>
    </row>
    <row r="128">
      <c r="A128" s="2"/>
      <c r="B128" s="3"/>
      <c r="C128" s="3"/>
      <c r="D128" s="3"/>
      <c r="E128" s="4"/>
      <c r="F128" s="3"/>
      <c r="G128" s="5"/>
      <c r="H128" s="3"/>
      <c r="I128" s="5"/>
      <c r="J128" s="3"/>
      <c r="K128" s="5"/>
      <c r="L128" s="3"/>
      <c r="M128" s="5"/>
      <c r="N128" s="5"/>
    </row>
    <row r="129">
      <c r="A129" s="2"/>
      <c r="B129" s="3"/>
      <c r="C129" s="3"/>
      <c r="D129" s="3"/>
      <c r="E129" s="4"/>
      <c r="F129" s="3"/>
      <c r="G129" s="5"/>
      <c r="H129" s="3"/>
      <c r="I129" s="5"/>
      <c r="J129" s="3"/>
      <c r="K129" s="5"/>
      <c r="L129" s="3"/>
      <c r="M129" s="5"/>
      <c r="N129" s="5"/>
    </row>
    <row r="130">
      <c r="A130" s="2"/>
      <c r="B130" s="3"/>
      <c r="C130" s="3"/>
      <c r="D130" s="3"/>
      <c r="E130" s="4"/>
      <c r="F130" s="3"/>
      <c r="G130" s="5"/>
      <c r="H130" s="3"/>
      <c r="I130" s="5"/>
      <c r="J130" s="3"/>
      <c r="K130" s="5"/>
      <c r="L130" s="3"/>
      <c r="M130" s="5"/>
      <c r="N130" s="5"/>
    </row>
    <row r="131">
      <c r="A131" s="2"/>
      <c r="B131" s="3"/>
      <c r="C131" s="3"/>
      <c r="D131" s="3"/>
      <c r="E131" s="4"/>
      <c r="F131" s="3"/>
      <c r="G131" s="5"/>
      <c r="H131" s="3"/>
      <c r="I131" s="5"/>
      <c r="J131" s="3"/>
      <c r="K131" s="5"/>
      <c r="L131" s="3"/>
      <c r="M131" s="5"/>
      <c r="N131" s="5"/>
    </row>
    <row r="132">
      <c r="A132" s="2"/>
      <c r="B132" s="3"/>
      <c r="C132" s="3"/>
      <c r="D132" s="3"/>
      <c r="E132" s="4"/>
      <c r="F132" s="3"/>
      <c r="G132" s="5"/>
      <c r="H132" s="3"/>
      <c r="I132" s="5"/>
      <c r="J132" s="3"/>
      <c r="K132" s="5"/>
      <c r="L132" s="3"/>
      <c r="M132" s="5"/>
      <c r="N132" s="5"/>
    </row>
    <row r="133">
      <c r="A133" s="2"/>
      <c r="B133" s="3"/>
      <c r="C133" s="3"/>
      <c r="D133" s="3"/>
      <c r="E133" s="4"/>
      <c r="F133" s="3"/>
      <c r="G133" s="5"/>
      <c r="H133" s="3"/>
      <c r="I133" s="5"/>
      <c r="J133" s="3"/>
      <c r="K133" s="5"/>
      <c r="L133" s="3"/>
      <c r="M133" s="5"/>
      <c r="N133" s="5"/>
    </row>
    <row r="134">
      <c r="A134" s="2"/>
      <c r="B134" s="3"/>
      <c r="C134" s="3"/>
      <c r="D134" s="3"/>
      <c r="E134" s="4"/>
      <c r="F134" s="3"/>
      <c r="G134" s="5"/>
      <c r="H134" s="3"/>
      <c r="I134" s="5"/>
      <c r="J134" s="3"/>
      <c r="K134" s="5"/>
      <c r="L134" s="3"/>
      <c r="M134" s="5"/>
      <c r="N134" s="5"/>
    </row>
    <row r="135">
      <c r="A135" s="2"/>
      <c r="B135" s="3"/>
      <c r="C135" s="3"/>
      <c r="D135" s="3"/>
      <c r="E135" s="4"/>
      <c r="F135" s="3"/>
      <c r="G135" s="5"/>
      <c r="H135" s="3"/>
      <c r="I135" s="5"/>
      <c r="J135" s="3"/>
      <c r="K135" s="5"/>
      <c r="L135" s="3"/>
      <c r="M135" s="5"/>
      <c r="N135" s="5"/>
    </row>
    <row r="136">
      <c r="A136" s="2"/>
      <c r="B136" s="3"/>
      <c r="C136" s="3"/>
      <c r="D136" s="3"/>
      <c r="E136" s="4"/>
      <c r="F136" s="3"/>
      <c r="G136" s="5"/>
      <c r="H136" s="3"/>
      <c r="I136" s="5"/>
      <c r="J136" s="3"/>
      <c r="K136" s="5"/>
      <c r="L136" s="3"/>
      <c r="M136" s="5"/>
      <c r="N136" s="5"/>
    </row>
    <row r="137">
      <c r="A137" s="2"/>
      <c r="B137" s="3"/>
      <c r="C137" s="3"/>
      <c r="D137" s="3"/>
      <c r="E137" s="4"/>
      <c r="F137" s="3"/>
      <c r="G137" s="5"/>
      <c r="H137" s="3"/>
      <c r="I137" s="5"/>
      <c r="J137" s="3"/>
      <c r="K137" s="5"/>
      <c r="L137" s="3"/>
      <c r="M137" s="5"/>
      <c r="N137" s="5"/>
    </row>
    <row r="138">
      <c r="A138" s="2"/>
      <c r="B138" s="3"/>
      <c r="C138" s="3"/>
      <c r="D138" s="3"/>
      <c r="E138" s="4"/>
      <c r="F138" s="3"/>
      <c r="G138" s="5"/>
      <c r="H138" s="3"/>
      <c r="I138" s="5"/>
      <c r="J138" s="3"/>
      <c r="K138" s="5"/>
      <c r="L138" s="3"/>
      <c r="M138" s="5"/>
      <c r="N138" s="5"/>
    </row>
    <row r="139">
      <c r="A139" s="2"/>
      <c r="B139" s="3"/>
      <c r="C139" s="3"/>
      <c r="D139" s="3"/>
      <c r="E139" s="4"/>
      <c r="F139" s="3"/>
      <c r="G139" s="5"/>
      <c r="H139" s="3"/>
      <c r="I139" s="5"/>
      <c r="J139" s="3"/>
      <c r="K139" s="5"/>
      <c r="L139" s="3"/>
      <c r="M139" s="5"/>
      <c r="N139" s="5"/>
    </row>
    <row r="140">
      <c r="A140" s="2"/>
      <c r="B140" s="3"/>
      <c r="C140" s="3"/>
      <c r="D140" s="3"/>
      <c r="E140" s="4"/>
      <c r="F140" s="3"/>
      <c r="G140" s="5"/>
      <c r="H140" s="3"/>
      <c r="I140" s="5"/>
      <c r="J140" s="3"/>
      <c r="K140" s="5"/>
      <c r="L140" s="3"/>
      <c r="M140" s="5"/>
      <c r="N140" s="5"/>
    </row>
    <row r="141">
      <c r="A141" s="2"/>
      <c r="B141" s="3"/>
      <c r="C141" s="3"/>
      <c r="D141" s="3"/>
      <c r="E141" s="4"/>
      <c r="F141" s="3"/>
      <c r="G141" s="5"/>
      <c r="H141" s="3"/>
      <c r="I141" s="5"/>
      <c r="J141" s="3"/>
      <c r="K141" s="5"/>
      <c r="L141" s="3"/>
      <c r="M141" s="5"/>
      <c r="N141" s="5"/>
    </row>
    <row r="142">
      <c r="A142" s="2"/>
      <c r="B142" s="3"/>
      <c r="C142" s="3"/>
      <c r="D142" s="3"/>
      <c r="E142" s="4"/>
      <c r="F142" s="3"/>
      <c r="G142" s="5"/>
      <c r="H142" s="3"/>
      <c r="I142" s="5"/>
      <c r="J142" s="3"/>
      <c r="K142" s="5"/>
      <c r="L142" s="3"/>
      <c r="M142" s="5"/>
      <c r="N142" s="5"/>
    </row>
    <row r="143">
      <c r="A143" s="2"/>
      <c r="B143" s="3"/>
      <c r="C143" s="3"/>
      <c r="D143" s="3"/>
      <c r="E143" s="4"/>
      <c r="F143" s="3"/>
      <c r="G143" s="5"/>
      <c r="H143" s="3"/>
      <c r="I143" s="5"/>
      <c r="J143" s="3"/>
      <c r="K143" s="5"/>
      <c r="L143" s="3"/>
      <c r="M143" s="5"/>
      <c r="N143" s="5"/>
    </row>
    <row r="144">
      <c r="A144" s="2"/>
      <c r="B144" s="3"/>
      <c r="C144" s="3"/>
      <c r="D144" s="3"/>
      <c r="E144" s="4"/>
      <c r="F144" s="3"/>
      <c r="G144" s="5"/>
      <c r="H144" s="3"/>
      <c r="I144" s="5"/>
      <c r="J144" s="3"/>
      <c r="K144" s="5"/>
      <c r="L144" s="3"/>
      <c r="M144" s="5"/>
      <c r="N144" s="5"/>
    </row>
    <row r="145">
      <c r="A145" s="2"/>
      <c r="B145" s="3"/>
      <c r="C145" s="3"/>
      <c r="D145" s="3"/>
      <c r="E145" s="4"/>
      <c r="F145" s="3"/>
      <c r="G145" s="5"/>
      <c r="H145" s="3"/>
      <c r="I145" s="5"/>
      <c r="J145" s="3"/>
      <c r="K145" s="5"/>
      <c r="L145" s="3"/>
      <c r="M145" s="5"/>
      <c r="N145" s="5"/>
    </row>
    <row r="146">
      <c r="A146" s="2"/>
      <c r="B146" s="3"/>
      <c r="C146" s="3"/>
      <c r="D146" s="3"/>
      <c r="E146" s="4"/>
      <c r="F146" s="3"/>
      <c r="G146" s="5"/>
      <c r="H146" s="3"/>
      <c r="I146" s="5"/>
      <c r="J146" s="3"/>
      <c r="K146" s="5"/>
      <c r="L146" s="3"/>
      <c r="M146" s="5"/>
      <c r="N146" s="5"/>
    </row>
    <row r="147">
      <c r="A147" s="2"/>
      <c r="B147" s="3"/>
      <c r="C147" s="3"/>
      <c r="D147" s="3"/>
      <c r="E147" s="4"/>
      <c r="F147" s="3"/>
      <c r="G147" s="5"/>
      <c r="H147" s="3"/>
      <c r="I147" s="5"/>
      <c r="J147" s="3"/>
      <c r="K147" s="5"/>
      <c r="L147" s="3"/>
      <c r="M147" s="5"/>
      <c r="N147" s="5"/>
    </row>
    <row r="148">
      <c r="A148" s="2"/>
      <c r="B148" s="3"/>
      <c r="C148" s="3"/>
      <c r="D148" s="3"/>
      <c r="E148" s="4"/>
      <c r="F148" s="3"/>
      <c r="G148" s="5"/>
      <c r="H148" s="3"/>
      <c r="I148" s="5"/>
      <c r="J148" s="3"/>
      <c r="K148" s="5"/>
      <c r="L148" s="3"/>
      <c r="M148" s="5"/>
      <c r="N148" s="5"/>
    </row>
    <row r="149">
      <c r="A149" s="2"/>
      <c r="B149" s="3"/>
      <c r="C149" s="3"/>
      <c r="D149" s="3"/>
      <c r="E149" s="4"/>
      <c r="F149" s="3"/>
      <c r="G149" s="5"/>
      <c r="H149" s="3"/>
      <c r="I149" s="5"/>
      <c r="J149" s="3"/>
      <c r="K149" s="5"/>
      <c r="L149" s="3"/>
      <c r="M149" s="5"/>
      <c r="N149" s="5"/>
    </row>
    <row r="150">
      <c r="A150" s="2"/>
      <c r="B150" s="3"/>
      <c r="C150" s="3"/>
      <c r="D150" s="3"/>
      <c r="E150" s="4"/>
      <c r="F150" s="3"/>
      <c r="G150" s="5"/>
      <c r="H150" s="3"/>
      <c r="I150" s="5"/>
      <c r="J150" s="3"/>
      <c r="K150" s="5"/>
      <c r="L150" s="3"/>
      <c r="M150" s="5"/>
      <c r="N150" s="5"/>
    </row>
    <row r="151">
      <c r="A151" s="2"/>
      <c r="B151" s="3"/>
      <c r="C151" s="3"/>
      <c r="D151" s="3"/>
      <c r="E151" s="4"/>
      <c r="F151" s="3"/>
      <c r="G151" s="5"/>
      <c r="H151" s="3"/>
      <c r="I151" s="5"/>
      <c r="J151" s="3"/>
      <c r="K151" s="5"/>
      <c r="L151" s="3"/>
      <c r="M151" s="5"/>
      <c r="N151" s="5"/>
    </row>
    <row r="152">
      <c r="A152" s="2"/>
      <c r="B152" s="3"/>
      <c r="C152" s="3"/>
      <c r="D152" s="3"/>
      <c r="E152" s="4"/>
      <c r="F152" s="3"/>
      <c r="G152" s="5"/>
      <c r="H152" s="3"/>
      <c r="I152" s="5"/>
      <c r="J152" s="3"/>
      <c r="K152" s="5"/>
      <c r="L152" s="3"/>
      <c r="M152" s="5"/>
      <c r="N152" s="5"/>
    </row>
    <row r="153">
      <c r="A153" s="2"/>
      <c r="B153" s="3"/>
      <c r="C153" s="3"/>
      <c r="D153" s="3"/>
      <c r="E153" s="4"/>
      <c r="F153" s="3"/>
      <c r="G153" s="5"/>
      <c r="H153" s="3"/>
      <c r="I153" s="5"/>
      <c r="J153" s="3"/>
      <c r="K153" s="5"/>
      <c r="L153" s="3"/>
      <c r="M153" s="5"/>
      <c r="N153" s="5"/>
    </row>
    <row r="154">
      <c r="A154" s="2"/>
      <c r="B154" s="3"/>
      <c r="C154" s="3"/>
      <c r="D154" s="3"/>
      <c r="E154" s="4"/>
      <c r="F154" s="3"/>
      <c r="G154" s="5"/>
      <c r="H154" s="3"/>
      <c r="I154" s="5"/>
      <c r="J154" s="3"/>
      <c r="K154" s="5"/>
      <c r="L154" s="3"/>
      <c r="M154" s="5"/>
      <c r="N154" s="5"/>
    </row>
    <row r="155">
      <c r="A155" s="2"/>
      <c r="B155" s="3"/>
      <c r="C155" s="3"/>
      <c r="D155" s="3"/>
      <c r="E155" s="4"/>
      <c r="F155" s="3"/>
      <c r="G155" s="5"/>
      <c r="H155" s="3"/>
      <c r="I155" s="5"/>
      <c r="J155" s="3"/>
      <c r="K155" s="5"/>
      <c r="L155" s="3"/>
      <c r="M155" s="5"/>
      <c r="N155" s="5"/>
    </row>
    <row r="156">
      <c r="A156" s="2"/>
      <c r="B156" s="3"/>
      <c r="C156" s="3"/>
      <c r="D156" s="3"/>
      <c r="E156" s="4"/>
      <c r="F156" s="3"/>
      <c r="G156" s="5"/>
      <c r="H156" s="3"/>
      <c r="I156" s="5"/>
      <c r="J156" s="3"/>
      <c r="K156" s="5"/>
      <c r="L156" s="3"/>
      <c r="M156" s="5"/>
      <c r="N156" s="5"/>
    </row>
    <row r="157">
      <c r="A157" s="2"/>
      <c r="B157" s="3"/>
      <c r="C157" s="3"/>
      <c r="D157" s="3"/>
      <c r="E157" s="4"/>
      <c r="F157" s="3"/>
      <c r="G157" s="5"/>
      <c r="H157" s="3"/>
      <c r="I157" s="5"/>
      <c r="J157" s="3"/>
      <c r="K157" s="5"/>
      <c r="L157" s="3"/>
      <c r="M157" s="5"/>
      <c r="N157" s="5"/>
    </row>
    <row r="158">
      <c r="A158" s="2"/>
      <c r="B158" s="3"/>
      <c r="C158" s="3"/>
      <c r="D158" s="3"/>
      <c r="E158" s="4"/>
      <c r="F158" s="3"/>
      <c r="G158" s="5"/>
      <c r="H158" s="3"/>
      <c r="I158" s="5"/>
      <c r="J158" s="3"/>
      <c r="K158" s="5"/>
      <c r="L158" s="3"/>
      <c r="M158" s="5"/>
      <c r="N158" s="5"/>
    </row>
    <row r="159">
      <c r="A159" s="2"/>
      <c r="B159" s="3"/>
      <c r="C159" s="3"/>
      <c r="D159" s="3"/>
      <c r="E159" s="4"/>
      <c r="F159" s="3"/>
      <c r="G159" s="5"/>
      <c r="H159" s="3"/>
      <c r="I159" s="5"/>
      <c r="J159" s="3"/>
      <c r="K159" s="5"/>
      <c r="L159" s="3"/>
      <c r="M159" s="5"/>
      <c r="N159" s="5"/>
    </row>
    <row r="160">
      <c r="A160" s="2"/>
      <c r="B160" s="3"/>
      <c r="C160" s="3"/>
      <c r="D160" s="3"/>
      <c r="E160" s="4"/>
      <c r="F160" s="3"/>
      <c r="G160" s="5"/>
      <c r="H160" s="3"/>
      <c r="I160" s="5"/>
      <c r="J160" s="3"/>
      <c r="K160" s="5"/>
      <c r="L160" s="3"/>
      <c r="M160" s="5"/>
      <c r="N160" s="5"/>
    </row>
    <row r="161">
      <c r="A161" s="2"/>
      <c r="B161" s="3"/>
      <c r="C161" s="3"/>
      <c r="D161" s="3"/>
      <c r="E161" s="4"/>
      <c r="F161" s="3"/>
      <c r="G161" s="5"/>
      <c r="H161" s="3"/>
      <c r="I161" s="5"/>
      <c r="J161" s="3"/>
      <c r="K161" s="5"/>
      <c r="L161" s="3"/>
      <c r="M161" s="5"/>
      <c r="N161" s="5"/>
    </row>
    <row r="162">
      <c r="A162" s="2"/>
      <c r="B162" s="3"/>
      <c r="C162" s="3"/>
      <c r="D162" s="3"/>
      <c r="E162" s="4"/>
      <c r="F162" s="3"/>
      <c r="G162" s="5"/>
      <c r="H162" s="3"/>
      <c r="I162" s="5"/>
      <c r="J162" s="3"/>
      <c r="K162" s="5"/>
      <c r="L162" s="3"/>
      <c r="M162" s="5"/>
      <c r="N162" s="5"/>
    </row>
    <row r="163">
      <c r="A163" s="2"/>
      <c r="B163" s="3"/>
      <c r="C163" s="3"/>
      <c r="D163" s="3"/>
      <c r="E163" s="4"/>
      <c r="F163" s="3"/>
      <c r="G163" s="5"/>
      <c r="H163" s="3"/>
      <c r="I163" s="5"/>
      <c r="J163" s="3"/>
      <c r="K163" s="5"/>
      <c r="L163" s="3"/>
      <c r="M163" s="5"/>
      <c r="N163" s="5"/>
    </row>
    <row r="164">
      <c r="A164" s="2"/>
      <c r="B164" s="3"/>
      <c r="C164" s="3"/>
      <c r="D164" s="3"/>
      <c r="E164" s="4"/>
      <c r="F164" s="3"/>
      <c r="G164" s="5"/>
      <c r="H164" s="3"/>
      <c r="I164" s="5"/>
      <c r="J164" s="3"/>
      <c r="K164" s="5"/>
      <c r="L164" s="3"/>
      <c r="M164" s="5"/>
      <c r="N164" s="5"/>
    </row>
    <row r="165">
      <c r="A165" s="2"/>
      <c r="B165" s="3"/>
      <c r="C165" s="3"/>
      <c r="D165" s="3"/>
      <c r="E165" s="4"/>
      <c r="F165" s="3"/>
      <c r="G165" s="5"/>
      <c r="H165" s="3"/>
      <c r="I165" s="5"/>
      <c r="J165" s="3"/>
      <c r="K165" s="5"/>
      <c r="L165" s="3"/>
      <c r="M165" s="5"/>
      <c r="N165" s="5"/>
    </row>
    <row r="166">
      <c r="A166" s="2"/>
      <c r="B166" s="3"/>
      <c r="C166" s="3"/>
      <c r="D166" s="3"/>
      <c r="E166" s="4"/>
      <c r="F166" s="3"/>
      <c r="G166" s="5"/>
      <c r="H166" s="3"/>
      <c r="I166" s="5"/>
      <c r="J166" s="3"/>
      <c r="K166" s="5"/>
      <c r="L166" s="3"/>
      <c r="M166" s="5"/>
      <c r="N166" s="5"/>
    </row>
    <row r="167">
      <c r="A167" s="2"/>
      <c r="B167" s="3"/>
      <c r="C167" s="3"/>
      <c r="D167" s="3"/>
      <c r="E167" s="4"/>
      <c r="F167" s="3"/>
      <c r="G167" s="5"/>
      <c r="H167" s="3"/>
      <c r="I167" s="5"/>
      <c r="J167" s="3"/>
      <c r="K167" s="5"/>
      <c r="L167" s="3"/>
      <c r="M167" s="5"/>
      <c r="N167" s="5"/>
    </row>
    <row r="168">
      <c r="A168" s="2"/>
      <c r="B168" s="3"/>
      <c r="C168" s="3"/>
      <c r="D168" s="3"/>
      <c r="E168" s="4"/>
      <c r="F168" s="3"/>
      <c r="G168" s="5"/>
      <c r="H168" s="3"/>
      <c r="I168" s="5"/>
      <c r="J168" s="3"/>
      <c r="K168" s="5"/>
      <c r="L168" s="3"/>
      <c r="M168" s="5"/>
      <c r="N168" s="5"/>
    </row>
    <row r="169">
      <c r="A169" s="2"/>
      <c r="B169" s="3"/>
      <c r="C169" s="3"/>
      <c r="D169" s="3"/>
      <c r="E169" s="4"/>
      <c r="F169" s="3"/>
      <c r="G169" s="5"/>
      <c r="H169" s="3"/>
      <c r="I169" s="5"/>
      <c r="J169" s="3"/>
      <c r="K169" s="5"/>
      <c r="L169" s="3"/>
      <c r="M169" s="5"/>
      <c r="N169" s="5"/>
    </row>
    <row r="170">
      <c r="A170" s="2"/>
      <c r="B170" s="3"/>
      <c r="C170" s="3"/>
      <c r="D170" s="3"/>
      <c r="E170" s="4"/>
      <c r="F170" s="3"/>
      <c r="G170" s="5"/>
      <c r="H170" s="3"/>
      <c r="I170" s="5"/>
      <c r="J170" s="3"/>
      <c r="K170" s="5"/>
      <c r="L170" s="3"/>
      <c r="M170" s="5"/>
      <c r="N170" s="5"/>
    </row>
    <row r="171">
      <c r="A171" s="2"/>
      <c r="B171" s="3"/>
      <c r="C171" s="3"/>
      <c r="D171" s="3"/>
      <c r="E171" s="4"/>
      <c r="F171" s="3"/>
      <c r="G171" s="5"/>
      <c r="H171" s="3"/>
      <c r="I171" s="5"/>
      <c r="J171" s="3"/>
      <c r="K171" s="5"/>
      <c r="L171" s="3"/>
      <c r="M171" s="5"/>
      <c r="N171" s="5"/>
    </row>
    <row r="172">
      <c r="A172" s="2"/>
      <c r="B172" s="3"/>
      <c r="C172" s="3"/>
      <c r="D172" s="3"/>
      <c r="E172" s="4"/>
      <c r="F172" s="3"/>
      <c r="G172" s="5"/>
      <c r="H172" s="3"/>
      <c r="I172" s="5"/>
      <c r="J172" s="3"/>
      <c r="K172" s="5"/>
      <c r="L172" s="3"/>
      <c r="M172" s="5"/>
      <c r="N172" s="5"/>
    </row>
    <row r="173">
      <c r="A173" s="2"/>
      <c r="B173" s="3"/>
      <c r="C173" s="3"/>
      <c r="D173" s="3"/>
      <c r="E173" s="4"/>
      <c r="F173" s="3"/>
      <c r="G173" s="5"/>
      <c r="H173" s="3"/>
      <c r="I173" s="5"/>
      <c r="J173" s="3"/>
      <c r="K173" s="5"/>
      <c r="L173" s="3"/>
      <c r="M173" s="5"/>
      <c r="N173" s="5"/>
    </row>
    <row r="174">
      <c r="A174" s="2"/>
      <c r="B174" s="3"/>
      <c r="C174" s="3"/>
      <c r="D174" s="3"/>
      <c r="E174" s="4"/>
      <c r="F174" s="3"/>
      <c r="G174" s="5"/>
      <c r="H174" s="3"/>
      <c r="I174" s="5"/>
      <c r="J174" s="3"/>
      <c r="K174" s="5"/>
      <c r="L174" s="3"/>
      <c r="M174" s="5"/>
      <c r="N174" s="5"/>
    </row>
    <row r="175">
      <c r="A175" s="2"/>
      <c r="B175" s="3"/>
      <c r="C175" s="3"/>
      <c r="D175" s="3"/>
      <c r="E175" s="4"/>
      <c r="F175" s="3"/>
      <c r="G175" s="5"/>
      <c r="H175" s="3"/>
      <c r="I175" s="5"/>
      <c r="J175" s="3"/>
      <c r="K175" s="5"/>
      <c r="L175" s="3"/>
      <c r="M175" s="5"/>
      <c r="N175" s="5"/>
    </row>
    <row r="176">
      <c r="A176" s="2"/>
      <c r="B176" s="3"/>
      <c r="C176" s="3"/>
      <c r="D176" s="3"/>
      <c r="E176" s="4"/>
      <c r="F176" s="3"/>
      <c r="G176" s="5"/>
      <c r="H176" s="3"/>
      <c r="I176" s="5"/>
      <c r="J176" s="3"/>
      <c r="K176" s="5"/>
      <c r="L176" s="3"/>
      <c r="M176" s="5"/>
      <c r="N176" s="5"/>
    </row>
    <row r="177">
      <c r="A177" s="2"/>
      <c r="B177" s="3"/>
      <c r="C177" s="3"/>
      <c r="D177" s="3"/>
      <c r="E177" s="4"/>
      <c r="F177" s="3"/>
      <c r="G177" s="5"/>
      <c r="H177" s="3"/>
      <c r="I177" s="5"/>
      <c r="J177" s="3"/>
      <c r="K177" s="5"/>
      <c r="L177" s="3"/>
      <c r="M177" s="5"/>
      <c r="N177" s="5"/>
    </row>
    <row r="178">
      <c r="A178" s="2"/>
      <c r="B178" s="3"/>
      <c r="C178" s="3"/>
      <c r="D178" s="3"/>
      <c r="E178" s="4"/>
      <c r="F178" s="3"/>
      <c r="G178" s="5"/>
      <c r="H178" s="3"/>
      <c r="I178" s="5"/>
      <c r="J178" s="3"/>
      <c r="K178" s="5"/>
      <c r="L178" s="3"/>
      <c r="M178" s="5"/>
      <c r="N178" s="5"/>
    </row>
    <row r="179">
      <c r="A179" s="2"/>
      <c r="B179" s="3"/>
      <c r="C179" s="3"/>
      <c r="D179" s="3"/>
      <c r="E179" s="4"/>
      <c r="F179" s="3"/>
      <c r="G179" s="5"/>
      <c r="H179" s="3"/>
      <c r="I179" s="5"/>
      <c r="J179" s="3"/>
      <c r="K179" s="5"/>
      <c r="L179" s="3"/>
      <c r="M179" s="5"/>
      <c r="N179" s="5"/>
    </row>
    <row r="180">
      <c r="A180" s="2"/>
      <c r="B180" s="3"/>
      <c r="C180" s="3"/>
      <c r="D180" s="3"/>
      <c r="E180" s="4"/>
      <c r="F180" s="3"/>
      <c r="G180" s="5"/>
      <c r="H180" s="3"/>
      <c r="I180" s="5"/>
      <c r="J180" s="3"/>
      <c r="K180" s="5"/>
      <c r="L180" s="3"/>
      <c r="M180" s="5"/>
      <c r="N180" s="5"/>
    </row>
    <row r="181">
      <c r="A181" s="2"/>
      <c r="B181" s="3"/>
      <c r="C181" s="3"/>
      <c r="D181" s="3"/>
      <c r="E181" s="4"/>
      <c r="F181" s="3"/>
      <c r="G181" s="5"/>
      <c r="H181" s="3"/>
      <c r="I181" s="5"/>
      <c r="J181" s="3"/>
      <c r="K181" s="5"/>
      <c r="L181" s="3"/>
      <c r="M181" s="5"/>
      <c r="N181" s="5"/>
    </row>
    <row r="182">
      <c r="A182" s="2"/>
      <c r="B182" s="3"/>
      <c r="C182" s="3"/>
      <c r="D182" s="3"/>
      <c r="E182" s="4"/>
      <c r="F182" s="3"/>
      <c r="G182" s="5"/>
      <c r="H182" s="3"/>
      <c r="I182" s="5"/>
      <c r="J182" s="3"/>
      <c r="K182" s="5"/>
      <c r="L182" s="3"/>
      <c r="M182" s="5"/>
      <c r="N182" s="5"/>
    </row>
    <row r="183">
      <c r="A183" s="2"/>
      <c r="B183" s="3"/>
      <c r="C183" s="3"/>
      <c r="D183" s="3"/>
      <c r="E183" s="4"/>
      <c r="F183" s="3"/>
      <c r="G183" s="5"/>
      <c r="H183" s="3"/>
      <c r="I183" s="5"/>
      <c r="J183" s="3"/>
      <c r="K183" s="5"/>
      <c r="L183" s="3"/>
      <c r="M183" s="5"/>
      <c r="N183" s="5"/>
    </row>
    <row r="184">
      <c r="A184" s="2"/>
      <c r="B184" s="3"/>
      <c r="C184" s="3"/>
      <c r="D184" s="3"/>
      <c r="E184" s="4"/>
      <c r="F184" s="3"/>
      <c r="G184" s="5"/>
      <c r="H184" s="3"/>
      <c r="I184" s="5"/>
      <c r="J184" s="3"/>
      <c r="K184" s="5"/>
      <c r="L184" s="3"/>
      <c r="M184" s="5"/>
      <c r="N184" s="5"/>
    </row>
    <row r="185">
      <c r="A185" s="2"/>
      <c r="B185" s="3"/>
      <c r="C185" s="3"/>
      <c r="D185" s="3"/>
      <c r="E185" s="4"/>
      <c r="F185" s="3"/>
      <c r="G185" s="5"/>
      <c r="H185" s="3"/>
      <c r="I185" s="5"/>
      <c r="J185" s="3"/>
      <c r="K185" s="5"/>
      <c r="L185" s="3"/>
      <c r="M185" s="5"/>
      <c r="N185" s="5"/>
    </row>
    <row r="186">
      <c r="A186" s="2"/>
      <c r="B186" s="3"/>
      <c r="C186" s="3"/>
      <c r="D186" s="3"/>
      <c r="E186" s="4"/>
      <c r="F186" s="3"/>
      <c r="G186" s="5"/>
      <c r="H186" s="3"/>
      <c r="I186" s="5"/>
      <c r="J186" s="3"/>
      <c r="K186" s="5"/>
      <c r="L186" s="3"/>
      <c r="M186" s="5"/>
      <c r="N186" s="5"/>
    </row>
    <row r="187">
      <c r="A187" s="2"/>
      <c r="B187" s="3"/>
      <c r="C187" s="3"/>
      <c r="D187" s="3"/>
      <c r="E187" s="4"/>
      <c r="F187" s="3"/>
      <c r="G187" s="5"/>
      <c r="H187" s="3"/>
      <c r="I187" s="5"/>
      <c r="J187" s="3"/>
      <c r="K187" s="5"/>
      <c r="L187" s="3"/>
      <c r="M187" s="5"/>
      <c r="N187" s="5"/>
    </row>
    <row r="188">
      <c r="A188" s="2"/>
      <c r="B188" s="3"/>
      <c r="C188" s="3"/>
      <c r="D188" s="3"/>
      <c r="E188" s="4"/>
      <c r="F188" s="3"/>
      <c r="G188" s="5"/>
      <c r="H188" s="3"/>
      <c r="I188" s="5"/>
      <c r="J188" s="3"/>
      <c r="K188" s="5"/>
      <c r="L188" s="3"/>
      <c r="M188" s="5"/>
      <c r="N188" s="5"/>
    </row>
    <row r="189">
      <c r="A189" s="2"/>
      <c r="B189" s="3"/>
      <c r="C189" s="3"/>
      <c r="D189" s="3"/>
      <c r="E189" s="4"/>
      <c r="F189" s="3"/>
      <c r="G189" s="5"/>
      <c r="H189" s="3"/>
      <c r="I189" s="5"/>
      <c r="J189" s="3"/>
      <c r="K189" s="5"/>
      <c r="L189" s="3"/>
      <c r="M189" s="5"/>
      <c r="N189" s="5"/>
    </row>
    <row r="190">
      <c r="A190" s="2"/>
      <c r="B190" s="3"/>
      <c r="C190" s="3"/>
      <c r="D190" s="3"/>
      <c r="E190" s="4"/>
      <c r="F190" s="3"/>
      <c r="G190" s="5"/>
      <c r="H190" s="3"/>
      <c r="I190" s="5"/>
      <c r="J190" s="3"/>
      <c r="K190" s="5"/>
      <c r="L190" s="3"/>
      <c r="M190" s="5"/>
      <c r="N190" s="5"/>
    </row>
    <row r="191">
      <c r="A191" s="2"/>
      <c r="B191" s="3"/>
      <c r="C191" s="3"/>
      <c r="D191" s="3"/>
      <c r="E191" s="4"/>
      <c r="F191" s="3"/>
      <c r="G191" s="5"/>
      <c r="H191" s="3"/>
      <c r="I191" s="5"/>
      <c r="J191" s="3"/>
      <c r="K191" s="5"/>
      <c r="L191" s="3"/>
      <c r="M191" s="5"/>
      <c r="N191" s="5"/>
    </row>
    <row r="192">
      <c r="A192" s="2"/>
      <c r="B192" s="3"/>
      <c r="C192" s="3"/>
      <c r="D192" s="3"/>
      <c r="E192" s="4"/>
      <c r="F192" s="3"/>
      <c r="G192" s="5"/>
      <c r="H192" s="3"/>
      <c r="I192" s="5"/>
      <c r="J192" s="3"/>
      <c r="K192" s="5"/>
      <c r="L192" s="3"/>
      <c r="M192" s="5"/>
      <c r="N192" s="5"/>
    </row>
    <row r="193">
      <c r="A193" s="2"/>
      <c r="B193" s="3"/>
      <c r="C193" s="3"/>
      <c r="D193" s="3"/>
      <c r="E193" s="4"/>
      <c r="F193" s="3"/>
      <c r="G193" s="5"/>
      <c r="H193" s="3"/>
      <c r="I193" s="5"/>
      <c r="J193" s="3"/>
      <c r="K193" s="5"/>
      <c r="L193" s="3"/>
      <c r="M193" s="5"/>
      <c r="N193" s="5"/>
    </row>
    <row r="194">
      <c r="A194" s="2"/>
      <c r="B194" s="3"/>
      <c r="C194" s="3"/>
      <c r="D194" s="3"/>
      <c r="E194" s="4"/>
      <c r="F194" s="3"/>
      <c r="G194" s="5"/>
      <c r="H194" s="3"/>
      <c r="I194" s="5"/>
      <c r="J194" s="3"/>
      <c r="K194" s="5"/>
      <c r="L194" s="3"/>
      <c r="M194" s="5"/>
      <c r="N194" s="5"/>
    </row>
    <row r="195">
      <c r="A195" s="2"/>
      <c r="B195" s="3"/>
      <c r="C195" s="3"/>
      <c r="D195" s="3"/>
      <c r="E195" s="4"/>
      <c r="F195" s="3"/>
      <c r="G195" s="5"/>
      <c r="H195" s="3"/>
      <c r="I195" s="5"/>
      <c r="J195" s="3"/>
      <c r="K195" s="5"/>
      <c r="L195" s="3"/>
      <c r="M195" s="5"/>
      <c r="N195" s="5"/>
    </row>
    <row r="196">
      <c r="A196" s="2"/>
      <c r="B196" s="3"/>
      <c r="C196" s="3"/>
      <c r="D196" s="3"/>
      <c r="E196" s="4"/>
      <c r="F196" s="3"/>
      <c r="G196" s="5"/>
      <c r="H196" s="3"/>
      <c r="I196" s="5"/>
      <c r="J196" s="3"/>
      <c r="K196" s="5"/>
      <c r="L196" s="3"/>
      <c r="M196" s="5"/>
      <c r="N196" s="5"/>
    </row>
    <row r="197">
      <c r="A197" s="2"/>
      <c r="B197" s="3"/>
      <c r="C197" s="3"/>
      <c r="D197" s="3"/>
      <c r="E197" s="4"/>
      <c r="F197" s="3"/>
      <c r="G197" s="5"/>
      <c r="H197" s="3"/>
      <c r="I197" s="5"/>
      <c r="J197" s="3"/>
      <c r="K197" s="5"/>
      <c r="L197" s="3"/>
      <c r="M197" s="5"/>
      <c r="N197" s="5"/>
    </row>
    <row r="198">
      <c r="A198" s="2"/>
      <c r="B198" s="3"/>
      <c r="C198" s="3"/>
      <c r="D198" s="3"/>
      <c r="E198" s="4"/>
      <c r="F198" s="3"/>
      <c r="G198" s="5"/>
      <c r="H198" s="3"/>
      <c r="I198" s="5"/>
      <c r="J198" s="3"/>
      <c r="K198" s="5"/>
      <c r="L198" s="3"/>
      <c r="M198" s="5"/>
      <c r="N198" s="5"/>
    </row>
    <row r="199">
      <c r="A199" s="2"/>
      <c r="B199" s="3"/>
      <c r="C199" s="3"/>
      <c r="D199" s="3"/>
      <c r="E199" s="4"/>
      <c r="F199" s="3"/>
      <c r="G199" s="5"/>
      <c r="H199" s="3"/>
      <c r="I199" s="5"/>
      <c r="J199" s="3"/>
      <c r="K199" s="5"/>
      <c r="L199" s="3"/>
      <c r="M199" s="5"/>
      <c r="N199" s="5"/>
    </row>
    <row r="200">
      <c r="A200" s="2"/>
      <c r="B200" s="3"/>
      <c r="C200" s="3"/>
      <c r="D200" s="3"/>
      <c r="E200" s="4"/>
      <c r="F200" s="3"/>
      <c r="G200" s="5"/>
      <c r="H200" s="3"/>
      <c r="I200" s="5"/>
      <c r="J200" s="3"/>
      <c r="K200" s="5"/>
      <c r="L200" s="3"/>
      <c r="M200" s="5"/>
      <c r="N200" s="5"/>
    </row>
    <row r="201">
      <c r="A201" s="2"/>
      <c r="B201" s="3"/>
      <c r="C201" s="3"/>
      <c r="D201" s="3"/>
      <c r="E201" s="4"/>
      <c r="F201" s="3"/>
      <c r="G201" s="5"/>
      <c r="H201" s="3"/>
      <c r="I201" s="5"/>
      <c r="J201" s="3"/>
      <c r="K201" s="5"/>
      <c r="L201" s="3"/>
      <c r="M201" s="5"/>
      <c r="N201" s="5"/>
    </row>
    <row r="202">
      <c r="A202" s="2"/>
      <c r="B202" s="3"/>
      <c r="C202" s="3"/>
      <c r="D202" s="3"/>
      <c r="E202" s="4"/>
      <c r="F202" s="3"/>
      <c r="G202" s="5"/>
      <c r="H202" s="3"/>
      <c r="I202" s="5"/>
      <c r="J202" s="3"/>
      <c r="K202" s="5"/>
      <c r="L202" s="3"/>
      <c r="M202" s="5"/>
      <c r="N202" s="5"/>
    </row>
    <row r="203">
      <c r="A203" s="2"/>
      <c r="B203" s="3"/>
      <c r="C203" s="3"/>
      <c r="D203" s="3"/>
      <c r="E203" s="4"/>
      <c r="F203" s="3"/>
      <c r="G203" s="5"/>
      <c r="H203" s="3"/>
      <c r="I203" s="5"/>
      <c r="J203" s="3"/>
      <c r="K203" s="5"/>
      <c r="L203" s="3"/>
      <c r="M203" s="5"/>
      <c r="N203" s="5"/>
    </row>
    <row r="204">
      <c r="A204" s="2"/>
      <c r="B204" s="3"/>
      <c r="C204" s="3"/>
      <c r="D204" s="3"/>
      <c r="E204" s="4"/>
      <c r="F204" s="3"/>
      <c r="G204" s="5"/>
      <c r="H204" s="3"/>
      <c r="I204" s="5"/>
      <c r="J204" s="3"/>
      <c r="K204" s="5"/>
      <c r="L204" s="3"/>
      <c r="M204" s="5"/>
      <c r="N204" s="5"/>
    </row>
    <row r="205">
      <c r="A205" s="2"/>
      <c r="B205" s="3"/>
      <c r="C205" s="3"/>
      <c r="D205" s="3"/>
      <c r="E205" s="4"/>
      <c r="F205" s="3"/>
      <c r="G205" s="5"/>
      <c r="H205" s="3"/>
      <c r="I205" s="5"/>
      <c r="J205" s="3"/>
      <c r="K205" s="5"/>
      <c r="L205" s="3"/>
      <c r="M205" s="5"/>
      <c r="N205" s="5"/>
    </row>
    <row r="206">
      <c r="A206" s="2"/>
      <c r="B206" s="3"/>
      <c r="C206" s="3"/>
      <c r="D206" s="3"/>
      <c r="E206" s="4"/>
      <c r="F206" s="3"/>
      <c r="G206" s="5"/>
      <c r="H206" s="3"/>
      <c r="I206" s="5"/>
      <c r="J206" s="3"/>
      <c r="K206" s="5"/>
      <c r="L206" s="3"/>
      <c r="M206" s="5"/>
      <c r="N206" s="5"/>
    </row>
    <row r="207">
      <c r="A207" s="2"/>
      <c r="B207" s="3"/>
      <c r="C207" s="3"/>
      <c r="D207" s="3"/>
      <c r="E207" s="4"/>
      <c r="F207" s="3"/>
      <c r="G207" s="5"/>
      <c r="H207" s="3"/>
      <c r="I207" s="5"/>
      <c r="J207" s="3"/>
      <c r="K207" s="5"/>
      <c r="L207" s="3"/>
      <c r="M207" s="5"/>
      <c r="N207" s="5"/>
    </row>
    <row r="208">
      <c r="A208" s="2"/>
      <c r="B208" s="3"/>
      <c r="C208" s="3"/>
      <c r="D208" s="3"/>
      <c r="E208" s="4"/>
      <c r="F208" s="3"/>
      <c r="G208" s="5"/>
      <c r="H208" s="3"/>
      <c r="I208" s="5"/>
      <c r="J208" s="3"/>
      <c r="K208" s="5"/>
      <c r="L208" s="3"/>
      <c r="M208" s="5"/>
      <c r="N208" s="5"/>
    </row>
    <row r="209">
      <c r="A209" s="2"/>
      <c r="B209" s="3"/>
      <c r="C209" s="3"/>
      <c r="D209" s="3"/>
      <c r="E209" s="4"/>
      <c r="F209" s="3"/>
      <c r="G209" s="5"/>
      <c r="H209" s="3"/>
      <c r="I209" s="5"/>
      <c r="J209" s="3"/>
      <c r="K209" s="5"/>
      <c r="L209" s="3"/>
      <c r="M209" s="5"/>
      <c r="N209" s="5"/>
    </row>
    <row r="210">
      <c r="A210" s="2"/>
      <c r="B210" s="3"/>
      <c r="C210" s="3"/>
      <c r="D210" s="3"/>
      <c r="E210" s="4"/>
      <c r="F210" s="3"/>
      <c r="G210" s="5"/>
      <c r="H210" s="3"/>
      <c r="I210" s="5"/>
      <c r="J210" s="3"/>
      <c r="K210" s="5"/>
      <c r="L210" s="3"/>
      <c r="M210" s="5"/>
      <c r="N210" s="5"/>
    </row>
    <row r="211">
      <c r="A211" s="2"/>
      <c r="B211" s="3"/>
      <c r="C211" s="3"/>
      <c r="D211" s="3"/>
      <c r="E211" s="4"/>
      <c r="F211" s="3"/>
      <c r="G211" s="5"/>
      <c r="H211" s="3"/>
      <c r="I211" s="5"/>
      <c r="J211" s="3"/>
      <c r="K211" s="5"/>
      <c r="L211" s="3"/>
      <c r="M211" s="5"/>
      <c r="N211" s="5"/>
    </row>
    <row r="212">
      <c r="A212" s="2"/>
      <c r="B212" s="3"/>
      <c r="C212" s="3"/>
      <c r="D212" s="3"/>
      <c r="E212" s="4"/>
      <c r="F212" s="3"/>
      <c r="G212" s="5"/>
      <c r="H212" s="3"/>
      <c r="I212" s="5"/>
      <c r="J212" s="3"/>
      <c r="K212" s="5"/>
      <c r="L212" s="3"/>
      <c r="M212" s="5"/>
      <c r="N212" s="5"/>
    </row>
    <row r="213">
      <c r="A213" s="2"/>
      <c r="B213" s="3"/>
      <c r="C213" s="3"/>
      <c r="D213" s="3"/>
      <c r="E213" s="4"/>
      <c r="F213" s="3"/>
      <c r="G213" s="5"/>
      <c r="H213" s="3"/>
      <c r="I213" s="5"/>
      <c r="J213" s="3"/>
      <c r="K213" s="5"/>
      <c r="L213" s="3"/>
      <c r="M213" s="5"/>
      <c r="N213" s="5"/>
    </row>
    <row r="214">
      <c r="A214" s="2"/>
      <c r="B214" s="3"/>
      <c r="C214" s="3"/>
      <c r="D214" s="3"/>
      <c r="E214" s="4"/>
      <c r="F214" s="3"/>
      <c r="G214" s="5"/>
      <c r="H214" s="3"/>
      <c r="I214" s="5"/>
      <c r="J214" s="3"/>
      <c r="K214" s="5"/>
      <c r="L214" s="3"/>
      <c r="M214" s="5"/>
      <c r="N214" s="5"/>
    </row>
    <row r="215">
      <c r="A215" s="2"/>
      <c r="B215" s="3"/>
      <c r="C215" s="3"/>
      <c r="D215" s="3"/>
      <c r="E215" s="4"/>
      <c r="F215" s="3"/>
      <c r="G215" s="5"/>
      <c r="H215" s="3"/>
      <c r="I215" s="5"/>
      <c r="J215" s="3"/>
      <c r="K215" s="5"/>
      <c r="L215" s="3"/>
      <c r="M215" s="5"/>
      <c r="N215" s="5"/>
    </row>
    <row r="216">
      <c r="A216" s="2"/>
      <c r="B216" s="3"/>
      <c r="C216" s="3"/>
      <c r="D216" s="3"/>
      <c r="E216" s="4"/>
      <c r="F216" s="3"/>
      <c r="G216" s="5"/>
      <c r="H216" s="3"/>
      <c r="I216" s="5"/>
      <c r="J216" s="3"/>
      <c r="K216" s="5"/>
      <c r="L216" s="3"/>
      <c r="M216" s="5"/>
      <c r="N216" s="5"/>
    </row>
    <row r="217">
      <c r="A217" s="2"/>
      <c r="B217" s="3"/>
      <c r="C217" s="3"/>
      <c r="D217" s="3"/>
      <c r="E217" s="4"/>
      <c r="F217" s="3"/>
      <c r="G217" s="5"/>
      <c r="H217" s="3"/>
      <c r="I217" s="5"/>
      <c r="J217" s="3"/>
      <c r="K217" s="5"/>
      <c r="L217" s="3"/>
      <c r="M217" s="5"/>
      <c r="N217" s="5"/>
    </row>
    <row r="218">
      <c r="A218" s="2"/>
      <c r="B218" s="3"/>
      <c r="C218" s="3"/>
      <c r="D218" s="3"/>
      <c r="E218" s="4"/>
      <c r="F218" s="3"/>
      <c r="G218" s="5"/>
      <c r="H218" s="3"/>
      <c r="I218" s="5"/>
      <c r="J218" s="3"/>
      <c r="K218" s="5"/>
      <c r="L218" s="3"/>
      <c r="M218" s="5"/>
      <c r="N218" s="5"/>
    </row>
    <row r="219">
      <c r="A219" s="2"/>
      <c r="B219" s="3"/>
      <c r="C219" s="3"/>
      <c r="D219" s="3"/>
      <c r="E219" s="4"/>
      <c r="F219" s="3"/>
      <c r="G219" s="5"/>
      <c r="H219" s="3"/>
      <c r="I219" s="5"/>
      <c r="J219" s="3"/>
      <c r="K219" s="5"/>
      <c r="L219" s="3"/>
      <c r="M219" s="5"/>
      <c r="N219" s="5"/>
    </row>
    <row r="220">
      <c r="A220" s="2"/>
      <c r="B220" s="3"/>
      <c r="C220" s="3"/>
      <c r="D220" s="3"/>
      <c r="E220" s="4"/>
      <c r="F220" s="3"/>
      <c r="G220" s="5"/>
      <c r="H220" s="3"/>
      <c r="I220" s="5"/>
      <c r="J220" s="3"/>
      <c r="K220" s="5"/>
      <c r="L220" s="3"/>
      <c r="M220" s="5"/>
      <c r="N220" s="5"/>
    </row>
    <row r="221">
      <c r="A221" s="2"/>
      <c r="B221" s="3"/>
      <c r="C221" s="3"/>
      <c r="D221" s="3"/>
      <c r="E221" s="4"/>
      <c r="F221" s="3"/>
      <c r="G221" s="5"/>
      <c r="H221" s="3"/>
      <c r="I221" s="5"/>
      <c r="J221" s="3"/>
      <c r="K221" s="5"/>
      <c r="L221" s="3"/>
      <c r="M221" s="5"/>
      <c r="N221" s="5"/>
    </row>
    <row r="222">
      <c r="A222" s="2"/>
      <c r="B222" s="3"/>
      <c r="C222" s="3"/>
      <c r="D222" s="3"/>
      <c r="E222" s="4"/>
      <c r="F222" s="3"/>
      <c r="G222" s="5"/>
      <c r="H222" s="3"/>
      <c r="I222" s="5"/>
      <c r="J222" s="3"/>
      <c r="K222" s="5"/>
      <c r="L222" s="3"/>
      <c r="M222" s="5"/>
      <c r="N222" s="5"/>
    </row>
    <row r="223">
      <c r="A223" s="2"/>
      <c r="B223" s="3"/>
      <c r="C223" s="3"/>
      <c r="D223" s="3"/>
      <c r="E223" s="4"/>
      <c r="F223" s="3"/>
      <c r="G223" s="5"/>
      <c r="H223" s="3"/>
      <c r="I223" s="5"/>
      <c r="J223" s="3"/>
      <c r="K223" s="5"/>
      <c r="L223" s="3"/>
      <c r="M223" s="5"/>
      <c r="N223" s="5"/>
    </row>
    <row r="224">
      <c r="A224" s="2"/>
      <c r="B224" s="3"/>
      <c r="C224" s="3"/>
      <c r="D224" s="3"/>
      <c r="E224" s="4"/>
      <c r="F224" s="3"/>
      <c r="G224" s="5"/>
      <c r="H224" s="3"/>
      <c r="I224" s="5"/>
      <c r="J224" s="3"/>
      <c r="K224" s="5"/>
      <c r="L224" s="3"/>
      <c r="M224" s="5"/>
      <c r="N224" s="5"/>
    </row>
    <row r="225">
      <c r="A225" s="2"/>
      <c r="B225" s="3"/>
      <c r="C225" s="3"/>
      <c r="D225" s="3"/>
      <c r="E225" s="4"/>
      <c r="F225" s="3"/>
      <c r="G225" s="5"/>
      <c r="H225" s="3"/>
      <c r="I225" s="5"/>
      <c r="J225" s="3"/>
      <c r="K225" s="5"/>
      <c r="L225" s="3"/>
      <c r="M225" s="5"/>
      <c r="N225" s="5"/>
    </row>
    <row r="226">
      <c r="A226" s="2"/>
      <c r="B226" s="3"/>
      <c r="C226" s="3"/>
      <c r="D226" s="3"/>
      <c r="E226" s="4"/>
      <c r="F226" s="3"/>
      <c r="G226" s="5"/>
      <c r="H226" s="3"/>
      <c r="I226" s="5"/>
      <c r="J226" s="3"/>
      <c r="K226" s="5"/>
      <c r="L226" s="3"/>
      <c r="M226" s="5"/>
      <c r="N226" s="5"/>
    </row>
    <row r="227">
      <c r="A227" s="2"/>
      <c r="B227" s="3"/>
      <c r="C227" s="3"/>
      <c r="D227" s="3"/>
      <c r="E227" s="4"/>
      <c r="F227" s="3"/>
      <c r="G227" s="5"/>
      <c r="H227" s="3"/>
      <c r="I227" s="5"/>
      <c r="J227" s="3"/>
      <c r="K227" s="5"/>
      <c r="L227" s="3"/>
      <c r="M227" s="5"/>
      <c r="N227" s="5"/>
    </row>
    <row r="228">
      <c r="A228" s="2"/>
      <c r="B228" s="3"/>
      <c r="C228" s="3"/>
      <c r="D228" s="3"/>
      <c r="E228" s="4"/>
      <c r="F228" s="3"/>
      <c r="G228" s="5"/>
      <c r="H228" s="3"/>
      <c r="I228" s="5"/>
      <c r="J228" s="3"/>
      <c r="K228" s="5"/>
      <c r="L228" s="3"/>
      <c r="M228" s="5"/>
      <c r="N228" s="5"/>
    </row>
    <row r="229">
      <c r="A229" s="2"/>
      <c r="B229" s="3"/>
      <c r="C229" s="3"/>
      <c r="D229" s="3"/>
      <c r="E229" s="4"/>
      <c r="F229" s="3"/>
      <c r="G229" s="5"/>
      <c r="H229" s="3"/>
      <c r="I229" s="5"/>
      <c r="J229" s="3"/>
      <c r="K229" s="5"/>
      <c r="L229" s="3"/>
      <c r="M229" s="5"/>
      <c r="N229" s="5"/>
    </row>
    <row r="230">
      <c r="A230" s="2"/>
      <c r="B230" s="3"/>
      <c r="C230" s="3"/>
      <c r="D230" s="3"/>
      <c r="E230" s="4"/>
      <c r="F230" s="3"/>
      <c r="G230" s="5"/>
      <c r="H230" s="3"/>
      <c r="I230" s="5"/>
      <c r="J230" s="3"/>
      <c r="K230" s="5"/>
      <c r="L230" s="3"/>
      <c r="M230" s="5"/>
      <c r="N230" s="5"/>
    </row>
    <row r="231">
      <c r="A231" s="2"/>
      <c r="B231" s="3"/>
      <c r="C231" s="3"/>
      <c r="D231" s="3"/>
      <c r="E231" s="4"/>
      <c r="F231" s="3"/>
      <c r="G231" s="5"/>
      <c r="H231" s="3"/>
      <c r="I231" s="5"/>
      <c r="J231" s="3"/>
      <c r="K231" s="5"/>
      <c r="L231" s="3"/>
      <c r="M231" s="5"/>
      <c r="N231" s="5"/>
    </row>
    <row r="232">
      <c r="A232" s="2"/>
      <c r="B232" s="3"/>
      <c r="C232" s="3"/>
      <c r="D232" s="3"/>
      <c r="E232" s="4"/>
      <c r="F232" s="3"/>
      <c r="G232" s="5"/>
      <c r="H232" s="3"/>
      <c r="I232" s="5"/>
      <c r="J232" s="3"/>
      <c r="K232" s="5"/>
      <c r="L232" s="3"/>
      <c r="M232" s="5"/>
      <c r="N232" s="5"/>
    </row>
    <row r="233">
      <c r="A233" s="2"/>
      <c r="B233" s="3"/>
      <c r="C233" s="3"/>
      <c r="D233" s="3"/>
      <c r="E233" s="4"/>
      <c r="F233" s="3"/>
      <c r="G233" s="5"/>
      <c r="H233" s="3"/>
      <c r="I233" s="5"/>
      <c r="J233" s="3"/>
      <c r="K233" s="5"/>
      <c r="L233" s="3"/>
      <c r="M233" s="5"/>
      <c r="N233" s="5"/>
    </row>
    <row r="234">
      <c r="A234" s="2"/>
      <c r="B234" s="3"/>
      <c r="C234" s="3"/>
      <c r="D234" s="3"/>
      <c r="E234" s="4"/>
      <c r="F234" s="3"/>
      <c r="G234" s="5"/>
      <c r="H234" s="3"/>
      <c r="I234" s="5"/>
      <c r="J234" s="3"/>
      <c r="K234" s="5"/>
      <c r="L234" s="3"/>
      <c r="M234" s="5"/>
      <c r="N234" s="5"/>
    </row>
    <row r="235">
      <c r="A235" s="2"/>
      <c r="B235" s="3"/>
      <c r="C235" s="3"/>
      <c r="D235" s="3"/>
      <c r="E235" s="4"/>
      <c r="F235" s="3"/>
      <c r="G235" s="5"/>
      <c r="H235" s="3"/>
      <c r="I235" s="5"/>
      <c r="J235" s="3"/>
      <c r="K235" s="5"/>
      <c r="L235" s="3"/>
      <c r="M235" s="5"/>
      <c r="N235" s="5"/>
    </row>
    <row r="236">
      <c r="A236" s="2"/>
      <c r="B236" s="3"/>
      <c r="C236" s="3"/>
      <c r="D236" s="3"/>
      <c r="E236" s="4"/>
      <c r="F236" s="3"/>
      <c r="G236" s="5"/>
      <c r="H236" s="3"/>
      <c r="I236" s="5"/>
      <c r="J236" s="3"/>
      <c r="K236" s="5"/>
      <c r="L236" s="3"/>
      <c r="M236" s="5"/>
      <c r="N236" s="5"/>
    </row>
    <row r="237">
      <c r="A237" s="2"/>
      <c r="B237" s="3"/>
      <c r="C237" s="3"/>
      <c r="D237" s="3"/>
      <c r="E237" s="4"/>
      <c r="F237" s="3"/>
      <c r="G237" s="5"/>
      <c r="H237" s="3"/>
      <c r="I237" s="5"/>
      <c r="J237" s="3"/>
      <c r="K237" s="5"/>
      <c r="L237" s="3"/>
      <c r="M237" s="5"/>
      <c r="N237" s="5"/>
    </row>
    <row r="238">
      <c r="A238" s="2"/>
      <c r="B238" s="3"/>
      <c r="C238" s="3"/>
      <c r="D238" s="3"/>
      <c r="E238" s="4"/>
      <c r="F238" s="3"/>
      <c r="G238" s="5"/>
      <c r="H238" s="3"/>
      <c r="I238" s="5"/>
      <c r="J238" s="3"/>
      <c r="K238" s="5"/>
      <c r="L238" s="3"/>
      <c r="M238" s="5"/>
      <c r="N238" s="5"/>
    </row>
    <row r="239">
      <c r="A239" s="2"/>
      <c r="B239" s="3"/>
      <c r="C239" s="3"/>
      <c r="D239" s="3"/>
      <c r="E239" s="4"/>
      <c r="F239" s="3"/>
      <c r="G239" s="5"/>
      <c r="H239" s="3"/>
      <c r="I239" s="5"/>
      <c r="J239" s="3"/>
      <c r="K239" s="5"/>
      <c r="L239" s="3"/>
      <c r="M239" s="5"/>
      <c r="N239" s="5"/>
    </row>
    <row r="240">
      <c r="A240" s="2"/>
      <c r="B240" s="3"/>
      <c r="C240" s="3"/>
      <c r="D240" s="3"/>
      <c r="E240" s="4"/>
      <c r="F240" s="3"/>
      <c r="G240" s="5"/>
      <c r="H240" s="3"/>
      <c r="I240" s="5"/>
      <c r="J240" s="3"/>
      <c r="K240" s="5"/>
      <c r="L240" s="3"/>
      <c r="M240" s="5"/>
      <c r="N240" s="5"/>
    </row>
    <row r="241">
      <c r="A241" s="2"/>
      <c r="B241" s="3"/>
      <c r="C241" s="3"/>
      <c r="D241" s="3"/>
      <c r="E241" s="4"/>
      <c r="F241" s="3"/>
      <c r="G241" s="5"/>
      <c r="H241" s="3"/>
      <c r="I241" s="5"/>
      <c r="J241" s="3"/>
      <c r="K241" s="5"/>
      <c r="L241" s="3"/>
      <c r="M241" s="5"/>
      <c r="N241" s="5"/>
    </row>
    <row r="242">
      <c r="A242" s="2"/>
      <c r="B242" s="3"/>
      <c r="C242" s="3"/>
      <c r="D242" s="3"/>
      <c r="E242" s="4"/>
      <c r="F242" s="3"/>
      <c r="G242" s="5"/>
      <c r="H242" s="3"/>
      <c r="I242" s="5"/>
      <c r="J242" s="3"/>
      <c r="K242" s="5"/>
      <c r="L242" s="3"/>
      <c r="M242" s="5"/>
      <c r="N242" s="5"/>
    </row>
    <row r="243">
      <c r="A243" s="2"/>
      <c r="B243" s="3"/>
      <c r="C243" s="3"/>
      <c r="D243" s="3"/>
      <c r="E243" s="4"/>
      <c r="F243" s="3"/>
      <c r="G243" s="5"/>
      <c r="H243" s="3"/>
      <c r="I243" s="5"/>
      <c r="J243" s="3"/>
      <c r="K243" s="5"/>
      <c r="L243" s="3"/>
      <c r="M243" s="5"/>
      <c r="N243" s="5"/>
    </row>
    <row r="244">
      <c r="A244" s="2"/>
      <c r="B244" s="3"/>
      <c r="C244" s="3"/>
      <c r="D244" s="3"/>
      <c r="E244" s="4"/>
      <c r="F244" s="3"/>
      <c r="G244" s="5"/>
      <c r="H244" s="3"/>
      <c r="I244" s="5"/>
      <c r="J244" s="3"/>
      <c r="K244" s="5"/>
      <c r="L244" s="3"/>
      <c r="M244" s="5"/>
      <c r="N244" s="5"/>
    </row>
    <row r="245">
      <c r="A245" s="2"/>
      <c r="B245" s="3"/>
      <c r="C245" s="3"/>
      <c r="D245" s="3"/>
      <c r="E245" s="4"/>
      <c r="F245" s="3"/>
      <c r="G245" s="5"/>
      <c r="H245" s="3"/>
      <c r="I245" s="5"/>
      <c r="J245" s="3"/>
      <c r="K245" s="5"/>
      <c r="L245" s="3"/>
      <c r="M245" s="5"/>
      <c r="N245" s="5"/>
    </row>
    <row r="246">
      <c r="A246" s="2"/>
      <c r="B246" s="3"/>
      <c r="C246" s="3"/>
      <c r="D246" s="3"/>
      <c r="E246" s="4"/>
      <c r="F246" s="3"/>
      <c r="G246" s="5"/>
      <c r="H246" s="3"/>
      <c r="I246" s="5"/>
      <c r="J246" s="3"/>
      <c r="K246" s="5"/>
      <c r="L246" s="3"/>
      <c r="M246" s="5"/>
      <c r="N246" s="5"/>
    </row>
    <row r="247">
      <c r="A247" s="2"/>
      <c r="B247" s="3"/>
      <c r="C247" s="3"/>
      <c r="D247" s="3"/>
      <c r="E247" s="4"/>
      <c r="F247" s="3"/>
      <c r="G247" s="5"/>
      <c r="H247" s="3"/>
      <c r="I247" s="5"/>
      <c r="J247" s="3"/>
      <c r="K247" s="5"/>
      <c r="L247" s="3"/>
      <c r="M247" s="5"/>
      <c r="N247" s="5"/>
    </row>
    <row r="248">
      <c r="A248" s="2"/>
      <c r="B248" s="3"/>
      <c r="C248" s="3"/>
      <c r="D248" s="3"/>
      <c r="E248" s="4"/>
      <c r="F248" s="3"/>
      <c r="G248" s="5"/>
      <c r="H248" s="3"/>
      <c r="I248" s="5"/>
      <c r="J248" s="3"/>
      <c r="K248" s="5"/>
      <c r="L248" s="3"/>
      <c r="M248" s="5"/>
      <c r="N248" s="5"/>
    </row>
    <row r="249">
      <c r="A249" s="2"/>
      <c r="B249" s="3"/>
      <c r="C249" s="3"/>
      <c r="D249" s="3"/>
      <c r="E249" s="4"/>
      <c r="F249" s="3"/>
      <c r="G249" s="5"/>
      <c r="H249" s="3"/>
      <c r="I249" s="5"/>
      <c r="J249" s="3"/>
      <c r="K249" s="5"/>
      <c r="L249" s="3"/>
      <c r="M249" s="5"/>
      <c r="N249" s="5"/>
    </row>
    <row r="250">
      <c r="A250" s="2"/>
      <c r="B250" s="3"/>
      <c r="C250" s="3"/>
      <c r="D250" s="3"/>
      <c r="E250" s="4"/>
      <c r="F250" s="3"/>
      <c r="G250" s="5"/>
      <c r="H250" s="3"/>
      <c r="I250" s="5"/>
      <c r="J250" s="3"/>
      <c r="K250" s="5"/>
      <c r="L250" s="3"/>
      <c r="M250" s="5"/>
      <c r="N250" s="5"/>
    </row>
    <row r="251">
      <c r="A251" s="2"/>
      <c r="B251" s="3"/>
      <c r="C251" s="3"/>
      <c r="D251" s="3"/>
      <c r="E251" s="4"/>
      <c r="F251" s="3"/>
      <c r="G251" s="5"/>
      <c r="H251" s="3"/>
      <c r="I251" s="5"/>
      <c r="J251" s="3"/>
      <c r="K251" s="5"/>
      <c r="L251" s="3"/>
      <c r="M251" s="5"/>
      <c r="N251" s="5"/>
    </row>
    <row r="252">
      <c r="A252" s="2"/>
      <c r="B252" s="3"/>
      <c r="C252" s="3"/>
      <c r="D252" s="3"/>
      <c r="E252" s="4"/>
      <c r="F252" s="3"/>
      <c r="G252" s="5"/>
      <c r="H252" s="3"/>
      <c r="I252" s="5"/>
      <c r="J252" s="3"/>
      <c r="K252" s="5"/>
      <c r="L252" s="3"/>
      <c r="M252" s="5"/>
      <c r="N252" s="5"/>
    </row>
    <row r="253">
      <c r="A253" s="2"/>
      <c r="B253" s="3"/>
      <c r="C253" s="3"/>
      <c r="D253" s="3"/>
      <c r="E253" s="4"/>
      <c r="F253" s="3"/>
      <c r="G253" s="5"/>
      <c r="H253" s="3"/>
      <c r="I253" s="5"/>
      <c r="J253" s="3"/>
      <c r="K253" s="5"/>
      <c r="L253" s="3"/>
      <c r="M253" s="5"/>
      <c r="N253" s="5"/>
    </row>
    <row r="254">
      <c r="A254" s="2"/>
      <c r="B254" s="3"/>
      <c r="C254" s="3"/>
      <c r="D254" s="3"/>
      <c r="E254" s="4"/>
      <c r="F254" s="3"/>
      <c r="G254" s="5"/>
      <c r="H254" s="3"/>
      <c r="I254" s="5"/>
      <c r="J254" s="3"/>
      <c r="K254" s="5"/>
      <c r="L254" s="3"/>
      <c r="M254" s="5"/>
      <c r="N254" s="5"/>
    </row>
    <row r="255">
      <c r="A255" s="2"/>
      <c r="B255" s="3"/>
      <c r="C255" s="3"/>
      <c r="D255" s="3"/>
      <c r="E255" s="4"/>
      <c r="F255" s="3"/>
      <c r="G255" s="5"/>
      <c r="H255" s="3"/>
      <c r="I255" s="5"/>
      <c r="J255" s="3"/>
      <c r="K255" s="5"/>
      <c r="L255" s="3"/>
      <c r="M255" s="5"/>
      <c r="N255" s="5"/>
    </row>
    <row r="256">
      <c r="A256" s="2"/>
      <c r="B256" s="3"/>
      <c r="C256" s="3"/>
      <c r="D256" s="3"/>
      <c r="E256" s="4"/>
      <c r="F256" s="3"/>
      <c r="G256" s="5"/>
      <c r="H256" s="3"/>
      <c r="I256" s="5"/>
      <c r="J256" s="3"/>
      <c r="K256" s="5"/>
      <c r="L256" s="3"/>
      <c r="M256" s="5"/>
      <c r="N256" s="5"/>
    </row>
    <row r="257">
      <c r="A257" s="2"/>
      <c r="B257" s="3"/>
      <c r="C257" s="3"/>
      <c r="D257" s="3"/>
      <c r="E257" s="4"/>
      <c r="F257" s="3"/>
      <c r="G257" s="5"/>
      <c r="H257" s="3"/>
      <c r="I257" s="5"/>
      <c r="J257" s="3"/>
      <c r="K257" s="5"/>
      <c r="L257" s="3"/>
      <c r="M257" s="5"/>
      <c r="N257" s="5"/>
    </row>
    <row r="258">
      <c r="A258" s="2"/>
      <c r="B258" s="3"/>
      <c r="C258" s="3"/>
      <c r="D258" s="3"/>
      <c r="E258" s="4"/>
      <c r="F258" s="3"/>
      <c r="G258" s="5"/>
      <c r="H258" s="3"/>
      <c r="I258" s="5"/>
      <c r="J258" s="3"/>
      <c r="K258" s="5"/>
      <c r="L258" s="3"/>
      <c r="M258" s="5"/>
      <c r="N258" s="5"/>
    </row>
    <row r="259">
      <c r="A259" s="2"/>
      <c r="B259" s="3"/>
      <c r="C259" s="3"/>
      <c r="D259" s="3"/>
      <c r="E259" s="4"/>
      <c r="F259" s="3"/>
      <c r="G259" s="5"/>
      <c r="H259" s="3"/>
      <c r="I259" s="5"/>
      <c r="J259" s="3"/>
      <c r="K259" s="5"/>
      <c r="L259" s="3"/>
      <c r="M259" s="5"/>
      <c r="N259" s="5"/>
    </row>
    <row r="260">
      <c r="A260" s="2"/>
      <c r="B260" s="3"/>
      <c r="C260" s="3"/>
      <c r="D260" s="3"/>
      <c r="E260" s="4"/>
      <c r="F260" s="3"/>
      <c r="G260" s="5"/>
      <c r="H260" s="3"/>
      <c r="I260" s="5"/>
      <c r="J260" s="3"/>
      <c r="K260" s="5"/>
      <c r="L260" s="3"/>
      <c r="M260" s="5"/>
      <c r="N260" s="5"/>
    </row>
    <row r="261">
      <c r="A261" s="2"/>
      <c r="B261" s="3"/>
      <c r="C261" s="3"/>
      <c r="D261" s="3"/>
      <c r="E261" s="4"/>
      <c r="F261" s="3"/>
      <c r="G261" s="5"/>
      <c r="H261" s="3"/>
      <c r="I261" s="5"/>
      <c r="J261" s="3"/>
      <c r="K261" s="5"/>
      <c r="L261" s="3"/>
      <c r="M261" s="5"/>
      <c r="N261" s="5"/>
    </row>
    <row r="262">
      <c r="A262" s="2"/>
      <c r="B262" s="3"/>
      <c r="C262" s="3"/>
      <c r="D262" s="3"/>
      <c r="E262" s="4"/>
      <c r="F262" s="3"/>
      <c r="G262" s="5"/>
      <c r="H262" s="3"/>
      <c r="I262" s="5"/>
      <c r="J262" s="3"/>
      <c r="K262" s="5"/>
      <c r="L262" s="3"/>
      <c r="M262" s="5"/>
      <c r="N262" s="5"/>
    </row>
    <row r="263">
      <c r="A263" s="2"/>
      <c r="B263" s="3"/>
      <c r="C263" s="3"/>
      <c r="D263" s="3"/>
      <c r="E263" s="4"/>
      <c r="F263" s="3"/>
      <c r="G263" s="5"/>
      <c r="H263" s="3"/>
      <c r="I263" s="5"/>
      <c r="J263" s="3"/>
      <c r="K263" s="5"/>
      <c r="L263" s="3"/>
      <c r="M263" s="5"/>
      <c r="N263" s="5"/>
    </row>
    <row r="264">
      <c r="A264" s="2"/>
      <c r="B264" s="3"/>
      <c r="C264" s="3"/>
      <c r="D264" s="3"/>
      <c r="E264" s="4"/>
      <c r="F264" s="3"/>
      <c r="G264" s="5"/>
      <c r="H264" s="3"/>
      <c r="I264" s="5"/>
      <c r="J264" s="3"/>
      <c r="K264" s="5"/>
      <c r="L264" s="3"/>
      <c r="M264" s="5"/>
      <c r="N264" s="5"/>
    </row>
    <row r="265">
      <c r="A265" s="2"/>
      <c r="B265" s="3"/>
      <c r="C265" s="3"/>
      <c r="D265" s="3"/>
      <c r="E265" s="4"/>
      <c r="F265" s="3"/>
      <c r="G265" s="5"/>
      <c r="H265" s="3"/>
      <c r="I265" s="5"/>
      <c r="J265" s="3"/>
      <c r="K265" s="5"/>
      <c r="L265" s="3"/>
      <c r="M265" s="5"/>
      <c r="N265" s="5"/>
    </row>
    <row r="266">
      <c r="A266" s="2"/>
      <c r="B266" s="3"/>
      <c r="C266" s="3"/>
      <c r="D266" s="3"/>
      <c r="E266" s="4"/>
      <c r="F266" s="3"/>
      <c r="G266" s="5"/>
      <c r="H266" s="3"/>
      <c r="I266" s="5"/>
      <c r="J266" s="3"/>
      <c r="K266" s="5"/>
      <c r="L266" s="3"/>
      <c r="M266" s="5"/>
      <c r="N266" s="5"/>
    </row>
    <row r="267">
      <c r="A267" s="2"/>
      <c r="B267" s="3"/>
      <c r="C267" s="3"/>
      <c r="D267" s="3"/>
      <c r="E267" s="4"/>
      <c r="F267" s="3"/>
      <c r="G267" s="5"/>
      <c r="H267" s="3"/>
      <c r="I267" s="5"/>
      <c r="J267" s="3"/>
      <c r="K267" s="5"/>
      <c r="L267" s="3"/>
      <c r="M267" s="5"/>
      <c r="N267" s="5"/>
    </row>
    <row r="268">
      <c r="A268" s="2"/>
      <c r="B268" s="3"/>
      <c r="C268" s="3"/>
      <c r="D268" s="3"/>
      <c r="E268" s="4"/>
      <c r="F268" s="3"/>
      <c r="G268" s="5"/>
      <c r="H268" s="3"/>
      <c r="I268" s="5"/>
      <c r="J268" s="3"/>
      <c r="K268" s="5"/>
      <c r="L268" s="3"/>
      <c r="M268" s="5"/>
      <c r="N268" s="5"/>
    </row>
    <row r="269">
      <c r="A269" s="2"/>
      <c r="B269" s="3"/>
      <c r="C269" s="3"/>
      <c r="D269" s="3"/>
      <c r="E269" s="4"/>
      <c r="F269" s="3"/>
      <c r="G269" s="5"/>
      <c r="H269" s="3"/>
      <c r="I269" s="5"/>
      <c r="J269" s="3"/>
      <c r="K269" s="5"/>
      <c r="L269" s="3"/>
      <c r="M269" s="5"/>
      <c r="N269" s="5"/>
    </row>
    <row r="270">
      <c r="A270" s="2"/>
      <c r="B270" s="3"/>
      <c r="C270" s="3"/>
      <c r="D270" s="3"/>
      <c r="E270" s="4"/>
      <c r="F270" s="3"/>
      <c r="G270" s="5"/>
      <c r="H270" s="3"/>
      <c r="I270" s="5"/>
      <c r="J270" s="3"/>
      <c r="K270" s="5"/>
      <c r="L270" s="3"/>
      <c r="M270" s="5"/>
      <c r="N270" s="5"/>
    </row>
    <row r="271">
      <c r="A271" s="2"/>
      <c r="B271" s="3"/>
      <c r="C271" s="3"/>
      <c r="D271" s="3"/>
      <c r="E271" s="4"/>
      <c r="F271" s="3"/>
      <c r="G271" s="5"/>
      <c r="H271" s="3"/>
      <c r="I271" s="5"/>
      <c r="J271" s="3"/>
      <c r="K271" s="5"/>
      <c r="L271" s="3"/>
      <c r="M271" s="5"/>
      <c r="N271" s="5"/>
    </row>
    <row r="272">
      <c r="A272" s="2"/>
      <c r="B272" s="3"/>
      <c r="C272" s="3"/>
      <c r="D272" s="3"/>
      <c r="E272" s="4"/>
      <c r="F272" s="3"/>
      <c r="G272" s="5"/>
      <c r="H272" s="3"/>
      <c r="I272" s="5"/>
      <c r="J272" s="3"/>
      <c r="K272" s="5"/>
      <c r="L272" s="3"/>
      <c r="M272" s="5"/>
      <c r="N272" s="5"/>
    </row>
    <row r="273">
      <c r="A273" s="2"/>
      <c r="B273" s="3"/>
      <c r="C273" s="3"/>
      <c r="D273" s="3"/>
      <c r="E273" s="4"/>
      <c r="F273" s="3"/>
      <c r="G273" s="5"/>
      <c r="H273" s="3"/>
      <c r="I273" s="5"/>
      <c r="J273" s="3"/>
      <c r="K273" s="5"/>
      <c r="L273" s="3"/>
      <c r="M273" s="5"/>
      <c r="N273" s="5"/>
    </row>
    <row r="274">
      <c r="A274" s="2"/>
      <c r="B274" s="3"/>
      <c r="C274" s="3"/>
      <c r="D274" s="3"/>
      <c r="E274" s="4"/>
      <c r="F274" s="3"/>
      <c r="G274" s="5"/>
      <c r="H274" s="3"/>
      <c r="I274" s="5"/>
      <c r="J274" s="3"/>
      <c r="K274" s="5"/>
      <c r="L274" s="3"/>
      <c r="M274" s="5"/>
      <c r="N274" s="5"/>
    </row>
    <row r="275">
      <c r="A275" s="2"/>
      <c r="B275" s="3"/>
      <c r="C275" s="3"/>
      <c r="D275" s="3"/>
      <c r="E275" s="4"/>
      <c r="F275" s="3"/>
      <c r="G275" s="5"/>
      <c r="H275" s="3"/>
      <c r="I275" s="5"/>
      <c r="J275" s="3"/>
      <c r="K275" s="5"/>
      <c r="L275" s="3"/>
      <c r="M275" s="5"/>
      <c r="N275" s="5"/>
    </row>
    <row r="276">
      <c r="A276" s="2"/>
      <c r="B276" s="3"/>
      <c r="C276" s="3"/>
      <c r="D276" s="3"/>
      <c r="E276" s="4"/>
      <c r="F276" s="3"/>
      <c r="G276" s="5"/>
      <c r="H276" s="3"/>
      <c r="I276" s="5"/>
      <c r="J276" s="3"/>
      <c r="K276" s="5"/>
      <c r="L276" s="3"/>
      <c r="M276" s="5"/>
      <c r="N276" s="5"/>
    </row>
    <row r="277">
      <c r="A277" s="2"/>
      <c r="B277" s="3"/>
      <c r="C277" s="3"/>
      <c r="D277" s="3"/>
      <c r="E277" s="4"/>
      <c r="F277" s="3"/>
      <c r="G277" s="5"/>
      <c r="H277" s="3"/>
      <c r="I277" s="5"/>
      <c r="J277" s="3"/>
      <c r="K277" s="5"/>
      <c r="L277" s="3"/>
      <c r="M277" s="5"/>
      <c r="N277" s="5"/>
    </row>
    <row r="278">
      <c r="A278" s="2"/>
      <c r="B278" s="3"/>
      <c r="C278" s="3"/>
      <c r="D278" s="3"/>
      <c r="E278" s="4"/>
      <c r="F278" s="3"/>
      <c r="G278" s="5"/>
      <c r="H278" s="3"/>
      <c r="I278" s="5"/>
      <c r="J278" s="3"/>
      <c r="K278" s="5"/>
      <c r="L278" s="3"/>
      <c r="M278" s="5"/>
      <c r="N278" s="5"/>
    </row>
    <row r="279">
      <c r="A279" s="2"/>
      <c r="B279" s="3"/>
      <c r="C279" s="3"/>
      <c r="D279" s="3"/>
      <c r="E279" s="4"/>
      <c r="F279" s="3"/>
      <c r="G279" s="5"/>
      <c r="H279" s="3"/>
      <c r="I279" s="5"/>
      <c r="J279" s="3"/>
      <c r="K279" s="5"/>
      <c r="L279" s="3"/>
      <c r="M279" s="5"/>
      <c r="N279" s="5"/>
    </row>
    <row r="280">
      <c r="A280" s="2"/>
      <c r="B280" s="3"/>
      <c r="C280" s="3"/>
      <c r="D280" s="3"/>
      <c r="E280" s="4"/>
      <c r="F280" s="3"/>
      <c r="G280" s="5"/>
      <c r="H280" s="3"/>
      <c r="I280" s="5"/>
      <c r="J280" s="3"/>
      <c r="K280" s="5"/>
      <c r="L280" s="3"/>
      <c r="M280" s="5"/>
      <c r="N280" s="5"/>
    </row>
    <row r="281">
      <c r="A281" s="2"/>
      <c r="B281" s="3"/>
      <c r="C281" s="3"/>
      <c r="D281" s="3"/>
      <c r="E281" s="4"/>
      <c r="F281" s="3"/>
      <c r="G281" s="5"/>
      <c r="H281" s="3"/>
      <c r="I281" s="5"/>
      <c r="J281" s="3"/>
      <c r="K281" s="5"/>
      <c r="L281" s="3"/>
      <c r="M281" s="5"/>
      <c r="N281" s="5"/>
    </row>
    <row r="282">
      <c r="A282" s="2"/>
      <c r="B282" s="3"/>
      <c r="C282" s="3"/>
      <c r="D282" s="3"/>
      <c r="E282" s="4"/>
      <c r="F282" s="3"/>
      <c r="G282" s="5"/>
      <c r="H282" s="3"/>
      <c r="I282" s="5"/>
      <c r="J282" s="3"/>
      <c r="K282" s="5"/>
      <c r="L282" s="3"/>
      <c r="M282" s="5"/>
      <c r="N282" s="5"/>
    </row>
    <row r="283">
      <c r="A283" s="2"/>
      <c r="B283" s="3"/>
      <c r="C283" s="3"/>
      <c r="D283" s="3"/>
      <c r="E283" s="4"/>
      <c r="F283" s="3"/>
      <c r="G283" s="5"/>
      <c r="H283" s="3"/>
      <c r="I283" s="5"/>
      <c r="J283" s="3"/>
      <c r="K283" s="5"/>
      <c r="L283" s="3"/>
      <c r="M283" s="5"/>
      <c r="N283" s="5"/>
    </row>
    <row r="284">
      <c r="A284" s="2"/>
      <c r="B284" s="3"/>
      <c r="C284" s="3"/>
      <c r="D284" s="3"/>
      <c r="E284" s="4"/>
      <c r="F284" s="3"/>
      <c r="G284" s="5"/>
      <c r="H284" s="3"/>
      <c r="I284" s="5"/>
      <c r="J284" s="3"/>
      <c r="K284" s="5"/>
      <c r="L284" s="3"/>
      <c r="M284" s="5"/>
      <c r="N284" s="5"/>
    </row>
    <row r="285">
      <c r="A285" s="2"/>
      <c r="B285" s="3"/>
      <c r="C285" s="3"/>
      <c r="D285" s="3"/>
      <c r="E285" s="4"/>
      <c r="F285" s="3"/>
      <c r="G285" s="5"/>
      <c r="H285" s="3"/>
      <c r="I285" s="5"/>
      <c r="J285" s="3"/>
      <c r="K285" s="5"/>
      <c r="L285" s="3"/>
      <c r="M285" s="5"/>
      <c r="N285" s="5"/>
    </row>
    <row r="286">
      <c r="A286" s="2"/>
      <c r="B286" s="3"/>
      <c r="C286" s="3"/>
      <c r="D286" s="3"/>
      <c r="E286" s="4"/>
      <c r="F286" s="3"/>
      <c r="G286" s="5"/>
      <c r="H286" s="3"/>
      <c r="I286" s="5"/>
      <c r="J286" s="3"/>
      <c r="K286" s="5"/>
      <c r="L286" s="3"/>
      <c r="M286" s="5"/>
      <c r="N286" s="5"/>
    </row>
    <row r="287">
      <c r="A287" s="2"/>
      <c r="B287" s="3"/>
      <c r="C287" s="3"/>
      <c r="D287" s="3"/>
      <c r="E287" s="4"/>
      <c r="F287" s="3"/>
      <c r="G287" s="5"/>
      <c r="H287" s="3"/>
      <c r="I287" s="5"/>
      <c r="J287" s="3"/>
      <c r="K287" s="5"/>
      <c r="L287" s="3"/>
      <c r="M287" s="5"/>
      <c r="N287" s="5"/>
    </row>
    <row r="288">
      <c r="A288" s="2"/>
      <c r="B288" s="3"/>
      <c r="C288" s="3"/>
      <c r="D288" s="3"/>
      <c r="E288" s="4"/>
      <c r="F288" s="3"/>
      <c r="G288" s="5"/>
      <c r="H288" s="3"/>
      <c r="I288" s="5"/>
      <c r="J288" s="3"/>
      <c r="K288" s="5"/>
      <c r="L288" s="3"/>
      <c r="M288" s="5"/>
      <c r="N288" s="5"/>
    </row>
    <row r="289">
      <c r="A289" s="2"/>
      <c r="B289" s="3"/>
      <c r="C289" s="3"/>
      <c r="D289" s="3"/>
      <c r="E289" s="4"/>
      <c r="F289" s="3"/>
      <c r="G289" s="5"/>
      <c r="H289" s="3"/>
      <c r="I289" s="5"/>
      <c r="J289" s="3"/>
      <c r="K289" s="5"/>
      <c r="L289" s="3"/>
      <c r="M289" s="5"/>
      <c r="N289" s="5"/>
    </row>
    <row r="290">
      <c r="A290" s="2"/>
      <c r="B290" s="3"/>
      <c r="C290" s="3"/>
      <c r="D290" s="3"/>
      <c r="E290" s="4"/>
      <c r="F290" s="3"/>
      <c r="G290" s="5"/>
      <c r="H290" s="3"/>
      <c r="I290" s="5"/>
      <c r="J290" s="3"/>
      <c r="K290" s="5"/>
      <c r="L290" s="3"/>
      <c r="M290" s="5"/>
      <c r="N290" s="5"/>
    </row>
    <row r="291">
      <c r="A291" s="2"/>
      <c r="B291" s="3"/>
      <c r="C291" s="3"/>
      <c r="D291" s="3"/>
      <c r="E291" s="4"/>
      <c r="F291" s="3"/>
      <c r="G291" s="5"/>
      <c r="H291" s="3"/>
      <c r="I291" s="5"/>
      <c r="J291" s="3"/>
      <c r="K291" s="5"/>
      <c r="L291" s="3"/>
      <c r="M291" s="5"/>
      <c r="N291" s="5"/>
    </row>
    <row r="292">
      <c r="A292" s="2"/>
      <c r="B292" s="3"/>
      <c r="C292" s="3"/>
      <c r="D292" s="3"/>
      <c r="E292" s="4"/>
      <c r="F292" s="3"/>
      <c r="G292" s="5"/>
      <c r="H292" s="3"/>
      <c r="I292" s="5"/>
      <c r="J292" s="3"/>
      <c r="K292" s="5"/>
      <c r="L292" s="3"/>
      <c r="M292" s="5"/>
      <c r="N292" s="5"/>
    </row>
    <row r="293">
      <c r="A293" s="2"/>
      <c r="B293" s="3"/>
      <c r="C293" s="3"/>
      <c r="D293" s="3"/>
      <c r="E293" s="4"/>
      <c r="F293" s="3"/>
      <c r="G293" s="5"/>
      <c r="H293" s="3"/>
      <c r="I293" s="5"/>
      <c r="J293" s="3"/>
      <c r="K293" s="5"/>
      <c r="L293" s="3"/>
      <c r="M293" s="5"/>
      <c r="N293" s="5"/>
    </row>
    <row r="294">
      <c r="A294" s="2"/>
      <c r="B294" s="3"/>
      <c r="C294" s="3"/>
      <c r="D294" s="3"/>
      <c r="E294" s="4"/>
      <c r="F294" s="3"/>
      <c r="G294" s="5"/>
      <c r="H294" s="3"/>
      <c r="I294" s="5"/>
      <c r="J294" s="3"/>
      <c r="K294" s="5"/>
      <c r="L294" s="3"/>
      <c r="M294" s="5"/>
      <c r="N294" s="5"/>
    </row>
    <row r="295">
      <c r="A295" s="2"/>
      <c r="B295" s="3"/>
      <c r="C295" s="3"/>
      <c r="D295" s="3"/>
      <c r="E295" s="4"/>
      <c r="F295" s="3"/>
      <c r="G295" s="5"/>
      <c r="H295" s="3"/>
      <c r="I295" s="5"/>
      <c r="J295" s="3"/>
      <c r="K295" s="5"/>
      <c r="L295" s="3"/>
      <c r="M295" s="5"/>
      <c r="N295" s="5"/>
    </row>
    <row r="296">
      <c r="A296" s="2"/>
      <c r="B296" s="3"/>
      <c r="C296" s="3"/>
      <c r="D296" s="3"/>
      <c r="E296" s="4"/>
      <c r="F296" s="3"/>
      <c r="G296" s="5"/>
      <c r="H296" s="3"/>
      <c r="I296" s="5"/>
      <c r="J296" s="3"/>
      <c r="K296" s="5"/>
      <c r="L296" s="3"/>
      <c r="M296" s="5"/>
      <c r="N296" s="5"/>
    </row>
    <row r="297">
      <c r="A297" s="2"/>
      <c r="B297" s="3"/>
      <c r="C297" s="3"/>
      <c r="D297" s="3"/>
      <c r="E297" s="4"/>
      <c r="F297" s="3"/>
      <c r="G297" s="5"/>
      <c r="H297" s="3"/>
      <c r="I297" s="5"/>
      <c r="J297" s="3"/>
      <c r="K297" s="5"/>
      <c r="L297" s="3"/>
      <c r="M297" s="5"/>
      <c r="N297" s="5"/>
    </row>
    <row r="298">
      <c r="A298" s="2"/>
      <c r="B298" s="3"/>
      <c r="C298" s="3"/>
      <c r="D298" s="3"/>
      <c r="E298" s="4"/>
      <c r="F298" s="3"/>
      <c r="G298" s="5"/>
      <c r="H298" s="3"/>
      <c r="I298" s="5"/>
      <c r="J298" s="3"/>
      <c r="K298" s="5"/>
      <c r="L298" s="3"/>
      <c r="M298" s="5"/>
      <c r="N298" s="5"/>
    </row>
    <row r="299">
      <c r="A299" s="2"/>
      <c r="B299" s="3"/>
      <c r="C299" s="3"/>
      <c r="D299" s="3"/>
      <c r="E299" s="4"/>
      <c r="F299" s="3"/>
      <c r="G299" s="5"/>
      <c r="H299" s="3"/>
      <c r="I299" s="5"/>
      <c r="J299" s="3"/>
      <c r="K299" s="5"/>
      <c r="L299" s="3"/>
      <c r="M299" s="5"/>
      <c r="N299" s="5"/>
    </row>
    <row r="300">
      <c r="A300" s="2"/>
      <c r="B300" s="3"/>
      <c r="C300" s="3"/>
      <c r="D300" s="3"/>
      <c r="E300" s="4"/>
      <c r="F300" s="3"/>
      <c r="G300" s="5"/>
      <c r="H300" s="3"/>
      <c r="I300" s="5"/>
      <c r="J300" s="3"/>
      <c r="K300" s="5"/>
      <c r="L300" s="3"/>
      <c r="M300" s="5"/>
      <c r="N300" s="5"/>
    </row>
    <row r="301">
      <c r="A301" s="2"/>
      <c r="B301" s="3"/>
      <c r="C301" s="3"/>
      <c r="D301" s="3"/>
      <c r="E301" s="4"/>
      <c r="F301" s="3"/>
      <c r="G301" s="5"/>
      <c r="H301" s="3"/>
      <c r="I301" s="5"/>
      <c r="J301" s="3"/>
      <c r="K301" s="5"/>
      <c r="L301" s="3"/>
      <c r="M301" s="5"/>
      <c r="N301" s="5"/>
    </row>
    <row r="302">
      <c r="A302" s="2"/>
      <c r="B302" s="3"/>
      <c r="C302" s="3"/>
      <c r="D302" s="3"/>
      <c r="E302" s="4"/>
      <c r="F302" s="3"/>
      <c r="G302" s="5"/>
      <c r="H302" s="3"/>
      <c r="I302" s="5"/>
      <c r="J302" s="3"/>
      <c r="K302" s="5"/>
      <c r="L302" s="3"/>
      <c r="M302" s="5"/>
      <c r="N302" s="5"/>
    </row>
    <row r="303">
      <c r="A303" s="2"/>
      <c r="B303" s="3"/>
      <c r="C303" s="3"/>
      <c r="D303" s="3"/>
      <c r="E303" s="4"/>
      <c r="F303" s="3"/>
      <c r="G303" s="5"/>
      <c r="H303" s="3"/>
      <c r="I303" s="5"/>
      <c r="J303" s="3"/>
      <c r="K303" s="5"/>
      <c r="L303" s="3"/>
      <c r="M303" s="5"/>
      <c r="N303" s="5"/>
    </row>
    <row r="304">
      <c r="A304" s="2"/>
      <c r="B304" s="3"/>
      <c r="C304" s="3"/>
      <c r="D304" s="3"/>
      <c r="E304" s="4"/>
      <c r="F304" s="3"/>
      <c r="G304" s="5"/>
      <c r="H304" s="3"/>
      <c r="I304" s="5"/>
      <c r="J304" s="3"/>
      <c r="K304" s="5"/>
      <c r="L304" s="3"/>
      <c r="M304" s="5"/>
      <c r="N304" s="5"/>
    </row>
    <row r="305">
      <c r="A305" s="2"/>
      <c r="B305" s="3"/>
      <c r="C305" s="3"/>
      <c r="D305" s="3"/>
      <c r="E305" s="4"/>
      <c r="F305" s="3"/>
      <c r="G305" s="5"/>
      <c r="H305" s="3"/>
      <c r="I305" s="5"/>
      <c r="J305" s="3"/>
      <c r="K305" s="5"/>
      <c r="L305" s="3"/>
      <c r="M305" s="5"/>
      <c r="N305" s="5"/>
    </row>
    <row r="306">
      <c r="A306" s="2"/>
      <c r="B306" s="3"/>
      <c r="C306" s="3"/>
      <c r="D306" s="3"/>
      <c r="E306" s="4"/>
      <c r="F306" s="3"/>
      <c r="G306" s="5"/>
      <c r="H306" s="3"/>
      <c r="I306" s="5"/>
      <c r="J306" s="3"/>
      <c r="K306" s="5"/>
      <c r="L306" s="3"/>
      <c r="M306" s="5"/>
      <c r="N306" s="5"/>
    </row>
    <row r="307">
      <c r="A307" s="2"/>
      <c r="B307" s="3"/>
      <c r="C307" s="3"/>
      <c r="D307" s="3"/>
      <c r="E307" s="4"/>
      <c r="F307" s="3"/>
      <c r="G307" s="5"/>
      <c r="H307" s="3"/>
      <c r="I307" s="5"/>
      <c r="J307" s="3"/>
      <c r="K307" s="5"/>
      <c r="L307" s="3"/>
      <c r="M307" s="5"/>
      <c r="N307" s="5"/>
    </row>
    <row r="308">
      <c r="A308" s="2"/>
      <c r="B308" s="3"/>
      <c r="C308" s="3"/>
      <c r="D308" s="3"/>
      <c r="E308" s="4"/>
      <c r="F308" s="3"/>
      <c r="G308" s="5"/>
      <c r="H308" s="3"/>
      <c r="I308" s="5"/>
      <c r="J308" s="3"/>
      <c r="K308" s="5"/>
      <c r="L308" s="3"/>
      <c r="M308" s="5"/>
      <c r="N308" s="5"/>
    </row>
    <row r="309">
      <c r="A309" s="2"/>
      <c r="B309" s="3"/>
      <c r="C309" s="3"/>
      <c r="D309" s="3"/>
      <c r="E309" s="4"/>
      <c r="F309" s="3"/>
      <c r="G309" s="5"/>
      <c r="H309" s="3"/>
      <c r="I309" s="5"/>
      <c r="J309" s="3"/>
      <c r="K309" s="5"/>
      <c r="L309" s="3"/>
      <c r="M309" s="5"/>
      <c r="N309" s="5"/>
    </row>
    <row r="310">
      <c r="A310" s="2"/>
      <c r="B310" s="3"/>
      <c r="C310" s="3"/>
      <c r="D310" s="3"/>
      <c r="E310" s="4"/>
      <c r="F310" s="3"/>
      <c r="G310" s="5"/>
      <c r="H310" s="3"/>
      <c r="I310" s="5"/>
      <c r="J310" s="3"/>
      <c r="K310" s="5"/>
      <c r="L310" s="3"/>
      <c r="M310" s="5"/>
      <c r="N310" s="5"/>
    </row>
    <row r="311">
      <c r="A311" s="2"/>
      <c r="B311" s="3"/>
      <c r="C311" s="3"/>
      <c r="D311" s="3"/>
      <c r="E311" s="4"/>
      <c r="F311" s="3"/>
      <c r="G311" s="5"/>
      <c r="H311" s="3"/>
      <c r="I311" s="5"/>
      <c r="J311" s="3"/>
      <c r="K311" s="5"/>
      <c r="L311" s="3"/>
      <c r="M311" s="5"/>
      <c r="N311" s="5"/>
    </row>
    <row r="312">
      <c r="A312" s="2"/>
      <c r="B312" s="3"/>
      <c r="C312" s="3"/>
      <c r="D312" s="3"/>
      <c r="E312" s="4"/>
      <c r="F312" s="3"/>
      <c r="G312" s="5"/>
      <c r="H312" s="3"/>
      <c r="I312" s="5"/>
      <c r="J312" s="3"/>
      <c r="K312" s="5"/>
      <c r="L312" s="3"/>
      <c r="M312" s="5"/>
      <c r="N312" s="5"/>
    </row>
    <row r="313">
      <c r="A313" s="2"/>
      <c r="B313" s="3"/>
      <c r="C313" s="3"/>
      <c r="D313" s="3"/>
      <c r="E313" s="4"/>
      <c r="F313" s="3"/>
      <c r="G313" s="5"/>
      <c r="H313" s="3"/>
      <c r="I313" s="5"/>
      <c r="J313" s="3"/>
      <c r="K313" s="5"/>
      <c r="L313" s="3"/>
      <c r="M313" s="5"/>
      <c r="N313" s="5"/>
    </row>
    <row r="314">
      <c r="A314" s="2"/>
      <c r="B314" s="3"/>
      <c r="C314" s="3"/>
      <c r="D314" s="3"/>
      <c r="E314" s="4"/>
      <c r="F314" s="3"/>
      <c r="G314" s="5"/>
      <c r="H314" s="3"/>
      <c r="I314" s="5"/>
      <c r="J314" s="3"/>
      <c r="K314" s="5"/>
      <c r="L314" s="3"/>
      <c r="M314" s="5"/>
      <c r="N314" s="5"/>
    </row>
    <row r="315">
      <c r="A315" s="2"/>
      <c r="B315" s="3"/>
      <c r="C315" s="3"/>
      <c r="D315" s="3"/>
      <c r="E315" s="4"/>
      <c r="F315" s="3"/>
      <c r="G315" s="5"/>
      <c r="H315" s="3"/>
      <c r="I315" s="5"/>
      <c r="J315" s="3"/>
      <c r="K315" s="5"/>
      <c r="L315" s="3"/>
      <c r="M315" s="5"/>
      <c r="N315" s="5"/>
    </row>
    <row r="316">
      <c r="A316" s="2"/>
      <c r="B316" s="3"/>
      <c r="C316" s="3"/>
      <c r="D316" s="3"/>
      <c r="E316" s="4"/>
      <c r="F316" s="3"/>
      <c r="G316" s="5"/>
      <c r="H316" s="3"/>
      <c r="I316" s="5"/>
      <c r="J316" s="3"/>
      <c r="K316" s="5"/>
      <c r="L316" s="3"/>
      <c r="M316" s="5"/>
      <c r="N316" s="5"/>
    </row>
    <row r="317">
      <c r="A317" s="2"/>
      <c r="B317" s="3"/>
      <c r="C317" s="3"/>
      <c r="D317" s="3"/>
      <c r="E317" s="4"/>
      <c r="F317" s="3"/>
      <c r="G317" s="5"/>
      <c r="H317" s="3"/>
      <c r="I317" s="5"/>
      <c r="J317" s="3"/>
      <c r="K317" s="5"/>
      <c r="L317" s="3"/>
      <c r="M317" s="5"/>
      <c r="N317" s="5"/>
    </row>
    <row r="318">
      <c r="A318" s="2"/>
      <c r="B318" s="3"/>
      <c r="C318" s="3"/>
      <c r="D318" s="3"/>
      <c r="E318" s="4"/>
      <c r="F318" s="3"/>
      <c r="G318" s="5"/>
      <c r="H318" s="3"/>
      <c r="I318" s="5"/>
      <c r="J318" s="3"/>
      <c r="K318" s="5"/>
      <c r="L318" s="3"/>
      <c r="M318" s="5"/>
      <c r="N318" s="5"/>
    </row>
    <row r="319">
      <c r="A319" s="2"/>
      <c r="B319" s="3"/>
      <c r="C319" s="3"/>
      <c r="D319" s="3"/>
      <c r="E319" s="4"/>
      <c r="F319" s="3"/>
      <c r="G319" s="5"/>
      <c r="H319" s="3"/>
      <c r="I319" s="5"/>
      <c r="J319" s="3"/>
      <c r="K319" s="5"/>
      <c r="L319" s="3"/>
      <c r="M319" s="5"/>
      <c r="N319" s="5"/>
    </row>
    <row r="320">
      <c r="A320" s="2"/>
      <c r="B320" s="3"/>
      <c r="C320" s="3"/>
      <c r="D320" s="3"/>
      <c r="E320" s="4"/>
      <c r="F320" s="3"/>
      <c r="G320" s="5"/>
      <c r="H320" s="3"/>
      <c r="I320" s="5"/>
      <c r="J320" s="3"/>
      <c r="K320" s="5"/>
      <c r="L320" s="3"/>
      <c r="M320" s="5"/>
      <c r="N320" s="5"/>
    </row>
    <row r="321">
      <c r="A321" s="2"/>
      <c r="B321" s="3"/>
      <c r="C321" s="3"/>
      <c r="D321" s="3"/>
      <c r="E321" s="4"/>
      <c r="F321" s="3"/>
      <c r="G321" s="5"/>
      <c r="H321" s="3"/>
      <c r="I321" s="5"/>
      <c r="J321" s="3"/>
      <c r="K321" s="5"/>
      <c r="L321" s="3"/>
      <c r="M321" s="5"/>
      <c r="N321" s="5"/>
    </row>
    <row r="322">
      <c r="A322" s="2"/>
      <c r="B322" s="3"/>
      <c r="C322" s="3"/>
      <c r="D322" s="3"/>
      <c r="E322" s="4"/>
      <c r="F322" s="3"/>
      <c r="G322" s="5"/>
      <c r="H322" s="3"/>
      <c r="I322" s="5"/>
      <c r="J322" s="3"/>
      <c r="K322" s="5"/>
      <c r="L322" s="3"/>
      <c r="M322" s="5"/>
      <c r="N322" s="5"/>
    </row>
    <row r="323">
      <c r="A323" s="2"/>
      <c r="B323" s="3"/>
      <c r="C323" s="3"/>
      <c r="D323" s="3"/>
      <c r="E323" s="4"/>
      <c r="F323" s="3"/>
      <c r="G323" s="5"/>
      <c r="H323" s="3"/>
      <c r="I323" s="5"/>
      <c r="J323" s="3"/>
      <c r="K323" s="5"/>
      <c r="L323" s="3"/>
      <c r="M323" s="5"/>
      <c r="N323" s="5"/>
    </row>
    <row r="324">
      <c r="A324" s="2"/>
      <c r="B324" s="3"/>
      <c r="C324" s="3"/>
      <c r="D324" s="3"/>
      <c r="E324" s="4"/>
      <c r="F324" s="3"/>
      <c r="G324" s="5"/>
      <c r="H324" s="3"/>
      <c r="I324" s="5"/>
      <c r="J324" s="3"/>
      <c r="K324" s="5"/>
      <c r="L324" s="3"/>
      <c r="M324" s="5"/>
      <c r="N324" s="5"/>
    </row>
    <row r="325">
      <c r="A325" s="2"/>
      <c r="B325" s="3"/>
      <c r="C325" s="3"/>
      <c r="D325" s="3"/>
      <c r="E325" s="4"/>
      <c r="F325" s="3"/>
      <c r="G325" s="5"/>
      <c r="H325" s="3"/>
      <c r="I325" s="5"/>
      <c r="J325" s="3"/>
      <c r="K325" s="5"/>
      <c r="L325" s="3"/>
      <c r="M325" s="5"/>
      <c r="N325" s="5"/>
    </row>
    <row r="326">
      <c r="A326" s="2"/>
      <c r="B326" s="3"/>
      <c r="C326" s="3"/>
      <c r="D326" s="3"/>
      <c r="E326" s="4"/>
      <c r="F326" s="3"/>
      <c r="G326" s="5"/>
      <c r="H326" s="3"/>
      <c r="I326" s="5"/>
      <c r="J326" s="3"/>
      <c r="K326" s="5"/>
      <c r="L326" s="3"/>
      <c r="M326" s="5"/>
      <c r="N326" s="5"/>
    </row>
    <row r="327">
      <c r="A327" s="2"/>
      <c r="B327" s="3"/>
      <c r="C327" s="3"/>
      <c r="D327" s="3"/>
      <c r="E327" s="4"/>
      <c r="F327" s="3"/>
      <c r="G327" s="5"/>
      <c r="H327" s="3"/>
      <c r="I327" s="5"/>
      <c r="J327" s="3"/>
      <c r="K327" s="5"/>
      <c r="L327" s="3"/>
      <c r="M327" s="5"/>
      <c r="N327" s="5"/>
    </row>
    <row r="328">
      <c r="A328" s="2"/>
      <c r="B328" s="3"/>
      <c r="C328" s="3"/>
      <c r="D328" s="3"/>
      <c r="E328" s="4"/>
      <c r="F328" s="3"/>
      <c r="G328" s="5"/>
      <c r="H328" s="3"/>
      <c r="I328" s="5"/>
      <c r="J328" s="3"/>
      <c r="K328" s="5"/>
      <c r="L328" s="3"/>
      <c r="M328" s="5"/>
      <c r="N328" s="5"/>
    </row>
    <row r="329">
      <c r="A329" s="2"/>
      <c r="B329" s="3"/>
      <c r="C329" s="3"/>
      <c r="D329" s="3"/>
      <c r="E329" s="4"/>
      <c r="F329" s="3"/>
      <c r="G329" s="5"/>
      <c r="H329" s="3"/>
      <c r="I329" s="5"/>
      <c r="J329" s="3"/>
      <c r="K329" s="5"/>
      <c r="L329" s="3"/>
      <c r="M329" s="5"/>
      <c r="N329" s="5"/>
    </row>
    <row r="330">
      <c r="A330" s="2"/>
      <c r="B330" s="3"/>
      <c r="C330" s="3"/>
      <c r="D330" s="3"/>
      <c r="E330" s="4"/>
      <c r="F330" s="3"/>
      <c r="G330" s="5"/>
      <c r="H330" s="3"/>
      <c r="I330" s="5"/>
      <c r="J330" s="3"/>
      <c r="K330" s="5"/>
      <c r="L330" s="3"/>
      <c r="M330" s="5"/>
      <c r="N330" s="5"/>
    </row>
    <row r="331">
      <c r="A331" s="2"/>
      <c r="B331" s="3"/>
      <c r="C331" s="3"/>
      <c r="D331" s="3"/>
      <c r="E331" s="4"/>
      <c r="F331" s="3"/>
      <c r="G331" s="5"/>
      <c r="H331" s="3"/>
      <c r="I331" s="5"/>
      <c r="J331" s="3"/>
      <c r="K331" s="5"/>
      <c r="L331" s="3"/>
      <c r="M331" s="5"/>
      <c r="N331" s="5"/>
    </row>
    <row r="332">
      <c r="A332" s="2"/>
      <c r="B332" s="3"/>
      <c r="C332" s="3"/>
      <c r="D332" s="3"/>
      <c r="E332" s="4"/>
      <c r="F332" s="3"/>
      <c r="G332" s="5"/>
      <c r="H332" s="3"/>
      <c r="I332" s="5"/>
      <c r="J332" s="3"/>
      <c r="K332" s="5"/>
      <c r="L332" s="3"/>
      <c r="M332" s="5"/>
      <c r="N332" s="5"/>
    </row>
    <row r="333">
      <c r="A333" s="2"/>
      <c r="B333" s="3"/>
      <c r="C333" s="3"/>
      <c r="D333" s="3"/>
      <c r="E333" s="4"/>
      <c r="F333" s="3"/>
      <c r="G333" s="5"/>
      <c r="H333" s="3"/>
      <c r="I333" s="5"/>
      <c r="J333" s="3"/>
      <c r="K333" s="5"/>
      <c r="L333" s="3"/>
      <c r="M333" s="5"/>
      <c r="N333" s="5"/>
    </row>
    <row r="334">
      <c r="A334" s="2"/>
      <c r="B334" s="3"/>
      <c r="C334" s="3"/>
      <c r="D334" s="3"/>
      <c r="E334" s="4"/>
      <c r="F334" s="3"/>
      <c r="G334" s="5"/>
      <c r="H334" s="3"/>
      <c r="I334" s="5"/>
      <c r="J334" s="3"/>
      <c r="K334" s="5"/>
      <c r="L334" s="3"/>
      <c r="M334" s="5"/>
      <c r="N334" s="5"/>
    </row>
    <row r="335">
      <c r="A335" s="2"/>
      <c r="B335" s="3"/>
      <c r="C335" s="3"/>
      <c r="D335" s="3"/>
      <c r="E335" s="4"/>
      <c r="F335" s="3"/>
      <c r="G335" s="5"/>
      <c r="H335" s="3"/>
      <c r="I335" s="5"/>
      <c r="J335" s="3"/>
      <c r="K335" s="5"/>
      <c r="L335" s="3"/>
      <c r="M335" s="5"/>
      <c r="N335" s="5"/>
    </row>
    <row r="336">
      <c r="A336" s="2"/>
      <c r="B336" s="3"/>
      <c r="C336" s="3"/>
      <c r="D336" s="3"/>
      <c r="E336" s="4"/>
      <c r="F336" s="3"/>
      <c r="G336" s="5"/>
      <c r="H336" s="3"/>
      <c r="I336" s="5"/>
      <c r="J336" s="3"/>
      <c r="K336" s="5"/>
      <c r="L336" s="3"/>
      <c r="M336" s="5"/>
      <c r="N336" s="5"/>
    </row>
    <row r="337">
      <c r="A337" s="2"/>
      <c r="B337" s="3"/>
      <c r="C337" s="3"/>
      <c r="D337" s="3"/>
      <c r="E337" s="4"/>
      <c r="F337" s="3"/>
      <c r="G337" s="5"/>
      <c r="H337" s="3"/>
      <c r="I337" s="5"/>
      <c r="J337" s="3"/>
      <c r="K337" s="5"/>
      <c r="L337" s="3"/>
      <c r="M337" s="5"/>
      <c r="N337" s="5"/>
    </row>
    <row r="338">
      <c r="A338" s="2"/>
      <c r="B338" s="3"/>
      <c r="C338" s="3"/>
      <c r="D338" s="3"/>
      <c r="E338" s="4"/>
      <c r="F338" s="3"/>
      <c r="G338" s="5"/>
      <c r="H338" s="3"/>
      <c r="I338" s="5"/>
      <c r="J338" s="3"/>
      <c r="K338" s="5"/>
      <c r="L338" s="3"/>
      <c r="M338" s="5"/>
      <c r="N338" s="5"/>
    </row>
    <row r="339">
      <c r="A339" s="2"/>
      <c r="B339" s="3"/>
      <c r="C339" s="3"/>
      <c r="D339" s="3"/>
      <c r="E339" s="4"/>
      <c r="F339" s="3"/>
      <c r="G339" s="5"/>
      <c r="H339" s="3"/>
      <c r="I339" s="5"/>
      <c r="J339" s="3"/>
      <c r="K339" s="5"/>
      <c r="L339" s="3"/>
      <c r="M339" s="5"/>
      <c r="N339" s="5"/>
    </row>
    <row r="340">
      <c r="A340" s="2"/>
      <c r="B340" s="3"/>
      <c r="C340" s="3"/>
      <c r="D340" s="3"/>
      <c r="E340" s="4"/>
      <c r="F340" s="3"/>
      <c r="G340" s="5"/>
      <c r="H340" s="3"/>
      <c r="I340" s="5"/>
      <c r="J340" s="3"/>
      <c r="K340" s="5"/>
      <c r="L340" s="3"/>
      <c r="M340" s="5"/>
      <c r="N340" s="5"/>
    </row>
    <row r="341">
      <c r="A341" s="2"/>
      <c r="B341" s="3"/>
      <c r="C341" s="3"/>
      <c r="D341" s="3"/>
      <c r="E341" s="4"/>
      <c r="F341" s="3"/>
      <c r="G341" s="5"/>
      <c r="H341" s="3"/>
      <c r="I341" s="5"/>
      <c r="J341" s="3"/>
      <c r="K341" s="5"/>
      <c r="L341" s="3"/>
      <c r="M341" s="5"/>
      <c r="N341" s="5"/>
    </row>
    <row r="342">
      <c r="A342" s="2"/>
      <c r="B342" s="3"/>
      <c r="C342" s="3"/>
      <c r="D342" s="3"/>
      <c r="E342" s="4"/>
      <c r="F342" s="3"/>
      <c r="G342" s="5"/>
      <c r="H342" s="3"/>
      <c r="I342" s="5"/>
      <c r="J342" s="3"/>
      <c r="K342" s="5"/>
      <c r="L342" s="3"/>
      <c r="M342" s="5"/>
      <c r="N342" s="5"/>
    </row>
    <row r="343">
      <c r="A343" s="2"/>
      <c r="B343" s="3"/>
      <c r="C343" s="3"/>
      <c r="D343" s="3"/>
      <c r="E343" s="4"/>
      <c r="F343" s="3"/>
      <c r="G343" s="5"/>
      <c r="H343" s="3"/>
      <c r="I343" s="5"/>
      <c r="J343" s="3"/>
      <c r="K343" s="5"/>
      <c r="L343" s="3"/>
      <c r="M343" s="5"/>
      <c r="N343" s="5"/>
    </row>
    <row r="344">
      <c r="A344" s="2"/>
      <c r="B344" s="3"/>
      <c r="C344" s="3"/>
      <c r="D344" s="3"/>
      <c r="E344" s="4"/>
      <c r="F344" s="3"/>
      <c r="G344" s="5"/>
      <c r="H344" s="3"/>
      <c r="I344" s="5"/>
      <c r="J344" s="3"/>
      <c r="K344" s="5"/>
      <c r="L344" s="3"/>
      <c r="M344" s="5"/>
      <c r="N344" s="5"/>
    </row>
    <row r="345">
      <c r="A345" s="2"/>
      <c r="B345" s="3"/>
      <c r="C345" s="3"/>
      <c r="D345" s="3"/>
      <c r="E345" s="4"/>
      <c r="F345" s="3"/>
      <c r="G345" s="5"/>
      <c r="H345" s="3"/>
      <c r="I345" s="5"/>
      <c r="J345" s="3"/>
      <c r="K345" s="5"/>
      <c r="L345" s="3"/>
      <c r="M345" s="5"/>
      <c r="N345" s="5"/>
    </row>
    <row r="346">
      <c r="A346" s="2"/>
      <c r="B346" s="3"/>
      <c r="C346" s="3"/>
      <c r="D346" s="3"/>
      <c r="E346" s="4"/>
      <c r="F346" s="3"/>
      <c r="G346" s="5"/>
      <c r="H346" s="3"/>
      <c r="I346" s="5"/>
      <c r="J346" s="3"/>
      <c r="K346" s="5"/>
      <c r="L346" s="3"/>
      <c r="M346" s="5"/>
      <c r="N346" s="5"/>
    </row>
    <row r="347">
      <c r="A347" s="2"/>
      <c r="B347" s="3"/>
      <c r="C347" s="3"/>
      <c r="D347" s="3"/>
      <c r="E347" s="4"/>
      <c r="F347" s="3"/>
      <c r="G347" s="5"/>
      <c r="H347" s="3"/>
      <c r="I347" s="5"/>
      <c r="J347" s="3"/>
      <c r="K347" s="5"/>
      <c r="L347" s="3"/>
      <c r="M347" s="5"/>
      <c r="N347" s="5"/>
    </row>
    <row r="348">
      <c r="A348" s="2"/>
      <c r="B348" s="3"/>
      <c r="C348" s="3"/>
      <c r="D348" s="3"/>
      <c r="E348" s="4"/>
      <c r="F348" s="3"/>
      <c r="G348" s="5"/>
      <c r="H348" s="3"/>
      <c r="I348" s="5"/>
      <c r="J348" s="3"/>
      <c r="K348" s="5"/>
      <c r="L348" s="3"/>
      <c r="M348" s="5"/>
      <c r="N348" s="5"/>
    </row>
    <row r="349">
      <c r="A349" s="2"/>
      <c r="B349" s="3"/>
      <c r="C349" s="3"/>
      <c r="D349" s="3"/>
      <c r="E349" s="4"/>
      <c r="F349" s="3"/>
      <c r="G349" s="5"/>
      <c r="H349" s="3"/>
      <c r="I349" s="5"/>
      <c r="J349" s="3"/>
      <c r="K349" s="5"/>
      <c r="L349" s="3"/>
      <c r="M349" s="5"/>
      <c r="N349" s="5"/>
    </row>
    <row r="350">
      <c r="A350" s="2"/>
      <c r="B350" s="3"/>
      <c r="C350" s="3"/>
      <c r="D350" s="3"/>
      <c r="E350" s="4"/>
      <c r="F350" s="3"/>
      <c r="G350" s="5"/>
      <c r="H350" s="3"/>
      <c r="I350" s="5"/>
      <c r="J350" s="3"/>
      <c r="K350" s="5"/>
      <c r="L350" s="3"/>
      <c r="M350" s="5"/>
      <c r="N350" s="5"/>
    </row>
    <row r="351">
      <c r="A351" s="2"/>
      <c r="B351" s="3"/>
      <c r="C351" s="3"/>
      <c r="D351" s="3"/>
      <c r="E351" s="4"/>
      <c r="F351" s="3"/>
      <c r="G351" s="5"/>
      <c r="H351" s="3"/>
      <c r="I351" s="5"/>
      <c r="J351" s="3"/>
      <c r="K351" s="5"/>
      <c r="L351" s="3"/>
      <c r="M351" s="5"/>
      <c r="N351" s="5"/>
    </row>
    <row r="352">
      <c r="A352" s="2"/>
      <c r="B352" s="3"/>
      <c r="C352" s="3"/>
      <c r="D352" s="3"/>
      <c r="E352" s="4"/>
      <c r="F352" s="3"/>
      <c r="G352" s="5"/>
      <c r="H352" s="3"/>
      <c r="I352" s="5"/>
      <c r="J352" s="3"/>
      <c r="K352" s="5"/>
      <c r="L352" s="3"/>
      <c r="M352" s="5"/>
      <c r="N352" s="5"/>
    </row>
    <row r="353">
      <c r="A353" s="2"/>
      <c r="B353" s="3"/>
      <c r="C353" s="3"/>
      <c r="D353" s="3"/>
      <c r="E353" s="4"/>
      <c r="F353" s="3"/>
      <c r="G353" s="5"/>
      <c r="H353" s="3"/>
      <c r="I353" s="5"/>
      <c r="J353" s="3"/>
      <c r="K353" s="5"/>
      <c r="L353" s="3"/>
      <c r="M353" s="5"/>
      <c r="N353" s="5"/>
    </row>
    <row r="354">
      <c r="A354" s="2"/>
      <c r="B354" s="3"/>
      <c r="C354" s="3"/>
      <c r="D354" s="3"/>
      <c r="E354" s="4"/>
      <c r="F354" s="3"/>
      <c r="G354" s="5"/>
      <c r="H354" s="3"/>
      <c r="I354" s="5"/>
      <c r="J354" s="3"/>
      <c r="K354" s="5"/>
      <c r="L354" s="3"/>
      <c r="M354" s="5"/>
      <c r="N354" s="5"/>
    </row>
    <row r="355">
      <c r="A355" s="2"/>
      <c r="B355" s="3"/>
      <c r="C355" s="3"/>
      <c r="D355" s="3"/>
      <c r="E355" s="4"/>
      <c r="F355" s="3"/>
      <c r="G355" s="5"/>
      <c r="H355" s="3"/>
      <c r="I355" s="5"/>
      <c r="J355" s="3"/>
      <c r="K355" s="5"/>
      <c r="L355" s="3"/>
      <c r="M355" s="5"/>
      <c r="N355" s="5"/>
    </row>
    <row r="356">
      <c r="A356" s="2"/>
      <c r="B356" s="3"/>
      <c r="C356" s="3"/>
      <c r="D356" s="3"/>
      <c r="E356" s="4"/>
      <c r="F356" s="3"/>
      <c r="G356" s="5"/>
      <c r="H356" s="3"/>
      <c r="I356" s="5"/>
      <c r="J356" s="3"/>
      <c r="K356" s="5"/>
      <c r="L356" s="3"/>
      <c r="M356" s="5"/>
      <c r="N356" s="5"/>
    </row>
    <row r="357">
      <c r="A357" s="2"/>
      <c r="B357" s="3"/>
      <c r="C357" s="3"/>
      <c r="D357" s="3"/>
      <c r="E357" s="4"/>
      <c r="F357" s="3"/>
      <c r="G357" s="5"/>
      <c r="H357" s="3"/>
      <c r="I357" s="5"/>
      <c r="J357" s="3"/>
      <c r="K357" s="5"/>
      <c r="L357" s="3"/>
      <c r="M357" s="5"/>
      <c r="N357" s="5"/>
    </row>
    <row r="358">
      <c r="A358" s="2"/>
      <c r="B358" s="3"/>
      <c r="C358" s="3"/>
      <c r="D358" s="3"/>
      <c r="E358" s="4"/>
      <c r="F358" s="3"/>
      <c r="G358" s="5"/>
      <c r="H358" s="3"/>
      <c r="I358" s="5"/>
      <c r="J358" s="3"/>
      <c r="K358" s="5"/>
      <c r="L358" s="3"/>
      <c r="M358" s="5"/>
      <c r="N358" s="5"/>
    </row>
    <row r="359">
      <c r="A359" s="2"/>
      <c r="B359" s="3"/>
      <c r="C359" s="3"/>
      <c r="D359" s="3"/>
      <c r="E359" s="4"/>
      <c r="F359" s="3"/>
      <c r="G359" s="5"/>
      <c r="H359" s="3"/>
      <c r="I359" s="5"/>
      <c r="J359" s="3"/>
      <c r="K359" s="5"/>
      <c r="L359" s="3"/>
      <c r="M359" s="5"/>
      <c r="N359" s="5"/>
    </row>
    <row r="360">
      <c r="A360" s="2"/>
      <c r="B360" s="3"/>
      <c r="C360" s="3"/>
      <c r="D360" s="3"/>
      <c r="E360" s="4"/>
      <c r="F360" s="3"/>
      <c r="G360" s="5"/>
      <c r="H360" s="3"/>
      <c r="I360" s="5"/>
      <c r="J360" s="3"/>
      <c r="K360" s="5"/>
      <c r="L360" s="3"/>
      <c r="M360" s="5"/>
      <c r="N360" s="5"/>
    </row>
    <row r="361">
      <c r="A361" s="2"/>
      <c r="B361" s="3"/>
      <c r="C361" s="3"/>
      <c r="D361" s="3"/>
      <c r="E361" s="4"/>
      <c r="F361" s="3"/>
      <c r="G361" s="5"/>
      <c r="H361" s="3"/>
      <c r="I361" s="5"/>
      <c r="J361" s="3"/>
      <c r="K361" s="5"/>
      <c r="L361" s="3"/>
      <c r="M361" s="5"/>
      <c r="N361" s="5"/>
    </row>
    <row r="362">
      <c r="A362" s="2"/>
      <c r="B362" s="3"/>
      <c r="C362" s="3"/>
      <c r="D362" s="3"/>
      <c r="E362" s="4"/>
      <c r="F362" s="3"/>
      <c r="G362" s="5"/>
      <c r="H362" s="3"/>
      <c r="I362" s="5"/>
      <c r="J362" s="3"/>
      <c r="K362" s="5"/>
      <c r="L362" s="3"/>
      <c r="M362" s="5"/>
      <c r="N362" s="5"/>
    </row>
    <row r="363">
      <c r="A363" s="2"/>
      <c r="B363" s="3"/>
      <c r="C363" s="3"/>
      <c r="D363" s="3"/>
      <c r="E363" s="4"/>
      <c r="F363" s="3"/>
      <c r="G363" s="5"/>
      <c r="H363" s="3"/>
      <c r="I363" s="5"/>
      <c r="J363" s="3"/>
      <c r="K363" s="5"/>
      <c r="L363" s="3"/>
      <c r="M363" s="5"/>
      <c r="N363" s="5"/>
    </row>
    <row r="364">
      <c r="A364" s="2"/>
      <c r="B364" s="3"/>
      <c r="C364" s="3"/>
      <c r="D364" s="3"/>
      <c r="E364" s="4"/>
      <c r="F364" s="3"/>
      <c r="G364" s="5"/>
      <c r="H364" s="3"/>
      <c r="I364" s="5"/>
      <c r="J364" s="3"/>
      <c r="K364" s="5"/>
      <c r="L364" s="3"/>
      <c r="M364" s="5"/>
      <c r="N364" s="5"/>
    </row>
    <row r="365">
      <c r="A365" s="2"/>
      <c r="B365" s="3"/>
      <c r="C365" s="3"/>
      <c r="D365" s="3"/>
      <c r="E365" s="4"/>
      <c r="F365" s="3"/>
      <c r="G365" s="5"/>
      <c r="H365" s="3"/>
      <c r="I365" s="5"/>
      <c r="J365" s="3"/>
      <c r="K365" s="5"/>
      <c r="L365" s="3"/>
      <c r="M365" s="5"/>
      <c r="N365" s="5"/>
    </row>
    <row r="366">
      <c r="A366" s="2"/>
      <c r="B366" s="3"/>
      <c r="C366" s="3"/>
      <c r="D366" s="3"/>
      <c r="E366" s="4"/>
      <c r="F366" s="3"/>
      <c r="G366" s="5"/>
      <c r="H366" s="3"/>
      <c r="I366" s="5"/>
      <c r="J366" s="3"/>
      <c r="K366" s="5"/>
      <c r="L366" s="3"/>
      <c r="M366" s="5"/>
      <c r="N366" s="5"/>
    </row>
    <row r="367">
      <c r="A367" s="2"/>
      <c r="B367" s="3"/>
      <c r="C367" s="3"/>
      <c r="D367" s="3"/>
      <c r="E367" s="4"/>
      <c r="F367" s="3"/>
      <c r="G367" s="5"/>
      <c r="H367" s="3"/>
      <c r="I367" s="5"/>
      <c r="J367" s="3"/>
      <c r="K367" s="5"/>
      <c r="L367" s="3"/>
      <c r="M367" s="5"/>
      <c r="N367" s="5"/>
    </row>
    <row r="368">
      <c r="A368" s="2"/>
      <c r="B368" s="3"/>
      <c r="C368" s="3"/>
      <c r="D368" s="3"/>
      <c r="E368" s="4"/>
      <c r="F368" s="3"/>
      <c r="G368" s="5"/>
      <c r="H368" s="3"/>
      <c r="I368" s="5"/>
      <c r="J368" s="3"/>
      <c r="K368" s="5"/>
      <c r="L368" s="3"/>
      <c r="M368" s="5"/>
      <c r="N368" s="5"/>
    </row>
    <row r="369">
      <c r="A369" s="2"/>
      <c r="B369" s="3"/>
      <c r="C369" s="3"/>
      <c r="D369" s="3"/>
      <c r="E369" s="4"/>
      <c r="F369" s="3"/>
      <c r="G369" s="5"/>
      <c r="H369" s="3"/>
      <c r="I369" s="5"/>
      <c r="J369" s="3"/>
      <c r="K369" s="5"/>
      <c r="L369" s="3"/>
      <c r="M369" s="5"/>
      <c r="N369" s="5"/>
    </row>
    <row r="370">
      <c r="A370" s="2"/>
      <c r="B370" s="3"/>
      <c r="C370" s="3"/>
      <c r="D370" s="3"/>
      <c r="E370" s="4"/>
      <c r="F370" s="3"/>
      <c r="G370" s="5"/>
      <c r="H370" s="3"/>
      <c r="I370" s="5"/>
      <c r="J370" s="3"/>
      <c r="K370" s="5"/>
      <c r="L370" s="3"/>
      <c r="M370" s="5"/>
      <c r="N370" s="5"/>
    </row>
    <row r="371">
      <c r="A371" s="2"/>
      <c r="B371" s="3"/>
      <c r="C371" s="3"/>
      <c r="D371" s="3"/>
      <c r="E371" s="4"/>
      <c r="F371" s="3"/>
      <c r="G371" s="5"/>
      <c r="H371" s="3"/>
      <c r="I371" s="5"/>
      <c r="J371" s="3"/>
      <c r="K371" s="5"/>
      <c r="L371" s="3"/>
      <c r="M371" s="5"/>
      <c r="N371" s="5"/>
    </row>
    <row r="372">
      <c r="A372" s="2"/>
      <c r="B372" s="3"/>
      <c r="C372" s="3"/>
      <c r="D372" s="3"/>
      <c r="E372" s="4"/>
      <c r="F372" s="3"/>
      <c r="G372" s="5"/>
      <c r="H372" s="3"/>
      <c r="I372" s="5"/>
      <c r="J372" s="3"/>
      <c r="K372" s="5"/>
      <c r="L372" s="3"/>
      <c r="M372" s="5"/>
      <c r="N372" s="5"/>
    </row>
    <row r="373">
      <c r="A373" s="2"/>
      <c r="B373" s="3"/>
      <c r="C373" s="3"/>
      <c r="D373" s="3"/>
      <c r="E373" s="4"/>
      <c r="F373" s="3"/>
      <c r="G373" s="5"/>
      <c r="H373" s="3"/>
      <c r="I373" s="5"/>
      <c r="J373" s="3"/>
      <c r="K373" s="5"/>
      <c r="L373" s="3"/>
      <c r="M373" s="5"/>
      <c r="N373" s="5"/>
    </row>
    <row r="374">
      <c r="A374" s="2"/>
      <c r="B374" s="3"/>
      <c r="C374" s="3"/>
      <c r="D374" s="3"/>
      <c r="E374" s="4"/>
      <c r="F374" s="3"/>
      <c r="G374" s="5"/>
      <c r="H374" s="3"/>
      <c r="I374" s="5"/>
      <c r="J374" s="3"/>
      <c r="K374" s="5"/>
      <c r="L374" s="3"/>
      <c r="M374" s="5"/>
      <c r="N374" s="5"/>
    </row>
    <row r="375">
      <c r="A375" s="2"/>
      <c r="B375" s="3"/>
      <c r="C375" s="3"/>
      <c r="D375" s="3"/>
      <c r="E375" s="4"/>
      <c r="F375" s="3"/>
      <c r="G375" s="5"/>
      <c r="H375" s="3"/>
      <c r="I375" s="5"/>
      <c r="J375" s="3"/>
      <c r="K375" s="5"/>
      <c r="L375" s="3"/>
      <c r="M375" s="5"/>
      <c r="N375" s="5"/>
    </row>
    <row r="376">
      <c r="A376" s="2"/>
      <c r="B376" s="3"/>
      <c r="C376" s="3"/>
      <c r="D376" s="3"/>
      <c r="E376" s="4"/>
      <c r="F376" s="3"/>
      <c r="G376" s="5"/>
      <c r="H376" s="3"/>
      <c r="I376" s="5"/>
      <c r="J376" s="3"/>
      <c r="K376" s="5"/>
      <c r="L376" s="3"/>
      <c r="M376" s="5"/>
      <c r="N376" s="5"/>
    </row>
    <row r="377">
      <c r="A377" s="2"/>
      <c r="B377" s="3"/>
      <c r="C377" s="3"/>
      <c r="D377" s="3"/>
      <c r="E377" s="4"/>
      <c r="F377" s="3"/>
      <c r="G377" s="5"/>
      <c r="H377" s="3"/>
      <c r="I377" s="5"/>
      <c r="J377" s="3"/>
      <c r="K377" s="5"/>
      <c r="L377" s="3"/>
      <c r="M377" s="5"/>
      <c r="N377" s="5"/>
    </row>
    <row r="378">
      <c r="A378" s="2"/>
      <c r="B378" s="3"/>
      <c r="C378" s="3"/>
      <c r="D378" s="3"/>
      <c r="E378" s="4"/>
      <c r="F378" s="3"/>
      <c r="G378" s="5"/>
      <c r="H378" s="3"/>
      <c r="I378" s="5"/>
      <c r="J378" s="3"/>
      <c r="K378" s="5"/>
      <c r="L378" s="3"/>
      <c r="M378" s="5"/>
      <c r="N378" s="5"/>
    </row>
    <row r="379">
      <c r="A379" s="2"/>
      <c r="B379" s="3"/>
      <c r="C379" s="3"/>
      <c r="D379" s="3"/>
      <c r="E379" s="4"/>
      <c r="F379" s="3"/>
      <c r="G379" s="5"/>
      <c r="H379" s="3"/>
      <c r="I379" s="5"/>
      <c r="J379" s="3"/>
      <c r="K379" s="5"/>
      <c r="L379" s="3"/>
      <c r="M379" s="5"/>
      <c r="N379" s="5"/>
    </row>
    <row r="380">
      <c r="A380" s="2"/>
      <c r="B380" s="3"/>
      <c r="C380" s="3"/>
      <c r="D380" s="3"/>
      <c r="E380" s="4"/>
      <c r="F380" s="3"/>
      <c r="G380" s="5"/>
      <c r="H380" s="3"/>
      <c r="I380" s="5"/>
      <c r="J380" s="3"/>
      <c r="K380" s="5"/>
      <c r="L380" s="3"/>
      <c r="M380" s="5"/>
      <c r="N380" s="5"/>
    </row>
    <row r="381">
      <c r="A381" s="2"/>
      <c r="B381" s="3"/>
      <c r="C381" s="3"/>
      <c r="D381" s="3"/>
      <c r="E381" s="4"/>
      <c r="F381" s="3"/>
      <c r="G381" s="5"/>
      <c r="H381" s="3"/>
      <c r="I381" s="5"/>
      <c r="J381" s="3"/>
      <c r="K381" s="5"/>
      <c r="L381" s="3"/>
      <c r="M381" s="5"/>
      <c r="N381" s="5"/>
    </row>
    <row r="382">
      <c r="A382" s="2"/>
      <c r="B382" s="3"/>
      <c r="C382" s="3"/>
      <c r="D382" s="3"/>
      <c r="E382" s="4"/>
      <c r="F382" s="3"/>
      <c r="G382" s="5"/>
      <c r="H382" s="3"/>
      <c r="I382" s="5"/>
      <c r="J382" s="3"/>
      <c r="K382" s="5"/>
      <c r="L382" s="3"/>
      <c r="M382" s="5"/>
      <c r="N382" s="5"/>
    </row>
    <row r="383">
      <c r="A383" s="2"/>
      <c r="B383" s="3"/>
      <c r="C383" s="3"/>
      <c r="D383" s="3"/>
      <c r="E383" s="4"/>
      <c r="F383" s="3"/>
      <c r="G383" s="5"/>
      <c r="H383" s="3"/>
      <c r="I383" s="5"/>
      <c r="J383" s="3"/>
      <c r="K383" s="5"/>
      <c r="L383" s="3"/>
      <c r="M383" s="5"/>
      <c r="N383" s="5"/>
    </row>
    <row r="384">
      <c r="A384" s="2"/>
      <c r="B384" s="3"/>
      <c r="C384" s="3"/>
      <c r="D384" s="3"/>
      <c r="E384" s="4"/>
      <c r="F384" s="3"/>
      <c r="G384" s="5"/>
      <c r="H384" s="3"/>
      <c r="I384" s="5"/>
      <c r="J384" s="3"/>
      <c r="K384" s="5"/>
      <c r="L384" s="3"/>
      <c r="M384" s="5"/>
      <c r="N384" s="5"/>
    </row>
    <row r="385">
      <c r="A385" s="2"/>
      <c r="B385" s="3"/>
      <c r="C385" s="3"/>
      <c r="D385" s="3"/>
      <c r="E385" s="4"/>
      <c r="F385" s="3"/>
      <c r="G385" s="5"/>
      <c r="H385" s="3"/>
      <c r="I385" s="5"/>
      <c r="J385" s="3"/>
      <c r="K385" s="5"/>
      <c r="L385" s="3"/>
      <c r="M385" s="5"/>
      <c r="N385" s="5"/>
    </row>
    <row r="386">
      <c r="A386" s="2"/>
      <c r="B386" s="3"/>
      <c r="C386" s="3"/>
      <c r="D386" s="3"/>
      <c r="E386" s="4"/>
      <c r="F386" s="3"/>
      <c r="G386" s="5"/>
      <c r="H386" s="3"/>
      <c r="I386" s="5"/>
      <c r="J386" s="3"/>
      <c r="K386" s="5"/>
      <c r="L386" s="3"/>
      <c r="M386" s="5"/>
      <c r="N386" s="5"/>
    </row>
    <row r="387">
      <c r="A387" s="2"/>
      <c r="B387" s="3"/>
      <c r="C387" s="3"/>
      <c r="D387" s="3"/>
      <c r="E387" s="4"/>
      <c r="F387" s="3"/>
      <c r="G387" s="5"/>
      <c r="H387" s="3"/>
      <c r="I387" s="5"/>
      <c r="J387" s="3"/>
      <c r="K387" s="5"/>
      <c r="L387" s="3"/>
      <c r="M387" s="5"/>
      <c r="N387" s="5"/>
    </row>
    <row r="388">
      <c r="A388" s="2"/>
      <c r="B388" s="3"/>
      <c r="C388" s="3"/>
      <c r="D388" s="3"/>
      <c r="E388" s="4"/>
      <c r="F388" s="3"/>
      <c r="G388" s="5"/>
      <c r="H388" s="3"/>
      <c r="I388" s="5"/>
      <c r="J388" s="3"/>
      <c r="K388" s="5"/>
      <c r="L388" s="3"/>
      <c r="M388" s="5"/>
      <c r="N388" s="5"/>
    </row>
    <row r="389">
      <c r="A389" s="2"/>
      <c r="B389" s="3"/>
      <c r="C389" s="3"/>
      <c r="D389" s="3"/>
      <c r="E389" s="4"/>
      <c r="F389" s="3"/>
      <c r="G389" s="5"/>
      <c r="H389" s="3"/>
      <c r="I389" s="5"/>
      <c r="J389" s="3"/>
      <c r="K389" s="5"/>
      <c r="L389" s="3"/>
      <c r="M389" s="5"/>
      <c r="N389" s="5"/>
    </row>
    <row r="390">
      <c r="A390" s="2"/>
      <c r="B390" s="3"/>
      <c r="C390" s="3"/>
      <c r="D390" s="3"/>
      <c r="E390" s="4"/>
      <c r="F390" s="3"/>
      <c r="G390" s="5"/>
      <c r="H390" s="3"/>
      <c r="I390" s="5"/>
      <c r="J390" s="3"/>
      <c r="K390" s="5"/>
      <c r="L390" s="3"/>
      <c r="M390" s="5"/>
      <c r="N390" s="5"/>
    </row>
    <row r="391">
      <c r="A391" s="2"/>
      <c r="B391" s="3"/>
      <c r="C391" s="3"/>
      <c r="D391" s="3"/>
      <c r="E391" s="4"/>
      <c r="F391" s="3"/>
      <c r="G391" s="5"/>
      <c r="H391" s="3"/>
      <c r="I391" s="5"/>
      <c r="J391" s="3"/>
      <c r="K391" s="5"/>
      <c r="L391" s="3"/>
      <c r="M391" s="5"/>
      <c r="N391" s="5"/>
    </row>
    <row r="392">
      <c r="A392" s="2"/>
      <c r="B392" s="3"/>
      <c r="C392" s="3"/>
      <c r="D392" s="3"/>
      <c r="E392" s="4"/>
      <c r="F392" s="3"/>
      <c r="G392" s="5"/>
      <c r="H392" s="3"/>
      <c r="I392" s="5"/>
      <c r="J392" s="3"/>
      <c r="K392" s="5"/>
      <c r="L392" s="3"/>
      <c r="M392" s="5"/>
      <c r="N392" s="5"/>
    </row>
    <row r="393">
      <c r="A393" s="2"/>
      <c r="B393" s="3"/>
      <c r="C393" s="3"/>
      <c r="D393" s="3"/>
      <c r="E393" s="4"/>
      <c r="F393" s="3"/>
      <c r="G393" s="5"/>
      <c r="H393" s="3"/>
      <c r="I393" s="5"/>
      <c r="J393" s="3"/>
      <c r="K393" s="5"/>
      <c r="L393" s="3"/>
      <c r="M393" s="5"/>
      <c r="N393" s="5"/>
    </row>
    <row r="394">
      <c r="A394" s="2"/>
      <c r="B394" s="3"/>
      <c r="C394" s="3"/>
      <c r="D394" s="3"/>
      <c r="E394" s="4"/>
      <c r="F394" s="3"/>
      <c r="G394" s="5"/>
      <c r="H394" s="3"/>
      <c r="I394" s="5"/>
      <c r="J394" s="3"/>
      <c r="K394" s="5"/>
      <c r="L394" s="3"/>
      <c r="M394" s="5"/>
      <c r="N394" s="5"/>
    </row>
    <row r="395">
      <c r="A395" s="2"/>
      <c r="B395" s="3"/>
      <c r="C395" s="3"/>
      <c r="D395" s="3"/>
      <c r="E395" s="4"/>
      <c r="F395" s="3"/>
      <c r="G395" s="5"/>
      <c r="H395" s="3"/>
      <c r="I395" s="5"/>
      <c r="J395" s="3"/>
      <c r="K395" s="5"/>
      <c r="L395" s="3"/>
      <c r="M395" s="5"/>
      <c r="N395" s="5"/>
    </row>
    <row r="396">
      <c r="A396" s="2"/>
      <c r="B396" s="3"/>
      <c r="C396" s="3"/>
      <c r="D396" s="3"/>
      <c r="E396" s="4"/>
      <c r="F396" s="3"/>
      <c r="G396" s="5"/>
      <c r="H396" s="3"/>
      <c r="I396" s="5"/>
      <c r="J396" s="3"/>
      <c r="K396" s="5"/>
      <c r="L396" s="3"/>
      <c r="M396" s="5"/>
      <c r="N396" s="5"/>
    </row>
    <row r="397">
      <c r="A397" s="2"/>
      <c r="B397" s="3"/>
      <c r="C397" s="3"/>
      <c r="D397" s="3"/>
      <c r="E397" s="4"/>
      <c r="F397" s="3"/>
      <c r="G397" s="5"/>
      <c r="H397" s="3"/>
      <c r="I397" s="5"/>
      <c r="J397" s="3"/>
      <c r="K397" s="5"/>
      <c r="L397" s="3"/>
      <c r="M397" s="5"/>
      <c r="N397" s="5"/>
    </row>
    <row r="398">
      <c r="A398" s="2"/>
      <c r="B398" s="3"/>
      <c r="C398" s="3"/>
      <c r="D398" s="3"/>
      <c r="E398" s="4"/>
      <c r="F398" s="3"/>
      <c r="G398" s="5"/>
      <c r="H398" s="3"/>
      <c r="I398" s="5"/>
      <c r="J398" s="3"/>
      <c r="K398" s="5"/>
      <c r="L398" s="3"/>
      <c r="M398" s="5"/>
      <c r="N398" s="5"/>
    </row>
    <row r="399">
      <c r="A399" s="2"/>
      <c r="B399" s="3"/>
      <c r="C399" s="3"/>
      <c r="D399" s="3"/>
      <c r="E399" s="4"/>
      <c r="F399" s="3"/>
      <c r="G399" s="5"/>
      <c r="H399" s="3"/>
      <c r="I399" s="5"/>
      <c r="J399" s="3"/>
      <c r="K399" s="5"/>
      <c r="L399" s="3"/>
      <c r="M399" s="5"/>
      <c r="N399" s="5"/>
    </row>
    <row r="400">
      <c r="A400" s="2"/>
      <c r="B400" s="3"/>
      <c r="C400" s="3"/>
      <c r="D400" s="3"/>
      <c r="E400" s="4"/>
      <c r="F400" s="3"/>
      <c r="G400" s="5"/>
      <c r="H400" s="3"/>
      <c r="I400" s="5"/>
      <c r="J400" s="3"/>
      <c r="K400" s="5"/>
      <c r="L400" s="3"/>
      <c r="M400" s="5"/>
      <c r="N400" s="5"/>
    </row>
    <row r="401">
      <c r="A401" s="2"/>
      <c r="B401" s="3"/>
      <c r="C401" s="3"/>
      <c r="D401" s="3"/>
      <c r="E401" s="4"/>
      <c r="F401" s="3"/>
      <c r="G401" s="5"/>
      <c r="H401" s="3"/>
      <c r="I401" s="5"/>
      <c r="J401" s="3"/>
      <c r="K401" s="5"/>
      <c r="L401" s="3"/>
      <c r="M401" s="5"/>
      <c r="N401" s="5"/>
    </row>
    <row r="402">
      <c r="A402" s="2"/>
      <c r="B402" s="3"/>
      <c r="C402" s="3"/>
      <c r="D402" s="3"/>
      <c r="E402" s="4"/>
      <c r="F402" s="3"/>
      <c r="G402" s="5"/>
      <c r="H402" s="3"/>
      <c r="I402" s="5"/>
      <c r="J402" s="3"/>
      <c r="K402" s="5"/>
      <c r="L402" s="3"/>
      <c r="M402" s="5"/>
      <c r="N402" s="5"/>
    </row>
    <row r="403">
      <c r="A403" s="2"/>
      <c r="B403" s="3"/>
      <c r="C403" s="3"/>
      <c r="D403" s="3"/>
      <c r="E403" s="4"/>
      <c r="F403" s="3"/>
      <c r="G403" s="5"/>
      <c r="H403" s="3"/>
      <c r="I403" s="5"/>
      <c r="J403" s="3"/>
      <c r="K403" s="5"/>
      <c r="L403" s="3"/>
      <c r="M403" s="5"/>
      <c r="N403" s="5"/>
    </row>
    <row r="404">
      <c r="A404" s="2"/>
      <c r="B404" s="3"/>
      <c r="C404" s="3"/>
      <c r="D404" s="3"/>
      <c r="E404" s="4"/>
      <c r="F404" s="3"/>
      <c r="G404" s="5"/>
      <c r="H404" s="3"/>
      <c r="I404" s="5"/>
      <c r="J404" s="3"/>
      <c r="K404" s="5"/>
      <c r="L404" s="3"/>
      <c r="M404" s="5"/>
      <c r="N404" s="5"/>
    </row>
    <row r="405">
      <c r="A405" s="2"/>
      <c r="B405" s="3"/>
      <c r="C405" s="3"/>
      <c r="D405" s="3"/>
      <c r="E405" s="4"/>
      <c r="F405" s="3"/>
      <c r="G405" s="5"/>
      <c r="H405" s="3"/>
      <c r="I405" s="5"/>
      <c r="J405" s="3"/>
      <c r="K405" s="5"/>
      <c r="L405" s="3"/>
      <c r="M405" s="5"/>
      <c r="N405" s="5"/>
    </row>
    <row r="406">
      <c r="A406" s="2"/>
      <c r="B406" s="3"/>
      <c r="C406" s="3"/>
      <c r="D406" s="3"/>
      <c r="E406" s="4"/>
      <c r="F406" s="3"/>
      <c r="G406" s="5"/>
      <c r="H406" s="3"/>
      <c r="I406" s="5"/>
      <c r="J406" s="3"/>
      <c r="K406" s="5"/>
      <c r="L406" s="3"/>
      <c r="M406" s="5"/>
      <c r="N406" s="5"/>
    </row>
    <row r="407">
      <c r="A407" s="2"/>
      <c r="B407" s="3"/>
      <c r="C407" s="3"/>
      <c r="D407" s="3"/>
      <c r="E407" s="4"/>
      <c r="F407" s="3"/>
      <c r="G407" s="5"/>
      <c r="H407" s="3"/>
      <c r="I407" s="5"/>
      <c r="J407" s="3"/>
      <c r="K407" s="5"/>
      <c r="L407" s="3"/>
      <c r="M407" s="5"/>
      <c r="N407" s="5"/>
    </row>
    <row r="408">
      <c r="A408" s="2"/>
      <c r="B408" s="3"/>
      <c r="C408" s="3"/>
      <c r="D408" s="3"/>
      <c r="E408" s="4"/>
      <c r="F408" s="3"/>
      <c r="G408" s="5"/>
      <c r="H408" s="3"/>
      <c r="I408" s="5"/>
      <c r="J408" s="3"/>
      <c r="K408" s="5"/>
      <c r="L408" s="3"/>
      <c r="M408" s="5"/>
      <c r="N408" s="5"/>
    </row>
    <row r="409">
      <c r="A409" s="2"/>
      <c r="B409" s="3"/>
      <c r="C409" s="3"/>
      <c r="D409" s="3"/>
      <c r="E409" s="4"/>
      <c r="F409" s="3"/>
      <c r="G409" s="5"/>
      <c r="H409" s="3"/>
      <c r="I409" s="5"/>
      <c r="J409" s="3"/>
      <c r="K409" s="5"/>
      <c r="L409" s="3"/>
      <c r="M409" s="5"/>
      <c r="N409" s="5"/>
    </row>
    <row r="410">
      <c r="A410" s="2"/>
      <c r="B410" s="3"/>
      <c r="C410" s="3"/>
      <c r="D410" s="3"/>
      <c r="E410" s="4"/>
      <c r="F410" s="3"/>
      <c r="G410" s="5"/>
      <c r="H410" s="3"/>
      <c r="I410" s="5"/>
      <c r="J410" s="3"/>
      <c r="K410" s="5"/>
      <c r="L410" s="3"/>
      <c r="M410" s="5"/>
      <c r="N410" s="5"/>
    </row>
    <row r="411">
      <c r="A411" s="2"/>
      <c r="B411" s="3"/>
      <c r="C411" s="3"/>
      <c r="D411" s="3"/>
      <c r="E411" s="4"/>
      <c r="F411" s="3"/>
      <c r="G411" s="5"/>
      <c r="H411" s="3"/>
      <c r="I411" s="5"/>
      <c r="J411" s="3"/>
      <c r="K411" s="5"/>
      <c r="L411" s="3"/>
      <c r="M411" s="5"/>
      <c r="N411" s="5"/>
    </row>
    <row r="412">
      <c r="A412" s="2"/>
      <c r="B412" s="3"/>
      <c r="C412" s="3"/>
      <c r="D412" s="3"/>
      <c r="E412" s="4"/>
      <c r="F412" s="3"/>
      <c r="G412" s="5"/>
      <c r="H412" s="3"/>
      <c r="I412" s="5"/>
      <c r="J412" s="3"/>
      <c r="K412" s="5"/>
      <c r="L412" s="3"/>
      <c r="M412" s="5"/>
      <c r="N412" s="5"/>
    </row>
    <row r="413">
      <c r="A413" s="2"/>
      <c r="B413" s="3"/>
      <c r="C413" s="3"/>
      <c r="D413" s="3"/>
      <c r="E413" s="4"/>
      <c r="F413" s="3"/>
      <c r="G413" s="5"/>
      <c r="H413" s="3"/>
      <c r="I413" s="5"/>
      <c r="J413" s="3"/>
      <c r="K413" s="5"/>
      <c r="L413" s="3"/>
      <c r="M413" s="5"/>
      <c r="N413" s="5"/>
    </row>
    <row r="414">
      <c r="A414" s="2"/>
      <c r="B414" s="3"/>
      <c r="C414" s="3"/>
      <c r="D414" s="3"/>
      <c r="E414" s="4"/>
      <c r="F414" s="3"/>
      <c r="G414" s="5"/>
      <c r="H414" s="3"/>
      <c r="I414" s="5"/>
      <c r="J414" s="3"/>
      <c r="K414" s="5"/>
      <c r="L414" s="3"/>
      <c r="M414" s="5"/>
      <c r="N414" s="5"/>
    </row>
    <row r="415">
      <c r="A415" s="2"/>
      <c r="B415" s="3"/>
      <c r="C415" s="3"/>
      <c r="D415" s="3"/>
      <c r="E415" s="4"/>
      <c r="F415" s="3"/>
      <c r="G415" s="5"/>
      <c r="H415" s="3"/>
      <c r="I415" s="5"/>
      <c r="J415" s="3"/>
      <c r="K415" s="5"/>
      <c r="L415" s="3"/>
      <c r="M415" s="5"/>
      <c r="N415" s="5"/>
    </row>
    <row r="416">
      <c r="A416" s="2"/>
      <c r="B416" s="3"/>
      <c r="C416" s="3"/>
      <c r="D416" s="3"/>
      <c r="E416" s="4"/>
      <c r="F416" s="3"/>
      <c r="G416" s="5"/>
      <c r="H416" s="3"/>
      <c r="I416" s="5"/>
      <c r="J416" s="3"/>
      <c r="K416" s="5"/>
      <c r="L416" s="3"/>
      <c r="M416" s="5"/>
      <c r="N416" s="5"/>
    </row>
    <row r="417">
      <c r="A417" s="2"/>
      <c r="B417" s="3"/>
      <c r="C417" s="3"/>
      <c r="D417" s="3"/>
      <c r="E417" s="4"/>
      <c r="F417" s="3"/>
      <c r="G417" s="5"/>
      <c r="H417" s="3"/>
      <c r="I417" s="5"/>
      <c r="J417" s="3"/>
      <c r="K417" s="5"/>
      <c r="L417" s="3"/>
      <c r="M417" s="5"/>
      <c r="N417" s="5"/>
    </row>
    <row r="418">
      <c r="A418" s="2"/>
      <c r="B418" s="3"/>
      <c r="C418" s="3"/>
      <c r="D418" s="3"/>
      <c r="E418" s="4"/>
      <c r="F418" s="3"/>
      <c r="G418" s="5"/>
      <c r="H418" s="3"/>
      <c r="I418" s="5"/>
      <c r="J418" s="3"/>
      <c r="K418" s="5"/>
      <c r="L418" s="3"/>
      <c r="M418" s="5"/>
      <c r="N418" s="5"/>
    </row>
    <row r="419">
      <c r="A419" s="2"/>
      <c r="B419" s="3"/>
      <c r="C419" s="3"/>
      <c r="D419" s="3"/>
      <c r="E419" s="4"/>
      <c r="F419" s="3"/>
      <c r="G419" s="5"/>
      <c r="H419" s="3"/>
      <c r="I419" s="5"/>
      <c r="J419" s="3"/>
      <c r="K419" s="5"/>
      <c r="L419" s="3"/>
      <c r="M419" s="5"/>
      <c r="N419" s="5"/>
    </row>
    <row r="420">
      <c r="A420" s="2"/>
      <c r="B420" s="3"/>
      <c r="C420" s="3"/>
      <c r="D420" s="3"/>
      <c r="E420" s="4"/>
      <c r="F420" s="3"/>
      <c r="G420" s="5"/>
      <c r="H420" s="3"/>
      <c r="I420" s="5"/>
      <c r="J420" s="3"/>
      <c r="K420" s="5"/>
      <c r="L420" s="3"/>
      <c r="M420" s="5"/>
      <c r="N420" s="5"/>
    </row>
    <row r="421">
      <c r="A421" s="2"/>
      <c r="B421" s="3"/>
      <c r="C421" s="3"/>
      <c r="D421" s="3"/>
      <c r="E421" s="4"/>
      <c r="F421" s="3"/>
      <c r="G421" s="5"/>
      <c r="H421" s="3"/>
      <c r="I421" s="5"/>
      <c r="J421" s="3"/>
      <c r="K421" s="5"/>
      <c r="L421" s="3"/>
      <c r="M421" s="5"/>
      <c r="N421" s="5"/>
    </row>
    <row r="422">
      <c r="A422" s="2"/>
      <c r="B422" s="3"/>
      <c r="C422" s="3"/>
      <c r="D422" s="3"/>
      <c r="E422" s="4"/>
      <c r="F422" s="3"/>
      <c r="G422" s="5"/>
      <c r="H422" s="3"/>
      <c r="I422" s="5"/>
      <c r="J422" s="3"/>
      <c r="K422" s="5"/>
      <c r="L422" s="3"/>
      <c r="M422" s="5"/>
      <c r="N422" s="5"/>
    </row>
    <row r="423">
      <c r="A423" s="2"/>
      <c r="B423" s="3"/>
      <c r="C423" s="3"/>
      <c r="D423" s="3"/>
      <c r="E423" s="4"/>
      <c r="F423" s="3"/>
      <c r="G423" s="5"/>
      <c r="H423" s="3"/>
      <c r="I423" s="5"/>
      <c r="J423" s="3"/>
      <c r="K423" s="5"/>
      <c r="L423" s="3"/>
      <c r="M423" s="5"/>
      <c r="N423" s="5"/>
    </row>
    <row r="424">
      <c r="A424" s="2"/>
      <c r="B424" s="3"/>
      <c r="C424" s="3"/>
      <c r="D424" s="3"/>
      <c r="E424" s="4"/>
      <c r="F424" s="3"/>
      <c r="G424" s="5"/>
      <c r="H424" s="3"/>
      <c r="I424" s="5"/>
      <c r="J424" s="3"/>
      <c r="K424" s="5"/>
      <c r="L424" s="3"/>
      <c r="M424" s="5"/>
      <c r="N424" s="5"/>
    </row>
    <row r="425">
      <c r="A425" s="2"/>
      <c r="B425" s="3"/>
      <c r="C425" s="3"/>
      <c r="D425" s="3"/>
      <c r="E425" s="4"/>
      <c r="F425" s="3"/>
      <c r="G425" s="5"/>
      <c r="H425" s="3"/>
      <c r="I425" s="5"/>
      <c r="J425" s="3"/>
      <c r="K425" s="5"/>
      <c r="L425" s="3"/>
      <c r="M425" s="5"/>
      <c r="N425" s="5"/>
    </row>
    <row r="426">
      <c r="A426" s="2"/>
      <c r="B426" s="3"/>
      <c r="C426" s="3"/>
      <c r="D426" s="3"/>
      <c r="E426" s="4"/>
      <c r="F426" s="3"/>
      <c r="G426" s="5"/>
      <c r="H426" s="3"/>
      <c r="I426" s="5"/>
      <c r="J426" s="3"/>
      <c r="K426" s="5"/>
      <c r="L426" s="3"/>
      <c r="M426" s="5"/>
      <c r="N426" s="5"/>
    </row>
    <row r="427">
      <c r="A427" s="2"/>
      <c r="B427" s="3"/>
      <c r="C427" s="3"/>
      <c r="D427" s="3"/>
      <c r="E427" s="4"/>
      <c r="F427" s="3"/>
      <c r="G427" s="5"/>
      <c r="H427" s="3"/>
      <c r="I427" s="5"/>
      <c r="J427" s="3"/>
      <c r="K427" s="5"/>
      <c r="L427" s="3"/>
      <c r="M427" s="5"/>
      <c r="N427" s="5"/>
    </row>
    <row r="428">
      <c r="A428" s="2"/>
      <c r="B428" s="3"/>
      <c r="C428" s="3"/>
      <c r="D428" s="3"/>
      <c r="E428" s="4"/>
      <c r="F428" s="3"/>
      <c r="G428" s="5"/>
      <c r="H428" s="3"/>
      <c r="I428" s="5"/>
      <c r="J428" s="3"/>
      <c r="K428" s="5"/>
      <c r="L428" s="3"/>
      <c r="M428" s="5"/>
      <c r="N428" s="5"/>
    </row>
    <row r="429">
      <c r="A429" s="2"/>
      <c r="B429" s="3"/>
      <c r="C429" s="3"/>
      <c r="D429" s="3"/>
      <c r="E429" s="4"/>
      <c r="F429" s="3"/>
      <c r="G429" s="5"/>
      <c r="H429" s="3"/>
      <c r="I429" s="5"/>
      <c r="J429" s="3"/>
      <c r="K429" s="5"/>
      <c r="L429" s="3"/>
      <c r="M429" s="5"/>
      <c r="N429" s="5"/>
    </row>
    <row r="430">
      <c r="A430" s="2"/>
      <c r="B430" s="3"/>
      <c r="C430" s="3"/>
      <c r="D430" s="3"/>
      <c r="E430" s="4"/>
      <c r="F430" s="3"/>
      <c r="G430" s="5"/>
      <c r="H430" s="3"/>
      <c r="I430" s="5"/>
      <c r="J430" s="3"/>
      <c r="K430" s="5"/>
      <c r="L430" s="3"/>
      <c r="M430" s="5"/>
      <c r="N430" s="5"/>
    </row>
    <row r="431">
      <c r="A431" s="2"/>
      <c r="B431" s="3"/>
      <c r="C431" s="3"/>
      <c r="D431" s="3"/>
      <c r="E431" s="4"/>
      <c r="F431" s="3"/>
      <c r="G431" s="5"/>
      <c r="H431" s="3"/>
      <c r="I431" s="5"/>
      <c r="J431" s="3"/>
      <c r="K431" s="5"/>
      <c r="L431" s="3"/>
      <c r="M431" s="5"/>
      <c r="N431" s="5"/>
    </row>
    <row r="432">
      <c r="A432" s="2"/>
      <c r="B432" s="3"/>
      <c r="C432" s="3"/>
      <c r="D432" s="3"/>
      <c r="E432" s="4"/>
      <c r="F432" s="3"/>
      <c r="G432" s="5"/>
      <c r="H432" s="3"/>
      <c r="I432" s="5"/>
      <c r="J432" s="3"/>
      <c r="K432" s="5"/>
      <c r="L432" s="3"/>
      <c r="M432" s="5"/>
      <c r="N432" s="5"/>
    </row>
    <row r="433">
      <c r="A433" s="2"/>
      <c r="B433" s="3"/>
      <c r="C433" s="3"/>
      <c r="D433" s="3"/>
      <c r="E433" s="4"/>
      <c r="F433" s="3"/>
      <c r="G433" s="5"/>
      <c r="H433" s="3"/>
      <c r="I433" s="5"/>
      <c r="J433" s="3"/>
      <c r="K433" s="5"/>
      <c r="L433" s="3"/>
      <c r="M433" s="5"/>
      <c r="N433" s="5"/>
    </row>
    <row r="434">
      <c r="A434" s="2"/>
      <c r="B434" s="3"/>
      <c r="C434" s="3"/>
      <c r="D434" s="3"/>
      <c r="E434" s="4"/>
      <c r="F434" s="3"/>
      <c r="G434" s="5"/>
      <c r="H434" s="3"/>
      <c r="I434" s="5"/>
      <c r="J434" s="3"/>
      <c r="K434" s="5"/>
      <c r="L434" s="3"/>
      <c r="M434" s="5"/>
      <c r="N434" s="5"/>
    </row>
    <row r="435">
      <c r="A435" s="2"/>
      <c r="B435" s="3"/>
      <c r="C435" s="3"/>
      <c r="D435" s="3"/>
      <c r="E435" s="4"/>
      <c r="F435" s="3"/>
      <c r="G435" s="5"/>
      <c r="H435" s="3"/>
      <c r="I435" s="5"/>
      <c r="J435" s="3"/>
      <c r="K435" s="5"/>
      <c r="L435" s="3"/>
      <c r="M435" s="5"/>
      <c r="N435" s="5"/>
    </row>
    <row r="436">
      <c r="A436" s="2"/>
      <c r="B436" s="3"/>
      <c r="C436" s="3"/>
      <c r="D436" s="3"/>
      <c r="E436" s="4"/>
      <c r="F436" s="3"/>
      <c r="G436" s="5"/>
      <c r="H436" s="3"/>
      <c r="I436" s="5"/>
      <c r="J436" s="3"/>
      <c r="K436" s="5"/>
      <c r="L436" s="3"/>
      <c r="M436" s="5"/>
      <c r="N436" s="5"/>
    </row>
    <row r="437">
      <c r="A437" s="2"/>
      <c r="B437" s="3"/>
      <c r="C437" s="3"/>
      <c r="D437" s="3"/>
      <c r="E437" s="4"/>
      <c r="F437" s="3"/>
      <c r="G437" s="5"/>
      <c r="H437" s="3"/>
      <c r="I437" s="5"/>
      <c r="J437" s="3"/>
      <c r="K437" s="5"/>
      <c r="L437" s="3"/>
      <c r="M437" s="5"/>
      <c r="N437" s="5"/>
    </row>
    <row r="438">
      <c r="A438" s="2"/>
      <c r="B438" s="3"/>
      <c r="C438" s="3"/>
      <c r="D438" s="3"/>
      <c r="E438" s="4"/>
      <c r="F438" s="3"/>
      <c r="G438" s="5"/>
      <c r="H438" s="3"/>
      <c r="I438" s="5"/>
      <c r="J438" s="3"/>
      <c r="K438" s="5"/>
      <c r="L438" s="3"/>
      <c r="M438" s="5"/>
      <c r="N438" s="5"/>
    </row>
    <row r="439">
      <c r="A439" s="2"/>
      <c r="B439" s="3"/>
      <c r="C439" s="3"/>
      <c r="D439" s="3"/>
      <c r="E439" s="4"/>
      <c r="F439" s="3"/>
      <c r="G439" s="5"/>
      <c r="H439" s="3"/>
      <c r="I439" s="5"/>
      <c r="J439" s="3"/>
      <c r="K439" s="5"/>
      <c r="L439" s="3"/>
      <c r="M439" s="5"/>
      <c r="N439" s="5"/>
    </row>
    <row r="440">
      <c r="A440" s="2"/>
      <c r="B440" s="3"/>
      <c r="C440" s="3"/>
      <c r="D440" s="3"/>
      <c r="E440" s="4"/>
      <c r="F440" s="3"/>
      <c r="G440" s="5"/>
      <c r="H440" s="3"/>
      <c r="I440" s="5"/>
      <c r="J440" s="3"/>
      <c r="K440" s="5"/>
      <c r="L440" s="3"/>
      <c r="M440" s="5"/>
      <c r="N440" s="5"/>
    </row>
    <row r="441">
      <c r="A441" s="2"/>
      <c r="B441" s="3"/>
      <c r="C441" s="3"/>
      <c r="D441" s="3"/>
      <c r="E441" s="4"/>
      <c r="F441" s="3"/>
      <c r="G441" s="5"/>
      <c r="H441" s="3"/>
      <c r="I441" s="5"/>
      <c r="J441" s="3"/>
      <c r="K441" s="5"/>
      <c r="L441" s="3"/>
      <c r="M441" s="5"/>
      <c r="N441" s="5"/>
    </row>
    <row r="442">
      <c r="A442" s="2"/>
      <c r="B442" s="3"/>
      <c r="C442" s="3"/>
      <c r="D442" s="3"/>
      <c r="E442" s="4"/>
      <c r="F442" s="3"/>
      <c r="G442" s="5"/>
      <c r="H442" s="3"/>
      <c r="I442" s="5"/>
      <c r="J442" s="3"/>
      <c r="K442" s="5"/>
      <c r="L442" s="3"/>
      <c r="M442" s="5"/>
      <c r="N442" s="5"/>
    </row>
    <row r="443">
      <c r="A443" s="2"/>
      <c r="B443" s="3"/>
      <c r="C443" s="3"/>
      <c r="D443" s="3"/>
      <c r="E443" s="4"/>
      <c r="F443" s="3"/>
      <c r="G443" s="5"/>
      <c r="H443" s="3"/>
      <c r="I443" s="5"/>
      <c r="J443" s="3"/>
      <c r="K443" s="5"/>
      <c r="L443" s="3"/>
      <c r="M443" s="5"/>
      <c r="N443" s="5"/>
    </row>
    <row r="444">
      <c r="A444" s="2"/>
      <c r="B444" s="3"/>
      <c r="C444" s="3"/>
      <c r="D444" s="3"/>
      <c r="E444" s="4"/>
      <c r="F444" s="3"/>
      <c r="G444" s="5"/>
      <c r="H444" s="3"/>
      <c r="I444" s="5"/>
      <c r="J444" s="3"/>
      <c r="K444" s="5"/>
      <c r="L444" s="3"/>
      <c r="M444" s="5"/>
      <c r="N444" s="5"/>
    </row>
    <row r="445">
      <c r="A445" s="2"/>
      <c r="B445" s="3"/>
      <c r="C445" s="3"/>
      <c r="D445" s="3"/>
      <c r="E445" s="4"/>
      <c r="F445" s="3"/>
      <c r="G445" s="5"/>
      <c r="H445" s="3"/>
      <c r="I445" s="5"/>
      <c r="J445" s="3"/>
      <c r="K445" s="5"/>
      <c r="L445" s="3"/>
      <c r="M445" s="5"/>
      <c r="N445" s="5"/>
    </row>
    <row r="446">
      <c r="A446" s="2"/>
      <c r="B446" s="3"/>
      <c r="C446" s="3"/>
      <c r="D446" s="3"/>
      <c r="E446" s="4"/>
      <c r="F446" s="3"/>
      <c r="G446" s="5"/>
      <c r="H446" s="3"/>
      <c r="I446" s="5"/>
      <c r="J446" s="3"/>
      <c r="K446" s="5"/>
      <c r="L446" s="3"/>
      <c r="M446" s="5"/>
      <c r="N446" s="5"/>
    </row>
    <row r="447">
      <c r="A447" s="2"/>
      <c r="B447" s="3"/>
      <c r="C447" s="3"/>
      <c r="D447" s="3"/>
      <c r="E447" s="4"/>
      <c r="F447" s="3"/>
      <c r="G447" s="5"/>
      <c r="H447" s="3"/>
      <c r="I447" s="5"/>
      <c r="J447" s="3"/>
      <c r="K447" s="5"/>
      <c r="L447" s="3"/>
      <c r="M447" s="5"/>
      <c r="N447" s="5"/>
    </row>
    <row r="448">
      <c r="A448" s="2"/>
      <c r="B448" s="3"/>
      <c r="C448" s="3"/>
      <c r="D448" s="3"/>
      <c r="E448" s="4"/>
      <c r="F448" s="3"/>
      <c r="G448" s="5"/>
      <c r="H448" s="3"/>
      <c r="I448" s="5"/>
      <c r="J448" s="3"/>
      <c r="K448" s="5"/>
      <c r="L448" s="3"/>
      <c r="M448" s="5"/>
      <c r="N448" s="5"/>
    </row>
    <row r="449">
      <c r="A449" s="2"/>
      <c r="B449" s="3"/>
      <c r="C449" s="3"/>
      <c r="D449" s="3"/>
      <c r="E449" s="4"/>
      <c r="F449" s="3"/>
      <c r="G449" s="5"/>
      <c r="H449" s="3"/>
      <c r="I449" s="5"/>
      <c r="J449" s="3"/>
      <c r="K449" s="5"/>
      <c r="L449" s="3"/>
      <c r="M449" s="5"/>
      <c r="N449" s="5"/>
    </row>
    <row r="450">
      <c r="A450" s="2"/>
      <c r="B450" s="3"/>
      <c r="C450" s="3"/>
      <c r="D450" s="3"/>
      <c r="E450" s="4"/>
      <c r="F450" s="3"/>
      <c r="G450" s="5"/>
      <c r="H450" s="3"/>
      <c r="I450" s="5"/>
      <c r="J450" s="3"/>
      <c r="K450" s="5"/>
      <c r="L450" s="3"/>
      <c r="M450" s="5"/>
      <c r="N450" s="5"/>
    </row>
    <row r="451">
      <c r="A451" s="2"/>
      <c r="B451" s="3"/>
      <c r="C451" s="3"/>
      <c r="D451" s="3"/>
      <c r="E451" s="4"/>
      <c r="F451" s="3"/>
      <c r="G451" s="5"/>
      <c r="H451" s="3"/>
      <c r="I451" s="5"/>
      <c r="J451" s="3"/>
      <c r="K451" s="5"/>
      <c r="L451" s="3"/>
      <c r="M451" s="5"/>
      <c r="N451" s="5"/>
    </row>
    <row r="452">
      <c r="A452" s="2"/>
      <c r="B452" s="3"/>
      <c r="C452" s="3"/>
      <c r="D452" s="3"/>
      <c r="E452" s="4"/>
      <c r="F452" s="3"/>
      <c r="G452" s="5"/>
      <c r="H452" s="3"/>
      <c r="I452" s="5"/>
      <c r="J452" s="3"/>
      <c r="K452" s="5"/>
      <c r="L452" s="3"/>
      <c r="M452" s="5"/>
      <c r="N452" s="5"/>
    </row>
    <row r="453">
      <c r="A453" s="2"/>
      <c r="B453" s="3"/>
      <c r="C453" s="3"/>
      <c r="D453" s="3"/>
      <c r="E453" s="4"/>
      <c r="F453" s="3"/>
      <c r="G453" s="5"/>
      <c r="H453" s="3"/>
      <c r="I453" s="5"/>
      <c r="J453" s="3"/>
      <c r="K453" s="5"/>
      <c r="L453" s="3"/>
      <c r="M453" s="5"/>
      <c r="N453" s="5"/>
    </row>
    <row r="454">
      <c r="A454" s="2"/>
      <c r="B454" s="3"/>
      <c r="C454" s="3"/>
      <c r="D454" s="3"/>
      <c r="E454" s="4"/>
      <c r="F454" s="3"/>
      <c r="G454" s="5"/>
      <c r="H454" s="3"/>
      <c r="I454" s="5"/>
      <c r="J454" s="3"/>
      <c r="K454" s="5"/>
      <c r="L454" s="3"/>
      <c r="M454" s="5"/>
      <c r="N454" s="5"/>
    </row>
    <row r="455">
      <c r="A455" s="2"/>
      <c r="B455" s="3"/>
      <c r="C455" s="3"/>
      <c r="D455" s="3"/>
      <c r="E455" s="4"/>
      <c r="F455" s="3"/>
      <c r="G455" s="5"/>
      <c r="H455" s="3"/>
      <c r="I455" s="5"/>
      <c r="J455" s="3"/>
      <c r="K455" s="5"/>
      <c r="L455" s="3"/>
      <c r="M455" s="5"/>
      <c r="N455" s="5"/>
    </row>
    <row r="456">
      <c r="A456" s="2"/>
      <c r="B456" s="3"/>
      <c r="C456" s="3"/>
      <c r="D456" s="3"/>
      <c r="E456" s="4"/>
      <c r="F456" s="3"/>
      <c r="G456" s="5"/>
      <c r="H456" s="3"/>
      <c r="I456" s="5"/>
      <c r="J456" s="3"/>
      <c r="K456" s="5"/>
      <c r="L456" s="3"/>
      <c r="M456" s="5"/>
      <c r="N456" s="5"/>
    </row>
    <row r="457">
      <c r="A457" s="2"/>
      <c r="B457" s="3"/>
      <c r="C457" s="3"/>
      <c r="D457" s="3"/>
      <c r="E457" s="4"/>
      <c r="F457" s="3"/>
      <c r="G457" s="5"/>
      <c r="H457" s="3"/>
      <c r="I457" s="5"/>
      <c r="J457" s="3"/>
      <c r="K457" s="5"/>
      <c r="L457" s="3"/>
      <c r="M457" s="5"/>
      <c r="N457" s="5"/>
    </row>
    <row r="458">
      <c r="A458" s="2"/>
      <c r="B458" s="3"/>
      <c r="C458" s="3"/>
      <c r="D458" s="3"/>
      <c r="E458" s="4"/>
      <c r="F458" s="3"/>
      <c r="G458" s="5"/>
      <c r="H458" s="3"/>
      <c r="I458" s="5"/>
      <c r="J458" s="3"/>
      <c r="K458" s="5"/>
      <c r="L458" s="3"/>
      <c r="M458" s="5"/>
      <c r="N458" s="5"/>
    </row>
    <row r="459">
      <c r="A459" s="2"/>
      <c r="B459" s="3"/>
      <c r="C459" s="3"/>
      <c r="D459" s="3"/>
      <c r="E459" s="4"/>
      <c r="F459" s="3"/>
      <c r="G459" s="5"/>
      <c r="H459" s="3"/>
      <c r="I459" s="5"/>
      <c r="J459" s="3"/>
      <c r="K459" s="5"/>
      <c r="L459" s="3"/>
      <c r="M459" s="5"/>
      <c r="N459" s="5"/>
    </row>
    <row r="460">
      <c r="A460" s="2"/>
      <c r="B460" s="3"/>
      <c r="C460" s="3"/>
      <c r="D460" s="3"/>
      <c r="E460" s="4"/>
      <c r="F460" s="3"/>
      <c r="G460" s="5"/>
      <c r="H460" s="3"/>
      <c r="I460" s="5"/>
      <c r="J460" s="3"/>
      <c r="K460" s="5"/>
      <c r="L460" s="3"/>
      <c r="M460" s="5"/>
      <c r="N460" s="5"/>
    </row>
    <row r="461">
      <c r="A461" s="2"/>
      <c r="B461" s="3"/>
      <c r="C461" s="3"/>
      <c r="D461" s="3"/>
      <c r="E461" s="4"/>
      <c r="F461" s="3"/>
      <c r="G461" s="5"/>
      <c r="H461" s="3"/>
      <c r="I461" s="5"/>
      <c r="J461" s="3"/>
      <c r="K461" s="5"/>
      <c r="L461" s="3"/>
      <c r="M461" s="5"/>
      <c r="N461" s="5"/>
    </row>
    <row r="462">
      <c r="A462" s="2"/>
      <c r="B462" s="3"/>
      <c r="C462" s="3"/>
      <c r="D462" s="3"/>
      <c r="E462" s="4"/>
      <c r="F462" s="3"/>
      <c r="G462" s="5"/>
      <c r="H462" s="3"/>
      <c r="I462" s="5"/>
      <c r="J462" s="3"/>
      <c r="K462" s="5"/>
      <c r="L462" s="3"/>
      <c r="M462" s="5"/>
      <c r="N462" s="5"/>
    </row>
    <row r="463">
      <c r="A463" s="2"/>
      <c r="B463" s="3"/>
      <c r="C463" s="3"/>
      <c r="D463" s="3"/>
      <c r="E463" s="4"/>
      <c r="F463" s="3"/>
      <c r="G463" s="5"/>
      <c r="H463" s="3"/>
      <c r="I463" s="5"/>
      <c r="J463" s="3"/>
      <c r="K463" s="5"/>
      <c r="L463" s="3"/>
      <c r="M463" s="5"/>
      <c r="N463" s="5"/>
    </row>
    <row r="464">
      <c r="A464" s="2"/>
      <c r="B464" s="3"/>
      <c r="C464" s="3"/>
      <c r="D464" s="3"/>
      <c r="E464" s="4"/>
      <c r="F464" s="3"/>
      <c r="G464" s="5"/>
      <c r="H464" s="3"/>
      <c r="I464" s="5"/>
      <c r="J464" s="3"/>
      <c r="K464" s="5"/>
      <c r="L464" s="3"/>
      <c r="M464" s="5"/>
      <c r="N464" s="5"/>
    </row>
    <row r="465">
      <c r="A465" s="2"/>
      <c r="B465" s="3"/>
      <c r="C465" s="3"/>
      <c r="D465" s="3"/>
      <c r="E465" s="4"/>
      <c r="F465" s="3"/>
      <c r="G465" s="5"/>
      <c r="H465" s="3"/>
      <c r="I465" s="5"/>
      <c r="J465" s="3"/>
      <c r="K465" s="5"/>
      <c r="L465" s="3"/>
      <c r="M465" s="5"/>
      <c r="N465" s="5"/>
    </row>
    <row r="466">
      <c r="A466" s="2"/>
      <c r="B466" s="3"/>
      <c r="C466" s="3"/>
      <c r="D466" s="3"/>
      <c r="E466" s="4"/>
      <c r="F466" s="3"/>
      <c r="G466" s="5"/>
      <c r="H466" s="3"/>
      <c r="I466" s="5"/>
      <c r="J466" s="3"/>
      <c r="K466" s="5"/>
      <c r="L466" s="3"/>
      <c r="M466" s="5"/>
      <c r="N466" s="5"/>
    </row>
    <row r="467">
      <c r="A467" s="2"/>
      <c r="B467" s="3"/>
      <c r="C467" s="3"/>
      <c r="D467" s="3"/>
      <c r="E467" s="4"/>
      <c r="F467" s="3"/>
      <c r="G467" s="5"/>
      <c r="H467" s="3"/>
      <c r="I467" s="5"/>
      <c r="J467" s="3"/>
      <c r="K467" s="5"/>
      <c r="L467" s="3"/>
      <c r="M467" s="5"/>
      <c r="N467" s="5"/>
    </row>
    <row r="468">
      <c r="A468" s="2"/>
      <c r="B468" s="3"/>
      <c r="C468" s="3"/>
      <c r="D468" s="3"/>
      <c r="E468" s="4"/>
      <c r="F468" s="3"/>
      <c r="G468" s="5"/>
      <c r="H468" s="3"/>
      <c r="I468" s="5"/>
      <c r="J468" s="3"/>
      <c r="K468" s="5"/>
      <c r="L468" s="3"/>
      <c r="M468" s="5"/>
      <c r="N468" s="5"/>
    </row>
    <row r="469">
      <c r="A469" s="2"/>
      <c r="B469" s="3"/>
      <c r="C469" s="3"/>
      <c r="D469" s="3"/>
      <c r="E469" s="4"/>
      <c r="F469" s="3"/>
      <c r="G469" s="5"/>
      <c r="H469" s="3"/>
      <c r="I469" s="5"/>
      <c r="J469" s="3"/>
      <c r="K469" s="5"/>
      <c r="L469" s="3"/>
      <c r="M469" s="5"/>
      <c r="N469" s="5"/>
    </row>
    <row r="470">
      <c r="A470" s="2"/>
      <c r="B470" s="3"/>
      <c r="C470" s="3"/>
      <c r="D470" s="3"/>
      <c r="E470" s="4"/>
      <c r="F470" s="3"/>
      <c r="G470" s="5"/>
      <c r="H470" s="3"/>
      <c r="I470" s="5"/>
      <c r="J470" s="3"/>
      <c r="K470" s="5"/>
      <c r="L470" s="3"/>
      <c r="M470" s="5"/>
      <c r="N470" s="5"/>
    </row>
    <row r="471">
      <c r="A471" s="2"/>
      <c r="B471" s="3"/>
      <c r="C471" s="3"/>
      <c r="D471" s="3"/>
      <c r="E471" s="4"/>
      <c r="F471" s="3"/>
      <c r="G471" s="5"/>
      <c r="H471" s="3"/>
      <c r="I471" s="5"/>
      <c r="J471" s="3"/>
      <c r="K471" s="5"/>
      <c r="L471" s="3"/>
      <c r="M471" s="5"/>
      <c r="N471" s="5"/>
    </row>
    <row r="472">
      <c r="A472" s="2"/>
      <c r="B472" s="3"/>
      <c r="C472" s="3"/>
      <c r="D472" s="3"/>
      <c r="E472" s="4"/>
      <c r="F472" s="3"/>
      <c r="G472" s="5"/>
      <c r="H472" s="3"/>
      <c r="I472" s="5"/>
      <c r="J472" s="3"/>
      <c r="K472" s="5"/>
      <c r="L472" s="3"/>
      <c r="M472" s="5"/>
      <c r="N472" s="5"/>
    </row>
    <row r="473">
      <c r="A473" s="2"/>
      <c r="B473" s="3"/>
      <c r="C473" s="3"/>
      <c r="D473" s="3"/>
      <c r="E473" s="4"/>
      <c r="F473" s="3"/>
      <c r="G473" s="5"/>
      <c r="H473" s="3"/>
      <c r="I473" s="5"/>
      <c r="J473" s="3"/>
      <c r="K473" s="5"/>
      <c r="L473" s="3"/>
      <c r="M473" s="5"/>
      <c r="N473" s="5"/>
    </row>
    <row r="474">
      <c r="A474" s="2"/>
      <c r="B474" s="3"/>
      <c r="C474" s="3"/>
      <c r="D474" s="3"/>
      <c r="E474" s="4"/>
      <c r="F474" s="3"/>
      <c r="G474" s="5"/>
      <c r="H474" s="3"/>
      <c r="I474" s="5"/>
      <c r="J474" s="3"/>
      <c r="K474" s="5"/>
      <c r="L474" s="3"/>
      <c r="M474" s="5"/>
      <c r="N474" s="5"/>
    </row>
    <row r="475">
      <c r="A475" s="2"/>
      <c r="B475" s="3"/>
      <c r="C475" s="3"/>
      <c r="D475" s="3"/>
      <c r="E475" s="4"/>
      <c r="F475" s="3"/>
      <c r="G475" s="5"/>
      <c r="H475" s="3"/>
      <c r="I475" s="5"/>
      <c r="J475" s="3"/>
      <c r="K475" s="5"/>
      <c r="L475" s="3"/>
      <c r="M475" s="5"/>
      <c r="N475" s="5"/>
    </row>
    <row r="476">
      <c r="A476" s="2"/>
      <c r="B476" s="3"/>
      <c r="C476" s="3"/>
      <c r="D476" s="3"/>
      <c r="E476" s="4"/>
      <c r="F476" s="3"/>
      <c r="G476" s="5"/>
      <c r="H476" s="3"/>
      <c r="I476" s="5"/>
      <c r="J476" s="3"/>
      <c r="K476" s="5"/>
      <c r="L476" s="3"/>
      <c r="M476" s="5"/>
      <c r="N476" s="5"/>
    </row>
    <row r="477">
      <c r="A477" s="2"/>
      <c r="B477" s="3"/>
      <c r="C477" s="3"/>
      <c r="D477" s="3"/>
      <c r="E477" s="4"/>
      <c r="F477" s="3"/>
      <c r="G477" s="5"/>
      <c r="H477" s="3"/>
      <c r="I477" s="5"/>
      <c r="J477" s="3"/>
      <c r="K477" s="5"/>
      <c r="L477" s="3"/>
      <c r="M477" s="5"/>
      <c r="N477" s="5"/>
    </row>
    <row r="478">
      <c r="A478" s="2"/>
      <c r="B478" s="3"/>
      <c r="C478" s="3"/>
      <c r="D478" s="3"/>
      <c r="E478" s="4"/>
      <c r="F478" s="3"/>
      <c r="G478" s="5"/>
      <c r="H478" s="3"/>
      <c r="I478" s="5"/>
      <c r="J478" s="3"/>
      <c r="K478" s="5"/>
      <c r="L478" s="3"/>
      <c r="M478" s="5"/>
      <c r="N478" s="5"/>
    </row>
    <row r="479">
      <c r="A479" s="2"/>
      <c r="B479" s="3"/>
      <c r="C479" s="3"/>
      <c r="D479" s="3"/>
      <c r="E479" s="4"/>
      <c r="F479" s="3"/>
      <c r="G479" s="5"/>
      <c r="H479" s="3"/>
      <c r="I479" s="5"/>
      <c r="J479" s="3"/>
      <c r="K479" s="5"/>
      <c r="L479" s="3"/>
      <c r="M479" s="5"/>
      <c r="N479" s="5"/>
    </row>
    <row r="480">
      <c r="A480" s="2"/>
      <c r="B480" s="3"/>
      <c r="C480" s="3"/>
      <c r="D480" s="3"/>
      <c r="E480" s="4"/>
      <c r="F480" s="3"/>
      <c r="G480" s="5"/>
      <c r="H480" s="3"/>
      <c r="I480" s="5"/>
      <c r="J480" s="3"/>
      <c r="K480" s="5"/>
      <c r="L480" s="3"/>
      <c r="M480" s="5"/>
      <c r="N480" s="5"/>
    </row>
    <row r="481">
      <c r="A481" s="2"/>
      <c r="B481" s="3"/>
      <c r="C481" s="3"/>
      <c r="D481" s="3"/>
      <c r="E481" s="4"/>
      <c r="F481" s="3"/>
      <c r="G481" s="5"/>
      <c r="H481" s="3"/>
      <c r="I481" s="5"/>
      <c r="J481" s="3"/>
      <c r="K481" s="5"/>
      <c r="L481" s="3"/>
      <c r="M481" s="5"/>
      <c r="N481" s="5"/>
    </row>
    <row r="482">
      <c r="A482" s="2"/>
      <c r="B482" s="3"/>
      <c r="C482" s="3"/>
      <c r="D482" s="3"/>
      <c r="E482" s="4"/>
      <c r="F482" s="3"/>
      <c r="G482" s="5"/>
      <c r="H482" s="3"/>
      <c r="I482" s="5"/>
      <c r="J482" s="3"/>
      <c r="K482" s="5"/>
      <c r="L482" s="3"/>
      <c r="M482" s="5"/>
      <c r="N482" s="5"/>
    </row>
    <row r="483">
      <c r="A483" s="2"/>
      <c r="B483" s="3"/>
      <c r="C483" s="3"/>
      <c r="D483" s="3"/>
      <c r="E483" s="4"/>
      <c r="F483" s="3"/>
      <c r="G483" s="5"/>
      <c r="H483" s="3"/>
      <c r="I483" s="5"/>
      <c r="J483" s="3"/>
      <c r="K483" s="5"/>
      <c r="L483" s="3"/>
      <c r="M483" s="5"/>
      <c r="N483" s="5"/>
    </row>
    <row r="484">
      <c r="A484" s="2"/>
      <c r="B484" s="3"/>
      <c r="C484" s="3"/>
      <c r="D484" s="3"/>
      <c r="E484" s="4"/>
      <c r="F484" s="3"/>
      <c r="G484" s="5"/>
      <c r="H484" s="3"/>
      <c r="I484" s="5"/>
      <c r="J484" s="3"/>
      <c r="K484" s="5"/>
      <c r="L484" s="3"/>
      <c r="M484" s="5"/>
      <c r="N484" s="5"/>
    </row>
    <row r="485">
      <c r="A485" s="2"/>
      <c r="B485" s="3"/>
      <c r="C485" s="3"/>
      <c r="D485" s="3"/>
      <c r="E485" s="4"/>
      <c r="F485" s="3"/>
      <c r="G485" s="5"/>
      <c r="H485" s="3"/>
      <c r="I485" s="5"/>
      <c r="J485" s="3"/>
      <c r="K485" s="5"/>
      <c r="L485" s="3"/>
      <c r="M485" s="5"/>
      <c r="N485" s="5"/>
    </row>
    <row r="486">
      <c r="A486" s="2"/>
      <c r="B486" s="3"/>
      <c r="C486" s="3"/>
      <c r="D486" s="3"/>
      <c r="E486" s="4"/>
      <c r="F486" s="3"/>
      <c r="G486" s="5"/>
      <c r="H486" s="3"/>
      <c r="I486" s="5"/>
      <c r="J486" s="3"/>
      <c r="K486" s="5"/>
      <c r="L486" s="3"/>
      <c r="M486" s="5"/>
      <c r="N486" s="5"/>
    </row>
    <row r="487">
      <c r="A487" s="2"/>
      <c r="B487" s="3"/>
      <c r="C487" s="3"/>
      <c r="D487" s="3"/>
      <c r="E487" s="4"/>
      <c r="F487" s="3"/>
      <c r="G487" s="5"/>
      <c r="H487" s="3"/>
      <c r="I487" s="5"/>
      <c r="J487" s="3"/>
      <c r="K487" s="5"/>
      <c r="L487" s="3"/>
      <c r="M487" s="5"/>
      <c r="N487" s="5"/>
    </row>
    <row r="488">
      <c r="A488" s="2"/>
      <c r="B488" s="3"/>
      <c r="C488" s="3"/>
      <c r="D488" s="3"/>
      <c r="E488" s="4"/>
      <c r="F488" s="3"/>
      <c r="G488" s="5"/>
      <c r="H488" s="3"/>
      <c r="I488" s="5"/>
      <c r="J488" s="3"/>
      <c r="K488" s="5"/>
      <c r="L488" s="3"/>
      <c r="M488" s="5"/>
      <c r="N488" s="5"/>
    </row>
    <row r="489">
      <c r="A489" s="2"/>
      <c r="B489" s="3"/>
      <c r="C489" s="3"/>
      <c r="D489" s="3"/>
      <c r="E489" s="4"/>
      <c r="F489" s="3"/>
      <c r="G489" s="5"/>
      <c r="H489" s="3"/>
      <c r="I489" s="5"/>
      <c r="J489" s="3"/>
      <c r="K489" s="5"/>
      <c r="L489" s="3"/>
      <c r="M489" s="5"/>
      <c r="N489" s="5"/>
    </row>
    <row r="490">
      <c r="A490" s="2"/>
      <c r="B490" s="3"/>
      <c r="C490" s="3"/>
      <c r="D490" s="3"/>
      <c r="E490" s="4"/>
      <c r="F490" s="3"/>
      <c r="G490" s="5"/>
      <c r="H490" s="3"/>
      <c r="I490" s="5"/>
      <c r="J490" s="3"/>
      <c r="K490" s="5"/>
      <c r="L490" s="3"/>
      <c r="M490" s="5"/>
      <c r="N490" s="5"/>
    </row>
    <row r="491">
      <c r="A491" s="2"/>
      <c r="B491" s="3"/>
      <c r="C491" s="3"/>
      <c r="D491" s="3"/>
      <c r="E491" s="4"/>
      <c r="F491" s="3"/>
      <c r="G491" s="5"/>
      <c r="H491" s="3"/>
      <c r="I491" s="5"/>
      <c r="J491" s="3"/>
      <c r="K491" s="5"/>
      <c r="L491" s="3"/>
      <c r="M491" s="5"/>
      <c r="N491" s="5"/>
    </row>
    <row r="492">
      <c r="A492" s="2"/>
      <c r="B492" s="3"/>
      <c r="C492" s="3"/>
      <c r="D492" s="3"/>
      <c r="E492" s="4"/>
      <c r="F492" s="3"/>
      <c r="G492" s="5"/>
      <c r="H492" s="3"/>
      <c r="I492" s="5"/>
      <c r="J492" s="3"/>
      <c r="K492" s="5"/>
      <c r="L492" s="3"/>
      <c r="M492" s="5"/>
      <c r="N492" s="5"/>
    </row>
    <row r="493">
      <c r="A493" s="2"/>
      <c r="B493" s="3"/>
      <c r="C493" s="3"/>
      <c r="D493" s="3"/>
      <c r="E493" s="4"/>
      <c r="F493" s="3"/>
      <c r="G493" s="5"/>
      <c r="H493" s="3"/>
      <c r="I493" s="5"/>
      <c r="J493" s="3"/>
      <c r="K493" s="5"/>
      <c r="L493" s="3"/>
      <c r="M493" s="5"/>
      <c r="N493" s="5"/>
    </row>
    <row r="494">
      <c r="A494" s="2"/>
      <c r="B494" s="3"/>
      <c r="C494" s="3"/>
      <c r="D494" s="3"/>
      <c r="E494" s="4"/>
      <c r="F494" s="3"/>
      <c r="G494" s="5"/>
      <c r="H494" s="3"/>
      <c r="I494" s="5"/>
      <c r="J494" s="3"/>
      <c r="K494" s="5"/>
      <c r="L494" s="3"/>
      <c r="M494" s="5"/>
      <c r="N494" s="5"/>
    </row>
    <row r="495">
      <c r="A495" s="2"/>
      <c r="B495" s="3"/>
      <c r="C495" s="3"/>
      <c r="D495" s="3"/>
      <c r="E495" s="4"/>
      <c r="F495" s="3"/>
      <c r="G495" s="5"/>
      <c r="H495" s="3"/>
      <c r="I495" s="5"/>
      <c r="J495" s="3"/>
      <c r="K495" s="5"/>
      <c r="L495" s="3"/>
      <c r="M495" s="5"/>
      <c r="N495" s="5"/>
    </row>
    <row r="496">
      <c r="A496" s="2"/>
      <c r="B496" s="3"/>
      <c r="C496" s="3"/>
      <c r="D496" s="3"/>
      <c r="E496" s="4"/>
      <c r="F496" s="3"/>
      <c r="G496" s="5"/>
      <c r="H496" s="3"/>
      <c r="I496" s="5"/>
      <c r="J496" s="3"/>
      <c r="K496" s="5"/>
      <c r="L496" s="3"/>
      <c r="M496" s="5"/>
      <c r="N496" s="5"/>
    </row>
    <row r="497">
      <c r="A497" s="2"/>
      <c r="B497" s="3"/>
      <c r="C497" s="3"/>
      <c r="D497" s="3"/>
      <c r="E497" s="4"/>
      <c r="F497" s="3"/>
      <c r="G497" s="5"/>
      <c r="H497" s="3"/>
      <c r="I497" s="5"/>
      <c r="J497" s="3"/>
      <c r="K497" s="5"/>
      <c r="L497" s="3"/>
      <c r="M497" s="5"/>
      <c r="N497" s="5"/>
    </row>
    <row r="498">
      <c r="A498" s="2"/>
      <c r="B498" s="3"/>
      <c r="C498" s="3"/>
      <c r="D498" s="3"/>
      <c r="E498" s="4"/>
      <c r="F498" s="3"/>
      <c r="G498" s="5"/>
      <c r="H498" s="3"/>
      <c r="I498" s="5"/>
      <c r="J498" s="3"/>
      <c r="K498" s="5"/>
      <c r="L498" s="3"/>
      <c r="M498" s="5"/>
      <c r="N498" s="5"/>
    </row>
    <row r="499">
      <c r="A499" s="2"/>
      <c r="B499" s="3"/>
      <c r="C499" s="3"/>
      <c r="D499" s="3"/>
      <c r="E499" s="4"/>
      <c r="F499" s="3"/>
      <c r="G499" s="5"/>
      <c r="H499" s="3"/>
      <c r="I499" s="5"/>
      <c r="J499" s="3"/>
      <c r="K499" s="5"/>
      <c r="L499" s="3"/>
      <c r="M499" s="5"/>
      <c r="N499" s="5"/>
    </row>
    <row r="500">
      <c r="A500" s="2"/>
      <c r="B500" s="3"/>
      <c r="C500" s="3"/>
      <c r="D500" s="3"/>
      <c r="E500" s="4"/>
      <c r="F500" s="3"/>
      <c r="G500" s="5"/>
      <c r="H500" s="3"/>
      <c r="I500" s="5"/>
      <c r="J500" s="3"/>
      <c r="K500" s="5"/>
      <c r="L500" s="3"/>
      <c r="M500" s="5"/>
      <c r="N500" s="5"/>
    </row>
    <row r="501">
      <c r="A501" s="2"/>
      <c r="B501" s="3"/>
      <c r="C501" s="3"/>
      <c r="D501" s="3"/>
      <c r="E501" s="4"/>
      <c r="F501" s="3"/>
      <c r="G501" s="5"/>
      <c r="H501" s="3"/>
      <c r="I501" s="5"/>
      <c r="J501" s="3"/>
      <c r="K501" s="5"/>
      <c r="L501" s="3"/>
      <c r="M501" s="5"/>
      <c r="N501" s="5"/>
    </row>
    <row r="502">
      <c r="A502" s="2"/>
      <c r="B502" s="3"/>
      <c r="C502" s="3"/>
      <c r="D502" s="3"/>
      <c r="E502" s="4"/>
      <c r="F502" s="3"/>
      <c r="G502" s="5"/>
      <c r="H502" s="3"/>
      <c r="I502" s="5"/>
      <c r="J502" s="3"/>
      <c r="K502" s="5"/>
      <c r="L502" s="3"/>
      <c r="M502" s="5"/>
      <c r="N502" s="5"/>
    </row>
    <row r="503">
      <c r="A503" s="2"/>
      <c r="B503" s="3"/>
      <c r="C503" s="3"/>
      <c r="D503" s="3"/>
      <c r="E503" s="4"/>
      <c r="F503" s="3"/>
      <c r="G503" s="5"/>
      <c r="H503" s="3"/>
      <c r="I503" s="5"/>
      <c r="J503" s="3"/>
      <c r="K503" s="5"/>
      <c r="L503" s="3"/>
      <c r="M503" s="5"/>
      <c r="N503" s="5"/>
    </row>
    <row r="504">
      <c r="A504" s="2"/>
      <c r="B504" s="3"/>
      <c r="C504" s="3"/>
      <c r="D504" s="3"/>
      <c r="E504" s="4"/>
      <c r="F504" s="3"/>
      <c r="G504" s="5"/>
      <c r="H504" s="3"/>
      <c r="I504" s="5"/>
      <c r="J504" s="3"/>
      <c r="K504" s="5"/>
      <c r="L504" s="3"/>
      <c r="M504" s="5"/>
      <c r="N504" s="5"/>
    </row>
    <row r="505">
      <c r="A505" s="2"/>
      <c r="B505" s="3"/>
      <c r="C505" s="3"/>
      <c r="D505" s="3"/>
      <c r="E505" s="4"/>
      <c r="F505" s="3"/>
      <c r="G505" s="5"/>
      <c r="H505" s="3"/>
      <c r="I505" s="5"/>
      <c r="J505" s="3"/>
      <c r="K505" s="5"/>
      <c r="L505" s="3"/>
      <c r="M505" s="5"/>
      <c r="N505" s="5"/>
    </row>
    <row r="506">
      <c r="A506" s="2"/>
      <c r="B506" s="3"/>
      <c r="C506" s="3"/>
      <c r="D506" s="3"/>
      <c r="E506" s="4"/>
      <c r="F506" s="3"/>
      <c r="G506" s="5"/>
      <c r="H506" s="3"/>
      <c r="I506" s="5"/>
      <c r="J506" s="3"/>
      <c r="K506" s="5"/>
      <c r="L506" s="3"/>
      <c r="M506" s="5"/>
      <c r="N506" s="5"/>
    </row>
    <row r="507">
      <c r="A507" s="2"/>
      <c r="B507" s="3"/>
      <c r="C507" s="3"/>
      <c r="D507" s="3"/>
      <c r="E507" s="4"/>
      <c r="F507" s="3"/>
      <c r="G507" s="5"/>
      <c r="H507" s="3"/>
      <c r="I507" s="5"/>
      <c r="J507" s="3"/>
      <c r="K507" s="5"/>
      <c r="L507" s="3"/>
      <c r="M507" s="5"/>
      <c r="N507" s="5"/>
    </row>
    <row r="508">
      <c r="A508" s="2"/>
      <c r="B508" s="3"/>
      <c r="C508" s="3"/>
      <c r="D508" s="3"/>
      <c r="E508" s="4"/>
      <c r="F508" s="3"/>
      <c r="G508" s="5"/>
      <c r="H508" s="3"/>
      <c r="I508" s="5"/>
      <c r="J508" s="3"/>
      <c r="K508" s="5"/>
      <c r="L508" s="3"/>
      <c r="M508" s="5"/>
      <c r="N508" s="5"/>
    </row>
    <row r="509">
      <c r="A509" s="2"/>
      <c r="B509" s="3"/>
      <c r="C509" s="3"/>
      <c r="D509" s="3"/>
      <c r="E509" s="4"/>
      <c r="F509" s="3"/>
      <c r="G509" s="5"/>
      <c r="H509" s="3"/>
      <c r="I509" s="5"/>
      <c r="J509" s="3"/>
      <c r="K509" s="5"/>
      <c r="L509" s="3"/>
      <c r="M509" s="5"/>
      <c r="N509" s="5"/>
    </row>
    <row r="510">
      <c r="A510" s="2"/>
      <c r="B510" s="3"/>
      <c r="C510" s="3"/>
      <c r="D510" s="3"/>
      <c r="E510" s="4"/>
      <c r="F510" s="3"/>
      <c r="G510" s="5"/>
      <c r="H510" s="3"/>
      <c r="I510" s="5"/>
      <c r="J510" s="3"/>
      <c r="K510" s="5"/>
      <c r="L510" s="3"/>
      <c r="M510" s="5"/>
      <c r="N510" s="5"/>
    </row>
    <row r="511">
      <c r="A511" s="2"/>
      <c r="B511" s="3"/>
      <c r="C511" s="3"/>
      <c r="D511" s="3"/>
      <c r="E511" s="4"/>
      <c r="F511" s="3"/>
      <c r="G511" s="5"/>
      <c r="H511" s="3"/>
      <c r="I511" s="5"/>
      <c r="J511" s="3"/>
      <c r="K511" s="5"/>
      <c r="L511" s="3"/>
      <c r="M511" s="5"/>
      <c r="N511" s="5"/>
    </row>
    <row r="512">
      <c r="A512" s="2"/>
      <c r="B512" s="3"/>
      <c r="C512" s="3"/>
      <c r="D512" s="3"/>
      <c r="E512" s="4"/>
      <c r="F512" s="3"/>
      <c r="G512" s="5"/>
      <c r="H512" s="3"/>
      <c r="I512" s="5"/>
      <c r="J512" s="3"/>
      <c r="K512" s="5"/>
      <c r="L512" s="3"/>
      <c r="M512" s="5"/>
      <c r="N512" s="5"/>
    </row>
    <row r="513">
      <c r="A513" s="2"/>
      <c r="B513" s="3"/>
      <c r="C513" s="3"/>
      <c r="D513" s="3"/>
      <c r="E513" s="4"/>
      <c r="F513" s="3"/>
      <c r="G513" s="5"/>
      <c r="H513" s="3"/>
      <c r="I513" s="5"/>
      <c r="J513" s="3"/>
      <c r="K513" s="5"/>
      <c r="L513" s="3"/>
      <c r="M513" s="5"/>
      <c r="N513" s="5"/>
    </row>
    <row r="514">
      <c r="A514" s="2"/>
      <c r="B514" s="3"/>
      <c r="C514" s="3"/>
      <c r="D514" s="3"/>
      <c r="E514" s="4"/>
      <c r="F514" s="3"/>
      <c r="G514" s="5"/>
      <c r="H514" s="3"/>
      <c r="I514" s="5"/>
      <c r="J514" s="3"/>
      <c r="K514" s="5"/>
      <c r="L514" s="3"/>
      <c r="M514" s="5"/>
      <c r="N514" s="5"/>
    </row>
    <row r="515">
      <c r="A515" s="2"/>
      <c r="B515" s="3"/>
      <c r="C515" s="3"/>
      <c r="D515" s="3"/>
      <c r="E515" s="4"/>
      <c r="F515" s="3"/>
      <c r="G515" s="5"/>
      <c r="H515" s="3"/>
      <c r="I515" s="5"/>
      <c r="J515" s="3"/>
      <c r="K515" s="5"/>
      <c r="L515" s="3"/>
      <c r="M515" s="5"/>
      <c r="N515" s="5"/>
    </row>
    <row r="516">
      <c r="A516" s="2"/>
      <c r="B516" s="3"/>
      <c r="C516" s="3"/>
      <c r="D516" s="3"/>
      <c r="E516" s="4"/>
      <c r="F516" s="3"/>
      <c r="G516" s="5"/>
      <c r="H516" s="3"/>
      <c r="I516" s="5"/>
      <c r="J516" s="3"/>
      <c r="K516" s="5"/>
      <c r="L516" s="3"/>
      <c r="M516" s="5"/>
      <c r="N516" s="5"/>
    </row>
    <row r="517">
      <c r="A517" s="2"/>
      <c r="B517" s="3"/>
      <c r="C517" s="3"/>
      <c r="D517" s="3"/>
      <c r="E517" s="4"/>
      <c r="F517" s="3"/>
      <c r="G517" s="5"/>
      <c r="H517" s="3"/>
      <c r="I517" s="5"/>
      <c r="J517" s="3"/>
      <c r="K517" s="5"/>
      <c r="L517" s="3"/>
      <c r="M517" s="5"/>
      <c r="N517" s="5"/>
    </row>
    <row r="518">
      <c r="A518" s="2"/>
      <c r="B518" s="3"/>
      <c r="C518" s="3"/>
      <c r="D518" s="3"/>
      <c r="E518" s="4"/>
      <c r="F518" s="3"/>
      <c r="G518" s="5"/>
      <c r="H518" s="3"/>
      <c r="I518" s="5"/>
      <c r="J518" s="3"/>
      <c r="K518" s="5"/>
      <c r="L518" s="3"/>
      <c r="M518" s="5"/>
      <c r="N518" s="5"/>
    </row>
    <row r="519">
      <c r="A519" s="2"/>
      <c r="B519" s="3"/>
      <c r="C519" s="3"/>
      <c r="D519" s="3"/>
      <c r="E519" s="4"/>
      <c r="F519" s="3"/>
      <c r="G519" s="5"/>
      <c r="H519" s="3"/>
      <c r="I519" s="5"/>
      <c r="J519" s="3"/>
      <c r="K519" s="5"/>
      <c r="L519" s="3"/>
      <c r="M519" s="5"/>
      <c r="N519" s="5"/>
    </row>
    <row r="520">
      <c r="A520" s="2"/>
      <c r="B520" s="3"/>
      <c r="C520" s="3"/>
      <c r="D520" s="3"/>
      <c r="E520" s="4"/>
      <c r="F520" s="3"/>
      <c r="G520" s="5"/>
      <c r="H520" s="3"/>
      <c r="I520" s="5"/>
      <c r="J520" s="3"/>
      <c r="K520" s="5"/>
      <c r="L520" s="3"/>
      <c r="M520" s="5"/>
      <c r="N520" s="5"/>
    </row>
    <row r="521">
      <c r="A521" s="2"/>
      <c r="B521" s="3"/>
      <c r="C521" s="3"/>
      <c r="D521" s="3"/>
      <c r="E521" s="4"/>
      <c r="F521" s="3"/>
      <c r="G521" s="5"/>
      <c r="H521" s="3"/>
      <c r="I521" s="5"/>
      <c r="J521" s="3"/>
      <c r="K521" s="5"/>
      <c r="L521" s="3"/>
      <c r="M521" s="5"/>
      <c r="N521" s="5"/>
    </row>
    <row r="522">
      <c r="A522" s="2"/>
      <c r="B522" s="3"/>
      <c r="C522" s="3"/>
      <c r="D522" s="3"/>
      <c r="E522" s="4"/>
      <c r="F522" s="3"/>
      <c r="G522" s="5"/>
      <c r="H522" s="3"/>
      <c r="I522" s="5"/>
      <c r="J522" s="3"/>
      <c r="K522" s="5"/>
      <c r="L522" s="3"/>
      <c r="M522" s="5"/>
      <c r="N522" s="5"/>
    </row>
    <row r="523">
      <c r="A523" s="2"/>
      <c r="B523" s="3"/>
      <c r="C523" s="3"/>
      <c r="D523" s="3"/>
      <c r="E523" s="4"/>
      <c r="F523" s="3"/>
      <c r="G523" s="5"/>
      <c r="H523" s="3"/>
      <c r="I523" s="5"/>
      <c r="J523" s="3"/>
      <c r="K523" s="5"/>
      <c r="L523" s="3"/>
      <c r="M523" s="5"/>
      <c r="N523" s="5"/>
    </row>
    <row r="524">
      <c r="A524" s="2"/>
      <c r="B524" s="3"/>
      <c r="C524" s="3"/>
      <c r="D524" s="3"/>
      <c r="E524" s="4"/>
      <c r="F524" s="3"/>
      <c r="G524" s="5"/>
      <c r="H524" s="3"/>
      <c r="I524" s="5"/>
      <c r="J524" s="3"/>
      <c r="K524" s="5"/>
      <c r="L524" s="3"/>
      <c r="M524" s="5"/>
      <c r="N524" s="5"/>
    </row>
    <row r="525">
      <c r="A525" s="2"/>
      <c r="B525" s="3"/>
      <c r="C525" s="3"/>
      <c r="D525" s="3"/>
      <c r="E525" s="4"/>
      <c r="F525" s="3"/>
      <c r="G525" s="5"/>
      <c r="H525" s="3"/>
      <c r="I525" s="5"/>
      <c r="J525" s="3"/>
      <c r="K525" s="5"/>
      <c r="L525" s="3"/>
      <c r="M525" s="5"/>
      <c r="N525" s="5"/>
    </row>
    <row r="526">
      <c r="A526" s="2"/>
      <c r="B526" s="3"/>
      <c r="C526" s="3"/>
      <c r="D526" s="3"/>
      <c r="E526" s="4"/>
      <c r="F526" s="3"/>
      <c r="G526" s="5"/>
      <c r="H526" s="3"/>
      <c r="I526" s="5"/>
      <c r="J526" s="3"/>
      <c r="K526" s="5"/>
      <c r="L526" s="3"/>
      <c r="M526" s="5"/>
      <c r="N526" s="5"/>
    </row>
    <row r="527">
      <c r="A527" s="2"/>
      <c r="B527" s="3"/>
      <c r="C527" s="3"/>
      <c r="D527" s="3"/>
      <c r="E527" s="4"/>
      <c r="F527" s="3"/>
      <c r="G527" s="5"/>
      <c r="H527" s="3"/>
      <c r="I527" s="5"/>
      <c r="J527" s="3"/>
      <c r="K527" s="5"/>
      <c r="L527" s="3"/>
      <c r="M527" s="5"/>
      <c r="N527" s="5"/>
    </row>
    <row r="528">
      <c r="A528" s="2"/>
      <c r="B528" s="3"/>
      <c r="C528" s="3"/>
      <c r="D528" s="3"/>
      <c r="E528" s="4"/>
      <c r="F528" s="3"/>
      <c r="G528" s="5"/>
      <c r="H528" s="3"/>
      <c r="I528" s="5"/>
      <c r="J528" s="3"/>
      <c r="K528" s="5"/>
      <c r="L528" s="3"/>
      <c r="M528" s="5"/>
      <c r="N528" s="5"/>
    </row>
    <row r="529">
      <c r="A529" s="2"/>
      <c r="B529" s="3"/>
      <c r="C529" s="3"/>
      <c r="D529" s="3"/>
      <c r="E529" s="4"/>
      <c r="F529" s="3"/>
      <c r="G529" s="5"/>
      <c r="H529" s="3"/>
      <c r="I529" s="5"/>
      <c r="J529" s="3"/>
      <c r="K529" s="5"/>
      <c r="L529" s="3"/>
      <c r="M529" s="5"/>
      <c r="N529" s="5"/>
    </row>
    <row r="530">
      <c r="A530" s="2"/>
      <c r="B530" s="3"/>
      <c r="C530" s="3"/>
      <c r="D530" s="3"/>
      <c r="E530" s="4"/>
      <c r="F530" s="3"/>
      <c r="G530" s="5"/>
      <c r="H530" s="3"/>
      <c r="I530" s="5"/>
      <c r="J530" s="3"/>
      <c r="K530" s="5"/>
      <c r="L530" s="3"/>
      <c r="M530" s="5"/>
      <c r="N530" s="5"/>
    </row>
    <row r="531">
      <c r="A531" s="2"/>
      <c r="B531" s="3"/>
      <c r="C531" s="3"/>
      <c r="D531" s="3"/>
      <c r="E531" s="4"/>
      <c r="F531" s="3"/>
      <c r="G531" s="5"/>
      <c r="H531" s="3"/>
      <c r="I531" s="5"/>
      <c r="J531" s="3"/>
      <c r="K531" s="5"/>
      <c r="L531" s="3"/>
      <c r="M531" s="5"/>
      <c r="N531" s="5"/>
    </row>
    <row r="532">
      <c r="A532" s="2"/>
      <c r="B532" s="3"/>
      <c r="C532" s="3"/>
      <c r="D532" s="3"/>
      <c r="E532" s="4"/>
      <c r="F532" s="3"/>
      <c r="G532" s="5"/>
      <c r="H532" s="3"/>
      <c r="I532" s="5"/>
      <c r="J532" s="3"/>
      <c r="K532" s="5"/>
      <c r="L532" s="3"/>
      <c r="M532" s="5"/>
      <c r="N532" s="5"/>
    </row>
    <row r="533">
      <c r="A533" s="2"/>
      <c r="B533" s="3"/>
      <c r="C533" s="3"/>
      <c r="D533" s="3"/>
      <c r="E533" s="4"/>
      <c r="F533" s="3"/>
      <c r="G533" s="5"/>
      <c r="H533" s="3"/>
      <c r="I533" s="5"/>
      <c r="J533" s="3"/>
      <c r="K533" s="5"/>
      <c r="L533" s="3"/>
      <c r="M533" s="5"/>
      <c r="N533" s="5"/>
    </row>
    <row r="534">
      <c r="A534" s="2"/>
      <c r="B534" s="3"/>
      <c r="C534" s="3"/>
      <c r="D534" s="3"/>
      <c r="E534" s="4"/>
      <c r="F534" s="3"/>
      <c r="G534" s="5"/>
      <c r="H534" s="3"/>
      <c r="I534" s="5"/>
      <c r="J534" s="3"/>
      <c r="K534" s="5"/>
      <c r="L534" s="3"/>
      <c r="M534" s="5"/>
      <c r="N534" s="5"/>
    </row>
    <row r="535">
      <c r="A535" s="2"/>
      <c r="B535" s="3"/>
      <c r="C535" s="3"/>
      <c r="D535" s="3"/>
      <c r="E535" s="4"/>
      <c r="F535" s="3"/>
      <c r="G535" s="5"/>
      <c r="H535" s="3"/>
      <c r="I535" s="5"/>
      <c r="J535" s="3"/>
      <c r="K535" s="5"/>
      <c r="L535" s="3"/>
      <c r="M535" s="5"/>
      <c r="N535" s="5"/>
    </row>
    <row r="536">
      <c r="A536" s="2"/>
      <c r="B536" s="3"/>
      <c r="C536" s="3"/>
      <c r="D536" s="3"/>
      <c r="E536" s="4"/>
      <c r="F536" s="3"/>
      <c r="G536" s="5"/>
      <c r="H536" s="3"/>
      <c r="I536" s="5"/>
      <c r="J536" s="3"/>
      <c r="K536" s="5"/>
      <c r="L536" s="3"/>
      <c r="M536" s="5"/>
      <c r="N536" s="5"/>
    </row>
    <row r="537">
      <c r="A537" s="2"/>
      <c r="B537" s="3"/>
      <c r="C537" s="3"/>
      <c r="D537" s="3"/>
      <c r="E537" s="4"/>
      <c r="F537" s="3"/>
      <c r="G537" s="5"/>
      <c r="H537" s="3"/>
      <c r="I537" s="5"/>
      <c r="J537" s="3"/>
      <c r="K537" s="5"/>
      <c r="L537" s="3"/>
      <c r="M537" s="5"/>
      <c r="N537" s="5"/>
    </row>
    <row r="538">
      <c r="A538" s="2"/>
      <c r="B538" s="3"/>
      <c r="C538" s="3"/>
      <c r="D538" s="3"/>
      <c r="E538" s="4"/>
      <c r="F538" s="3"/>
      <c r="G538" s="5"/>
      <c r="H538" s="3"/>
      <c r="I538" s="5"/>
      <c r="J538" s="3"/>
      <c r="K538" s="5"/>
      <c r="L538" s="3"/>
      <c r="M538" s="5"/>
      <c r="N538" s="5"/>
    </row>
    <row r="539">
      <c r="A539" s="2"/>
      <c r="B539" s="3"/>
      <c r="C539" s="3"/>
      <c r="D539" s="3"/>
      <c r="E539" s="4"/>
      <c r="F539" s="3"/>
      <c r="G539" s="5"/>
      <c r="H539" s="3"/>
      <c r="I539" s="5"/>
      <c r="J539" s="3"/>
      <c r="K539" s="5"/>
      <c r="L539" s="3"/>
      <c r="M539" s="5"/>
      <c r="N539" s="5"/>
    </row>
    <row r="540">
      <c r="A540" s="2"/>
      <c r="B540" s="3"/>
      <c r="C540" s="3"/>
      <c r="D540" s="3"/>
      <c r="E540" s="4"/>
      <c r="F540" s="3"/>
      <c r="G540" s="5"/>
      <c r="H540" s="3"/>
      <c r="I540" s="5"/>
      <c r="J540" s="3"/>
      <c r="K540" s="5"/>
      <c r="L540" s="3"/>
      <c r="M540" s="5"/>
      <c r="N540" s="5"/>
    </row>
    <row r="541">
      <c r="A541" s="2"/>
      <c r="B541" s="3"/>
      <c r="C541" s="3"/>
      <c r="D541" s="3"/>
      <c r="E541" s="4"/>
      <c r="F541" s="3"/>
      <c r="G541" s="5"/>
      <c r="H541" s="3"/>
      <c r="I541" s="5"/>
      <c r="J541" s="3"/>
      <c r="K541" s="5"/>
      <c r="L541" s="3"/>
      <c r="M541" s="5"/>
      <c r="N541" s="5"/>
    </row>
    <row r="542">
      <c r="A542" s="2"/>
      <c r="B542" s="3"/>
      <c r="C542" s="3"/>
      <c r="D542" s="3"/>
      <c r="E542" s="4"/>
      <c r="F542" s="3"/>
      <c r="G542" s="5"/>
      <c r="H542" s="3"/>
      <c r="I542" s="5"/>
      <c r="J542" s="3"/>
      <c r="K542" s="5"/>
      <c r="L542" s="3"/>
      <c r="M542" s="5"/>
      <c r="N542" s="5"/>
    </row>
    <row r="543">
      <c r="A543" s="2"/>
      <c r="B543" s="3"/>
      <c r="C543" s="3"/>
      <c r="D543" s="3"/>
      <c r="E543" s="4"/>
      <c r="F543" s="3"/>
      <c r="G543" s="5"/>
      <c r="H543" s="3"/>
      <c r="I543" s="5"/>
      <c r="J543" s="3"/>
      <c r="K543" s="5"/>
      <c r="L543" s="3"/>
      <c r="M543" s="5"/>
      <c r="N543" s="5"/>
    </row>
    <row r="544">
      <c r="A544" s="2"/>
      <c r="B544" s="3"/>
      <c r="C544" s="3"/>
      <c r="D544" s="3"/>
      <c r="E544" s="4"/>
      <c r="F544" s="3"/>
      <c r="G544" s="5"/>
      <c r="H544" s="3"/>
      <c r="I544" s="5"/>
      <c r="J544" s="3"/>
      <c r="K544" s="5"/>
      <c r="L544" s="3"/>
      <c r="M544" s="5"/>
      <c r="N544" s="5"/>
    </row>
    <row r="545">
      <c r="A545" s="2"/>
      <c r="B545" s="3"/>
      <c r="C545" s="3"/>
      <c r="D545" s="3"/>
      <c r="E545" s="4"/>
      <c r="F545" s="3"/>
      <c r="G545" s="5"/>
      <c r="H545" s="3"/>
      <c r="I545" s="5"/>
      <c r="J545" s="3"/>
      <c r="K545" s="5"/>
      <c r="L545" s="3"/>
      <c r="M545" s="5"/>
      <c r="N545" s="5"/>
    </row>
    <row r="546">
      <c r="A546" s="2"/>
      <c r="B546" s="3"/>
      <c r="C546" s="3"/>
      <c r="D546" s="3"/>
      <c r="E546" s="4"/>
      <c r="F546" s="3"/>
      <c r="G546" s="5"/>
      <c r="H546" s="3"/>
      <c r="I546" s="5"/>
      <c r="J546" s="3"/>
      <c r="K546" s="5"/>
      <c r="L546" s="3"/>
      <c r="M546" s="5"/>
      <c r="N546" s="5"/>
    </row>
    <row r="547">
      <c r="A547" s="2"/>
      <c r="B547" s="3"/>
      <c r="C547" s="3"/>
      <c r="D547" s="3"/>
      <c r="E547" s="4"/>
      <c r="F547" s="3"/>
      <c r="G547" s="5"/>
      <c r="H547" s="3"/>
      <c r="I547" s="5"/>
      <c r="J547" s="3"/>
      <c r="K547" s="5"/>
      <c r="L547" s="3"/>
      <c r="M547" s="5"/>
      <c r="N547" s="5"/>
    </row>
    <row r="548">
      <c r="A548" s="2"/>
      <c r="B548" s="3"/>
      <c r="C548" s="3"/>
      <c r="D548" s="3"/>
      <c r="E548" s="4"/>
      <c r="F548" s="3"/>
      <c r="G548" s="5"/>
      <c r="H548" s="3"/>
      <c r="I548" s="5"/>
      <c r="J548" s="3"/>
      <c r="K548" s="5"/>
      <c r="L548" s="3"/>
      <c r="M548" s="5"/>
      <c r="N548" s="5"/>
    </row>
    <row r="549">
      <c r="A549" s="2"/>
      <c r="B549" s="3"/>
      <c r="C549" s="3"/>
      <c r="D549" s="3"/>
      <c r="E549" s="4"/>
      <c r="F549" s="3"/>
      <c r="G549" s="5"/>
      <c r="H549" s="3"/>
      <c r="I549" s="5"/>
      <c r="J549" s="3"/>
      <c r="K549" s="5"/>
      <c r="L549" s="3"/>
      <c r="M549" s="5"/>
      <c r="N549" s="5"/>
    </row>
    <row r="550">
      <c r="A550" s="2"/>
      <c r="B550" s="3"/>
      <c r="C550" s="3"/>
      <c r="D550" s="3"/>
      <c r="E550" s="4"/>
      <c r="F550" s="3"/>
      <c r="G550" s="5"/>
      <c r="H550" s="3"/>
      <c r="I550" s="5"/>
      <c r="J550" s="3"/>
      <c r="K550" s="5"/>
      <c r="L550" s="3"/>
      <c r="M550" s="5"/>
      <c r="N550" s="5"/>
    </row>
    <row r="551">
      <c r="A551" s="2"/>
      <c r="B551" s="3"/>
      <c r="C551" s="3"/>
      <c r="D551" s="3"/>
      <c r="E551" s="4"/>
      <c r="F551" s="3"/>
      <c r="G551" s="5"/>
      <c r="H551" s="3"/>
      <c r="I551" s="5"/>
      <c r="J551" s="3"/>
      <c r="K551" s="5"/>
      <c r="L551" s="3"/>
      <c r="M551" s="5"/>
      <c r="N551" s="5"/>
    </row>
    <row r="552">
      <c r="A552" s="2"/>
      <c r="B552" s="3"/>
      <c r="C552" s="3"/>
      <c r="D552" s="3"/>
      <c r="E552" s="4"/>
      <c r="F552" s="3"/>
      <c r="G552" s="5"/>
      <c r="H552" s="3"/>
      <c r="I552" s="5"/>
      <c r="J552" s="3"/>
      <c r="K552" s="5"/>
      <c r="L552" s="3"/>
      <c r="M552" s="5"/>
      <c r="N552" s="5"/>
    </row>
    <row r="553">
      <c r="A553" s="2"/>
      <c r="B553" s="3"/>
      <c r="C553" s="3"/>
      <c r="D553" s="3"/>
      <c r="E553" s="4"/>
      <c r="F553" s="3"/>
      <c r="G553" s="5"/>
      <c r="H553" s="3"/>
      <c r="I553" s="5"/>
      <c r="J553" s="3"/>
      <c r="K553" s="5"/>
      <c r="L553" s="3"/>
      <c r="M553" s="5"/>
      <c r="N553" s="5"/>
    </row>
    <row r="554">
      <c r="A554" s="2"/>
      <c r="B554" s="3"/>
      <c r="C554" s="3"/>
      <c r="D554" s="3"/>
      <c r="E554" s="4"/>
      <c r="F554" s="3"/>
      <c r="G554" s="5"/>
      <c r="H554" s="3"/>
      <c r="I554" s="5"/>
      <c r="J554" s="3"/>
      <c r="K554" s="5"/>
      <c r="L554" s="3"/>
      <c r="M554" s="5"/>
      <c r="N554" s="5"/>
    </row>
    <row r="555">
      <c r="A555" s="2"/>
      <c r="B555" s="3"/>
      <c r="C555" s="3"/>
      <c r="D555" s="3"/>
      <c r="E555" s="4"/>
      <c r="F555" s="3"/>
      <c r="G555" s="5"/>
      <c r="H555" s="3"/>
      <c r="I555" s="5"/>
      <c r="J555" s="3"/>
      <c r="K555" s="5"/>
      <c r="L555" s="3"/>
      <c r="M555" s="5"/>
      <c r="N555" s="5"/>
    </row>
    <row r="556">
      <c r="A556" s="2"/>
      <c r="B556" s="3"/>
      <c r="C556" s="3"/>
      <c r="D556" s="3"/>
      <c r="E556" s="4"/>
      <c r="F556" s="3"/>
      <c r="G556" s="5"/>
      <c r="H556" s="3"/>
      <c r="I556" s="5"/>
      <c r="J556" s="3"/>
      <c r="K556" s="5"/>
      <c r="L556" s="3"/>
      <c r="M556" s="5"/>
      <c r="N556" s="5"/>
    </row>
    <row r="557">
      <c r="A557" s="2"/>
      <c r="B557" s="3"/>
      <c r="C557" s="3"/>
      <c r="D557" s="3"/>
      <c r="E557" s="4"/>
      <c r="F557" s="3"/>
      <c r="G557" s="5"/>
      <c r="H557" s="3"/>
      <c r="I557" s="5"/>
      <c r="J557" s="3"/>
      <c r="K557" s="5"/>
      <c r="L557" s="3"/>
      <c r="M557" s="5"/>
      <c r="N557" s="5"/>
    </row>
    <row r="558">
      <c r="A558" s="2"/>
      <c r="B558" s="3"/>
      <c r="C558" s="3"/>
      <c r="D558" s="3"/>
      <c r="E558" s="4"/>
      <c r="F558" s="3"/>
      <c r="G558" s="5"/>
      <c r="H558" s="3"/>
      <c r="I558" s="5"/>
      <c r="J558" s="3"/>
      <c r="K558" s="5"/>
      <c r="L558" s="3"/>
      <c r="M558" s="5"/>
      <c r="N558" s="5"/>
    </row>
    <row r="559">
      <c r="A559" s="2"/>
      <c r="B559" s="3"/>
      <c r="C559" s="3"/>
      <c r="D559" s="3"/>
      <c r="E559" s="4"/>
      <c r="F559" s="3"/>
      <c r="G559" s="5"/>
      <c r="H559" s="3"/>
      <c r="I559" s="5"/>
      <c r="J559" s="3"/>
      <c r="K559" s="5"/>
      <c r="L559" s="3"/>
      <c r="M559" s="5"/>
      <c r="N559" s="5"/>
    </row>
    <row r="560">
      <c r="A560" s="2"/>
      <c r="B560" s="3"/>
      <c r="C560" s="3"/>
      <c r="D560" s="3"/>
      <c r="E560" s="4"/>
      <c r="F560" s="3"/>
      <c r="G560" s="5"/>
      <c r="H560" s="3"/>
      <c r="I560" s="5"/>
      <c r="J560" s="3"/>
      <c r="K560" s="5"/>
      <c r="L560" s="3"/>
      <c r="M560" s="5"/>
      <c r="N560" s="5"/>
    </row>
    <row r="561">
      <c r="A561" s="2"/>
      <c r="B561" s="3"/>
      <c r="C561" s="3"/>
      <c r="D561" s="3"/>
      <c r="E561" s="4"/>
      <c r="F561" s="3"/>
      <c r="G561" s="5"/>
      <c r="H561" s="3"/>
      <c r="I561" s="5"/>
      <c r="J561" s="3"/>
      <c r="K561" s="5"/>
      <c r="L561" s="3"/>
      <c r="M561" s="5"/>
      <c r="N561" s="5"/>
    </row>
    <row r="562">
      <c r="A562" s="2"/>
      <c r="B562" s="3"/>
      <c r="C562" s="3"/>
      <c r="D562" s="3"/>
      <c r="E562" s="4"/>
      <c r="F562" s="3"/>
      <c r="G562" s="5"/>
      <c r="H562" s="3"/>
      <c r="I562" s="5"/>
      <c r="J562" s="3"/>
      <c r="K562" s="5"/>
      <c r="L562" s="3"/>
      <c r="M562" s="5"/>
      <c r="N562" s="5"/>
    </row>
    <row r="563">
      <c r="A563" s="2"/>
      <c r="B563" s="3"/>
      <c r="C563" s="3"/>
      <c r="D563" s="3"/>
      <c r="E563" s="4"/>
      <c r="F563" s="3"/>
      <c r="G563" s="5"/>
      <c r="H563" s="3"/>
      <c r="I563" s="5"/>
      <c r="J563" s="3"/>
      <c r="K563" s="5"/>
      <c r="L563" s="3"/>
      <c r="M563" s="5"/>
      <c r="N563" s="5"/>
    </row>
    <row r="564">
      <c r="A564" s="2"/>
      <c r="B564" s="3"/>
      <c r="C564" s="3"/>
      <c r="D564" s="3"/>
      <c r="E564" s="4"/>
      <c r="F564" s="3"/>
      <c r="G564" s="5"/>
      <c r="H564" s="3"/>
      <c r="I564" s="5"/>
      <c r="J564" s="3"/>
      <c r="K564" s="5"/>
      <c r="L564" s="3"/>
      <c r="M564" s="5"/>
      <c r="N564" s="5"/>
    </row>
    <row r="565">
      <c r="A565" s="2"/>
      <c r="B565" s="3"/>
      <c r="C565" s="3"/>
      <c r="D565" s="3"/>
      <c r="E565" s="4"/>
      <c r="F565" s="3"/>
      <c r="G565" s="5"/>
      <c r="H565" s="3"/>
      <c r="I565" s="5"/>
      <c r="J565" s="3"/>
      <c r="K565" s="5"/>
      <c r="L565" s="3"/>
      <c r="M565" s="5"/>
      <c r="N565" s="5"/>
    </row>
    <row r="566">
      <c r="A566" s="2"/>
      <c r="B566" s="3"/>
      <c r="C566" s="3"/>
      <c r="D566" s="3"/>
      <c r="E566" s="4"/>
      <c r="F566" s="3"/>
      <c r="G566" s="5"/>
      <c r="H566" s="3"/>
      <c r="I566" s="5"/>
      <c r="J566" s="3"/>
      <c r="K566" s="5"/>
      <c r="L566" s="3"/>
      <c r="M566" s="5"/>
      <c r="N566" s="5"/>
    </row>
    <row r="567">
      <c r="A567" s="2"/>
      <c r="B567" s="3"/>
      <c r="C567" s="3"/>
      <c r="D567" s="3"/>
      <c r="E567" s="4"/>
      <c r="F567" s="3"/>
      <c r="G567" s="5"/>
      <c r="H567" s="3"/>
      <c r="I567" s="5"/>
      <c r="J567" s="3"/>
      <c r="K567" s="5"/>
      <c r="L567" s="3"/>
      <c r="M567" s="5"/>
      <c r="N567" s="5"/>
    </row>
    <row r="568">
      <c r="A568" s="2"/>
      <c r="B568" s="3"/>
      <c r="C568" s="3"/>
      <c r="D568" s="3"/>
      <c r="E568" s="4"/>
      <c r="F568" s="3"/>
      <c r="G568" s="5"/>
      <c r="H568" s="3"/>
      <c r="I568" s="5"/>
      <c r="J568" s="3"/>
      <c r="K568" s="5"/>
      <c r="L568" s="3"/>
      <c r="M568" s="5"/>
      <c r="N568" s="5"/>
    </row>
    <row r="569">
      <c r="A569" s="2"/>
      <c r="B569" s="3"/>
      <c r="C569" s="3"/>
      <c r="D569" s="3"/>
      <c r="E569" s="4"/>
      <c r="F569" s="3"/>
      <c r="G569" s="5"/>
      <c r="H569" s="3"/>
      <c r="I569" s="5"/>
      <c r="J569" s="3"/>
      <c r="K569" s="5"/>
      <c r="L569" s="3"/>
      <c r="M569" s="5"/>
      <c r="N569" s="5"/>
    </row>
    <row r="570">
      <c r="A570" s="2"/>
      <c r="B570" s="3"/>
      <c r="C570" s="3"/>
      <c r="D570" s="3"/>
      <c r="E570" s="4"/>
      <c r="F570" s="3"/>
      <c r="G570" s="5"/>
      <c r="H570" s="3"/>
      <c r="I570" s="5"/>
      <c r="J570" s="3"/>
      <c r="K570" s="5"/>
      <c r="L570" s="3"/>
      <c r="M570" s="5"/>
      <c r="N570" s="5"/>
    </row>
    <row r="571">
      <c r="A571" s="2"/>
      <c r="B571" s="3"/>
      <c r="C571" s="3"/>
      <c r="D571" s="3"/>
      <c r="E571" s="4"/>
      <c r="F571" s="3"/>
      <c r="G571" s="5"/>
      <c r="H571" s="3"/>
      <c r="I571" s="5"/>
      <c r="J571" s="3"/>
      <c r="K571" s="5"/>
      <c r="L571" s="3"/>
      <c r="M571" s="5"/>
      <c r="N571" s="5"/>
    </row>
    <row r="572">
      <c r="A572" s="2"/>
      <c r="B572" s="3"/>
      <c r="C572" s="3"/>
      <c r="D572" s="3"/>
      <c r="E572" s="4"/>
      <c r="F572" s="3"/>
      <c r="G572" s="5"/>
      <c r="H572" s="3"/>
      <c r="I572" s="5"/>
      <c r="J572" s="3"/>
      <c r="K572" s="5"/>
      <c r="L572" s="3"/>
      <c r="M572" s="5"/>
      <c r="N572" s="5"/>
    </row>
    <row r="573">
      <c r="A573" s="2"/>
      <c r="B573" s="3"/>
      <c r="C573" s="3"/>
      <c r="D573" s="3"/>
      <c r="E573" s="4"/>
      <c r="F573" s="3"/>
      <c r="G573" s="5"/>
      <c r="H573" s="3"/>
      <c r="I573" s="5"/>
      <c r="J573" s="3"/>
      <c r="K573" s="5"/>
      <c r="L573" s="3"/>
      <c r="M573" s="5"/>
      <c r="N573" s="5"/>
    </row>
    <row r="574">
      <c r="A574" s="2"/>
      <c r="B574" s="3"/>
      <c r="C574" s="3"/>
      <c r="D574" s="3"/>
      <c r="E574" s="4"/>
      <c r="F574" s="3"/>
      <c r="G574" s="5"/>
      <c r="H574" s="3"/>
      <c r="I574" s="5"/>
      <c r="J574" s="3"/>
      <c r="K574" s="5"/>
      <c r="L574" s="3"/>
      <c r="M574" s="5"/>
      <c r="N574" s="5"/>
    </row>
    <row r="575">
      <c r="A575" s="2"/>
      <c r="B575" s="3"/>
      <c r="C575" s="3"/>
      <c r="D575" s="3"/>
      <c r="E575" s="4"/>
      <c r="F575" s="3"/>
      <c r="G575" s="5"/>
      <c r="H575" s="3"/>
      <c r="I575" s="5"/>
      <c r="J575" s="3"/>
      <c r="K575" s="5"/>
      <c r="L575" s="3"/>
      <c r="M575" s="5"/>
      <c r="N575" s="5"/>
    </row>
    <row r="576">
      <c r="A576" s="2"/>
      <c r="B576" s="3"/>
      <c r="C576" s="3"/>
      <c r="D576" s="3"/>
      <c r="E576" s="4"/>
      <c r="F576" s="3"/>
      <c r="G576" s="5"/>
      <c r="H576" s="3"/>
      <c r="I576" s="5"/>
      <c r="J576" s="3"/>
      <c r="K576" s="5"/>
      <c r="L576" s="3"/>
      <c r="M576" s="5"/>
      <c r="N576" s="5"/>
    </row>
    <row r="577">
      <c r="A577" s="2"/>
      <c r="B577" s="3"/>
      <c r="C577" s="3"/>
      <c r="D577" s="3"/>
      <c r="E577" s="4"/>
      <c r="F577" s="3"/>
      <c r="G577" s="5"/>
      <c r="H577" s="3"/>
      <c r="I577" s="5"/>
      <c r="J577" s="3"/>
      <c r="K577" s="5"/>
      <c r="L577" s="3"/>
      <c r="M577" s="5"/>
      <c r="N577" s="5"/>
    </row>
    <row r="578">
      <c r="A578" s="2"/>
      <c r="B578" s="3"/>
      <c r="C578" s="3"/>
      <c r="D578" s="3"/>
      <c r="E578" s="4"/>
      <c r="F578" s="3"/>
      <c r="G578" s="5"/>
      <c r="H578" s="3"/>
      <c r="I578" s="5"/>
      <c r="J578" s="3"/>
      <c r="K578" s="5"/>
      <c r="L578" s="3"/>
      <c r="M578" s="5"/>
      <c r="N578" s="5"/>
    </row>
    <row r="579">
      <c r="A579" s="2"/>
      <c r="B579" s="3"/>
      <c r="C579" s="3"/>
      <c r="D579" s="3"/>
      <c r="E579" s="4"/>
      <c r="F579" s="3"/>
      <c r="G579" s="5"/>
      <c r="H579" s="3"/>
      <c r="I579" s="5"/>
      <c r="J579" s="3"/>
      <c r="K579" s="5"/>
      <c r="L579" s="3"/>
      <c r="M579" s="5"/>
      <c r="N579" s="5"/>
    </row>
    <row r="580">
      <c r="A580" s="2"/>
      <c r="B580" s="3"/>
      <c r="C580" s="3"/>
      <c r="D580" s="3"/>
      <c r="E580" s="4"/>
      <c r="F580" s="3"/>
      <c r="G580" s="5"/>
      <c r="H580" s="3"/>
      <c r="I580" s="5"/>
      <c r="J580" s="3"/>
      <c r="K580" s="5"/>
      <c r="L580" s="3"/>
      <c r="M580" s="5"/>
      <c r="N580" s="5"/>
    </row>
    <row r="581">
      <c r="A581" s="2"/>
      <c r="B581" s="3"/>
      <c r="C581" s="3"/>
      <c r="D581" s="3"/>
      <c r="E581" s="4"/>
      <c r="F581" s="3"/>
      <c r="G581" s="5"/>
      <c r="H581" s="3"/>
      <c r="I581" s="5"/>
      <c r="J581" s="3"/>
      <c r="K581" s="5"/>
      <c r="L581" s="3"/>
      <c r="M581" s="5"/>
      <c r="N581" s="5"/>
    </row>
    <row r="582">
      <c r="A582" s="2"/>
      <c r="B582" s="3"/>
      <c r="C582" s="3"/>
      <c r="D582" s="3"/>
      <c r="E582" s="4"/>
      <c r="F582" s="3"/>
      <c r="G582" s="5"/>
      <c r="H582" s="3"/>
      <c r="I582" s="5"/>
      <c r="J582" s="3"/>
      <c r="K582" s="5"/>
      <c r="L582" s="3"/>
      <c r="M582" s="5"/>
      <c r="N582" s="5"/>
    </row>
    <row r="583">
      <c r="A583" s="2"/>
      <c r="B583" s="3"/>
      <c r="C583" s="3"/>
      <c r="D583" s="3"/>
      <c r="E583" s="4"/>
      <c r="F583" s="3"/>
      <c r="G583" s="5"/>
      <c r="H583" s="3"/>
      <c r="I583" s="5"/>
      <c r="J583" s="3"/>
      <c r="K583" s="5"/>
      <c r="L583" s="3"/>
      <c r="M583" s="5"/>
      <c r="N583" s="5"/>
    </row>
    <row r="584">
      <c r="A584" s="2"/>
      <c r="B584" s="3"/>
      <c r="C584" s="3"/>
      <c r="D584" s="3"/>
      <c r="E584" s="4"/>
      <c r="F584" s="3"/>
      <c r="G584" s="5"/>
      <c r="H584" s="3"/>
      <c r="I584" s="5"/>
      <c r="J584" s="3"/>
      <c r="K584" s="5"/>
      <c r="L584" s="3"/>
      <c r="M584" s="5"/>
      <c r="N584" s="5"/>
    </row>
    <row r="585">
      <c r="A585" s="2"/>
      <c r="B585" s="3"/>
      <c r="C585" s="3"/>
      <c r="D585" s="3"/>
      <c r="E585" s="4"/>
      <c r="F585" s="3"/>
      <c r="G585" s="5"/>
      <c r="H585" s="3"/>
      <c r="I585" s="5"/>
      <c r="J585" s="3"/>
      <c r="K585" s="5"/>
      <c r="L585" s="3"/>
      <c r="M585" s="5"/>
      <c r="N585" s="5"/>
    </row>
    <row r="586">
      <c r="A586" s="2"/>
      <c r="B586" s="3"/>
      <c r="C586" s="3"/>
      <c r="D586" s="3"/>
      <c r="E586" s="4"/>
      <c r="F586" s="3"/>
      <c r="G586" s="5"/>
      <c r="H586" s="3"/>
      <c r="I586" s="5"/>
      <c r="J586" s="3"/>
      <c r="K586" s="5"/>
      <c r="L586" s="3"/>
      <c r="M586" s="5"/>
      <c r="N586" s="5"/>
    </row>
    <row r="587">
      <c r="A587" s="2"/>
      <c r="B587" s="3"/>
      <c r="C587" s="3"/>
      <c r="D587" s="3"/>
      <c r="E587" s="4"/>
      <c r="F587" s="3"/>
      <c r="G587" s="5"/>
      <c r="H587" s="3"/>
      <c r="I587" s="5"/>
      <c r="J587" s="3"/>
      <c r="K587" s="5"/>
      <c r="L587" s="3"/>
      <c r="M587" s="5"/>
      <c r="N587" s="5"/>
    </row>
    <row r="588">
      <c r="A588" s="2"/>
      <c r="B588" s="3"/>
      <c r="C588" s="3"/>
      <c r="D588" s="3"/>
      <c r="E588" s="4"/>
      <c r="F588" s="3"/>
      <c r="G588" s="5"/>
      <c r="H588" s="3"/>
      <c r="I588" s="5"/>
      <c r="J588" s="3"/>
      <c r="K588" s="5"/>
      <c r="L588" s="3"/>
      <c r="M588" s="5"/>
      <c r="N588" s="5"/>
    </row>
    <row r="589">
      <c r="A589" s="2"/>
      <c r="B589" s="3"/>
      <c r="C589" s="3"/>
      <c r="D589" s="3"/>
      <c r="E589" s="4"/>
      <c r="F589" s="3"/>
      <c r="G589" s="5"/>
      <c r="H589" s="3"/>
      <c r="I589" s="5"/>
      <c r="J589" s="3"/>
      <c r="K589" s="5"/>
      <c r="L589" s="3"/>
      <c r="M589" s="5"/>
      <c r="N589" s="5"/>
    </row>
    <row r="590">
      <c r="A590" s="2"/>
      <c r="B590" s="3"/>
      <c r="C590" s="3"/>
      <c r="D590" s="3"/>
      <c r="E590" s="4"/>
      <c r="F590" s="3"/>
      <c r="G590" s="5"/>
      <c r="H590" s="3"/>
      <c r="I590" s="5"/>
      <c r="J590" s="3"/>
      <c r="K590" s="5"/>
      <c r="L590" s="3"/>
      <c r="M590" s="5"/>
      <c r="N590" s="5"/>
    </row>
    <row r="591">
      <c r="A591" s="2"/>
      <c r="B591" s="3"/>
      <c r="C591" s="3"/>
      <c r="D591" s="3"/>
      <c r="E591" s="4"/>
      <c r="F591" s="3"/>
      <c r="G591" s="5"/>
      <c r="H591" s="3"/>
      <c r="I591" s="5"/>
      <c r="J591" s="3"/>
      <c r="K591" s="5"/>
      <c r="L591" s="3"/>
      <c r="M591" s="5"/>
      <c r="N591" s="5"/>
    </row>
    <row r="592">
      <c r="A592" s="2"/>
      <c r="B592" s="3"/>
      <c r="C592" s="3"/>
      <c r="D592" s="3"/>
      <c r="E592" s="4"/>
      <c r="F592" s="3"/>
      <c r="G592" s="5"/>
      <c r="H592" s="3"/>
      <c r="I592" s="5"/>
      <c r="J592" s="3"/>
      <c r="K592" s="5"/>
      <c r="L592" s="3"/>
      <c r="M592" s="5"/>
      <c r="N592" s="5"/>
    </row>
    <row r="593">
      <c r="A593" s="2"/>
      <c r="B593" s="3"/>
      <c r="C593" s="3"/>
      <c r="D593" s="3"/>
      <c r="E593" s="4"/>
      <c r="F593" s="3"/>
      <c r="G593" s="5"/>
      <c r="H593" s="3"/>
      <c r="I593" s="5"/>
      <c r="J593" s="3"/>
      <c r="K593" s="5"/>
      <c r="L593" s="3"/>
      <c r="M593" s="5"/>
      <c r="N593" s="5"/>
    </row>
    <row r="594">
      <c r="A594" s="2"/>
      <c r="B594" s="3"/>
      <c r="C594" s="3"/>
      <c r="D594" s="3"/>
      <c r="E594" s="4"/>
      <c r="F594" s="3"/>
      <c r="G594" s="5"/>
      <c r="H594" s="3"/>
      <c r="I594" s="5"/>
      <c r="J594" s="3"/>
      <c r="K594" s="5"/>
      <c r="L594" s="3"/>
      <c r="M594" s="5"/>
      <c r="N594" s="5"/>
    </row>
    <row r="595">
      <c r="A595" s="2"/>
      <c r="B595" s="3"/>
      <c r="C595" s="3"/>
      <c r="D595" s="3"/>
      <c r="E595" s="4"/>
      <c r="F595" s="3"/>
      <c r="G595" s="5"/>
      <c r="H595" s="3"/>
      <c r="I595" s="5"/>
      <c r="J595" s="3"/>
      <c r="K595" s="5"/>
      <c r="L595" s="3"/>
      <c r="M595" s="5"/>
      <c r="N595" s="5"/>
    </row>
    <row r="596">
      <c r="A596" s="2"/>
      <c r="B596" s="3"/>
      <c r="C596" s="3"/>
      <c r="D596" s="3"/>
      <c r="E596" s="4"/>
      <c r="F596" s="3"/>
      <c r="G596" s="5"/>
      <c r="H596" s="3"/>
      <c r="I596" s="5"/>
      <c r="J596" s="3"/>
      <c r="K596" s="5"/>
      <c r="L596" s="3"/>
      <c r="M596" s="5"/>
      <c r="N596" s="5"/>
    </row>
    <row r="597">
      <c r="A597" s="2"/>
      <c r="B597" s="3"/>
      <c r="C597" s="3"/>
      <c r="D597" s="3"/>
      <c r="E597" s="4"/>
      <c r="F597" s="3"/>
      <c r="G597" s="5"/>
      <c r="H597" s="3"/>
      <c r="I597" s="5"/>
      <c r="J597" s="3"/>
      <c r="K597" s="5"/>
      <c r="L597" s="3"/>
      <c r="M597" s="5"/>
      <c r="N597" s="5"/>
    </row>
    <row r="598">
      <c r="A598" s="2"/>
      <c r="B598" s="3"/>
      <c r="C598" s="3"/>
      <c r="D598" s="3"/>
      <c r="E598" s="4"/>
      <c r="F598" s="3"/>
      <c r="G598" s="5"/>
      <c r="H598" s="3"/>
      <c r="I598" s="5"/>
      <c r="J598" s="3"/>
      <c r="K598" s="5"/>
      <c r="L598" s="3"/>
      <c r="M598" s="5"/>
      <c r="N598" s="5"/>
    </row>
    <row r="599">
      <c r="A599" s="2"/>
      <c r="B599" s="3"/>
      <c r="C599" s="3"/>
      <c r="D599" s="3"/>
      <c r="E599" s="4"/>
      <c r="F599" s="3"/>
      <c r="G599" s="5"/>
      <c r="H599" s="3"/>
      <c r="I599" s="5"/>
      <c r="J599" s="3"/>
      <c r="K599" s="5"/>
      <c r="L599" s="3"/>
      <c r="M599" s="5"/>
      <c r="N599" s="5"/>
    </row>
    <row r="600">
      <c r="A600" s="2"/>
      <c r="B600" s="3"/>
      <c r="C600" s="3"/>
      <c r="D600" s="3"/>
      <c r="E600" s="4"/>
      <c r="F600" s="3"/>
      <c r="G600" s="5"/>
      <c r="H600" s="3"/>
      <c r="I600" s="5"/>
      <c r="J600" s="3"/>
      <c r="K600" s="5"/>
      <c r="L600" s="3"/>
      <c r="M600" s="5"/>
      <c r="N600" s="5"/>
    </row>
    <row r="601">
      <c r="A601" s="2"/>
      <c r="B601" s="3"/>
      <c r="C601" s="3"/>
      <c r="D601" s="3"/>
      <c r="E601" s="4"/>
      <c r="F601" s="3"/>
      <c r="G601" s="5"/>
      <c r="H601" s="3"/>
      <c r="I601" s="5"/>
      <c r="J601" s="3"/>
      <c r="K601" s="5"/>
      <c r="L601" s="3"/>
      <c r="M601" s="5"/>
      <c r="N601" s="5"/>
    </row>
    <row r="602">
      <c r="A602" s="2"/>
      <c r="B602" s="3"/>
      <c r="C602" s="3"/>
      <c r="D602" s="3"/>
      <c r="E602" s="4"/>
      <c r="F602" s="3"/>
      <c r="G602" s="5"/>
      <c r="H602" s="3"/>
      <c r="I602" s="5"/>
      <c r="J602" s="3"/>
      <c r="K602" s="5"/>
      <c r="L602" s="3"/>
      <c r="M602" s="5"/>
      <c r="N602" s="5"/>
    </row>
    <row r="603">
      <c r="A603" s="2"/>
      <c r="B603" s="3"/>
      <c r="C603" s="3"/>
      <c r="D603" s="3"/>
      <c r="E603" s="4"/>
      <c r="F603" s="3"/>
      <c r="G603" s="5"/>
      <c r="H603" s="3"/>
      <c r="I603" s="5"/>
      <c r="J603" s="3"/>
      <c r="K603" s="5"/>
      <c r="L603" s="3"/>
      <c r="M603" s="5"/>
      <c r="N603" s="5"/>
    </row>
    <row r="604">
      <c r="A604" s="2"/>
      <c r="B604" s="3"/>
      <c r="C604" s="3"/>
      <c r="D604" s="3"/>
      <c r="E604" s="4"/>
      <c r="F604" s="3"/>
      <c r="G604" s="5"/>
      <c r="H604" s="3"/>
      <c r="I604" s="5"/>
      <c r="J604" s="3"/>
      <c r="K604" s="5"/>
      <c r="L604" s="3"/>
      <c r="M604" s="5"/>
      <c r="N604" s="5"/>
    </row>
    <row r="605">
      <c r="A605" s="2"/>
      <c r="B605" s="3"/>
      <c r="C605" s="3"/>
      <c r="D605" s="3"/>
      <c r="E605" s="4"/>
      <c r="F605" s="3"/>
      <c r="G605" s="5"/>
      <c r="H605" s="3"/>
      <c r="I605" s="5"/>
      <c r="J605" s="3"/>
      <c r="K605" s="5"/>
      <c r="L605" s="3"/>
      <c r="M605" s="5"/>
      <c r="N605" s="5"/>
    </row>
    <row r="606">
      <c r="A606" s="2"/>
      <c r="B606" s="3"/>
      <c r="C606" s="3"/>
      <c r="D606" s="3"/>
      <c r="E606" s="4"/>
      <c r="F606" s="3"/>
      <c r="G606" s="5"/>
      <c r="H606" s="3"/>
      <c r="I606" s="5"/>
      <c r="J606" s="3"/>
      <c r="K606" s="5"/>
      <c r="L606" s="3"/>
      <c r="M606" s="5"/>
      <c r="N606" s="5"/>
    </row>
    <row r="607">
      <c r="A607" s="2"/>
      <c r="B607" s="3"/>
      <c r="C607" s="3"/>
      <c r="D607" s="3"/>
      <c r="E607" s="4"/>
      <c r="F607" s="3"/>
      <c r="G607" s="5"/>
      <c r="H607" s="3"/>
      <c r="I607" s="5"/>
      <c r="J607" s="3"/>
      <c r="K607" s="5"/>
      <c r="L607" s="3"/>
      <c r="M607" s="5"/>
      <c r="N607" s="5"/>
    </row>
    <row r="608">
      <c r="A608" s="2"/>
      <c r="B608" s="3"/>
      <c r="C608" s="3"/>
      <c r="D608" s="3"/>
      <c r="E608" s="4"/>
      <c r="F608" s="3"/>
      <c r="G608" s="5"/>
      <c r="H608" s="3"/>
      <c r="I608" s="5"/>
      <c r="J608" s="3"/>
      <c r="K608" s="5"/>
      <c r="L608" s="3"/>
      <c r="M608" s="5"/>
      <c r="N608" s="5"/>
    </row>
    <row r="609">
      <c r="A609" s="2"/>
      <c r="B609" s="3"/>
      <c r="C609" s="3"/>
      <c r="D609" s="3"/>
      <c r="E609" s="4"/>
      <c r="F609" s="3"/>
      <c r="G609" s="5"/>
      <c r="H609" s="3"/>
      <c r="I609" s="5"/>
      <c r="J609" s="3"/>
      <c r="K609" s="5"/>
      <c r="L609" s="3"/>
      <c r="M609" s="5"/>
      <c r="N609" s="5"/>
    </row>
    <row r="610">
      <c r="A610" s="2"/>
      <c r="B610" s="3"/>
      <c r="C610" s="3"/>
      <c r="D610" s="3"/>
      <c r="E610" s="4"/>
      <c r="F610" s="3"/>
      <c r="G610" s="5"/>
      <c r="H610" s="3"/>
      <c r="I610" s="5"/>
      <c r="J610" s="3"/>
      <c r="K610" s="5"/>
      <c r="L610" s="3"/>
      <c r="M610" s="5"/>
      <c r="N610" s="5"/>
    </row>
    <row r="611">
      <c r="A611" s="2"/>
      <c r="B611" s="3"/>
      <c r="C611" s="3"/>
      <c r="D611" s="3"/>
      <c r="E611" s="4"/>
      <c r="F611" s="3"/>
      <c r="G611" s="5"/>
      <c r="H611" s="3"/>
      <c r="I611" s="5"/>
      <c r="J611" s="3"/>
      <c r="K611" s="5"/>
      <c r="L611" s="3"/>
      <c r="M611" s="5"/>
      <c r="N611" s="5"/>
    </row>
    <row r="612">
      <c r="A612" s="2"/>
      <c r="B612" s="3"/>
      <c r="C612" s="3"/>
      <c r="D612" s="3"/>
      <c r="E612" s="4"/>
      <c r="F612" s="3"/>
      <c r="G612" s="5"/>
      <c r="H612" s="3"/>
      <c r="I612" s="5"/>
      <c r="J612" s="3"/>
      <c r="K612" s="5"/>
      <c r="L612" s="3"/>
      <c r="M612" s="5"/>
      <c r="N612" s="5"/>
    </row>
    <row r="613">
      <c r="A613" s="2"/>
      <c r="B613" s="3"/>
      <c r="C613" s="3"/>
      <c r="D613" s="3"/>
      <c r="E613" s="4"/>
      <c r="F613" s="3"/>
      <c r="G613" s="5"/>
      <c r="H613" s="3"/>
      <c r="I613" s="5"/>
      <c r="J613" s="3"/>
      <c r="K613" s="5"/>
      <c r="L613" s="3"/>
      <c r="M613" s="5"/>
      <c r="N613" s="5"/>
    </row>
    <row r="614">
      <c r="A614" s="2"/>
      <c r="B614" s="3"/>
      <c r="C614" s="3"/>
      <c r="D614" s="3"/>
      <c r="E614" s="4"/>
      <c r="F614" s="3"/>
      <c r="G614" s="5"/>
      <c r="H614" s="3"/>
      <c r="I614" s="5"/>
      <c r="J614" s="3"/>
      <c r="K614" s="5"/>
      <c r="L614" s="3"/>
      <c r="M614" s="5"/>
      <c r="N614" s="5"/>
    </row>
    <row r="615">
      <c r="A615" s="2"/>
      <c r="B615" s="3"/>
      <c r="C615" s="3"/>
      <c r="D615" s="3"/>
      <c r="E615" s="4"/>
      <c r="F615" s="3"/>
      <c r="G615" s="5"/>
      <c r="H615" s="3"/>
      <c r="I615" s="5"/>
      <c r="J615" s="3"/>
      <c r="K615" s="5"/>
      <c r="L615" s="3"/>
      <c r="M615" s="5"/>
      <c r="N615" s="5"/>
    </row>
    <row r="616">
      <c r="A616" s="2"/>
      <c r="B616" s="3"/>
      <c r="C616" s="3"/>
      <c r="D616" s="3"/>
      <c r="E616" s="4"/>
      <c r="F616" s="3"/>
      <c r="G616" s="5"/>
      <c r="H616" s="3"/>
      <c r="I616" s="5"/>
      <c r="J616" s="3"/>
      <c r="K616" s="5"/>
      <c r="L616" s="3"/>
      <c r="M616" s="5"/>
      <c r="N616" s="5"/>
    </row>
    <row r="617">
      <c r="A617" s="2"/>
      <c r="B617" s="3"/>
      <c r="C617" s="3"/>
      <c r="D617" s="3"/>
      <c r="E617" s="4"/>
      <c r="F617" s="3"/>
      <c r="G617" s="5"/>
      <c r="H617" s="3"/>
      <c r="I617" s="5"/>
      <c r="J617" s="3"/>
      <c r="K617" s="5"/>
      <c r="L617" s="3"/>
      <c r="M617" s="5"/>
      <c r="N617" s="5"/>
    </row>
    <row r="618">
      <c r="A618" s="2"/>
      <c r="B618" s="3"/>
      <c r="C618" s="3"/>
      <c r="D618" s="3"/>
      <c r="E618" s="4"/>
      <c r="F618" s="3"/>
      <c r="G618" s="5"/>
      <c r="H618" s="3"/>
      <c r="I618" s="5"/>
      <c r="J618" s="3"/>
      <c r="K618" s="5"/>
      <c r="L618" s="3"/>
      <c r="M618" s="5"/>
      <c r="N618" s="5"/>
    </row>
    <row r="619">
      <c r="A619" s="2"/>
      <c r="B619" s="3"/>
      <c r="C619" s="3"/>
      <c r="D619" s="3"/>
      <c r="E619" s="4"/>
      <c r="F619" s="3"/>
      <c r="G619" s="5"/>
      <c r="H619" s="3"/>
      <c r="I619" s="5"/>
      <c r="J619" s="3"/>
      <c r="K619" s="5"/>
      <c r="L619" s="3"/>
      <c r="M619" s="5"/>
      <c r="N619" s="5"/>
    </row>
    <row r="620">
      <c r="A620" s="2"/>
      <c r="B620" s="3"/>
      <c r="C620" s="3"/>
      <c r="D620" s="3"/>
      <c r="E620" s="4"/>
      <c r="F620" s="3"/>
      <c r="G620" s="5"/>
      <c r="H620" s="3"/>
      <c r="I620" s="5"/>
      <c r="J620" s="3"/>
      <c r="K620" s="5"/>
      <c r="L620" s="3"/>
      <c r="M620" s="5"/>
      <c r="N620" s="5"/>
    </row>
    <row r="621">
      <c r="A621" s="2"/>
      <c r="B621" s="3"/>
      <c r="C621" s="3"/>
      <c r="D621" s="3"/>
      <c r="E621" s="4"/>
      <c r="F621" s="3"/>
      <c r="G621" s="5"/>
      <c r="H621" s="3"/>
      <c r="I621" s="5"/>
      <c r="J621" s="3"/>
      <c r="K621" s="5"/>
      <c r="L621" s="3"/>
      <c r="M621" s="5"/>
      <c r="N621" s="5"/>
    </row>
    <row r="622">
      <c r="A622" s="2"/>
      <c r="B622" s="3"/>
      <c r="C622" s="3"/>
      <c r="D622" s="3"/>
      <c r="E622" s="4"/>
      <c r="F622" s="3"/>
      <c r="G622" s="5"/>
      <c r="H622" s="3"/>
      <c r="I622" s="5"/>
      <c r="J622" s="3"/>
      <c r="K622" s="5"/>
      <c r="L622" s="3"/>
      <c r="M622" s="5"/>
      <c r="N622" s="5"/>
    </row>
    <row r="623">
      <c r="A623" s="2"/>
      <c r="B623" s="3"/>
      <c r="C623" s="3"/>
      <c r="D623" s="3"/>
      <c r="E623" s="4"/>
      <c r="F623" s="3"/>
      <c r="G623" s="5"/>
      <c r="H623" s="3"/>
      <c r="I623" s="5"/>
      <c r="J623" s="3"/>
      <c r="K623" s="5"/>
      <c r="L623" s="3"/>
      <c r="M623" s="5"/>
      <c r="N623" s="5"/>
    </row>
    <row r="624">
      <c r="A624" s="2"/>
      <c r="B624" s="3"/>
      <c r="C624" s="3"/>
      <c r="D624" s="3"/>
      <c r="E624" s="4"/>
      <c r="F624" s="3"/>
      <c r="G624" s="5"/>
      <c r="H624" s="3"/>
      <c r="I624" s="5"/>
      <c r="J624" s="3"/>
      <c r="K624" s="5"/>
      <c r="L624" s="3"/>
      <c r="M624" s="5"/>
      <c r="N624" s="5"/>
    </row>
    <row r="625">
      <c r="A625" s="2"/>
      <c r="B625" s="3"/>
      <c r="C625" s="3"/>
      <c r="D625" s="3"/>
      <c r="E625" s="4"/>
      <c r="F625" s="3"/>
      <c r="G625" s="5"/>
      <c r="H625" s="3"/>
      <c r="I625" s="5"/>
      <c r="J625" s="3"/>
      <c r="K625" s="5"/>
      <c r="L625" s="3"/>
      <c r="M625" s="5"/>
      <c r="N625" s="5"/>
    </row>
    <row r="626">
      <c r="A626" s="2"/>
      <c r="B626" s="3"/>
      <c r="C626" s="3"/>
      <c r="D626" s="3"/>
      <c r="E626" s="4"/>
      <c r="F626" s="3"/>
      <c r="G626" s="5"/>
      <c r="H626" s="3"/>
      <c r="I626" s="5"/>
      <c r="J626" s="3"/>
      <c r="K626" s="5"/>
      <c r="L626" s="3"/>
      <c r="M626" s="5"/>
      <c r="N626" s="5"/>
    </row>
    <row r="627">
      <c r="A627" s="2"/>
      <c r="B627" s="3"/>
      <c r="C627" s="3"/>
      <c r="D627" s="3"/>
      <c r="E627" s="4"/>
      <c r="F627" s="3"/>
      <c r="G627" s="5"/>
      <c r="H627" s="3"/>
      <c r="I627" s="5"/>
      <c r="J627" s="3"/>
      <c r="K627" s="5"/>
      <c r="L627" s="3"/>
      <c r="M627" s="5"/>
      <c r="N627" s="5"/>
    </row>
    <row r="628">
      <c r="A628" s="2"/>
      <c r="B628" s="3"/>
      <c r="C628" s="3"/>
      <c r="D628" s="3"/>
      <c r="E628" s="4"/>
      <c r="F628" s="3"/>
      <c r="G628" s="5"/>
      <c r="H628" s="3"/>
      <c r="I628" s="5"/>
      <c r="J628" s="3"/>
      <c r="K628" s="5"/>
      <c r="L628" s="3"/>
      <c r="M628" s="5"/>
      <c r="N628" s="5"/>
    </row>
    <row r="629">
      <c r="A629" s="2"/>
      <c r="B629" s="3"/>
      <c r="C629" s="3"/>
      <c r="D629" s="3"/>
      <c r="E629" s="4"/>
      <c r="F629" s="3"/>
      <c r="G629" s="5"/>
      <c r="H629" s="3"/>
      <c r="I629" s="5"/>
      <c r="J629" s="3"/>
      <c r="K629" s="5"/>
      <c r="L629" s="3"/>
      <c r="M629" s="5"/>
      <c r="N629" s="5"/>
    </row>
    <row r="630">
      <c r="A630" s="2"/>
      <c r="B630" s="3"/>
      <c r="C630" s="3"/>
      <c r="D630" s="3"/>
      <c r="E630" s="4"/>
      <c r="F630" s="3"/>
      <c r="G630" s="5"/>
      <c r="H630" s="3"/>
      <c r="I630" s="5"/>
      <c r="J630" s="3"/>
      <c r="K630" s="5"/>
      <c r="L630" s="3"/>
      <c r="M630" s="5"/>
      <c r="N630" s="5"/>
    </row>
    <row r="631">
      <c r="A631" s="2"/>
      <c r="B631" s="3"/>
      <c r="C631" s="3"/>
      <c r="D631" s="3"/>
      <c r="E631" s="4"/>
      <c r="F631" s="3"/>
      <c r="G631" s="5"/>
      <c r="H631" s="3"/>
      <c r="I631" s="5"/>
      <c r="J631" s="3"/>
      <c r="K631" s="5"/>
      <c r="L631" s="3"/>
      <c r="M631" s="5"/>
      <c r="N631" s="5"/>
    </row>
    <row r="632">
      <c r="A632" s="2"/>
      <c r="B632" s="3"/>
      <c r="C632" s="3"/>
      <c r="D632" s="3"/>
      <c r="E632" s="4"/>
      <c r="F632" s="3"/>
      <c r="G632" s="5"/>
      <c r="H632" s="3"/>
      <c r="I632" s="5"/>
      <c r="J632" s="3"/>
      <c r="K632" s="5"/>
      <c r="L632" s="3"/>
      <c r="M632" s="5"/>
      <c r="N632" s="5"/>
    </row>
    <row r="633">
      <c r="A633" s="2"/>
      <c r="B633" s="3"/>
      <c r="C633" s="3"/>
      <c r="D633" s="3"/>
      <c r="E633" s="4"/>
      <c r="F633" s="3"/>
      <c r="G633" s="5"/>
      <c r="H633" s="3"/>
      <c r="I633" s="5"/>
      <c r="J633" s="3"/>
      <c r="K633" s="5"/>
      <c r="L633" s="3"/>
      <c r="M633" s="5"/>
      <c r="N633" s="5"/>
    </row>
    <row r="634">
      <c r="A634" s="2"/>
      <c r="B634" s="3"/>
      <c r="C634" s="3"/>
      <c r="D634" s="3"/>
      <c r="E634" s="4"/>
      <c r="F634" s="3"/>
      <c r="G634" s="5"/>
      <c r="H634" s="3"/>
      <c r="I634" s="5"/>
      <c r="J634" s="3"/>
      <c r="K634" s="5"/>
      <c r="L634" s="3"/>
      <c r="M634" s="5"/>
      <c r="N634" s="5"/>
    </row>
    <row r="635">
      <c r="A635" s="2"/>
      <c r="B635" s="3"/>
      <c r="C635" s="3"/>
      <c r="D635" s="3"/>
      <c r="E635" s="4"/>
      <c r="F635" s="3"/>
      <c r="G635" s="5"/>
      <c r="H635" s="3"/>
      <c r="I635" s="5"/>
      <c r="J635" s="3"/>
      <c r="K635" s="5"/>
      <c r="L635" s="3"/>
      <c r="M635" s="5"/>
      <c r="N635" s="5"/>
    </row>
    <row r="636">
      <c r="A636" s="2"/>
      <c r="B636" s="3"/>
      <c r="C636" s="3"/>
      <c r="D636" s="3"/>
      <c r="E636" s="4"/>
      <c r="F636" s="3"/>
      <c r="G636" s="5"/>
      <c r="H636" s="3"/>
      <c r="I636" s="5"/>
      <c r="J636" s="3"/>
      <c r="K636" s="5"/>
      <c r="L636" s="3"/>
      <c r="M636" s="5"/>
      <c r="N636" s="5"/>
    </row>
    <row r="637">
      <c r="A637" s="2"/>
      <c r="B637" s="3"/>
      <c r="C637" s="3"/>
      <c r="D637" s="3"/>
      <c r="E637" s="4"/>
      <c r="F637" s="3"/>
      <c r="G637" s="5"/>
      <c r="H637" s="3"/>
      <c r="I637" s="5"/>
      <c r="J637" s="3"/>
      <c r="K637" s="5"/>
      <c r="L637" s="3"/>
      <c r="M637" s="5"/>
      <c r="N637" s="5"/>
    </row>
    <row r="638">
      <c r="A638" s="2"/>
      <c r="B638" s="3"/>
      <c r="C638" s="3"/>
      <c r="D638" s="3"/>
      <c r="E638" s="4"/>
      <c r="F638" s="3"/>
      <c r="G638" s="5"/>
      <c r="H638" s="3"/>
      <c r="I638" s="5"/>
      <c r="J638" s="3"/>
      <c r="K638" s="5"/>
      <c r="L638" s="3"/>
      <c r="M638" s="5"/>
      <c r="N638" s="5"/>
    </row>
    <row r="639">
      <c r="A639" s="2"/>
      <c r="B639" s="3"/>
      <c r="C639" s="3"/>
      <c r="D639" s="3"/>
      <c r="E639" s="4"/>
      <c r="F639" s="3"/>
      <c r="G639" s="5"/>
      <c r="H639" s="3"/>
      <c r="I639" s="5"/>
      <c r="J639" s="3"/>
      <c r="K639" s="5"/>
      <c r="L639" s="3"/>
      <c r="M639" s="5"/>
      <c r="N639" s="5"/>
    </row>
    <row r="640">
      <c r="A640" s="2"/>
      <c r="B640" s="3"/>
      <c r="C640" s="3"/>
      <c r="D640" s="3"/>
      <c r="E640" s="4"/>
      <c r="F640" s="3"/>
      <c r="G640" s="5"/>
      <c r="H640" s="3"/>
      <c r="I640" s="5"/>
      <c r="J640" s="3"/>
      <c r="K640" s="5"/>
      <c r="L640" s="3"/>
      <c r="M640" s="5"/>
      <c r="N640" s="5"/>
    </row>
    <row r="641">
      <c r="A641" s="2"/>
      <c r="B641" s="3"/>
      <c r="C641" s="3"/>
      <c r="D641" s="3"/>
      <c r="E641" s="4"/>
      <c r="F641" s="3"/>
      <c r="G641" s="5"/>
      <c r="H641" s="3"/>
      <c r="I641" s="5"/>
      <c r="J641" s="3"/>
      <c r="K641" s="5"/>
      <c r="L641" s="3"/>
      <c r="M641" s="5"/>
      <c r="N641" s="5"/>
    </row>
    <row r="642">
      <c r="A642" s="2"/>
      <c r="B642" s="3"/>
      <c r="C642" s="3"/>
      <c r="D642" s="3"/>
      <c r="E642" s="4"/>
      <c r="F642" s="3"/>
      <c r="G642" s="5"/>
      <c r="H642" s="3"/>
      <c r="I642" s="5"/>
      <c r="J642" s="3"/>
      <c r="K642" s="5"/>
      <c r="L642" s="3"/>
      <c r="M642" s="5"/>
      <c r="N642" s="5"/>
    </row>
    <row r="643">
      <c r="A643" s="2"/>
      <c r="B643" s="3"/>
      <c r="C643" s="3"/>
      <c r="D643" s="3"/>
      <c r="E643" s="4"/>
      <c r="F643" s="3"/>
      <c r="G643" s="5"/>
      <c r="H643" s="3"/>
      <c r="I643" s="5"/>
      <c r="J643" s="3"/>
      <c r="K643" s="5"/>
      <c r="L643" s="3"/>
      <c r="M643" s="5"/>
      <c r="N643" s="5"/>
    </row>
    <row r="644">
      <c r="A644" s="2"/>
      <c r="B644" s="3"/>
      <c r="C644" s="3"/>
      <c r="D644" s="3"/>
      <c r="E644" s="4"/>
      <c r="F644" s="3"/>
      <c r="G644" s="5"/>
      <c r="H644" s="3"/>
      <c r="I644" s="5"/>
      <c r="J644" s="3"/>
      <c r="K644" s="5"/>
      <c r="L644" s="3"/>
      <c r="M644" s="5"/>
      <c r="N644" s="5"/>
    </row>
    <row r="645">
      <c r="A645" s="2"/>
      <c r="B645" s="3"/>
      <c r="C645" s="3"/>
      <c r="D645" s="3"/>
      <c r="E645" s="4"/>
      <c r="F645" s="3"/>
      <c r="G645" s="5"/>
      <c r="H645" s="3"/>
      <c r="I645" s="5"/>
      <c r="J645" s="3"/>
      <c r="K645" s="5"/>
      <c r="L645" s="3"/>
      <c r="M645" s="5"/>
      <c r="N645" s="5"/>
    </row>
    <row r="646">
      <c r="A646" s="2"/>
      <c r="B646" s="3"/>
      <c r="C646" s="3"/>
      <c r="D646" s="3"/>
      <c r="E646" s="4"/>
      <c r="F646" s="3"/>
      <c r="G646" s="5"/>
      <c r="H646" s="3"/>
      <c r="I646" s="5"/>
      <c r="J646" s="3"/>
      <c r="K646" s="5"/>
      <c r="L646" s="3"/>
      <c r="M646" s="5"/>
      <c r="N646" s="5"/>
    </row>
    <row r="647">
      <c r="A647" s="2"/>
      <c r="B647" s="3"/>
      <c r="C647" s="3"/>
      <c r="D647" s="3"/>
      <c r="E647" s="4"/>
      <c r="F647" s="3"/>
      <c r="G647" s="5"/>
      <c r="H647" s="3"/>
      <c r="I647" s="5"/>
      <c r="J647" s="3"/>
      <c r="K647" s="5"/>
      <c r="L647" s="3"/>
      <c r="M647" s="5"/>
      <c r="N647" s="5"/>
    </row>
    <row r="648">
      <c r="A648" s="2"/>
      <c r="B648" s="3"/>
      <c r="C648" s="3"/>
      <c r="D648" s="3"/>
      <c r="E648" s="4"/>
      <c r="F648" s="3"/>
      <c r="G648" s="5"/>
      <c r="H648" s="3"/>
      <c r="I648" s="5"/>
      <c r="J648" s="3"/>
      <c r="K648" s="5"/>
      <c r="L648" s="3"/>
      <c r="M648" s="5"/>
      <c r="N648" s="5"/>
    </row>
    <row r="649">
      <c r="A649" s="2"/>
      <c r="B649" s="3"/>
      <c r="C649" s="3"/>
      <c r="D649" s="3"/>
      <c r="E649" s="4"/>
      <c r="F649" s="3"/>
      <c r="G649" s="5"/>
      <c r="H649" s="3"/>
      <c r="I649" s="5"/>
      <c r="J649" s="3"/>
      <c r="K649" s="5"/>
      <c r="L649" s="3"/>
      <c r="M649" s="5"/>
      <c r="N649" s="5"/>
    </row>
    <row r="650">
      <c r="A650" s="2"/>
      <c r="B650" s="3"/>
      <c r="C650" s="3"/>
      <c r="D650" s="3"/>
      <c r="E650" s="4"/>
      <c r="F650" s="3"/>
      <c r="G650" s="5"/>
      <c r="H650" s="3"/>
      <c r="I650" s="5"/>
      <c r="J650" s="3"/>
      <c r="K650" s="5"/>
      <c r="L650" s="3"/>
      <c r="M650" s="5"/>
      <c r="N650" s="5"/>
    </row>
    <row r="651">
      <c r="A651" s="2"/>
      <c r="B651" s="3"/>
      <c r="C651" s="3"/>
      <c r="D651" s="3"/>
      <c r="E651" s="4"/>
      <c r="F651" s="3"/>
      <c r="G651" s="5"/>
      <c r="H651" s="3"/>
      <c r="I651" s="5"/>
      <c r="J651" s="3"/>
      <c r="K651" s="5"/>
      <c r="L651" s="3"/>
      <c r="M651" s="5"/>
      <c r="N651" s="5"/>
    </row>
    <row r="652">
      <c r="A652" s="2"/>
      <c r="B652" s="3"/>
      <c r="C652" s="3"/>
      <c r="D652" s="3"/>
      <c r="E652" s="4"/>
      <c r="F652" s="3"/>
      <c r="G652" s="5"/>
      <c r="H652" s="3"/>
      <c r="I652" s="5"/>
      <c r="J652" s="3"/>
      <c r="K652" s="5"/>
      <c r="L652" s="3"/>
      <c r="M652" s="5"/>
      <c r="N652" s="5"/>
    </row>
    <row r="653">
      <c r="A653" s="2"/>
      <c r="B653" s="3"/>
      <c r="C653" s="3"/>
      <c r="D653" s="3"/>
      <c r="E653" s="4"/>
      <c r="F653" s="3"/>
      <c r="G653" s="5"/>
      <c r="H653" s="3"/>
      <c r="I653" s="5"/>
      <c r="J653" s="3"/>
      <c r="K653" s="5"/>
      <c r="L653" s="3"/>
      <c r="M653" s="5"/>
      <c r="N653" s="5"/>
    </row>
    <row r="654">
      <c r="A654" s="2"/>
      <c r="B654" s="3"/>
      <c r="C654" s="3"/>
      <c r="D654" s="3"/>
      <c r="E654" s="4"/>
      <c r="F654" s="3"/>
      <c r="G654" s="5"/>
      <c r="H654" s="3"/>
      <c r="I654" s="5"/>
      <c r="J654" s="3"/>
      <c r="K654" s="5"/>
      <c r="L654" s="3"/>
      <c r="M654" s="5"/>
      <c r="N654" s="5"/>
    </row>
    <row r="655">
      <c r="A655" s="2"/>
      <c r="B655" s="3"/>
      <c r="C655" s="3"/>
      <c r="D655" s="3"/>
      <c r="E655" s="4"/>
      <c r="F655" s="3"/>
      <c r="G655" s="5"/>
      <c r="H655" s="3"/>
      <c r="I655" s="5"/>
      <c r="J655" s="3"/>
      <c r="K655" s="5"/>
      <c r="L655" s="3"/>
      <c r="M655" s="5"/>
      <c r="N655" s="5"/>
    </row>
    <row r="656">
      <c r="A656" s="2"/>
      <c r="B656" s="3"/>
      <c r="C656" s="3"/>
      <c r="D656" s="3"/>
      <c r="E656" s="4"/>
      <c r="F656" s="3"/>
      <c r="G656" s="5"/>
      <c r="H656" s="3"/>
      <c r="I656" s="5"/>
      <c r="J656" s="3"/>
      <c r="K656" s="5"/>
      <c r="L656" s="3"/>
      <c r="M656" s="5"/>
      <c r="N656" s="5"/>
    </row>
    <row r="657">
      <c r="A657" s="2"/>
      <c r="B657" s="3"/>
      <c r="C657" s="3"/>
      <c r="D657" s="3"/>
      <c r="E657" s="4"/>
      <c r="F657" s="3"/>
      <c r="G657" s="5"/>
      <c r="H657" s="3"/>
      <c r="I657" s="5"/>
      <c r="J657" s="3"/>
      <c r="K657" s="5"/>
      <c r="L657" s="3"/>
      <c r="M657" s="5"/>
      <c r="N657" s="5"/>
    </row>
    <row r="658">
      <c r="A658" s="2"/>
      <c r="B658" s="3"/>
      <c r="C658" s="3"/>
      <c r="D658" s="3"/>
      <c r="E658" s="4"/>
      <c r="F658" s="3"/>
      <c r="G658" s="5"/>
      <c r="H658" s="3"/>
      <c r="I658" s="5"/>
      <c r="J658" s="3"/>
      <c r="K658" s="5"/>
      <c r="L658" s="3"/>
      <c r="M658" s="5"/>
      <c r="N658" s="5"/>
    </row>
    <row r="659">
      <c r="A659" s="2"/>
      <c r="B659" s="3"/>
      <c r="C659" s="3"/>
      <c r="D659" s="3"/>
      <c r="E659" s="4"/>
      <c r="F659" s="3"/>
      <c r="G659" s="5"/>
      <c r="H659" s="3"/>
      <c r="I659" s="5"/>
      <c r="J659" s="3"/>
      <c r="K659" s="5"/>
      <c r="L659" s="3"/>
      <c r="M659" s="5"/>
      <c r="N659" s="5"/>
    </row>
    <row r="660">
      <c r="A660" s="2"/>
      <c r="B660" s="3"/>
      <c r="C660" s="3"/>
      <c r="D660" s="3"/>
      <c r="E660" s="4"/>
      <c r="F660" s="3"/>
      <c r="G660" s="5"/>
      <c r="H660" s="3"/>
      <c r="I660" s="5"/>
      <c r="J660" s="3"/>
      <c r="K660" s="5"/>
      <c r="L660" s="3"/>
      <c r="M660" s="5"/>
      <c r="N660" s="5"/>
    </row>
    <row r="661">
      <c r="A661" s="2"/>
      <c r="B661" s="3"/>
      <c r="C661" s="3"/>
      <c r="D661" s="3"/>
      <c r="E661" s="4"/>
      <c r="F661" s="3"/>
      <c r="G661" s="5"/>
      <c r="H661" s="3"/>
      <c r="I661" s="5"/>
      <c r="J661" s="3"/>
      <c r="K661" s="5"/>
      <c r="L661" s="3"/>
      <c r="M661" s="5"/>
      <c r="N661" s="5"/>
    </row>
    <row r="662">
      <c r="A662" s="2"/>
      <c r="B662" s="3"/>
      <c r="C662" s="3"/>
      <c r="D662" s="3"/>
      <c r="E662" s="4"/>
      <c r="F662" s="3"/>
      <c r="G662" s="5"/>
      <c r="H662" s="3"/>
      <c r="I662" s="5"/>
      <c r="J662" s="3"/>
      <c r="K662" s="5"/>
      <c r="L662" s="3"/>
      <c r="M662" s="5"/>
      <c r="N662" s="5"/>
    </row>
    <row r="663">
      <c r="A663" s="2"/>
      <c r="B663" s="3"/>
      <c r="C663" s="3"/>
      <c r="D663" s="3"/>
      <c r="E663" s="4"/>
      <c r="F663" s="3"/>
      <c r="G663" s="5"/>
      <c r="H663" s="3"/>
      <c r="I663" s="5"/>
      <c r="J663" s="3"/>
      <c r="K663" s="5"/>
      <c r="L663" s="3"/>
      <c r="M663" s="5"/>
      <c r="N663" s="5"/>
    </row>
    <row r="664">
      <c r="A664" s="2"/>
      <c r="B664" s="3"/>
      <c r="C664" s="3"/>
      <c r="D664" s="3"/>
      <c r="E664" s="4"/>
      <c r="F664" s="3"/>
      <c r="G664" s="5"/>
      <c r="H664" s="3"/>
      <c r="I664" s="5"/>
      <c r="J664" s="3"/>
      <c r="K664" s="5"/>
      <c r="L664" s="3"/>
      <c r="M664" s="5"/>
      <c r="N664" s="5"/>
    </row>
    <row r="665">
      <c r="A665" s="2"/>
      <c r="B665" s="3"/>
      <c r="C665" s="3"/>
      <c r="D665" s="3"/>
      <c r="E665" s="4"/>
      <c r="F665" s="3"/>
      <c r="G665" s="5"/>
      <c r="H665" s="3"/>
      <c r="I665" s="5"/>
      <c r="J665" s="3"/>
      <c r="K665" s="5"/>
      <c r="L665" s="3"/>
      <c r="M665" s="5"/>
      <c r="N665" s="5"/>
    </row>
    <row r="666">
      <c r="A666" s="2"/>
      <c r="B666" s="3"/>
      <c r="C666" s="3"/>
      <c r="D666" s="3"/>
      <c r="E666" s="4"/>
      <c r="F666" s="3"/>
      <c r="G666" s="5"/>
      <c r="H666" s="3"/>
      <c r="I666" s="5"/>
      <c r="J666" s="3"/>
      <c r="K666" s="5"/>
      <c r="L666" s="3"/>
      <c r="M666" s="5"/>
      <c r="N666" s="5"/>
    </row>
    <row r="667">
      <c r="A667" s="2"/>
      <c r="B667" s="3"/>
      <c r="C667" s="3"/>
      <c r="D667" s="3"/>
      <c r="E667" s="4"/>
      <c r="F667" s="3"/>
      <c r="G667" s="5"/>
      <c r="H667" s="3"/>
      <c r="I667" s="5"/>
      <c r="J667" s="3"/>
      <c r="K667" s="5"/>
      <c r="L667" s="3"/>
      <c r="M667" s="5"/>
      <c r="N667" s="5"/>
    </row>
    <row r="668">
      <c r="A668" s="2"/>
      <c r="B668" s="3"/>
      <c r="C668" s="3"/>
      <c r="D668" s="3"/>
      <c r="E668" s="4"/>
      <c r="F668" s="3"/>
      <c r="G668" s="5"/>
      <c r="H668" s="3"/>
      <c r="I668" s="5"/>
      <c r="J668" s="3"/>
      <c r="K668" s="5"/>
      <c r="L668" s="3"/>
      <c r="M668" s="5"/>
      <c r="N668" s="5"/>
    </row>
    <row r="669">
      <c r="A669" s="2"/>
      <c r="B669" s="3"/>
      <c r="C669" s="3"/>
      <c r="D669" s="3"/>
      <c r="E669" s="4"/>
      <c r="F669" s="3"/>
      <c r="G669" s="5"/>
      <c r="H669" s="3"/>
      <c r="I669" s="5"/>
      <c r="J669" s="3"/>
      <c r="K669" s="5"/>
      <c r="L669" s="3"/>
      <c r="M669" s="5"/>
      <c r="N669" s="5"/>
    </row>
    <row r="670">
      <c r="A670" s="2"/>
      <c r="B670" s="3"/>
      <c r="C670" s="3"/>
      <c r="D670" s="3"/>
      <c r="E670" s="4"/>
      <c r="F670" s="3"/>
      <c r="G670" s="5"/>
      <c r="H670" s="3"/>
      <c r="I670" s="5"/>
      <c r="J670" s="3"/>
      <c r="K670" s="5"/>
      <c r="L670" s="3"/>
      <c r="M670" s="5"/>
      <c r="N670" s="5"/>
    </row>
    <row r="671">
      <c r="A671" s="2"/>
      <c r="B671" s="3"/>
      <c r="C671" s="3"/>
      <c r="D671" s="3"/>
      <c r="E671" s="4"/>
      <c r="F671" s="3"/>
      <c r="G671" s="5"/>
      <c r="H671" s="3"/>
      <c r="I671" s="5"/>
      <c r="J671" s="3"/>
      <c r="K671" s="5"/>
      <c r="L671" s="3"/>
      <c r="M671" s="5"/>
      <c r="N671" s="5"/>
    </row>
    <row r="672">
      <c r="A672" s="2"/>
      <c r="B672" s="3"/>
      <c r="C672" s="3"/>
      <c r="D672" s="3"/>
      <c r="E672" s="4"/>
      <c r="F672" s="3"/>
      <c r="G672" s="5"/>
      <c r="H672" s="3"/>
      <c r="I672" s="5"/>
      <c r="J672" s="3"/>
      <c r="K672" s="5"/>
      <c r="L672" s="3"/>
      <c r="M672" s="5"/>
      <c r="N672" s="5"/>
    </row>
    <row r="673">
      <c r="A673" s="2"/>
      <c r="B673" s="3"/>
      <c r="C673" s="3"/>
      <c r="D673" s="3"/>
      <c r="E673" s="4"/>
      <c r="F673" s="3"/>
      <c r="G673" s="5"/>
      <c r="H673" s="3"/>
      <c r="I673" s="5"/>
      <c r="J673" s="3"/>
      <c r="K673" s="5"/>
      <c r="L673" s="3"/>
      <c r="M673" s="5"/>
      <c r="N673" s="5"/>
    </row>
    <row r="674">
      <c r="A674" s="2"/>
      <c r="B674" s="3"/>
      <c r="C674" s="3"/>
      <c r="D674" s="3"/>
      <c r="E674" s="4"/>
      <c r="F674" s="3"/>
      <c r="G674" s="5"/>
      <c r="H674" s="3"/>
      <c r="I674" s="5"/>
      <c r="J674" s="3"/>
      <c r="K674" s="5"/>
      <c r="L674" s="3"/>
      <c r="M674" s="5"/>
      <c r="N674" s="5"/>
    </row>
    <row r="675">
      <c r="A675" s="2"/>
      <c r="B675" s="3"/>
      <c r="C675" s="3"/>
      <c r="D675" s="3"/>
      <c r="E675" s="4"/>
      <c r="F675" s="3"/>
      <c r="G675" s="5"/>
      <c r="H675" s="3"/>
      <c r="I675" s="5"/>
      <c r="J675" s="3"/>
      <c r="K675" s="5"/>
      <c r="L675" s="3"/>
      <c r="M675" s="5"/>
      <c r="N675" s="5"/>
    </row>
    <row r="676">
      <c r="A676" s="2"/>
      <c r="B676" s="3"/>
      <c r="C676" s="3"/>
      <c r="D676" s="3"/>
      <c r="E676" s="4"/>
      <c r="F676" s="3"/>
      <c r="G676" s="5"/>
      <c r="H676" s="3"/>
      <c r="I676" s="5"/>
      <c r="J676" s="3"/>
      <c r="K676" s="5"/>
      <c r="L676" s="3"/>
      <c r="M676" s="5"/>
      <c r="N676" s="5"/>
    </row>
    <row r="677">
      <c r="A677" s="2"/>
      <c r="B677" s="3"/>
      <c r="C677" s="3"/>
      <c r="D677" s="3"/>
      <c r="E677" s="4"/>
      <c r="F677" s="3"/>
      <c r="G677" s="5"/>
      <c r="H677" s="3"/>
      <c r="I677" s="5"/>
      <c r="J677" s="3"/>
      <c r="K677" s="5"/>
      <c r="L677" s="3"/>
      <c r="M677" s="5"/>
      <c r="N677" s="5"/>
    </row>
    <row r="678">
      <c r="A678" s="2"/>
      <c r="B678" s="3"/>
      <c r="C678" s="3"/>
      <c r="D678" s="3"/>
      <c r="E678" s="4"/>
      <c r="F678" s="3"/>
      <c r="G678" s="5"/>
      <c r="H678" s="3"/>
      <c r="I678" s="5"/>
      <c r="J678" s="3"/>
      <c r="K678" s="5"/>
      <c r="L678" s="3"/>
      <c r="M678" s="5"/>
      <c r="N678" s="5"/>
    </row>
    <row r="679">
      <c r="A679" s="2"/>
      <c r="B679" s="3"/>
      <c r="C679" s="3"/>
      <c r="D679" s="3"/>
      <c r="E679" s="4"/>
      <c r="F679" s="3"/>
      <c r="G679" s="5"/>
      <c r="H679" s="3"/>
      <c r="I679" s="5"/>
      <c r="J679" s="3"/>
      <c r="K679" s="5"/>
      <c r="L679" s="3"/>
      <c r="M679" s="5"/>
      <c r="N679" s="5"/>
    </row>
    <row r="680">
      <c r="A680" s="2"/>
      <c r="B680" s="3"/>
      <c r="C680" s="3"/>
      <c r="D680" s="3"/>
      <c r="E680" s="4"/>
      <c r="F680" s="3"/>
      <c r="G680" s="5"/>
      <c r="H680" s="3"/>
      <c r="I680" s="5"/>
      <c r="J680" s="3"/>
      <c r="K680" s="5"/>
      <c r="L680" s="3"/>
      <c r="M680" s="5"/>
      <c r="N680" s="5"/>
    </row>
    <row r="681">
      <c r="A681" s="2"/>
      <c r="B681" s="3"/>
      <c r="C681" s="3"/>
      <c r="D681" s="3"/>
      <c r="E681" s="4"/>
      <c r="F681" s="3"/>
      <c r="G681" s="5"/>
      <c r="H681" s="3"/>
      <c r="I681" s="5"/>
      <c r="J681" s="3"/>
      <c r="K681" s="5"/>
      <c r="L681" s="3"/>
      <c r="M681" s="5"/>
      <c r="N681" s="5"/>
    </row>
    <row r="682">
      <c r="A682" s="2"/>
      <c r="B682" s="3"/>
      <c r="C682" s="3"/>
      <c r="D682" s="3"/>
      <c r="E682" s="4"/>
      <c r="F682" s="3"/>
      <c r="G682" s="5"/>
      <c r="H682" s="3"/>
      <c r="I682" s="5"/>
      <c r="J682" s="3"/>
      <c r="K682" s="5"/>
      <c r="L682" s="3"/>
      <c r="M682" s="5"/>
      <c r="N682" s="5"/>
    </row>
    <row r="683">
      <c r="A683" s="2"/>
      <c r="B683" s="3"/>
      <c r="C683" s="3"/>
      <c r="D683" s="3"/>
      <c r="E683" s="4"/>
      <c r="F683" s="3"/>
      <c r="G683" s="5"/>
      <c r="H683" s="3"/>
      <c r="I683" s="5"/>
      <c r="J683" s="3"/>
      <c r="K683" s="5"/>
      <c r="L683" s="3"/>
      <c r="M683" s="5"/>
      <c r="N683" s="5"/>
    </row>
    <row r="684">
      <c r="A684" s="2"/>
      <c r="B684" s="3"/>
      <c r="C684" s="3"/>
      <c r="D684" s="3"/>
      <c r="E684" s="4"/>
      <c r="F684" s="3"/>
      <c r="G684" s="5"/>
      <c r="H684" s="3"/>
      <c r="I684" s="5"/>
      <c r="J684" s="3"/>
      <c r="K684" s="5"/>
      <c r="L684" s="3"/>
      <c r="M684" s="5"/>
      <c r="N684" s="5"/>
    </row>
    <row r="685">
      <c r="A685" s="2"/>
      <c r="B685" s="3"/>
      <c r="C685" s="3"/>
      <c r="D685" s="3"/>
      <c r="E685" s="4"/>
      <c r="F685" s="3"/>
      <c r="G685" s="5"/>
      <c r="H685" s="3"/>
      <c r="I685" s="5"/>
      <c r="J685" s="3"/>
      <c r="K685" s="5"/>
      <c r="L685" s="3"/>
      <c r="M685" s="5"/>
      <c r="N685" s="5"/>
    </row>
    <row r="686">
      <c r="A686" s="2"/>
      <c r="B686" s="3"/>
      <c r="C686" s="3"/>
      <c r="D686" s="3"/>
      <c r="E686" s="4"/>
      <c r="F686" s="3"/>
      <c r="G686" s="5"/>
      <c r="H686" s="3"/>
      <c r="I686" s="5"/>
      <c r="J686" s="3"/>
      <c r="K686" s="5"/>
      <c r="L686" s="3"/>
      <c r="M686" s="5"/>
      <c r="N686" s="5"/>
    </row>
    <row r="687">
      <c r="A687" s="2"/>
      <c r="B687" s="3"/>
      <c r="C687" s="3"/>
      <c r="D687" s="3"/>
      <c r="E687" s="4"/>
      <c r="F687" s="3"/>
      <c r="G687" s="5"/>
      <c r="H687" s="3"/>
      <c r="I687" s="5"/>
      <c r="J687" s="3"/>
      <c r="K687" s="5"/>
      <c r="L687" s="3"/>
      <c r="M687" s="5"/>
      <c r="N687" s="5"/>
    </row>
    <row r="688">
      <c r="A688" s="2"/>
      <c r="B688" s="3"/>
      <c r="C688" s="3"/>
      <c r="D688" s="3"/>
      <c r="E688" s="4"/>
      <c r="F688" s="3"/>
      <c r="G688" s="5"/>
      <c r="H688" s="3"/>
      <c r="I688" s="5"/>
      <c r="J688" s="3"/>
      <c r="K688" s="5"/>
      <c r="L688" s="3"/>
      <c r="M688" s="5"/>
      <c r="N688" s="5"/>
    </row>
    <row r="689">
      <c r="A689" s="2"/>
      <c r="B689" s="3"/>
      <c r="C689" s="3"/>
      <c r="D689" s="3"/>
      <c r="E689" s="4"/>
      <c r="F689" s="3"/>
      <c r="G689" s="5"/>
      <c r="H689" s="3"/>
      <c r="I689" s="5"/>
      <c r="J689" s="3"/>
      <c r="K689" s="5"/>
      <c r="L689" s="3"/>
      <c r="M689" s="5"/>
      <c r="N689" s="5"/>
    </row>
    <row r="690">
      <c r="A690" s="2"/>
      <c r="B690" s="3"/>
      <c r="C690" s="3"/>
      <c r="D690" s="3"/>
      <c r="E690" s="4"/>
      <c r="F690" s="3"/>
      <c r="G690" s="5"/>
      <c r="H690" s="3"/>
      <c r="I690" s="5"/>
      <c r="J690" s="3"/>
      <c r="K690" s="5"/>
      <c r="L690" s="3"/>
      <c r="M690" s="5"/>
      <c r="N690" s="5"/>
    </row>
    <row r="691">
      <c r="A691" s="2"/>
      <c r="B691" s="3"/>
      <c r="C691" s="3"/>
      <c r="D691" s="3"/>
      <c r="E691" s="4"/>
      <c r="F691" s="3"/>
      <c r="G691" s="5"/>
      <c r="H691" s="3"/>
      <c r="I691" s="5"/>
      <c r="J691" s="3"/>
      <c r="K691" s="5"/>
      <c r="L691" s="3"/>
      <c r="M691" s="5"/>
      <c r="N691" s="5"/>
    </row>
    <row r="692">
      <c r="A692" s="2"/>
      <c r="B692" s="3"/>
      <c r="C692" s="3"/>
      <c r="D692" s="3"/>
      <c r="E692" s="4"/>
      <c r="F692" s="3"/>
      <c r="G692" s="5"/>
      <c r="H692" s="3"/>
      <c r="I692" s="5"/>
      <c r="J692" s="3"/>
      <c r="K692" s="5"/>
      <c r="L692" s="3"/>
      <c r="M692" s="5"/>
      <c r="N692" s="5"/>
    </row>
    <row r="693">
      <c r="A693" s="2"/>
      <c r="B693" s="3"/>
      <c r="C693" s="3"/>
      <c r="D693" s="3"/>
      <c r="E693" s="4"/>
      <c r="F693" s="3"/>
      <c r="G693" s="5"/>
      <c r="H693" s="3"/>
      <c r="I693" s="5"/>
      <c r="J693" s="3"/>
      <c r="K693" s="5"/>
      <c r="L693" s="3"/>
      <c r="M693" s="5"/>
      <c r="N693" s="5"/>
    </row>
    <row r="694">
      <c r="A694" s="2"/>
      <c r="B694" s="3"/>
      <c r="C694" s="3"/>
      <c r="D694" s="3"/>
      <c r="E694" s="4"/>
      <c r="F694" s="3"/>
      <c r="G694" s="5"/>
      <c r="H694" s="3"/>
      <c r="I694" s="5"/>
      <c r="J694" s="3"/>
      <c r="K694" s="5"/>
      <c r="L694" s="3"/>
      <c r="M694" s="5"/>
      <c r="N694" s="5"/>
    </row>
    <row r="695">
      <c r="A695" s="2"/>
      <c r="B695" s="3"/>
      <c r="C695" s="3"/>
      <c r="D695" s="3"/>
      <c r="E695" s="4"/>
      <c r="F695" s="3"/>
      <c r="G695" s="5"/>
      <c r="H695" s="3"/>
      <c r="I695" s="5"/>
      <c r="J695" s="3"/>
      <c r="K695" s="5"/>
      <c r="L695" s="3"/>
      <c r="M695" s="5"/>
      <c r="N695" s="5"/>
    </row>
    <row r="696">
      <c r="A696" s="2"/>
      <c r="B696" s="3"/>
      <c r="C696" s="3"/>
      <c r="D696" s="3"/>
      <c r="E696" s="4"/>
      <c r="F696" s="3"/>
      <c r="G696" s="5"/>
      <c r="H696" s="3"/>
      <c r="I696" s="5"/>
      <c r="J696" s="3"/>
      <c r="K696" s="5"/>
      <c r="L696" s="3"/>
      <c r="M696" s="5"/>
      <c r="N696" s="5"/>
    </row>
    <row r="697">
      <c r="A697" s="2"/>
      <c r="B697" s="3"/>
      <c r="C697" s="3"/>
      <c r="D697" s="3"/>
      <c r="E697" s="4"/>
      <c r="F697" s="3"/>
      <c r="G697" s="5"/>
      <c r="H697" s="3"/>
      <c r="I697" s="5"/>
      <c r="J697" s="3"/>
      <c r="K697" s="5"/>
      <c r="L697" s="3"/>
      <c r="M697" s="5"/>
      <c r="N697" s="5"/>
    </row>
    <row r="698">
      <c r="A698" s="2"/>
      <c r="B698" s="3"/>
      <c r="C698" s="3"/>
      <c r="D698" s="3"/>
      <c r="E698" s="4"/>
      <c r="F698" s="3"/>
      <c r="G698" s="5"/>
      <c r="H698" s="3"/>
      <c r="I698" s="5"/>
      <c r="J698" s="3"/>
      <c r="K698" s="5"/>
      <c r="L698" s="3"/>
      <c r="M698" s="5"/>
      <c r="N698" s="5"/>
    </row>
    <row r="699">
      <c r="A699" s="2"/>
      <c r="B699" s="3"/>
      <c r="C699" s="3"/>
      <c r="D699" s="3"/>
      <c r="E699" s="4"/>
      <c r="F699" s="3"/>
      <c r="G699" s="5"/>
      <c r="H699" s="3"/>
      <c r="I699" s="5"/>
      <c r="J699" s="3"/>
      <c r="K699" s="5"/>
      <c r="L699" s="3"/>
      <c r="M699" s="5"/>
      <c r="N699" s="5"/>
    </row>
    <row r="700">
      <c r="A700" s="2"/>
      <c r="B700" s="3"/>
      <c r="C700" s="3"/>
      <c r="D700" s="3"/>
      <c r="E700" s="4"/>
      <c r="F700" s="3"/>
      <c r="G700" s="5"/>
      <c r="H700" s="3"/>
      <c r="I700" s="5"/>
      <c r="J700" s="3"/>
      <c r="K700" s="5"/>
      <c r="L700" s="3"/>
      <c r="M700" s="5"/>
      <c r="N700" s="5"/>
    </row>
    <row r="701">
      <c r="A701" s="2"/>
      <c r="B701" s="3"/>
      <c r="C701" s="3"/>
      <c r="D701" s="3"/>
      <c r="E701" s="4"/>
      <c r="F701" s="3"/>
      <c r="G701" s="5"/>
      <c r="H701" s="3"/>
      <c r="I701" s="5"/>
      <c r="J701" s="3"/>
      <c r="K701" s="5"/>
      <c r="L701" s="3"/>
      <c r="M701" s="5"/>
      <c r="N701" s="5"/>
    </row>
    <row r="702">
      <c r="A702" s="2"/>
      <c r="B702" s="3"/>
      <c r="C702" s="3"/>
      <c r="D702" s="3"/>
      <c r="E702" s="4"/>
      <c r="F702" s="3"/>
      <c r="G702" s="5"/>
      <c r="H702" s="3"/>
      <c r="I702" s="5"/>
      <c r="J702" s="3"/>
      <c r="K702" s="5"/>
      <c r="L702" s="3"/>
      <c r="M702" s="5"/>
      <c r="N702" s="5"/>
    </row>
    <row r="703">
      <c r="A703" s="2"/>
      <c r="B703" s="3"/>
      <c r="C703" s="3"/>
      <c r="D703" s="3"/>
      <c r="E703" s="4"/>
      <c r="F703" s="3"/>
      <c r="G703" s="5"/>
      <c r="H703" s="3"/>
      <c r="I703" s="5"/>
      <c r="J703" s="3"/>
      <c r="K703" s="5"/>
      <c r="L703" s="3"/>
      <c r="M703" s="5"/>
      <c r="N703" s="5"/>
    </row>
    <row r="704">
      <c r="A704" s="2"/>
      <c r="B704" s="3"/>
      <c r="C704" s="3"/>
      <c r="D704" s="3"/>
      <c r="E704" s="4"/>
      <c r="F704" s="3"/>
      <c r="G704" s="5"/>
      <c r="H704" s="3"/>
      <c r="I704" s="5"/>
      <c r="J704" s="3"/>
      <c r="K704" s="5"/>
      <c r="L704" s="3"/>
      <c r="M704" s="5"/>
      <c r="N704" s="5"/>
    </row>
    <row r="705">
      <c r="A705" s="2"/>
      <c r="B705" s="3"/>
      <c r="C705" s="3"/>
      <c r="D705" s="3"/>
      <c r="E705" s="4"/>
      <c r="F705" s="3"/>
      <c r="G705" s="5"/>
      <c r="H705" s="3"/>
      <c r="I705" s="5"/>
      <c r="J705" s="3"/>
      <c r="K705" s="5"/>
      <c r="L705" s="3"/>
      <c r="M705" s="5"/>
      <c r="N705" s="5"/>
    </row>
    <row r="706">
      <c r="A706" s="2"/>
      <c r="B706" s="3"/>
      <c r="C706" s="3"/>
      <c r="D706" s="3"/>
      <c r="E706" s="4"/>
      <c r="F706" s="3"/>
      <c r="G706" s="5"/>
      <c r="H706" s="3"/>
      <c r="I706" s="5"/>
      <c r="J706" s="3"/>
      <c r="K706" s="5"/>
      <c r="L706" s="3"/>
      <c r="M706" s="5"/>
      <c r="N706" s="5"/>
    </row>
    <row r="707">
      <c r="A707" s="2"/>
      <c r="B707" s="3"/>
      <c r="C707" s="3"/>
      <c r="D707" s="3"/>
      <c r="E707" s="4"/>
      <c r="F707" s="3"/>
      <c r="G707" s="5"/>
      <c r="H707" s="3"/>
      <c r="I707" s="5"/>
      <c r="J707" s="3"/>
      <c r="K707" s="5"/>
      <c r="L707" s="3"/>
      <c r="M707" s="5"/>
      <c r="N707" s="5"/>
    </row>
    <row r="708">
      <c r="A708" s="2"/>
      <c r="B708" s="3"/>
      <c r="C708" s="3"/>
      <c r="D708" s="3"/>
      <c r="E708" s="4"/>
      <c r="F708" s="3"/>
      <c r="G708" s="5"/>
      <c r="H708" s="3"/>
      <c r="I708" s="5"/>
      <c r="J708" s="3"/>
      <c r="K708" s="5"/>
      <c r="L708" s="3"/>
      <c r="M708" s="5"/>
      <c r="N708" s="5"/>
    </row>
    <row r="709">
      <c r="A709" s="2"/>
      <c r="B709" s="3"/>
      <c r="C709" s="3"/>
      <c r="D709" s="3"/>
      <c r="E709" s="4"/>
      <c r="F709" s="3"/>
      <c r="G709" s="5"/>
      <c r="H709" s="3"/>
      <c r="I709" s="5"/>
      <c r="J709" s="3"/>
      <c r="K709" s="5"/>
      <c r="L709" s="3"/>
      <c r="M709" s="5"/>
      <c r="N709" s="5"/>
    </row>
    <row r="710">
      <c r="A710" s="2"/>
      <c r="B710" s="3"/>
      <c r="C710" s="3"/>
      <c r="D710" s="3"/>
      <c r="E710" s="4"/>
      <c r="F710" s="3"/>
      <c r="G710" s="5"/>
      <c r="H710" s="3"/>
      <c r="I710" s="5"/>
      <c r="J710" s="3"/>
      <c r="K710" s="5"/>
      <c r="L710" s="3"/>
      <c r="M710" s="5"/>
      <c r="N710" s="5"/>
    </row>
    <row r="711">
      <c r="A711" s="2"/>
      <c r="B711" s="3"/>
      <c r="C711" s="3"/>
      <c r="D711" s="3"/>
      <c r="E711" s="4"/>
      <c r="F711" s="3"/>
      <c r="G711" s="5"/>
      <c r="H711" s="3"/>
      <c r="I711" s="5"/>
      <c r="J711" s="3"/>
      <c r="K711" s="5"/>
      <c r="L711" s="3"/>
      <c r="M711" s="5"/>
      <c r="N711" s="5"/>
    </row>
    <row r="712">
      <c r="A712" s="2"/>
      <c r="B712" s="3"/>
      <c r="C712" s="3"/>
      <c r="D712" s="3"/>
      <c r="E712" s="4"/>
      <c r="F712" s="3"/>
      <c r="G712" s="5"/>
      <c r="H712" s="3"/>
      <c r="I712" s="5"/>
      <c r="J712" s="3"/>
      <c r="K712" s="5"/>
      <c r="L712" s="3"/>
      <c r="M712" s="5"/>
      <c r="N712" s="5"/>
    </row>
    <row r="713">
      <c r="A713" s="2"/>
      <c r="B713" s="3"/>
      <c r="C713" s="3"/>
      <c r="D713" s="3"/>
      <c r="E713" s="4"/>
      <c r="F713" s="3"/>
      <c r="G713" s="5"/>
      <c r="H713" s="3"/>
      <c r="I713" s="5"/>
      <c r="J713" s="3"/>
      <c r="K713" s="5"/>
      <c r="L713" s="3"/>
      <c r="M713" s="5"/>
      <c r="N713" s="5"/>
    </row>
    <row r="714">
      <c r="A714" s="2"/>
      <c r="B714" s="3"/>
      <c r="C714" s="3"/>
      <c r="D714" s="3"/>
      <c r="E714" s="4"/>
      <c r="F714" s="3"/>
      <c r="G714" s="5"/>
      <c r="H714" s="3"/>
      <c r="I714" s="5"/>
      <c r="J714" s="3"/>
      <c r="K714" s="5"/>
      <c r="L714" s="3"/>
      <c r="M714" s="5"/>
      <c r="N714" s="5"/>
    </row>
    <row r="715">
      <c r="A715" s="2"/>
      <c r="B715" s="3"/>
      <c r="C715" s="3"/>
      <c r="D715" s="3"/>
      <c r="E715" s="4"/>
      <c r="F715" s="3"/>
      <c r="G715" s="5"/>
      <c r="H715" s="3"/>
      <c r="I715" s="5"/>
      <c r="J715" s="3"/>
      <c r="K715" s="5"/>
      <c r="L715" s="3"/>
      <c r="M715" s="5"/>
      <c r="N715" s="5"/>
    </row>
    <row r="716">
      <c r="A716" s="2"/>
      <c r="B716" s="3"/>
      <c r="C716" s="3"/>
      <c r="D716" s="3"/>
      <c r="E716" s="4"/>
      <c r="F716" s="3"/>
      <c r="G716" s="5"/>
      <c r="H716" s="3"/>
      <c r="I716" s="5"/>
      <c r="J716" s="3"/>
      <c r="K716" s="5"/>
      <c r="L716" s="3"/>
      <c r="M716" s="5"/>
      <c r="N716" s="5"/>
    </row>
    <row r="717">
      <c r="A717" s="2"/>
      <c r="B717" s="3"/>
      <c r="C717" s="3"/>
      <c r="D717" s="3"/>
      <c r="E717" s="4"/>
      <c r="F717" s="3"/>
      <c r="G717" s="5"/>
      <c r="H717" s="3"/>
      <c r="I717" s="5"/>
      <c r="J717" s="3"/>
      <c r="K717" s="5"/>
      <c r="L717" s="3"/>
      <c r="M717" s="5"/>
      <c r="N717" s="5"/>
    </row>
    <row r="718">
      <c r="A718" s="2"/>
      <c r="B718" s="3"/>
      <c r="C718" s="3"/>
      <c r="D718" s="3"/>
      <c r="E718" s="4"/>
      <c r="F718" s="3"/>
      <c r="G718" s="5"/>
      <c r="H718" s="3"/>
      <c r="I718" s="5"/>
      <c r="J718" s="3"/>
      <c r="K718" s="5"/>
      <c r="L718" s="3"/>
      <c r="M718" s="5"/>
      <c r="N718" s="5"/>
    </row>
    <row r="719">
      <c r="A719" s="2"/>
      <c r="B719" s="3"/>
      <c r="C719" s="3"/>
      <c r="D719" s="3"/>
      <c r="E719" s="4"/>
      <c r="F719" s="3"/>
      <c r="G719" s="5"/>
      <c r="H719" s="3"/>
      <c r="I719" s="5"/>
      <c r="J719" s="3"/>
      <c r="K719" s="5"/>
      <c r="L719" s="3"/>
      <c r="M719" s="5"/>
      <c r="N719" s="5"/>
    </row>
    <row r="720">
      <c r="A720" s="2"/>
      <c r="B720" s="3"/>
      <c r="C720" s="3"/>
      <c r="D720" s="3"/>
      <c r="E720" s="4"/>
      <c r="F720" s="3"/>
      <c r="G720" s="5"/>
      <c r="H720" s="3"/>
      <c r="I720" s="5"/>
      <c r="J720" s="3"/>
      <c r="K720" s="5"/>
      <c r="L720" s="3"/>
      <c r="M720" s="5"/>
      <c r="N720" s="5"/>
    </row>
    <row r="721">
      <c r="A721" s="2"/>
      <c r="B721" s="3"/>
      <c r="C721" s="3"/>
      <c r="D721" s="3"/>
      <c r="E721" s="4"/>
      <c r="F721" s="3"/>
      <c r="G721" s="5"/>
      <c r="H721" s="3"/>
      <c r="I721" s="5"/>
      <c r="J721" s="3"/>
      <c r="K721" s="5"/>
      <c r="L721" s="3"/>
      <c r="M721" s="5"/>
      <c r="N721" s="5"/>
    </row>
    <row r="722">
      <c r="A722" s="2"/>
      <c r="B722" s="3"/>
      <c r="C722" s="3"/>
      <c r="D722" s="3"/>
      <c r="E722" s="4"/>
      <c r="F722" s="3"/>
      <c r="G722" s="5"/>
      <c r="H722" s="3"/>
      <c r="I722" s="5"/>
      <c r="J722" s="3"/>
      <c r="K722" s="5"/>
      <c r="L722" s="3"/>
      <c r="M722" s="5"/>
      <c r="N722" s="5"/>
    </row>
    <row r="723">
      <c r="A723" s="2"/>
      <c r="B723" s="3"/>
      <c r="C723" s="3"/>
      <c r="D723" s="3"/>
      <c r="E723" s="4"/>
      <c r="F723" s="3"/>
      <c r="G723" s="5"/>
      <c r="H723" s="3"/>
      <c r="I723" s="5"/>
      <c r="J723" s="3"/>
      <c r="K723" s="5"/>
      <c r="L723" s="3"/>
      <c r="M723" s="5"/>
      <c r="N723" s="5"/>
    </row>
    <row r="724">
      <c r="A724" s="2"/>
      <c r="B724" s="3"/>
      <c r="C724" s="3"/>
      <c r="D724" s="3"/>
      <c r="E724" s="4"/>
      <c r="F724" s="3"/>
      <c r="G724" s="5"/>
      <c r="H724" s="3"/>
      <c r="I724" s="5"/>
      <c r="J724" s="3"/>
      <c r="K724" s="5"/>
      <c r="L724" s="3"/>
      <c r="M724" s="5"/>
      <c r="N724" s="5"/>
    </row>
    <row r="725">
      <c r="A725" s="2"/>
      <c r="B725" s="3"/>
      <c r="C725" s="3"/>
      <c r="D725" s="3"/>
      <c r="E725" s="4"/>
      <c r="F725" s="3"/>
      <c r="G725" s="5"/>
      <c r="H725" s="3"/>
      <c r="I725" s="5"/>
      <c r="J725" s="3"/>
      <c r="K725" s="5"/>
      <c r="L725" s="3"/>
      <c r="M725" s="5"/>
      <c r="N725" s="5"/>
    </row>
    <row r="726">
      <c r="A726" s="2"/>
      <c r="B726" s="3"/>
      <c r="C726" s="3"/>
      <c r="D726" s="3"/>
      <c r="E726" s="4"/>
      <c r="F726" s="3"/>
      <c r="G726" s="5"/>
      <c r="H726" s="3"/>
      <c r="I726" s="5"/>
      <c r="J726" s="3"/>
      <c r="K726" s="5"/>
      <c r="L726" s="3"/>
      <c r="M726" s="5"/>
      <c r="N726" s="5"/>
    </row>
    <row r="727">
      <c r="A727" s="2"/>
      <c r="B727" s="3"/>
      <c r="C727" s="3"/>
      <c r="D727" s="3"/>
      <c r="E727" s="4"/>
      <c r="F727" s="3"/>
      <c r="G727" s="5"/>
      <c r="H727" s="3"/>
      <c r="I727" s="5"/>
      <c r="J727" s="3"/>
      <c r="K727" s="5"/>
      <c r="L727" s="3"/>
      <c r="M727" s="5"/>
      <c r="N727" s="5"/>
    </row>
    <row r="728">
      <c r="A728" s="2"/>
      <c r="B728" s="3"/>
      <c r="C728" s="3"/>
      <c r="D728" s="3"/>
      <c r="E728" s="4"/>
      <c r="F728" s="3"/>
      <c r="G728" s="5"/>
      <c r="H728" s="3"/>
      <c r="I728" s="5"/>
      <c r="J728" s="3"/>
      <c r="K728" s="5"/>
      <c r="L728" s="3"/>
      <c r="M728" s="5"/>
      <c r="N728" s="5"/>
    </row>
    <row r="729">
      <c r="A729" s="2"/>
      <c r="B729" s="3"/>
      <c r="C729" s="3"/>
      <c r="D729" s="3"/>
      <c r="E729" s="4"/>
      <c r="F729" s="3"/>
      <c r="G729" s="5"/>
      <c r="H729" s="3"/>
      <c r="I729" s="5"/>
      <c r="J729" s="3"/>
      <c r="K729" s="5"/>
      <c r="L729" s="3"/>
      <c r="M729" s="5"/>
      <c r="N729" s="5"/>
    </row>
    <row r="730">
      <c r="A730" s="2"/>
      <c r="B730" s="3"/>
      <c r="C730" s="3"/>
      <c r="D730" s="3"/>
      <c r="E730" s="4"/>
      <c r="F730" s="3"/>
      <c r="G730" s="5"/>
      <c r="H730" s="3"/>
      <c r="I730" s="5"/>
      <c r="J730" s="3"/>
      <c r="K730" s="5"/>
      <c r="L730" s="3"/>
      <c r="M730" s="5"/>
      <c r="N730" s="5"/>
    </row>
    <row r="731">
      <c r="A731" s="2"/>
      <c r="B731" s="3"/>
      <c r="C731" s="3"/>
      <c r="D731" s="3"/>
      <c r="E731" s="4"/>
      <c r="F731" s="3"/>
      <c r="G731" s="5"/>
      <c r="H731" s="3"/>
      <c r="I731" s="5"/>
      <c r="J731" s="3"/>
      <c r="K731" s="5"/>
      <c r="L731" s="3"/>
      <c r="M731" s="5"/>
      <c r="N731" s="5"/>
    </row>
    <row r="732">
      <c r="A732" s="2"/>
      <c r="B732" s="3"/>
      <c r="C732" s="3"/>
      <c r="D732" s="3"/>
      <c r="E732" s="4"/>
      <c r="F732" s="3"/>
      <c r="G732" s="5"/>
      <c r="H732" s="3"/>
      <c r="I732" s="5"/>
      <c r="J732" s="3"/>
      <c r="K732" s="5"/>
      <c r="L732" s="3"/>
      <c r="M732" s="5"/>
      <c r="N732" s="5"/>
    </row>
    <row r="733">
      <c r="A733" s="2"/>
      <c r="B733" s="3"/>
      <c r="C733" s="3"/>
      <c r="D733" s="3"/>
      <c r="E733" s="4"/>
      <c r="F733" s="3"/>
      <c r="G733" s="5"/>
      <c r="H733" s="3"/>
      <c r="I733" s="5"/>
      <c r="J733" s="3"/>
      <c r="K733" s="5"/>
      <c r="L733" s="3"/>
      <c r="M733" s="5"/>
      <c r="N733" s="5"/>
    </row>
    <row r="734">
      <c r="A734" s="2"/>
      <c r="B734" s="3"/>
      <c r="C734" s="3"/>
      <c r="D734" s="3"/>
      <c r="E734" s="4"/>
      <c r="F734" s="3"/>
      <c r="G734" s="5"/>
      <c r="H734" s="3"/>
      <c r="I734" s="5"/>
      <c r="J734" s="3"/>
      <c r="K734" s="5"/>
      <c r="L734" s="3"/>
      <c r="M734" s="5"/>
      <c r="N734" s="5"/>
    </row>
    <row r="735">
      <c r="A735" s="2"/>
      <c r="B735" s="3"/>
      <c r="C735" s="3"/>
      <c r="D735" s="3"/>
      <c r="E735" s="4"/>
      <c r="F735" s="3"/>
      <c r="G735" s="5"/>
      <c r="H735" s="3"/>
      <c r="I735" s="5"/>
      <c r="J735" s="3"/>
      <c r="K735" s="5"/>
      <c r="L735" s="3"/>
      <c r="M735" s="5"/>
      <c r="N735" s="5"/>
    </row>
    <row r="736">
      <c r="A736" s="2"/>
      <c r="B736" s="3"/>
      <c r="C736" s="3"/>
      <c r="D736" s="3"/>
      <c r="E736" s="4"/>
      <c r="F736" s="3"/>
      <c r="G736" s="5"/>
      <c r="H736" s="3"/>
      <c r="I736" s="5"/>
      <c r="J736" s="3"/>
      <c r="K736" s="5"/>
      <c r="L736" s="3"/>
      <c r="M736" s="5"/>
      <c r="N736" s="5"/>
    </row>
    <row r="737">
      <c r="A737" s="2"/>
      <c r="B737" s="3"/>
      <c r="C737" s="3"/>
      <c r="D737" s="3"/>
      <c r="E737" s="4"/>
      <c r="F737" s="3"/>
      <c r="G737" s="5"/>
      <c r="H737" s="3"/>
      <c r="I737" s="5"/>
      <c r="J737" s="3"/>
      <c r="K737" s="5"/>
      <c r="L737" s="3"/>
      <c r="M737" s="5"/>
      <c r="N737" s="5"/>
    </row>
    <row r="738">
      <c r="A738" s="2"/>
      <c r="B738" s="3"/>
      <c r="C738" s="3"/>
      <c r="D738" s="3"/>
      <c r="E738" s="4"/>
      <c r="F738" s="3"/>
      <c r="G738" s="5"/>
      <c r="H738" s="3"/>
      <c r="I738" s="5"/>
      <c r="J738" s="3"/>
      <c r="K738" s="5"/>
      <c r="L738" s="3"/>
      <c r="M738" s="5"/>
      <c r="N738" s="5"/>
    </row>
    <row r="739">
      <c r="A739" s="2"/>
      <c r="B739" s="3"/>
      <c r="C739" s="3"/>
      <c r="D739" s="3"/>
      <c r="E739" s="4"/>
      <c r="F739" s="3"/>
      <c r="G739" s="5"/>
      <c r="H739" s="3"/>
      <c r="I739" s="5"/>
      <c r="J739" s="3"/>
      <c r="K739" s="5"/>
      <c r="L739" s="3"/>
      <c r="M739" s="5"/>
      <c r="N739" s="5"/>
    </row>
    <row r="740">
      <c r="A740" s="2"/>
      <c r="B740" s="3"/>
      <c r="C740" s="3"/>
      <c r="D740" s="3"/>
      <c r="E740" s="4"/>
      <c r="F740" s="3"/>
      <c r="G740" s="5"/>
      <c r="H740" s="3"/>
      <c r="I740" s="5"/>
      <c r="J740" s="3"/>
      <c r="K740" s="5"/>
      <c r="L740" s="3"/>
      <c r="M740" s="5"/>
      <c r="N740" s="5"/>
    </row>
    <row r="741">
      <c r="A741" s="2"/>
      <c r="B741" s="3"/>
      <c r="C741" s="3"/>
      <c r="D741" s="3"/>
      <c r="E741" s="4"/>
      <c r="F741" s="3"/>
      <c r="G741" s="5"/>
      <c r="H741" s="3"/>
      <c r="I741" s="5"/>
      <c r="J741" s="3"/>
      <c r="K741" s="5"/>
      <c r="L741" s="3"/>
      <c r="M741" s="5"/>
      <c r="N741" s="5"/>
    </row>
    <row r="742">
      <c r="A742" s="2"/>
      <c r="B742" s="3"/>
      <c r="C742" s="3"/>
      <c r="D742" s="3"/>
      <c r="E742" s="4"/>
      <c r="F742" s="3"/>
      <c r="G742" s="5"/>
      <c r="H742" s="3"/>
      <c r="I742" s="5"/>
      <c r="J742" s="3"/>
      <c r="K742" s="5"/>
      <c r="L742" s="3"/>
      <c r="M742" s="5"/>
      <c r="N742" s="5"/>
    </row>
    <row r="743">
      <c r="A743" s="2"/>
      <c r="B743" s="3"/>
      <c r="C743" s="3"/>
      <c r="D743" s="3"/>
      <c r="E743" s="4"/>
      <c r="F743" s="3"/>
      <c r="G743" s="5"/>
      <c r="H743" s="3"/>
      <c r="I743" s="5"/>
      <c r="J743" s="3"/>
      <c r="K743" s="5"/>
      <c r="L743" s="3"/>
      <c r="M743" s="5"/>
      <c r="N743" s="5"/>
    </row>
    <row r="744">
      <c r="A744" s="2"/>
      <c r="B744" s="3"/>
      <c r="C744" s="3"/>
      <c r="D744" s="3"/>
      <c r="E744" s="4"/>
      <c r="F744" s="3"/>
      <c r="G744" s="5"/>
      <c r="H744" s="3"/>
      <c r="I744" s="5"/>
      <c r="J744" s="3"/>
      <c r="K744" s="5"/>
      <c r="L744" s="3"/>
      <c r="M744" s="5"/>
      <c r="N744" s="5"/>
    </row>
    <row r="745">
      <c r="A745" s="2"/>
      <c r="B745" s="3"/>
      <c r="C745" s="3"/>
      <c r="D745" s="3"/>
      <c r="E745" s="4"/>
      <c r="F745" s="3"/>
      <c r="G745" s="5"/>
      <c r="H745" s="3"/>
      <c r="I745" s="5"/>
      <c r="J745" s="3"/>
      <c r="K745" s="5"/>
      <c r="L745" s="3"/>
      <c r="M745" s="5"/>
      <c r="N745" s="5"/>
    </row>
    <row r="746">
      <c r="A746" s="2"/>
      <c r="B746" s="3"/>
      <c r="C746" s="3"/>
      <c r="D746" s="3"/>
      <c r="E746" s="4"/>
      <c r="F746" s="3"/>
      <c r="G746" s="5"/>
      <c r="H746" s="3"/>
      <c r="I746" s="5"/>
      <c r="J746" s="3"/>
      <c r="K746" s="5"/>
      <c r="L746" s="3"/>
      <c r="M746" s="5"/>
      <c r="N746" s="5"/>
    </row>
    <row r="747">
      <c r="A747" s="2"/>
      <c r="B747" s="3"/>
      <c r="C747" s="3"/>
      <c r="D747" s="3"/>
      <c r="E747" s="4"/>
      <c r="F747" s="3"/>
      <c r="G747" s="5"/>
      <c r="H747" s="3"/>
      <c r="I747" s="5"/>
      <c r="J747" s="3"/>
      <c r="K747" s="5"/>
      <c r="L747" s="3"/>
      <c r="M747" s="5"/>
      <c r="N747" s="5"/>
    </row>
    <row r="748">
      <c r="A748" s="2"/>
      <c r="B748" s="3"/>
      <c r="C748" s="3"/>
      <c r="D748" s="3"/>
      <c r="E748" s="4"/>
      <c r="F748" s="3"/>
      <c r="G748" s="5"/>
      <c r="H748" s="3"/>
      <c r="I748" s="5"/>
      <c r="J748" s="3"/>
      <c r="K748" s="5"/>
      <c r="L748" s="3"/>
      <c r="M748" s="5"/>
      <c r="N748" s="5"/>
    </row>
    <row r="749">
      <c r="A749" s="2"/>
      <c r="B749" s="3"/>
      <c r="C749" s="3"/>
      <c r="D749" s="3"/>
      <c r="E749" s="4"/>
      <c r="F749" s="3"/>
      <c r="G749" s="5"/>
      <c r="H749" s="3"/>
      <c r="I749" s="5"/>
      <c r="J749" s="3"/>
      <c r="K749" s="5"/>
      <c r="L749" s="3"/>
      <c r="M749" s="5"/>
      <c r="N749" s="5"/>
    </row>
    <row r="750">
      <c r="A750" s="2"/>
      <c r="B750" s="3"/>
      <c r="C750" s="3"/>
      <c r="D750" s="3"/>
      <c r="E750" s="4"/>
      <c r="F750" s="3"/>
      <c r="G750" s="5"/>
      <c r="H750" s="3"/>
      <c r="I750" s="5"/>
      <c r="J750" s="3"/>
      <c r="K750" s="5"/>
      <c r="L750" s="3"/>
      <c r="M750" s="5"/>
      <c r="N750" s="5"/>
    </row>
    <row r="751">
      <c r="A751" s="2"/>
      <c r="B751" s="3"/>
      <c r="C751" s="3"/>
      <c r="D751" s="3"/>
      <c r="E751" s="4"/>
      <c r="F751" s="3"/>
      <c r="G751" s="5"/>
      <c r="H751" s="3"/>
      <c r="I751" s="5"/>
      <c r="J751" s="3"/>
      <c r="K751" s="5"/>
      <c r="L751" s="3"/>
      <c r="M751" s="5"/>
      <c r="N751" s="5"/>
    </row>
    <row r="752">
      <c r="A752" s="2"/>
      <c r="B752" s="3"/>
      <c r="C752" s="3"/>
      <c r="D752" s="3"/>
      <c r="E752" s="4"/>
      <c r="F752" s="3"/>
      <c r="G752" s="5"/>
      <c r="H752" s="3"/>
      <c r="I752" s="5"/>
      <c r="J752" s="3"/>
      <c r="K752" s="5"/>
      <c r="L752" s="3"/>
      <c r="M752" s="5"/>
      <c r="N752" s="5"/>
    </row>
    <row r="753">
      <c r="A753" s="2"/>
      <c r="B753" s="3"/>
      <c r="C753" s="3"/>
      <c r="D753" s="3"/>
      <c r="E753" s="4"/>
      <c r="F753" s="3"/>
      <c r="G753" s="5"/>
      <c r="H753" s="3"/>
      <c r="I753" s="5"/>
      <c r="J753" s="3"/>
      <c r="K753" s="5"/>
      <c r="L753" s="3"/>
      <c r="M753" s="5"/>
      <c r="N753" s="5"/>
    </row>
    <row r="754">
      <c r="A754" s="2"/>
      <c r="B754" s="3"/>
      <c r="C754" s="3"/>
      <c r="D754" s="3"/>
      <c r="E754" s="4"/>
      <c r="F754" s="3"/>
      <c r="G754" s="5"/>
      <c r="H754" s="3"/>
      <c r="I754" s="5"/>
      <c r="J754" s="3"/>
      <c r="K754" s="5"/>
      <c r="L754" s="3"/>
      <c r="M754" s="5"/>
      <c r="N754" s="5"/>
    </row>
    <row r="755">
      <c r="A755" s="2"/>
      <c r="B755" s="3"/>
      <c r="C755" s="3"/>
      <c r="D755" s="3"/>
      <c r="E755" s="4"/>
      <c r="F755" s="3"/>
      <c r="G755" s="5"/>
      <c r="H755" s="3"/>
      <c r="I755" s="5"/>
      <c r="J755" s="3"/>
      <c r="K755" s="5"/>
      <c r="L755" s="3"/>
      <c r="M755" s="5"/>
      <c r="N755" s="5"/>
    </row>
    <row r="756">
      <c r="A756" s="2"/>
      <c r="B756" s="3"/>
      <c r="C756" s="3"/>
      <c r="D756" s="3"/>
      <c r="E756" s="4"/>
      <c r="F756" s="3"/>
      <c r="G756" s="5"/>
      <c r="H756" s="3"/>
      <c r="I756" s="5"/>
      <c r="J756" s="3"/>
      <c r="K756" s="5"/>
      <c r="L756" s="3"/>
      <c r="M756" s="5"/>
      <c r="N756" s="5"/>
    </row>
    <row r="757">
      <c r="A757" s="2"/>
      <c r="B757" s="3"/>
      <c r="C757" s="3"/>
      <c r="D757" s="3"/>
      <c r="E757" s="4"/>
      <c r="F757" s="3"/>
      <c r="G757" s="5"/>
      <c r="H757" s="3"/>
      <c r="I757" s="5"/>
      <c r="J757" s="3"/>
      <c r="K757" s="5"/>
      <c r="L757" s="3"/>
      <c r="M757" s="5"/>
      <c r="N757" s="5"/>
    </row>
    <row r="758">
      <c r="A758" s="2"/>
      <c r="B758" s="3"/>
      <c r="C758" s="3"/>
      <c r="D758" s="3"/>
      <c r="E758" s="4"/>
      <c r="F758" s="3"/>
      <c r="G758" s="5"/>
      <c r="H758" s="3"/>
      <c r="I758" s="5"/>
      <c r="J758" s="3"/>
      <c r="K758" s="5"/>
      <c r="L758" s="3"/>
      <c r="M758" s="5"/>
      <c r="N758" s="5"/>
    </row>
    <row r="759">
      <c r="A759" s="2"/>
      <c r="B759" s="3"/>
      <c r="C759" s="3"/>
      <c r="D759" s="3"/>
      <c r="E759" s="4"/>
      <c r="F759" s="3"/>
      <c r="G759" s="5"/>
      <c r="H759" s="3"/>
      <c r="I759" s="5"/>
      <c r="J759" s="3"/>
      <c r="K759" s="5"/>
      <c r="L759" s="3"/>
      <c r="M759" s="5"/>
      <c r="N759" s="5"/>
    </row>
    <row r="760">
      <c r="A760" s="2"/>
      <c r="B760" s="3"/>
      <c r="C760" s="3"/>
      <c r="D760" s="3"/>
      <c r="E760" s="4"/>
      <c r="F760" s="3"/>
      <c r="G760" s="5"/>
      <c r="H760" s="3"/>
      <c r="I760" s="5"/>
      <c r="J760" s="3"/>
      <c r="K760" s="5"/>
      <c r="L760" s="3"/>
      <c r="M760" s="5"/>
      <c r="N760" s="5"/>
    </row>
    <row r="761">
      <c r="A761" s="2"/>
      <c r="B761" s="3"/>
      <c r="C761" s="3"/>
      <c r="D761" s="3"/>
      <c r="E761" s="4"/>
      <c r="F761" s="3"/>
      <c r="G761" s="5"/>
      <c r="H761" s="3"/>
      <c r="I761" s="5"/>
      <c r="J761" s="3"/>
      <c r="K761" s="5"/>
      <c r="L761" s="3"/>
      <c r="M761" s="5"/>
      <c r="N761" s="5"/>
    </row>
    <row r="762">
      <c r="A762" s="2"/>
      <c r="B762" s="3"/>
      <c r="C762" s="3"/>
      <c r="D762" s="3"/>
      <c r="E762" s="4"/>
      <c r="F762" s="3"/>
      <c r="G762" s="5"/>
      <c r="H762" s="3"/>
      <c r="I762" s="5"/>
      <c r="J762" s="3"/>
      <c r="K762" s="5"/>
      <c r="L762" s="3"/>
      <c r="M762" s="5"/>
      <c r="N762" s="5"/>
    </row>
    <row r="763">
      <c r="A763" s="2"/>
      <c r="B763" s="3"/>
      <c r="C763" s="3"/>
      <c r="D763" s="3"/>
      <c r="E763" s="4"/>
      <c r="F763" s="3"/>
      <c r="G763" s="5"/>
      <c r="H763" s="3"/>
      <c r="I763" s="5"/>
      <c r="J763" s="3"/>
      <c r="K763" s="5"/>
      <c r="L763" s="3"/>
      <c r="M763" s="5"/>
      <c r="N763" s="5"/>
    </row>
    <row r="764">
      <c r="A764" s="2"/>
      <c r="B764" s="3"/>
      <c r="C764" s="3"/>
      <c r="D764" s="3"/>
      <c r="E764" s="4"/>
      <c r="F764" s="3"/>
      <c r="G764" s="5"/>
      <c r="H764" s="3"/>
      <c r="I764" s="5"/>
      <c r="J764" s="3"/>
      <c r="K764" s="5"/>
      <c r="L764" s="3"/>
      <c r="M764" s="5"/>
      <c r="N764" s="5"/>
    </row>
    <row r="765">
      <c r="A765" s="2"/>
      <c r="B765" s="3"/>
      <c r="C765" s="3"/>
      <c r="D765" s="3"/>
      <c r="E765" s="4"/>
      <c r="F765" s="3"/>
      <c r="G765" s="5"/>
      <c r="H765" s="3"/>
      <c r="I765" s="5"/>
      <c r="J765" s="3"/>
      <c r="K765" s="5"/>
      <c r="L765" s="3"/>
      <c r="M765" s="5"/>
      <c r="N765" s="5"/>
    </row>
    <row r="766">
      <c r="A766" s="2"/>
      <c r="B766" s="3"/>
      <c r="C766" s="3"/>
      <c r="D766" s="3"/>
      <c r="E766" s="4"/>
      <c r="F766" s="3"/>
      <c r="G766" s="5"/>
      <c r="H766" s="3"/>
      <c r="I766" s="5"/>
      <c r="J766" s="3"/>
      <c r="K766" s="5"/>
      <c r="L766" s="3"/>
      <c r="M766" s="5"/>
      <c r="N766" s="5"/>
    </row>
    <row r="767">
      <c r="A767" s="2"/>
      <c r="B767" s="3"/>
      <c r="C767" s="3"/>
      <c r="D767" s="3"/>
      <c r="E767" s="4"/>
      <c r="F767" s="3"/>
      <c r="G767" s="5"/>
      <c r="H767" s="3"/>
      <c r="I767" s="5"/>
      <c r="J767" s="3"/>
      <c r="K767" s="5"/>
      <c r="L767" s="3"/>
      <c r="M767" s="5"/>
      <c r="N767" s="5"/>
    </row>
    <row r="768">
      <c r="A768" s="2"/>
      <c r="B768" s="3"/>
      <c r="C768" s="3"/>
      <c r="D768" s="3"/>
      <c r="E768" s="4"/>
      <c r="F768" s="3"/>
      <c r="G768" s="5"/>
      <c r="H768" s="3"/>
      <c r="I768" s="5"/>
      <c r="J768" s="3"/>
      <c r="K768" s="5"/>
      <c r="L768" s="3"/>
      <c r="M768" s="5"/>
      <c r="N768" s="5"/>
    </row>
    <row r="769">
      <c r="A769" s="2"/>
      <c r="B769" s="3"/>
      <c r="C769" s="3"/>
      <c r="D769" s="3"/>
      <c r="E769" s="4"/>
      <c r="F769" s="3"/>
      <c r="G769" s="5"/>
      <c r="H769" s="3"/>
      <c r="I769" s="5"/>
      <c r="J769" s="3"/>
      <c r="K769" s="5"/>
      <c r="L769" s="3"/>
      <c r="M769" s="5"/>
      <c r="N769" s="5"/>
    </row>
    <row r="770">
      <c r="A770" s="2"/>
      <c r="B770" s="3"/>
      <c r="C770" s="3"/>
      <c r="D770" s="3"/>
      <c r="E770" s="4"/>
      <c r="F770" s="3"/>
      <c r="G770" s="5"/>
      <c r="H770" s="3"/>
      <c r="I770" s="5"/>
      <c r="J770" s="3"/>
      <c r="K770" s="5"/>
      <c r="L770" s="3"/>
      <c r="M770" s="5"/>
      <c r="N770" s="5"/>
    </row>
    <row r="771">
      <c r="A771" s="2"/>
      <c r="B771" s="3"/>
      <c r="C771" s="3"/>
      <c r="D771" s="3"/>
      <c r="E771" s="4"/>
      <c r="F771" s="3"/>
      <c r="G771" s="5"/>
      <c r="H771" s="3"/>
      <c r="I771" s="5"/>
      <c r="J771" s="3"/>
      <c r="K771" s="5"/>
      <c r="L771" s="3"/>
      <c r="M771" s="5"/>
      <c r="N771" s="5"/>
    </row>
    <row r="772">
      <c r="A772" s="2"/>
      <c r="B772" s="3"/>
      <c r="C772" s="3"/>
      <c r="D772" s="3"/>
      <c r="E772" s="4"/>
      <c r="F772" s="3"/>
      <c r="G772" s="5"/>
      <c r="H772" s="3"/>
      <c r="I772" s="5"/>
      <c r="J772" s="3"/>
      <c r="K772" s="5"/>
      <c r="L772" s="3"/>
      <c r="M772" s="5"/>
      <c r="N772" s="5"/>
    </row>
    <row r="773">
      <c r="A773" s="2"/>
      <c r="B773" s="3"/>
      <c r="C773" s="3"/>
      <c r="D773" s="3"/>
      <c r="E773" s="4"/>
      <c r="F773" s="3"/>
      <c r="G773" s="5"/>
      <c r="H773" s="3"/>
      <c r="I773" s="5"/>
      <c r="J773" s="3"/>
      <c r="K773" s="5"/>
      <c r="L773" s="3"/>
      <c r="M773" s="5"/>
      <c r="N773" s="5"/>
    </row>
    <row r="774">
      <c r="A774" s="2"/>
      <c r="B774" s="3"/>
      <c r="C774" s="3"/>
      <c r="D774" s="3"/>
      <c r="E774" s="4"/>
      <c r="F774" s="3"/>
      <c r="G774" s="5"/>
      <c r="H774" s="3"/>
      <c r="I774" s="5"/>
      <c r="J774" s="3"/>
      <c r="K774" s="5"/>
      <c r="L774" s="3"/>
      <c r="M774" s="5"/>
      <c r="N774" s="5"/>
    </row>
    <row r="775">
      <c r="A775" s="2"/>
      <c r="B775" s="3"/>
      <c r="C775" s="3"/>
      <c r="D775" s="3"/>
      <c r="E775" s="4"/>
      <c r="F775" s="3"/>
      <c r="G775" s="5"/>
      <c r="H775" s="3"/>
      <c r="I775" s="5"/>
      <c r="J775" s="3"/>
      <c r="K775" s="5"/>
      <c r="L775" s="3"/>
      <c r="M775" s="5"/>
      <c r="N775" s="5"/>
    </row>
    <row r="776">
      <c r="A776" s="2"/>
      <c r="B776" s="3"/>
      <c r="C776" s="3"/>
      <c r="D776" s="3"/>
      <c r="E776" s="4"/>
      <c r="F776" s="3"/>
      <c r="G776" s="5"/>
      <c r="H776" s="3"/>
      <c r="I776" s="5"/>
      <c r="J776" s="3"/>
      <c r="K776" s="5"/>
      <c r="L776" s="3"/>
      <c r="M776" s="5"/>
      <c r="N776" s="5"/>
    </row>
    <row r="777">
      <c r="A777" s="2"/>
      <c r="B777" s="3"/>
      <c r="C777" s="3"/>
      <c r="D777" s="3"/>
      <c r="E777" s="4"/>
      <c r="F777" s="3"/>
      <c r="G777" s="5"/>
      <c r="H777" s="3"/>
      <c r="I777" s="5"/>
      <c r="J777" s="3"/>
      <c r="K777" s="5"/>
      <c r="L777" s="3"/>
      <c r="M777" s="5"/>
      <c r="N777" s="5"/>
    </row>
    <row r="778">
      <c r="A778" s="2"/>
      <c r="B778" s="3"/>
      <c r="C778" s="3"/>
      <c r="D778" s="3"/>
      <c r="E778" s="4"/>
      <c r="F778" s="3"/>
      <c r="G778" s="5"/>
      <c r="H778" s="3"/>
      <c r="I778" s="5"/>
      <c r="J778" s="3"/>
      <c r="K778" s="5"/>
      <c r="L778" s="3"/>
      <c r="M778" s="5"/>
      <c r="N778" s="5"/>
    </row>
    <row r="779">
      <c r="A779" s="2"/>
      <c r="B779" s="3"/>
      <c r="C779" s="3"/>
      <c r="D779" s="3"/>
      <c r="E779" s="4"/>
      <c r="F779" s="3"/>
      <c r="G779" s="5"/>
      <c r="H779" s="3"/>
      <c r="I779" s="5"/>
      <c r="J779" s="3"/>
      <c r="K779" s="5"/>
      <c r="L779" s="3"/>
      <c r="M779" s="5"/>
      <c r="N779" s="5"/>
    </row>
    <row r="780">
      <c r="A780" s="2"/>
      <c r="B780" s="3"/>
      <c r="C780" s="3"/>
      <c r="D780" s="3"/>
      <c r="E780" s="4"/>
      <c r="F780" s="3"/>
      <c r="G780" s="5"/>
      <c r="H780" s="3"/>
      <c r="I780" s="5"/>
      <c r="J780" s="3"/>
      <c r="K780" s="5"/>
      <c r="L780" s="3"/>
      <c r="M780" s="5"/>
      <c r="N780" s="5"/>
    </row>
    <row r="781">
      <c r="A781" s="2"/>
      <c r="B781" s="3"/>
      <c r="C781" s="3"/>
      <c r="D781" s="3"/>
      <c r="E781" s="4"/>
      <c r="F781" s="3"/>
      <c r="G781" s="5"/>
      <c r="H781" s="3"/>
      <c r="I781" s="5"/>
      <c r="J781" s="3"/>
      <c r="K781" s="5"/>
      <c r="L781" s="3"/>
      <c r="M781" s="5"/>
      <c r="N781" s="5"/>
    </row>
    <row r="782">
      <c r="A782" s="2"/>
      <c r="B782" s="3"/>
      <c r="C782" s="3"/>
      <c r="D782" s="3"/>
      <c r="E782" s="4"/>
      <c r="F782" s="3"/>
      <c r="G782" s="5"/>
      <c r="H782" s="3"/>
      <c r="I782" s="5"/>
      <c r="J782" s="3"/>
      <c r="K782" s="5"/>
      <c r="L782" s="3"/>
      <c r="M782" s="5"/>
      <c r="N782" s="5"/>
    </row>
    <row r="783">
      <c r="A783" s="2"/>
      <c r="B783" s="3"/>
      <c r="C783" s="3"/>
      <c r="D783" s="3"/>
      <c r="E783" s="4"/>
      <c r="F783" s="3"/>
      <c r="G783" s="5"/>
      <c r="H783" s="3"/>
      <c r="I783" s="5"/>
      <c r="J783" s="3"/>
      <c r="K783" s="5"/>
      <c r="L783" s="3"/>
      <c r="M783" s="5"/>
      <c r="N783" s="5"/>
    </row>
    <row r="784">
      <c r="A784" s="2"/>
      <c r="B784" s="3"/>
      <c r="C784" s="3"/>
      <c r="D784" s="3"/>
      <c r="E784" s="4"/>
      <c r="F784" s="3"/>
      <c r="G784" s="5"/>
      <c r="H784" s="3"/>
      <c r="I784" s="5"/>
      <c r="J784" s="3"/>
      <c r="K784" s="5"/>
      <c r="L784" s="3"/>
      <c r="M784" s="5"/>
      <c r="N784" s="5"/>
    </row>
    <row r="785">
      <c r="A785" s="2"/>
      <c r="B785" s="3"/>
      <c r="C785" s="3"/>
      <c r="D785" s="3"/>
      <c r="E785" s="4"/>
      <c r="F785" s="3"/>
      <c r="G785" s="5"/>
      <c r="H785" s="3"/>
      <c r="I785" s="5"/>
      <c r="J785" s="3"/>
      <c r="K785" s="5"/>
      <c r="L785" s="3"/>
      <c r="M785" s="5"/>
      <c r="N785" s="5"/>
    </row>
    <row r="786">
      <c r="A786" s="2"/>
      <c r="B786" s="3"/>
      <c r="C786" s="3"/>
      <c r="D786" s="3"/>
      <c r="E786" s="4"/>
      <c r="F786" s="3"/>
      <c r="G786" s="5"/>
      <c r="H786" s="3"/>
      <c r="I786" s="5"/>
      <c r="J786" s="3"/>
      <c r="K786" s="5"/>
      <c r="L786" s="3"/>
      <c r="M786" s="5"/>
      <c r="N786" s="5"/>
    </row>
    <row r="787">
      <c r="A787" s="2"/>
      <c r="B787" s="3"/>
      <c r="C787" s="3"/>
      <c r="D787" s="3"/>
      <c r="E787" s="4"/>
      <c r="F787" s="3"/>
      <c r="G787" s="5"/>
      <c r="H787" s="3"/>
      <c r="I787" s="5"/>
      <c r="J787" s="3"/>
      <c r="K787" s="5"/>
      <c r="L787" s="3"/>
      <c r="M787" s="5"/>
      <c r="N787" s="5"/>
    </row>
    <row r="788">
      <c r="A788" s="2"/>
      <c r="B788" s="3"/>
      <c r="C788" s="3"/>
      <c r="D788" s="3"/>
      <c r="E788" s="4"/>
      <c r="F788" s="3"/>
      <c r="G788" s="5"/>
      <c r="H788" s="3"/>
      <c r="I788" s="5"/>
      <c r="J788" s="3"/>
      <c r="K788" s="5"/>
      <c r="L788" s="3"/>
      <c r="M788" s="5"/>
      <c r="N788" s="5"/>
    </row>
    <row r="789">
      <c r="A789" s="2"/>
      <c r="B789" s="3"/>
      <c r="C789" s="3"/>
      <c r="D789" s="3"/>
      <c r="E789" s="4"/>
      <c r="F789" s="3"/>
      <c r="G789" s="5"/>
      <c r="H789" s="3"/>
      <c r="I789" s="5"/>
      <c r="J789" s="3"/>
      <c r="K789" s="5"/>
      <c r="L789" s="3"/>
      <c r="M789" s="5"/>
      <c r="N789" s="5"/>
    </row>
    <row r="790">
      <c r="A790" s="2"/>
      <c r="B790" s="3"/>
      <c r="C790" s="3"/>
      <c r="D790" s="3"/>
      <c r="E790" s="4"/>
      <c r="F790" s="3"/>
      <c r="G790" s="5"/>
      <c r="H790" s="3"/>
      <c r="I790" s="5"/>
      <c r="J790" s="3"/>
      <c r="K790" s="5"/>
      <c r="L790" s="3"/>
      <c r="M790" s="5"/>
      <c r="N790" s="5"/>
    </row>
    <row r="791">
      <c r="A791" s="2"/>
      <c r="B791" s="3"/>
      <c r="C791" s="3"/>
      <c r="D791" s="3"/>
      <c r="E791" s="4"/>
      <c r="F791" s="3"/>
      <c r="G791" s="5"/>
      <c r="H791" s="3"/>
      <c r="I791" s="5"/>
      <c r="J791" s="3"/>
      <c r="K791" s="5"/>
      <c r="L791" s="3"/>
      <c r="M791" s="5"/>
      <c r="N791" s="5"/>
    </row>
    <row r="792">
      <c r="A792" s="2"/>
      <c r="B792" s="3"/>
      <c r="C792" s="3"/>
      <c r="D792" s="3"/>
      <c r="E792" s="4"/>
      <c r="F792" s="3"/>
      <c r="G792" s="5"/>
      <c r="H792" s="3"/>
      <c r="I792" s="5"/>
      <c r="J792" s="3"/>
      <c r="K792" s="5"/>
      <c r="L792" s="3"/>
      <c r="M792" s="5"/>
      <c r="N792" s="5"/>
    </row>
    <row r="793">
      <c r="A793" s="2"/>
      <c r="B793" s="3"/>
      <c r="C793" s="3"/>
      <c r="D793" s="3"/>
      <c r="E793" s="4"/>
      <c r="F793" s="3"/>
      <c r="G793" s="5"/>
      <c r="H793" s="3"/>
      <c r="I793" s="5"/>
      <c r="J793" s="3"/>
      <c r="K793" s="5"/>
      <c r="L793" s="3"/>
      <c r="M793" s="5"/>
      <c r="N793" s="5"/>
    </row>
    <row r="794">
      <c r="A794" s="2"/>
      <c r="B794" s="3"/>
      <c r="C794" s="3"/>
      <c r="D794" s="3"/>
      <c r="E794" s="4"/>
      <c r="F794" s="3"/>
      <c r="G794" s="5"/>
      <c r="H794" s="3"/>
      <c r="I794" s="5"/>
      <c r="J794" s="3"/>
      <c r="K794" s="5"/>
      <c r="L794" s="3"/>
      <c r="M794" s="5"/>
      <c r="N794" s="5"/>
    </row>
    <row r="795">
      <c r="A795" s="2"/>
      <c r="B795" s="3"/>
      <c r="C795" s="3"/>
      <c r="D795" s="3"/>
      <c r="E795" s="4"/>
      <c r="F795" s="3"/>
      <c r="G795" s="5"/>
      <c r="H795" s="3"/>
      <c r="I795" s="5"/>
      <c r="J795" s="3"/>
      <c r="K795" s="5"/>
      <c r="L795" s="3"/>
      <c r="M795" s="5"/>
      <c r="N795" s="5"/>
    </row>
    <row r="796">
      <c r="A796" s="2"/>
      <c r="B796" s="3"/>
      <c r="C796" s="3"/>
      <c r="D796" s="3"/>
      <c r="E796" s="4"/>
      <c r="F796" s="3"/>
      <c r="G796" s="5"/>
      <c r="H796" s="3"/>
      <c r="I796" s="5"/>
      <c r="J796" s="3"/>
      <c r="K796" s="5"/>
      <c r="L796" s="3"/>
      <c r="M796" s="5"/>
      <c r="N796" s="5"/>
    </row>
    <row r="797">
      <c r="A797" s="2"/>
      <c r="B797" s="3"/>
      <c r="C797" s="3"/>
      <c r="D797" s="3"/>
      <c r="E797" s="4"/>
      <c r="F797" s="3"/>
      <c r="G797" s="5"/>
      <c r="H797" s="3"/>
      <c r="I797" s="5"/>
      <c r="J797" s="3"/>
      <c r="K797" s="5"/>
      <c r="L797" s="3"/>
      <c r="M797" s="5"/>
      <c r="N797" s="5"/>
    </row>
    <row r="798">
      <c r="A798" s="2"/>
      <c r="B798" s="3"/>
      <c r="C798" s="3"/>
      <c r="D798" s="3"/>
      <c r="E798" s="4"/>
      <c r="F798" s="3"/>
      <c r="G798" s="5"/>
      <c r="H798" s="3"/>
      <c r="I798" s="5"/>
      <c r="J798" s="3"/>
      <c r="K798" s="5"/>
      <c r="L798" s="3"/>
      <c r="M798" s="5"/>
      <c r="N798" s="5"/>
    </row>
    <row r="799">
      <c r="A799" s="2"/>
      <c r="B799" s="3"/>
      <c r="C799" s="3"/>
      <c r="D799" s="3"/>
      <c r="E799" s="4"/>
      <c r="F799" s="3"/>
      <c r="G799" s="5"/>
      <c r="H799" s="3"/>
      <c r="I799" s="5"/>
      <c r="J799" s="3"/>
      <c r="K799" s="5"/>
      <c r="L799" s="3"/>
      <c r="M799" s="5"/>
      <c r="N799" s="5"/>
    </row>
    <row r="800">
      <c r="A800" s="2"/>
      <c r="B800" s="3"/>
      <c r="C800" s="3"/>
      <c r="D800" s="3"/>
      <c r="E800" s="4"/>
      <c r="F800" s="3"/>
      <c r="G800" s="5"/>
      <c r="H800" s="3"/>
      <c r="I800" s="5"/>
      <c r="J800" s="3"/>
      <c r="K800" s="5"/>
      <c r="L800" s="3"/>
      <c r="M800" s="5"/>
      <c r="N800" s="5"/>
    </row>
    <row r="801">
      <c r="A801" s="2"/>
      <c r="B801" s="3"/>
      <c r="C801" s="3"/>
      <c r="D801" s="3"/>
      <c r="E801" s="4"/>
      <c r="F801" s="3"/>
      <c r="G801" s="5"/>
      <c r="H801" s="3"/>
      <c r="I801" s="5"/>
      <c r="J801" s="3"/>
      <c r="K801" s="5"/>
      <c r="L801" s="3"/>
      <c r="M801" s="5"/>
      <c r="N801" s="5"/>
    </row>
    <row r="802">
      <c r="A802" s="2"/>
      <c r="B802" s="3"/>
      <c r="C802" s="3"/>
      <c r="D802" s="3"/>
      <c r="E802" s="4"/>
      <c r="F802" s="3"/>
      <c r="G802" s="5"/>
      <c r="H802" s="3"/>
      <c r="I802" s="5"/>
      <c r="J802" s="3"/>
      <c r="K802" s="5"/>
      <c r="L802" s="3"/>
      <c r="M802" s="5"/>
      <c r="N802" s="5"/>
    </row>
    <row r="803">
      <c r="A803" s="2"/>
      <c r="B803" s="3"/>
      <c r="C803" s="3"/>
      <c r="D803" s="3"/>
      <c r="E803" s="4"/>
      <c r="F803" s="3"/>
      <c r="G803" s="5"/>
      <c r="H803" s="3"/>
      <c r="I803" s="5"/>
      <c r="J803" s="3"/>
      <c r="K803" s="5"/>
      <c r="L803" s="3"/>
      <c r="M803" s="5"/>
      <c r="N803" s="5"/>
    </row>
    <row r="804">
      <c r="A804" s="2"/>
      <c r="B804" s="3"/>
      <c r="C804" s="3"/>
      <c r="D804" s="3"/>
      <c r="E804" s="4"/>
      <c r="F804" s="3"/>
      <c r="G804" s="5"/>
      <c r="H804" s="3"/>
      <c r="I804" s="5"/>
      <c r="J804" s="3"/>
      <c r="K804" s="5"/>
      <c r="L804" s="3"/>
      <c r="M804" s="5"/>
      <c r="N804" s="5"/>
    </row>
    <row r="805">
      <c r="A805" s="2"/>
      <c r="B805" s="3"/>
      <c r="C805" s="3"/>
      <c r="D805" s="3"/>
      <c r="E805" s="4"/>
      <c r="F805" s="3"/>
      <c r="G805" s="5"/>
      <c r="H805" s="3"/>
      <c r="I805" s="5"/>
      <c r="J805" s="3"/>
      <c r="K805" s="5"/>
      <c r="L805" s="3"/>
      <c r="M805" s="5"/>
      <c r="N805" s="5"/>
    </row>
    <row r="806">
      <c r="A806" s="2"/>
      <c r="B806" s="3"/>
      <c r="C806" s="3"/>
      <c r="D806" s="3"/>
      <c r="E806" s="4"/>
      <c r="F806" s="3"/>
      <c r="G806" s="5"/>
      <c r="H806" s="3"/>
      <c r="I806" s="5"/>
      <c r="J806" s="3"/>
      <c r="K806" s="5"/>
      <c r="L806" s="3"/>
      <c r="M806" s="5"/>
      <c r="N806" s="5"/>
    </row>
    <row r="807">
      <c r="A807" s="2"/>
      <c r="B807" s="3"/>
      <c r="C807" s="3"/>
      <c r="D807" s="3"/>
      <c r="E807" s="4"/>
      <c r="F807" s="3"/>
      <c r="G807" s="5"/>
      <c r="H807" s="3"/>
      <c r="I807" s="5"/>
      <c r="J807" s="3"/>
      <c r="K807" s="5"/>
      <c r="L807" s="3"/>
      <c r="M807" s="5"/>
      <c r="N807" s="5"/>
    </row>
    <row r="808">
      <c r="A808" s="2"/>
      <c r="B808" s="3"/>
      <c r="C808" s="3"/>
      <c r="D808" s="3"/>
      <c r="E808" s="4"/>
      <c r="F808" s="3"/>
      <c r="G808" s="5"/>
      <c r="H808" s="3"/>
      <c r="I808" s="5"/>
      <c r="J808" s="3"/>
      <c r="K808" s="5"/>
      <c r="L808" s="3"/>
      <c r="M808" s="5"/>
      <c r="N808" s="5"/>
    </row>
    <row r="809">
      <c r="A809" s="2"/>
      <c r="B809" s="3"/>
      <c r="C809" s="3"/>
      <c r="D809" s="3"/>
      <c r="E809" s="4"/>
      <c r="F809" s="3"/>
      <c r="G809" s="5"/>
      <c r="H809" s="3"/>
      <c r="I809" s="5"/>
      <c r="J809" s="3"/>
      <c r="K809" s="5"/>
      <c r="L809" s="3"/>
      <c r="M809" s="5"/>
      <c r="N809" s="5"/>
    </row>
    <row r="810">
      <c r="A810" s="2"/>
      <c r="B810" s="3"/>
      <c r="C810" s="3"/>
      <c r="D810" s="3"/>
      <c r="E810" s="4"/>
      <c r="F810" s="3"/>
      <c r="G810" s="5"/>
      <c r="H810" s="3"/>
      <c r="I810" s="5"/>
      <c r="J810" s="3"/>
      <c r="K810" s="5"/>
      <c r="L810" s="3"/>
      <c r="M810" s="5"/>
      <c r="N810" s="5"/>
    </row>
    <row r="811">
      <c r="A811" s="2"/>
      <c r="B811" s="3"/>
      <c r="C811" s="3"/>
      <c r="D811" s="3"/>
      <c r="E811" s="4"/>
      <c r="F811" s="3"/>
      <c r="G811" s="5"/>
      <c r="H811" s="3"/>
      <c r="I811" s="5"/>
      <c r="J811" s="3"/>
      <c r="K811" s="5"/>
      <c r="L811" s="3"/>
      <c r="M811" s="5"/>
      <c r="N811" s="5"/>
    </row>
    <row r="812">
      <c r="A812" s="2"/>
      <c r="B812" s="3"/>
      <c r="C812" s="3"/>
      <c r="D812" s="3"/>
      <c r="E812" s="4"/>
      <c r="F812" s="3"/>
      <c r="G812" s="5"/>
      <c r="H812" s="3"/>
      <c r="I812" s="5"/>
      <c r="J812" s="3"/>
      <c r="K812" s="5"/>
      <c r="L812" s="3"/>
      <c r="M812" s="5"/>
      <c r="N812" s="5"/>
    </row>
    <row r="813">
      <c r="A813" s="2"/>
      <c r="B813" s="3"/>
      <c r="C813" s="3"/>
      <c r="D813" s="3"/>
      <c r="E813" s="4"/>
      <c r="F813" s="3"/>
      <c r="G813" s="5"/>
      <c r="H813" s="3"/>
      <c r="I813" s="5"/>
      <c r="J813" s="3"/>
      <c r="K813" s="5"/>
      <c r="L813" s="3"/>
      <c r="M813" s="5"/>
      <c r="N813" s="5"/>
    </row>
    <row r="814">
      <c r="A814" s="2"/>
      <c r="B814" s="3"/>
      <c r="C814" s="3"/>
      <c r="D814" s="3"/>
      <c r="E814" s="4"/>
      <c r="F814" s="3"/>
      <c r="G814" s="5"/>
      <c r="H814" s="3"/>
      <c r="I814" s="5"/>
      <c r="J814" s="3"/>
      <c r="K814" s="5"/>
      <c r="L814" s="3"/>
      <c r="M814" s="5"/>
      <c r="N814" s="5"/>
    </row>
    <row r="815">
      <c r="A815" s="2"/>
      <c r="B815" s="3"/>
      <c r="C815" s="3"/>
      <c r="D815" s="3"/>
      <c r="E815" s="4"/>
      <c r="F815" s="3"/>
      <c r="G815" s="5"/>
      <c r="H815" s="3"/>
      <c r="I815" s="5"/>
      <c r="J815" s="3"/>
      <c r="K815" s="5"/>
      <c r="L815" s="3"/>
      <c r="M815" s="5"/>
      <c r="N815" s="5"/>
    </row>
    <row r="816">
      <c r="A816" s="2"/>
      <c r="B816" s="3"/>
      <c r="C816" s="3"/>
      <c r="D816" s="3"/>
      <c r="E816" s="4"/>
      <c r="F816" s="3"/>
      <c r="G816" s="5"/>
      <c r="H816" s="3"/>
      <c r="I816" s="5"/>
      <c r="J816" s="3"/>
      <c r="K816" s="5"/>
      <c r="L816" s="3"/>
      <c r="M816" s="5"/>
      <c r="N816" s="5"/>
    </row>
    <row r="817">
      <c r="A817" s="2"/>
      <c r="B817" s="3"/>
      <c r="C817" s="3"/>
      <c r="D817" s="3"/>
      <c r="E817" s="4"/>
      <c r="F817" s="3"/>
      <c r="G817" s="5"/>
      <c r="H817" s="3"/>
      <c r="I817" s="5"/>
      <c r="J817" s="3"/>
      <c r="K817" s="5"/>
      <c r="L817" s="3"/>
      <c r="M817" s="5"/>
      <c r="N817" s="5"/>
    </row>
    <row r="818">
      <c r="A818" s="2"/>
      <c r="B818" s="3"/>
      <c r="C818" s="3"/>
      <c r="D818" s="3"/>
      <c r="E818" s="4"/>
      <c r="F818" s="3"/>
      <c r="G818" s="5"/>
      <c r="H818" s="3"/>
      <c r="I818" s="5"/>
      <c r="J818" s="3"/>
      <c r="K818" s="5"/>
      <c r="L818" s="3"/>
      <c r="M818" s="5"/>
      <c r="N818" s="5"/>
    </row>
    <row r="819">
      <c r="A819" s="2"/>
      <c r="B819" s="3"/>
      <c r="C819" s="3"/>
      <c r="D819" s="3"/>
      <c r="E819" s="4"/>
      <c r="F819" s="3"/>
      <c r="G819" s="5"/>
      <c r="H819" s="3"/>
      <c r="I819" s="5"/>
      <c r="J819" s="3"/>
      <c r="K819" s="5"/>
      <c r="L819" s="3"/>
      <c r="M819" s="5"/>
      <c r="N819" s="5"/>
    </row>
    <row r="820">
      <c r="A820" s="2"/>
      <c r="B820" s="3"/>
      <c r="C820" s="3"/>
      <c r="D820" s="3"/>
      <c r="E820" s="4"/>
      <c r="F820" s="3"/>
      <c r="G820" s="5"/>
      <c r="H820" s="3"/>
      <c r="I820" s="5"/>
      <c r="J820" s="3"/>
      <c r="K820" s="5"/>
      <c r="L820" s="3"/>
      <c r="M820" s="5"/>
      <c r="N820" s="5"/>
    </row>
    <row r="821">
      <c r="A821" s="2"/>
      <c r="B821" s="3"/>
      <c r="C821" s="3"/>
      <c r="D821" s="3"/>
      <c r="E821" s="4"/>
      <c r="F821" s="3"/>
      <c r="G821" s="5"/>
      <c r="H821" s="3"/>
      <c r="I821" s="5"/>
      <c r="J821" s="3"/>
      <c r="K821" s="5"/>
      <c r="L821" s="3"/>
      <c r="M821" s="5"/>
      <c r="N821" s="5"/>
    </row>
    <row r="822">
      <c r="A822" s="2"/>
      <c r="B822" s="3"/>
      <c r="C822" s="3"/>
      <c r="D822" s="3"/>
      <c r="E822" s="4"/>
      <c r="F822" s="3"/>
      <c r="G822" s="5"/>
      <c r="H822" s="3"/>
      <c r="I822" s="5"/>
      <c r="J822" s="3"/>
      <c r="K822" s="5"/>
      <c r="L822" s="3"/>
      <c r="M822" s="5"/>
      <c r="N822" s="5"/>
    </row>
    <row r="823">
      <c r="A823" s="2"/>
      <c r="B823" s="3"/>
      <c r="C823" s="3"/>
      <c r="D823" s="3"/>
      <c r="E823" s="4"/>
      <c r="F823" s="3"/>
      <c r="G823" s="5"/>
      <c r="H823" s="3"/>
      <c r="I823" s="5"/>
      <c r="J823" s="3"/>
      <c r="K823" s="5"/>
      <c r="L823" s="3"/>
      <c r="M823" s="5"/>
      <c r="N823" s="5"/>
    </row>
    <row r="824">
      <c r="A824" s="2"/>
      <c r="B824" s="3"/>
      <c r="C824" s="3"/>
      <c r="D824" s="3"/>
      <c r="E824" s="4"/>
      <c r="F824" s="3"/>
      <c r="G824" s="5"/>
      <c r="H824" s="3"/>
      <c r="I824" s="5"/>
      <c r="J824" s="3"/>
      <c r="K824" s="5"/>
      <c r="L824" s="3"/>
      <c r="M824" s="5"/>
      <c r="N824" s="5"/>
    </row>
    <row r="825">
      <c r="A825" s="2"/>
      <c r="B825" s="3"/>
      <c r="C825" s="3"/>
      <c r="D825" s="3"/>
      <c r="E825" s="4"/>
      <c r="F825" s="3"/>
      <c r="G825" s="5"/>
      <c r="H825" s="3"/>
      <c r="I825" s="5"/>
      <c r="J825" s="3"/>
      <c r="K825" s="5"/>
      <c r="L825" s="3"/>
      <c r="M825" s="5"/>
      <c r="N825" s="5"/>
    </row>
    <row r="826">
      <c r="A826" s="2"/>
      <c r="B826" s="3"/>
      <c r="C826" s="3"/>
      <c r="D826" s="3"/>
      <c r="E826" s="4"/>
      <c r="F826" s="3"/>
      <c r="G826" s="5"/>
      <c r="H826" s="3"/>
      <c r="I826" s="5"/>
      <c r="J826" s="3"/>
      <c r="K826" s="5"/>
      <c r="L826" s="3"/>
      <c r="M826" s="5"/>
      <c r="N826" s="5"/>
    </row>
    <row r="827">
      <c r="A827" s="2"/>
      <c r="B827" s="3"/>
      <c r="C827" s="3"/>
      <c r="D827" s="3"/>
      <c r="E827" s="4"/>
      <c r="F827" s="3"/>
      <c r="G827" s="5"/>
      <c r="H827" s="3"/>
      <c r="I827" s="5"/>
      <c r="J827" s="3"/>
      <c r="K827" s="5"/>
      <c r="L827" s="3"/>
      <c r="M827" s="5"/>
      <c r="N827" s="5"/>
    </row>
    <row r="828">
      <c r="A828" s="2"/>
      <c r="B828" s="3"/>
      <c r="C828" s="3"/>
      <c r="D828" s="3"/>
      <c r="E828" s="4"/>
      <c r="F828" s="3"/>
      <c r="G828" s="5"/>
      <c r="H828" s="3"/>
      <c r="I828" s="5"/>
      <c r="J828" s="3"/>
      <c r="K828" s="5"/>
      <c r="L828" s="3"/>
      <c r="M828" s="5"/>
      <c r="N828" s="5"/>
    </row>
    <row r="829">
      <c r="A829" s="2"/>
      <c r="B829" s="3"/>
      <c r="C829" s="3"/>
      <c r="D829" s="3"/>
      <c r="E829" s="4"/>
      <c r="F829" s="3"/>
      <c r="G829" s="5"/>
      <c r="H829" s="3"/>
      <c r="I829" s="5"/>
      <c r="J829" s="3"/>
      <c r="K829" s="5"/>
      <c r="L829" s="3"/>
      <c r="M829" s="5"/>
      <c r="N829" s="5"/>
    </row>
    <row r="830">
      <c r="A830" s="2"/>
      <c r="B830" s="3"/>
      <c r="C830" s="3"/>
      <c r="D830" s="3"/>
      <c r="E830" s="4"/>
      <c r="F830" s="3"/>
      <c r="G830" s="5"/>
      <c r="H830" s="3"/>
      <c r="I830" s="5"/>
      <c r="J830" s="3"/>
      <c r="K830" s="5"/>
      <c r="L830" s="3"/>
      <c r="M830" s="5"/>
      <c r="N830" s="5"/>
    </row>
    <row r="831">
      <c r="A831" s="2"/>
      <c r="B831" s="3"/>
      <c r="C831" s="3"/>
      <c r="D831" s="3"/>
      <c r="E831" s="4"/>
      <c r="F831" s="3"/>
      <c r="G831" s="5"/>
      <c r="H831" s="3"/>
      <c r="I831" s="5"/>
      <c r="J831" s="3"/>
      <c r="K831" s="5"/>
      <c r="L831" s="3"/>
      <c r="M831" s="5"/>
      <c r="N831" s="5"/>
    </row>
    <row r="832">
      <c r="A832" s="2"/>
      <c r="B832" s="3"/>
      <c r="C832" s="3"/>
      <c r="D832" s="3"/>
      <c r="E832" s="4"/>
      <c r="F832" s="3"/>
      <c r="G832" s="5"/>
      <c r="H832" s="3"/>
      <c r="I832" s="5"/>
      <c r="J832" s="3"/>
      <c r="K832" s="5"/>
      <c r="L832" s="3"/>
      <c r="M832" s="5"/>
      <c r="N832" s="5"/>
    </row>
    <row r="833">
      <c r="A833" s="2"/>
      <c r="B833" s="3"/>
      <c r="C833" s="3"/>
      <c r="D833" s="3"/>
      <c r="E833" s="4"/>
      <c r="F833" s="3"/>
      <c r="G833" s="5"/>
      <c r="H833" s="3"/>
      <c r="I833" s="5"/>
      <c r="J833" s="3"/>
      <c r="K833" s="5"/>
      <c r="L833" s="3"/>
      <c r="M833" s="5"/>
      <c r="N833" s="5"/>
    </row>
    <row r="834">
      <c r="A834" s="2"/>
      <c r="B834" s="3"/>
      <c r="C834" s="3"/>
      <c r="D834" s="3"/>
      <c r="E834" s="4"/>
      <c r="F834" s="3"/>
      <c r="G834" s="5"/>
      <c r="H834" s="3"/>
      <c r="I834" s="5"/>
      <c r="J834" s="3"/>
      <c r="K834" s="5"/>
      <c r="L834" s="3"/>
      <c r="M834" s="5"/>
      <c r="N834" s="5"/>
    </row>
    <row r="835">
      <c r="A835" s="2"/>
      <c r="B835" s="3"/>
      <c r="C835" s="3"/>
      <c r="D835" s="3"/>
      <c r="E835" s="4"/>
      <c r="F835" s="3"/>
      <c r="G835" s="5"/>
      <c r="H835" s="3"/>
      <c r="I835" s="5"/>
      <c r="J835" s="3"/>
      <c r="K835" s="5"/>
      <c r="L835" s="3"/>
      <c r="M835" s="5"/>
      <c r="N835" s="5"/>
    </row>
    <row r="836">
      <c r="A836" s="2"/>
      <c r="B836" s="3"/>
      <c r="C836" s="3"/>
      <c r="D836" s="3"/>
      <c r="E836" s="4"/>
      <c r="F836" s="3"/>
      <c r="G836" s="5"/>
      <c r="H836" s="3"/>
      <c r="I836" s="5"/>
      <c r="J836" s="3"/>
      <c r="K836" s="5"/>
      <c r="L836" s="3"/>
      <c r="M836" s="5"/>
      <c r="N836" s="5"/>
    </row>
    <row r="837">
      <c r="A837" s="2"/>
      <c r="B837" s="3"/>
      <c r="C837" s="3"/>
      <c r="D837" s="3"/>
      <c r="E837" s="4"/>
      <c r="F837" s="3"/>
      <c r="G837" s="5"/>
      <c r="H837" s="3"/>
      <c r="I837" s="5"/>
      <c r="J837" s="3"/>
      <c r="K837" s="5"/>
      <c r="L837" s="3"/>
      <c r="M837" s="5"/>
      <c r="N837" s="5"/>
    </row>
    <row r="838">
      <c r="A838" s="2"/>
      <c r="B838" s="3"/>
      <c r="C838" s="3"/>
      <c r="D838" s="3"/>
      <c r="E838" s="4"/>
      <c r="F838" s="3"/>
      <c r="G838" s="5"/>
      <c r="H838" s="3"/>
      <c r="I838" s="5"/>
      <c r="J838" s="3"/>
      <c r="K838" s="5"/>
      <c r="L838" s="3"/>
      <c r="M838" s="5"/>
      <c r="N838" s="5"/>
    </row>
    <row r="839">
      <c r="A839" s="2"/>
      <c r="B839" s="3"/>
      <c r="C839" s="3"/>
      <c r="D839" s="3"/>
      <c r="E839" s="4"/>
      <c r="F839" s="3"/>
      <c r="G839" s="5"/>
      <c r="H839" s="3"/>
      <c r="I839" s="5"/>
      <c r="J839" s="3"/>
      <c r="K839" s="5"/>
      <c r="L839" s="3"/>
      <c r="M839" s="5"/>
      <c r="N839" s="5"/>
    </row>
    <row r="840">
      <c r="A840" s="2"/>
      <c r="B840" s="3"/>
      <c r="C840" s="3"/>
      <c r="D840" s="3"/>
      <c r="E840" s="4"/>
      <c r="F840" s="3"/>
      <c r="G840" s="5"/>
      <c r="H840" s="3"/>
      <c r="I840" s="5"/>
      <c r="J840" s="3"/>
      <c r="K840" s="5"/>
      <c r="L840" s="3"/>
      <c r="M840" s="5"/>
      <c r="N840" s="5"/>
    </row>
    <row r="841">
      <c r="A841" s="2"/>
      <c r="B841" s="3"/>
      <c r="C841" s="3"/>
      <c r="D841" s="3"/>
      <c r="E841" s="4"/>
      <c r="F841" s="3"/>
      <c r="G841" s="5"/>
      <c r="H841" s="3"/>
      <c r="I841" s="5"/>
      <c r="J841" s="3"/>
      <c r="K841" s="5"/>
      <c r="L841" s="3"/>
      <c r="M841" s="5"/>
      <c r="N841" s="5"/>
    </row>
    <row r="842">
      <c r="A842" s="2"/>
      <c r="B842" s="3"/>
      <c r="C842" s="3"/>
      <c r="D842" s="3"/>
      <c r="E842" s="4"/>
      <c r="F842" s="3"/>
      <c r="G842" s="5"/>
      <c r="H842" s="3"/>
      <c r="I842" s="5"/>
      <c r="J842" s="3"/>
      <c r="K842" s="5"/>
      <c r="L842" s="3"/>
      <c r="M842" s="5"/>
      <c r="N842" s="5"/>
    </row>
    <row r="843">
      <c r="A843" s="2"/>
      <c r="B843" s="3"/>
      <c r="C843" s="3"/>
      <c r="D843" s="3"/>
      <c r="E843" s="4"/>
      <c r="F843" s="3"/>
      <c r="G843" s="5"/>
      <c r="H843" s="3"/>
      <c r="I843" s="5"/>
      <c r="J843" s="3"/>
      <c r="K843" s="5"/>
      <c r="L843" s="3"/>
      <c r="M843" s="5"/>
      <c r="N843" s="5"/>
    </row>
    <row r="844">
      <c r="A844" s="2"/>
      <c r="B844" s="3"/>
      <c r="C844" s="3"/>
      <c r="D844" s="3"/>
      <c r="E844" s="4"/>
      <c r="F844" s="3"/>
      <c r="G844" s="5"/>
      <c r="H844" s="3"/>
      <c r="I844" s="5"/>
      <c r="J844" s="3"/>
      <c r="K844" s="5"/>
      <c r="L844" s="3"/>
      <c r="M844" s="5"/>
      <c r="N844" s="5"/>
    </row>
    <row r="845">
      <c r="A845" s="2"/>
      <c r="B845" s="3"/>
      <c r="C845" s="3"/>
      <c r="D845" s="3"/>
      <c r="E845" s="4"/>
      <c r="F845" s="3"/>
      <c r="G845" s="5"/>
      <c r="H845" s="3"/>
      <c r="I845" s="5"/>
      <c r="J845" s="3"/>
      <c r="K845" s="5"/>
      <c r="L845" s="3"/>
      <c r="M845" s="5"/>
      <c r="N845" s="5"/>
    </row>
    <row r="846">
      <c r="A846" s="2"/>
      <c r="B846" s="3"/>
      <c r="C846" s="3"/>
      <c r="D846" s="3"/>
      <c r="E846" s="4"/>
      <c r="F846" s="3"/>
      <c r="G846" s="5"/>
      <c r="H846" s="3"/>
      <c r="I846" s="5"/>
      <c r="J846" s="3"/>
      <c r="K846" s="5"/>
      <c r="L846" s="3"/>
      <c r="M846" s="5"/>
      <c r="N846" s="5"/>
    </row>
    <row r="847">
      <c r="A847" s="2"/>
      <c r="B847" s="3"/>
      <c r="C847" s="3"/>
      <c r="D847" s="3"/>
      <c r="E847" s="4"/>
      <c r="F847" s="3"/>
      <c r="G847" s="5"/>
      <c r="H847" s="3"/>
      <c r="I847" s="5"/>
      <c r="J847" s="3"/>
      <c r="K847" s="5"/>
      <c r="L847" s="3"/>
      <c r="M847" s="5"/>
      <c r="N847" s="5"/>
    </row>
    <row r="848">
      <c r="A848" s="2"/>
      <c r="B848" s="3"/>
      <c r="C848" s="3"/>
      <c r="D848" s="3"/>
      <c r="E848" s="4"/>
      <c r="F848" s="3"/>
      <c r="G848" s="5"/>
      <c r="H848" s="3"/>
      <c r="I848" s="5"/>
      <c r="J848" s="3"/>
      <c r="K848" s="5"/>
      <c r="L848" s="3"/>
      <c r="M848" s="5"/>
      <c r="N848" s="5"/>
    </row>
    <row r="849">
      <c r="A849" s="2"/>
      <c r="B849" s="3"/>
      <c r="C849" s="3"/>
      <c r="D849" s="3"/>
      <c r="E849" s="4"/>
      <c r="F849" s="3"/>
      <c r="G849" s="5"/>
      <c r="H849" s="3"/>
      <c r="I849" s="5"/>
      <c r="J849" s="3"/>
      <c r="K849" s="5"/>
      <c r="L849" s="3"/>
      <c r="M849" s="5"/>
      <c r="N849" s="5"/>
    </row>
    <row r="850">
      <c r="A850" s="2"/>
      <c r="B850" s="3"/>
      <c r="C850" s="3"/>
      <c r="D850" s="3"/>
      <c r="E850" s="4"/>
      <c r="F850" s="3"/>
      <c r="G850" s="5"/>
      <c r="H850" s="3"/>
      <c r="I850" s="5"/>
      <c r="J850" s="3"/>
      <c r="K850" s="5"/>
      <c r="L850" s="3"/>
      <c r="M850" s="5"/>
      <c r="N850" s="5"/>
    </row>
    <row r="851">
      <c r="A851" s="2"/>
      <c r="B851" s="3"/>
      <c r="C851" s="3"/>
      <c r="D851" s="3"/>
      <c r="E851" s="4"/>
      <c r="F851" s="3"/>
      <c r="G851" s="5"/>
      <c r="H851" s="3"/>
      <c r="I851" s="5"/>
      <c r="J851" s="3"/>
      <c r="K851" s="5"/>
      <c r="L851" s="3"/>
      <c r="M851" s="5"/>
      <c r="N851" s="5"/>
    </row>
    <row r="852">
      <c r="A852" s="2"/>
      <c r="B852" s="3"/>
      <c r="C852" s="3"/>
      <c r="D852" s="3"/>
      <c r="E852" s="4"/>
      <c r="F852" s="3"/>
      <c r="G852" s="5"/>
      <c r="H852" s="3"/>
      <c r="I852" s="5"/>
      <c r="J852" s="3"/>
      <c r="K852" s="5"/>
      <c r="L852" s="3"/>
      <c r="M852" s="5"/>
      <c r="N852" s="5"/>
    </row>
    <row r="853">
      <c r="A853" s="2"/>
      <c r="B853" s="3"/>
      <c r="C853" s="3"/>
      <c r="D853" s="3"/>
      <c r="E853" s="4"/>
      <c r="F853" s="3"/>
      <c r="G853" s="5"/>
      <c r="H853" s="3"/>
      <c r="I853" s="5"/>
      <c r="J853" s="3"/>
      <c r="K853" s="5"/>
      <c r="L853" s="3"/>
      <c r="M853" s="5"/>
      <c r="N853" s="5"/>
    </row>
    <row r="854">
      <c r="A854" s="2"/>
      <c r="B854" s="3"/>
      <c r="C854" s="3"/>
      <c r="D854" s="3"/>
      <c r="E854" s="4"/>
      <c r="F854" s="3"/>
      <c r="G854" s="5"/>
      <c r="H854" s="3"/>
      <c r="I854" s="5"/>
      <c r="J854" s="3"/>
      <c r="K854" s="5"/>
      <c r="L854" s="3"/>
      <c r="M854" s="5"/>
      <c r="N854" s="5"/>
    </row>
    <row r="855">
      <c r="A855" s="2"/>
      <c r="B855" s="3"/>
      <c r="C855" s="3"/>
      <c r="D855" s="3"/>
      <c r="E855" s="4"/>
      <c r="F855" s="3"/>
      <c r="G855" s="5"/>
      <c r="H855" s="3"/>
      <c r="I855" s="5"/>
      <c r="J855" s="3"/>
      <c r="K855" s="5"/>
      <c r="L855" s="3"/>
      <c r="M855" s="5"/>
      <c r="N855" s="5"/>
    </row>
    <row r="856">
      <c r="A856" s="2"/>
      <c r="B856" s="3"/>
      <c r="C856" s="3"/>
      <c r="D856" s="3"/>
      <c r="E856" s="4"/>
      <c r="F856" s="3"/>
      <c r="G856" s="5"/>
      <c r="H856" s="3"/>
      <c r="I856" s="5"/>
      <c r="J856" s="3"/>
      <c r="K856" s="5"/>
      <c r="L856" s="3"/>
      <c r="M856" s="5"/>
      <c r="N856" s="5"/>
    </row>
    <row r="857">
      <c r="A857" s="2"/>
      <c r="B857" s="3"/>
      <c r="C857" s="3"/>
      <c r="D857" s="3"/>
      <c r="E857" s="4"/>
      <c r="F857" s="3"/>
      <c r="G857" s="5"/>
      <c r="H857" s="3"/>
      <c r="I857" s="5"/>
      <c r="J857" s="3"/>
      <c r="K857" s="5"/>
      <c r="L857" s="3"/>
      <c r="M857" s="5"/>
      <c r="N857" s="5"/>
    </row>
    <row r="858">
      <c r="A858" s="2"/>
      <c r="B858" s="3"/>
      <c r="C858" s="3"/>
      <c r="D858" s="3"/>
      <c r="E858" s="4"/>
      <c r="F858" s="3"/>
      <c r="G858" s="5"/>
      <c r="H858" s="3"/>
      <c r="I858" s="5"/>
      <c r="J858" s="3"/>
      <c r="K858" s="5"/>
      <c r="L858" s="3"/>
      <c r="M858" s="5"/>
      <c r="N858" s="5"/>
    </row>
    <row r="859">
      <c r="A859" s="2"/>
      <c r="B859" s="3"/>
      <c r="C859" s="3"/>
      <c r="D859" s="3"/>
      <c r="E859" s="4"/>
      <c r="F859" s="3"/>
      <c r="G859" s="5"/>
      <c r="H859" s="3"/>
      <c r="I859" s="5"/>
      <c r="J859" s="3"/>
      <c r="K859" s="5"/>
      <c r="L859" s="3"/>
      <c r="M859" s="5"/>
      <c r="N859" s="5"/>
    </row>
    <row r="860">
      <c r="A860" s="2"/>
      <c r="B860" s="3"/>
      <c r="C860" s="3"/>
      <c r="D860" s="3"/>
      <c r="E860" s="4"/>
      <c r="F860" s="3"/>
      <c r="G860" s="5"/>
      <c r="H860" s="3"/>
      <c r="I860" s="5"/>
      <c r="J860" s="3"/>
      <c r="K860" s="5"/>
      <c r="L860" s="3"/>
      <c r="M860" s="5"/>
      <c r="N860" s="5"/>
    </row>
    <row r="861">
      <c r="A861" s="2"/>
      <c r="B861" s="3"/>
      <c r="C861" s="3"/>
      <c r="D861" s="3"/>
      <c r="E861" s="4"/>
      <c r="F861" s="3"/>
      <c r="G861" s="5"/>
      <c r="H861" s="3"/>
      <c r="I861" s="5"/>
      <c r="J861" s="3"/>
      <c r="K861" s="5"/>
      <c r="L861" s="3"/>
      <c r="M861" s="5"/>
      <c r="N861" s="5"/>
    </row>
    <row r="862">
      <c r="A862" s="2"/>
      <c r="B862" s="3"/>
      <c r="C862" s="3"/>
      <c r="D862" s="3"/>
      <c r="E862" s="4"/>
      <c r="F862" s="3"/>
      <c r="G862" s="5"/>
      <c r="H862" s="3"/>
      <c r="I862" s="5"/>
      <c r="J862" s="3"/>
      <c r="K862" s="5"/>
      <c r="L862" s="3"/>
      <c r="M862" s="5"/>
      <c r="N862" s="5"/>
    </row>
    <row r="863">
      <c r="A863" s="2"/>
      <c r="B863" s="3"/>
      <c r="C863" s="3"/>
      <c r="D863" s="3"/>
      <c r="E863" s="4"/>
      <c r="F863" s="3"/>
      <c r="G863" s="5"/>
      <c r="H863" s="3"/>
      <c r="I863" s="5"/>
      <c r="J863" s="3"/>
      <c r="K863" s="5"/>
      <c r="L863" s="3"/>
      <c r="M863" s="5"/>
      <c r="N863" s="5"/>
    </row>
    <row r="864">
      <c r="A864" s="2"/>
      <c r="B864" s="3"/>
      <c r="C864" s="3"/>
      <c r="D864" s="3"/>
      <c r="E864" s="4"/>
      <c r="F864" s="3"/>
      <c r="G864" s="5"/>
      <c r="H864" s="3"/>
      <c r="I864" s="5"/>
      <c r="J864" s="3"/>
      <c r="K864" s="5"/>
      <c r="L864" s="3"/>
      <c r="M864" s="5"/>
      <c r="N864" s="5"/>
    </row>
    <row r="865">
      <c r="A865" s="2"/>
      <c r="B865" s="3"/>
      <c r="C865" s="3"/>
      <c r="D865" s="3"/>
      <c r="E865" s="4"/>
      <c r="F865" s="3"/>
      <c r="G865" s="5"/>
      <c r="H865" s="3"/>
      <c r="I865" s="5"/>
      <c r="J865" s="3"/>
      <c r="K865" s="5"/>
      <c r="L865" s="3"/>
      <c r="M865" s="5"/>
      <c r="N865" s="5"/>
    </row>
    <row r="866">
      <c r="A866" s="2"/>
      <c r="B866" s="3"/>
      <c r="C866" s="3"/>
      <c r="D866" s="3"/>
      <c r="E866" s="4"/>
      <c r="F866" s="3"/>
      <c r="G866" s="5"/>
      <c r="H866" s="3"/>
      <c r="I866" s="5"/>
      <c r="J866" s="3"/>
      <c r="K866" s="5"/>
      <c r="L866" s="3"/>
      <c r="M866" s="5"/>
      <c r="N866" s="5"/>
    </row>
    <row r="867">
      <c r="A867" s="2"/>
      <c r="B867" s="3"/>
      <c r="C867" s="3"/>
      <c r="D867" s="3"/>
      <c r="E867" s="4"/>
      <c r="F867" s="3"/>
      <c r="G867" s="5"/>
      <c r="H867" s="3"/>
      <c r="I867" s="5"/>
      <c r="J867" s="3"/>
      <c r="K867" s="5"/>
      <c r="L867" s="3"/>
      <c r="M867" s="5"/>
      <c r="N867" s="5"/>
    </row>
    <row r="868">
      <c r="A868" s="2"/>
      <c r="B868" s="3"/>
      <c r="C868" s="3"/>
      <c r="D868" s="3"/>
      <c r="E868" s="4"/>
      <c r="F868" s="3"/>
      <c r="G868" s="5"/>
      <c r="H868" s="3"/>
      <c r="I868" s="5"/>
      <c r="J868" s="3"/>
      <c r="K868" s="5"/>
      <c r="L868" s="3"/>
      <c r="M868" s="5"/>
      <c r="N868" s="5"/>
    </row>
    <row r="869">
      <c r="A869" s="2"/>
      <c r="B869" s="3"/>
      <c r="C869" s="3"/>
      <c r="D869" s="3"/>
      <c r="E869" s="4"/>
      <c r="F869" s="3"/>
      <c r="G869" s="5"/>
      <c r="H869" s="3"/>
      <c r="I869" s="5"/>
      <c r="J869" s="3"/>
      <c r="K869" s="5"/>
      <c r="L869" s="3"/>
      <c r="M869" s="5"/>
      <c r="N869" s="5"/>
    </row>
    <row r="870">
      <c r="A870" s="2"/>
      <c r="B870" s="3"/>
      <c r="C870" s="3"/>
      <c r="D870" s="3"/>
      <c r="E870" s="4"/>
      <c r="F870" s="3"/>
      <c r="G870" s="5"/>
      <c r="H870" s="3"/>
      <c r="I870" s="5"/>
      <c r="J870" s="3"/>
      <c r="K870" s="5"/>
      <c r="L870" s="3"/>
      <c r="M870" s="5"/>
      <c r="N870" s="5"/>
    </row>
    <row r="871">
      <c r="A871" s="2"/>
      <c r="B871" s="3"/>
      <c r="C871" s="3"/>
      <c r="D871" s="3"/>
      <c r="E871" s="4"/>
      <c r="F871" s="3"/>
      <c r="G871" s="5"/>
      <c r="H871" s="3"/>
      <c r="I871" s="5"/>
      <c r="J871" s="3"/>
      <c r="K871" s="5"/>
      <c r="L871" s="3"/>
      <c r="M871" s="5"/>
      <c r="N871" s="5"/>
    </row>
    <row r="872">
      <c r="A872" s="2"/>
      <c r="B872" s="3"/>
      <c r="C872" s="3"/>
      <c r="D872" s="3"/>
      <c r="E872" s="4"/>
      <c r="F872" s="3"/>
      <c r="G872" s="5"/>
      <c r="H872" s="3"/>
      <c r="I872" s="5"/>
      <c r="J872" s="3"/>
      <c r="K872" s="5"/>
      <c r="L872" s="3"/>
      <c r="M872" s="5"/>
      <c r="N872" s="5"/>
    </row>
    <row r="873">
      <c r="A873" s="2"/>
      <c r="B873" s="3"/>
      <c r="C873" s="3"/>
      <c r="D873" s="3"/>
      <c r="E873" s="4"/>
      <c r="F873" s="3"/>
      <c r="G873" s="5"/>
      <c r="H873" s="3"/>
      <c r="I873" s="5"/>
      <c r="J873" s="3"/>
      <c r="K873" s="5"/>
      <c r="L873" s="3"/>
      <c r="M873" s="5"/>
      <c r="N873" s="5"/>
    </row>
    <row r="874">
      <c r="A874" s="2"/>
      <c r="B874" s="3"/>
      <c r="C874" s="3"/>
      <c r="D874" s="3"/>
      <c r="E874" s="4"/>
      <c r="F874" s="3"/>
      <c r="G874" s="5"/>
      <c r="H874" s="3"/>
      <c r="I874" s="5"/>
      <c r="J874" s="3"/>
      <c r="K874" s="5"/>
      <c r="L874" s="3"/>
      <c r="M874" s="5"/>
      <c r="N874" s="5"/>
    </row>
    <row r="875">
      <c r="A875" s="2"/>
      <c r="B875" s="3"/>
      <c r="C875" s="3"/>
      <c r="D875" s="3"/>
      <c r="E875" s="4"/>
      <c r="F875" s="3"/>
      <c r="G875" s="5"/>
      <c r="H875" s="3"/>
      <c r="I875" s="5"/>
      <c r="J875" s="3"/>
      <c r="K875" s="5"/>
      <c r="L875" s="3"/>
      <c r="M875" s="5"/>
      <c r="N875" s="5"/>
    </row>
    <row r="876">
      <c r="A876" s="2"/>
      <c r="B876" s="3"/>
      <c r="C876" s="3"/>
      <c r="D876" s="3"/>
      <c r="E876" s="4"/>
      <c r="F876" s="3"/>
      <c r="G876" s="5"/>
      <c r="H876" s="3"/>
      <c r="I876" s="5"/>
      <c r="J876" s="3"/>
      <c r="K876" s="5"/>
      <c r="L876" s="3"/>
      <c r="M876" s="5"/>
      <c r="N876" s="5"/>
    </row>
    <row r="877">
      <c r="A877" s="2"/>
      <c r="B877" s="3"/>
      <c r="C877" s="3"/>
      <c r="D877" s="3"/>
      <c r="E877" s="4"/>
      <c r="F877" s="3"/>
      <c r="G877" s="5"/>
      <c r="H877" s="3"/>
      <c r="I877" s="5"/>
      <c r="J877" s="3"/>
      <c r="K877" s="5"/>
      <c r="L877" s="3"/>
      <c r="M877" s="5"/>
      <c r="N877" s="5"/>
    </row>
    <row r="878">
      <c r="A878" s="2"/>
      <c r="B878" s="3"/>
      <c r="C878" s="3"/>
      <c r="D878" s="3"/>
      <c r="E878" s="4"/>
      <c r="F878" s="3"/>
      <c r="G878" s="5"/>
      <c r="H878" s="3"/>
      <c r="I878" s="5"/>
      <c r="J878" s="3"/>
      <c r="K878" s="5"/>
      <c r="L878" s="3"/>
      <c r="M878" s="5"/>
      <c r="N878" s="5"/>
    </row>
    <row r="879">
      <c r="A879" s="2"/>
      <c r="B879" s="3"/>
      <c r="C879" s="3"/>
      <c r="D879" s="3"/>
      <c r="E879" s="4"/>
      <c r="F879" s="3"/>
      <c r="G879" s="5"/>
      <c r="H879" s="3"/>
      <c r="I879" s="5"/>
      <c r="J879" s="3"/>
      <c r="K879" s="5"/>
      <c r="L879" s="3"/>
      <c r="M879" s="5"/>
      <c r="N879" s="5"/>
    </row>
    <row r="880">
      <c r="A880" s="2"/>
      <c r="B880" s="3"/>
      <c r="C880" s="3"/>
      <c r="D880" s="3"/>
      <c r="E880" s="4"/>
      <c r="F880" s="3"/>
      <c r="G880" s="5"/>
      <c r="H880" s="3"/>
      <c r="I880" s="5"/>
      <c r="J880" s="3"/>
      <c r="K880" s="5"/>
      <c r="L880" s="3"/>
      <c r="M880" s="5"/>
      <c r="N880" s="5"/>
    </row>
    <row r="881">
      <c r="A881" s="2"/>
      <c r="B881" s="3"/>
      <c r="C881" s="3"/>
      <c r="D881" s="3"/>
      <c r="E881" s="4"/>
      <c r="F881" s="3"/>
      <c r="G881" s="5"/>
      <c r="H881" s="3"/>
      <c r="I881" s="5"/>
      <c r="J881" s="3"/>
      <c r="K881" s="5"/>
      <c r="L881" s="3"/>
      <c r="M881" s="5"/>
      <c r="N881" s="5"/>
    </row>
    <row r="882">
      <c r="A882" s="2"/>
      <c r="B882" s="3"/>
      <c r="C882" s="3"/>
      <c r="D882" s="3"/>
      <c r="E882" s="4"/>
      <c r="F882" s="3"/>
      <c r="G882" s="5"/>
      <c r="H882" s="3"/>
      <c r="I882" s="5"/>
      <c r="J882" s="3"/>
      <c r="K882" s="5"/>
      <c r="L882" s="3"/>
      <c r="M882" s="5"/>
      <c r="N882" s="5"/>
    </row>
    <row r="883">
      <c r="A883" s="2"/>
      <c r="B883" s="3"/>
      <c r="C883" s="3"/>
      <c r="D883" s="3"/>
      <c r="E883" s="4"/>
      <c r="F883" s="3"/>
      <c r="G883" s="5"/>
      <c r="H883" s="3"/>
      <c r="I883" s="5"/>
      <c r="J883" s="3"/>
      <c r="K883" s="5"/>
      <c r="L883" s="3"/>
      <c r="M883" s="5"/>
      <c r="N883" s="5"/>
    </row>
    <row r="884">
      <c r="A884" s="2"/>
      <c r="B884" s="3"/>
      <c r="C884" s="3"/>
      <c r="D884" s="3"/>
      <c r="E884" s="4"/>
      <c r="F884" s="3"/>
      <c r="G884" s="5"/>
      <c r="H884" s="3"/>
      <c r="I884" s="5"/>
      <c r="J884" s="3"/>
      <c r="K884" s="5"/>
      <c r="L884" s="3"/>
      <c r="M884" s="5"/>
      <c r="N884" s="5"/>
    </row>
    <row r="885">
      <c r="A885" s="2"/>
      <c r="B885" s="3"/>
      <c r="C885" s="3"/>
      <c r="D885" s="3"/>
      <c r="E885" s="4"/>
      <c r="F885" s="3"/>
      <c r="G885" s="5"/>
      <c r="H885" s="3"/>
      <c r="I885" s="5"/>
      <c r="J885" s="3"/>
      <c r="K885" s="5"/>
      <c r="L885" s="3"/>
      <c r="M885" s="5"/>
      <c r="N885" s="5"/>
    </row>
    <row r="886">
      <c r="A886" s="2"/>
      <c r="B886" s="3"/>
      <c r="C886" s="3"/>
      <c r="D886" s="3"/>
      <c r="E886" s="4"/>
      <c r="F886" s="3"/>
      <c r="G886" s="5"/>
      <c r="H886" s="3"/>
      <c r="I886" s="5"/>
      <c r="J886" s="3"/>
      <c r="K886" s="5"/>
      <c r="L886" s="3"/>
      <c r="M886" s="5"/>
      <c r="N886" s="5"/>
    </row>
    <row r="887">
      <c r="A887" s="2"/>
      <c r="B887" s="3"/>
      <c r="C887" s="3"/>
      <c r="D887" s="3"/>
      <c r="E887" s="4"/>
      <c r="F887" s="3"/>
      <c r="G887" s="5"/>
      <c r="H887" s="3"/>
      <c r="I887" s="5"/>
      <c r="J887" s="3"/>
      <c r="K887" s="5"/>
      <c r="L887" s="3"/>
      <c r="M887" s="5"/>
      <c r="N887" s="5"/>
    </row>
    <row r="888">
      <c r="A888" s="2"/>
      <c r="B888" s="3"/>
      <c r="C888" s="3"/>
      <c r="D888" s="3"/>
      <c r="E888" s="4"/>
      <c r="F888" s="3"/>
      <c r="G888" s="5"/>
      <c r="H888" s="3"/>
      <c r="I888" s="5"/>
      <c r="J888" s="3"/>
      <c r="K888" s="5"/>
      <c r="L888" s="3"/>
      <c r="M888" s="5"/>
      <c r="N888" s="5"/>
    </row>
    <row r="889">
      <c r="A889" s="2"/>
      <c r="B889" s="3"/>
      <c r="C889" s="3"/>
      <c r="D889" s="3"/>
      <c r="E889" s="4"/>
      <c r="F889" s="3"/>
      <c r="G889" s="5"/>
      <c r="H889" s="3"/>
      <c r="I889" s="5"/>
      <c r="J889" s="3"/>
      <c r="K889" s="5"/>
      <c r="L889" s="3"/>
      <c r="M889" s="5"/>
      <c r="N889" s="5"/>
    </row>
    <row r="890">
      <c r="A890" s="2"/>
      <c r="B890" s="3"/>
      <c r="C890" s="3"/>
      <c r="D890" s="3"/>
      <c r="E890" s="4"/>
      <c r="F890" s="3"/>
      <c r="G890" s="5"/>
      <c r="H890" s="3"/>
      <c r="I890" s="5"/>
      <c r="J890" s="3"/>
      <c r="K890" s="5"/>
      <c r="L890" s="3"/>
      <c r="M890" s="5"/>
      <c r="N890" s="5"/>
    </row>
    <row r="891">
      <c r="A891" s="2"/>
      <c r="B891" s="3"/>
      <c r="C891" s="3"/>
      <c r="D891" s="3"/>
      <c r="E891" s="4"/>
      <c r="F891" s="3"/>
      <c r="G891" s="5"/>
      <c r="H891" s="3"/>
      <c r="I891" s="5"/>
      <c r="J891" s="3"/>
      <c r="K891" s="5"/>
      <c r="L891" s="3"/>
      <c r="M891" s="5"/>
      <c r="N891" s="5"/>
    </row>
    <row r="892">
      <c r="A892" s="2"/>
      <c r="B892" s="3"/>
      <c r="C892" s="3"/>
      <c r="D892" s="3"/>
      <c r="E892" s="4"/>
      <c r="F892" s="3"/>
      <c r="G892" s="5"/>
      <c r="H892" s="3"/>
      <c r="I892" s="5"/>
      <c r="J892" s="3"/>
      <c r="K892" s="5"/>
      <c r="L892" s="3"/>
      <c r="M892" s="5"/>
      <c r="N892" s="5"/>
    </row>
    <row r="893">
      <c r="A893" s="2"/>
      <c r="B893" s="3"/>
      <c r="C893" s="3"/>
      <c r="D893" s="3"/>
      <c r="E893" s="4"/>
      <c r="F893" s="3"/>
      <c r="G893" s="5"/>
      <c r="H893" s="3"/>
      <c r="I893" s="5"/>
      <c r="J893" s="3"/>
      <c r="K893" s="5"/>
      <c r="L893" s="3"/>
      <c r="M893" s="5"/>
      <c r="N893" s="5"/>
    </row>
    <row r="894">
      <c r="A894" s="2"/>
      <c r="B894" s="3"/>
      <c r="C894" s="3"/>
      <c r="D894" s="3"/>
      <c r="E894" s="4"/>
      <c r="F894" s="3"/>
      <c r="G894" s="5"/>
      <c r="H894" s="3"/>
      <c r="I894" s="5"/>
      <c r="J894" s="3"/>
      <c r="K894" s="5"/>
      <c r="L894" s="3"/>
      <c r="M894" s="5"/>
      <c r="N894" s="5"/>
    </row>
    <row r="895">
      <c r="A895" s="2"/>
      <c r="B895" s="3"/>
      <c r="C895" s="3"/>
      <c r="D895" s="3"/>
      <c r="E895" s="4"/>
      <c r="F895" s="3"/>
      <c r="G895" s="5"/>
      <c r="H895" s="3"/>
      <c r="I895" s="5"/>
      <c r="J895" s="3"/>
      <c r="K895" s="5"/>
      <c r="L895" s="3"/>
      <c r="M895" s="5"/>
      <c r="N895" s="5"/>
    </row>
    <row r="896">
      <c r="A896" s="2"/>
      <c r="B896" s="3"/>
      <c r="C896" s="3"/>
      <c r="D896" s="3"/>
      <c r="E896" s="4"/>
      <c r="F896" s="3"/>
      <c r="G896" s="5"/>
      <c r="H896" s="3"/>
      <c r="I896" s="5"/>
      <c r="J896" s="3"/>
      <c r="K896" s="5"/>
      <c r="L896" s="3"/>
      <c r="M896" s="5"/>
      <c r="N896" s="5"/>
    </row>
    <row r="897">
      <c r="A897" s="2"/>
      <c r="B897" s="3"/>
      <c r="C897" s="3"/>
      <c r="D897" s="3"/>
      <c r="E897" s="4"/>
      <c r="F897" s="3"/>
      <c r="G897" s="5"/>
      <c r="H897" s="3"/>
      <c r="I897" s="5"/>
      <c r="J897" s="3"/>
      <c r="K897" s="5"/>
      <c r="L897" s="3"/>
      <c r="M897" s="5"/>
      <c r="N897" s="5"/>
    </row>
    <row r="898">
      <c r="A898" s="2"/>
      <c r="B898" s="3"/>
      <c r="C898" s="3"/>
      <c r="D898" s="3"/>
      <c r="E898" s="4"/>
      <c r="F898" s="3"/>
      <c r="G898" s="5"/>
      <c r="H898" s="3"/>
      <c r="I898" s="5"/>
      <c r="J898" s="3"/>
      <c r="K898" s="5"/>
      <c r="L898" s="3"/>
      <c r="M898" s="5"/>
      <c r="N898" s="5"/>
    </row>
    <row r="899">
      <c r="A899" s="2"/>
      <c r="B899" s="3"/>
      <c r="C899" s="3"/>
      <c r="D899" s="3"/>
      <c r="E899" s="4"/>
      <c r="F899" s="3"/>
      <c r="G899" s="5"/>
      <c r="H899" s="3"/>
      <c r="I899" s="5"/>
      <c r="J899" s="3"/>
      <c r="K899" s="5"/>
      <c r="L899" s="3"/>
      <c r="M899" s="5"/>
      <c r="N899" s="5"/>
    </row>
    <row r="900">
      <c r="A900" s="2"/>
      <c r="B900" s="3"/>
      <c r="C900" s="3"/>
      <c r="D900" s="3"/>
      <c r="E900" s="4"/>
      <c r="F900" s="3"/>
      <c r="G900" s="5"/>
      <c r="H900" s="3"/>
      <c r="I900" s="5"/>
      <c r="J900" s="3"/>
      <c r="K900" s="5"/>
      <c r="L900" s="3"/>
      <c r="M900" s="5"/>
      <c r="N900" s="5"/>
    </row>
    <row r="901">
      <c r="A901" s="2"/>
      <c r="B901" s="3"/>
      <c r="C901" s="3"/>
      <c r="D901" s="3"/>
      <c r="E901" s="4"/>
      <c r="F901" s="3"/>
      <c r="G901" s="5"/>
      <c r="H901" s="3"/>
      <c r="I901" s="5"/>
      <c r="J901" s="3"/>
      <c r="K901" s="5"/>
      <c r="L901" s="3"/>
      <c r="M901" s="5"/>
      <c r="N901" s="5"/>
    </row>
    <row r="902">
      <c r="A902" s="2"/>
      <c r="B902" s="3"/>
      <c r="C902" s="3"/>
      <c r="D902" s="3"/>
      <c r="E902" s="4"/>
      <c r="F902" s="3"/>
      <c r="G902" s="5"/>
      <c r="H902" s="3"/>
      <c r="I902" s="5"/>
      <c r="J902" s="3"/>
      <c r="K902" s="5"/>
      <c r="L902" s="3"/>
      <c r="M902" s="5"/>
      <c r="N902" s="5"/>
    </row>
    <row r="903">
      <c r="A903" s="2"/>
      <c r="B903" s="3"/>
      <c r="C903" s="3"/>
      <c r="D903" s="3"/>
      <c r="E903" s="4"/>
      <c r="F903" s="3"/>
      <c r="G903" s="5"/>
      <c r="H903" s="3"/>
      <c r="I903" s="5"/>
      <c r="J903" s="3"/>
      <c r="K903" s="5"/>
      <c r="L903" s="3"/>
      <c r="M903" s="5"/>
      <c r="N903" s="5"/>
    </row>
    <row r="904">
      <c r="A904" s="2"/>
      <c r="B904" s="3"/>
      <c r="C904" s="3"/>
      <c r="D904" s="3"/>
      <c r="E904" s="4"/>
      <c r="F904" s="3"/>
      <c r="G904" s="5"/>
      <c r="H904" s="3"/>
      <c r="I904" s="5"/>
      <c r="J904" s="3"/>
      <c r="K904" s="5"/>
      <c r="L904" s="3"/>
      <c r="M904" s="5"/>
      <c r="N904" s="5"/>
    </row>
    <row r="905">
      <c r="A905" s="2"/>
      <c r="B905" s="3"/>
      <c r="C905" s="3"/>
      <c r="D905" s="3"/>
      <c r="E905" s="4"/>
      <c r="F905" s="3"/>
      <c r="G905" s="5"/>
      <c r="H905" s="3"/>
      <c r="I905" s="5"/>
      <c r="J905" s="3"/>
      <c r="K905" s="5"/>
      <c r="L905" s="3"/>
      <c r="M905" s="5"/>
      <c r="N905" s="5"/>
    </row>
    <row r="906">
      <c r="A906" s="2"/>
      <c r="B906" s="3"/>
      <c r="C906" s="3"/>
      <c r="D906" s="3"/>
      <c r="E906" s="4"/>
      <c r="F906" s="3"/>
      <c r="G906" s="5"/>
      <c r="H906" s="3"/>
      <c r="I906" s="5"/>
      <c r="J906" s="3"/>
      <c r="K906" s="5"/>
      <c r="L906" s="3"/>
      <c r="M906" s="5"/>
      <c r="N906" s="5"/>
    </row>
    <row r="907">
      <c r="A907" s="2"/>
      <c r="B907" s="3"/>
      <c r="C907" s="3"/>
      <c r="D907" s="3"/>
      <c r="E907" s="4"/>
      <c r="F907" s="3"/>
      <c r="G907" s="5"/>
      <c r="H907" s="3"/>
      <c r="I907" s="5"/>
      <c r="J907" s="3"/>
      <c r="K907" s="5"/>
      <c r="L907" s="3"/>
      <c r="M907" s="5"/>
      <c r="N907" s="5"/>
    </row>
    <row r="908">
      <c r="A908" s="2"/>
      <c r="B908" s="3"/>
      <c r="C908" s="3"/>
      <c r="D908" s="3"/>
      <c r="E908" s="4"/>
      <c r="F908" s="3"/>
      <c r="G908" s="5"/>
      <c r="H908" s="3"/>
      <c r="I908" s="5"/>
      <c r="J908" s="3"/>
      <c r="K908" s="5"/>
      <c r="L908" s="3"/>
      <c r="M908" s="5"/>
      <c r="N908" s="5"/>
    </row>
    <row r="909">
      <c r="A909" s="2"/>
      <c r="B909" s="3"/>
      <c r="C909" s="3"/>
      <c r="D909" s="3"/>
      <c r="E909" s="4"/>
      <c r="F909" s="3"/>
      <c r="G909" s="5"/>
      <c r="H909" s="3"/>
      <c r="I909" s="5"/>
      <c r="J909" s="3"/>
      <c r="K909" s="5"/>
      <c r="L909" s="3"/>
      <c r="M909" s="5"/>
      <c r="N909" s="5"/>
    </row>
    <row r="910">
      <c r="A910" s="2"/>
      <c r="B910" s="3"/>
      <c r="C910" s="3"/>
      <c r="D910" s="3"/>
      <c r="E910" s="4"/>
      <c r="F910" s="3"/>
      <c r="G910" s="5"/>
      <c r="H910" s="3"/>
      <c r="I910" s="5"/>
      <c r="J910" s="3"/>
      <c r="K910" s="5"/>
      <c r="L910" s="3"/>
      <c r="M910" s="5"/>
      <c r="N910" s="5"/>
    </row>
    <row r="911">
      <c r="A911" s="2"/>
      <c r="B911" s="3"/>
      <c r="C911" s="3"/>
      <c r="D911" s="3"/>
      <c r="E911" s="4"/>
      <c r="F911" s="3"/>
      <c r="G911" s="5"/>
      <c r="H911" s="3"/>
      <c r="I911" s="5"/>
      <c r="J911" s="3"/>
      <c r="K911" s="5"/>
      <c r="L911" s="3"/>
      <c r="M911" s="5"/>
      <c r="N911" s="5"/>
    </row>
    <row r="912">
      <c r="A912" s="2"/>
      <c r="B912" s="3"/>
      <c r="C912" s="3"/>
      <c r="D912" s="3"/>
      <c r="E912" s="4"/>
      <c r="F912" s="3"/>
      <c r="G912" s="5"/>
      <c r="H912" s="3"/>
      <c r="I912" s="5"/>
      <c r="J912" s="3"/>
      <c r="K912" s="5"/>
      <c r="L912" s="3"/>
      <c r="M912" s="5"/>
      <c r="N912" s="5"/>
    </row>
    <row r="913">
      <c r="A913" s="2"/>
      <c r="B913" s="3"/>
      <c r="C913" s="3"/>
      <c r="D913" s="3"/>
      <c r="E913" s="4"/>
      <c r="F913" s="3"/>
      <c r="G913" s="5"/>
      <c r="H913" s="3"/>
      <c r="I913" s="5"/>
      <c r="J913" s="3"/>
      <c r="K913" s="5"/>
      <c r="L913" s="3"/>
      <c r="M913" s="5"/>
      <c r="N913" s="5"/>
    </row>
    <row r="914">
      <c r="A914" s="2"/>
      <c r="B914" s="3"/>
      <c r="C914" s="3"/>
      <c r="D914" s="3"/>
      <c r="E914" s="4"/>
      <c r="F914" s="3"/>
      <c r="G914" s="5"/>
      <c r="H914" s="3"/>
      <c r="I914" s="5"/>
      <c r="J914" s="3"/>
      <c r="K914" s="5"/>
      <c r="L914" s="3"/>
      <c r="M914" s="5"/>
      <c r="N914" s="5"/>
    </row>
    <row r="915">
      <c r="A915" s="2"/>
      <c r="B915" s="3"/>
      <c r="C915" s="3"/>
      <c r="D915" s="3"/>
      <c r="E915" s="4"/>
      <c r="F915" s="3"/>
      <c r="G915" s="5"/>
      <c r="H915" s="3"/>
      <c r="I915" s="5"/>
      <c r="J915" s="3"/>
      <c r="K915" s="5"/>
      <c r="L915" s="3"/>
      <c r="M915" s="5"/>
      <c r="N915" s="5"/>
    </row>
    <row r="916">
      <c r="A916" s="2"/>
      <c r="B916" s="3"/>
      <c r="C916" s="3"/>
      <c r="D916" s="3"/>
      <c r="E916" s="4"/>
      <c r="F916" s="3"/>
      <c r="G916" s="5"/>
      <c r="H916" s="3"/>
      <c r="I916" s="5"/>
      <c r="J916" s="3"/>
      <c r="K916" s="5"/>
      <c r="L916" s="3"/>
      <c r="M916" s="5"/>
      <c r="N916" s="5"/>
    </row>
    <row r="917">
      <c r="A917" s="2"/>
      <c r="B917" s="3"/>
      <c r="C917" s="3"/>
      <c r="D917" s="3"/>
      <c r="E917" s="4"/>
      <c r="F917" s="3"/>
      <c r="G917" s="5"/>
      <c r="H917" s="3"/>
      <c r="I917" s="5"/>
      <c r="J917" s="3"/>
      <c r="K917" s="5"/>
      <c r="L917" s="3"/>
      <c r="M917" s="5"/>
      <c r="N917" s="5"/>
    </row>
    <row r="918">
      <c r="A918" s="2"/>
      <c r="B918" s="3"/>
      <c r="C918" s="3"/>
      <c r="D918" s="3"/>
      <c r="E918" s="4"/>
      <c r="F918" s="3"/>
      <c r="G918" s="5"/>
      <c r="H918" s="3"/>
      <c r="I918" s="5"/>
      <c r="J918" s="3"/>
      <c r="K918" s="5"/>
      <c r="L918" s="3"/>
      <c r="M918" s="5"/>
      <c r="N918" s="5"/>
    </row>
    <row r="919">
      <c r="A919" s="2"/>
      <c r="B919" s="3"/>
      <c r="C919" s="3"/>
      <c r="D919" s="3"/>
      <c r="E919" s="4"/>
      <c r="F919" s="3"/>
      <c r="G919" s="5"/>
      <c r="H919" s="3"/>
      <c r="I919" s="5"/>
      <c r="J919" s="3"/>
      <c r="K919" s="5"/>
      <c r="L919" s="3"/>
      <c r="M919" s="5"/>
      <c r="N919" s="5"/>
    </row>
    <row r="920">
      <c r="A920" s="2"/>
      <c r="B920" s="3"/>
      <c r="C920" s="3"/>
      <c r="D920" s="3"/>
      <c r="E920" s="4"/>
      <c r="F920" s="3"/>
      <c r="G920" s="5"/>
      <c r="H920" s="3"/>
      <c r="I920" s="5"/>
      <c r="J920" s="3"/>
      <c r="K920" s="5"/>
      <c r="L920" s="3"/>
      <c r="M920" s="5"/>
      <c r="N920" s="5"/>
    </row>
    <row r="921">
      <c r="A921" s="2"/>
      <c r="B921" s="3"/>
      <c r="C921" s="3"/>
      <c r="D921" s="3"/>
      <c r="E921" s="4"/>
      <c r="F921" s="3"/>
      <c r="G921" s="5"/>
      <c r="H921" s="3"/>
      <c r="I921" s="5"/>
      <c r="J921" s="3"/>
      <c r="K921" s="5"/>
      <c r="L921" s="3"/>
      <c r="M921" s="5"/>
      <c r="N921" s="5"/>
    </row>
    <row r="922">
      <c r="A922" s="2"/>
      <c r="B922" s="3"/>
      <c r="C922" s="3"/>
      <c r="D922" s="3"/>
      <c r="E922" s="4"/>
      <c r="F922" s="3"/>
      <c r="G922" s="5"/>
      <c r="H922" s="3"/>
      <c r="I922" s="5"/>
      <c r="J922" s="3"/>
      <c r="K922" s="5"/>
      <c r="L922" s="3"/>
      <c r="M922" s="5"/>
      <c r="N922" s="5"/>
    </row>
    <row r="923">
      <c r="A923" s="2"/>
      <c r="B923" s="3"/>
      <c r="C923" s="3"/>
      <c r="D923" s="3"/>
      <c r="E923" s="4"/>
      <c r="F923" s="3"/>
      <c r="G923" s="5"/>
      <c r="H923" s="3"/>
      <c r="I923" s="5"/>
      <c r="J923" s="3"/>
      <c r="K923" s="5"/>
      <c r="L923" s="3"/>
      <c r="M923" s="5"/>
      <c r="N923" s="5"/>
    </row>
    <row r="924">
      <c r="A924" s="2"/>
      <c r="B924" s="3"/>
      <c r="C924" s="3"/>
      <c r="D924" s="3"/>
      <c r="E924" s="4"/>
      <c r="F924" s="3"/>
      <c r="G924" s="5"/>
      <c r="H924" s="3"/>
      <c r="I924" s="5"/>
      <c r="J924" s="3"/>
      <c r="K924" s="5"/>
      <c r="L924" s="3"/>
      <c r="M924" s="5"/>
      <c r="N924" s="5"/>
    </row>
    <row r="925">
      <c r="A925" s="2"/>
      <c r="B925" s="3"/>
      <c r="C925" s="3"/>
      <c r="D925" s="3"/>
      <c r="E925" s="4"/>
      <c r="F925" s="3"/>
      <c r="G925" s="5"/>
      <c r="H925" s="3"/>
      <c r="I925" s="5"/>
      <c r="J925" s="3"/>
      <c r="K925" s="5"/>
      <c r="L925" s="3"/>
      <c r="M925" s="5"/>
      <c r="N925" s="5"/>
    </row>
    <row r="926">
      <c r="A926" s="2"/>
      <c r="B926" s="3"/>
      <c r="C926" s="3"/>
      <c r="D926" s="3"/>
      <c r="E926" s="4"/>
      <c r="F926" s="3"/>
      <c r="G926" s="5"/>
      <c r="H926" s="3"/>
      <c r="I926" s="5"/>
      <c r="J926" s="3"/>
      <c r="K926" s="5"/>
      <c r="L926" s="3"/>
      <c r="M926" s="5"/>
      <c r="N926" s="5"/>
    </row>
    <row r="927">
      <c r="A927" s="2"/>
      <c r="B927" s="3"/>
      <c r="C927" s="3"/>
      <c r="D927" s="3"/>
      <c r="E927" s="4"/>
      <c r="F927" s="3"/>
      <c r="G927" s="5"/>
      <c r="H927" s="3"/>
      <c r="I927" s="5"/>
      <c r="J927" s="3"/>
      <c r="K927" s="5"/>
      <c r="L927" s="3"/>
      <c r="M927" s="5"/>
      <c r="N927" s="5"/>
    </row>
    <row r="928">
      <c r="A928" s="2"/>
      <c r="B928" s="3"/>
      <c r="C928" s="3"/>
      <c r="D928" s="3"/>
      <c r="E928" s="4"/>
      <c r="F928" s="3"/>
      <c r="G928" s="5"/>
      <c r="H928" s="3"/>
      <c r="I928" s="5"/>
      <c r="J928" s="3"/>
      <c r="K928" s="5"/>
      <c r="L928" s="3"/>
      <c r="M928" s="5"/>
      <c r="N928" s="5"/>
    </row>
    <row r="929">
      <c r="A929" s="2"/>
      <c r="B929" s="3"/>
      <c r="C929" s="3"/>
      <c r="D929" s="3"/>
      <c r="E929" s="4"/>
      <c r="F929" s="3"/>
      <c r="G929" s="5"/>
      <c r="H929" s="3"/>
      <c r="I929" s="5"/>
      <c r="J929" s="3"/>
      <c r="K929" s="5"/>
      <c r="L929" s="3"/>
      <c r="M929" s="5"/>
      <c r="N929" s="5"/>
    </row>
    <row r="930">
      <c r="A930" s="2"/>
      <c r="B930" s="3"/>
      <c r="C930" s="3"/>
      <c r="D930" s="3"/>
      <c r="E930" s="4"/>
      <c r="F930" s="3"/>
      <c r="G930" s="5"/>
      <c r="H930" s="3"/>
      <c r="I930" s="5"/>
      <c r="J930" s="3"/>
      <c r="K930" s="5"/>
      <c r="L930" s="3"/>
      <c r="M930" s="5"/>
      <c r="N930" s="5"/>
    </row>
    <row r="931">
      <c r="A931" s="2"/>
      <c r="B931" s="3"/>
      <c r="C931" s="3"/>
      <c r="D931" s="3"/>
      <c r="E931" s="4"/>
      <c r="F931" s="3"/>
      <c r="G931" s="5"/>
      <c r="H931" s="3"/>
      <c r="I931" s="5"/>
      <c r="J931" s="3"/>
      <c r="K931" s="5"/>
      <c r="L931" s="3"/>
      <c r="M931" s="5"/>
      <c r="N931" s="5"/>
    </row>
    <row r="932">
      <c r="A932" s="2"/>
      <c r="B932" s="3"/>
      <c r="C932" s="3"/>
      <c r="D932" s="3"/>
      <c r="E932" s="4"/>
      <c r="F932" s="3"/>
      <c r="G932" s="5"/>
      <c r="H932" s="3"/>
      <c r="I932" s="5"/>
      <c r="J932" s="3"/>
      <c r="K932" s="5"/>
      <c r="L932" s="3"/>
      <c r="M932" s="5"/>
      <c r="N932" s="5"/>
    </row>
    <row r="933">
      <c r="A933" s="2"/>
      <c r="B933" s="3"/>
      <c r="C933" s="3"/>
      <c r="D933" s="3"/>
      <c r="E933" s="4"/>
      <c r="F933" s="3"/>
      <c r="G933" s="5"/>
      <c r="H933" s="3"/>
      <c r="I933" s="5"/>
      <c r="J933" s="3"/>
      <c r="K933" s="5"/>
      <c r="L933" s="3"/>
      <c r="M933" s="5"/>
      <c r="N933" s="5"/>
    </row>
    <row r="934">
      <c r="A934" s="2"/>
      <c r="B934" s="3"/>
      <c r="C934" s="3"/>
      <c r="D934" s="3"/>
      <c r="E934" s="4"/>
      <c r="F934" s="3"/>
      <c r="G934" s="5"/>
      <c r="H934" s="3"/>
      <c r="I934" s="5"/>
      <c r="J934" s="3"/>
      <c r="K934" s="5"/>
      <c r="L934" s="3"/>
      <c r="M934" s="5"/>
      <c r="N934" s="5"/>
    </row>
    <row r="935">
      <c r="A935" s="2"/>
      <c r="B935" s="3"/>
      <c r="C935" s="3"/>
      <c r="D935" s="3"/>
      <c r="E935" s="4"/>
      <c r="F935" s="3"/>
      <c r="G935" s="5"/>
      <c r="H935" s="3"/>
      <c r="I935" s="5"/>
      <c r="J935" s="3"/>
      <c r="K935" s="5"/>
      <c r="L935" s="3"/>
      <c r="M935" s="5"/>
      <c r="N935" s="5"/>
    </row>
    <row r="936">
      <c r="A936" s="2"/>
      <c r="B936" s="3"/>
      <c r="C936" s="3"/>
      <c r="D936" s="3"/>
      <c r="E936" s="4"/>
      <c r="F936" s="3"/>
      <c r="G936" s="5"/>
      <c r="H936" s="3"/>
      <c r="I936" s="5"/>
      <c r="J936" s="3"/>
      <c r="K936" s="5"/>
      <c r="L936" s="3"/>
      <c r="M936" s="5"/>
      <c r="N936" s="5"/>
    </row>
    <row r="937">
      <c r="A937" s="2"/>
      <c r="B937" s="3"/>
      <c r="C937" s="3"/>
      <c r="D937" s="3"/>
      <c r="E937" s="4"/>
      <c r="F937" s="3"/>
      <c r="G937" s="5"/>
      <c r="H937" s="3"/>
      <c r="I937" s="5"/>
      <c r="J937" s="3"/>
      <c r="K937" s="5"/>
      <c r="L937" s="3"/>
      <c r="M937" s="5"/>
      <c r="N937" s="5"/>
    </row>
    <row r="938">
      <c r="A938" s="2"/>
      <c r="B938" s="3"/>
      <c r="C938" s="3"/>
      <c r="D938" s="3"/>
      <c r="E938" s="4"/>
      <c r="F938" s="3"/>
      <c r="G938" s="5"/>
      <c r="H938" s="3"/>
      <c r="I938" s="5"/>
      <c r="J938" s="3"/>
      <c r="K938" s="5"/>
      <c r="L938" s="3"/>
      <c r="M938" s="5"/>
      <c r="N938" s="5"/>
    </row>
    <row r="939">
      <c r="A939" s="2"/>
      <c r="B939" s="3"/>
      <c r="C939" s="3"/>
      <c r="D939" s="3"/>
      <c r="E939" s="4"/>
      <c r="F939" s="3"/>
      <c r="G939" s="5"/>
      <c r="H939" s="3"/>
      <c r="I939" s="5"/>
      <c r="J939" s="3"/>
      <c r="K939" s="5"/>
      <c r="L939" s="3"/>
      <c r="M939" s="5"/>
      <c r="N939" s="5"/>
    </row>
    <row r="940">
      <c r="A940" s="2"/>
      <c r="B940" s="3"/>
      <c r="C940" s="3"/>
      <c r="D940" s="3"/>
      <c r="E940" s="4"/>
      <c r="F940" s="3"/>
      <c r="G940" s="5"/>
      <c r="H940" s="3"/>
      <c r="I940" s="5"/>
      <c r="J940" s="3"/>
      <c r="K940" s="5"/>
      <c r="L940" s="3"/>
      <c r="M940" s="5"/>
      <c r="N940" s="5"/>
    </row>
    <row r="941">
      <c r="A941" s="2"/>
      <c r="B941" s="3"/>
      <c r="C941" s="3"/>
      <c r="D941" s="3"/>
      <c r="E941" s="4"/>
      <c r="F941" s="3"/>
      <c r="G941" s="5"/>
      <c r="H941" s="3"/>
      <c r="I941" s="5"/>
      <c r="J941" s="3"/>
      <c r="K941" s="5"/>
      <c r="L941" s="3"/>
      <c r="M941" s="5"/>
      <c r="N941" s="5"/>
    </row>
    <row r="942">
      <c r="A942" s="2"/>
      <c r="B942" s="3"/>
      <c r="C942" s="3"/>
      <c r="D942" s="3"/>
      <c r="E942" s="4"/>
      <c r="F942" s="3"/>
      <c r="G942" s="5"/>
      <c r="H942" s="3"/>
      <c r="I942" s="5"/>
      <c r="J942" s="3"/>
      <c r="K942" s="5"/>
      <c r="L942" s="3"/>
      <c r="M942" s="5"/>
      <c r="N942" s="5"/>
    </row>
    <row r="943">
      <c r="A943" s="2"/>
      <c r="B943" s="3"/>
      <c r="C943" s="3"/>
      <c r="D943" s="3"/>
      <c r="E943" s="4"/>
      <c r="F943" s="3"/>
      <c r="G943" s="5"/>
      <c r="H943" s="3"/>
      <c r="I943" s="5"/>
      <c r="J943" s="3"/>
      <c r="K943" s="5"/>
      <c r="L943" s="3"/>
      <c r="M943" s="5"/>
      <c r="N943" s="5"/>
    </row>
    <row r="944">
      <c r="A944" s="2"/>
      <c r="B944" s="3"/>
      <c r="C944" s="3"/>
      <c r="D944" s="3"/>
      <c r="E944" s="4"/>
      <c r="F944" s="3"/>
      <c r="G944" s="5"/>
      <c r="H944" s="3"/>
      <c r="I944" s="5"/>
      <c r="J944" s="3"/>
      <c r="K944" s="5"/>
      <c r="L944" s="3"/>
      <c r="M944" s="5"/>
      <c r="N944" s="5"/>
    </row>
    <row r="945">
      <c r="A945" s="2"/>
      <c r="B945" s="3"/>
      <c r="C945" s="3"/>
      <c r="D945" s="3"/>
      <c r="E945" s="4"/>
      <c r="F945" s="3"/>
      <c r="G945" s="5"/>
      <c r="H945" s="3"/>
      <c r="I945" s="5"/>
      <c r="J945" s="3"/>
      <c r="K945" s="5"/>
      <c r="L945" s="3"/>
      <c r="M945" s="5"/>
      <c r="N945" s="5"/>
    </row>
    <row r="946">
      <c r="A946" s="2"/>
      <c r="B946" s="3"/>
      <c r="C946" s="3"/>
      <c r="D946" s="3"/>
      <c r="E946" s="4"/>
      <c r="F946" s="3"/>
      <c r="G946" s="5"/>
      <c r="H946" s="3"/>
      <c r="I946" s="5"/>
      <c r="J946" s="3"/>
      <c r="K946" s="5"/>
      <c r="L946" s="3"/>
      <c r="M946" s="5"/>
      <c r="N946" s="5"/>
    </row>
    <row r="947">
      <c r="A947" s="2"/>
      <c r="B947" s="3"/>
      <c r="C947" s="3"/>
      <c r="D947" s="3"/>
      <c r="E947" s="4"/>
      <c r="F947" s="3"/>
      <c r="G947" s="5"/>
      <c r="H947" s="3"/>
      <c r="I947" s="5"/>
      <c r="J947" s="3"/>
      <c r="K947" s="5"/>
      <c r="L947" s="3"/>
      <c r="M947" s="5"/>
      <c r="N947" s="5"/>
    </row>
    <row r="948">
      <c r="A948" s="2"/>
      <c r="B948" s="3"/>
      <c r="C948" s="3"/>
      <c r="D948" s="3"/>
      <c r="E948" s="4"/>
      <c r="F948" s="3"/>
      <c r="G948" s="5"/>
      <c r="H948" s="3"/>
      <c r="I948" s="5"/>
      <c r="J948" s="3"/>
      <c r="K948" s="5"/>
      <c r="L948" s="3"/>
      <c r="M948" s="5"/>
      <c r="N948" s="5"/>
    </row>
    <row r="949">
      <c r="A949" s="2"/>
      <c r="B949" s="3"/>
      <c r="C949" s="3"/>
      <c r="D949" s="3"/>
      <c r="E949" s="4"/>
      <c r="F949" s="3"/>
      <c r="G949" s="5"/>
      <c r="H949" s="3"/>
      <c r="I949" s="5"/>
      <c r="J949" s="3"/>
      <c r="K949" s="5"/>
      <c r="L949" s="3"/>
      <c r="M949" s="5"/>
      <c r="N949" s="5"/>
    </row>
    <row r="950">
      <c r="A950" s="2"/>
      <c r="B950" s="3"/>
      <c r="C950" s="3"/>
      <c r="D950" s="3"/>
      <c r="E950" s="4"/>
      <c r="F950" s="3"/>
      <c r="G950" s="5"/>
      <c r="H950" s="3"/>
      <c r="I950" s="5"/>
      <c r="J950" s="3"/>
      <c r="K950" s="5"/>
      <c r="L950" s="3"/>
      <c r="M950" s="5"/>
      <c r="N950" s="5"/>
    </row>
    <row r="951">
      <c r="A951" s="2"/>
      <c r="B951" s="3"/>
      <c r="C951" s="3"/>
      <c r="D951" s="3"/>
      <c r="E951" s="4"/>
      <c r="F951" s="3"/>
      <c r="G951" s="5"/>
      <c r="H951" s="3"/>
      <c r="I951" s="5"/>
      <c r="J951" s="3"/>
      <c r="K951" s="5"/>
      <c r="L951" s="3"/>
      <c r="M951" s="5"/>
      <c r="N951" s="5"/>
    </row>
    <row r="952">
      <c r="A952" s="2"/>
      <c r="B952" s="3"/>
      <c r="C952" s="3"/>
      <c r="D952" s="3"/>
      <c r="E952" s="4"/>
      <c r="F952" s="3"/>
      <c r="G952" s="5"/>
      <c r="H952" s="3"/>
      <c r="I952" s="5"/>
      <c r="J952" s="3"/>
      <c r="K952" s="5"/>
      <c r="L952" s="3"/>
      <c r="M952" s="5"/>
      <c r="N952" s="5"/>
    </row>
    <row r="953">
      <c r="A953" s="2"/>
      <c r="B953" s="3"/>
      <c r="C953" s="3"/>
      <c r="D953" s="3"/>
      <c r="E953" s="4"/>
      <c r="F953" s="3"/>
      <c r="G953" s="5"/>
      <c r="H953" s="3"/>
      <c r="I953" s="5"/>
      <c r="J953" s="3"/>
      <c r="K953" s="5"/>
      <c r="L953" s="3"/>
      <c r="M953" s="5"/>
      <c r="N953" s="5"/>
    </row>
    <row r="954">
      <c r="A954" s="2"/>
      <c r="B954" s="3"/>
      <c r="C954" s="3"/>
      <c r="D954" s="3"/>
      <c r="E954" s="4"/>
      <c r="F954" s="3"/>
      <c r="G954" s="5"/>
      <c r="H954" s="3"/>
      <c r="I954" s="5"/>
      <c r="J954" s="3"/>
      <c r="K954" s="5"/>
      <c r="L954" s="3"/>
      <c r="M954" s="5"/>
      <c r="N954" s="5"/>
    </row>
    <row r="955">
      <c r="A955" s="2"/>
      <c r="B955" s="3"/>
      <c r="C955" s="3"/>
      <c r="D955" s="3"/>
      <c r="E955" s="4"/>
      <c r="F955" s="3"/>
      <c r="G955" s="5"/>
      <c r="H955" s="3"/>
      <c r="I955" s="5"/>
      <c r="J955" s="3"/>
      <c r="K955" s="5"/>
      <c r="L955" s="3"/>
      <c r="M955" s="5"/>
      <c r="N955" s="5"/>
    </row>
    <row r="956">
      <c r="A956" s="2"/>
      <c r="B956" s="3"/>
      <c r="C956" s="3"/>
      <c r="D956" s="3"/>
      <c r="E956" s="4"/>
      <c r="F956" s="3"/>
      <c r="G956" s="5"/>
      <c r="H956" s="3"/>
      <c r="I956" s="5"/>
      <c r="J956" s="3"/>
      <c r="K956" s="5"/>
      <c r="L956" s="3"/>
      <c r="M956" s="5"/>
      <c r="N956" s="5"/>
    </row>
    <row r="957">
      <c r="A957" s="2"/>
      <c r="B957" s="3"/>
      <c r="C957" s="3"/>
      <c r="D957" s="3"/>
      <c r="E957" s="4"/>
      <c r="F957" s="3"/>
      <c r="G957" s="5"/>
      <c r="H957" s="3"/>
      <c r="I957" s="5"/>
      <c r="J957" s="3"/>
      <c r="K957" s="5"/>
      <c r="L957" s="3"/>
      <c r="M957" s="5"/>
      <c r="N957" s="5"/>
    </row>
    <row r="958">
      <c r="A958" s="2"/>
      <c r="B958" s="3"/>
      <c r="C958" s="3"/>
      <c r="D958" s="3"/>
      <c r="E958" s="4"/>
      <c r="F958" s="3"/>
      <c r="G958" s="5"/>
      <c r="H958" s="3"/>
      <c r="I958" s="5"/>
      <c r="J958" s="3"/>
      <c r="K958" s="5"/>
      <c r="L958" s="3"/>
      <c r="M958" s="5"/>
      <c r="N958" s="5"/>
    </row>
    <row r="959">
      <c r="A959" s="2"/>
      <c r="B959" s="3"/>
      <c r="C959" s="3"/>
      <c r="D959" s="3"/>
      <c r="E959" s="4"/>
      <c r="F959" s="3"/>
      <c r="G959" s="5"/>
      <c r="H959" s="3"/>
      <c r="I959" s="5"/>
      <c r="J959" s="3"/>
      <c r="K959" s="5"/>
      <c r="L959" s="3"/>
      <c r="M959" s="5"/>
      <c r="N959" s="5"/>
    </row>
    <row r="960">
      <c r="A960" s="2"/>
      <c r="B960" s="3"/>
      <c r="C960" s="3"/>
      <c r="D960" s="3"/>
      <c r="E960" s="4"/>
      <c r="F960" s="3"/>
      <c r="G960" s="5"/>
      <c r="H960" s="3"/>
      <c r="I960" s="5"/>
      <c r="J960" s="3"/>
      <c r="K960" s="5"/>
      <c r="L960" s="3"/>
      <c r="M960" s="5"/>
      <c r="N960" s="5"/>
    </row>
    <row r="961">
      <c r="A961" s="2"/>
      <c r="B961" s="3"/>
      <c r="C961" s="3"/>
      <c r="D961" s="3"/>
      <c r="E961" s="4"/>
      <c r="F961" s="3"/>
      <c r="G961" s="5"/>
      <c r="H961" s="3"/>
      <c r="I961" s="5"/>
      <c r="J961" s="3"/>
      <c r="K961" s="5"/>
      <c r="L961" s="3"/>
      <c r="M961" s="5"/>
      <c r="N961" s="5"/>
    </row>
    <row r="962">
      <c r="A962" s="2"/>
      <c r="B962" s="3"/>
      <c r="C962" s="3"/>
      <c r="D962" s="3"/>
      <c r="E962" s="4"/>
      <c r="F962" s="3"/>
      <c r="G962" s="5"/>
      <c r="H962" s="3"/>
      <c r="I962" s="5"/>
      <c r="J962" s="3"/>
      <c r="K962" s="5"/>
      <c r="L962" s="3"/>
      <c r="M962" s="5"/>
      <c r="N962" s="5"/>
    </row>
    <row r="963">
      <c r="A963" s="2"/>
      <c r="B963" s="3"/>
      <c r="C963" s="3"/>
      <c r="D963" s="3"/>
      <c r="E963" s="4"/>
      <c r="F963" s="3"/>
      <c r="G963" s="5"/>
      <c r="H963" s="3"/>
      <c r="I963" s="5"/>
      <c r="J963" s="3"/>
      <c r="K963" s="5"/>
      <c r="L963" s="3"/>
      <c r="M963" s="5"/>
      <c r="N963" s="5"/>
    </row>
    <row r="964">
      <c r="A964" s="2"/>
      <c r="B964" s="3"/>
      <c r="C964" s="3"/>
      <c r="D964" s="3"/>
      <c r="E964" s="4"/>
      <c r="F964" s="3"/>
      <c r="G964" s="5"/>
      <c r="H964" s="3"/>
      <c r="I964" s="5"/>
      <c r="J964" s="3"/>
      <c r="K964" s="5"/>
      <c r="L964" s="3"/>
      <c r="M964" s="5"/>
      <c r="N964" s="5"/>
    </row>
    <row r="965">
      <c r="A965" s="2"/>
      <c r="B965" s="3"/>
      <c r="C965" s="3"/>
      <c r="D965" s="3"/>
      <c r="E965" s="4"/>
      <c r="F965" s="3"/>
      <c r="G965" s="5"/>
      <c r="H965" s="3"/>
      <c r="I965" s="5"/>
      <c r="J965" s="3"/>
      <c r="K965" s="5"/>
      <c r="L965" s="3"/>
      <c r="M965" s="5"/>
      <c r="N965" s="5"/>
    </row>
    <row r="966">
      <c r="A966" s="2"/>
      <c r="B966" s="3"/>
      <c r="C966" s="3"/>
      <c r="D966" s="3"/>
      <c r="E966" s="4"/>
      <c r="F966" s="3"/>
      <c r="G966" s="5"/>
      <c r="H966" s="3"/>
      <c r="I966" s="5"/>
      <c r="J966" s="3"/>
      <c r="K966" s="5"/>
      <c r="L966" s="3"/>
      <c r="M966" s="5"/>
      <c r="N966" s="5"/>
    </row>
    <row r="967">
      <c r="A967" s="2"/>
      <c r="B967" s="3"/>
      <c r="C967" s="3"/>
      <c r="D967" s="3"/>
      <c r="E967" s="4"/>
      <c r="F967" s="3"/>
      <c r="G967" s="5"/>
      <c r="H967" s="3"/>
      <c r="I967" s="5"/>
      <c r="J967" s="3"/>
      <c r="K967" s="5"/>
      <c r="L967" s="3"/>
      <c r="M967" s="5"/>
      <c r="N967" s="5"/>
    </row>
    <row r="968">
      <c r="A968" s="2"/>
      <c r="B968" s="3"/>
      <c r="C968" s="3"/>
      <c r="D968" s="3"/>
      <c r="E968" s="4"/>
      <c r="F968" s="3"/>
      <c r="G968" s="5"/>
      <c r="H968" s="3"/>
      <c r="I968" s="5"/>
      <c r="J968" s="3"/>
      <c r="K968" s="5"/>
      <c r="L968" s="3"/>
      <c r="M968" s="5"/>
      <c r="N968" s="5"/>
    </row>
    <row r="969">
      <c r="A969" s="2"/>
      <c r="B969" s="3"/>
      <c r="C969" s="3"/>
      <c r="D969" s="3"/>
      <c r="E969" s="4"/>
      <c r="F969" s="3"/>
      <c r="G969" s="5"/>
      <c r="H969" s="3"/>
      <c r="I969" s="5"/>
      <c r="J969" s="3"/>
      <c r="K969" s="5"/>
      <c r="L969" s="3"/>
      <c r="M969" s="5"/>
      <c r="N969" s="5"/>
    </row>
    <row r="970">
      <c r="A970" s="2"/>
      <c r="B970" s="3"/>
      <c r="C970" s="3"/>
      <c r="D970" s="3"/>
      <c r="E970" s="4"/>
      <c r="F970" s="3"/>
      <c r="G970" s="5"/>
      <c r="H970" s="3"/>
      <c r="I970" s="5"/>
      <c r="J970" s="3"/>
      <c r="K970" s="5"/>
      <c r="L970" s="3"/>
      <c r="M970" s="5"/>
      <c r="N970" s="5"/>
    </row>
    <row r="971">
      <c r="A971" s="2"/>
      <c r="B971" s="3"/>
      <c r="C971" s="3"/>
      <c r="D971" s="3"/>
      <c r="E971" s="4"/>
      <c r="F971" s="3"/>
      <c r="G971" s="5"/>
      <c r="H971" s="3"/>
      <c r="I971" s="5"/>
      <c r="J971" s="3"/>
      <c r="K971" s="5"/>
      <c r="L971" s="3"/>
      <c r="M971" s="5"/>
      <c r="N971" s="5"/>
    </row>
    <row r="972">
      <c r="A972" s="2"/>
      <c r="B972" s="3"/>
      <c r="C972" s="3"/>
      <c r="D972" s="3"/>
      <c r="E972" s="4"/>
      <c r="F972" s="3"/>
      <c r="G972" s="5"/>
      <c r="H972" s="3"/>
      <c r="I972" s="5"/>
      <c r="J972" s="3"/>
      <c r="K972" s="5"/>
      <c r="L972" s="3"/>
      <c r="M972" s="5"/>
      <c r="N972" s="5"/>
    </row>
    <row r="973">
      <c r="A973" s="2"/>
      <c r="B973" s="3"/>
      <c r="C973" s="3"/>
      <c r="D973" s="3"/>
      <c r="E973" s="4"/>
      <c r="F973" s="3"/>
      <c r="G973" s="5"/>
      <c r="H973" s="3"/>
      <c r="I973" s="5"/>
      <c r="J973" s="3"/>
      <c r="K973" s="5"/>
      <c r="L973" s="3"/>
      <c r="M973" s="5"/>
      <c r="N973" s="5"/>
    </row>
    <row r="974">
      <c r="A974" s="2"/>
      <c r="B974" s="3"/>
      <c r="C974" s="3"/>
      <c r="D974" s="3"/>
      <c r="E974" s="4"/>
      <c r="F974" s="3"/>
      <c r="G974" s="5"/>
      <c r="H974" s="3"/>
      <c r="I974" s="5"/>
      <c r="J974" s="3"/>
      <c r="K974" s="5"/>
      <c r="L974" s="3"/>
      <c r="M974" s="5"/>
      <c r="N974" s="5"/>
    </row>
    <row r="975">
      <c r="A975" s="2"/>
      <c r="B975" s="3"/>
      <c r="C975" s="3"/>
      <c r="D975" s="3"/>
      <c r="E975" s="4"/>
      <c r="F975" s="3"/>
      <c r="G975" s="5"/>
      <c r="H975" s="3"/>
      <c r="I975" s="5"/>
      <c r="J975" s="3"/>
      <c r="K975" s="5"/>
      <c r="L975" s="3"/>
      <c r="M975" s="5"/>
      <c r="N975" s="5"/>
    </row>
    <row r="976">
      <c r="A976" s="2"/>
      <c r="B976" s="3"/>
      <c r="C976" s="3"/>
      <c r="D976" s="3"/>
      <c r="E976" s="4"/>
      <c r="F976" s="3"/>
      <c r="G976" s="5"/>
      <c r="H976" s="3"/>
      <c r="I976" s="5"/>
      <c r="J976" s="3"/>
      <c r="K976" s="5"/>
      <c r="L976" s="3"/>
      <c r="M976" s="5"/>
      <c r="N976" s="5"/>
    </row>
    <row r="977">
      <c r="A977" s="2"/>
      <c r="B977" s="3"/>
      <c r="C977" s="3"/>
      <c r="D977" s="3"/>
      <c r="E977" s="4"/>
      <c r="F977" s="3"/>
      <c r="G977" s="5"/>
      <c r="H977" s="3"/>
      <c r="I977" s="5"/>
      <c r="J977" s="3"/>
      <c r="K977" s="5"/>
      <c r="L977" s="3"/>
      <c r="M977" s="5"/>
      <c r="N977" s="5"/>
    </row>
    <row r="978">
      <c r="A978" s="2"/>
      <c r="B978" s="3"/>
      <c r="C978" s="3"/>
      <c r="D978" s="3"/>
      <c r="E978" s="4"/>
      <c r="F978" s="3"/>
      <c r="G978" s="5"/>
      <c r="H978" s="3"/>
      <c r="I978" s="5"/>
      <c r="J978" s="3"/>
      <c r="K978" s="5"/>
      <c r="L978" s="3"/>
      <c r="M978" s="5"/>
      <c r="N978" s="5"/>
    </row>
    <row r="979">
      <c r="A979" s="2"/>
      <c r="B979" s="3"/>
      <c r="C979" s="3"/>
      <c r="D979" s="3"/>
      <c r="E979" s="4"/>
      <c r="F979" s="3"/>
      <c r="G979" s="5"/>
      <c r="H979" s="3"/>
      <c r="I979" s="5"/>
      <c r="J979" s="3"/>
      <c r="K979" s="5"/>
      <c r="L979" s="3"/>
      <c r="M979" s="5"/>
      <c r="N979" s="5"/>
    </row>
    <row r="980">
      <c r="A980" s="2"/>
      <c r="B980" s="3"/>
      <c r="C980" s="3"/>
      <c r="D980" s="3"/>
      <c r="E980" s="4"/>
      <c r="F980" s="3"/>
      <c r="G980" s="5"/>
      <c r="H980" s="3"/>
      <c r="I980" s="5"/>
      <c r="J980" s="3"/>
      <c r="K980" s="5"/>
      <c r="L980" s="3"/>
      <c r="M980" s="5"/>
      <c r="N980" s="5"/>
    </row>
    <row r="981">
      <c r="A981" s="2"/>
      <c r="B981" s="3"/>
      <c r="C981" s="3"/>
      <c r="D981" s="3"/>
      <c r="E981" s="4"/>
      <c r="F981" s="3"/>
      <c r="G981" s="5"/>
      <c r="H981" s="3"/>
      <c r="I981" s="5"/>
      <c r="J981" s="3"/>
      <c r="K981" s="5"/>
      <c r="L981" s="3"/>
      <c r="M981" s="5"/>
      <c r="N981" s="5"/>
    </row>
    <row r="982">
      <c r="A982" s="2"/>
      <c r="B982" s="3"/>
      <c r="C982" s="3"/>
      <c r="D982" s="3"/>
      <c r="E982" s="4"/>
      <c r="F982" s="3"/>
      <c r="G982" s="5"/>
      <c r="H982" s="3"/>
      <c r="I982" s="5"/>
      <c r="J982" s="3"/>
      <c r="K982" s="5"/>
      <c r="L982" s="3"/>
      <c r="M982" s="5"/>
      <c r="N982" s="5"/>
    </row>
    <row r="983">
      <c r="A983" s="2"/>
      <c r="B983" s="3"/>
      <c r="C983" s="3"/>
      <c r="D983" s="3"/>
      <c r="E983" s="4"/>
      <c r="F983" s="3"/>
      <c r="G983" s="5"/>
      <c r="H983" s="3"/>
      <c r="I983" s="5"/>
      <c r="J983" s="3"/>
      <c r="K983" s="5"/>
      <c r="L983" s="3"/>
      <c r="M983" s="5"/>
      <c r="N983" s="5"/>
    </row>
    <row r="984">
      <c r="A984" s="2"/>
      <c r="B984" s="3"/>
      <c r="C984" s="3"/>
      <c r="D984" s="3"/>
      <c r="E984" s="4"/>
      <c r="F984" s="3"/>
      <c r="G984" s="5"/>
      <c r="H984" s="3"/>
      <c r="I984" s="5"/>
      <c r="J984" s="3"/>
      <c r="K984" s="5"/>
      <c r="L984" s="3"/>
      <c r="M984" s="5"/>
      <c r="N984" s="5"/>
    </row>
    <row r="985">
      <c r="A985" s="2"/>
      <c r="B985" s="3"/>
      <c r="C985" s="3"/>
      <c r="D985" s="3"/>
      <c r="E985" s="4"/>
      <c r="F985" s="3"/>
      <c r="G985" s="5"/>
      <c r="H985" s="3"/>
      <c r="I985" s="5"/>
      <c r="J985" s="3"/>
      <c r="K985" s="5"/>
      <c r="L985" s="3"/>
      <c r="M985" s="5"/>
      <c r="N985" s="5"/>
    </row>
    <row r="986">
      <c r="A986" s="2"/>
      <c r="B986" s="3"/>
      <c r="C986" s="3"/>
      <c r="D986" s="3"/>
      <c r="E986" s="4"/>
      <c r="F986" s="3"/>
      <c r="G986" s="5"/>
      <c r="H986" s="3"/>
      <c r="I986" s="5"/>
      <c r="J986" s="3"/>
      <c r="K986" s="5"/>
      <c r="L986" s="3"/>
      <c r="M986" s="5"/>
      <c r="N986" s="5"/>
    </row>
    <row r="987">
      <c r="A987" s="2"/>
      <c r="B987" s="3"/>
      <c r="C987" s="3"/>
      <c r="D987" s="3"/>
      <c r="E987" s="4"/>
      <c r="F987" s="3"/>
      <c r="G987" s="5"/>
      <c r="H987" s="3"/>
      <c r="I987" s="5"/>
      <c r="J987" s="3"/>
      <c r="K987" s="5"/>
      <c r="L987" s="3"/>
      <c r="M987" s="5"/>
      <c r="N987" s="5"/>
    </row>
    <row r="988">
      <c r="A988" s="2"/>
      <c r="B988" s="3"/>
      <c r="C988" s="3"/>
      <c r="D988" s="3"/>
      <c r="E988" s="4"/>
      <c r="F988" s="3"/>
      <c r="G988" s="5"/>
      <c r="H988" s="3"/>
      <c r="I988" s="5"/>
      <c r="J988" s="3"/>
      <c r="K988" s="5"/>
      <c r="L988" s="3"/>
      <c r="M988" s="5"/>
      <c r="N988" s="5"/>
    </row>
    <row r="989">
      <c r="A989" s="2"/>
      <c r="B989" s="3"/>
      <c r="C989" s="3"/>
      <c r="D989" s="3"/>
      <c r="E989" s="4"/>
      <c r="F989" s="3"/>
      <c r="G989" s="5"/>
      <c r="H989" s="3"/>
      <c r="I989" s="5"/>
      <c r="J989" s="3"/>
      <c r="K989" s="5"/>
      <c r="L989" s="3"/>
      <c r="M989" s="5"/>
      <c r="N989" s="5"/>
    </row>
    <row r="990">
      <c r="A990" s="2"/>
      <c r="B990" s="3"/>
      <c r="C990" s="3"/>
      <c r="D990" s="3"/>
      <c r="E990" s="4"/>
      <c r="F990" s="3"/>
      <c r="G990" s="5"/>
      <c r="H990" s="3"/>
      <c r="I990" s="5"/>
      <c r="J990" s="3"/>
      <c r="K990" s="5"/>
      <c r="L990" s="3"/>
      <c r="M990" s="5"/>
      <c r="N990" s="5"/>
    </row>
    <row r="991">
      <c r="A991" s="2"/>
      <c r="B991" s="3"/>
      <c r="C991" s="3"/>
      <c r="D991" s="3"/>
      <c r="E991" s="4"/>
      <c r="F991" s="3"/>
      <c r="G991" s="5"/>
      <c r="H991" s="3"/>
      <c r="I991" s="5"/>
      <c r="J991" s="3"/>
      <c r="K991" s="5"/>
      <c r="L991" s="3"/>
      <c r="M991" s="5"/>
      <c r="N991" s="5"/>
    </row>
    <row r="992">
      <c r="A992" s="2"/>
      <c r="B992" s="3"/>
      <c r="C992" s="3"/>
      <c r="D992" s="3"/>
      <c r="E992" s="4"/>
      <c r="F992" s="3"/>
      <c r="G992" s="5"/>
      <c r="H992" s="3"/>
      <c r="I992" s="5"/>
      <c r="J992" s="3"/>
      <c r="K992" s="5"/>
      <c r="L992" s="3"/>
      <c r="M992" s="5"/>
      <c r="N992" s="5"/>
    </row>
    <row r="993">
      <c r="A993" s="2"/>
      <c r="B993" s="3"/>
      <c r="C993" s="3"/>
      <c r="D993" s="3"/>
      <c r="E993" s="4"/>
      <c r="F993" s="3"/>
      <c r="G993" s="5"/>
      <c r="H993" s="3"/>
      <c r="I993" s="5"/>
      <c r="J993" s="3"/>
      <c r="K993" s="5"/>
      <c r="L993" s="3"/>
      <c r="M993" s="5"/>
      <c r="N993" s="5"/>
    </row>
    <row r="994">
      <c r="A994" s="2"/>
      <c r="B994" s="3"/>
      <c r="C994" s="3"/>
      <c r="D994" s="3"/>
      <c r="E994" s="4"/>
      <c r="F994" s="3"/>
      <c r="G994" s="5"/>
      <c r="H994" s="3"/>
      <c r="I994" s="5"/>
      <c r="J994" s="3"/>
      <c r="K994" s="5"/>
      <c r="L994" s="3"/>
      <c r="M994" s="5"/>
      <c r="N994" s="5"/>
    </row>
    <row r="995">
      <c r="A995" s="2"/>
      <c r="B995" s="3"/>
      <c r="C995" s="3"/>
      <c r="D995" s="3"/>
      <c r="E995" s="4"/>
      <c r="F995" s="3"/>
      <c r="G995" s="5"/>
      <c r="H995" s="3"/>
      <c r="I995" s="5"/>
      <c r="J995" s="3"/>
      <c r="K995" s="5"/>
      <c r="L995" s="3"/>
      <c r="M995" s="5"/>
      <c r="N995" s="5"/>
    </row>
    <row r="996">
      <c r="A996" s="2"/>
      <c r="B996" s="3"/>
      <c r="C996" s="3"/>
      <c r="D996" s="3"/>
      <c r="E996" s="4"/>
      <c r="F996" s="3"/>
      <c r="G996" s="5"/>
      <c r="H996" s="3"/>
      <c r="I996" s="5"/>
      <c r="J996" s="3"/>
      <c r="K996" s="5"/>
      <c r="L996" s="3"/>
      <c r="M996" s="5"/>
      <c r="N996" s="5"/>
    </row>
    <row r="997">
      <c r="A997" s="2"/>
      <c r="B997" s="3"/>
      <c r="C997" s="3"/>
      <c r="D997" s="3"/>
      <c r="E997" s="4"/>
      <c r="F997" s="3"/>
      <c r="G997" s="5"/>
      <c r="H997" s="3"/>
      <c r="I997" s="5"/>
      <c r="J997" s="3"/>
      <c r="K997" s="5"/>
      <c r="L997" s="3"/>
      <c r="M997" s="5"/>
      <c r="N997" s="5"/>
    </row>
    <row r="998">
      <c r="A998" s="2"/>
      <c r="B998" s="3"/>
      <c r="C998" s="3"/>
      <c r="D998" s="3"/>
      <c r="E998" s="4"/>
      <c r="F998" s="3"/>
      <c r="G998" s="5"/>
      <c r="H998" s="3"/>
      <c r="I998" s="5"/>
      <c r="J998" s="3"/>
      <c r="K998" s="5"/>
      <c r="L998" s="3"/>
      <c r="M998" s="5"/>
      <c r="N998" s="5"/>
    </row>
    <row r="999">
      <c r="A999" s="2"/>
      <c r="B999" s="3"/>
      <c r="C999" s="3"/>
      <c r="D999" s="3"/>
      <c r="E999" s="4"/>
      <c r="F999" s="3"/>
      <c r="G999" s="5"/>
      <c r="H999" s="3"/>
      <c r="I999" s="5"/>
      <c r="J999" s="3"/>
      <c r="K999" s="5"/>
      <c r="L999" s="3"/>
      <c r="M999" s="5"/>
      <c r="N999" s="5"/>
    </row>
    <row r="1000">
      <c r="A1000" s="2"/>
      <c r="B1000" s="3"/>
      <c r="C1000" s="3"/>
      <c r="D1000" s="3"/>
      <c r="E1000" s="4"/>
      <c r="F1000" s="3"/>
      <c r="G1000" s="5"/>
      <c r="H1000" s="3"/>
      <c r="I1000" s="5"/>
      <c r="J1000" s="3"/>
      <c r="K1000" s="5"/>
      <c r="L1000" s="3"/>
      <c r="M1000" s="5"/>
      <c r="N100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tr">
        <f>IFERROR(__xludf.DUMMYFUNCTION("SORT(
  UNIQUE(
    FILTER(
      Raw!L2:L1000,
      Raw!L2:L1000&lt;&gt;"""",
      Raw!C2:C1000=""Season 1"",
      Raw!F2:F1000=""3v3""
    )
  )
)
"),"Aferdita")</f>
        <v>Aferdita</v>
      </c>
      <c r="B2" s="3">
        <f t="array" ref="B2:B1000">IF(A2:A1000="",
   ,
   COUNTIFS(
     Raw!L:L, A2:A1000,
     Raw!C:C, "Season 1",
     Raw!F:F, "3v3"
   )
)
</f>
        <v>21</v>
      </c>
      <c r="C2" s="3">
        <f t="array" ref="C2:C1000">IF(A2:A1000="",
   ,
   COUNTIFS(
     Raw!L:L, A2:A1000,
     Raw!I:I, "win",
     Raw!C:C, "Season 1",
     Raw!F:F, "3v3"
   )
)
</f>
        <v>10</v>
      </c>
      <c r="D2" s="3">
        <f t="array" ref="D2:D1000">IF(A2:A1000="",
   ,
   COUNTIFS(
     Raw!L:L, A2:A1000,
     Raw!I:I, "loss",
     Raw!C:C, "Season 1",
     Raw!F:F, "3v3"
   )
)
</f>
        <v>11</v>
      </c>
      <c r="E2" s="4">
        <f t="array" ref="E2:E1000">IF(A2:A1000="",
   ,
   IF(B2:B1000=0, , C2:C1000 / B2:B1000)
)
</f>
        <v>0.4761904762</v>
      </c>
      <c r="F2" s="3">
        <f>IFERROR(__xludf.DUMMYFUNCTION("ARRAYFORMULA(
MAP(
  A2:A1000,
  LAMBDA(id,
    IF(id="""",,
      SUM(
        FILTER(
          N(Raw!M:M),
          Raw!L:L=id,
          TRIM(SUBSTITUTE(Raw!C:C,CHAR(160),"" ""))=""Season 1"",
          TRIM(SUBSTITUTE(Raw!F:F,CHAR(160),"" ""))=""3v3"&amp;"""
        )
      )
    )
  )
)
)
"),39.0)</f>
        <v>39</v>
      </c>
      <c r="G2" s="5">
        <f t="array" ref="G2:G1000">IF(A2:A1000="",
   ,
   IF(B2:B1000=0, , F2:F1000 / B2:B1000)
)
</f>
        <v>1.857142857</v>
      </c>
      <c r="H2" s="3">
        <f>IFERROR(__xludf.DUMMYFUNCTION("ARRAYFORMULA(
MAP(
  A2:A1000,
  LAMBDA(id,
    IF(id="""",,
      SUM(
        FILTER(
          N(Raw!O:O),
          Raw!L:L=id,
          TRIM(SUBSTITUTE(Raw!C:C,CHAR(160),"" ""))=""Season 1"",
          TRIM(SUBSTITUTE(Raw!F:F,CHAR(160),"" ""))=""3v3"&amp;"""
        )
      )
    )
  )
)
)
"),7.0)</f>
        <v>7</v>
      </c>
      <c r="I2" s="5">
        <f t="array" ref="I2:I1000">IF(A2:A1000="",
   ,
   IF(B2:B1000=0, , H2:H1000 / B2:B1000)
)
</f>
        <v>0.3333333333</v>
      </c>
      <c r="J2" s="3">
        <f>IFERROR(__xludf.DUMMYFUNCTION("ARRAYFORMULA(
MAP(
  A2:A1000,
  LAMBDA(id,
    IF(id="""",,
      SUM(
        FILTER(
          N(Raw!P:P),
          Raw!L:L=id,
          TRIM(SUBSTITUTE(Raw!C:C,CHAR(160),"" ""))=""Season 1"",
          TRIM(SUBSTITUTE(Raw!F:F,CHAR(160),"" ""))=""3v3"&amp;"""
        )
      )
    )
  )
)
)
"),33684.0)</f>
        <v>33684</v>
      </c>
      <c r="K2" s="5">
        <f t="array" ref="K2:K1000">IF(A2:A1000="",
   ,
   IF(B2:B1000=0, , J2:J1000 / B2:B1000)
)
</f>
        <v>1604</v>
      </c>
      <c r="L2" s="3">
        <f>IFERROR(__xludf.DUMMYFUNCTION("ARRAYFORMULA(
MAP(
  A2:A1000,
  LAMBDA(id,
    IF(id="""",,
      SUM(
        FILTER(
          N(Raw!Q:Q),
          Raw!L:L=id,
          TRIM(SUBSTITUTE(Raw!C:C,CHAR(160),"" ""))=""Season 1"",
          TRIM(SUBSTITUTE(Raw!F:F,CHAR(160),"" ""))=""3v3"&amp;"""
        )
      )
    )
  )
)
)
"),2028.0)</f>
        <v>2028</v>
      </c>
      <c r="M2" s="5">
        <f t="array" ref="M2:M1000">IF(A2:A1000="",
   ,
   IF(B2:B1000=0, , L2:L1000 / B2:B1000)
)
</f>
        <v>96.57142857</v>
      </c>
      <c r="N2" s="5">
        <f t="array" ref="N2:N1000">MAP(
  A2:A1000,
  LAMBDA(id,
    IF(id="",,
      IF(
        SUMIFS(
          Raw!E:E,
          Raw!L:L, id,
          Raw!C:C, "Season 1",
          Raw!F:F, "3v3"
        ) = 0,
        ,
        SUMIFS(
          Raw!P:P,
          Raw!L:L, id,
          Raw!C:C, "Season 1",
          Raw!F:F, "3v3"
        )
        /
        SUMIFS(
          Raw!E:E,
          Raw!L:L, id,
          Raw!C:C, "Season 1",
          Raw!F:F, "3v3"
        )
      )
    )
  )
)
</f>
        <v>1.547977941</v>
      </c>
    </row>
    <row r="3">
      <c r="A3" s="2" t="str">
        <f>IFERROR(__xludf.DUMMYFUNCTION("""COMPUTED_VALUE"""),"Anbuu")</f>
        <v>Anbuu</v>
      </c>
      <c r="B3" s="3">
        <v>12.0</v>
      </c>
      <c r="C3" s="3">
        <v>8.0</v>
      </c>
      <c r="D3" s="3">
        <v>4.0</v>
      </c>
      <c r="E3" s="4">
        <v>0.6666666666666666</v>
      </c>
      <c r="F3" s="3">
        <f>IFERROR(__xludf.DUMMYFUNCTION("""COMPUTED_VALUE"""),6.0)</f>
        <v>6</v>
      </c>
      <c r="G3" s="5">
        <v>0.5</v>
      </c>
      <c r="H3" s="3">
        <f>IFERROR(__xludf.DUMMYFUNCTION("""COMPUTED_VALUE"""),4.0)</f>
        <v>4</v>
      </c>
      <c r="I3" s="5">
        <v>0.3333333333333333</v>
      </c>
      <c r="J3" s="3">
        <f>IFERROR(__xludf.DUMMYFUNCTION("""COMPUTED_VALUE"""),43928.0)</f>
        <v>43928</v>
      </c>
      <c r="K3" s="5">
        <v>3660.6666666666665</v>
      </c>
      <c r="L3" s="3">
        <f>IFERROR(__xludf.DUMMYFUNCTION("""COMPUTED_VALUE"""),1634.0)</f>
        <v>1634</v>
      </c>
      <c r="M3" s="5">
        <v>136.16666666666666</v>
      </c>
      <c r="N3" s="5">
        <v>3.471197155274595</v>
      </c>
    </row>
    <row r="4">
      <c r="A4" s="2" t="str">
        <f>IFERROR(__xludf.DUMMYFUNCTION("""COMPUTED_VALUE"""),"Kesny")</f>
        <v>Kesny</v>
      </c>
      <c r="B4" s="3">
        <v>30.0</v>
      </c>
      <c r="C4" s="3">
        <v>12.0</v>
      </c>
      <c r="D4" s="3">
        <v>18.0</v>
      </c>
      <c r="E4" s="4">
        <v>0.4</v>
      </c>
      <c r="F4" s="3">
        <f>IFERROR(__xludf.DUMMYFUNCTION("""COMPUTED_VALUE"""),84.0)</f>
        <v>84</v>
      </c>
      <c r="G4" s="5">
        <v>2.8</v>
      </c>
      <c r="H4" s="3">
        <f>IFERROR(__xludf.DUMMYFUNCTION("""COMPUTED_VALUE"""),30.0)</f>
        <v>30</v>
      </c>
      <c r="I4" s="5">
        <v>1.0</v>
      </c>
      <c r="J4" s="3">
        <f>IFERROR(__xludf.DUMMYFUNCTION("""COMPUTED_VALUE"""),64489.0)</f>
        <v>64489</v>
      </c>
      <c r="K4" s="5">
        <v>2149.633333333333</v>
      </c>
      <c r="L4" s="3">
        <f>IFERROR(__xludf.DUMMYFUNCTION("""COMPUTED_VALUE"""),4435.0)</f>
        <v>4435</v>
      </c>
      <c r="M4" s="5">
        <v>147.83333333333334</v>
      </c>
      <c r="N4" s="5">
        <v>2.0864149600440003</v>
      </c>
    </row>
    <row r="5">
      <c r="A5" s="2" t="str">
        <f>IFERROR(__xludf.DUMMYFUNCTION("""COMPUTED_VALUE"""),"Malena")</f>
        <v>Malena</v>
      </c>
      <c r="B5" s="3">
        <v>30.0</v>
      </c>
      <c r="C5" s="3">
        <v>13.0</v>
      </c>
      <c r="D5" s="3">
        <v>17.0</v>
      </c>
      <c r="E5" s="4">
        <v>0.43333333333333335</v>
      </c>
      <c r="F5" s="3">
        <f>IFERROR(__xludf.DUMMYFUNCTION("""COMPUTED_VALUE"""),140.0)</f>
        <v>140</v>
      </c>
      <c r="G5" s="5">
        <v>4.666666666666667</v>
      </c>
      <c r="H5" s="3">
        <f>IFERROR(__xludf.DUMMYFUNCTION("""COMPUTED_VALUE"""),13.0)</f>
        <v>13</v>
      </c>
      <c r="I5" s="5">
        <v>0.43333333333333335</v>
      </c>
      <c r="J5" s="3">
        <f>IFERROR(__xludf.DUMMYFUNCTION("""COMPUTED_VALUE"""),88068.0)</f>
        <v>88068</v>
      </c>
      <c r="K5" s="5">
        <v>2935.6</v>
      </c>
      <c r="L5" s="3">
        <f>IFERROR(__xludf.DUMMYFUNCTION("""COMPUTED_VALUE"""),5428.0)</f>
        <v>5428</v>
      </c>
      <c r="M5" s="5">
        <v>180.93333333333334</v>
      </c>
      <c r="N5" s="5">
        <v>2.8492672037270697</v>
      </c>
    </row>
    <row r="6">
      <c r="A6" s="2" t="str">
        <f>IFERROR(__xludf.DUMMYFUNCTION("""COMPUTED_VALUE"""),"Nebus.")</f>
        <v>Nebus.</v>
      </c>
      <c r="B6" s="3">
        <v>30.0</v>
      </c>
      <c r="C6" s="3">
        <v>22.0</v>
      </c>
      <c r="D6" s="3">
        <v>8.0</v>
      </c>
      <c r="E6" s="4">
        <v>0.7333333333333333</v>
      </c>
      <c r="F6" s="3">
        <f>IFERROR(__xludf.DUMMYFUNCTION("""COMPUTED_VALUE"""),77.0)</f>
        <v>77</v>
      </c>
      <c r="G6" s="5">
        <v>2.566666666666667</v>
      </c>
      <c r="H6" s="3">
        <f>IFERROR(__xludf.DUMMYFUNCTION("""COMPUTED_VALUE"""),11.0)</f>
        <v>11</v>
      </c>
      <c r="I6" s="5">
        <v>0.36666666666666664</v>
      </c>
      <c r="J6" s="3">
        <f>IFERROR(__xludf.DUMMYFUNCTION("""COMPUTED_VALUE"""),95631.0)</f>
        <v>95631</v>
      </c>
      <c r="K6" s="5">
        <v>3187.7</v>
      </c>
      <c r="L6" s="3">
        <f>IFERROR(__xludf.DUMMYFUNCTION("""COMPUTED_VALUE"""),4741.0)</f>
        <v>4741</v>
      </c>
      <c r="M6" s="5">
        <v>158.03333333333333</v>
      </c>
      <c r="N6" s="5">
        <v>3.0939532175094633</v>
      </c>
    </row>
    <row r="7">
      <c r="A7" s="2" t="str">
        <f>IFERROR(__xludf.DUMMYFUNCTION("""COMPUTED_VALUE"""),"Tess1509")</f>
        <v>Tess1509</v>
      </c>
      <c r="B7" s="3">
        <v>22.0</v>
      </c>
      <c r="C7" s="3">
        <v>6.0</v>
      </c>
      <c r="D7" s="3">
        <v>16.0</v>
      </c>
      <c r="E7" s="4">
        <v>0.2727272727272727</v>
      </c>
      <c r="F7" s="3">
        <f>IFERROR(__xludf.DUMMYFUNCTION("""COMPUTED_VALUE"""),13.0)</f>
        <v>13</v>
      </c>
      <c r="G7" s="5">
        <v>0.5909090909090909</v>
      </c>
      <c r="H7" s="3">
        <f>IFERROR(__xludf.DUMMYFUNCTION("""COMPUTED_VALUE"""),15.0)</f>
        <v>15</v>
      </c>
      <c r="I7" s="5">
        <v>0.6818181818181818</v>
      </c>
      <c r="J7" s="3">
        <f>IFERROR(__xludf.DUMMYFUNCTION("""COMPUTED_VALUE"""),56065.0)</f>
        <v>56065</v>
      </c>
      <c r="K7" s="5">
        <v>2548.409090909091</v>
      </c>
      <c r="L7" s="3">
        <f>IFERROR(__xludf.DUMMYFUNCTION("""COMPUTED_VALUE"""),2370.0)</f>
        <v>2370</v>
      </c>
      <c r="M7" s="5">
        <v>107.72727272727273</v>
      </c>
      <c r="N7" s="5">
        <v>2.4464371427324694</v>
      </c>
    </row>
    <row r="8">
      <c r="A8" s="2" t="str">
        <f>IFERROR(__xludf.DUMMYFUNCTION("""COMPUTED_VALUE"""),"Troniix")</f>
        <v>Troniix</v>
      </c>
      <c r="B8" s="3">
        <v>5.0</v>
      </c>
      <c r="C8" s="3">
        <v>0.0</v>
      </c>
      <c r="D8" s="3">
        <v>5.0</v>
      </c>
      <c r="E8" s="4">
        <v>0.0</v>
      </c>
      <c r="F8" s="3">
        <f>IFERROR(__xludf.DUMMYFUNCTION("""COMPUTED_VALUE"""),0.0)</f>
        <v>0</v>
      </c>
      <c r="G8" s="5">
        <v>0.0</v>
      </c>
      <c r="H8" s="3">
        <f>IFERROR(__xludf.DUMMYFUNCTION("""COMPUTED_VALUE"""),2.0)</f>
        <v>2</v>
      </c>
      <c r="I8" s="5">
        <v>0.4</v>
      </c>
      <c r="J8" s="3">
        <f>IFERROR(__xludf.DUMMYFUNCTION("""COMPUTED_VALUE"""),9856.0)</f>
        <v>9856</v>
      </c>
      <c r="K8" s="5">
        <v>1971.2</v>
      </c>
      <c r="L8" s="3">
        <f>IFERROR(__xludf.DUMMYFUNCTION("""COMPUTED_VALUE"""),339.0)</f>
        <v>339</v>
      </c>
      <c r="M8" s="5">
        <v>67.8</v>
      </c>
      <c r="N8" s="5">
        <v>2.1970575122603657</v>
      </c>
    </row>
    <row r="9">
      <c r="A9" s="2" t="str">
        <f>IFERROR(__xludf.DUMMYFUNCTION("""COMPUTED_VALUE"""),"ZeroO")</f>
        <v>ZeroO</v>
      </c>
      <c r="B9" s="3">
        <v>30.0</v>
      </c>
      <c r="C9" s="3">
        <v>19.0</v>
      </c>
      <c r="D9" s="3">
        <v>11.0</v>
      </c>
      <c r="E9" s="4">
        <v>0.6333333333333333</v>
      </c>
      <c r="F9" s="3">
        <f>IFERROR(__xludf.DUMMYFUNCTION("""COMPUTED_VALUE"""),129.0)</f>
        <v>129</v>
      </c>
      <c r="G9" s="5">
        <v>4.3</v>
      </c>
      <c r="H9" s="3">
        <f>IFERROR(__xludf.DUMMYFUNCTION("""COMPUTED_VALUE"""),19.0)</f>
        <v>19</v>
      </c>
      <c r="I9" s="5">
        <v>0.6333333333333333</v>
      </c>
      <c r="J9" s="3">
        <f>IFERROR(__xludf.DUMMYFUNCTION("""COMPUTED_VALUE"""),91065.0)</f>
        <v>91065</v>
      </c>
      <c r="K9" s="5">
        <v>3035.5</v>
      </c>
      <c r="L9" s="3">
        <f>IFERROR(__xludf.DUMMYFUNCTION("""COMPUTED_VALUE"""),5275.0)</f>
        <v>5275</v>
      </c>
      <c r="M9" s="5">
        <v>175.83333333333334</v>
      </c>
      <c r="N9" s="5">
        <v>2.946229253615452</v>
      </c>
    </row>
    <row r="10">
      <c r="A10" s="2"/>
      <c r="B10" s="3"/>
      <c r="C10" s="3"/>
      <c r="D10" s="3"/>
      <c r="E10" s="4"/>
      <c r="F10" s="3"/>
      <c r="G10" s="5"/>
      <c r="H10" s="3"/>
      <c r="I10" s="5"/>
      <c r="J10" s="3"/>
      <c r="K10" s="5"/>
      <c r="L10" s="3"/>
      <c r="M10" s="5"/>
      <c r="N10" s="5"/>
    </row>
    <row r="11">
      <c r="A11" s="2"/>
      <c r="B11" s="3"/>
      <c r="C11" s="3"/>
      <c r="D11" s="3"/>
      <c r="E11" s="4"/>
      <c r="F11" s="3"/>
      <c r="G11" s="5"/>
      <c r="H11" s="3"/>
      <c r="I11" s="5"/>
      <c r="J11" s="3"/>
      <c r="K11" s="5"/>
      <c r="L11" s="3"/>
      <c r="M11" s="5"/>
      <c r="N11" s="5"/>
    </row>
    <row r="12">
      <c r="A12" s="2"/>
      <c r="B12" s="3"/>
      <c r="C12" s="3"/>
      <c r="D12" s="3"/>
      <c r="E12" s="4"/>
      <c r="F12" s="3"/>
      <c r="G12" s="5"/>
      <c r="H12" s="3"/>
      <c r="I12" s="5"/>
      <c r="J12" s="3"/>
      <c r="K12" s="5"/>
      <c r="L12" s="3"/>
      <c r="M12" s="5"/>
      <c r="N12" s="5"/>
    </row>
    <row r="13">
      <c r="A13" s="2"/>
      <c r="B13" s="3"/>
      <c r="C13" s="3"/>
      <c r="D13" s="3"/>
      <c r="E13" s="4"/>
      <c r="F13" s="3"/>
      <c r="G13" s="5"/>
      <c r="H13" s="3"/>
      <c r="I13" s="5"/>
      <c r="J13" s="3"/>
      <c r="K13" s="5"/>
      <c r="L13" s="3"/>
      <c r="M13" s="5"/>
      <c r="N13" s="5"/>
    </row>
    <row r="14">
      <c r="A14" s="2"/>
      <c r="B14" s="3"/>
      <c r="C14" s="3"/>
      <c r="D14" s="3"/>
      <c r="E14" s="4"/>
      <c r="F14" s="3"/>
      <c r="G14" s="5"/>
      <c r="H14" s="3"/>
      <c r="I14" s="5"/>
      <c r="J14" s="3"/>
      <c r="K14" s="5"/>
      <c r="L14" s="3"/>
      <c r="M14" s="5"/>
      <c r="N14" s="5"/>
    </row>
    <row r="15">
      <c r="A15" s="2"/>
      <c r="B15" s="3"/>
      <c r="C15" s="3"/>
      <c r="D15" s="3"/>
      <c r="E15" s="4"/>
      <c r="F15" s="3"/>
      <c r="G15" s="5"/>
      <c r="H15" s="3"/>
      <c r="I15" s="5"/>
      <c r="J15" s="3"/>
      <c r="K15" s="5"/>
      <c r="L15" s="3"/>
      <c r="M15" s="5"/>
      <c r="N15" s="5"/>
    </row>
    <row r="16">
      <c r="A16" s="2"/>
      <c r="B16" s="3"/>
      <c r="C16" s="3"/>
      <c r="D16" s="3"/>
      <c r="E16" s="4"/>
      <c r="F16" s="3"/>
      <c r="G16" s="5"/>
      <c r="H16" s="3"/>
      <c r="I16" s="5"/>
      <c r="J16" s="3"/>
      <c r="K16" s="5"/>
      <c r="L16" s="3"/>
      <c r="M16" s="5"/>
      <c r="N16" s="5"/>
    </row>
    <row r="17">
      <c r="A17" s="2"/>
      <c r="B17" s="3"/>
      <c r="C17" s="3"/>
      <c r="D17" s="3"/>
      <c r="E17" s="4"/>
      <c r="F17" s="3"/>
      <c r="G17" s="5"/>
      <c r="H17" s="3"/>
      <c r="I17" s="5"/>
      <c r="J17" s="3"/>
      <c r="K17" s="5"/>
      <c r="L17" s="3"/>
      <c r="M17" s="5"/>
      <c r="N17" s="5"/>
    </row>
    <row r="18">
      <c r="A18" s="2"/>
      <c r="B18" s="3"/>
      <c r="C18" s="3"/>
      <c r="D18" s="3"/>
      <c r="E18" s="4"/>
      <c r="F18" s="3"/>
      <c r="G18" s="5"/>
      <c r="H18" s="3"/>
      <c r="I18" s="5"/>
      <c r="J18" s="3"/>
      <c r="K18" s="5"/>
      <c r="L18" s="3"/>
      <c r="M18" s="5"/>
      <c r="N18" s="5"/>
    </row>
    <row r="19">
      <c r="A19" s="2"/>
      <c r="B19" s="3"/>
      <c r="C19" s="3"/>
      <c r="D19" s="3"/>
      <c r="E19" s="4"/>
      <c r="F19" s="3"/>
      <c r="G19" s="5"/>
      <c r="H19" s="3"/>
      <c r="I19" s="5"/>
      <c r="J19" s="3"/>
      <c r="K19" s="5"/>
      <c r="L19" s="3"/>
      <c r="M19" s="5"/>
      <c r="N19" s="5"/>
    </row>
    <row r="20">
      <c r="A20" s="2"/>
      <c r="B20" s="3"/>
      <c r="C20" s="3"/>
      <c r="D20" s="3"/>
      <c r="E20" s="4"/>
      <c r="F20" s="3"/>
      <c r="G20" s="5"/>
      <c r="H20" s="3"/>
      <c r="I20" s="5"/>
      <c r="J20" s="3"/>
      <c r="K20" s="5"/>
      <c r="L20" s="3"/>
      <c r="M20" s="5"/>
      <c r="N20" s="5"/>
    </row>
    <row r="21">
      <c r="A21" s="2"/>
      <c r="B21" s="3"/>
      <c r="C21" s="3"/>
      <c r="D21" s="3"/>
      <c r="E21" s="4"/>
      <c r="F21" s="3"/>
      <c r="G21" s="5"/>
      <c r="H21" s="3"/>
      <c r="I21" s="5"/>
      <c r="J21" s="3"/>
      <c r="K21" s="5"/>
      <c r="L21" s="3"/>
      <c r="M21" s="5"/>
      <c r="N21" s="5"/>
    </row>
    <row r="22">
      <c r="A22" s="2"/>
      <c r="B22" s="3"/>
      <c r="C22" s="3"/>
      <c r="D22" s="3"/>
      <c r="E22" s="4"/>
      <c r="F22" s="3"/>
      <c r="G22" s="5"/>
      <c r="H22" s="3"/>
      <c r="I22" s="5"/>
      <c r="J22" s="3"/>
      <c r="K22" s="5"/>
      <c r="L22" s="3"/>
      <c r="M22" s="5"/>
      <c r="N22" s="5"/>
    </row>
    <row r="23">
      <c r="A23" s="2"/>
      <c r="B23" s="3"/>
      <c r="C23" s="3"/>
      <c r="D23" s="3"/>
      <c r="E23" s="4"/>
      <c r="F23" s="3"/>
      <c r="G23" s="5"/>
      <c r="H23" s="3"/>
      <c r="I23" s="5"/>
      <c r="J23" s="3"/>
      <c r="K23" s="5"/>
      <c r="L23" s="3"/>
      <c r="M23" s="5"/>
      <c r="N23" s="5"/>
    </row>
    <row r="24">
      <c r="A24" s="2"/>
      <c r="B24" s="3"/>
      <c r="C24" s="3"/>
      <c r="D24" s="3"/>
      <c r="E24" s="4"/>
      <c r="F24" s="3"/>
      <c r="G24" s="5"/>
      <c r="H24" s="3"/>
      <c r="I24" s="5"/>
      <c r="J24" s="3"/>
      <c r="K24" s="5"/>
      <c r="L24" s="3"/>
      <c r="M24" s="5"/>
      <c r="N24" s="5"/>
    </row>
    <row r="25">
      <c r="A25" s="2"/>
      <c r="B25" s="3"/>
      <c r="C25" s="3"/>
      <c r="D25" s="3"/>
      <c r="E25" s="4"/>
      <c r="F25" s="3"/>
      <c r="G25" s="5"/>
      <c r="H25" s="3"/>
      <c r="I25" s="5"/>
      <c r="J25" s="3"/>
      <c r="K25" s="5"/>
      <c r="L25" s="3"/>
      <c r="M25" s="5"/>
      <c r="N25" s="5"/>
    </row>
    <row r="26">
      <c r="A26" s="2"/>
      <c r="B26" s="3"/>
      <c r="C26" s="3"/>
      <c r="D26" s="3"/>
      <c r="E26" s="4"/>
      <c r="F26" s="3"/>
      <c r="G26" s="5"/>
      <c r="H26" s="3"/>
      <c r="I26" s="5"/>
      <c r="J26" s="3"/>
      <c r="K26" s="5"/>
      <c r="L26" s="3"/>
      <c r="M26" s="5"/>
      <c r="N26" s="5"/>
    </row>
    <row r="27">
      <c r="A27" s="2"/>
      <c r="B27" s="3"/>
      <c r="C27" s="3"/>
      <c r="D27" s="3"/>
      <c r="E27" s="4"/>
      <c r="F27" s="3"/>
      <c r="G27" s="5"/>
      <c r="H27" s="3"/>
      <c r="I27" s="5"/>
      <c r="J27" s="3"/>
      <c r="K27" s="5"/>
      <c r="L27" s="3"/>
      <c r="M27" s="5"/>
      <c r="N27" s="5"/>
    </row>
    <row r="28">
      <c r="A28" s="2"/>
      <c r="B28" s="3"/>
      <c r="C28" s="3"/>
      <c r="D28" s="3"/>
      <c r="E28" s="4"/>
      <c r="F28" s="3"/>
      <c r="G28" s="5"/>
      <c r="H28" s="3"/>
      <c r="I28" s="5"/>
      <c r="J28" s="3"/>
      <c r="K28" s="5"/>
      <c r="L28" s="3"/>
      <c r="M28" s="5"/>
      <c r="N28" s="5"/>
    </row>
    <row r="29">
      <c r="A29" s="2"/>
      <c r="B29" s="3"/>
      <c r="C29" s="3"/>
      <c r="D29" s="3"/>
      <c r="E29" s="4"/>
      <c r="F29" s="3"/>
      <c r="G29" s="5"/>
      <c r="H29" s="3"/>
      <c r="I29" s="5"/>
      <c r="J29" s="3"/>
      <c r="K29" s="5"/>
      <c r="L29" s="3"/>
      <c r="M29" s="5"/>
      <c r="N29" s="5"/>
    </row>
    <row r="30">
      <c r="A30" s="2"/>
      <c r="B30" s="3"/>
      <c r="C30" s="3"/>
      <c r="D30" s="3"/>
      <c r="E30" s="4"/>
      <c r="F30" s="3"/>
      <c r="G30" s="5"/>
      <c r="H30" s="3"/>
      <c r="I30" s="5"/>
      <c r="J30" s="3"/>
      <c r="K30" s="5"/>
      <c r="L30" s="3"/>
      <c r="M30" s="5"/>
      <c r="N30" s="5"/>
    </row>
    <row r="31">
      <c r="A31" s="2"/>
      <c r="B31" s="3"/>
      <c r="C31" s="3"/>
      <c r="D31" s="3"/>
      <c r="E31" s="4"/>
      <c r="F31" s="3"/>
      <c r="G31" s="5"/>
      <c r="H31" s="3"/>
      <c r="I31" s="5"/>
      <c r="J31" s="3"/>
      <c r="K31" s="5"/>
      <c r="L31" s="3"/>
      <c r="M31" s="5"/>
      <c r="N31" s="5"/>
    </row>
    <row r="32">
      <c r="A32" s="2"/>
      <c r="B32" s="3"/>
      <c r="C32" s="3"/>
      <c r="D32" s="3"/>
      <c r="E32" s="4"/>
      <c r="F32" s="3"/>
      <c r="G32" s="5"/>
      <c r="H32" s="3"/>
      <c r="I32" s="5"/>
      <c r="J32" s="3"/>
      <c r="K32" s="5"/>
      <c r="L32" s="3"/>
      <c r="M32" s="5"/>
      <c r="N32" s="5"/>
    </row>
    <row r="33">
      <c r="A33" s="2"/>
      <c r="B33" s="3"/>
      <c r="C33" s="3"/>
      <c r="D33" s="3"/>
      <c r="E33" s="4"/>
      <c r="F33" s="3"/>
      <c r="G33" s="5"/>
      <c r="H33" s="3"/>
      <c r="I33" s="5"/>
      <c r="J33" s="3"/>
      <c r="K33" s="5"/>
      <c r="L33" s="3"/>
      <c r="M33" s="5"/>
      <c r="N33" s="5"/>
    </row>
    <row r="34">
      <c r="A34" s="2"/>
      <c r="B34" s="3"/>
      <c r="C34" s="3"/>
      <c r="D34" s="3"/>
      <c r="E34" s="4"/>
      <c r="F34" s="3"/>
      <c r="G34" s="5"/>
      <c r="H34" s="3"/>
      <c r="I34" s="5"/>
      <c r="J34" s="3"/>
      <c r="K34" s="5"/>
      <c r="L34" s="3"/>
      <c r="M34" s="5"/>
      <c r="N34" s="5"/>
    </row>
    <row r="35">
      <c r="A35" s="2"/>
      <c r="B35" s="3"/>
      <c r="C35" s="3"/>
      <c r="D35" s="3"/>
      <c r="E35" s="4"/>
      <c r="F35" s="3"/>
      <c r="G35" s="5"/>
      <c r="H35" s="3"/>
      <c r="I35" s="5"/>
      <c r="J35" s="3"/>
      <c r="K35" s="5"/>
      <c r="L35" s="3"/>
      <c r="M35" s="5"/>
      <c r="N35" s="5"/>
    </row>
    <row r="36">
      <c r="A36" s="2"/>
      <c r="B36" s="3"/>
      <c r="C36" s="3"/>
      <c r="D36" s="3"/>
      <c r="E36" s="4"/>
      <c r="F36" s="3"/>
      <c r="G36" s="5"/>
      <c r="H36" s="3"/>
      <c r="I36" s="5"/>
      <c r="J36" s="3"/>
      <c r="K36" s="5"/>
      <c r="L36" s="3"/>
      <c r="M36" s="5"/>
      <c r="N36" s="5"/>
    </row>
    <row r="37">
      <c r="A37" s="2"/>
      <c r="B37" s="3"/>
      <c r="C37" s="3"/>
      <c r="D37" s="3"/>
      <c r="E37" s="4"/>
      <c r="F37" s="3"/>
      <c r="G37" s="5"/>
      <c r="H37" s="3"/>
      <c r="I37" s="5"/>
      <c r="J37" s="3"/>
      <c r="K37" s="5"/>
      <c r="L37" s="3"/>
      <c r="M37" s="5"/>
      <c r="N37" s="5"/>
    </row>
    <row r="38">
      <c r="A38" s="2"/>
      <c r="B38" s="3"/>
      <c r="C38" s="3"/>
      <c r="D38" s="3"/>
      <c r="E38" s="4"/>
      <c r="F38" s="3"/>
      <c r="G38" s="5"/>
      <c r="H38" s="3"/>
      <c r="I38" s="5"/>
      <c r="J38" s="3"/>
      <c r="K38" s="5"/>
      <c r="L38" s="3"/>
      <c r="M38" s="5"/>
      <c r="N38" s="5"/>
    </row>
    <row r="39">
      <c r="A39" s="2"/>
      <c r="B39" s="3"/>
      <c r="C39" s="3"/>
      <c r="D39" s="3"/>
      <c r="E39" s="4"/>
      <c r="F39" s="3"/>
      <c r="G39" s="5"/>
      <c r="H39" s="3"/>
      <c r="I39" s="5"/>
      <c r="J39" s="3"/>
      <c r="K39" s="5"/>
      <c r="L39" s="3"/>
      <c r="M39" s="5"/>
      <c r="N39" s="5"/>
    </row>
    <row r="40">
      <c r="A40" s="2"/>
      <c r="B40" s="3"/>
      <c r="C40" s="3"/>
      <c r="D40" s="3"/>
      <c r="E40" s="4"/>
      <c r="F40" s="3"/>
      <c r="G40" s="5"/>
      <c r="H40" s="3"/>
      <c r="I40" s="5"/>
      <c r="J40" s="3"/>
      <c r="K40" s="5"/>
      <c r="L40" s="3"/>
      <c r="M40" s="5"/>
      <c r="N40" s="5"/>
    </row>
    <row r="41">
      <c r="A41" s="2"/>
      <c r="B41" s="3"/>
      <c r="C41" s="3"/>
      <c r="D41" s="3"/>
      <c r="E41" s="4"/>
      <c r="F41" s="3"/>
      <c r="G41" s="5"/>
      <c r="H41" s="3"/>
      <c r="I41" s="5"/>
      <c r="J41" s="3"/>
      <c r="K41" s="5"/>
      <c r="L41" s="3"/>
      <c r="M41" s="5"/>
      <c r="N41" s="5"/>
    </row>
    <row r="42">
      <c r="A42" s="2"/>
      <c r="B42" s="3"/>
      <c r="C42" s="3"/>
      <c r="D42" s="3"/>
      <c r="E42" s="4"/>
      <c r="F42" s="3"/>
      <c r="G42" s="5"/>
      <c r="H42" s="3"/>
      <c r="I42" s="5"/>
      <c r="J42" s="3"/>
      <c r="K42" s="5"/>
      <c r="L42" s="3"/>
      <c r="M42" s="5"/>
      <c r="N42" s="5"/>
    </row>
    <row r="43">
      <c r="A43" s="2"/>
      <c r="B43" s="3"/>
      <c r="C43" s="3"/>
      <c r="D43" s="3"/>
      <c r="E43" s="4"/>
      <c r="F43" s="3"/>
      <c r="G43" s="5"/>
      <c r="H43" s="3"/>
      <c r="I43" s="5"/>
      <c r="J43" s="3"/>
      <c r="K43" s="5"/>
      <c r="L43" s="3"/>
      <c r="M43" s="5"/>
      <c r="N43" s="5"/>
    </row>
    <row r="44">
      <c r="A44" s="2"/>
      <c r="B44" s="3"/>
      <c r="C44" s="3"/>
      <c r="D44" s="3"/>
      <c r="E44" s="4"/>
      <c r="F44" s="3"/>
      <c r="G44" s="5"/>
      <c r="H44" s="3"/>
      <c r="I44" s="5"/>
      <c r="J44" s="3"/>
      <c r="K44" s="5"/>
      <c r="L44" s="3"/>
      <c r="M44" s="5"/>
      <c r="N44" s="5"/>
    </row>
    <row r="45">
      <c r="A45" s="2"/>
      <c r="B45" s="3"/>
      <c r="C45" s="3"/>
      <c r="D45" s="3"/>
      <c r="E45" s="4"/>
      <c r="F45" s="3"/>
      <c r="G45" s="5"/>
      <c r="H45" s="3"/>
      <c r="I45" s="5"/>
      <c r="J45" s="3"/>
      <c r="K45" s="5"/>
      <c r="L45" s="3"/>
      <c r="M45" s="5"/>
      <c r="N45" s="5"/>
    </row>
    <row r="46">
      <c r="A46" s="2"/>
      <c r="B46" s="3"/>
      <c r="C46" s="3"/>
      <c r="D46" s="3"/>
      <c r="E46" s="4"/>
      <c r="F46" s="3"/>
      <c r="G46" s="5"/>
      <c r="H46" s="3"/>
      <c r="I46" s="5"/>
      <c r="J46" s="3"/>
      <c r="K46" s="5"/>
      <c r="L46" s="3"/>
      <c r="M46" s="5"/>
      <c r="N46" s="5"/>
    </row>
    <row r="47">
      <c r="A47" s="2"/>
      <c r="B47" s="3"/>
      <c r="C47" s="3"/>
      <c r="D47" s="3"/>
      <c r="E47" s="4"/>
      <c r="F47" s="3"/>
      <c r="G47" s="5"/>
      <c r="H47" s="3"/>
      <c r="I47" s="5"/>
      <c r="J47" s="3"/>
      <c r="K47" s="5"/>
      <c r="L47" s="3"/>
      <c r="M47" s="5"/>
      <c r="N47" s="5"/>
    </row>
    <row r="48">
      <c r="A48" s="2"/>
      <c r="B48" s="3"/>
      <c r="C48" s="3"/>
      <c r="D48" s="3"/>
      <c r="E48" s="4"/>
      <c r="F48" s="3"/>
      <c r="G48" s="5"/>
      <c r="H48" s="3"/>
      <c r="I48" s="5"/>
      <c r="J48" s="3"/>
      <c r="K48" s="5"/>
      <c r="L48" s="3"/>
      <c r="M48" s="5"/>
      <c r="N48" s="5"/>
    </row>
    <row r="49">
      <c r="A49" s="2"/>
      <c r="B49" s="3"/>
      <c r="C49" s="3"/>
      <c r="D49" s="3"/>
      <c r="E49" s="4"/>
      <c r="F49" s="3"/>
      <c r="G49" s="5"/>
      <c r="H49" s="3"/>
      <c r="I49" s="5"/>
      <c r="J49" s="3"/>
      <c r="K49" s="5"/>
      <c r="L49" s="3"/>
      <c r="M49" s="5"/>
      <c r="N49" s="5"/>
    </row>
    <row r="50">
      <c r="A50" s="2"/>
      <c r="B50" s="3"/>
      <c r="C50" s="3"/>
      <c r="D50" s="3"/>
      <c r="E50" s="4"/>
      <c r="F50" s="3"/>
      <c r="G50" s="5"/>
      <c r="H50" s="3"/>
      <c r="I50" s="5"/>
      <c r="J50" s="3"/>
      <c r="K50" s="5"/>
      <c r="L50" s="3"/>
      <c r="M50" s="5"/>
      <c r="N50" s="5"/>
    </row>
    <row r="51">
      <c r="A51" s="2"/>
      <c r="B51" s="3"/>
      <c r="C51" s="3"/>
      <c r="D51" s="3"/>
      <c r="E51" s="4"/>
      <c r="F51" s="3"/>
      <c r="G51" s="5"/>
      <c r="H51" s="3"/>
      <c r="I51" s="5"/>
      <c r="J51" s="3"/>
      <c r="K51" s="5"/>
      <c r="L51" s="3"/>
      <c r="M51" s="5"/>
      <c r="N51" s="5"/>
    </row>
    <row r="52">
      <c r="A52" s="2"/>
      <c r="B52" s="3"/>
      <c r="C52" s="3"/>
      <c r="D52" s="3"/>
      <c r="E52" s="4"/>
      <c r="F52" s="3"/>
      <c r="G52" s="5"/>
      <c r="H52" s="3"/>
      <c r="I52" s="5"/>
      <c r="J52" s="3"/>
      <c r="K52" s="5"/>
      <c r="L52" s="3"/>
      <c r="M52" s="5"/>
      <c r="N52" s="5"/>
    </row>
    <row r="53">
      <c r="A53" s="2"/>
      <c r="B53" s="3"/>
      <c r="C53" s="3"/>
      <c r="D53" s="3"/>
      <c r="E53" s="4"/>
      <c r="F53" s="3"/>
      <c r="G53" s="5"/>
      <c r="H53" s="3"/>
      <c r="I53" s="5"/>
      <c r="J53" s="3"/>
      <c r="K53" s="5"/>
      <c r="L53" s="3"/>
      <c r="M53" s="5"/>
      <c r="N53" s="5"/>
    </row>
    <row r="54">
      <c r="A54" s="2"/>
      <c r="B54" s="3"/>
      <c r="C54" s="3"/>
      <c r="D54" s="3"/>
      <c r="E54" s="4"/>
      <c r="F54" s="3"/>
      <c r="G54" s="5"/>
      <c r="H54" s="3"/>
      <c r="I54" s="5"/>
      <c r="J54" s="3"/>
      <c r="K54" s="5"/>
      <c r="L54" s="3"/>
      <c r="M54" s="5"/>
      <c r="N54" s="5"/>
    </row>
    <row r="55">
      <c r="A55" s="2"/>
      <c r="B55" s="3"/>
      <c r="C55" s="3"/>
      <c r="D55" s="3"/>
      <c r="E55" s="4"/>
      <c r="F55" s="3"/>
      <c r="G55" s="5"/>
      <c r="H55" s="3"/>
      <c r="I55" s="5"/>
      <c r="J55" s="3"/>
      <c r="K55" s="5"/>
      <c r="L55" s="3"/>
      <c r="M55" s="5"/>
      <c r="N55" s="5"/>
    </row>
    <row r="56">
      <c r="A56" s="2"/>
      <c r="B56" s="3"/>
      <c r="C56" s="3"/>
      <c r="D56" s="3"/>
      <c r="E56" s="4"/>
      <c r="F56" s="3"/>
      <c r="G56" s="5"/>
      <c r="H56" s="3"/>
      <c r="I56" s="5"/>
      <c r="J56" s="3"/>
      <c r="K56" s="5"/>
      <c r="L56" s="3"/>
      <c r="M56" s="5"/>
      <c r="N56" s="5"/>
    </row>
    <row r="57">
      <c r="A57" s="2"/>
      <c r="B57" s="3"/>
      <c r="C57" s="3"/>
      <c r="D57" s="3"/>
      <c r="E57" s="4"/>
      <c r="F57" s="3"/>
      <c r="G57" s="5"/>
      <c r="H57" s="3"/>
      <c r="I57" s="5"/>
      <c r="J57" s="3"/>
      <c r="K57" s="5"/>
      <c r="L57" s="3"/>
      <c r="M57" s="5"/>
      <c r="N57" s="5"/>
    </row>
    <row r="58">
      <c r="A58" s="2"/>
      <c r="B58" s="3"/>
      <c r="C58" s="3"/>
      <c r="D58" s="3"/>
      <c r="E58" s="4"/>
      <c r="F58" s="3"/>
      <c r="G58" s="5"/>
      <c r="H58" s="3"/>
      <c r="I58" s="5"/>
      <c r="J58" s="3"/>
      <c r="K58" s="5"/>
      <c r="L58" s="3"/>
      <c r="M58" s="5"/>
      <c r="N58" s="5"/>
    </row>
    <row r="59">
      <c r="A59" s="2"/>
      <c r="B59" s="3"/>
      <c r="C59" s="3"/>
      <c r="D59" s="3"/>
      <c r="E59" s="4"/>
      <c r="F59" s="3"/>
      <c r="G59" s="5"/>
      <c r="H59" s="3"/>
      <c r="I59" s="5"/>
      <c r="J59" s="3"/>
      <c r="K59" s="5"/>
      <c r="L59" s="3"/>
      <c r="M59" s="5"/>
      <c r="N59" s="5"/>
    </row>
    <row r="60">
      <c r="A60" s="2"/>
      <c r="B60" s="3"/>
      <c r="C60" s="3"/>
      <c r="D60" s="3"/>
      <c r="E60" s="4"/>
      <c r="F60" s="3"/>
      <c r="G60" s="5"/>
      <c r="H60" s="3"/>
      <c r="I60" s="5"/>
      <c r="J60" s="3"/>
      <c r="K60" s="5"/>
      <c r="L60" s="3"/>
      <c r="M60" s="5"/>
      <c r="N60" s="5"/>
    </row>
    <row r="61">
      <c r="A61" s="2"/>
      <c r="B61" s="3"/>
      <c r="C61" s="3"/>
      <c r="D61" s="3"/>
      <c r="E61" s="4"/>
      <c r="F61" s="3"/>
      <c r="G61" s="5"/>
      <c r="H61" s="3"/>
      <c r="I61" s="5"/>
      <c r="J61" s="3"/>
      <c r="K61" s="5"/>
      <c r="L61" s="3"/>
      <c r="M61" s="5"/>
      <c r="N61" s="5"/>
    </row>
    <row r="62">
      <c r="A62" s="2"/>
      <c r="B62" s="3"/>
      <c r="C62" s="3"/>
      <c r="D62" s="3"/>
      <c r="E62" s="4"/>
      <c r="F62" s="3"/>
      <c r="G62" s="5"/>
      <c r="H62" s="3"/>
      <c r="I62" s="5"/>
      <c r="J62" s="3"/>
      <c r="K62" s="5"/>
      <c r="L62" s="3"/>
      <c r="M62" s="5"/>
      <c r="N62" s="5"/>
    </row>
    <row r="63">
      <c r="A63" s="2"/>
      <c r="B63" s="3"/>
      <c r="C63" s="3"/>
      <c r="D63" s="3"/>
      <c r="E63" s="4"/>
      <c r="F63" s="3"/>
      <c r="G63" s="5"/>
      <c r="H63" s="3"/>
      <c r="I63" s="5"/>
      <c r="J63" s="3"/>
      <c r="K63" s="5"/>
      <c r="L63" s="3"/>
      <c r="M63" s="5"/>
      <c r="N63" s="5"/>
    </row>
    <row r="64">
      <c r="A64" s="2"/>
      <c r="B64" s="3"/>
      <c r="C64" s="3"/>
      <c r="D64" s="3"/>
      <c r="E64" s="4"/>
      <c r="F64" s="3"/>
      <c r="G64" s="5"/>
      <c r="H64" s="3"/>
      <c r="I64" s="5"/>
      <c r="J64" s="3"/>
      <c r="K64" s="5"/>
      <c r="L64" s="3"/>
      <c r="M64" s="5"/>
      <c r="N64" s="5"/>
    </row>
    <row r="65">
      <c r="A65" s="2"/>
      <c r="B65" s="3"/>
      <c r="C65" s="3"/>
      <c r="D65" s="3"/>
      <c r="E65" s="4"/>
      <c r="F65" s="3"/>
      <c r="G65" s="5"/>
      <c r="H65" s="3"/>
      <c r="I65" s="5"/>
      <c r="J65" s="3"/>
      <c r="K65" s="5"/>
      <c r="L65" s="3"/>
      <c r="M65" s="5"/>
      <c r="N65" s="5"/>
    </row>
    <row r="66">
      <c r="A66" s="2"/>
      <c r="B66" s="3"/>
      <c r="C66" s="3"/>
      <c r="D66" s="3"/>
      <c r="E66" s="4"/>
      <c r="F66" s="3"/>
      <c r="G66" s="5"/>
      <c r="H66" s="3"/>
      <c r="I66" s="5"/>
      <c r="J66" s="3"/>
      <c r="K66" s="5"/>
      <c r="L66" s="3"/>
      <c r="M66" s="5"/>
      <c r="N66" s="5"/>
    </row>
    <row r="67">
      <c r="A67" s="2"/>
      <c r="B67" s="3"/>
      <c r="C67" s="3"/>
      <c r="D67" s="3"/>
      <c r="E67" s="4"/>
      <c r="F67" s="3"/>
      <c r="G67" s="5"/>
      <c r="H67" s="3"/>
      <c r="I67" s="5"/>
      <c r="J67" s="3"/>
      <c r="K67" s="5"/>
      <c r="L67" s="3"/>
      <c r="M67" s="5"/>
      <c r="N67" s="5"/>
    </row>
    <row r="68">
      <c r="A68" s="2"/>
      <c r="B68" s="3"/>
      <c r="C68" s="3"/>
      <c r="D68" s="3"/>
      <c r="E68" s="4"/>
      <c r="F68" s="3"/>
      <c r="G68" s="5"/>
      <c r="H68" s="3"/>
      <c r="I68" s="5"/>
      <c r="J68" s="3"/>
      <c r="K68" s="5"/>
      <c r="L68" s="3"/>
      <c r="M68" s="5"/>
      <c r="N68" s="5"/>
    </row>
    <row r="69">
      <c r="A69" s="2"/>
      <c r="B69" s="3"/>
      <c r="C69" s="3"/>
      <c r="D69" s="3"/>
      <c r="E69" s="4"/>
      <c r="F69" s="3"/>
      <c r="G69" s="5"/>
      <c r="H69" s="3"/>
      <c r="I69" s="5"/>
      <c r="J69" s="3"/>
      <c r="K69" s="5"/>
      <c r="L69" s="3"/>
      <c r="M69" s="5"/>
      <c r="N69" s="5"/>
    </row>
    <row r="70">
      <c r="A70" s="2"/>
      <c r="B70" s="3"/>
      <c r="C70" s="3"/>
      <c r="D70" s="3"/>
      <c r="E70" s="4"/>
      <c r="F70" s="3"/>
      <c r="G70" s="5"/>
      <c r="H70" s="3"/>
      <c r="I70" s="5"/>
      <c r="J70" s="3"/>
      <c r="K70" s="5"/>
      <c r="L70" s="3"/>
      <c r="M70" s="5"/>
      <c r="N70" s="5"/>
    </row>
    <row r="71">
      <c r="A71" s="2"/>
      <c r="B71" s="3"/>
      <c r="C71" s="3"/>
      <c r="D71" s="3"/>
      <c r="E71" s="4"/>
      <c r="F71" s="3"/>
      <c r="G71" s="5"/>
      <c r="H71" s="3"/>
      <c r="I71" s="5"/>
      <c r="J71" s="3"/>
      <c r="K71" s="5"/>
      <c r="L71" s="3"/>
      <c r="M71" s="5"/>
      <c r="N71" s="5"/>
    </row>
    <row r="72">
      <c r="A72" s="2"/>
      <c r="B72" s="3"/>
      <c r="C72" s="3"/>
      <c r="D72" s="3"/>
      <c r="E72" s="4"/>
      <c r="F72" s="3"/>
      <c r="G72" s="5"/>
      <c r="H72" s="3"/>
      <c r="I72" s="5"/>
      <c r="J72" s="3"/>
      <c r="K72" s="5"/>
      <c r="L72" s="3"/>
      <c r="M72" s="5"/>
      <c r="N72" s="5"/>
    </row>
    <row r="73">
      <c r="A73" s="2"/>
      <c r="B73" s="3"/>
      <c r="C73" s="3"/>
      <c r="D73" s="3"/>
      <c r="E73" s="4"/>
      <c r="F73" s="3"/>
      <c r="G73" s="5"/>
      <c r="H73" s="3"/>
      <c r="I73" s="5"/>
      <c r="J73" s="3"/>
      <c r="K73" s="5"/>
      <c r="L73" s="3"/>
      <c r="M73" s="5"/>
      <c r="N73" s="5"/>
    </row>
    <row r="74">
      <c r="A74" s="2"/>
      <c r="B74" s="3"/>
      <c r="C74" s="3"/>
      <c r="D74" s="3"/>
      <c r="E74" s="4"/>
      <c r="F74" s="3"/>
      <c r="G74" s="5"/>
      <c r="H74" s="3"/>
      <c r="I74" s="5"/>
      <c r="J74" s="3"/>
      <c r="K74" s="5"/>
      <c r="L74" s="3"/>
      <c r="M74" s="5"/>
      <c r="N74" s="5"/>
    </row>
    <row r="75">
      <c r="A75" s="2"/>
      <c r="B75" s="3"/>
      <c r="C75" s="3"/>
      <c r="D75" s="3"/>
      <c r="E75" s="4"/>
      <c r="F75" s="3"/>
      <c r="G75" s="5"/>
      <c r="H75" s="3"/>
      <c r="I75" s="5"/>
      <c r="J75" s="3"/>
      <c r="K75" s="5"/>
      <c r="L75" s="3"/>
      <c r="M75" s="5"/>
      <c r="N75" s="5"/>
    </row>
    <row r="76">
      <c r="A76" s="2"/>
      <c r="B76" s="3"/>
      <c r="C76" s="3"/>
      <c r="D76" s="3"/>
      <c r="E76" s="4"/>
      <c r="F76" s="3"/>
      <c r="G76" s="5"/>
      <c r="H76" s="3"/>
      <c r="I76" s="5"/>
      <c r="J76" s="3"/>
      <c r="K76" s="5"/>
      <c r="L76" s="3"/>
      <c r="M76" s="5"/>
      <c r="N76" s="5"/>
    </row>
    <row r="77">
      <c r="A77" s="2"/>
      <c r="B77" s="3"/>
      <c r="C77" s="3"/>
      <c r="D77" s="3"/>
      <c r="E77" s="4"/>
      <c r="F77" s="3"/>
      <c r="G77" s="5"/>
      <c r="H77" s="3"/>
      <c r="I77" s="5"/>
      <c r="J77" s="3"/>
      <c r="K77" s="5"/>
      <c r="L77" s="3"/>
      <c r="M77" s="5"/>
      <c r="N77" s="5"/>
    </row>
    <row r="78">
      <c r="A78" s="2"/>
      <c r="B78" s="3"/>
      <c r="C78" s="3"/>
      <c r="D78" s="3"/>
      <c r="E78" s="4"/>
      <c r="F78" s="3"/>
      <c r="G78" s="5"/>
      <c r="H78" s="3"/>
      <c r="I78" s="5"/>
      <c r="J78" s="3"/>
      <c r="K78" s="5"/>
      <c r="L78" s="3"/>
      <c r="M78" s="5"/>
      <c r="N78" s="5"/>
    </row>
    <row r="79">
      <c r="A79" s="2"/>
      <c r="B79" s="3"/>
      <c r="C79" s="3"/>
      <c r="D79" s="3"/>
      <c r="E79" s="4"/>
      <c r="F79" s="3"/>
      <c r="G79" s="5"/>
      <c r="H79" s="3"/>
      <c r="I79" s="5"/>
      <c r="J79" s="3"/>
      <c r="K79" s="5"/>
      <c r="L79" s="3"/>
      <c r="M79" s="5"/>
      <c r="N79" s="5"/>
    </row>
    <row r="80">
      <c r="A80" s="2"/>
      <c r="B80" s="3"/>
      <c r="C80" s="3"/>
      <c r="D80" s="3"/>
      <c r="E80" s="4"/>
      <c r="F80" s="3"/>
      <c r="G80" s="5"/>
      <c r="H80" s="3"/>
      <c r="I80" s="5"/>
      <c r="J80" s="3"/>
      <c r="K80" s="5"/>
      <c r="L80" s="3"/>
      <c r="M80" s="5"/>
      <c r="N80" s="5"/>
    </row>
    <row r="81">
      <c r="A81" s="2"/>
      <c r="B81" s="3"/>
      <c r="C81" s="3"/>
      <c r="D81" s="3"/>
      <c r="E81" s="4"/>
      <c r="F81" s="3"/>
      <c r="G81" s="5"/>
      <c r="H81" s="3"/>
      <c r="I81" s="5"/>
      <c r="J81" s="3"/>
      <c r="K81" s="5"/>
      <c r="L81" s="3"/>
      <c r="M81" s="5"/>
      <c r="N81" s="5"/>
    </row>
    <row r="82">
      <c r="A82" s="2"/>
      <c r="B82" s="3"/>
      <c r="C82" s="3"/>
      <c r="D82" s="3"/>
      <c r="E82" s="4"/>
      <c r="F82" s="3"/>
      <c r="G82" s="5"/>
      <c r="H82" s="3"/>
      <c r="I82" s="5"/>
      <c r="J82" s="3"/>
      <c r="K82" s="5"/>
      <c r="L82" s="3"/>
      <c r="M82" s="5"/>
      <c r="N82" s="5"/>
    </row>
    <row r="83">
      <c r="A83" s="2"/>
      <c r="B83" s="3"/>
      <c r="C83" s="3"/>
      <c r="D83" s="3"/>
      <c r="E83" s="4"/>
      <c r="F83" s="3"/>
      <c r="G83" s="5"/>
      <c r="H83" s="3"/>
      <c r="I83" s="5"/>
      <c r="J83" s="3"/>
      <c r="K83" s="5"/>
      <c r="L83" s="3"/>
      <c r="M83" s="5"/>
      <c r="N83" s="5"/>
    </row>
    <row r="84">
      <c r="A84" s="2"/>
      <c r="B84" s="3"/>
      <c r="C84" s="3"/>
      <c r="D84" s="3"/>
      <c r="E84" s="4"/>
      <c r="F84" s="3"/>
      <c r="G84" s="5"/>
      <c r="H84" s="3"/>
      <c r="I84" s="5"/>
      <c r="J84" s="3"/>
      <c r="K84" s="5"/>
      <c r="L84" s="3"/>
      <c r="M84" s="5"/>
      <c r="N84" s="5"/>
    </row>
    <row r="85">
      <c r="A85" s="2"/>
      <c r="B85" s="3"/>
      <c r="C85" s="3"/>
      <c r="D85" s="3"/>
      <c r="E85" s="4"/>
      <c r="F85" s="3"/>
      <c r="G85" s="5"/>
      <c r="H85" s="3"/>
      <c r="I85" s="5"/>
      <c r="J85" s="3"/>
      <c r="K85" s="5"/>
      <c r="L85" s="3"/>
      <c r="M85" s="5"/>
      <c r="N85" s="5"/>
    </row>
    <row r="86">
      <c r="A86" s="2"/>
      <c r="B86" s="3"/>
      <c r="C86" s="3"/>
      <c r="D86" s="3"/>
      <c r="E86" s="4"/>
      <c r="F86" s="3"/>
      <c r="G86" s="5"/>
      <c r="H86" s="3"/>
      <c r="I86" s="5"/>
      <c r="J86" s="3"/>
      <c r="K86" s="5"/>
      <c r="L86" s="3"/>
      <c r="M86" s="5"/>
      <c r="N86" s="5"/>
    </row>
    <row r="87">
      <c r="A87" s="2"/>
      <c r="B87" s="3"/>
      <c r="C87" s="3"/>
      <c r="D87" s="3"/>
      <c r="E87" s="4"/>
      <c r="F87" s="3"/>
      <c r="G87" s="5"/>
      <c r="H87" s="3"/>
      <c r="I87" s="5"/>
      <c r="J87" s="3"/>
      <c r="K87" s="5"/>
      <c r="L87" s="3"/>
      <c r="M87" s="5"/>
      <c r="N87" s="5"/>
    </row>
    <row r="88">
      <c r="A88" s="2"/>
      <c r="B88" s="3"/>
      <c r="C88" s="3"/>
      <c r="D88" s="3"/>
      <c r="E88" s="4"/>
      <c r="F88" s="3"/>
      <c r="G88" s="5"/>
      <c r="H88" s="3"/>
      <c r="I88" s="5"/>
      <c r="J88" s="3"/>
      <c r="K88" s="5"/>
      <c r="L88" s="3"/>
      <c r="M88" s="5"/>
      <c r="N88" s="5"/>
    </row>
    <row r="89">
      <c r="A89" s="2"/>
      <c r="B89" s="3"/>
      <c r="C89" s="3"/>
      <c r="D89" s="3"/>
      <c r="E89" s="4"/>
      <c r="F89" s="3"/>
      <c r="G89" s="5"/>
      <c r="H89" s="3"/>
      <c r="I89" s="5"/>
      <c r="J89" s="3"/>
      <c r="K89" s="5"/>
      <c r="L89" s="3"/>
      <c r="M89" s="5"/>
      <c r="N89" s="5"/>
    </row>
    <row r="90">
      <c r="A90" s="2"/>
      <c r="B90" s="3"/>
      <c r="C90" s="3"/>
      <c r="D90" s="3"/>
      <c r="E90" s="4"/>
      <c r="F90" s="3"/>
      <c r="G90" s="5"/>
      <c r="H90" s="3"/>
      <c r="I90" s="5"/>
      <c r="J90" s="3"/>
      <c r="K90" s="5"/>
      <c r="L90" s="3"/>
      <c r="M90" s="5"/>
      <c r="N90" s="5"/>
    </row>
    <row r="91">
      <c r="A91" s="2"/>
      <c r="B91" s="3"/>
      <c r="C91" s="3"/>
      <c r="D91" s="3"/>
      <c r="E91" s="4"/>
      <c r="F91" s="3"/>
      <c r="G91" s="5"/>
      <c r="H91" s="3"/>
      <c r="I91" s="5"/>
      <c r="J91" s="3"/>
      <c r="K91" s="5"/>
      <c r="L91" s="3"/>
      <c r="M91" s="5"/>
      <c r="N91" s="5"/>
    </row>
    <row r="92">
      <c r="A92" s="2"/>
      <c r="B92" s="3"/>
      <c r="C92" s="3"/>
      <c r="D92" s="3"/>
      <c r="E92" s="4"/>
      <c r="F92" s="3"/>
      <c r="G92" s="5"/>
      <c r="H92" s="3"/>
      <c r="I92" s="5"/>
      <c r="J92" s="3"/>
      <c r="K92" s="5"/>
      <c r="L92" s="3"/>
      <c r="M92" s="5"/>
      <c r="N92" s="5"/>
    </row>
    <row r="93">
      <c r="A93" s="2"/>
      <c r="B93" s="3"/>
      <c r="C93" s="3"/>
      <c r="D93" s="3"/>
      <c r="E93" s="4"/>
      <c r="F93" s="3"/>
      <c r="G93" s="5"/>
      <c r="H93" s="3"/>
      <c r="I93" s="5"/>
      <c r="J93" s="3"/>
      <c r="K93" s="5"/>
      <c r="L93" s="3"/>
      <c r="M93" s="5"/>
      <c r="N93" s="5"/>
    </row>
    <row r="94">
      <c r="A94" s="2"/>
      <c r="B94" s="3"/>
      <c r="C94" s="3"/>
      <c r="D94" s="3"/>
      <c r="E94" s="4"/>
      <c r="F94" s="3"/>
      <c r="G94" s="5"/>
      <c r="H94" s="3"/>
      <c r="I94" s="5"/>
      <c r="J94" s="3"/>
      <c r="K94" s="5"/>
      <c r="L94" s="3"/>
      <c r="M94" s="5"/>
      <c r="N94" s="5"/>
    </row>
    <row r="95">
      <c r="A95" s="2"/>
      <c r="B95" s="3"/>
      <c r="C95" s="3"/>
      <c r="D95" s="3"/>
      <c r="E95" s="4"/>
      <c r="F95" s="3"/>
      <c r="G95" s="5"/>
      <c r="H95" s="3"/>
      <c r="I95" s="5"/>
      <c r="J95" s="3"/>
      <c r="K95" s="5"/>
      <c r="L95" s="3"/>
      <c r="M95" s="5"/>
      <c r="N95" s="5"/>
    </row>
    <row r="96">
      <c r="A96" s="2"/>
      <c r="B96" s="3"/>
      <c r="C96" s="3"/>
      <c r="D96" s="3"/>
      <c r="E96" s="4"/>
      <c r="F96" s="3"/>
      <c r="G96" s="5"/>
      <c r="H96" s="3"/>
      <c r="I96" s="5"/>
      <c r="J96" s="3"/>
      <c r="K96" s="5"/>
      <c r="L96" s="3"/>
      <c r="M96" s="5"/>
      <c r="N96" s="5"/>
    </row>
    <row r="97">
      <c r="A97" s="2"/>
      <c r="B97" s="3"/>
      <c r="C97" s="3"/>
      <c r="D97" s="3"/>
      <c r="E97" s="4"/>
      <c r="F97" s="3"/>
      <c r="G97" s="5"/>
      <c r="H97" s="3"/>
      <c r="I97" s="5"/>
      <c r="J97" s="3"/>
      <c r="K97" s="5"/>
      <c r="L97" s="3"/>
      <c r="M97" s="5"/>
      <c r="N97" s="5"/>
    </row>
    <row r="98">
      <c r="A98" s="2"/>
      <c r="B98" s="3"/>
      <c r="C98" s="3"/>
      <c r="D98" s="3"/>
      <c r="E98" s="4"/>
      <c r="F98" s="3"/>
      <c r="G98" s="5"/>
      <c r="H98" s="3"/>
      <c r="I98" s="5"/>
      <c r="J98" s="3"/>
      <c r="K98" s="5"/>
      <c r="L98" s="3"/>
      <c r="M98" s="5"/>
      <c r="N98" s="5"/>
    </row>
    <row r="99">
      <c r="A99" s="2"/>
      <c r="B99" s="3"/>
      <c r="C99" s="3"/>
      <c r="D99" s="3"/>
      <c r="E99" s="4"/>
      <c r="F99" s="3"/>
      <c r="G99" s="5"/>
      <c r="H99" s="3"/>
      <c r="I99" s="5"/>
      <c r="J99" s="3"/>
      <c r="K99" s="5"/>
      <c r="L99" s="3"/>
      <c r="M99" s="5"/>
      <c r="N99" s="5"/>
    </row>
    <row r="100">
      <c r="A100" s="2"/>
      <c r="B100" s="3"/>
      <c r="C100" s="3"/>
      <c r="D100" s="3"/>
      <c r="E100" s="4"/>
      <c r="F100" s="3"/>
      <c r="G100" s="5"/>
      <c r="H100" s="3"/>
      <c r="I100" s="5"/>
      <c r="J100" s="3"/>
      <c r="K100" s="5"/>
      <c r="L100" s="3"/>
      <c r="M100" s="5"/>
      <c r="N100" s="5"/>
    </row>
    <row r="101">
      <c r="A101" s="2"/>
      <c r="B101" s="3"/>
      <c r="C101" s="3"/>
      <c r="D101" s="3"/>
      <c r="E101" s="4"/>
      <c r="F101" s="3"/>
      <c r="G101" s="5"/>
      <c r="H101" s="3"/>
      <c r="I101" s="5"/>
      <c r="J101" s="3"/>
      <c r="K101" s="5"/>
      <c r="L101" s="3"/>
      <c r="M101" s="5"/>
      <c r="N101" s="5"/>
    </row>
    <row r="102">
      <c r="A102" s="2"/>
      <c r="B102" s="3"/>
      <c r="C102" s="3"/>
      <c r="D102" s="3"/>
      <c r="E102" s="4"/>
      <c r="F102" s="3"/>
      <c r="G102" s="5"/>
      <c r="H102" s="3"/>
      <c r="I102" s="5"/>
      <c r="J102" s="3"/>
      <c r="K102" s="5"/>
      <c r="L102" s="3"/>
      <c r="M102" s="5"/>
      <c r="N102" s="5"/>
    </row>
    <row r="103">
      <c r="A103" s="2"/>
      <c r="B103" s="3"/>
      <c r="C103" s="3"/>
      <c r="D103" s="3"/>
      <c r="E103" s="4"/>
      <c r="F103" s="3"/>
      <c r="G103" s="5"/>
      <c r="H103" s="3"/>
      <c r="I103" s="5"/>
      <c r="J103" s="3"/>
      <c r="K103" s="5"/>
      <c r="L103" s="3"/>
      <c r="M103" s="5"/>
      <c r="N103" s="5"/>
    </row>
    <row r="104">
      <c r="A104" s="2"/>
      <c r="B104" s="3"/>
      <c r="C104" s="3"/>
      <c r="D104" s="3"/>
      <c r="E104" s="4"/>
      <c r="F104" s="3"/>
      <c r="G104" s="5"/>
      <c r="H104" s="3"/>
      <c r="I104" s="5"/>
      <c r="J104" s="3"/>
      <c r="K104" s="5"/>
      <c r="L104" s="3"/>
      <c r="M104" s="5"/>
      <c r="N104" s="5"/>
    </row>
    <row r="105">
      <c r="A105" s="2"/>
      <c r="B105" s="3"/>
      <c r="C105" s="3"/>
      <c r="D105" s="3"/>
      <c r="E105" s="4"/>
      <c r="F105" s="3"/>
      <c r="G105" s="5"/>
      <c r="H105" s="3"/>
      <c r="I105" s="5"/>
      <c r="J105" s="3"/>
      <c r="K105" s="5"/>
      <c r="L105" s="3"/>
      <c r="M105" s="5"/>
      <c r="N105" s="5"/>
    </row>
    <row r="106">
      <c r="A106" s="2"/>
      <c r="B106" s="3"/>
      <c r="C106" s="3"/>
      <c r="D106" s="3"/>
      <c r="E106" s="4"/>
      <c r="F106" s="3"/>
      <c r="G106" s="5"/>
      <c r="H106" s="3"/>
      <c r="I106" s="5"/>
      <c r="J106" s="3"/>
      <c r="K106" s="5"/>
      <c r="L106" s="3"/>
      <c r="M106" s="5"/>
      <c r="N106" s="5"/>
    </row>
    <row r="107">
      <c r="A107" s="2"/>
      <c r="B107" s="3"/>
      <c r="C107" s="3"/>
      <c r="D107" s="3"/>
      <c r="E107" s="4"/>
      <c r="F107" s="3"/>
      <c r="G107" s="5"/>
      <c r="H107" s="3"/>
      <c r="I107" s="5"/>
      <c r="J107" s="3"/>
      <c r="K107" s="5"/>
      <c r="L107" s="3"/>
      <c r="M107" s="5"/>
      <c r="N107" s="5"/>
    </row>
    <row r="108">
      <c r="A108" s="2"/>
      <c r="B108" s="3"/>
      <c r="C108" s="3"/>
      <c r="D108" s="3"/>
      <c r="E108" s="4"/>
      <c r="F108" s="3"/>
      <c r="G108" s="5"/>
      <c r="H108" s="3"/>
      <c r="I108" s="5"/>
      <c r="J108" s="3"/>
      <c r="K108" s="5"/>
      <c r="L108" s="3"/>
      <c r="M108" s="5"/>
      <c r="N108" s="5"/>
    </row>
    <row r="109">
      <c r="A109" s="2"/>
      <c r="B109" s="3"/>
      <c r="C109" s="3"/>
      <c r="D109" s="3"/>
      <c r="E109" s="4"/>
      <c r="F109" s="3"/>
      <c r="G109" s="5"/>
      <c r="H109" s="3"/>
      <c r="I109" s="5"/>
      <c r="J109" s="3"/>
      <c r="K109" s="5"/>
      <c r="L109" s="3"/>
      <c r="M109" s="5"/>
      <c r="N109" s="5"/>
    </row>
    <row r="110">
      <c r="A110" s="2"/>
      <c r="B110" s="3"/>
      <c r="C110" s="3"/>
      <c r="D110" s="3"/>
      <c r="E110" s="4"/>
      <c r="F110" s="3"/>
      <c r="G110" s="5"/>
      <c r="H110" s="3"/>
      <c r="I110" s="5"/>
      <c r="J110" s="3"/>
      <c r="K110" s="5"/>
      <c r="L110" s="3"/>
      <c r="M110" s="5"/>
      <c r="N110" s="5"/>
    </row>
    <row r="111">
      <c r="A111" s="2"/>
      <c r="B111" s="3"/>
      <c r="C111" s="3"/>
      <c r="D111" s="3"/>
      <c r="E111" s="4"/>
      <c r="F111" s="3"/>
      <c r="G111" s="5"/>
      <c r="H111" s="3"/>
      <c r="I111" s="5"/>
      <c r="J111" s="3"/>
      <c r="K111" s="5"/>
      <c r="L111" s="3"/>
      <c r="M111" s="5"/>
      <c r="N111" s="5"/>
    </row>
    <row r="112">
      <c r="A112" s="2"/>
      <c r="B112" s="3"/>
      <c r="C112" s="3"/>
      <c r="D112" s="3"/>
      <c r="E112" s="4"/>
      <c r="F112" s="3"/>
      <c r="G112" s="5"/>
      <c r="H112" s="3"/>
      <c r="I112" s="5"/>
      <c r="J112" s="3"/>
      <c r="K112" s="5"/>
      <c r="L112" s="3"/>
      <c r="M112" s="5"/>
      <c r="N112" s="5"/>
    </row>
    <row r="113">
      <c r="A113" s="2"/>
      <c r="B113" s="3"/>
      <c r="C113" s="3"/>
      <c r="D113" s="3"/>
      <c r="E113" s="4"/>
      <c r="F113" s="3"/>
      <c r="G113" s="5"/>
      <c r="H113" s="3"/>
      <c r="I113" s="5"/>
      <c r="J113" s="3"/>
      <c r="K113" s="5"/>
      <c r="L113" s="3"/>
      <c r="M113" s="5"/>
      <c r="N113" s="5"/>
    </row>
    <row r="114">
      <c r="A114" s="2"/>
      <c r="B114" s="3"/>
      <c r="C114" s="3"/>
      <c r="D114" s="3"/>
      <c r="E114" s="4"/>
      <c r="F114" s="3"/>
      <c r="G114" s="5"/>
      <c r="H114" s="3"/>
      <c r="I114" s="5"/>
      <c r="J114" s="3"/>
      <c r="K114" s="5"/>
      <c r="L114" s="3"/>
      <c r="M114" s="5"/>
      <c r="N114" s="5"/>
    </row>
    <row r="115">
      <c r="A115" s="2"/>
      <c r="B115" s="3"/>
      <c r="C115" s="3"/>
      <c r="D115" s="3"/>
      <c r="E115" s="4"/>
      <c r="F115" s="3"/>
      <c r="G115" s="5"/>
      <c r="H115" s="3"/>
      <c r="I115" s="5"/>
      <c r="J115" s="3"/>
      <c r="K115" s="5"/>
      <c r="L115" s="3"/>
      <c r="M115" s="5"/>
      <c r="N115" s="5"/>
    </row>
    <row r="116">
      <c r="A116" s="2"/>
      <c r="B116" s="3"/>
      <c r="C116" s="3"/>
      <c r="D116" s="3"/>
      <c r="E116" s="4"/>
      <c r="F116" s="3"/>
      <c r="G116" s="5"/>
      <c r="H116" s="3"/>
      <c r="I116" s="5"/>
      <c r="J116" s="3"/>
      <c r="K116" s="5"/>
      <c r="L116" s="3"/>
      <c r="M116" s="5"/>
      <c r="N116" s="5"/>
    </row>
    <row r="117">
      <c r="A117" s="2"/>
      <c r="B117" s="3"/>
      <c r="C117" s="3"/>
      <c r="D117" s="3"/>
      <c r="E117" s="4"/>
      <c r="F117" s="3"/>
      <c r="G117" s="5"/>
      <c r="H117" s="3"/>
      <c r="I117" s="5"/>
      <c r="J117" s="3"/>
      <c r="K117" s="5"/>
      <c r="L117" s="3"/>
      <c r="M117" s="5"/>
      <c r="N117" s="5"/>
    </row>
    <row r="118">
      <c r="A118" s="2"/>
      <c r="B118" s="3"/>
      <c r="C118" s="3"/>
      <c r="D118" s="3"/>
      <c r="E118" s="4"/>
      <c r="F118" s="3"/>
      <c r="G118" s="5"/>
      <c r="H118" s="3"/>
      <c r="I118" s="5"/>
      <c r="J118" s="3"/>
      <c r="K118" s="5"/>
      <c r="L118" s="3"/>
      <c r="M118" s="5"/>
      <c r="N118" s="5"/>
    </row>
    <row r="119">
      <c r="A119" s="2"/>
      <c r="B119" s="3"/>
      <c r="C119" s="3"/>
      <c r="D119" s="3"/>
      <c r="E119" s="4"/>
      <c r="F119" s="3"/>
      <c r="G119" s="5"/>
      <c r="H119" s="3"/>
      <c r="I119" s="5"/>
      <c r="J119" s="3"/>
      <c r="K119" s="5"/>
      <c r="L119" s="3"/>
      <c r="M119" s="5"/>
      <c r="N119" s="5"/>
    </row>
    <row r="120">
      <c r="A120" s="2"/>
      <c r="B120" s="3"/>
      <c r="C120" s="3"/>
      <c r="D120" s="3"/>
      <c r="E120" s="4"/>
      <c r="F120" s="3"/>
      <c r="G120" s="5"/>
      <c r="H120" s="3"/>
      <c r="I120" s="5"/>
      <c r="J120" s="3"/>
      <c r="K120" s="5"/>
      <c r="L120" s="3"/>
      <c r="M120" s="5"/>
      <c r="N120" s="5"/>
    </row>
    <row r="121">
      <c r="A121" s="2"/>
      <c r="B121" s="3"/>
      <c r="C121" s="3"/>
      <c r="D121" s="3"/>
      <c r="E121" s="4"/>
      <c r="F121" s="3"/>
      <c r="G121" s="5"/>
      <c r="H121" s="3"/>
      <c r="I121" s="5"/>
      <c r="J121" s="3"/>
      <c r="K121" s="5"/>
      <c r="L121" s="3"/>
      <c r="M121" s="5"/>
      <c r="N121" s="5"/>
    </row>
    <row r="122">
      <c r="A122" s="2"/>
      <c r="B122" s="3"/>
      <c r="C122" s="3"/>
      <c r="D122" s="3"/>
      <c r="E122" s="4"/>
      <c r="F122" s="3"/>
      <c r="G122" s="5"/>
      <c r="H122" s="3"/>
      <c r="I122" s="5"/>
      <c r="J122" s="3"/>
      <c r="K122" s="5"/>
      <c r="L122" s="3"/>
      <c r="M122" s="5"/>
      <c r="N122" s="5"/>
    </row>
    <row r="123">
      <c r="A123" s="2"/>
      <c r="B123" s="3"/>
      <c r="C123" s="3"/>
      <c r="D123" s="3"/>
      <c r="E123" s="4"/>
      <c r="F123" s="3"/>
      <c r="G123" s="5"/>
      <c r="H123" s="3"/>
      <c r="I123" s="5"/>
      <c r="J123" s="3"/>
      <c r="K123" s="5"/>
      <c r="L123" s="3"/>
      <c r="M123" s="5"/>
      <c r="N123" s="5"/>
    </row>
    <row r="124">
      <c r="A124" s="2"/>
      <c r="B124" s="3"/>
      <c r="C124" s="3"/>
      <c r="D124" s="3"/>
      <c r="E124" s="4"/>
      <c r="F124" s="3"/>
      <c r="G124" s="5"/>
      <c r="H124" s="3"/>
      <c r="I124" s="5"/>
      <c r="J124" s="3"/>
      <c r="K124" s="5"/>
      <c r="L124" s="3"/>
      <c r="M124" s="5"/>
      <c r="N124" s="5"/>
    </row>
    <row r="125">
      <c r="A125" s="2"/>
      <c r="B125" s="3"/>
      <c r="C125" s="3"/>
      <c r="D125" s="3"/>
      <c r="E125" s="4"/>
      <c r="F125" s="3"/>
      <c r="G125" s="5"/>
      <c r="H125" s="3"/>
      <c r="I125" s="5"/>
      <c r="J125" s="3"/>
      <c r="K125" s="5"/>
      <c r="L125" s="3"/>
      <c r="M125" s="5"/>
      <c r="N125" s="5"/>
    </row>
    <row r="126">
      <c r="A126" s="2"/>
      <c r="B126" s="3"/>
      <c r="C126" s="3"/>
      <c r="D126" s="3"/>
      <c r="E126" s="4"/>
      <c r="F126" s="3"/>
      <c r="G126" s="5"/>
      <c r="H126" s="3"/>
      <c r="I126" s="5"/>
      <c r="J126" s="3"/>
      <c r="K126" s="5"/>
      <c r="L126" s="3"/>
      <c r="M126" s="5"/>
      <c r="N126" s="5"/>
    </row>
    <row r="127">
      <c r="A127" s="2"/>
      <c r="B127" s="3"/>
      <c r="C127" s="3"/>
      <c r="D127" s="3"/>
      <c r="E127" s="4"/>
      <c r="F127" s="3"/>
      <c r="G127" s="5"/>
      <c r="H127" s="3"/>
      <c r="I127" s="5"/>
      <c r="J127" s="3"/>
      <c r="K127" s="5"/>
      <c r="L127" s="3"/>
      <c r="M127" s="5"/>
      <c r="N127" s="5"/>
    </row>
    <row r="128">
      <c r="A128" s="2"/>
      <c r="B128" s="3"/>
      <c r="C128" s="3"/>
      <c r="D128" s="3"/>
      <c r="E128" s="4"/>
      <c r="F128" s="3"/>
      <c r="G128" s="5"/>
      <c r="H128" s="3"/>
      <c r="I128" s="5"/>
      <c r="J128" s="3"/>
      <c r="K128" s="5"/>
      <c r="L128" s="3"/>
      <c r="M128" s="5"/>
      <c r="N128" s="5"/>
    </row>
    <row r="129">
      <c r="A129" s="2"/>
      <c r="B129" s="3"/>
      <c r="C129" s="3"/>
      <c r="D129" s="3"/>
      <c r="E129" s="4"/>
      <c r="F129" s="3"/>
      <c r="G129" s="5"/>
      <c r="H129" s="3"/>
      <c r="I129" s="5"/>
      <c r="J129" s="3"/>
      <c r="K129" s="5"/>
      <c r="L129" s="3"/>
      <c r="M129" s="5"/>
      <c r="N129" s="5"/>
    </row>
    <row r="130">
      <c r="A130" s="2"/>
      <c r="B130" s="3"/>
      <c r="C130" s="3"/>
      <c r="D130" s="3"/>
      <c r="E130" s="4"/>
      <c r="F130" s="3"/>
      <c r="G130" s="5"/>
      <c r="H130" s="3"/>
      <c r="I130" s="5"/>
      <c r="J130" s="3"/>
      <c r="K130" s="5"/>
      <c r="L130" s="3"/>
      <c r="M130" s="5"/>
      <c r="N130" s="5"/>
    </row>
    <row r="131">
      <c r="A131" s="2"/>
      <c r="B131" s="3"/>
      <c r="C131" s="3"/>
      <c r="D131" s="3"/>
      <c r="E131" s="4"/>
      <c r="F131" s="3"/>
      <c r="G131" s="5"/>
      <c r="H131" s="3"/>
      <c r="I131" s="5"/>
      <c r="J131" s="3"/>
      <c r="K131" s="5"/>
      <c r="L131" s="3"/>
      <c r="M131" s="5"/>
      <c r="N131" s="5"/>
    </row>
    <row r="132">
      <c r="A132" s="2"/>
      <c r="B132" s="3"/>
      <c r="C132" s="3"/>
      <c r="D132" s="3"/>
      <c r="E132" s="4"/>
      <c r="F132" s="3"/>
      <c r="G132" s="5"/>
      <c r="H132" s="3"/>
      <c r="I132" s="5"/>
      <c r="J132" s="3"/>
      <c r="K132" s="5"/>
      <c r="L132" s="3"/>
      <c r="M132" s="5"/>
      <c r="N132" s="5"/>
    </row>
    <row r="133">
      <c r="A133" s="2"/>
      <c r="B133" s="3"/>
      <c r="C133" s="3"/>
      <c r="D133" s="3"/>
      <c r="E133" s="4"/>
      <c r="F133" s="3"/>
      <c r="G133" s="5"/>
      <c r="H133" s="3"/>
      <c r="I133" s="5"/>
      <c r="J133" s="3"/>
      <c r="K133" s="5"/>
      <c r="L133" s="3"/>
      <c r="M133" s="5"/>
      <c r="N133" s="5"/>
    </row>
    <row r="134">
      <c r="A134" s="2"/>
      <c r="B134" s="3"/>
      <c r="C134" s="3"/>
      <c r="D134" s="3"/>
      <c r="E134" s="4"/>
      <c r="F134" s="3"/>
      <c r="G134" s="5"/>
      <c r="H134" s="3"/>
      <c r="I134" s="5"/>
      <c r="J134" s="3"/>
      <c r="K134" s="5"/>
      <c r="L134" s="3"/>
      <c r="M134" s="5"/>
      <c r="N134" s="5"/>
    </row>
    <row r="135">
      <c r="A135" s="2"/>
      <c r="B135" s="3"/>
      <c r="C135" s="3"/>
      <c r="D135" s="3"/>
      <c r="E135" s="4"/>
      <c r="F135" s="3"/>
      <c r="G135" s="5"/>
      <c r="H135" s="3"/>
      <c r="I135" s="5"/>
      <c r="J135" s="3"/>
      <c r="K135" s="5"/>
      <c r="L135" s="3"/>
      <c r="M135" s="5"/>
      <c r="N135" s="5"/>
    </row>
    <row r="136">
      <c r="A136" s="2"/>
      <c r="B136" s="3"/>
      <c r="C136" s="3"/>
      <c r="D136" s="3"/>
      <c r="E136" s="4"/>
      <c r="F136" s="3"/>
      <c r="G136" s="5"/>
      <c r="H136" s="3"/>
      <c r="I136" s="5"/>
      <c r="J136" s="3"/>
      <c r="K136" s="5"/>
      <c r="L136" s="3"/>
      <c r="M136" s="5"/>
      <c r="N136" s="5"/>
    </row>
    <row r="137">
      <c r="A137" s="2"/>
      <c r="B137" s="3"/>
      <c r="C137" s="3"/>
      <c r="D137" s="3"/>
      <c r="E137" s="4"/>
      <c r="F137" s="3"/>
      <c r="G137" s="5"/>
      <c r="H137" s="3"/>
      <c r="I137" s="5"/>
      <c r="J137" s="3"/>
      <c r="K137" s="5"/>
      <c r="L137" s="3"/>
      <c r="M137" s="5"/>
      <c r="N137" s="5"/>
    </row>
    <row r="138">
      <c r="A138" s="2"/>
      <c r="B138" s="3"/>
      <c r="C138" s="3"/>
      <c r="D138" s="3"/>
      <c r="E138" s="4"/>
      <c r="F138" s="3"/>
      <c r="G138" s="5"/>
      <c r="H138" s="3"/>
      <c r="I138" s="5"/>
      <c r="J138" s="3"/>
      <c r="K138" s="5"/>
      <c r="L138" s="3"/>
      <c r="M138" s="5"/>
      <c r="N138" s="5"/>
    </row>
    <row r="139">
      <c r="A139" s="2"/>
      <c r="B139" s="3"/>
      <c r="C139" s="3"/>
      <c r="D139" s="3"/>
      <c r="E139" s="4"/>
      <c r="F139" s="3"/>
      <c r="G139" s="5"/>
      <c r="H139" s="3"/>
      <c r="I139" s="5"/>
      <c r="J139" s="3"/>
      <c r="K139" s="5"/>
      <c r="L139" s="3"/>
      <c r="M139" s="5"/>
      <c r="N139" s="5"/>
    </row>
    <row r="140">
      <c r="A140" s="2"/>
      <c r="B140" s="3"/>
      <c r="C140" s="3"/>
      <c r="D140" s="3"/>
      <c r="E140" s="4"/>
      <c r="F140" s="3"/>
      <c r="G140" s="5"/>
      <c r="H140" s="3"/>
      <c r="I140" s="5"/>
      <c r="J140" s="3"/>
      <c r="K140" s="5"/>
      <c r="L140" s="3"/>
      <c r="M140" s="5"/>
      <c r="N140" s="5"/>
    </row>
    <row r="141">
      <c r="A141" s="2"/>
      <c r="B141" s="3"/>
      <c r="C141" s="3"/>
      <c r="D141" s="3"/>
      <c r="E141" s="4"/>
      <c r="F141" s="3"/>
      <c r="G141" s="5"/>
      <c r="H141" s="3"/>
      <c r="I141" s="5"/>
      <c r="J141" s="3"/>
      <c r="K141" s="5"/>
      <c r="L141" s="3"/>
      <c r="M141" s="5"/>
      <c r="N141" s="5"/>
    </row>
    <row r="142">
      <c r="A142" s="2"/>
      <c r="B142" s="3"/>
      <c r="C142" s="3"/>
      <c r="D142" s="3"/>
      <c r="E142" s="4"/>
      <c r="F142" s="3"/>
      <c r="G142" s="5"/>
      <c r="H142" s="3"/>
      <c r="I142" s="5"/>
      <c r="J142" s="3"/>
      <c r="K142" s="5"/>
      <c r="L142" s="3"/>
      <c r="M142" s="5"/>
      <c r="N142" s="5"/>
    </row>
    <row r="143">
      <c r="A143" s="2"/>
      <c r="B143" s="3"/>
      <c r="C143" s="3"/>
      <c r="D143" s="3"/>
      <c r="E143" s="4"/>
      <c r="F143" s="3"/>
      <c r="G143" s="5"/>
      <c r="H143" s="3"/>
      <c r="I143" s="5"/>
      <c r="J143" s="3"/>
      <c r="K143" s="5"/>
      <c r="L143" s="3"/>
      <c r="M143" s="5"/>
      <c r="N143" s="5"/>
    </row>
    <row r="144">
      <c r="A144" s="2"/>
      <c r="B144" s="3"/>
      <c r="C144" s="3"/>
      <c r="D144" s="3"/>
      <c r="E144" s="4"/>
      <c r="F144" s="3"/>
      <c r="G144" s="5"/>
      <c r="H144" s="3"/>
      <c r="I144" s="5"/>
      <c r="J144" s="3"/>
      <c r="K144" s="5"/>
      <c r="L144" s="3"/>
      <c r="M144" s="5"/>
      <c r="N144" s="5"/>
    </row>
    <row r="145">
      <c r="A145" s="2"/>
      <c r="B145" s="3"/>
      <c r="C145" s="3"/>
      <c r="D145" s="3"/>
      <c r="E145" s="4"/>
      <c r="F145" s="3"/>
      <c r="G145" s="5"/>
      <c r="H145" s="3"/>
      <c r="I145" s="5"/>
      <c r="J145" s="3"/>
      <c r="K145" s="5"/>
      <c r="L145" s="3"/>
      <c r="M145" s="5"/>
      <c r="N145" s="5"/>
    </row>
    <row r="146">
      <c r="A146" s="2"/>
      <c r="B146" s="3"/>
      <c r="C146" s="3"/>
      <c r="D146" s="3"/>
      <c r="E146" s="4"/>
      <c r="F146" s="3"/>
      <c r="G146" s="5"/>
      <c r="H146" s="3"/>
      <c r="I146" s="5"/>
      <c r="J146" s="3"/>
      <c r="K146" s="5"/>
      <c r="L146" s="3"/>
      <c r="M146" s="5"/>
      <c r="N146" s="5"/>
    </row>
    <row r="147">
      <c r="A147" s="2"/>
      <c r="B147" s="3"/>
      <c r="C147" s="3"/>
      <c r="D147" s="3"/>
      <c r="E147" s="4"/>
      <c r="F147" s="3"/>
      <c r="G147" s="5"/>
      <c r="H147" s="3"/>
      <c r="I147" s="5"/>
      <c r="J147" s="3"/>
      <c r="K147" s="5"/>
      <c r="L147" s="3"/>
      <c r="M147" s="5"/>
      <c r="N147" s="5"/>
    </row>
    <row r="148">
      <c r="A148" s="2"/>
      <c r="B148" s="3"/>
      <c r="C148" s="3"/>
      <c r="D148" s="3"/>
      <c r="E148" s="4"/>
      <c r="F148" s="3"/>
      <c r="G148" s="5"/>
      <c r="H148" s="3"/>
      <c r="I148" s="5"/>
      <c r="J148" s="3"/>
      <c r="K148" s="5"/>
      <c r="L148" s="3"/>
      <c r="M148" s="5"/>
      <c r="N148" s="5"/>
    </row>
    <row r="149">
      <c r="A149" s="2"/>
      <c r="B149" s="3"/>
      <c r="C149" s="3"/>
      <c r="D149" s="3"/>
      <c r="E149" s="4"/>
      <c r="F149" s="3"/>
      <c r="G149" s="5"/>
      <c r="H149" s="3"/>
      <c r="I149" s="5"/>
      <c r="J149" s="3"/>
      <c r="K149" s="5"/>
      <c r="L149" s="3"/>
      <c r="M149" s="5"/>
      <c r="N149" s="5"/>
    </row>
    <row r="150">
      <c r="A150" s="2"/>
      <c r="B150" s="3"/>
      <c r="C150" s="3"/>
      <c r="D150" s="3"/>
      <c r="E150" s="4"/>
      <c r="F150" s="3"/>
      <c r="G150" s="5"/>
      <c r="H150" s="3"/>
      <c r="I150" s="5"/>
      <c r="J150" s="3"/>
      <c r="K150" s="5"/>
      <c r="L150" s="3"/>
      <c r="M150" s="5"/>
      <c r="N150" s="5"/>
    </row>
    <row r="151">
      <c r="A151" s="2"/>
      <c r="B151" s="3"/>
      <c r="C151" s="3"/>
      <c r="D151" s="3"/>
      <c r="E151" s="4"/>
      <c r="F151" s="3"/>
      <c r="G151" s="5"/>
      <c r="H151" s="3"/>
      <c r="I151" s="5"/>
      <c r="J151" s="3"/>
      <c r="K151" s="5"/>
      <c r="L151" s="3"/>
      <c r="M151" s="5"/>
      <c r="N151" s="5"/>
    </row>
    <row r="152">
      <c r="A152" s="2"/>
      <c r="B152" s="3"/>
      <c r="C152" s="3"/>
      <c r="D152" s="3"/>
      <c r="E152" s="4"/>
      <c r="F152" s="3"/>
      <c r="G152" s="5"/>
      <c r="H152" s="3"/>
      <c r="I152" s="5"/>
      <c r="J152" s="3"/>
      <c r="K152" s="5"/>
      <c r="L152" s="3"/>
      <c r="M152" s="5"/>
      <c r="N152" s="5"/>
    </row>
    <row r="153">
      <c r="A153" s="2"/>
      <c r="B153" s="3"/>
      <c r="C153" s="3"/>
      <c r="D153" s="3"/>
      <c r="E153" s="4"/>
      <c r="F153" s="3"/>
      <c r="G153" s="5"/>
      <c r="H153" s="3"/>
      <c r="I153" s="5"/>
      <c r="J153" s="3"/>
      <c r="K153" s="5"/>
      <c r="L153" s="3"/>
      <c r="M153" s="5"/>
      <c r="N153" s="5"/>
    </row>
    <row r="154">
      <c r="A154" s="2"/>
      <c r="B154" s="3"/>
      <c r="C154" s="3"/>
      <c r="D154" s="3"/>
      <c r="E154" s="4"/>
      <c r="F154" s="3"/>
      <c r="G154" s="5"/>
      <c r="H154" s="3"/>
      <c r="I154" s="5"/>
      <c r="J154" s="3"/>
      <c r="K154" s="5"/>
      <c r="L154" s="3"/>
      <c r="M154" s="5"/>
      <c r="N154" s="5"/>
    </row>
    <row r="155">
      <c r="A155" s="2"/>
      <c r="B155" s="3"/>
      <c r="C155" s="3"/>
      <c r="D155" s="3"/>
      <c r="E155" s="4"/>
      <c r="F155" s="3"/>
      <c r="G155" s="5"/>
      <c r="H155" s="3"/>
      <c r="I155" s="5"/>
      <c r="J155" s="3"/>
      <c r="K155" s="5"/>
      <c r="L155" s="3"/>
      <c r="M155" s="5"/>
      <c r="N155" s="5"/>
    </row>
    <row r="156">
      <c r="A156" s="2"/>
      <c r="B156" s="3"/>
      <c r="C156" s="3"/>
      <c r="D156" s="3"/>
      <c r="E156" s="4"/>
      <c r="F156" s="3"/>
      <c r="G156" s="5"/>
      <c r="H156" s="3"/>
      <c r="I156" s="5"/>
      <c r="J156" s="3"/>
      <c r="K156" s="5"/>
      <c r="L156" s="3"/>
      <c r="M156" s="5"/>
      <c r="N156" s="5"/>
    </row>
    <row r="157">
      <c r="A157" s="2"/>
      <c r="B157" s="3"/>
      <c r="C157" s="3"/>
      <c r="D157" s="3"/>
      <c r="E157" s="4"/>
      <c r="F157" s="3"/>
      <c r="G157" s="5"/>
      <c r="H157" s="3"/>
      <c r="I157" s="5"/>
      <c r="J157" s="3"/>
      <c r="K157" s="5"/>
      <c r="L157" s="3"/>
      <c r="M157" s="5"/>
      <c r="N157" s="5"/>
    </row>
    <row r="158">
      <c r="A158" s="2"/>
      <c r="B158" s="3"/>
      <c r="C158" s="3"/>
      <c r="D158" s="3"/>
      <c r="E158" s="4"/>
      <c r="F158" s="3"/>
      <c r="G158" s="5"/>
      <c r="H158" s="3"/>
      <c r="I158" s="5"/>
      <c r="J158" s="3"/>
      <c r="K158" s="5"/>
      <c r="L158" s="3"/>
      <c r="M158" s="5"/>
      <c r="N158" s="5"/>
    </row>
    <row r="159">
      <c r="A159" s="2"/>
      <c r="B159" s="3"/>
      <c r="C159" s="3"/>
      <c r="D159" s="3"/>
      <c r="E159" s="4"/>
      <c r="F159" s="3"/>
      <c r="G159" s="5"/>
      <c r="H159" s="3"/>
      <c r="I159" s="5"/>
      <c r="J159" s="3"/>
      <c r="K159" s="5"/>
      <c r="L159" s="3"/>
      <c r="M159" s="5"/>
      <c r="N159" s="5"/>
    </row>
    <row r="160">
      <c r="A160" s="2"/>
      <c r="B160" s="3"/>
      <c r="C160" s="3"/>
      <c r="D160" s="3"/>
      <c r="E160" s="4"/>
      <c r="F160" s="3"/>
      <c r="G160" s="5"/>
      <c r="H160" s="3"/>
      <c r="I160" s="5"/>
      <c r="J160" s="3"/>
      <c r="K160" s="5"/>
      <c r="L160" s="3"/>
      <c r="M160" s="5"/>
      <c r="N160" s="5"/>
    </row>
    <row r="161">
      <c r="A161" s="2"/>
      <c r="B161" s="3"/>
      <c r="C161" s="3"/>
      <c r="D161" s="3"/>
      <c r="E161" s="4"/>
      <c r="F161" s="3"/>
      <c r="G161" s="5"/>
      <c r="H161" s="3"/>
      <c r="I161" s="5"/>
      <c r="J161" s="3"/>
      <c r="K161" s="5"/>
      <c r="L161" s="3"/>
      <c r="M161" s="5"/>
      <c r="N161" s="5"/>
    </row>
    <row r="162">
      <c r="A162" s="2"/>
      <c r="B162" s="3"/>
      <c r="C162" s="3"/>
      <c r="D162" s="3"/>
      <c r="E162" s="4"/>
      <c r="F162" s="3"/>
      <c r="G162" s="5"/>
      <c r="H162" s="3"/>
      <c r="I162" s="5"/>
      <c r="J162" s="3"/>
      <c r="K162" s="5"/>
      <c r="L162" s="3"/>
      <c r="M162" s="5"/>
      <c r="N162" s="5"/>
    </row>
    <row r="163">
      <c r="A163" s="2"/>
      <c r="B163" s="3"/>
      <c r="C163" s="3"/>
      <c r="D163" s="3"/>
      <c r="E163" s="4"/>
      <c r="F163" s="3"/>
      <c r="G163" s="5"/>
      <c r="H163" s="3"/>
      <c r="I163" s="5"/>
      <c r="J163" s="3"/>
      <c r="K163" s="5"/>
      <c r="L163" s="3"/>
      <c r="M163" s="5"/>
      <c r="N163" s="5"/>
    </row>
    <row r="164">
      <c r="A164" s="2"/>
      <c r="B164" s="3"/>
      <c r="C164" s="3"/>
      <c r="D164" s="3"/>
      <c r="E164" s="4"/>
      <c r="F164" s="3"/>
      <c r="G164" s="5"/>
      <c r="H164" s="3"/>
      <c r="I164" s="5"/>
      <c r="J164" s="3"/>
      <c r="K164" s="5"/>
      <c r="L164" s="3"/>
      <c r="M164" s="5"/>
      <c r="N164" s="5"/>
    </row>
    <row r="165">
      <c r="A165" s="2"/>
      <c r="B165" s="3"/>
      <c r="C165" s="3"/>
      <c r="D165" s="3"/>
      <c r="E165" s="4"/>
      <c r="F165" s="3"/>
      <c r="G165" s="5"/>
      <c r="H165" s="3"/>
      <c r="I165" s="5"/>
      <c r="J165" s="3"/>
      <c r="K165" s="5"/>
      <c r="L165" s="3"/>
      <c r="M165" s="5"/>
      <c r="N165" s="5"/>
    </row>
    <row r="166">
      <c r="A166" s="2"/>
      <c r="B166" s="3"/>
      <c r="C166" s="3"/>
      <c r="D166" s="3"/>
      <c r="E166" s="4"/>
      <c r="F166" s="3"/>
      <c r="G166" s="5"/>
      <c r="H166" s="3"/>
      <c r="I166" s="5"/>
      <c r="J166" s="3"/>
      <c r="K166" s="5"/>
      <c r="L166" s="3"/>
      <c r="M166" s="5"/>
      <c r="N166" s="5"/>
    </row>
    <row r="167">
      <c r="A167" s="2"/>
      <c r="B167" s="3"/>
      <c r="C167" s="3"/>
      <c r="D167" s="3"/>
      <c r="E167" s="4"/>
      <c r="F167" s="3"/>
      <c r="G167" s="5"/>
      <c r="H167" s="3"/>
      <c r="I167" s="5"/>
      <c r="J167" s="3"/>
      <c r="K167" s="5"/>
      <c r="L167" s="3"/>
      <c r="M167" s="5"/>
      <c r="N167" s="5"/>
    </row>
    <row r="168">
      <c r="A168" s="2"/>
      <c r="B168" s="3"/>
      <c r="C168" s="3"/>
      <c r="D168" s="3"/>
      <c r="E168" s="4"/>
      <c r="F168" s="3"/>
      <c r="G168" s="5"/>
      <c r="H168" s="3"/>
      <c r="I168" s="5"/>
      <c r="J168" s="3"/>
      <c r="K168" s="5"/>
      <c r="L168" s="3"/>
      <c r="M168" s="5"/>
      <c r="N168" s="5"/>
    </row>
    <row r="169">
      <c r="A169" s="2"/>
      <c r="B169" s="3"/>
      <c r="C169" s="3"/>
      <c r="D169" s="3"/>
      <c r="E169" s="4"/>
      <c r="F169" s="3"/>
      <c r="G169" s="5"/>
      <c r="H169" s="3"/>
      <c r="I169" s="5"/>
      <c r="J169" s="3"/>
      <c r="K169" s="5"/>
      <c r="L169" s="3"/>
      <c r="M169" s="5"/>
      <c r="N169" s="5"/>
    </row>
    <row r="170">
      <c r="A170" s="2"/>
      <c r="B170" s="3"/>
      <c r="C170" s="3"/>
      <c r="D170" s="3"/>
      <c r="E170" s="4"/>
      <c r="F170" s="3"/>
      <c r="G170" s="5"/>
      <c r="H170" s="3"/>
      <c r="I170" s="5"/>
      <c r="J170" s="3"/>
      <c r="K170" s="5"/>
      <c r="L170" s="3"/>
      <c r="M170" s="5"/>
      <c r="N170" s="5"/>
    </row>
    <row r="171">
      <c r="A171" s="2"/>
      <c r="B171" s="3"/>
      <c r="C171" s="3"/>
      <c r="D171" s="3"/>
      <c r="E171" s="4"/>
      <c r="F171" s="3"/>
      <c r="G171" s="5"/>
      <c r="H171" s="3"/>
      <c r="I171" s="5"/>
      <c r="J171" s="3"/>
      <c r="K171" s="5"/>
      <c r="L171" s="3"/>
      <c r="M171" s="5"/>
      <c r="N171" s="5"/>
    </row>
    <row r="172">
      <c r="A172" s="2"/>
      <c r="B172" s="3"/>
      <c r="C172" s="3"/>
      <c r="D172" s="3"/>
      <c r="E172" s="4"/>
      <c r="F172" s="3"/>
      <c r="G172" s="5"/>
      <c r="H172" s="3"/>
      <c r="I172" s="5"/>
      <c r="J172" s="3"/>
      <c r="K172" s="5"/>
      <c r="L172" s="3"/>
      <c r="M172" s="5"/>
      <c r="N172" s="5"/>
    </row>
    <row r="173">
      <c r="A173" s="2"/>
      <c r="B173" s="3"/>
      <c r="C173" s="3"/>
      <c r="D173" s="3"/>
      <c r="E173" s="4"/>
      <c r="F173" s="3"/>
      <c r="G173" s="5"/>
      <c r="H173" s="3"/>
      <c r="I173" s="5"/>
      <c r="J173" s="3"/>
      <c r="K173" s="5"/>
      <c r="L173" s="3"/>
      <c r="M173" s="5"/>
      <c r="N173" s="5"/>
    </row>
    <row r="174">
      <c r="A174" s="2"/>
      <c r="B174" s="3"/>
      <c r="C174" s="3"/>
      <c r="D174" s="3"/>
      <c r="E174" s="4"/>
      <c r="F174" s="3"/>
      <c r="G174" s="5"/>
      <c r="H174" s="3"/>
      <c r="I174" s="5"/>
      <c r="J174" s="3"/>
      <c r="K174" s="5"/>
      <c r="L174" s="3"/>
      <c r="M174" s="5"/>
      <c r="N174" s="5"/>
    </row>
    <row r="175">
      <c r="A175" s="2"/>
      <c r="B175" s="3"/>
      <c r="C175" s="3"/>
      <c r="D175" s="3"/>
      <c r="E175" s="4"/>
      <c r="F175" s="3"/>
      <c r="G175" s="5"/>
      <c r="H175" s="3"/>
      <c r="I175" s="5"/>
      <c r="J175" s="3"/>
      <c r="K175" s="5"/>
      <c r="L175" s="3"/>
      <c r="M175" s="5"/>
      <c r="N175" s="5"/>
    </row>
    <row r="176">
      <c r="A176" s="2"/>
      <c r="B176" s="3"/>
      <c r="C176" s="3"/>
      <c r="D176" s="3"/>
      <c r="E176" s="4"/>
      <c r="F176" s="3"/>
      <c r="G176" s="5"/>
      <c r="H176" s="3"/>
      <c r="I176" s="5"/>
      <c r="J176" s="3"/>
      <c r="K176" s="5"/>
      <c r="L176" s="3"/>
      <c r="M176" s="5"/>
      <c r="N176" s="5"/>
    </row>
    <row r="177">
      <c r="A177" s="2"/>
      <c r="B177" s="3"/>
      <c r="C177" s="3"/>
      <c r="D177" s="3"/>
      <c r="E177" s="4"/>
      <c r="F177" s="3"/>
      <c r="G177" s="5"/>
      <c r="H177" s="3"/>
      <c r="I177" s="5"/>
      <c r="J177" s="3"/>
      <c r="K177" s="5"/>
      <c r="L177" s="3"/>
      <c r="M177" s="5"/>
      <c r="N177" s="5"/>
    </row>
    <row r="178">
      <c r="A178" s="2"/>
      <c r="B178" s="3"/>
      <c r="C178" s="3"/>
      <c r="D178" s="3"/>
      <c r="E178" s="4"/>
      <c r="F178" s="3"/>
      <c r="G178" s="5"/>
      <c r="H178" s="3"/>
      <c r="I178" s="5"/>
      <c r="J178" s="3"/>
      <c r="K178" s="5"/>
      <c r="L178" s="3"/>
      <c r="M178" s="5"/>
      <c r="N178" s="5"/>
    </row>
    <row r="179">
      <c r="A179" s="2"/>
      <c r="B179" s="3"/>
      <c r="C179" s="3"/>
      <c r="D179" s="3"/>
      <c r="E179" s="4"/>
      <c r="F179" s="3"/>
      <c r="G179" s="5"/>
      <c r="H179" s="3"/>
      <c r="I179" s="5"/>
      <c r="J179" s="3"/>
      <c r="K179" s="5"/>
      <c r="L179" s="3"/>
      <c r="M179" s="5"/>
      <c r="N179" s="5"/>
    </row>
    <row r="180">
      <c r="A180" s="2"/>
      <c r="B180" s="3"/>
      <c r="C180" s="3"/>
      <c r="D180" s="3"/>
      <c r="E180" s="4"/>
      <c r="F180" s="3"/>
      <c r="G180" s="5"/>
      <c r="H180" s="3"/>
      <c r="I180" s="5"/>
      <c r="J180" s="3"/>
      <c r="K180" s="5"/>
      <c r="L180" s="3"/>
      <c r="M180" s="5"/>
      <c r="N180" s="5"/>
    </row>
    <row r="181">
      <c r="A181" s="2"/>
      <c r="B181" s="3"/>
      <c r="C181" s="3"/>
      <c r="D181" s="3"/>
      <c r="E181" s="4"/>
      <c r="F181" s="3"/>
      <c r="G181" s="5"/>
      <c r="H181" s="3"/>
      <c r="I181" s="5"/>
      <c r="J181" s="3"/>
      <c r="K181" s="5"/>
      <c r="L181" s="3"/>
      <c r="M181" s="5"/>
      <c r="N181" s="5"/>
    </row>
    <row r="182">
      <c r="A182" s="2"/>
      <c r="B182" s="3"/>
      <c r="C182" s="3"/>
      <c r="D182" s="3"/>
      <c r="E182" s="4"/>
      <c r="F182" s="3"/>
      <c r="G182" s="5"/>
      <c r="H182" s="3"/>
      <c r="I182" s="5"/>
      <c r="J182" s="3"/>
      <c r="K182" s="5"/>
      <c r="L182" s="3"/>
      <c r="M182" s="5"/>
      <c r="N182" s="5"/>
    </row>
    <row r="183">
      <c r="A183" s="2"/>
      <c r="B183" s="3"/>
      <c r="C183" s="3"/>
      <c r="D183" s="3"/>
      <c r="E183" s="4"/>
      <c r="F183" s="3"/>
      <c r="G183" s="5"/>
      <c r="H183" s="3"/>
      <c r="I183" s="5"/>
      <c r="J183" s="3"/>
      <c r="K183" s="5"/>
      <c r="L183" s="3"/>
      <c r="M183" s="5"/>
      <c r="N183" s="5"/>
    </row>
    <row r="184">
      <c r="A184" s="2"/>
      <c r="B184" s="3"/>
      <c r="C184" s="3"/>
      <c r="D184" s="3"/>
      <c r="E184" s="4"/>
      <c r="F184" s="3"/>
      <c r="G184" s="5"/>
      <c r="H184" s="3"/>
      <c r="I184" s="5"/>
      <c r="J184" s="3"/>
      <c r="K184" s="5"/>
      <c r="L184" s="3"/>
      <c r="M184" s="5"/>
      <c r="N184" s="5"/>
    </row>
    <row r="185">
      <c r="A185" s="2"/>
      <c r="B185" s="3"/>
      <c r="C185" s="3"/>
      <c r="D185" s="3"/>
      <c r="E185" s="4"/>
      <c r="F185" s="3"/>
      <c r="G185" s="5"/>
      <c r="H185" s="3"/>
      <c r="I185" s="5"/>
      <c r="J185" s="3"/>
      <c r="K185" s="5"/>
      <c r="L185" s="3"/>
      <c r="M185" s="5"/>
      <c r="N185" s="5"/>
    </row>
    <row r="186">
      <c r="A186" s="2"/>
      <c r="B186" s="3"/>
      <c r="C186" s="3"/>
      <c r="D186" s="3"/>
      <c r="E186" s="4"/>
      <c r="F186" s="3"/>
      <c r="G186" s="5"/>
      <c r="H186" s="3"/>
      <c r="I186" s="5"/>
      <c r="J186" s="3"/>
      <c r="K186" s="5"/>
      <c r="L186" s="3"/>
      <c r="M186" s="5"/>
      <c r="N186" s="5"/>
    </row>
    <row r="187">
      <c r="A187" s="2"/>
      <c r="B187" s="3"/>
      <c r="C187" s="3"/>
      <c r="D187" s="3"/>
      <c r="E187" s="4"/>
      <c r="F187" s="3"/>
      <c r="G187" s="5"/>
      <c r="H187" s="3"/>
      <c r="I187" s="5"/>
      <c r="J187" s="3"/>
      <c r="K187" s="5"/>
      <c r="L187" s="3"/>
      <c r="M187" s="5"/>
      <c r="N187" s="5"/>
    </row>
    <row r="188">
      <c r="A188" s="2"/>
      <c r="B188" s="3"/>
      <c r="C188" s="3"/>
      <c r="D188" s="3"/>
      <c r="E188" s="4"/>
      <c r="F188" s="3"/>
      <c r="G188" s="5"/>
      <c r="H188" s="3"/>
      <c r="I188" s="5"/>
      <c r="J188" s="3"/>
      <c r="K188" s="5"/>
      <c r="L188" s="3"/>
      <c r="M188" s="5"/>
      <c r="N188" s="5"/>
    </row>
    <row r="189">
      <c r="A189" s="2"/>
      <c r="B189" s="3"/>
      <c r="C189" s="3"/>
      <c r="D189" s="3"/>
      <c r="E189" s="4"/>
      <c r="F189" s="3"/>
      <c r="G189" s="5"/>
      <c r="H189" s="3"/>
      <c r="I189" s="5"/>
      <c r="J189" s="3"/>
      <c r="K189" s="5"/>
      <c r="L189" s="3"/>
      <c r="M189" s="5"/>
      <c r="N189" s="5"/>
    </row>
    <row r="190">
      <c r="A190" s="2"/>
      <c r="B190" s="3"/>
      <c r="C190" s="3"/>
      <c r="D190" s="3"/>
      <c r="E190" s="4"/>
      <c r="F190" s="3"/>
      <c r="G190" s="5"/>
      <c r="H190" s="3"/>
      <c r="I190" s="5"/>
      <c r="J190" s="3"/>
      <c r="K190" s="5"/>
      <c r="L190" s="3"/>
      <c r="M190" s="5"/>
      <c r="N190" s="5"/>
    </row>
    <row r="191">
      <c r="A191" s="2"/>
      <c r="B191" s="3"/>
      <c r="C191" s="3"/>
      <c r="D191" s="3"/>
      <c r="E191" s="4"/>
      <c r="F191" s="3"/>
      <c r="G191" s="5"/>
      <c r="H191" s="3"/>
      <c r="I191" s="5"/>
      <c r="J191" s="3"/>
      <c r="K191" s="5"/>
      <c r="L191" s="3"/>
      <c r="M191" s="5"/>
      <c r="N191" s="5"/>
    </row>
    <row r="192">
      <c r="A192" s="2"/>
      <c r="B192" s="3"/>
      <c r="C192" s="3"/>
      <c r="D192" s="3"/>
      <c r="E192" s="4"/>
      <c r="F192" s="3"/>
      <c r="G192" s="5"/>
      <c r="H192" s="3"/>
      <c r="I192" s="5"/>
      <c r="J192" s="3"/>
      <c r="K192" s="5"/>
      <c r="L192" s="3"/>
      <c r="M192" s="5"/>
      <c r="N192" s="5"/>
    </row>
    <row r="193">
      <c r="A193" s="2"/>
      <c r="B193" s="3"/>
      <c r="C193" s="3"/>
      <c r="D193" s="3"/>
      <c r="E193" s="4"/>
      <c r="F193" s="3"/>
      <c r="G193" s="5"/>
      <c r="H193" s="3"/>
      <c r="I193" s="5"/>
      <c r="J193" s="3"/>
      <c r="K193" s="5"/>
      <c r="L193" s="3"/>
      <c r="M193" s="5"/>
      <c r="N193" s="5"/>
    </row>
    <row r="194">
      <c r="A194" s="2"/>
      <c r="B194" s="3"/>
      <c r="C194" s="3"/>
      <c r="D194" s="3"/>
      <c r="E194" s="4"/>
      <c r="F194" s="3"/>
      <c r="G194" s="5"/>
      <c r="H194" s="3"/>
      <c r="I194" s="5"/>
      <c r="J194" s="3"/>
      <c r="K194" s="5"/>
      <c r="L194" s="3"/>
      <c r="M194" s="5"/>
      <c r="N194" s="5"/>
    </row>
    <row r="195">
      <c r="A195" s="2"/>
      <c r="B195" s="3"/>
      <c r="C195" s="3"/>
      <c r="D195" s="3"/>
      <c r="E195" s="4"/>
      <c r="F195" s="3"/>
      <c r="G195" s="5"/>
      <c r="H195" s="3"/>
      <c r="I195" s="5"/>
      <c r="J195" s="3"/>
      <c r="K195" s="5"/>
      <c r="L195" s="3"/>
      <c r="M195" s="5"/>
      <c r="N195" s="5"/>
    </row>
    <row r="196">
      <c r="A196" s="2"/>
      <c r="B196" s="3"/>
      <c r="C196" s="3"/>
      <c r="D196" s="3"/>
      <c r="E196" s="4"/>
      <c r="F196" s="3"/>
      <c r="G196" s="5"/>
      <c r="H196" s="3"/>
      <c r="I196" s="5"/>
      <c r="J196" s="3"/>
      <c r="K196" s="5"/>
      <c r="L196" s="3"/>
      <c r="M196" s="5"/>
      <c r="N196" s="5"/>
    </row>
    <row r="197">
      <c r="A197" s="2"/>
      <c r="B197" s="3"/>
      <c r="C197" s="3"/>
      <c r="D197" s="3"/>
      <c r="E197" s="4"/>
      <c r="F197" s="3"/>
      <c r="G197" s="5"/>
      <c r="H197" s="3"/>
      <c r="I197" s="5"/>
      <c r="J197" s="3"/>
      <c r="K197" s="5"/>
      <c r="L197" s="3"/>
      <c r="M197" s="5"/>
      <c r="N197" s="5"/>
    </row>
    <row r="198">
      <c r="A198" s="2"/>
      <c r="B198" s="3"/>
      <c r="C198" s="3"/>
      <c r="D198" s="3"/>
      <c r="E198" s="4"/>
      <c r="F198" s="3"/>
      <c r="G198" s="5"/>
      <c r="H198" s="3"/>
      <c r="I198" s="5"/>
      <c r="J198" s="3"/>
      <c r="K198" s="5"/>
      <c r="L198" s="3"/>
      <c r="M198" s="5"/>
      <c r="N198" s="5"/>
    </row>
    <row r="199">
      <c r="A199" s="2"/>
      <c r="B199" s="3"/>
      <c r="C199" s="3"/>
      <c r="D199" s="3"/>
      <c r="E199" s="4"/>
      <c r="F199" s="3"/>
      <c r="G199" s="5"/>
      <c r="H199" s="3"/>
      <c r="I199" s="5"/>
      <c r="J199" s="3"/>
      <c r="K199" s="5"/>
      <c r="L199" s="3"/>
      <c r="M199" s="5"/>
      <c r="N199" s="5"/>
    </row>
    <row r="200">
      <c r="A200" s="2"/>
      <c r="B200" s="3"/>
      <c r="C200" s="3"/>
      <c r="D200" s="3"/>
      <c r="E200" s="4"/>
      <c r="F200" s="3"/>
      <c r="G200" s="5"/>
      <c r="H200" s="3"/>
      <c r="I200" s="5"/>
      <c r="J200" s="3"/>
      <c r="K200" s="5"/>
      <c r="L200" s="3"/>
      <c r="M200" s="5"/>
      <c r="N200" s="5"/>
    </row>
    <row r="201">
      <c r="A201" s="2"/>
      <c r="B201" s="3"/>
      <c r="C201" s="3"/>
      <c r="D201" s="3"/>
      <c r="E201" s="4"/>
      <c r="F201" s="3"/>
      <c r="G201" s="5"/>
      <c r="H201" s="3"/>
      <c r="I201" s="5"/>
      <c r="J201" s="3"/>
      <c r="K201" s="5"/>
      <c r="L201" s="3"/>
      <c r="M201" s="5"/>
      <c r="N201" s="5"/>
    </row>
    <row r="202">
      <c r="A202" s="2"/>
      <c r="B202" s="3"/>
      <c r="C202" s="3"/>
      <c r="D202" s="3"/>
      <c r="E202" s="4"/>
      <c r="F202" s="3"/>
      <c r="G202" s="5"/>
      <c r="H202" s="3"/>
      <c r="I202" s="5"/>
      <c r="J202" s="3"/>
      <c r="K202" s="5"/>
      <c r="L202" s="3"/>
      <c r="M202" s="5"/>
      <c r="N202" s="5"/>
    </row>
    <row r="203">
      <c r="A203" s="2"/>
      <c r="B203" s="3"/>
      <c r="C203" s="3"/>
      <c r="D203" s="3"/>
      <c r="E203" s="4"/>
      <c r="F203" s="3"/>
      <c r="G203" s="5"/>
      <c r="H203" s="3"/>
      <c r="I203" s="5"/>
      <c r="J203" s="3"/>
      <c r="K203" s="5"/>
      <c r="L203" s="3"/>
      <c r="M203" s="5"/>
      <c r="N203" s="5"/>
    </row>
    <row r="204">
      <c r="A204" s="2"/>
      <c r="B204" s="3"/>
      <c r="C204" s="3"/>
      <c r="D204" s="3"/>
      <c r="E204" s="4"/>
      <c r="F204" s="3"/>
      <c r="G204" s="5"/>
      <c r="H204" s="3"/>
      <c r="I204" s="5"/>
      <c r="J204" s="3"/>
      <c r="K204" s="5"/>
      <c r="L204" s="3"/>
      <c r="M204" s="5"/>
      <c r="N204" s="5"/>
    </row>
    <row r="205">
      <c r="A205" s="2"/>
      <c r="B205" s="3"/>
      <c r="C205" s="3"/>
      <c r="D205" s="3"/>
      <c r="E205" s="4"/>
      <c r="F205" s="3"/>
      <c r="G205" s="5"/>
      <c r="H205" s="3"/>
      <c r="I205" s="5"/>
      <c r="J205" s="3"/>
      <c r="K205" s="5"/>
      <c r="L205" s="3"/>
      <c r="M205" s="5"/>
      <c r="N205" s="5"/>
    </row>
    <row r="206">
      <c r="A206" s="2"/>
      <c r="B206" s="3"/>
      <c r="C206" s="3"/>
      <c r="D206" s="3"/>
      <c r="E206" s="4"/>
      <c r="F206" s="3"/>
      <c r="G206" s="5"/>
      <c r="H206" s="3"/>
      <c r="I206" s="5"/>
      <c r="J206" s="3"/>
      <c r="K206" s="5"/>
      <c r="L206" s="3"/>
      <c r="M206" s="5"/>
      <c r="N206" s="5"/>
    </row>
    <row r="207">
      <c r="A207" s="2"/>
      <c r="B207" s="3"/>
      <c r="C207" s="3"/>
      <c r="D207" s="3"/>
      <c r="E207" s="4"/>
      <c r="F207" s="3"/>
      <c r="G207" s="5"/>
      <c r="H207" s="3"/>
      <c r="I207" s="5"/>
      <c r="J207" s="3"/>
      <c r="K207" s="5"/>
      <c r="L207" s="3"/>
      <c r="M207" s="5"/>
      <c r="N207" s="5"/>
    </row>
    <row r="208">
      <c r="A208" s="2"/>
      <c r="B208" s="3"/>
      <c r="C208" s="3"/>
      <c r="D208" s="3"/>
      <c r="E208" s="4"/>
      <c r="F208" s="3"/>
      <c r="G208" s="5"/>
      <c r="H208" s="3"/>
      <c r="I208" s="5"/>
      <c r="J208" s="3"/>
      <c r="K208" s="5"/>
      <c r="L208" s="3"/>
      <c r="M208" s="5"/>
      <c r="N208" s="5"/>
    </row>
    <row r="209">
      <c r="A209" s="2"/>
      <c r="B209" s="3"/>
      <c r="C209" s="3"/>
      <c r="D209" s="3"/>
      <c r="E209" s="4"/>
      <c r="F209" s="3"/>
      <c r="G209" s="5"/>
      <c r="H209" s="3"/>
      <c r="I209" s="5"/>
      <c r="J209" s="3"/>
      <c r="K209" s="5"/>
      <c r="L209" s="3"/>
      <c r="M209" s="5"/>
      <c r="N209" s="5"/>
    </row>
    <row r="210">
      <c r="A210" s="2"/>
      <c r="B210" s="3"/>
      <c r="C210" s="3"/>
      <c r="D210" s="3"/>
      <c r="E210" s="4"/>
      <c r="F210" s="3"/>
      <c r="G210" s="5"/>
      <c r="H210" s="3"/>
      <c r="I210" s="5"/>
      <c r="J210" s="3"/>
      <c r="K210" s="5"/>
      <c r="L210" s="3"/>
      <c r="M210" s="5"/>
      <c r="N210" s="5"/>
    </row>
    <row r="211">
      <c r="A211" s="2"/>
      <c r="B211" s="3"/>
      <c r="C211" s="3"/>
      <c r="D211" s="3"/>
      <c r="E211" s="4"/>
      <c r="F211" s="3"/>
      <c r="G211" s="5"/>
      <c r="H211" s="3"/>
      <c r="I211" s="5"/>
      <c r="J211" s="3"/>
      <c r="K211" s="5"/>
      <c r="L211" s="3"/>
      <c r="M211" s="5"/>
      <c r="N211" s="5"/>
    </row>
    <row r="212">
      <c r="A212" s="2"/>
      <c r="B212" s="3"/>
      <c r="C212" s="3"/>
      <c r="D212" s="3"/>
      <c r="E212" s="4"/>
      <c r="F212" s="3"/>
      <c r="G212" s="5"/>
      <c r="H212" s="3"/>
      <c r="I212" s="5"/>
      <c r="J212" s="3"/>
      <c r="K212" s="5"/>
      <c r="L212" s="3"/>
      <c r="M212" s="5"/>
      <c r="N212" s="5"/>
    </row>
    <row r="213">
      <c r="A213" s="2"/>
      <c r="B213" s="3"/>
      <c r="C213" s="3"/>
      <c r="D213" s="3"/>
      <c r="E213" s="4"/>
      <c r="F213" s="3"/>
      <c r="G213" s="5"/>
      <c r="H213" s="3"/>
      <c r="I213" s="5"/>
      <c r="J213" s="3"/>
      <c r="K213" s="5"/>
      <c r="L213" s="3"/>
      <c r="M213" s="5"/>
      <c r="N213" s="5"/>
    </row>
    <row r="214">
      <c r="A214" s="2"/>
      <c r="B214" s="3"/>
      <c r="C214" s="3"/>
      <c r="D214" s="3"/>
      <c r="E214" s="4"/>
      <c r="F214" s="3"/>
      <c r="G214" s="5"/>
      <c r="H214" s="3"/>
      <c r="I214" s="5"/>
      <c r="J214" s="3"/>
      <c r="K214" s="5"/>
      <c r="L214" s="3"/>
      <c r="M214" s="5"/>
      <c r="N214" s="5"/>
    </row>
    <row r="215">
      <c r="A215" s="2"/>
      <c r="B215" s="3"/>
      <c r="C215" s="3"/>
      <c r="D215" s="3"/>
      <c r="E215" s="4"/>
      <c r="F215" s="3"/>
      <c r="G215" s="5"/>
      <c r="H215" s="3"/>
      <c r="I215" s="5"/>
      <c r="J215" s="3"/>
      <c r="K215" s="5"/>
      <c r="L215" s="3"/>
      <c r="M215" s="5"/>
      <c r="N215" s="5"/>
    </row>
    <row r="216">
      <c r="A216" s="2"/>
      <c r="B216" s="3"/>
      <c r="C216" s="3"/>
      <c r="D216" s="3"/>
      <c r="E216" s="4"/>
      <c r="F216" s="3"/>
      <c r="G216" s="5"/>
      <c r="H216" s="3"/>
      <c r="I216" s="5"/>
      <c r="J216" s="3"/>
      <c r="K216" s="5"/>
      <c r="L216" s="3"/>
      <c r="M216" s="5"/>
      <c r="N216" s="5"/>
    </row>
    <row r="217">
      <c r="A217" s="2"/>
      <c r="B217" s="3"/>
      <c r="C217" s="3"/>
      <c r="D217" s="3"/>
      <c r="E217" s="4"/>
      <c r="F217" s="3"/>
      <c r="G217" s="5"/>
      <c r="H217" s="3"/>
      <c r="I217" s="5"/>
      <c r="J217" s="3"/>
      <c r="K217" s="5"/>
      <c r="L217" s="3"/>
      <c r="M217" s="5"/>
      <c r="N217" s="5"/>
    </row>
    <row r="218">
      <c r="A218" s="2"/>
      <c r="B218" s="3"/>
      <c r="C218" s="3"/>
      <c r="D218" s="3"/>
      <c r="E218" s="4"/>
      <c r="F218" s="3"/>
      <c r="G218" s="5"/>
      <c r="H218" s="3"/>
      <c r="I218" s="5"/>
      <c r="J218" s="3"/>
      <c r="K218" s="5"/>
      <c r="L218" s="3"/>
      <c r="M218" s="5"/>
      <c r="N218" s="5"/>
    </row>
    <row r="219">
      <c r="A219" s="2"/>
      <c r="B219" s="3"/>
      <c r="C219" s="3"/>
      <c r="D219" s="3"/>
      <c r="E219" s="4"/>
      <c r="F219" s="3"/>
      <c r="G219" s="5"/>
      <c r="H219" s="3"/>
      <c r="I219" s="5"/>
      <c r="J219" s="3"/>
      <c r="K219" s="5"/>
      <c r="L219" s="3"/>
      <c r="M219" s="5"/>
      <c r="N219" s="5"/>
    </row>
    <row r="220">
      <c r="A220" s="2"/>
      <c r="B220" s="3"/>
      <c r="C220" s="3"/>
      <c r="D220" s="3"/>
      <c r="E220" s="4"/>
      <c r="F220" s="3"/>
      <c r="G220" s="5"/>
      <c r="H220" s="3"/>
      <c r="I220" s="5"/>
      <c r="J220" s="3"/>
      <c r="K220" s="5"/>
      <c r="L220" s="3"/>
      <c r="M220" s="5"/>
      <c r="N220" s="5"/>
    </row>
    <row r="221">
      <c r="A221" s="2"/>
      <c r="B221" s="3"/>
      <c r="C221" s="3"/>
      <c r="D221" s="3"/>
      <c r="E221" s="4"/>
      <c r="F221" s="3"/>
      <c r="G221" s="5"/>
      <c r="H221" s="3"/>
      <c r="I221" s="5"/>
      <c r="J221" s="3"/>
      <c r="K221" s="5"/>
      <c r="L221" s="3"/>
      <c r="M221" s="5"/>
      <c r="N221" s="5"/>
    </row>
    <row r="222">
      <c r="A222" s="2"/>
      <c r="B222" s="3"/>
      <c r="C222" s="3"/>
      <c r="D222" s="3"/>
      <c r="E222" s="4"/>
      <c r="F222" s="3"/>
      <c r="G222" s="5"/>
      <c r="H222" s="3"/>
      <c r="I222" s="5"/>
      <c r="J222" s="3"/>
      <c r="K222" s="5"/>
      <c r="L222" s="3"/>
      <c r="M222" s="5"/>
      <c r="N222" s="5"/>
    </row>
    <row r="223">
      <c r="A223" s="2"/>
      <c r="B223" s="3"/>
      <c r="C223" s="3"/>
      <c r="D223" s="3"/>
      <c r="E223" s="4"/>
      <c r="F223" s="3"/>
      <c r="G223" s="5"/>
      <c r="H223" s="3"/>
      <c r="I223" s="5"/>
      <c r="J223" s="3"/>
      <c r="K223" s="5"/>
      <c r="L223" s="3"/>
      <c r="M223" s="5"/>
      <c r="N223" s="5"/>
    </row>
    <row r="224">
      <c r="A224" s="2"/>
      <c r="B224" s="3"/>
      <c r="C224" s="3"/>
      <c r="D224" s="3"/>
      <c r="E224" s="4"/>
      <c r="F224" s="3"/>
      <c r="G224" s="5"/>
      <c r="H224" s="3"/>
      <c r="I224" s="5"/>
      <c r="J224" s="3"/>
      <c r="K224" s="5"/>
      <c r="L224" s="3"/>
      <c r="M224" s="5"/>
      <c r="N224" s="5"/>
    </row>
    <row r="225">
      <c r="A225" s="2"/>
      <c r="B225" s="3"/>
      <c r="C225" s="3"/>
      <c r="D225" s="3"/>
      <c r="E225" s="4"/>
      <c r="F225" s="3"/>
      <c r="G225" s="5"/>
      <c r="H225" s="3"/>
      <c r="I225" s="5"/>
      <c r="J225" s="3"/>
      <c r="K225" s="5"/>
      <c r="L225" s="3"/>
      <c r="M225" s="5"/>
      <c r="N225" s="5"/>
    </row>
    <row r="226">
      <c r="A226" s="2"/>
      <c r="B226" s="3"/>
      <c r="C226" s="3"/>
      <c r="D226" s="3"/>
      <c r="E226" s="4"/>
      <c r="F226" s="3"/>
      <c r="G226" s="5"/>
      <c r="H226" s="3"/>
      <c r="I226" s="5"/>
      <c r="J226" s="3"/>
      <c r="K226" s="5"/>
      <c r="L226" s="3"/>
      <c r="M226" s="5"/>
      <c r="N226" s="5"/>
    </row>
    <row r="227">
      <c r="A227" s="2"/>
      <c r="B227" s="3"/>
      <c r="C227" s="3"/>
      <c r="D227" s="3"/>
      <c r="E227" s="4"/>
      <c r="F227" s="3"/>
      <c r="G227" s="5"/>
      <c r="H227" s="3"/>
      <c r="I227" s="5"/>
      <c r="J227" s="3"/>
      <c r="K227" s="5"/>
      <c r="L227" s="3"/>
      <c r="M227" s="5"/>
      <c r="N227" s="5"/>
    </row>
    <row r="228">
      <c r="A228" s="2"/>
      <c r="B228" s="3"/>
      <c r="C228" s="3"/>
      <c r="D228" s="3"/>
      <c r="E228" s="4"/>
      <c r="F228" s="3"/>
      <c r="G228" s="5"/>
      <c r="H228" s="3"/>
      <c r="I228" s="5"/>
      <c r="J228" s="3"/>
      <c r="K228" s="5"/>
      <c r="L228" s="3"/>
      <c r="M228" s="5"/>
      <c r="N228" s="5"/>
    </row>
    <row r="229">
      <c r="A229" s="2"/>
      <c r="B229" s="3"/>
      <c r="C229" s="3"/>
      <c r="D229" s="3"/>
      <c r="E229" s="4"/>
      <c r="F229" s="3"/>
      <c r="G229" s="5"/>
      <c r="H229" s="3"/>
      <c r="I229" s="5"/>
      <c r="J229" s="3"/>
      <c r="K229" s="5"/>
      <c r="L229" s="3"/>
      <c r="M229" s="5"/>
      <c r="N229" s="5"/>
    </row>
    <row r="230">
      <c r="A230" s="2"/>
      <c r="B230" s="3"/>
      <c r="C230" s="3"/>
      <c r="D230" s="3"/>
      <c r="E230" s="4"/>
      <c r="F230" s="3"/>
      <c r="G230" s="5"/>
      <c r="H230" s="3"/>
      <c r="I230" s="5"/>
      <c r="J230" s="3"/>
      <c r="K230" s="5"/>
      <c r="L230" s="3"/>
      <c r="M230" s="5"/>
      <c r="N230" s="5"/>
    </row>
    <row r="231">
      <c r="A231" s="2"/>
      <c r="B231" s="3"/>
      <c r="C231" s="3"/>
      <c r="D231" s="3"/>
      <c r="E231" s="4"/>
      <c r="F231" s="3"/>
      <c r="G231" s="5"/>
      <c r="H231" s="3"/>
      <c r="I231" s="5"/>
      <c r="J231" s="3"/>
      <c r="K231" s="5"/>
      <c r="L231" s="3"/>
      <c r="M231" s="5"/>
      <c r="N231" s="5"/>
    </row>
    <row r="232">
      <c r="A232" s="2"/>
      <c r="B232" s="3"/>
      <c r="C232" s="3"/>
      <c r="D232" s="3"/>
      <c r="E232" s="4"/>
      <c r="F232" s="3"/>
      <c r="G232" s="5"/>
      <c r="H232" s="3"/>
      <c r="I232" s="5"/>
      <c r="J232" s="3"/>
      <c r="K232" s="5"/>
      <c r="L232" s="3"/>
      <c r="M232" s="5"/>
      <c r="N232" s="5"/>
    </row>
    <row r="233">
      <c r="A233" s="2"/>
      <c r="B233" s="3"/>
      <c r="C233" s="3"/>
      <c r="D233" s="3"/>
      <c r="E233" s="4"/>
      <c r="F233" s="3"/>
      <c r="G233" s="5"/>
      <c r="H233" s="3"/>
      <c r="I233" s="5"/>
      <c r="J233" s="3"/>
      <c r="K233" s="5"/>
      <c r="L233" s="3"/>
      <c r="M233" s="5"/>
      <c r="N233" s="5"/>
    </row>
    <row r="234">
      <c r="A234" s="2"/>
      <c r="B234" s="3"/>
      <c r="C234" s="3"/>
      <c r="D234" s="3"/>
      <c r="E234" s="4"/>
      <c r="F234" s="3"/>
      <c r="G234" s="5"/>
      <c r="H234" s="3"/>
      <c r="I234" s="5"/>
      <c r="J234" s="3"/>
      <c r="K234" s="5"/>
      <c r="L234" s="3"/>
      <c r="M234" s="5"/>
      <c r="N234" s="5"/>
    </row>
    <row r="235">
      <c r="A235" s="2"/>
      <c r="B235" s="3"/>
      <c r="C235" s="3"/>
      <c r="D235" s="3"/>
      <c r="E235" s="4"/>
      <c r="F235" s="3"/>
      <c r="G235" s="5"/>
      <c r="H235" s="3"/>
      <c r="I235" s="5"/>
      <c r="J235" s="3"/>
      <c r="K235" s="5"/>
      <c r="L235" s="3"/>
      <c r="M235" s="5"/>
      <c r="N235" s="5"/>
    </row>
    <row r="236">
      <c r="A236" s="2"/>
      <c r="B236" s="3"/>
      <c r="C236" s="3"/>
      <c r="D236" s="3"/>
      <c r="E236" s="4"/>
      <c r="F236" s="3"/>
      <c r="G236" s="5"/>
      <c r="H236" s="3"/>
      <c r="I236" s="5"/>
      <c r="J236" s="3"/>
      <c r="K236" s="5"/>
      <c r="L236" s="3"/>
      <c r="M236" s="5"/>
      <c r="N236" s="5"/>
    </row>
    <row r="237">
      <c r="A237" s="2"/>
      <c r="B237" s="3"/>
      <c r="C237" s="3"/>
      <c r="D237" s="3"/>
      <c r="E237" s="4"/>
      <c r="F237" s="3"/>
      <c r="G237" s="5"/>
      <c r="H237" s="3"/>
      <c r="I237" s="5"/>
      <c r="J237" s="3"/>
      <c r="K237" s="5"/>
      <c r="L237" s="3"/>
      <c r="M237" s="5"/>
      <c r="N237" s="5"/>
    </row>
    <row r="238">
      <c r="A238" s="2"/>
      <c r="B238" s="3"/>
      <c r="C238" s="3"/>
      <c r="D238" s="3"/>
      <c r="E238" s="4"/>
      <c r="F238" s="3"/>
      <c r="G238" s="5"/>
      <c r="H238" s="3"/>
      <c r="I238" s="5"/>
      <c r="J238" s="3"/>
      <c r="K238" s="5"/>
      <c r="L238" s="3"/>
      <c r="M238" s="5"/>
      <c r="N238" s="5"/>
    </row>
    <row r="239">
      <c r="A239" s="2"/>
      <c r="B239" s="3"/>
      <c r="C239" s="3"/>
      <c r="D239" s="3"/>
      <c r="E239" s="4"/>
      <c r="F239" s="3"/>
      <c r="G239" s="5"/>
      <c r="H239" s="3"/>
      <c r="I239" s="5"/>
      <c r="J239" s="3"/>
      <c r="K239" s="5"/>
      <c r="L239" s="3"/>
      <c r="M239" s="5"/>
      <c r="N239" s="5"/>
    </row>
    <row r="240">
      <c r="A240" s="2"/>
      <c r="B240" s="3"/>
      <c r="C240" s="3"/>
      <c r="D240" s="3"/>
      <c r="E240" s="4"/>
      <c r="F240" s="3"/>
      <c r="G240" s="5"/>
      <c r="H240" s="3"/>
      <c r="I240" s="5"/>
      <c r="J240" s="3"/>
      <c r="K240" s="5"/>
      <c r="L240" s="3"/>
      <c r="M240" s="5"/>
      <c r="N240" s="5"/>
    </row>
    <row r="241">
      <c r="A241" s="2"/>
      <c r="B241" s="3"/>
      <c r="C241" s="3"/>
      <c r="D241" s="3"/>
      <c r="E241" s="4"/>
      <c r="F241" s="3"/>
      <c r="G241" s="5"/>
      <c r="H241" s="3"/>
      <c r="I241" s="5"/>
      <c r="J241" s="3"/>
      <c r="K241" s="5"/>
      <c r="L241" s="3"/>
      <c r="M241" s="5"/>
      <c r="N241" s="5"/>
    </row>
    <row r="242">
      <c r="A242" s="2"/>
      <c r="B242" s="3"/>
      <c r="C242" s="3"/>
      <c r="D242" s="3"/>
      <c r="E242" s="4"/>
      <c r="F242" s="3"/>
      <c r="G242" s="5"/>
      <c r="H242" s="3"/>
      <c r="I242" s="5"/>
      <c r="J242" s="3"/>
      <c r="K242" s="5"/>
      <c r="L242" s="3"/>
      <c r="M242" s="5"/>
      <c r="N242" s="5"/>
    </row>
    <row r="243">
      <c r="A243" s="2"/>
      <c r="B243" s="3"/>
      <c r="C243" s="3"/>
      <c r="D243" s="3"/>
      <c r="E243" s="4"/>
      <c r="F243" s="3"/>
      <c r="G243" s="5"/>
      <c r="H243" s="3"/>
      <c r="I243" s="5"/>
      <c r="J243" s="3"/>
      <c r="K243" s="5"/>
      <c r="L243" s="3"/>
      <c r="M243" s="5"/>
      <c r="N243" s="5"/>
    </row>
    <row r="244">
      <c r="A244" s="2"/>
      <c r="B244" s="3"/>
      <c r="C244" s="3"/>
      <c r="D244" s="3"/>
      <c r="E244" s="4"/>
      <c r="F244" s="3"/>
      <c r="G244" s="5"/>
      <c r="H244" s="3"/>
      <c r="I244" s="5"/>
      <c r="J244" s="3"/>
      <c r="K244" s="5"/>
      <c r="L244" s="3"/>
      <c r="M244" s="5"/>
      <c r="N244" s="5"/>
    </row>
    <row r="245">
      <c r="A245" s="2"/>
      <c r="B245" s="3"/>
      <c r="C245" s="3"/>
      <c r="D245" s="3"/>
      <c r="E245" s="4"/>
      <c r="F245" s="3"/>
      <c r="G245" s="5"/>
      <c r="H245" s="3"/>
      <c r="I245" s="5"/>
      <c r="J245" s="3"/>
      <c r="K245" s="5"/>
      <c r="L245" s="3"/>
      <c r="M245" s="5"/>
      <c r="N245" s="5"/>
    </row>
    <row r="246">
      <c r="A246" s="2"/>
      <c r="B246" s="3"/>
      <c r="C246" s="3"/>
      <c r="D246" s="3"/>
      <c r="E246" s="4"/>
      <c r="F246" s="3"/>
      <c r="G246" s="5"/>
      <c r="H246" s="3"/>
      <c r="I246" s="5"/>
      <c r="J246" s="3"/>
      <c r="K246" s="5"/>
      <c r="L246" s="3"/>
      <c r="M246" s="5"/>
      <c r="N246" s="5"/>
    </row>
    <row r="247">
      <c r="A247" s="2"/>
      <c r="B247" s="3"/>
      <c r="C247" s="3"/>
      <c r="D247" s="3"/>
      <c r="E247" s="4"/>
      <c r="F247" s="3"/>
      <c r="G247" s="5"/>
      <c r="H247" s="3"/>
      <c r="I247" s="5"/>
      <c r="J247" s="3"/>
      <c r="K247" s="5"/>
      <c r="L247" s="3"/>
      <c r="M247" s="5"/>
      <c r="N247" s="5"/>
    </row>
    <row r="248">
      <c r="A248" s="2"/>
      <c r="B248" s="3"/>
      <c r="C248" s="3"/>
      <c r="D248" s="3"/>
      <c r="E248" s="4"/>
      <c r="F248" s="3"/>
      <c r="G248" s="5"/>
      <c r="H248" s="3"/>
      <c r="I248" s="5"/>
      <c r="J248" s="3"/>
      <c r="K248" s="5"/>
      <c r="L248" s="3"/>
      <c r="M248" s="5"/>
      <c r="N248" s="5"/>
    </row>
    <row r="249">
      <c r="A249" s="2"/>
      <c r="B249" s="3"/>
      <c r="C249" s="3"/>
      <c r="D249" s="3"/>
      <c r="E249" s="4"/>
      <c r="F249" s="3"/>
      <c r="G249" s="5"/>
      <c r="H249" s="3"/>
      <c r="I249" s="5"/>
      <c r="J249" s="3"/>
      <c r="K249" s="5"/>
      <c r="L249" s="3"/>
      <c r="M249" s="5"/>
      <c r="N249" s="5"/>
    </row>
    <row r="250">
      <c r="A250" s="2"/>
      <c r="B250" s="3"/>
      <c r="C250" s="3"/>
      <c r="D250" s="3"/>
      <c r="E250" s="4"/>
      <c r="F250" s="3"/>
      <c r="G250" s="5"/>
      <c r="H250" s="3"/>
      <c r="I250" s="5"/>
      <c r="J250" s="3"/>
      <c r="K250" s="5"/>
      <c r="L250" s="3"/>
      <c r="M250" s="5"/>
      <c r="N250" s="5"/>
    </row>
    <row r="251">
      <c r="A251" s="2"/>
      <c r="B251" s="3"/>
      <c r="C251" s="3"/>
      <c r="D251" s="3"/>
      <c r="E251" s="4"/>
      <c r="F251" s="3"/>
      <c r="G251" s="5"/>
      <c r="H251" s="3"/>
      <c r="I251" s="5"/>
      <c r="J251" s="3"/>
      <c r="K251" s="5"/>
      <c r="L251" s="3"/>
      <c r="M251" s="5"/>
      <c r="N251" s="5"/>
    </row>
    <row r="252">
      <c r="A252" s="2"/>
      <c r="B252" s="3"/>
      <c r="C252" s="3"/>
      <c r="D252" s="3"/>
      <c r="E252" s="4"/>
      <c r="F252" s="3"/>
      <c r="G252" s="5"/>
      <c r="H252" s="3"/>
      <c r="I252" s="5"/>
      <c r="J252" s="3"/>
      <c r="K252" s="5"/>
      <c r="L252" s="3"/>
      <c r="M252" s="5"/>
      <c r="N252" s="5"/>
    </row>
    <row r="253">
      <c r="A253" s="2"/>
      <c r="B253" s="3"/>
      <c r="C253" s="3"/>
      <c r="D253" s="3"/>
      <c r="E253" s="4"/>
      <c r="F253" s="3"/>
      <c r="G253" s="5"/>
      <c r="H253" s="3"/>
      <c r="I253" s="5"/>
      <c r="J253" s="3"/>
      <c r="K253" s="5"/>
      <c r="L253" s="3"/>
      <c r="M253" s="5"/>
      <c r="N253" s="5"/>
    </row>
    <row r="254">
      <c r="A254" s="2"/>
      <c r="B254" s="3"/>
      <c r="C254" s="3"/>
      <c r="D254" s="3"/>
      <c r="E254" s="4"/>
      <c r="F254" s="3"/>
      <c r="G254" s="5"/>
      <c r="H254" s="3"/>
      <c r="I254" s="5"/>
      <c r="J254" s="3"/>
      <c r="K254" s="5"/>
      <c r="L254" s="3"/>
      <c r="M254" s="5"/>
      <c r="N254" s="5"/>
    </row>
    <row r="255">
      <c r="A255" s="2"/>
      <c r="B255" s="3"/>
      <c r="C255" s="3"/>
      <c r="D255" s="3"/>
      <c r="E255" s="4"/>
      <c r="F255" s="3"/>
      <c r="G255" s="5"/>
      <c r="H255" s="3"/>
      <c r="I255" s="5"/>
      <c r="J255" s="3"/>
      <c r="K255" s="5"/>
      <c r="L255" s="3"/>
      <c r="M255" s="5"/>
      <c r="N255" s="5"/>
    </row>
    <row r="256">
      <c r="A256" s="2"/>
      <c r="B256" s="3"/>
      <c r="C256" s="3"/>
      <c r="D256" s="3"/>
      <c r="E256" s="4"/>
      <c r="F256" s="3"/>
      <c r="G256" s="5"/>
      <c r="H256" s="3"/>
      <c r="I256" s="5"/>
      <c r="J256" s="3"/>
      <c r="K256" s="5"/>
      <c r="L256" s="3"/>
      <c r="M256" s="5"/>
      <c r="N256" s="5"/>
    </row>
    <row r="257">
      <c r="A257" s="2"/>
      <c r="B257" s="3"/>
      <c r="C257" s="3"/>
      <c r="D257" s="3"/>
      <c r="E257" s="4"/>
      <c r="F257" s="3"/>
      <c r="G257" s="5"/>
      <c r="H257" s="3"/>
      <c r="I257" s="5"/>
      <c r="J257" s="3"/>
      <c r="K257" s="5"/>
      <c r="L257" s="3"/>
      <c r="M257" s="5"/>
      <c r="N257" s="5"/>
    </row>
    <row r="258">
      <c r="A258" s="2"/>
      <c r="B258" s="3"/>
      <c r="C258" s="3"/>
      <c r="D258" s="3"/>
      <c r="E258" s="4"/>
      <c r="F258" s="3"/>
      <c r="G258" s="5"/>
      <c r="H258" s="3"/>
      <c r="I258" s="5"/>
      <c r="J258" s="3"/>
      <c r="K258" s="5"/>
      <c r="L258" s="3"/>
      <c r="M258" s="5"/>
      <c r="N258" s="5"/>
    </row>
    <row r="259">
      <c r="A259" s="2"/>
      <c r="B259" s="3"/>
      <c r="C259" s="3"/>
      <c r="D259" s="3"/>
      <c r="E259" s="4"/>
      <c r="F259" s="3"/>
      <c r="G259" s="5"/>
      <c r="H259" s="3"/>
      <c r="I259" s="5"/>
      <c r="J259" s="3"/>
      <c r="K259" s="5"/>
      <c r="L259" s="3"/>
      <c r="M259" s="5"/>
      <c r="N259" s="5"/>
    </row>
    <row r="260">
      <c r="A260" s="2"/>
      <c r="B260" s="3"/>
      <c r="C260" s="3"/>
      <c r="D260" s="3"/>
      <c r="E260" s="4"/>
      <c r="F260" s="3"/>
      <c r="G260" s="5"/>
      <c r="H260" s="3"/>
      <c r="I260" s="5"/>
      <c r="J260" s="3"/>
      <c r="K260" s="5"/>
      <c r="L260" s="3"/>
      <c r="M260" s="5"/>
      <c r="N260" s="5"/>
    </row>
    <row r="261">
      <c r="A261" s="2"/>
      <c r="B261" s="3"/>
      <c r="C261" s="3"/>
      <c r="D261" s="3"/>
      <c r="E261" s="4"/>
      <c r="F261" s="3"/>
      <c r="G261" s="5"/>
      <c r="H261" s="3"/>
      <c r="I261" s="5"/>
      <c r="J261" s="3"/>
      <c r="K261" s="5"/>
      <c r="L261" s="3"/>
      <c r="M261" s="5"/>
      <c r="N261" s="5"/>
    </row>
    <row r="262">
      <c r="A262" s="2"/>
      <c r="B262" s="3"/>
      <c r="C262" s="3"/>
      <c r="D262" s="3"/>
      <c r="E262" s="4"/>
      <c r="F262" s="3"/>
      <c r="G262" s="5"/>
      <c r="H262" s="3"/>
      <c r="I262" s="5"/>
      <c r="J262" s="3"/>
      <c r="K262" s="5"/>
      <c r="L262" s="3"/>
      <c r="M262" s="5"/>
      <c r="N262" s="5"/>
    </row>
    <row r="263">
      <c r="A263" s="2"/>
      <c r="B263" s="3"/>
      <c r="C263" s="3"/>
      <c r="D263" s="3"/>
      <c r="E263" s="4"/>
      <c r="F263" s="3"/>
      <c r="G263" s="5"/>
      <c r="H263" s="3"/>
      <c r="I263" s="5"/>
      <c r="J263" s="3"/>
      <c r="K263" s="5"/>
      <c r="L263" s="3"/>
      <c r="M263" s="5"/>
      <c r="N263" s="5"/>
    </row>
    <row r="264">
      <c r="A264" s="2"/>
      <c r="B264" s="3"/>
      <c r="C264" s="3"/>
      <c r="D264" s="3"/>
      <c r="E264" s="4"/>
      <c r="F264" s="3"/>
      <c r="G264" s="5"/>
      <c r="H264" s="3"/>
      <c r="I264" s="5"/>
      <c r="J264" s="3"/>
      <c r="K264" s="5"/>
      <c r="L264" s="3"/>
      <c r="M264" s="5"/>
      <c r="N264" s="5"/>
    </row>
    <row r="265">
      <c r="A265" s="2"/>
      <c r="B265" s="3"/>
      <c r="C265" s="3"/>
      <c r="D265" s="3"/>
      <c r="E265" s="4"/>
      <c r="F265" s="3"/>
      <c r="G265" s="5"/>
      <c r="H265" s="3"/>
      <c r="I265" s="5"/>
      <c r="J265" s="3"/>
      <c r="K265" s="5"/>
      <c r="L265" s="3"/>
      <c r="M265" s="5"/>
      <c r="N265" s="5"/>
    </row>
    <row r="266">
      <c r="A266" s="2"/>
      <c r="B266" s="3"/>
      <c r="C266" s="3"/>
      <c r="D266" s="3"/>
      <c r="E266" s="4"/>
      <c r="F266" s="3"/>
      <c r="G266" s="5"/>
      <c r="H266" s="3"/>
      <c r="I266" s="5"/>
      <c r="J266" s="3"/>
      <c r="K266" s="5"/>
      <c r="L266" s="3"/>
      <c r="M266" s="5"/>
      <c r="N266" s="5"/>
    </row>
    <row r="267">
      <c r="A267" s="2"/>
      <c r="B267" s="3"/>
      <c r="C267" s="3"/>
      <c r="D267" s="3"/>
      <c r="E267" s="4"/>
      <c r="F267" s="3"/>
      <c r="G267" s="5"/>
      <c r="H267" s="3"/>
      <c r="I267" s="5"/>
      <c r="J267" s="3"/>
      <c r="K267" s="5"/>
      <c r="L267" s="3"/>
      <c r="M267" s="5"/>
      <c r="N267" s="5"/>
    </row>
    <row r="268">
      <c r="A268" s="2"/>
      <c r="B268" s="3"/>
      <c r="C268" s="3"/>
      <c r="D268" s="3"/>
      <c r="E268" s="4"/>
      <c r="F268" s="3"/>
      <c r="G268" s="5"/>
      <c r="H268" s="3"/>
      <c r="I268" s="5"/>
      <c r="J268" s="3"/>
      <c r="K268" s="5"/>
      <c r="L268" s="3"/>
      <c r="M268" s="5"/>
      <c r="N268" s="5"/>
    </row>
    <row r="269">
      <c r="A269" s="2"/>
      <c r="B269" s="3"/>
      <c r="C269" s="3"/>
      <c r="D269" s="3"/>
      <c r="E269" s="4"/>
      <c r="F269" s="3"/>
      <c r="G269" s="5"/>
      <c r="H269" s="3"/>
      <c r="I269" s="5"/>
      <c r="J269" s="3"/>
      <c r="K269" s="5"/>
      <c r="L269" s="3"/>
      <c r="M269" s="5"/>
      <c r="N269" s="5"/>
    </row>
    <row r="270">
      <c r="A270" s="2"/>
      <c r="B270" s="3"/>
      <c r="C270" s="3"/>
      <c r="D270" s="3"/>
      <c r="E270" s="4"/>
      <c r="F270" s="3"/>
      <c r="G270" s="5"/>
      <c r="H270" s="3"/>
      <c r="I270" s="5"/>
      <c r="J270" s="3"/>
      <c r="K270" s="5"/>
      <c r="L270" s="3"/>
      <c r="M270" s="5"/>
      <c r="N270" s="5"/>
    </row>
    <row r="271">
      <c r="A271" s="2"/>
      <c r="B271" s="3"/>
      <c r="C271" s="3"/>
      <c r="D271" s="3"/>
      <c r="E271" s="4"/>
      <c r="F271" s="3"/>
      <c r="G271" s="5"/>
      <c r="H271" s="3"/>
      <c r="I271" s="5"/>
      <c r="J271" s="3"/>
      <c r="K271" s="5"/>
      <c r="L271" s="3"/>
      <c r="M271" s="5"/>
      <c r="N271" s="5"/>
    </row>
    <row r="272">
      <c r="A272" s="2"/>
      <c r="B272" s="3"/>
      <c r="C272" s="3"/>
      <c r="D272" s="3"/>
      <c r="E272" s="4"/>
      <c r="F272" s="3"/>
      <c r="G272" s="5"/>
      <c r="H272" s="3"/>
      <c r="I272" s="5"/>
      <c r="J272" s="3"/>
      <c r="K272" s="5"/>
      <c r="L272" s="3"/>
      <c r="M272" s="5"/>
      <c r="N272" s="5"/>
    </row>
    <row r="273">
      <c r="A273" s="2"/>
      <c r="B273" s="3"/>
      <c r="C273" s="3"/>
      <c r="D273" s="3"/>
      <c r="E273" s="4"/>
      <c r="F273" s="3"/>
      <c r="G273" s="5"/>
      <c r="H273" s="3"/>
      <c r="I273" s="5"/>
      <c r="J273" s="3"/>
      <c r="K273" s="5"/>
      <c r="L273" s="3"/>
      <c r="M273" s="5"/>
      <c r="N273" s="5"/>
    </row>
    <row r="274">
      <c r="A274" s="2"/>
      <c r="B274" s="3"/>
      <c r="C274" s="3"/>
      <c r="D274" s="3"/>
      <c r="E274" s="4"/>
      <c r="F274" s="3"/>
      <c r="G274" s="5"/>
      <c r="H274" s="3"/>
      <c r="I274" s="5"/>
      <c r="J274" s="3"/>
      <c r="K274" s="5"/>
      <c r="L274" s="3"/>
      <c r="M274" s="5"/>
      <c r="N274" s="5"/>
    </row>
    <row r="275">
      <c r="A275" s="2"/>
      <c r="B275" s="3"/>
      <c r="C275" s="3"/>
      <c r="D275" s="3"/>
      <c r="E275" s="4"/>
      <c r="F275" s="3"/>
      <c r="G275" s="5"/>
      <c r="H275" s="3"/>
      <c r="I275" s="5"/>
      <c r="J275" s="3"/>
      <c r="K275" s="5"/>
      <c r="L275" s="3"/>
      <c r="M275" s="5"/>
      <c r="N275" s="5"/>
    </row>
    <row r="276">
      <c r="A276" s="2"/>
      <c r="B276" s="3"/>
      <c r="C276" s="3"/>
      <c r="D276" s="3"/>
      <c r="E276" s="4"/>
      <c r="F276" s="3"/>
      <c r="G276" s="5"/>
      <c r="H276" s="3"/>
      <c r="I276" s="5"/>
      <c r="J276" s="3"/>
      <c r="K276" s="5"/>
      <c r="L276" s="3"/>
      <c r="M276" s="5"/>
      <c r="N276" s="5"/>
    </row>
    <row r="277">
      <c r="A277" s="2"/>
      <c r="B277" s="3"/>
      <c r="C277" s="3"/>
      <c r="D277" s="3"/>
      <c r="E277" s="4"/>
      <c r="F277" s="3"/>
      <c r="G277" s="5"/>
      <c r="H277" s="3"/>
      <c r="I277" s="5"/>
      <c r="J277" s="3"/>
      <c r="K277" s="5"/>
      <c r="L277" s="3"/>
      <c r="M277" s="5"/>
      <c r="N277" s="5"/>
    </row>
    <row r="278">
      <c r="A278" s="2"/>
      <c r="B278" s="3"/>
      <c r="C278" s="3"/>
      <c r="D278" s="3"/>
      <c r="E278" s="4"/>
      <c r="F278" s="3"/>
      <c r="G278" s="5"/>
      <c r="H278" s="3"/>
      <c r="I278" s="5"/>
      <c r="J278" s="3"/>
      <c r="K278" s="5"/>
      <c r="L278" s="3"/>
      <c r="M278" s="5"/>
      <c r="N278" s="5"/>
    </row>
    <row r="279">
      <c r="A279" s="2"/>
      <c r="B279" s="3"/>
      <c r="C279" s="3"/>
      <c r="D279" s="3"/>
      <c r="E279" s="4"/>
      <c r="F279" s="3"/>
      <c r="G279" s="5"/>
      <c r="H279" s="3"/>
      <c r="I279" s="5"/>
      <c r="J279" s="3"/>
      <c r="K279" s="5"/>
      <c r="L279" s="3"/>
      <c r="M279" s="5"/>
      <c r="N279" s="5"/>
    </row>
    <row r="280">
      <c r="A280" s="2"/>
      <c r="B280" s="3"/>
      <c r="C280" s="3"/>
      <c r="D280" s="3"/>
      <c r="E280" s="4"/>
      <c r="F280" s="3"/>
      <c r="G280" s="5"/>
      <c r="H280" s="3"/>
      <c r="I280" s="5"/>
      <c r="J280" s="3"/>
      <c r="K280" s="5"/>
      <c r="L280" s="3"/>
      <c r="M280" s="5"/>
      <c r="N280" s="5"/>
    </row>
    <row r="281">
      <c r="A281" s="2"/>
      <c r="B281" s="3"/>
      <c r="C281" s="3"/>
      <c r="D281" s="3"/>
      <c r="E281" s="4"/>
      <c r="F281" s="3"/>
      <c r="G281" s="5"/>
      <c r="H281" s="3"/>
      <c r="I281" s="5"/>
      <c r="J281" s="3"/>
      <c r="K281" s="5"/>
      <c r="L281" s="3"/>
      <c r="M281" s="5"/>
      <c r="N281" s="5"/>
    </row>
    <row r="282">
      <c r="A282" s="2"/>
      <c r="B282" s="3"/>
      <c r="C282" s="3"/>
      <c r="D282" s="3"/>
      <c r="E282" s="4"/>
      <c r="F282" s="3"/>
      <c r="G282" s="5"/>
      <c r="H282" s="3"/>
      <c r="I282" s="5"/>
      <c r="J282" s="3"/>
      <c r="K282" s="5"/>
      <c r="L282" s="3"/>
      <c r="M282" s="5"/>
      <c r="N282" s="5"/>
    </row>
    <row r="283">
      <c r="A283" s="2"/>
      <c r="B283" s="3"/>
      <c r="C283" s="3"/>
      <c r="D283" s="3"/>
      <c r="E283" s="4"/>
      <c r="F283" s="3"/>
      <c r="G283" s="5"/>
      <c r="H283" s="3"/>
      <c r="I283" s="5"/>
      <c r="J283" s="3"/>
      <c r="K283" s="5"/>
      <c r="L283" s="3"/>
      <c r="M283" s="5"/>
      <c r="N283" s="5"/>
    </row>
    <row r="284">
      <c r="A284" s="2"/>
      <c r="B284" s="3"/>
      <c r="C284" s="3"/>
      <c r="D284" s="3"/>
      <c r="E284" s="4"/>
      <c r="F284" s="3"/>
      <c r="G284" s="5"/>
      <c r="H284" s="3"/>
      <c r="I284" s="5"/>
      <c r="J284" s="3"/>
      <c r="K284" s="5"/>
      <c r="L284" s="3"/>
      <c r="M284" s="5"/>
      <c r="N284" s="5"/>
    </row>
    <row r="285">
      <c r="A285" s="2"/>
      <c r="B285" s="3"/>
      <c r="C285" s="3"/>
      <c r="D285" s="3"/>
      <c r="E285" s="4"/>
      <c r="F285" s="3"/>
      <c r="G285" s="5"/>
      <c r="H285" s="3"/>
      <c r="I285" s="5"/>
      <c r="J285" s="3"/>
      <c r="K285" s="5"/>
      <c r="L285" s="3"/>
      <c r="M285" s="5"/>
      <c r="N285" s="5"/>
    </row>
    <row r="286">
      <c r="A286" s="2"/>
      <c r="B286" s="3"/>
      <c r="C286" s="3"/>
      <c r="D286" s="3"/>
      <c r="E286" s="4"/>
      <c r="F286" s="3"/>
      <c r="G286" s="5"/>
      <c r="H286" s="3"/>
      <c r="I286" s="5"/>
      <c r="J286" s="3"/>
      <c r="K286" s="5"/>
      <c r="L286" s="3"/>
      <c r="M286" s="5"/>
      <c r="N286" s="5"/>
    </row>
    <row r="287">
      <c r="A287" s="2"/>
      <c r="B287" s="3"/>
      <c r="C287" s="3"/>
      <c r="D287" s="3"/>
      <c r="E287" s="4"/>
      <c r="F287" s="3"/>
      <c r="G287" s="5"/>
      <c r="H287" s="3"/>
      <c r="I287" s="5"/>
      <c r="J287" s="3"/>
      <c r="K287" s="5"/>
      <c r="L287" s="3"/>
      <c r="M287" s="5"/>
      <c r="N287" s="5"/>
    </row>
    <row r="288">
      <c r="A288" s="2"/>
      <c r="B288" s="3"/>
      <c r="C288" s="3"/>
      <c r="D288" s="3"/>
      <c r="E288" s="4"/>
      <c r="F288" s="3"/>
      <c r="G288" s="5"/>
      <c r="H288" s="3"/>
      <c r="I288" s="5"/>
      <c r="J288" s="3"/>
      <c r="K288" s="5"/>
      <c r="L288" s="3"/>
      <c r="M288" s="5"/>
      <c r="N288" s="5"/>
    </row>
    <row r="289">
      <c r="A289" s="2"/>
      <c r="B289" s="3"/>
      <c r="C289" s="3"/>
      <c r="D289" s="3"/>
      <c r="E289" s="4"/>
      <c r="F289" s="3"/>
      <c r="G289" s="5"/>
      <c r="H289" s="3"/>
      <c r="I289" s="5"/>
      <c r="J289" s="3"/>
      <c r="K289" s="5"/>
      <c r="L289" s="3"/>
      <c r="M289" s="5"/>
      <c r="N289" s="5"/>
    </row>
    <row r="290">
      <c r="A290" s="2"/>
      <c r="B290" s="3"/>
      <c r="C290" s="3"/>
      <c r="D290" s="3"/>
      <c r="E290" s="4"/>
      <c r="F290" s="3"/>
      <c r="G290" s="5"/>
      <c r="H290" s="3"/>
      <c r="I290" s="5"/>
      <c r="J290" s="3"/>
      <c r="K290" s="5"/>
      <c r="L290" s="3"/>
      <c r="M290" s="5"/>
      <c r="N290" s="5"/>
    </row>
    <row r="291">
      <c r="A291" s="2"/>
      <c r="B291" s="3"/>
      <c r="C291" s="3"/>
      <c r="D291" s="3"/>
      <c r="E291" s="4"/>
      <c r="F291" s="3"/>
      <c r="G291" s="5"/>
      <c r="H291" s="3"/>
      <c r="I291" s="5"/>
      <c r="J291" s="3"/>
      <c r="K291" s="5"/>
      <c r="L291" s="3"/>
      <c r="M291" s="5"/>
      <c r="N291" s="5"/>
    </row>
    <row r="292">
      <c r="A292" s="2"/>
      <c r="B292" s="3"/>
      <c r="C292" s="3"/>
      <c r="D292" s="3"/>
      <c r="E292" s="4"/>
      <c r="F292" s="3"/>
      <c r="G292" s="5"/>
      <c r="H292" s="3"/>
      <c r="I292" s="5"/>
      <c r="J292" s="3"/>
      <c r="K292" s="5"/>
      <c r="L292" s="3"/>
      <c r="M292" s="5"/>
      <c r="N292" s="5"/>
    </row>
    <row r="293">
      <c r="A293" s="2"/>
      <c r="B293" s="3"/>
      <c r="C293" s="3"/>
      <c r="D293" s="3"/>
      <c r="E293" s="4"/>
      <c r="F293" s="3"/>
      <c r="G293" s="5"/>
      <c r="H293" s="3"/>
      <c r="I293" s="5"/>
      <c r="J293" s="3"/>
      <c r="K293" s="5"/>
      <c r="L293" s="3"/>
      <c r="M293" s="5"/>
      <c r="N293" s="5"/>
    </row>
    <row r="294">
      <c r="A294" s="2"/>
      <c r="B294" s="3"/>
      <c r="C294" s="3"/>
      <c r="D294" s="3"/>
      <c r="E294" s="4"/>
      <c r="F294" s="3"/>
      <c r="G294" s="5"/>
      <c r="H294" s="3"/>
      <c r="I294" s="5"/>
      <c r="J294" s="3"/>
      <c r="K294" s="5"/>
      <c r="L294" s="3"/>
      <c r="M294" s="5"/>
      <c r="N294" s="5"/>
    </row>
    <row r="295">
      <c r="A295" s="2"/>
      <c r="B295" s="3"/>
      <c r="C295" s="3"/>
      <c r="D295" s="3"/>
      <c r="E295" s="4"/>
      <c r="F295" s="3"/>
      <c r="G295" s="5"/>
      <c r="H295" s="3"/>
      <c r="I295" s="5"/>
      <c r="J295" s="3"/>
      <c r="K295" s="5"/>
      <c r="L295" s="3"/>
      <c r="M295" s="5"/>
      <c r="N295" s="5"/>
    </row>
    <row r="296">
      <c r="A296" s="2"/>
      <c r="B296" s="3"/>
      <c r="C296" s="3"/>
      <c r="D296" s="3"/>
      <c r="E296" s="4"/>
      <c r="F296" s="3"/>
      <c r="G296" s="5"/>
      <c r="H296" s="3"/>
      <c r="I296" s="5"/>
      <c r="J296" s="3"/>
      <c r="K296" s="5"/>
      <c r="L296" s="3"/>
      <c r="M296" s="5"/>
      <c r="N296" s="5"/>
    </row>
    <row r="297">
      <c r="A297" s="2"/>
      <c r="B297" s="3"/>
      <c r="C297" s="3"/>
      <c r="D297" s="3"/>
      <c r="E297" s="4"/>
      <c r="F297" s="3"/>
      <c r="G297" s="5"/>
      <c r="H297" s="3"/>
      <c r="I297" s="5"/>
      <c r="J297" s="3"/>
      <c r="K297" s="5"/>
      <c r="L297" s="3"/>
      <c r="M297" s="5"/>
      <c r="N297" s="5"/>
    </row>
    <row r="298">
      <c r="A298" s="2"/>
      <c r="B298" s="3"/>
      <c r="C298" s="3"/>
      <c r="D298" s="3"/>
      <c r="E298" s="4"/>
      <c r="F298" s="3"/>
      <c r="G298" s="5"/>
      <c r="H298" s="3"/>
      <c r="I298" s="5"/>
      <c r="J298" s="3"/>
      <c r="K298" s="5"/>
      <c r="L298" s="3"/>
      <c r="M298" s="5"/>
      <c r="N298" s="5"/>
    </row>
    <row r="299">
      <c r="A299" s="2"/>
      <c r="B299" s="3"/>
      <c r="C299" s="3"/>
      <c r="D299" s="3"/>
      <c r="E299" s="4"/>
      <c r="F299" s="3"/>
      <c r="G299" s="5"/>
      <c r="H299" s="3"/>
      <c r="I299" s="5"/>
      <c r="J299" s="3"/>
      <c r="K299" s="5"/>
      <c r="L299" s="3"/>
      <c r="M299" s="5"/>
      <c r="N299" s="5"/>
    </row>
    <row r="300">
      <c r="A300" s="2"/>
      <c r="B300" s="3"/>
      <c r="C300" s="3"/>
      <c r="D300" s="3"/>
      <c r="E300" s="4"/>
      <c r="F300" s="3"/>
      <c r="G300" s="5"/>
      <c r="H300" s="3"/>
      <c r="I300" s="5"/>
      <c r="J300" s="3"/>
      <c r="K300" s="5"/>
      <c r="L300" s="3"/>
      <c r="M300" s="5"/>
      <c r="N300" s="5"/>
    </row>
    <row r="301">
      <c r="A301" s="2"/>
      <c r="B301" s="3"/>
      <c r="C301" s="3"/>
      <c r="D301" s="3"/>
      <c r="E301" s="4"/>
      <c r="F301" s="3"/>
      <c r="G301" s="5"/>
      <c r="H301" s="3"/>
      <c r="I301" s="5"/>
      <c r="J301" s="3"/>
      <c r="K301" s="5"/>
      <c r="L301" s="3"/>
      <c r="M301" s="5"/>
      <c r="N301" s="5"/>
    </row>
    <row r="302">
      <c r="A302" s="2"/>
      <c r="B302" s="3"/>
      <c r="C302" s="3"/>
      <c r="D302" s="3"/>
      <c r="E302" s="4"/>
      <c r="F302" s="3"/>
      <c r="G302" s="5"/>
      <c r="H302" s="3"/>
      <c r="I302" s="5"/>
      <c r="J302" s="3"/>
      <c r="K302" s="5"/>
      <c r="L302" s="3"/>
      <c r="M302" s="5"/>
      <c r="N302" s="5"/>
    </row>
    <row r="303">
      <c r="A303" s="2"/>
      <c r="B303" s="3"/>
      <c r="C303" s="3"/>
      <c r="D303" s="3"/>
      <c r="E303" s="4"/>
      <c r="F303" s="3"/>
      <c r="G303" s="5"/>
      <c r="H303" s="3"/>
      <c r="I303" s="5"/>
      <c r="J303" s="3"/>
      <c r="K303" s="5"/>
      <c r="L303" s="3"/>
      <c r="M303" s="5"/>
      <c r="N303" s="5"/>
    </row>
    <row r="304">
      <c r="A304" s="2"/>
      <c r="B304" s="3"/>
      <c r="C304" s="3"/>
      <c r="D304" s="3"/>
      <c r="E304" s="4"/>
      <c r="F304" s="3"/>
      <c r="G304" s="5"/>
      <c r="H304" s="3"/>
      <c r="I304" s="5"/>
      <c r="J304" s="3"/>
      <c r="K304" s="5"/>
      <c r="L304" s="3"/>
      <c r="M304" s="5"/>
      <c r="N304" s="5"/>
    </row>
    <row r="305">
      <c r="A305" s="2"/>
      <c r="B305" s="3"/>
      <c r="C305" s="3"/>
      <c r="D305" s="3"/>
      <c r="E305" s="4"/>
      <c r="F305" s="3"/>
      <c r="G305" s="5"/>
      <c r="H305" s="3"/>
      <c r="I305" s="5"/>
      <c r="J305" s="3"/>
      <c r="K305" s="5"/>
      <c r="L305" s="3"/>
      <c r="M305" s="5"/>
      <c r="N305" s="5"/>
    </row>
    <row r="306">
      <c r="A306" s="2"/>
      <c r="B306" s="3"/>
      <c r="C306" s="3"/>
      <c r="D306" s="3"/>
      <c r="E306" s="4"/>
      <c r="F306" s="3"/>
      <c r="G306" s="5"/>
      <c r="H306" s="3"/>
      <c r="I306" s="5"/>
      <c r="J306" s="3"/>
      <c r="K306" s="5"/>
      <c r="L306" s="3"/>
      <c r="M306" s="5"/>
      <c r="N306" s="5"/>
    </row>
    <row r="307">
      <c r="A307" s="2"/>
      <c r="B307" s="3"/>
      <c r="C307" s="3"/>
      <c r="D307" s="3"/>
      <c r="E307" s="4"/>
      <c r="F307" s="3"/>
      <c r="G307" s="5"/>
      <c r="H307" s="3"/>
      <c r="I307" s="5"/>
      <c r="J307" s="3"/>
      <c r="K307" s="5"/>
      <c r="L307" s="3"/>
      <c r="M307" s="5"/>
      <c r="N307" s="5"/>
    </row>
    <row r="308">
      <c r="A308" s="2"/>
      <c r="B308" s="3"/>
      <c r="C308" s="3"/>
      <c r="D308" s="3"/>
      <c r="E308" s="4"/>
      <c r="F308" s="3"/>
      <c r="G308" s="5"/>
      <c r="H308" s="3"/>
      <c r="I308" s="5"/>
      <c r="J308" s="3"/>
      <c r="K308" s="5"/>
      <c r="L308" s="3"/>
      <c r="M308" s="5"/>
      <c r="N308" s="5"/>
    </row>
    <row r="309">
      <c r="A309" s="2"/>
      <c r="B309" s="3"/>
      <c r="C309" s="3"/>
      <c r="D309" s="3"/>
      <c r="E309" s="4"/>
      <c r="F309" s="3"/>
      <c r="G309" s="5"/>
      <c r="H309" s="3"/>
      <c r="I309" s="5"/>
      <c r="J309" s="3"/>
      <c r="K309" s="5"/>
      <c r="L309" s="3"/>
      <c r="M309" s="5"/>
      <c r="N309" s="5"/>
    </row>
    <row r="310">
      <c r="A310" s="2"/>
      <c r="B310" s="3"/>
      <c r="C310" s="3"/>
      <c r="D310" s="3"/>
      <c r="E310" s="4"/>
      <c r="F310" s="3"/>
      <c r="G310" s="5"/>
      <c r="H310" s="3"/>
      <c r="I310" s="5"/>
      <c r="J310" s="3"/>
      <c r="K310" s="5"/>
      <c r="L310" s="3"/>
      <c r="M310" s="5"/>
      <c r="N310" s="5"/>
    </row>
    <row r="311">
      <c r="A311" s="2"/>
      <c r="B311" s="3"/>
      <c r="C311" s="3"/>
      <c r="D311" s="3"/>
      <c r="E311" s="4"/>
      <c r="F311" s="3"/>
      <c r="G311" s="5"/>
      <c r="H311" s="3"/>
      <c r="I311" s="5"/>
      <c r="J311" s="3"/>
      <c r="K311" s="5"/>
      <c r="L311" s="3"/>
      <c r="M311" s="5"/>
      <c r="N311" s="5"/>
    </row>
    <row r="312">
      <c r="A312" s="2"/>
      <c r="B312" s="3"/>
      <c r="C312" s="3"/>
      <c r="D312" s="3"/>
      <c r="E312" s="4"/>
      <c r="F312" s="3"/>
      <c r="G312" s="5"/>
      <c r="H312" s="3"/>
      <c r="I312" s="5"/>
      <c r="J312" s="3"/>
      <c r="K312" s="5"/>
      <c r="L312" s="3"/>
      <c r="M312" s="5"/>
      <c r="N312" s="5"/>
    </row>
    <row r="313">
      <c r="A313" s="2"/>
      <c r="B313" s="3"/>
      <c r="C313" s="3"/>
      <c r="D313" s="3"/>
      <c r="E313" s="4"/>
      <c r="F313" s="3"/>
      <c r="G313" s="5"/>
      <c r="H313" s="3"/>
      <c r="I313" s="5"/>
      <c r="J313" s="3"/>
      <c r="K313" s="5"/>
      <c r="L313" s="3"/>
      <c r="M313" s="5"/>
      <c r="N313" s="5"/>
    </row>
    <row r="314">
      <c r="A314" s="2"/>
      <c r="B314" s="3"/>
      <c r="C314" s="3"/>
      <c r="D314" s="3"/>
      <c r="E314" s="4"/>
      <c r="F314" s="3"/>
      <c r="G314" s="5"/>
      <c r="H314" s="3"/>
      <c r="I314" s="5"/>
      <c r="J314" s="3"/>
      <c r="K314" s="5"/>
      <c r="L314" s="3"/>
      <c r="M314" s="5"/>
      <c r="N314" s="5"/>
    </row>
    <row r="315">
      <c r="A315" s="2"/>
      <c r="B315" s="3"/>
      <c r="C315" s="3"/>
      <c r="D315" s="3"/>
      <c r="E315" s="4"/>
      <c r="F315" s="3"/>
      <c r="G315" s="5"/>
      <c r="H315" s="3"/>
      <c r="I315" s="5"/>
      <c r="J315" s="3"/>
      <c r="K315" s="5"/>
      <c r="L315" s="3"/>
      <c r="M315" s="5"/>
      <c r="N315" s="5"/>
    </row>
    <row r="316">
      <c r="A316" s="2"/>
      <c r="B316" s="3"/>
      <c r="C316" s="3"/>
      <c r="D316" s="3"/>
      <c r="E316" s="4"/>
      <c r="F316" s="3"/>
      <c r="G316" s="5"/>
      <c r="H316" s="3"/>
      <c r="I316" s="5"/>
      <c r="J316" s="3"/>
      <c r="K316" s="5"/>
      <c r="L316" s="3"/>
      <c r="M316" s="5"/>
      <c r="N316" s="5"/>
    </row>
    <row r="317">
      <c r="A317" s="2"/>
      <c r="B317" s="3"/>
      <c r="C317" s="3"/>
      <c r="D317" s="3"/>
      <c r="E317" s="4"/>
      <c r="F317" s="3"/>
      <c r="G317" s="5"/>
      <c r="H317" s="3"/>
      <c r="I317" s="5"/>
      <c r="J317" s="3"/>
      <c r="K317" s="5"/>
      <c r="L317" s="3"/>
      <c r="M317" s="5"/>
      <c r="N317" s="5"/>
    </row>
    <row r="318">
      <c r="A318" s="2"/>
      <c r="B318" s="3"/>
      <c r="C318" s="3"/>
      <c r="D318" s="3"/>
      <c r="E318" s="4"/>
      <c r="F318" s="3"/>
      <c r="G318" s="5"/>
      <c r="H318" s="3"/>
      <c r="I318" s="5"/>
      <c r="J318" s="3"/>
      <c r="K318" s="5"/>
      <c r="L318" s="3"/>
      <c r="M318" s="5"/>
      <c r="N318" s="5"/>
    </row>
    <row r="319">
      <c r="A319" s="2"/>
      <c r="B319" s="3"/>
      <c r="C319" s="3"/>
      <c r="D319" s="3"/>
      <c r="E319" s="4"/>
      <c r="F319" s="3"/>
      <c r="G319" s="5"/>
      <c r="H319" s="3"/>
      <c r="I319" s="5"/>
      <c r="J319" s="3"/>
      <c r="K319" s="5"/>
      <c r="L319" s="3"/>
      <c r="M319" s="5"/>
      <c r="N319" s="5"/>
    </row>
    <row r="320">
      <c r="A320" s="2"/>
      <c r="B320" s="3"/>
      <c r="C320" s="3"/>
      <c r="D320" s="3"/>
      <c r="E320" s="4"/>
      <c r="F320" s="3"/>
      <c r="G320" s="5"/>
      <c r="H320" s="3"/>
      <c r="I320" s="5"/>
      <c r="J320" s="3"/>
      <c r="K320" s="5"/>
      <c r="L320" s="3"/>
      <c r="M320" s="5"/>
      <c r="N320" s="5"/>
    </row>
    <row r="321">
      <c r="A321" s="2"/>
      <c r="B321" s="3"/>
      <c r="C321" s="3"/>
      <c r="D321" s="3"/>
      <c r="E321" s="4"/>
      <c r="F321" s="3"/>
      <c r="G321" s="5"/>
      <c r="H321" s="3"/>
      <c r="I321" s="5"/>
      <c r="J321" s="3"/>
      <c r="K321" s="5"/>
      <c r="L321" s="3"/>
      <c r="M321" s="5"/>
      <c r="N321" s="5"/>
    </row>
    <row r="322">
      <c r="A322" s="2"/>
      <c r="B322" s="3"/>
      <c r="C322" s="3"/>
      <c r="D322" s="3"/>
      <c r="E322" s="4"/>
      <c r="F322" s="3"/>
      <c r="G322" s="5"/>
      <c r="H322" s="3"/>
      <c r="I322" s="5"/>
      <c r="J322" s="3"/>
      <c r="K322" s="5"/>
      <c r="L322" s="3"/>
      <c r="M322" s="5"/>
      <c r="N322" s="5"/>
    </row>
    <row r="323">
      <c r="A323" s="2"/>
      <c r="B323" s="3"/>
      <c r="C323" s="3"/>
      <c r="D323" s="3"/>
      <c r="E323" s="4"/>
      <c r="F323" s="3"/>
      <c r="G323" s="5"/>
      <c r="H323" s="3"/>
      <c r="I323" s="5"/>
      <c r="J323" s="3"/>
      <c r="K323" s="5"/>
      <c r="L323" s="3"/>
      <c r="M323" s="5"/>
      <c r="N323" s="5"/>
    </row>
    <row r="324">
      <c r="A324" s="2"/>
      <c r="B324" s="3"/>
      <c r="C324" s="3"/>
      <c r="D324" s="3"/>
      <c r="E324" s="4"/>
      <c r="F324" s="3"/>
      <c r="G324" s="5"/>
      <c r="H324" s="3"/>
      <c r="I324" s="5"/>
      <c r="J324" s="3"/>
      <c r="K324" s="5"/>
      <c r="L324" s="3"/>
      <c r="M324" s="5"/>
      <c r="N324" s="5"/>
    </row>
    <row r="325">
      <c r="A325" s="2"/>
      <c r="B325" s="3"/>
      <c r="C325" s="3"/>
      <c r="D325" s="3"/>
      <c r="E325" s="4"/>
      <c r="F325" s="3"/>
      <c r="G325" s="5"/>
      <c r="H325" s="3"/>
      <c r="I325" s="5"/>
      <c r="J325" s="3"/>
      <c r="K325" s="5"/>
      <c r="L325" s="3"/>
      <c r="M325" s="5"/>
      <c r="N325" s="5"/>
    </row>
    <row r="326">
      <c r="A326" s="2"/>
      <c r="B326" s="3"/>
      <c r="C326" s="3"/>
      <c r="D326" s="3"/>
      <c r="E326" s="4"/>
      <c r="F326" s="3"/>
      <c r="G326" s="5"/>
      <c r="H326" s="3"/>
      <c r="I326" s="5"/>
      <c r="J326" s="3"/>
      <c r="K326" s="5"/>
      <c r="L326" s="3"/>
      <c r="M326" s="5"/>
      <c r="N326" s="5"/>
    </row>
    <row r="327">
      <c r="A327" s="2"/>
      <c r="B327" s="3"/>
      <c r="C327" s="3"/>
      <c r="D327" s="3"/>
      <c r="E327" s="4"/>
      <c r="F327" s="3"/>
      <c r="G327" s="5"/>
      <c r="H327" s="3"/>
      <c r="I327" s="5"/>
      <c r="J327" s="3"/>
      <c r="K327" s="5"/>
      <c r="L327" s="3"/>
      <c r="M327" s="5"/>
      <c r="N327" s="5"/>
    </row>
    <row r="328">
      <c r="A328" s="2"/>
      <c r="B328" s="3"/>
      <c r="C328" s="3"/>
      <c r="D328" s="3"/>
      <c r="E328" s="4"/>
      <c r="F328" s="3"/>
      <c r="G328" s="5"/>
      <c r="H328" s="3"/>
      <c r="I328" s="5"/>
      <c r="J328" s="3"/>
      <c r="K328" s="5"/>
      <c r="L328" s="3"/>
      <c r="M328" s="5"/>
      <c r="N328" s="5"/>
    </row>
    <row r="329">
      <c r="A329" s="2"/>
      <c r="B329" s="3"/>
      <c r="C329" s="3"/>
      <c r="D329" s="3"/>
      <c r="E329" s="4"/>
      <c r="F329" s="3"/>
      <c r="G329" s="5"/>
      <c r="H329" s="3"/>
      <c r="I329" s="5"/>
      <c r="J329" s="3"/>
      <c r="K329" s="5"/>
      <c r="L329" s="3"/>
      <c r="M329" s="5"/>
      <c r="N329" s="5"/>
    </row>
    <row r="330">
      <c r="A330" s="2"/>
      <c r="B330" s="3"/>
      <c r="C330" s="3"/>
      <c r="D330" s="3"/>
      <c r="E330" s="4"/>
      <c r="F330" s="3"/>
      <c r="G330" s="5"/>
      <c r="H330" s="3"/>
      <c r="I330" s="5"/>
      <c r="J330" s="3"/>
      <c r="K330" s="5"/>
      <c r="L330" s="3"/>
      <c r="M330" s="5"/>
      <c r="N330" s="5"/>
    </row>
    <row r="331">
      <c r="A331" s="2"/>
      <c r="B331" s="3"/>
      <c r="C331" s="3"/>
      <c r="D331" s="3"/>
      <c r="E331" s="4"/>
      <c r="F331" s="3"/>
      <c r="G331" s="5"/>
      <c r="H331" s="3"/>
      <c r="I331" s="5"/>
      <c r="J331" s="3"/>
      <c r="K331" s="5"/>
      <c r="L331" s="3"/>
      <c r="M331" s="5"/>
      <c r="N331" s="5"/>
    </row>
    <row r="332">
      <c r="A332" s="2"/>
      <c r="B332" s="3"/>
      <c r="C332" s="3"/>
      <c r="D332" s="3"/>
      <c r="E332" s="4"/>
      <c r="F332" s="3"/>
      <c r="G332" s="5"/>
      <c r="H332" s="3"/>
      <c r="I332" s="5"/>
      <c r="J332" s="3"/>
      <c r="K332" s="5"/>
      <c r="L332" s="3"/>
      <c r="M332" s="5"/>
      <c r="N332" s="5"/>
    </row>
    <row r="333">
      <c r="A333" s="2"/>
      <c r="B333" s="3"/>
      <c r="C333" s="3"/>
      <c r="D333" s="3"/>
      <c r="E333" s="4"/>
      <c r="F333" s="3"/>
      <c r="G333" s="5"/>
      <c r="H333" s="3"/>
      <c r="I333" s="5"/>
      <c r="J333" s="3"/>
      <c r="K333" s="5"/>
      <c r="L333" s="3"/>
      <c r="M333" s="5"/>
      <c r="N333" s="5"/>
    </row>
    <row r="334">
      <c r="A334" s="2"/>
      <c r="B334" s="3"/>
      <c r="C334" s="3"/>
      <c r="D334" s="3"/>
      <c r="E334" s="4"/>
      <c r="F334" s="3"/>
      <c r="G334" s="5"/>
      <c r="H334" s="3"/>
      <c r="I334" s="5"/>
      <c r="J334" s="3"/>
      <c r="K334" s="5"/>
      <c r="L334" s="3"/>
      <c r="M334" s="5"/>
      <c r="N334" s="5"/>
    </row>
    <row r="335">
      <c r="A335" s="2"/>
      <c r="B335" s="3"/>
      <c r="C335" s="3"/>
      <c r="D335" s="3"/>
      <c r="E335" s="4"/>
      <c r="F335" s="3"/>
      <c r="G335" s="5"/>
      <c r="H335" s="3"/>
      <c r="I335" s="5"/>
      <c r="J335" s="3"/>
      <c r="K335" s="5"/>
      <c r="L335" s="3"/>
      <c r="M335" s="5"/>
      <c r="N335" s="5"/>
    </row>
    <row r="336">
      <c r="A336" s="2"/>
      <c r="B336" s="3"/>
      <c r="C336" s="3"/>
      <c r="D336" s="3"/>
      <c r="E336" s="4"/>
      <c r="F336" s="3"/>
      <c r="G336" s="5"/>
      <c r="H336" s="3"/>
      <c r="I336" s="5"/>
      <c r="J336" s="3"/>
      <c r="K336" s="5"/>
      <c r="L336" s="3"/>
      <c r="M336" s="5"/>
      <c r="N336" s="5"/>
    </row>
    <row r="337">
      <c r="A337" s="2"/>
      <c r="B337" s="3"/>
      <c r="C337" s="3"/>
      <c r="D337" s="3"/>
      <c r="E337" s="4"/>
      <c r="F337" s="3"/>
      <c r="G337" s="5"/>
      <c r="H337" s="3"/>
      <c r="I337" s="5"/>
      <c r="J337" s="3"/>
      <c r="K337" s="5"/>
      <c r="L337" s="3"/>
      <c r="M337" s="5"/>
      <c r="N337" s="5"/>
    </row>
    <row r="338">
      <c r="A338" s="2"/>
      <c r="B338" s="3"/>
      <c r="C338" s="3"/>
      <c r="D338" s="3"/>
      <c r="E338" s="4"/>
      <c r="F338" s="3"/>
      <c r="G338" s="5"/>
      <c r="H338" s="3"/>
      <c r="I338" s="5"/>
      <c r="J338" s="3"/>
      <c r="K338" s="5"/>
      <c r="L338" s="3"/>
      <c r="M338" s="5"/>
      <c r="N338" s="5"/>
    </row>
    <row r="339">
      <c r="A339" s="2"/>
      <c r="B339" s="3"/>
      <c r="C339" s="3"/>
      <c r="D339" s="3"/>
      <c r="E339" s="4"/>
      <c r="F339" s="3"/>
      <c r="G339" s="5"/>
      <c r="H339" s="3"/>
      <c r="I339" s="5"/>
      <c r="J339" s="3"/>
      <c r="K339" s="5"/>
      <c r="L339" s="3"/>
      <c r="M339" s="5"/>
      <c r="N339" s="5"/>
    </row>
    <row r="340">
      <c r="A340" s="2"/>
      <c r="B340" s="3"/>
      <c r="C340" s="3"/>
      <c r="D340" s="3"/>
      <c r="E340" s="4"/>
      <c r="F340" s="3"/>
      <c r="G340" s="5"/>
      <c r="H340" s="3"/>
      <c r="I340" s="5"/>
      <c r="J340" s="3"/>
      <c r="K340" s="5"/>
      <c r="L340" s="3"/>
      <c r="M340" s="5"/>
      <c r="N340" s="5"/>
    </row>
    <row r="341">
      <c r="A341" s="2"/>
      <c r="B341" s="3"/>
      <c r="C341" s="3"/>
      <c r="D341" s="3"/>
      <c r="E341" s="4"/>
      <c r="F341" s="3"/>
      <c r="G341" s="5"/>
      <c r="H341" s="3"/>
      <c r="I341" s="5"/>
      <c r="J341" s="3"/>
      <c r="K341" s="5"/>
      <c r="L341" s="3"/>
      <c r="M341" s="5"/>
      <c r="N341" s="5"/>
    </row>
    <row r="342">
      <c r="A342" s="2"/>
      <c r="B342" s="3"/>
      <c r="C342" s="3"/>
      <c r="D342" s="3"/>
      <c r="E342" s="4"/>
      <c r="F342" s="3"/>
      <c r="G342" s="5"/>
      <c r="H342" s="3"/>
      <c r="I342" s="5"/>
      <c r="J342" s="3"/>
      <c r="K342" s="5"/>
      <c r="L342" s="3"/>
      <c r="M342" s="5"/>
      <c r="N342" s="5"/>
    </row>
    <row r="343">
      <c r="A343" s="2"/>
      <c r="B343" s="3"/>
      <c r="C343" s="3"/>
      <c r="D343" s="3"/>
      <c r="E343" s="4"/>
      <c r="F343" s="3"/>
      <c r="G343" s="5"/>
      <c r="H343" s="3"/>
      <c r="I343" s="5"/>
      <c r="J343" s="3"/>
      <c r="K343" s="5"/>
      <c r="L343" s="3"/>
      <c r="M343" s="5"/>
      <c r="N343" s="5"/>
    </row>
    <row r="344">
      <c r="A344" s="2"/>
      <c r="B344" s="3"/>
      <c r="C344" s="3"/>
      <c r="D344" s="3"/>
      <c r="E344" s="4"/>
      <c r="F344" s="3"/>
      <c r="G344" s="5"/>
      <c r="H344" s="3"/>
      <c r="I344" s="5"/>
      <c r="J344" s="3"/>
      <c r="K344" s="5"/>
      <c r="L344" s="3"/>
      <c r="M344" s="5"/>
      <c r="N344" s="5"/>
    </row>
    <row r="345">
      <c r="A345" s="2"/>
      <c r="B345" s="3"/>
      <c r="C345" s="3"/>
      <c r="D345" s="3"/>
      <c r="E345" s="4"/>
      <c r="F345" s="3"/>
      <c r="G345" s="5"/>
      <c r="H345" s="3"/>
      <c r="I345" s="5"/>
      <c r="J345" s="3"/>
      <c r="K345" s="5"/>
      <c r="L345" s="3"/>
      <c r="M345" s="5"/>
      <c r="N345" s="5"/>
    </row>
    <row r="346">
      <c r="A346" s="2"/>
      <c r="B346" s="3"/>
      <c r="C346" s="3"/>
      <c r="D346" s="3"/>
      <c r="E346" s="4"/>
      <c r="F346" s="3"/>
      <c r="G346" s="5"/>
      <c r="H346" s="3"/>
      <c r="I346" s="5"/>
      <c r="J346" s="3"/>
      <c r="K346" s="5"/>
      <c r="L346" s="3"/>
      <c r="M346" s="5"/>
      <c r="N346" s="5"/>
    </row>
    <row r="347">
      <c r="A347" s="2"/>
      <c r="B347" s="3"/>
      <c r="C347" s="3"/>
      <c r="D347" s="3"/>
      <c r="E347" s="4"/>
      <c r="F347" s="3"/>
      <c r="G347" s="5"/>
      <c r="H347" s="3"/>
      <c r="I347" s="5"/>
      <c r="J347" s="3"/>
      <c r="K347" s="5"/>
      <c r="L347" s="3"/>
      <c r="M347" s="5"/>
      <c r="N347" s="5"/>
    </row>
    <row r="348">
      <c r="A348" s="2"/>
      <c r="B348" s="3"/>
      <c r="C348" s="3"/>
      <c r="D348" s="3"/>
      <c r="E348" s="4"/>
      <c r="F348" s="3"/>
      <c r="G348" s="5"/>
      <c r="H348" s="3"/>
      <c r="I348" s="5"/>
      <c r="J348" s="3"/>
      <c r="K348" s="5"/>
      <c r="L348" s="3"/>
      <c r="M348" s="5"/>
      <c r="N348" s="5"/>
    </row>
    <row r="349">
      <c r="A349" s="2"/>
      <c r="B349" s="3"/>
      <c r="C349" s="3"/>
      <c r="D349" s="3"/>
      <c r="E349" s="4"/>
      <c r="F349" s="3"/>
      <c r="G349" s="5"/>
      <c r="H349" s="3"/>
      <c r="I349" s="5"/>
      <c r="J349" s="3"/>
      <c r="K349" s="5"/>
      <c r="L349" s="3"/>
      <c r="M349" s="5"/>
      <c r="N349" s="5"/>
    </row>
    <row r="350">
      <c r="A350" s="2"/>
      <c r="B350" s="3"/>
      <c r="C350" s="3"/>
      <c r="D350" s="3"/>
      <c r="E350" s="4"/>
      <c r="F350" s="3"/>
      <c r="G350" s="5"/>
      <c r="H350" s="3"/>
      <c r="I350" s="5"/>
      <c r="J350" s="3"/>
      <c r="K350" s="5"/>
      <c r="L350" s="3"/>
      <c r="M350" s="5"/>
      <c r="N350" s="5"/>
    </row>
    <row r="351">
      <c r="A351" s="2"/>
      <c r="B351" s="3"/>
      <c r="C351" s="3"/>
      <c r="D351" s="3"/>
      <c r="E351" s="4"/>
      <c r="F351" s="3"/>
      <c r="G351" s="5"/>
      <c r="H351" s="3"/>
      <c r="I351" s="5"/>
      <c r="J351" s="3"/>
      <c r="K351" s="5"/>
      <c r="L351" s="3"/>
      <c r="M351" s="5"/>
      <c r="N351" s="5"/>
    </row>
    <row r="352">
      <c r="A352" s="2"/>
      <c r="B352" s="3"/>
      <c r="C352" s="3"/>
      <c r="D352" s="3"/>
      <c r="E352" s="4"/>
      <c r="F352" s="3"/>
      <c r="G352" s="5"/>
      <c r="H352" s="3"/>
      <c r="I352" s="5"/>
      <c r="J352" s="3"/>
      <c r="K352" s="5"/>
      <c r="L352" s="3"/>
      <c r="M352" s="5"/>
      <c r="N352" s="5"/>
    </row>
    <row r="353">
      <c r="A353" s="2"/>
      <c r="B353" s="3"/>
      <c r="C353" s="3"/>
      <c r="D353" s="3"/>
      <c r="E353" s="4"/>
      <c r="F353" s="3"/>
      <c r="G353" s="5"/>
      <c r="H353" s="3"/>
      <c r="I353" s="5"/>
      <c r="J353" s="3"/>
      <c r="K353" s="5"/>
      <c r="L353" s="3"/>
      <c r="M353" s="5"/>
      <c r="N353" s="5"/>
    </row>
    <row r="354">
      <c r="A354" s="2"/>
      <c r="B354" s="3"/>
      <c r="C354" s="3"/>
      <c r="D354" s="3"/>
      <c r="E354" s="4"/>
      <c r="F354" s="3"/>
      <c r="G354" s="5"/>
      <c r="H354" s="3"/>
      <c r="I354" s="5"/>
      <c r="J354" s="3"/>
      <c r="K354" s="5"/>
      <c r="L354" s="3"/>
      <c r="M354" s="5"/>
      <c r="N354" s="5"/>
    </row>
    <row r="355">
      <c r="A355" s="2"/>
      <c r="B355" s="3"/>
      <c r="C355" s="3"/>
      <c r="D355" s="3"/>
      <c r="E355" s="4"/>
      <c r="F355" s="3"/>
      <c r="G355" s="5"/>
      <c r="H355" s="3"/>
      <c r="I355" s="5"/>
      <c r="J355" s="3"/>
      <c r="K355" s="5"/>
      <c r="L355" s="3"/>
      <c r="M355" s="5"/>
      <c r="N355" s="5"/>
    </row>
    <row r="356">
      <c r="A356" s="2"/>
      <c r="B356" s="3"/>
      <c r="C356" s="3"/>
      <c r="D356" s="3"/>
      <c r="E356" s="4"/>
      <c r="F356" s="3"/>
      <c r="G356" s="5"/>
      <c r="H356" s="3"/>
      <c r="I356" s="5"/>
      <c r="J356" s="3"/>
      <c r="K356" s="5"/>
      <c r="L356" s="3"/>
      <c r="M356" s="5"/>
      <c r="N356" s="5"/>
    </row>
    <row r="357">
      <c r="A357" s="2"/>
      <c r="B357" s="3"/>
      <c r="C357" s="3"/>
      <c r="D357" s="3"/>
      <c r="E357" s="4"/>
      <c r="F357" s="3"/>
      <c r="G357" s="5"/>
      <c r="H357" s="3"/>
      <c r="I357" s="5"/>
      <c r="J357" s="3"/>
      <c r="K357" s="5"/>
      <c r="L357" s="3"/>
      <c r="M357" s="5"/>
      <c r="N357" s="5"/>
    </row>
    <row r="358">
      <c r="A358" s="2"/>
      <c r="B358" s="3"/>
      <c r="C358" s="3"/>
      <c r="D358" s="3"/>
      <c r="E358" s="4"/>
      <c r="F358" s="3"/>
      <c r="G358" s="5"/>
      <c r="H358" s="3"/>
      <c r="I358" s="5"/>
      <c r="J358" s="3"/>
      <c r="K358" s="5"/>
      <c r="L358" s="3"/>
      <c r="M358" s="5"/>
      <c r="N358" s="5"/>
    </row>
    <row r="359">
      <c r="A359" s="2"/>
      <c r="B359" s="3"/>
      <c r="C359" s="3"/>
      <c r="D359" s="3"/>
      <c r="E359" s="4"/>
      <c r="F359" s="3"/>
      <c r="G359" s="5"/>
      <c r="H359" s="3"/>
      <c r="I359" s="5"/>
      <c r="J359" s="3"/>
      <c r="K359" s="5"/>
      <c r="L359" s="3"/>
      <c r="M359" s="5"/>
      <c r="N359" s="5"/>
    </row>
    <row r="360">
      <c r="A360" s="2"/>
      <c r="B360" s="3"/>
      <c r="C360" s="3"/>
      <c r="D360" s="3"/>
      <c r="E360" s="4"/>
      <c r="F360" s="3"/>
      <c r="G360" s="5"/>
      <c r="H360" s="3"/>
      <c r="I360" s="5"/>
      <c r="J360" s="3"/>
      <c r="K360" s="5"/>
      <c r="L360" s="3"/>
      <c r="M360" s="5"/>
      <c r="N360" s="5"/>
    </row>
    <row r="361">
      <c r="A361" s="2"/>
      <c r="B361" s="3"/>
      <c r="C361" s="3"/>
      <c r="D361" s="3"/>
      <c r="E361" s="4"/>
      <c r="F361" s="3"/>
      <c r="G361" s="5"/>
      <c r="H361" s="3"/>
      <c r="I361" s="5"/>
      <c r="J361" s="3"/>
      <c r="K361" s="5"/>
      <c r="L361" s="3"/>
      <c r="M361" s="5"/>
      <c r="N361" s="5"/>
    </row>
    <row r="362">
      <c r="A362" s="2"/>
      <c r="B362" s="3"/>
      <c r="C362" s="3"/>
      <c r="D362" s="3"/>
      <c r="E362" s="4"/>
      <c r="F362" s="3"/>
      <c r="G362" s="5"/>
      <c r="H362" s="3"/>
      <c r="I362" s="5"/>
      <c r="J362" s="3"/>
      <c r="K362" s="5"/>
      <c r="L362" s="3"/>
      <c r="M362" s="5"/>
      <c r="N362" s="5"/>
    </row>
    <row r="363">
      <c r="A363" s="2"/>
      <c r="B363" s="3"/>
      <c r="C363" s="3"/>
      <c r="D363" s="3"/>
      <c r="E363" s="4"/>
      <c r="F363" s="3"/>
      <c r="G363" s="5"/>
      <c r="H363" s="3"/>
      <c r="I363" s="5"/>
      <c r="J363" s="3"/>
      <c r="K363" s="5"/>
      <c r="L363" s="3"/>
      <c r="M363" s="5"/>
      <c r="N363" s="5"/>
    </row>
    <row r="364">
      <c r="A364" s="2"/>
      <c r="B364" s="3"/>
      <c r="C364" s="3"/>
      <c r="D364" s="3"/>
      <c r="E364" s="4"/>
      <c r="F364" s="3"/>
      <c r="G364" s="5"/>
      <c r="H364" s="3"/>
      <c r="I364" s="5"/>
      <c r="J364" s="3"/>
      <c r="K364" s="5"/>
      <c r="L364" s="3"/>
      <c r="M364" s="5"/>
      <c r="N364" s="5"/>
    </row>
    <row r="365">
      <c r="A365" s="2"/>
      <c r="B365" s="3"/>
      <c r="C365" s="3"/>
      <c r="D365" s="3"/>
      <c r="E365" s="4"/>
      <c r="F365" s="3"/>
      <c r="G365" s="5"/>
      <c r="H365" s="3"/>
      <c r="I365" s="5"/>
      <c r="J365" s="3"/>
      <c r="K365" s="5"/>
      <c r="L365" s="3"/>
      <c r="M365" s="5"/>
      <c r="N365" s="5"/>
    </row>
    <row r="366">
      <c r="A366" s="2"/>
      <c r="B366" s="3"/>
      <c r="C366" s="3"/>
      <c r="D366" s="3"/>
      <c r="E366" s="4"/>
      <c r="F366" s="3"/>
      <c r="G366" s="5"/>
      <c r="H366" s="3"/>
      <c r="I366" s="5"/>
      <c r="J366" s="3"/>
      <c r="K366" s="5"/>
      <c r="L366" s="3"/>
      <c r="M366" s="5"/>
      <c r="N366" s="5"/>
    </row>
    <row r="367">
      <c r="A367" s="2"/>
      <c r="B367" s="3"/>
      <c r="C367" s="3"/>
      <c r="D367" s="3"/>
      <c r="E367" s="4"/>
      <c r="F367" s="3"/>
      <c r="G367" s="5"/>
      <c r="H367" s="3"/>
      <c r="I367" s="5"/>
      <c r="J367" s="3"/>
      <c r="K367" s="5"/>
      <c r="L367" s="3"/>
      <c r="M367" s="5"/>
      <c r="N367" s="5"/>
    </row>
    <row r="368">
      <c r="A368" s="2"/>
      <c r="B368" s="3"/>
      <c r="C368" s="3"/>
      <c r="D368" s="3"/>
      <c r="E368" s="4"/>
      <c r="F368" s="3"/>
      <c r="G368" s="5"/>
      <c r="H368" s="3"/>
      <c r="I368" s="5"/>
      <c r="J368" s="3"/>
      <c r="K368" s="5"/>
      <c r="L368" s="3"/>
      <c r="M368" s="5"/>
      <c r="N368" s="5"/>
    </row>
    <row r="369">
      <c r="A369" s="2"/>
      <c r="B369" s="3"/>
      <c r="C369" s="3"/>
      <c r="D369" s="3"/>
      <c r="E369" s="4"/>
      <c r="F369" s="3"/>
      <c r="G369" s="5"/>
      <c r="H369" s="3"/>
      <c r="I369" s="5"/>
      <c r="J369" s="3"/>
      <c r="K369" s="5"/>
      <c r="L369" s="3"/>
      <c r="M369" s="5"/>
      <c r="N369" s="5"/>
    </row>
    <row r="370">
      <c r="A370" s="2"/>
      <c r="B370" s="3"/>
      <c r="C370" s="3"/>
      <c r="D370" s="3"/>
      <c r="E370" s="4"/>
      <c r="F370" s="3"/>
      <c r="G370" s="5"/>
      <c r="H370" s="3"/>
      <c r="I370" s="5"/>
      <c r="J370" s="3"/>
      <c r="K370" s="5"/>
      <c r="L370" s="3"/>
      <c r="M370" s="5"/>
      <c r="N370" s="5"/>
    </row>
    <row r="371">
      <c r="A371" s="2"/>
      <c r="B371" s="3"/>
      <c r="C371" s="3"/>
      <c r="D371" s="3"/>
      <c r="E371" s="4"/>
      <c r="F371" s="3"/>
      <c r="G371" s="5"/>
      <c r="H371" s="3"/>
      <c r="I371" s="5"/>
      <c r="J371" s="3"/>
      <c r="K371" s="5"/>
      <c r="L371" s="3"/>
      <c r="M371" s="5"/>
      <c r="N371" s="5"/>
    </row>
    <row r="372">
      <c r="A372" s="2"/>
      <c r="B372" s="3"/>
      <c r="C372" s="3"/>
      <c r="D372" s="3"/>
      <c r="E372" s="4"/>
      <c r="F372" s="3"/>
      <c r="G372" s="5"/>
      <c r="H372" s="3"/>
      <c r="I372" s="5"/>
      <c r="J372" s="3"/>
      <c r="K372" s="5"/>
      <c r="L372" s="3"/>
      <c r="M372" s="5"/>
      <c r="N372" s="5"/>
    </row>
    <row r="373">
      <c r="A373" s="2"/>
      <c r="B373" s="3"/>
      <c r="C373" s="3"/>
      <c r="D373" s="3"/>
      <c r="E373" s="4"/>
      <c r="F373" s="3"/>
      <c r="G373" s="5"/>
      <c r="H373" s="3"/>
      <c r="I373" s="5"/>
      <c r="J373" s="3"/>
      <c r="K373" s="5"/>
      <c r="L373" s="3"/>
      <c r="M373" s="5"/>
      <c r="N373" s="5"/>
    </row>
    <row r="374">
      <c r="A374" s="2"/>
      <c r="B374" s="3"/>
      <c r="C374" s="3"/>
      <c r="D374" s="3"/>
      <c r="E374" s="4"/>
      <c r="F374" s="3"/>
      <c r="G374" s="5"/>
      <c r="H374" s="3"/>
      <c r="I374" s="5"/>
      <c r="J374" s="3"/>
      <c r="K374" s="5"/>
      <c r="L374" s="3"/>
      <c r="M374" s="5"/>
      <c r="N374" s="5"/>
    </row>
    <row r="375">
      <c r="A375" s="2"/>
      <c r="B375" s="3"/>
      <c r="C375" s="3"/>
      <c r="D375" s="3"/>
      <c r="E375" s="4"/>
      <c r="F375" s="3"/>
      <c r="G375" s="5"/>
      <c r="H375" s="3"/>
      <c r="I375" s="5"/>
      <c r="J375" s="3"/>
      <c r="K375" s="5"/>
      <c r="L375" s="3"/>
      <c r="M375" s="5"/>
      <c r="N375" s="5"/>
    </row>
    <row r="376">
      <c r="A376" s="2"/>
      <c r="B376" s="3"/>
      <c r="C376" s="3"/>
      <c r="D376" s="3"/>
      <c r="E376" s="4"/>
      <c r="F376" s="3"/>
      <c r="G376" s="5"/>
      <c r="H376" s="3"/>
      <c r="I376" s="5"/>
      <c r="J376" s="3"/>
      <c r="K376" s="5"/>
      <c r="L376" s="3"/>
      <c r="M376" s="5"/>
      <c r="N376" s="5"/>
    </row>
    <row r="377">
      <c r="A377" s="2"/>
      <c r="B377" s="3"/>
      <c r="C377" s="3"/>
      <c r="D377" s="3"/>
      <c r="E377" s="4"/>
      <c r="F377" s="3"/>
      <c r="G377" s="5"/>
      <c r="H377" s="3"/>
      <c r="I377" s="5"/>
      <c r="J377" s="3"/>
      <c r="K377" s="5"/>
      <c r="L377" s="3"/>
      <c r="M377" s="5"/>
      <c r="N377" s="5"/>
    </row>
    <row r="378">
      <c r="A378" s="2"/>
      <c r="B378" s="3"/>
      <c r="C378" s="3"/>
      <c r="D378" s="3"/>
      <c r="E378" s="4"/>
      <c r="F378" s="3"/>
      <c r="G378" s="5"/>
      <c r="H378" s="3"/>
      <c r="I378" s="5"/>
      <c r="J378" s="3"/>
      <c r="K378" s="5"/>
      <c r="L378" s="3"/>
      <c r="M378" s="5"/>
      <c r="N378" s="5"/>
    </row>
    <row r="379">
      <c r="A379" s="2"/>
      <c r="B379" s="3"/>
      <c r="C379" s="3"/>
      <c r="D379" s="3"/>
      <c r="E379" s="4"/>
      <c r="F379" s="3"/>
      <c r="G379" s="5"/>
      <c r="H379" s="3"/>
      <c r="I379" s="5"/>
      <c r="J379" s="3"/>
      <c r="K379" s="5"/>
      <c r="L379" s="3"/>
      <c r="M379" s="5"/>
      <c r="N379" s="5"/>
    </row>
    <row r="380">
      <c r="A380" s="2"/>
      <c r="B380" s="3"/>
      <c r="C380" s="3"/>
      <c r="D380" s="3"/>
      <c r="E380" s="4"/>
      <c r="F380" s="3"/>
      <c r="G380" s="5"/>
      <c r="H380" s="3"/>
      <c r="I380" s="5"/>
      <c r="J380" s="3"/>
      <c r="K380" s="5"/>
      <c r="L380" s="3"/>
      <c r="M380" s="5"/>
      <c r="N380" s="5"/>
    </row>
    <row r="381">
      <c r="A381" s="2"/>
      <c r="B381" s="3"/>
      <c r="C381" s="3"/>
      <c r="D381" s="3"/>
      <c r="E381" s="4"/>
      <c r="F381" s="3"/>
      <c r="G381" s="5"/>
      <c r="H381" s="3"/>
      <c r="I381" s="5"/>
      <c r="J381" s="3"/>
      <c r="K381" s="5"/>
      <c r="L381" s="3"/>
      <c r="M381" s="5"/>
      <c r="N381" s="5"/>
    </row>
    <row r="382">
      <c r="A382" s="2"/>
      <c r="B382" s="3"/>
      <c r="C382" s="3"/>
      <c r="D382" s="3"/>
      <c r="E382" s="4"/>
      <c r="F382" s="3"/>
      <c r="G382" s="5"/>
      <c r="H382" s="3"/>
      <c r="I382" s="5"/>
      <c r="J382" s="3"/>
      <c r="K382" s="5"/>
      <c r="L382" s="3"/>
      <c r="M382" s="5"/>
      <c r="N382" s="5"/>
    </row>
    <row r="383">
      <c r="A383" s="2"/>
      <c r="B383" s="3"/>
      <c r="C383" s="3"/>
      <c r="D383" s="3"/>
      <c r="E383" s="4"/>
      <c r="F383" s="3"/>
      <c r="G383" s="5"/>
      <c r="H383" s="3"/>
      <c r="I383" s="5"/>
      <c r="J383" s="3"/>
      <c r="K383" s="5"/>
      <c r="L383" s="3"/>
      <c r="M383" s="5"/>
      <c r="N383" s="5"/>
    </row>
    <row r="384">
      <c r="A384" s="2"/>
      <c r="B384" s="3"/>
      <c r="C384" s="3"/>
      <c r="D384" s="3"/>
      <c r="E384" s="4"/>
      <c r="F384" s="3"/>
      <c r="G384" s="5"/>
      <c r="H384" s="3"/>
      <c r="I384" s="5"/>
      <c r="J384" s="3"/>
      <c r="K384" s="5"/>
      <c r="L384" s="3"/>
      <c r="M384" s="5"/>
      <c r="N384" s="5"/>
    </row>
    <row r="385">
      <c r="A385" s="2"/>
      <c r="B385" s="3"/>
      <c r="C385" s="3"/>
      <c r="D385" s="3"/>
      <c r="E385" s="4"/>
      <c r="F385" s="3"/>
      <c r="G385" s="5"/>
      <c r="H385" s="3"/>
      <c r="I385" s="5"/>
      <c r="J385" s="3"/>
      <c r="K385" s="5"/>
      <c r="L385" s="3"/>
      <c r="M385" s="5"/>
      <c r="N385" s="5"/>
    </row>
    <row r="386">
      <c r="A386" s="2"/>
      <c r="B386" s="3"/>
      <c r="C386" s="3"/>
      <c r="D386" s="3"/>
      <c r="E386" s="4"/>
      <c r="F386" s="3"/>
      <c r="G386" s="5"/>
      <c r="H386" s="3"/>
      <c r="I386" s="5"/>
      <c r="J386" s="3"/>
      <c r="K386" s="5"/>
      <c r="L386" s="3"/>
      <c r="M386" s="5"/>
      <c r="N386" s="5"/>
    </row>
    <row r="387">
      <c r="A387" s="2"/>
      <c r="B387" s="3"/>
      <c r="C387" s="3"/>
      <c r="D387" s="3"/>
      <c r="E387" s="4"/>
      <c r="F387" s="3"/>
      <c r="G387" s="5"/>
      <c r="H387" s="3"/>
      <c r="I387" s="5"/>
      <c r="J387" s="3"/>
      <c r="K387" s="5"/>
      <c r="L387" s="3"/>
      <c r="M387" s="5"/>
      <c r="N387" s="5"/>
    </row>
    <row r="388">
      <c r="A388" s="2"/>
      <c r="B388" s="3"/>
      <c r="C388" s="3"/>
      <c r="D388" s="3"/>
      <c r="E388" s="4"/>
      <c r="F388" s="3"/>
      <c r="G388" s="5"/>
      <c r="H388" s="3"/>
      <c r="I388" s="5"/>
      <c r="J388" s="3"/>
      <c r="K388" s="5"/>
      <c r="L388" s="3"/>
      <c r="M388" s="5"/>
      <c r="N388" s="5"/>
    </row>
    <row r="389">
      <c r="A389" s="2"/>
      <c r="B389" s="3"/>
      <c r="C389" s="3"/>
      <c r="D389" s="3"/>
      <c r="E389" s="4"/>
      <c r="F389" s="3"/>
      <c r="G389" s="5"/>
      <c r="H389" s="3"/>
      <c r="I389" s="5"/>
      <c r="J389" s="3"/>
      <c r="K389" s="5"/>
      <c r="L389" s="3"/>
      <c r="M389" s="5"/>
      <c r="N389" s="5"/>
    </row>
    <row r="390">
      <c r="A390" s="2"/>
      <c r="B390" s="3"/>
      <c r="C390" s="3"/>
      <c r="D390" s="3"/>
      <c r="E390" s="4"/>
      <c r="F390" s="3"/>
      <c r="G390" s="5"/>
      <c r="H390" s="3"/>
      <c r="I390" s="5"/>
      <c r="J390" s="3"/>
      <c r="K390" s="5"/>
      <c r="L390" s="3"/>
      <c r="M390" s="5"/>
      <c r="N390" s="5"/>
    </row>
    <row r="391">
      <c r="A391" s="2"/>
      <c r="B391" s="3"/>
      <c r="C391" s="3"/>
      <c r="D391" s="3"/>
      <c r="E391" s="4"/>
      <c r="F391" s="3"/>
      <c r="G391" s="5"/>
      <c r="H391" s="3"/>
      <c r="I391" s="5"/>
      <c r="J391" s="3"/>
      <c r="K391" s="5"/>
      <c r="L391" s="3"/>
      <c r="M391" s="5"/>
      <c r="N391" s="5"/>
    </row>
    <row r="392">
      <c r="A392" s="2"/>
      <c r="B392" s="3"/>
      <c r="C392" s="3"/>
      <c r="D392" s="3"/>
      <c r="E392" s="4"/>
      <c r="F392" s="3"/>
      <c r="G392" s="5"/>
      <c r="H392" s="3"/>
      <c r="I392" s="5"/>
      <c r="J392" s="3"/>
      <c r="K392" s="5"/>
      <c r="L392" s="3"/>
      <c r="M392" s="5"/>
      <c r="N392" s="5"/>
    </row>
    <row r="393">
      <c r="A393" s="2"/>
      <c r="B393" s="3"/>
      <c r="C393" s="3"/>
      <c r="D393" s="3"/>
      <c r="E393" s="4"/>
      <c r="F393" s="3"/>
      <c r="G393" s="5"/>
      <c r="H393" s="3"/>
      <c r="I393" s="5"/>
      <c r="J393" s="3"/>
      <c r="K393" s="5"/>
      <c r="L393" s="3"/>
      <c r="M393" s="5"/>
      <c r="N393" s="5"/>
    </row>
    <row r="394">
      <c r="A394" s="2"/>
      <c r="B394" s="3"/>
      <c r="C394" s="3"/>
      <c r="D394" s="3"/>
      <c r="E394" s="4"/>
      <c r="F394" s="3"/>
      <c r="G394" s="5"/>
      <c r="H394" s="3"/>
      <c r="I394" s="5"/>
      <c r="J394" s="3"/>
      <c r="K394" s="5"/>
      <c r="L394" s="3"/>
      <c r="M394" s="5"/>
      <c r="N394" s="5"/>
    </row>
    <row r="395">
      <c r="A395" s="2"/>
      <c r="B395" s="3"/>
      <c r="C395" s="3"/>
      <c r="D395" s="3"/>
      <c r="E395" s="4"/>
      <c r="F395" s="3"/>
      <c r="G395" s="5"/>
      <c r="H395" s="3"/>
      <c r="I395" s="5"/>
      <c r="J395" s="3"/>
      <c r="K395" s="5"/>
      <c r="L395" s="3"/>
      <c r="M395" s="5"/>
      <c r="N395" s="5"/>
    </row>
    <row r="396">
      <c r="A396" s="2"/>
      <c r="B396" s="3"/>
      <c r="C396" s="3"/>
      <c r="D396" s="3"/>
      <c r="E396" s="4"/>
      <c r="F396" s="3"/>
      <c r="G396" s="5"/>
      <c r="H396" s="3"/>
      <c r="I396" s="5"/>
      <c r="J396" s="3"/>
      <c r="K396" s="5"/>
      <c r="L396" s="3"/>
      <c r="M396" s="5"/>
      <c r="N396" s="5"/>
    </row>
    <row r="397">
      <c r="A397" s="2"/>
      <c r="B397" s="3"/>
      <c r="C397" s="3"/>
      <c r="D397" s="3"/>
      <c r="E397" s="4"/>
      <c r="F397" s="3"/>
      <c r="G397" s="5"/>
      <c r="H397" s="3"/>
      <c r="I397" s="5"/>
      <c r="J397" s="3"/>
      <c r="K397" s="5"/>
      <c r="L397" s="3"/>
      <c r="M397" s="5"/>
      <c r="N397" s="5"/>
    </row>
    <row r="398">
      <c r="A398" s="2"/>
      <c r="B398" s="3"/>
      <c r="C398" s="3"/>
      <c r="D398" s="3"/>
      <c r="E398" s="4"/>
      <c r="F398" s="3"/>
      <c r="G398" s="5"/>
      <c r="H398" s="3"/>
      <c r="I398" s="5"/>
      <c r="J398" s="3"/>
      <c r="K398" s="5"/>
      <c r="L398" s="3"/>
      <c r="M398" s="5"/>
      <c r="N398" s="5"/>
    </row>
    <row r="399">
      <c r="A399" s="2"/>
      <c r="B399" s="3"/>
      <c r="C399" s="3"/>
      <c r="D399" s="3"/>
      <c r="E399" s="4"/>
      <c r="F399" s="3"/>
      <c r="G399" s="5"/>
      <c r="H399" s="3"/>
      <c r="I399" s="5"/>
      <c r="J399" s="3"/>
      <c r="K399" s="5"/>
      <c r="L399" s="3"/>
      <c r="M399" s="5"/>
      <c r="N399" s="5"/>
    </row>
    <row r="400">
      <c r="A400" s="2"/>
      <c r="B400" s="3"/>
      <c r="C400" s="3"/>
      <c r="D400" s="3"/>
      <c r="E400" s="4"/>
      <c r="F400" s="3"/>
      <c r="G400" s="5"/>
      <c r="H400" s="3"/>
      <c r="I400" s="5"/>
      <c r="J400" s="3"/>
      <c r="K400" s="5"/>
      <c r="L400" s="3"/>
      <c r="M400" s="5"/>
      <c r="N400" s="5"/>
    </row>
    <row r="401">
      <c r="A401" s="2"/>
      <c r="B401" s="3"/>
      <c r="C401" s="3"/>
      <c r="D401" s="3"/>
      <c r="E401" s="4"/>
      <c r="F401" s="3"/>
      <c r="G401" s="5"/>
      <c r="H401" s="3"/>
      <c r="I401" s="5"/>
      <c r="J401" s="3"/>
      <c r="K401" s="5"/>
      <c r="L401" s="3"/>
      <c r="M401" s="5"/>
      <c r="N401" s="5"/>
    </row>
    <row r="402">
      <c r="A402" s="2"/>
      <c r="B402" s="3"/>
      <c r="C402" s="3"/>
      <c r="D402" s="3"/>
      <c r="E402" s="4"/>
      <c r="F402" s="3"/>
      <c r="G402" s="5"/>
      <c r="H402" s="3"/>
      <c r="I402" s="5"/>
      <c r="J402" s="3"/>
      <c r="K402" s="5"/>
      <c r="L402" s="3"/>
      <c r="M402" s="5"/>
      <c r="N402" s="5"/>
    </row>
    <row r="403">
      <c r="A403" s="2"/>
      <c r="B403" s="3"/>
      <c r="C403" s="3"/>
      <c r="D403" s="3"/>
      <c r="E403" s="4"/>
      <c r="F403" s="3"/>
      <c r="G403" s="5"/>
      <c r="H403" s="3"/>
      <c r="I403" s="5"/>
      <c r="J403" s="3"/>
      <c r="K403" s="5"/>
      <c r="L403" s="3"/>
      <c r="M403" s="5"/>
      <c r="N403" s="5"/>
    </row>
    <row r="404">
      <c r="A404" s="2"/>
      <c r="B404" s="3"/>
      <c r="C404" s="3"/>
      <c r="D404" s="3"/>
      <c r="E404" s="4"/>
      <c r="F404" s="3"/>
      <c r="G404" s="5"/>
      <c r="H404" s="3"/>
      <c r="I404" s="5"/>
      <c r="J404" s="3"/>
      <c r="K404" s="5"/>
      <c r="L404" s="3"/>
      <c r="M404" s="5"/>
      <c r="N404" s="5"/>
    </row>
    <row r="405">
      <c r="A405" s="2"/>
      <c r="B405" s="3"/>
      <c r="C405" s="3"/>
      <c r="D405" s="3"/>
      <c r="E405" s="4"/>
      <c r="F405" s="3"/>
      <c r="G405" s="5"/>
      <c r="H405" s="3"/>
      <c r="I405" s="5"/>
      <c r="J405" s="3"/>
      <c r="K405" s="5"/>
      <c r="L405" s="3"/>
      <c r="M405" s="5"/>
      <c r="N405" s="5"/>
    </row>
    <row r="406">
      <c r="A406" s="2"/>
      <c r="B406" s="3"/>
      <c r="C406" s="3"/>
      <c r="D406" s="3"/>
      <c r="E406" s="4"/>
      <c r="F406" s="3"/>
      <c r="G406" s="5"/>
      <c r="H406" s="3"/>
      <c r="I406" s="5"/>
      <c r="J406" s="3"/>
      <c r="K406" s="5"/>
      <c r="L406" s="3"/>
      <c r="M406" s="5"/>
      <c r="N406" s="5"/>
    </row>
    <row r="407">
      <c r="A407" s="2"/>
      <c r="B407" s="3"/>
      <c r="C407" s="3"/>
      <c r="D407" s="3"/>
      <c r="E407" s="4"/>
      <c r="F407" s="3"/>
      <c r="G407" s="5"/>
      <c r="H407" s="3"/>
      <c r="I407" s="5"/>
      <c r="J407" s="3"/>
      <c r="K407" s="5"/>
      <c r="L407" s="3"/>
      <c r="M407" s="5"/>
      <c r="N407" s="5"/>
    </row>
    <row r="408">
      <c r="A408" s="2"/>
      <c r="B408" s="3"/>
      <c r="C408" s="3"/>
      <c r="D408" s="3"/>
      <c r="E408" s="4"/>
      <c r="F408" s="3"/>
      <c r="G408" s="5"/>
      <c r="H408" s="3"/>
      <c r="I408" s="5"/>
      <c r="J408" s="3"/>
      <c r="K408" s="5"/>
      <c r="L408" s="3"/>
      <c r="M408" s="5"/>
      <c r="N408" s="5"/>
    </row>
    <row r="409">
      <c r="A409" s="2"/>
      <c r="B409" s="3"/>
      <c r="C409" s="3"/>
      <c r="D409" s="3"/>
      <c r="E409" s="4"/>
      <c r="F409" s="3"/>
      <c r="G409" s="5"/>
      <c r="H409" s="3"/>
      <c r="I409" s="5"/>
      <c r="J409" s="3"/>
      <c r="K409" s="5"/>
      <c r="L409" s="3"/>
      <c r="M409" s="5"/>
      <c r="N409" s="5"/>
    </row>
    <row r="410">
      <c r="A410" s="2"/>
      <c r="B410" s="3"/>
      <c r="C410" s="3"/>
      <c r="D410" s="3"/>
      <c r="E410" s="4"/>
      <c r="F410" s="3"/>
      <c r="G410" s="5"/>
      <c r="H410" s="3"/>
      <c r="I410" s="5"/>
      <c r="J410" s="3"/>
      <c r="K410" s="5"/>
      <c r="L410" s="3"/>
      <c r="M410" s="5"/>
      <c r="N410" s="5"/>
    </row>
    <row r="411">
      <c r="A411" s="2"/>
      <c r="B411" s="3"/>
      <c r="C411" s="3"/>
      <c r="D411" s="3"/>
      <c r="E411" s="4"/>
      <c r="F411" s="3"/>
      <c r="G411" s="5"/>
      <c r="H411" s="3"/>
      <c r="I411" s="5"/>
      <c r="J411" s="3"/>
      <c r="K411" s="5"/>
      <c r="L411" s="3"/>
      <c r="M411" s="5"/>
      <c r="N411" s="5"/>
    </row>
    <row r="412">
      <c r="A412" s="2"/>
      <c r="B412" s="3"/>
      <c r="C412" s="3"/>
      <c r="D412" s="3"/>
      <c r="E412" s="4"/>
      <c r="F412" s="3"/>
      <c r="G412" s="5"/>
      <c r="H412" s="3"/>
      <c r="I412" s="5"/>
      <c r="J412" s="3"/>
      <c r="K412" s="5"/>
      <c r="L412" s="3"/>
      <c r="M412" s="5"/>
      <c r="N412" s="5"/>
    </row>
    <row r="413">
      <c r="A413" s="2"/>
      <c r="B413" s="3"/>
      <c r="C413" s="3"/>
      <c r="D413" s="3"/>
      <c r="E413" s="4"/>
      <c r="F413" s="3"/>
      <c r="G413" s="5"/>
      <c r="H413" s="3"/>
      <c r="I413" s="5"/>
      <c r="J413" s="3"/>
      <c r="K413" s="5"/>
      <c r="L413" s="3"/>
      <c r="M413" s="5"/>
      <c r="N413" s="5"/>
    </row>
    <row r="414">
      <c r="A414" s="2"/>
      <c r="B414" s="3"/>
      <c r="C414" s="3"/>
      <c r="D414" s="3"/>
      <c r="E414" s="4"/>
      <c r="F414" s="3"/>
      <c r="G414" s="5"/>
      <c r="H414" s="3"/>
      <c r="I414" s="5"/>
      <c r="J414" s="3"/>
      <c r="K414" s="5"/>
      <c r="L414" s="3"/>
      <c r="M414" s="5"/>
      <c r="N414" s="5"/>
    </row>
    <row r="415">
      <c r="A415" s="2"/>
      <c r="B415" s="3"/>
      <c r="C415" s="3"/>
      <c r="D415" s="3"/>
      <c r="E415" s="4"/>
      <c r="F415" s="3"/>
      <c r="G415" s="5"/>
      <c r="H415" s="3"/>
      <c r="I415" s="5"/>
      <c r="J415" s="3"/>
      <c r="K415" s="5"/>
      <c r="L415" s="3"/>
      <c r="M415" s="5"/>
      <c r="N415" s="5"/>
    </row>
    <row r="416">
      <c r="A416" s="2"/>
      <c r="B416" s="3"/>
      <c r="C416" s="3"/>
      <c r="D416" s="3"/>
      <c r="E416" s="4"/>
      <c r="F416" s="3"/>
      <c r="G416" s="5"/>
      <c r="H416" s="3"/>
      <c r="I416" s="5"/>
      <c r="J416" s="3"/>
      <c r="K416" s="5"/>
      <c r="L416" s="3"/>
      <c r="M416" s="5"/>
      <c r="N416" s="5"/>
    </row>
    <row r="417">
      <c r="A417" s="2"/>
      <c r="B417" s="3"/>
      <c r="C417" s="3"/>
      <c r="D417" s="3"/>
      <c r="E417" s="4"/>
      <c r="F417" s="3"/>
      <c r="G417" s="5"/>
      <c r="H417" s="3"/>
      <c r="I417" s="5"/>
      <c r="J417" s="3"/>
      <c r="K417" s="5"/>
      <c r="L417" s="3"/>
      <c r="M417" s="5"/>
      <c r="N417" s="5"/>
    </row>
    <row r="418">
      <c r="A418" s="2"/>
      <c r="B418" s="3"/>
      <c r="C418" s="3"/>
      <c r="D418" s="3"/>
      <c r="E418" s="4"/>
      <c r="F418" s="3"/>
      <c r="G418" s="5"/>
      <c r="H418" s="3"/>
      <c r="I418" s="5"/>
      <c r="J418" s="3"/>
      <c r="K418" s="5"/>
      <c r="L418" s="3"/>
      <c r="M418" s="5"/>
      <c r="N418" s="5"/>
    </row>
    <row r="419">
      <c r="A419" s="2"/>
      <c r="B419" s="3"/>
      <c r="C419" s="3"/>
      <c r="D419" s="3"/>
      <c r="E419" s="4"/>
      <c r="F419" s="3"/>
      <c r="G419" s="5"/>
      <c r="H419" s="3"/>
      <c r="I419" s="5"/>
      <c r="J419" s="3"/>
      <c r="K419" s="5"/>
      <c r="L419" s="3"/>
      <c r="M419" s="5"/>
      <c r="N419" s="5"/>
    </row>
    <row r="420">
      <c r="A420" s="2"/>
      <c r="B420" s="3"/>
      <c r="C420" s="3"/>
      <c r="D420" s="3"/>
      <c r="E420" s="4"/>
      <c r="F420" s="3"/>
      <c r="G420" s="5"/>
      <c r="H420" s="3"/>
      <c r="I420" s="5"/>
      <c r="J420" s="3"/>
      <c r="K420" s="5"/>
      <c r="L420" s="3"/>
      <c r="M420" s="5"/>
      <c r="N420" s="5"/>
    </row>
    <row r="421">
      <c r="A421" s="2"/>
      <c r="B421" s="3"/>
      <c r="C421" s="3"/>
      <c r="D421" s="3"/>
      <c r="E421" s="4"/>
      <c r="F421" s="3"/>
      <c r="G421" s="5"/>
      <c r="H421" s="3"/>
      <c r="I421" s="5"/>
      <c r="J421" s="3"/>
      <c r="K421" s="5"/>
      <c r="L421" s="3"/>
      <c r="M421" s="5"/>
      <c r="N421" s="5"/>
    </row>
    <row r="422">
      <c r="A422" s="2"/>
      <c r="B422" s="3"/>
      <c r="C422" s="3"/>
      <c r="D422" s="3"/>
      <c r="E422" s="4"/>
      <c r="F422" s="3"/>
      <c r="G422" s="5"/>
      <c r="H422" s="3"/>
      <c r="I422" s="5"/>
      <c r="J422" s="3"/>
      <c r="K422" s="5"/>
      <c r="L422" s="3"/>
      <c r="M422" s="5"/>
      <c r="N422" s="5"/>
    </row>
    <row r="423">
      <c r="A423" s="2"/>
      <c r="B423" s="3"/>
      <c r="C423" s="3"/>
      <c r="D423" s="3"/>
      <c r="E423" s="4"/>
      <c r="F423" s="3"/>
      <c r="G423" s="5"/>
      <c r="H423" s="3"/>
      <c r="I423" s="5"/>
      <c r="J423" s="3"/>
      <c r="K423" s="5"/>
      <c r="L423" s="3"/>
      <c r="M423" s="5"/>
      <c r="N423" s="5"/>
    </row>
    <row r="424">
      <c r="A424" s="2"/>
      <c r="B424" s="3"/>
      <c r="C424" s="3"/>
      <c r="D424" s="3"/>
      <c r="E424" s="4"/>
      <c r="F424" s="3"/>
      <c r="G424" s="5"/>
      <c r="H424" s="3"/>
      <c r="I424" s="5"/>
      <c r="J424" s="3"/>
      <c r="K424" s="5"/>
      <c r="L424" s="3"/>
      <c r="M424" s="5"/>
      <c r="N424" s="5"/>
    </row>
    <row r="425">
      <c r="A425" s="2"/>
      <c r="B425" s="3"/>
      <c r="C425" s="3"/>
      <c r="D425" s="3"/>
      <c r="E425" s="4"/>
      <c r="F425" s="3"/>
      <c r="G425" s="5"/>
      <c r="H425" s="3"/>
      <c r="I425" s="5"/>
      <c r="J425" s="3"/>
      <c r="K425" s="5"/>
      <c r="L425" s="3"/>
      <c r="M425" s="5"/>
      <c r="N425" s="5"/>
    </row>
    <row r="426">
      <c r="A426" s="2"/>
      <c r="B426" s="3"/>
      <c r="C426" s="3"/>
      <c r="D426" s="3"/>
      <c r="E426" s="4"/>
      <c r="F426" s="3"/>
      <c r="G426" s="5"/>
      <c r="H426" s="3"/>
      <c r="I426" s="5"/>
      <c r="J426" s="3"/>
      <c r="K426" s="5"/>
      <c r="L426" s="3"/>
      <c r="M426" s="5"/>
      <c r="N426" s="5"/>
    </row>
    <row r="427">
      <c r="A427" s="2"/>
      <c r="B427" s="3"/>
      <c r="C427" s="3"/>
      <c r="D427" s="3"/>
      <c r="E427" s="4"/>
      <c r="F427" s="3"/>
      <c r="G427" s="5"/>
      <c r="H427" s="3"/>
      <c r="I427" s="5"/>
      <c r="J427" s="3"/>
      <c r="K427" s="5"/>
      <c r="L427" s="3"/>
      <c r="M427" s="5"/>
      <c r="N427" s="5"/>
    </row>
    <row r="428">
      <c r="A428" s="2"/>
      <c r="B428" s="3"/>
      <c r="C428" s="3"/>
      <c r="D428" s="3"/>
      <c r="E428" s="4"/>
      <c r="F428" s="3"/>
      <c r="G428" s="5"/>
      <c r="H428" s="3"/>
      <c r="I428" s="5"/>
      <c r="J428" s="3"/>
      <c r="K428" s="5"/>
      <c r="L428" s="3"/>
      <c r="M428" s="5"/>
      <c r="N428" s="5"/>
    </row>
    <row r="429">
      <c r="A429" s="2"/>
      <c r="B429" s="3"/>
      <c r="C429" s="3"/>
      <c r="D429" s="3"/>
      <c r="E429" s="4"/>
      <c r="F429" s="3"/>
      <c r="G429" s="5"/>
      <c r="H429" s="3"/>
      <c r="I429" s="5"/>
      <c r="J429" s="3"/>
      <c r="K429" s="5"/>
      <c r="L429" s="3"/>
      <c r="M429" s="5"/>
      <c r="N429" s="5"/>
    </row>
    <row r="430">
      <c r="A430" s="2"/>
      <c r="B430" s="3"/>
      <c r="C430" s="3"/>
      <c r="D430" s="3"/>
      <c r="E430" s="4"/>
      <c r="F430" s="3"/>
      <c r="G430" s="5"/>
      <c r="H430" s="3"/>
      <c r="I430" s="5"/>
      <c r="J430" s="3"/>
      <c r="K430" s="5"/>
      <c r="L430" s="3"/>
      <c r="M430" s="5"/>
      <c r="N430" s="5"/>
    </row>
    <row r="431">
      <c r="A431" s="2"/>
      <c r="B431" s="3"/>
      <c r="C431" s="3"/>
      <c r="D431" s="3"/>
      <c r="E431" s="4"/>
      <c r="F431" s="3"/>
      <c r="G431" s="5"/>
      <c r="H431" s="3"/>
      <c r="I431" s="5"/>
      <c r="J431" s="3"/>
      <c r="K431" s="5"/>
      <c r="L431" s="3"/>
      <c r="M431" s="5"/>
      <c r="N431" s="5"/>
    </row>
    <row r="432">
      <c r="A432" s="2"/>
      <c r="B432" s="3"/>
      <c r="C432" s="3"/>
      <c r="D432" s="3"/>
      <c r="E432" s="4"/>
      <c r="F432" s="3"/>
      <c r="G432" s="5"/>
      <c r="H432" s="3"/>
      <c r="I432" s="5"/>
      <c r="J432" s="3"/>
      <c r="K432" s="5"/>
      <c r="L432" s="3"/>
      <c r="M432" s="5"/>
      <c r="N432" s="5"/>
    </row>
    <row r="433">
      <c r="A433" s="2"/>
      <c r="B433" s="3"/>
      <c r="C433" s="3"/>
      <c r="D433" s="3"/>
      <c r="E433" s="4"/>
      <c r="F433" s="3"/>
      <c r="G433" s="5"/>
      <c r="H433" s="3"/>
      <c r="I433" s="5"/>
      <c r="J433" s="3"/>
      <c r="K433" s="5"/>
      <c r="L433" s="3"/>
      <c r="M433" s="5"/>
      <c r="N433" s="5"/>
    </row>
    <row r="434">
      <c r="A434" s="2"/>
      <c r="B434" s="3"/>
      <c r="C434" s="3"/>
      <c r="D434" s="3"/>
      <c r="E434" s="4"/>
      <c r="F434" s="3"/>
      <c r="G434" s="5"/>
      <c r="H434" s="3"/>
      <c r="I434" s="5"/>
      <c r="J434" s="3"/>
      <c r="K434" s="5"/>
      <c r="L434" s="3"/>
      <c r="M434" s="5"/>
      <c r="N434" s="5"/>
    </row>
    <row r="435">
      <c r="A435" s="2"/>
      <c r="B435" s="3"/>
      <c r="C435" s="3"/>
      <c r="D435" s="3"/>
      <c r="E435" s="4"/>
      <c r="F435" s="3"/>
      <c r="G435" s="5"/>
      <c r="H435" s="3"/>
      <c r="I435" s="5"/>
      <c r="J435" s="3"/>
      <c r="K435" s="5"/>
      <c r="L435" s="3"/>
      <c r="M435" s="5"/>
      <c r="N435" s="5"/>
    </row>
    <row r="436">
      <c r="A436" s="2"/>
      <c r="B436" s="3"/>
      <c r="C436" s="3"/>
      <c r="D436" s="3"/>
      <c r="E436" s="4"/>
      <c r="F436" s="3"/>
      <c r="G436" s="5"/>
      <c r="H436" s="3"/>
      <c r="I436" s="5"/>
      <c r="J436" s="3"/>
      <c r="K436" s="5"/>
      <c r="L436" s="3"/>
      <c r="M436" s="5"/>
      <c r="N436" s="5"/>
    </row>
    <row r="437">
      <c r="A437" s="2"/>
      <c r="B437" s="3"/>
      <c r="C437" s="3"/>
      <c r="D437" s="3"/>
      <c r="E437" s="4"/>
      <c r="F437" s="3"/>
      <c r="G437" s="5"/>
      <c r="H437" s="3"/>
      <c r="I437" s="5"/>
      <c r="J437" s="3"/>
      <c r="K437" s="5"/>
      <c r="L437" s="3"/>
      <c r="M437" s="5"/>
      <c r="N437" s="5"/>
    </row>
    <row r="438">
      <c r="A438" s="2"/>
      <c r="B438" s="3"/>
      <c r="C438" s="3"/>
      <c r="D438" s="3"/>
      <c r="E438" s="4"/>
      <c r="F438" s="3"/>
      <c r="G438" s="5"/>
      <c r="H438" s="3"/>
      <c r="I438" s="5"/>
      <c r="J438" s="3"/>
      <c r="K438" s="5"/>
      <c r="L438" s="3"/>
      <c r="M438" s="5"/>
      <c r="N438" s="5"/>
    </row>
    <row r="439">
      <c r="A439" s="2"/>
      <c r="B439" s="3"/>
      <c r="C439" s="3"/>
      <c r="D439" s="3"/>
      <c r="E439" s="4"/>
      <c r="F439" s="3"/>
      <c r="G439" s="5"/>
      <c r="H439" s="3"/>
      <c r="I439" s="5"/>
      <c r="J439" s="3"/>
      <c r="K439" s="5"/>
      <c r="L439" s="3"/>
      <c r="M439" s="5"/>
      <c r="N439" s="5"/>
    </row>
    <row r="440">
      <c r="A440" s="2"/>
      <c r="B440" s="3"/>
      <c r="C440" s="3"/>
      <c r="D440" s="3"/>
      <c r="E440" s="4"/>
      <c r="F440" s="3"/>
      <c r="G440" s="5"/>
      <c r="H440" s="3"/>
      <c r="I440" s="5"/>
      <c r="J440" s="3"/>
      <c r="K440" s="5"/>
      <c r="L440" s="3"/>
      <c r="M440" s="5"/>
      <c r="N440" s="5"/>
    </row>
    <row r="441">
      <c r="A441" s="2"/>
      <c r="B441" s="3"/>
      <c r="C441" s="3"/>
      <c r="D441" s="3"/>
      <c r="E441" s="4"/>
      <c r="F441" s="3"/>
      <c r="G441" s="5"/>
      <c r="H441" s="3"/>
      <c r="I441" s="5"/>
      <c r="J441" s="3"/>
      <c r="K441" s="5"/>
      <c r="L441" s="3"/>
      <c r="M441" s="5"/>
      <c r="N441" s="5"/>
    </row>
    <row r="442">
      <c r="A442" s="2"/>
      <c r="B442" s="3"/>
      <c r="C442" s="3"/>
      <c r="D442" s="3"/>
      <c r="E442" s="4"/>
      <c r="F442" s="3"/>
      <c r="G442" s="5"/>
      <c r="H442" s="3"/>
      <c r="I442" s="5"/>
      <c r="J442" s="3"/>
      <c r="K442" s="5"/>
      <c r="L442" s="3"/>
      <c r="M442" s="5"/>
      <c r="N442" s="5"/>
    </row>
    <row r="443">
      <c r="A443" s="2"/>
      <c r="B443" s="3"/>
      <c r="C443" s="3"/>
      <c r="D443" s="3"/>
      <c r="E443" s="4"/>
      <c r="F443" s="3"/>
      <c r="G443" s="5"/>
      <c r="H443" s="3"/>
      <c r="I443" s="5"/>
      <c r="J443" s="3"/>
      <c r="K443" s="5"/>
      <c r="L443" s="3"/>
      <c r="M443" s="5"/>
      <c r="N443" s="5"/>
    </row>
    <row r="444">
      <c r="A444" s="2"/>
      <c r="B444" s="3"/>
      <c r="C444" s="3"/>
      <c r="D444" s="3"/>
      <c r="E444" s="4"/>
      <c r="F444" s="3"/>
      <c r="G444" s="5"/>
      <c r="H444" s="3"/>
      <c r="I444" s="5"/>
      <c r="J444" s="3"/>
      <c r="K444" s="5"/>
      <c r="L444" s="3"/>
      <c r="M444" s="5"/>
      <c r="N444" s="5"/>
    </row>
    <row r="445">
      <c r="A445" s="2"/>
      <c r="B445" s="3"/>
      <c r="C445" s="3"/>
      <c r="D445" s="3"/>
      <c r="E445" s="4"/>
      <c r="F445" s="3"/>
      <c r="G445" s="5"/>
      <c r="H445" s="3"/>
      <c r="I445" s="5"/>
      <c r="J445" s="3"/>
      <c r="K445" s="5"/>
      <c r="L445" s="3"/>
      <c r="M445" s="5"/>
      <c r="N445" s="5"/>
    </row>
    <row r="446">
      <c r="A446" s="2"/>
      <c r="B446" s="3"/>
      <c r="C446" s="3"/>
      <c r="D446" s="3"/>
      <c r="E446" s="4"/>
      <c r="F446" s="3"/>
      <c r="G446" s="5"/>
      <c r="H446" s="3"/>
      <c r="I446" s="5"/>
      <c r="J446" s="3"/>
      <c r="K446" s="5"/>
      <c r="L446" s="3"/>
      <c r="M446" s="5"/>
      <c r="N446" s="5"/>
    </row>
    <row r="447">
      <c r="A447" s="2"/>
      <c r="B447" s="3"/>
      <c r="C447" s="3"/>
      <c r="D447" s="3"/>
      <c r="E447" s="4"/>
      <c r="F447" s="3"/>
      <c r="G447" s="5"/>
      <c r="H447" s="3"/>
      <c r="I447" s="5"/>
      <c r="J447" s="3"/>
      <c r="K447" s="5"/>
      <c r="L447" s="3"/>
      <c r="M447" s="5"/>
      <c r="N447" s="5"/>
    </row>
    <row r="448">
      <c r="A448" s="2"/>
      <c r="B448" s="3"/>
      <c r="C448" s="3"/>
      <c r="D448" s="3"/>
      <c r="E448" s="4"/>
      <c r="F448" s="3"/>
      <c r="G448" s="5"/>
      <c r="H448" s="3"/>
      <c r="I448" s="5"/>
      <c r="J448" s="3"/>
      <c r="K448" s="5"/>
      <c r="L448" s="3"/>
      <c r="M448" s="5"/>
      <c r="N448" s="5"/>
    </row>
    <row r="449">
      <c r="A449" s="2"/>
      <c r="B449" s="3"/>
      <c r="C449" s="3"/>
      <c r="D449" s="3"/>
      <c r="E449" s="4"/>
      <c r="F449" s="3"/>
      <c r="G449" s="5"/>
      <c r="H449" s="3"/>
      <c r="I449" s="5"/>
      <c r="J449" s="3"/>
      <c r="K449" s="5"/>
      <c r="L449" s="3"/>
      <c r="M449" s="5"/>
      <c r="N449" s="5"/>
    </row>
    <row r="450">
      <c r="A450" s="2"/>
      <c r="B450" s="3"/>
      <c r="C450" s="3"/>
      <c r="D450" s="3"/>
      <c r="E450" s="4"/>
      <c r="F450" s="3"/>
      <c r="G450" s="5"/>
      <c r="H450" s="3"/>
      <c r="I450" s="5"/>
      <c r="J450" s="3"/>
      <c r="K450" s="5"/>
      <c r="L450" s="3"/>
      <c r="M450" s="5"/>
      <c r="N450" s="5"/>
    </row>
    <row r="451">
      <c r="A451" s="2"/>
      <c r="B451" s="3"/>
      <c r="C451" s="3"/>
      <c r="D451" s="3"/>
      <c r="E451" s="4"/>
      <c r="F451" s="3"/>
      <c r="G451" s="5"/>
      <c r="H451" s="3"/>
      <c r="I451" s="5"/>
      <c r="J451" s="3"/>
      <c r="K451" s="5"/>
      <c r="L451" s="3"/>
      <c r="M451" s="5"/>
      <c r="N451" s="5"/>
    </row>
    <row r="452">
      <c r="A452" s="2"/>
      <c r="B452" s="3"/>
      <c r="C452" s="3"/>
      <c r="D452" s="3"/>
      <c r="E452" s="4"/>
      <c r="F452" s="3"/>
      <c r="G452" s="5"/>
      <c r="H452" s="3"/>
      <c r="I452" s="5"/>
      <c r="J452" s="3"/>
      <c r="K452" s="5"/>
      <c r="L452" s="3"/>
      <c r="M452" s="5"/>
      <c r="N452" s="5"/>
    </row>
    <row r="453">
      <c r="A453" s="2"/>
      <c r="B453" s="3"/>
      <c r="C453" s="3"/>
      <c r="D453" s="3"/>
      <c r="E453" s="4"/>
      <c r="F453" s="3"/>
      <c r="G453" s="5"/>
      <c r="H453" s="3"/>
      <c r="I453" s="5"/>
      <c r="J453" s="3"/>
      <c r="K453" s="5"/>
      <c r="L453" s="3"/>
      <c r="M453" s="5"/>
      <c r="N453" s="5"/>
    </row>
    <row r="454">
      <c r="A454" s="2"/>
      <c r="B454" s="3"/>
      <c r="C454" s="3"/>
      <c r="D454" s="3"/>
      <c r="E454" s="4"/>
      <c r="F454" s="3"/>
      <c r="G454" s="5"/>
      <c r="H454" s="3"/>
      <c r="I454" s="5"/>
      <c r="J454" s="3"/>
      <c r="K454" s="5"/>
      <c r="L454" s="3"/>
      <c r="M454" s="5"/>
      <c r="N454" s="5"/>
    </row>
    <row r="455">
      <c r="A455" s="2"/>
      <c r="B455" s="3"/>
      <c r="C455" s="3"/>
      <c r="D455" s="3"/>
      <c r="E455" s="4"/>
      <c r="F455" s="3"/>
      <c r="G455" s="5"/>
      <c r="H455" s="3"/>
      <c r="I455" s="5"/>
      <c r="J455" s="3"/>
      <c r="K455" s="5"/>
      <c r="L455" s="3"/>
      <c r="M455" s="5"/>
      <c r="N455" s="5"/>
    </row>
    <row r="456">
      <c r="A456" s="2"/>
      <c r="B456" s="3"/>
      <c r="C456" s="3"/>
      <c r="D456" s="3"/>
      <c r="E456" s="4"/>
      <c r="F456" s="3"/>
      <c r="G456" s="5"/>
      <c r="H456" s="3"/>
      <c r="I456" s="5"/>
      <c r="J456" s="3"/>
      <c r="K456" s="5"/>
      <c r="L456" s="3"/>
      <c r="M456" s="5"/>
      <c r="N456" s="5"/>
    </row>
    <row r="457">
      <c r="A457" s="2"/>
      <c r="B457" s="3"/>
      <c r="C457" s="3"/>
      <c r="D457" s="3"/>
      <c r="E457" s="4"/>
      <c r="F457" s="3"/>
      <c r="G457" s="5"/>
      <c r="H457" s="3"/>
      <c r="I457" s="5"/>
      <c r="J457" s="3"/>
      <c r="K457" s="5"/>
      <c r="L457" s="3"/>
      <c r="M457" s="5"/>
      <c r="N457" s="5"/>
    </row>
    <row r="458">
      <c r="A458" s="2"/>
      <c r="B458" s="3"/>
      <c r="C458" s="3"/>
      <c r="D458" s="3"/>
      <c r="E458" s="4"/>
      <c r="F458" s="3"/>
      <c r="G458" s="5"/>
      <c r="H458" s="3"/>
      <c r="I458" s="5"/>
      <c r="J458" s="3"/>
      <c r="K458" s="5"/>
      <c r="L458" s="3"/>
      <c r="M458" s="5"/>
      <c r="N458" s="5"/>
    </row>
    <row r="459">
      <c r="A459" s="2"/>
      <c r="B459" s="3"/>
      <c r="C459" s="3"/>
      <c r="D459" s="3"/>
      <c r="E459" s="4"/>
      <c r="F459" s="3"/>
      <c r="G459" s="5"/>
      <c r="H459" s="3"/>
      <c r="I459" s="5"/>
      <c r="J459" s="3"/>
      <c r="K459" s="5"/>
      <c r="L459" s="3"/>
      <c r="M459" s="5"/>
      <c r="N459" s="5"/>
    </row>
    <row r="460">
      <c r="A460" s="2"/>
      <c r="B460" s="3"/>
      <c r="C460" s="3"/>
      <c r="D460" s="3"/>
      <c r="E460" s="4"/>
      <c r="F460" s="3"/>
      <c r="G460" s="5"/>
      <c r="H460" s="3"/>
      <c r="I460" s="5"/>
      <c r="J460" s="3"/>
      <c r="K460" s="5"/>
      <c r="L460" s="3"/>
      <c r="M460" s="5"/>
      <c r="N460" s="5"/>
    </row>
    <row r="461">
      <c r="A461" s="2"/>
      <c r="B461" s="3"/>
      <c r="C461" s="3"/>
      <c r="D461" s="3"/>
      <c r="E461" s="4"/>
      <c r="F461" s="3"/>
      <c r="G461" s="5"/>
      <c r="H461" s="3"/>
      <c r="I461" s="5"/>
      <c r="J461" s="3"/>
      <c r="K461" s="5"/>
      <c r="L461" s="3"/>
      <c r="M461" s="5"/>
      <c r="N461" s="5"/>
    </row>
    <row r="462">
      <c r="A462" s="2"/>
      <c r="B462" s="3"/>
      <c r="C462" s="3"/>
      <c r="D462" s="3"/>
      <c r="E462" s="4"/>
      <c r="F462" s="3"/>
      <c r="G462" s="5"/>
      <c r="H462" s="3"/>
      <c r="I462" s="5"/>
      <c r="J462" s="3"/>
      <c r="K462" s="5"/>
      <c r="L462" s="3"/>
      <c r="M462" s="5"/>
      <c r="N462" s="5"/>
    </row>
    <row r="463">
      <c r="A463" s="2"/>
      <c r="B463" s="3"/>
      <c r="C463" s="3"/>
      <c r="D463" s="3"/>
      <c r="E463" s="4"/>
      <c r="F463" s="3"/>
      <c r="G463" s="5"/>
      <c r="H463" s="3"/>
      <c r="I463" s="5"/>
      <c r="J463" s="3"/>
      <c r="K463" s="5"/>
      <c r="L463" s="3"/>
      <c r="M463" s="5"/>
      <c r="N463" s="5"/>
    </row>
    <row r="464">
      <c r="A464" s="2"/>
      <c r="B464" s="3"/>
      <c r="C464" s="3"/>
      <c r="D464" s="3"/>
      <c r="E464" s="4"/>
      <c r="F464" s="3"/>
      <c r="G464" s="5"/>
      <c r="H464" s="3"/>
      <c r="I464" s="5"/>
      <c r="J464" s="3"/>
      <c r="K464" s="5"/>
      <c r="L464" s="3"/>
      <c r="M464" s="5"/>
      <c r="N464" s="5"/>
    </row>
    <row r="465">
      <c r="A465" s="2"/>
      <c r="B465" s="3"/>
      <c r="C465" s="3"/>
      <c r="D465" s="3"/>
      <c r="E465" s="4"/>
      <c r="F465" s="3"/>
      <c r="G465" s="5"/>
      <c r="H465" s="3"/>
      <c r="I465" s="5"/>
      <c r="J465" s="3"/>
      <c r="K465" s="5"/>
      <c r="L465" s="3"/>
      <c r="M465" s="5"/>
      <c r="N465" s="5"/>
    </row>
    <row r="466">
      <c r="A466" s="2"/>
      <c r="B466" s="3"/>
      <c r="C466" s="3"/>
      <c r="D466" s="3"/>
      <c r="E466" s="4"/>
      <c r="F466" s="3"/>
      <c r="G466" s="5"/>
      <c r="H466" s="3"/>
      <c r="I466" s="5"/>
      <c r="J466" s="3"/>
      <c r="K466" s="5"/>
      <c r="L466" s="3"/>
      <c r="M466" s="5"/>
      <c r="N466" s="5"/>
    </row>
    <row r="467">
      <c r="A467" s="2"/>
      <c r="B467" s="3"/>
      <c r="C467" s="3"/>
      <c r="D467" s="3"/>
      <c r="E467" s="4"/>
      <c r="F467" s="3"/>
      <c r="G467" s="5"/>
      <c r="H467" s="3"/>
      <c r="I467" s="5"/>
      <c r="J467" s="3"/>
      <c r="K467" s="5"/>
      <c r="L467" s="3"/>
      <c r="M467" s="5"/>
      <c r="N467" s="5"/>
    </row>
    <row r="468">
      <c r="A468" s="2"/>
      <c r="B468" s="3"/>
      <c r="C468" s="3"/>
      <c r="D468" s="3"/>
      <c r="E468" s="4"/>
      <c r="F468" s="3"/>
      <c r="G468" s="5"/>
      <c r="H468" s="3"/>
      <c r="I468" s="5"/>
      <c r="J468" s="3"/>
      <c r="K468" s="5"/>
      <c r="L468" s="3"/>
      <c r="M468" s="5"/>
      <c r="N468" s="5"/>
    </row>
    <row r="469">
      <c r="A469" s="2"/>
      <c r="B469" s="3"/>
      <c r="C469" s="3"/>
      <c r="D469" s="3"/>
      <c r="E469" s="4"/>
      <c r="F469" s="3"/>
      <c r="G469" s="5"/>
      <c r="H469" s="3"/>
      <c r="I469" s="5"/>
      <c r="J469" s="3"/>
      <c r="K469" s="5"/>
      <c r="L469" s="3"/>
      <c r="M469" s="5"/>
      <c r="N469" s="5"/>
    </row>
    <row r="470">
      <c r="A470" s="2"/>
      <c r="B470" s="3"/>
      <c r="C470" s="3"/>
      <c r="D470" s="3"/>
      <c r="E470" s="4"/>
      <c r="F470" s="3"/>
      <c r="G470" s="5"/>
      <c r="H470" s="3"/>
      <c r="I470" s="5"/>
      <c r="J470" s="3"/>
      <c r="K470" s="5"/>
      <c r="L470" s="3"/>
      <c r="M470" s="5"/>
      <c r="N470" s="5"/>
    </row>
    <row r="471">
      <c r="A471" s="2"/>
      <c r="B471" s="3"/>
      <c r="C471" s="3"/>
      <c r="D471" s="3"/>
      <c r="E471" s="4"/>
      <c r="F471" s="3"/>
      <c r="G471" s="5"/>
      <c r="H471" s="3"/>
      <c r="I471" s="5"/>
      <c r="J471" s="3"/>
      <c r="K471" s="5"/>
      <c r="L471" s="3"/>
      <c r="M471" s="5"/>
      <c r="N471" s="5"/>
    </row>
    <row r="472">
      <c r="A472" s="2"/>
      <c r="B472" s="3"/>
      <c r="C472" s="3"/>
      <c r="D472" s="3"/>
      <c r="E472" s="4"/>
      <c r="F472" s="3"/>
      <c r="G472" s="5"/>
      <c r="H472" s="3"/>
      <c r="I472" s="5"/>
      <c r="J472" s="3"/>
      <c r="K472" s="5"/>
      <c r="L472" s="3"/>
      <c r="M472" s="5"/>
      <c r="N472" s="5"/>
    </row>
    <row r="473">
      <c r="A473" s="2"/>
      <c r="B473" s="3"/>
      <c r="C473" s="3"/>
      <c r="D473" s="3"/>
      <c r="E473" s="4"/>
      <c r="F473" s="3"/>
      <c r="G473" s="5"/>
      <c r="H473" s="3"/>
      <c r="I473" s="5"/>
      <c r="J473" s="3"/>
      <c r="K473" s="5"/>
      <c r="L473" s="3"/>
      <c r="M473" s="5"/>
      <c r="N473" s="5"/>
    </row>
    <row r="474">
      <c r="A474" s="2"/>
      <c r="B474" s="3"/>
      <c r="C474" s="3"/>
      <c r="D474" s="3"/>
      <c r="E474" s="4"/>
      <c r="F474" s="3"/>
      <c r="G474" s="5"/>
      <c r="H474" s="3"/>
      <c r="I474" s="5"/>
      <c r="J474" s="3"/>
      <c r="K474" s="5"/>
      <c r="L474" s="3"/>
      <c r="M474" s="5"/>
      <c r="N474" s="5"/>
    </row>
    <row r="475">
      <c r="A475" s="2"/>
      <c r="B475" s="3"/>
      <c r="C475" s="3"/>
      <c r="D475" s="3"/>
      <c r="E475" s="4"/>
      <c r="F475" s="3"/>
      <c r="G475" s="5"/>
      <c r="H475" s="3"/>
      <c r="I475" s="5"/>
      <c r="J475" s="3"/>
      <c r="K475" s="5"/>
      <c r="L475" s="3"/>
      <c r="M475" s="5"/>
      <c r="N475" s="5"/>
    </row>
    <row r="476">
      <c r="A476" s="2"/>
      <c r="B476" s="3"/>
      <c r="C476" s="3"/>
      <c r="D476" s="3"/>
      <c r="E476" s="4"/>
      <c r="F476" s="3"/>
      <c r="G476" s="5"/>
      <c r="H476" s="3"/>
      <c r="I476" s="5"/>
      <c r="J476" s="3"/>
      <c r="K476" s="5"/>
      <c r="L476" s="3"/>
      <c r="M476" s="5"/>
      <c r="N476" s="5"/>
    </row>
    <row r="477">
      <c r="A477" s="2"/>
      <c r="B477" s="3"/>
      <c r="C477" s="3"/>
      <c r="D477" s="3"/>
      <c r="E477" s="4"/>
      <c r="F477" s="3"/>
      <c r="G477" s="5"/>
      <c r="H477" s="3"/>
      <c r="I477" s="5"/>
      <c r="J477" s="3"/>
      <c r="K477" s="5"/>
      <c r="L477" s="3"/>
      <c r="M477" s="5"/>
      <c r="N477" s="5"/>
    </row>
    <row r="478">
      <c r="A478" s="2"/>
      <c r="B478" s="3"/>
      <c r="C478" s="3"/>
      <c r="D478" s="3"/>
      <c r="E478" s="4"/>
      <c r="F478" s="3"/>
      <c r="G478" s="5"/>
      <c r="H478" s="3"/>
      <c r="I478" s="5"/>
      <c r="J478" s="3"/>
      <c r="K478" s="5"/>
      <c r="L478" s="3"/>
      <c r="M478" s="5"/>
      <c r="N478" s="5"/>
    </row>
    <row r="479">
      <c r="A479" s="2"/>
      <c r="B479" s="3"/>
      <c r="C479" s="3"/>
      <c r="D479" s="3"/>
      <c r="E479" s="4"/>
      <c r="F479" s="3"/>
      <c r="G479" s="5"/>
      <c r="H479" s="3"/>
      <c r="I479" s="5"/>
      <c r="J479" s="3"/>
      <c r="K479" s="5"/>
      <c r="L479" s="3"/>
      <c r="M479" s="5"/>
      <c r="N479" s="5"/>
    </row>
    <row r="480">
      <c r="A480" s="2"/>
      <c r="B480" s="3"/>
      <c r="C480" s="3"/>
      <c r="D480" s="3"/>
      <c r="E480" s="4"/>
      <c r="F480" s="3"/>
      <c r="G480" s="5"/>
      <c r="H480" s="3"/>
      <c r="I480" s="5"/>
      <c r="J480" s="3"/>
      <c r="K480" s="5"/>
      <c r="L480" s="3"/>
      <c r="M480" s="5"/>
      <c r="N480" s="5"/>
    </row>
    <row r="481">
      <c r="A481" s="2"/>
      <c r="B481" s="3"/>
      <c r="C481" s="3"/>
      <c r="D481" s="3"/>
      <c r="E481" s="4"/>
      <c r="F481" s="3"/>
      <c r="G481" s="5"/>
      <c r="H481" s="3"/>
      <c r="I481" s="5"/>
      <c r="J481" s="3"/>
      <c r="K481" s="5"/>
      <c r="L481" s="3"/>
      <c r="M481" s="5"/>
      <c r="N481" s="5"/>
    </row>
    <row r="482">
      <c r="A482" s="2"/>
      <c r="B482" s="3"/>
      <c r="C482" s="3"/>
      <c r="D482" s="3"/>
      <c r="E482" s="4"/>
      <c r="F482" s="3"/>
      <c r="G482" s="5"/>
      <c r="H482" s="3"/>
      <c r="I482" s="5"/>
      <c r="J482" s="3"/>
      <c r="K482" s="5"/>
      <c r="L482" s="3"/>
      <c r="M482" s="5"/>
      <c r="N482" s="5"/>
    </row>
    <row r="483">
      <c r="A483" s="2"/>
      <c r="B483" s="3"/>
      <c r="C483" s="3"/>
      <c r="D483" s="3"/>
      <c r="E483" s="4"/>
      <c r="F483" s="3"/>
      <c r="G483" s="5"/>
      <c r="H483" s="3"/>
      <c r="I483" s="5"/>
      <c r="J483" s="3"/>
      <c r="K483" s="5"/>
      <c r="L483" s="3"/>
      <c r="M483" s="5"/>
      <c r="N483" s="5"/>
    </row>
    <row r="484">
      <c r="A484" s="2"/>
      <c r="B484" s="3"/>
      <c r="C484" s="3"/>
      <c r="D484" s="3"/>
      <c r="E484" s="4"/>
      <c r="F484" s="3"/>
      <c r="G484" s="5"/>
      <c r="H484" s="3"/>
      <c r="I484" s="5"/>
      <c r="J484" s="3"/>
      <c r="K484" s="5"/>
      <c r="L484" s="3"/>
      <c r="M484" s="5"/>
      <c r="N484" s="5"/>
    </row>
    <row r="485">
      <c r="A485" s="2"/>
      <c r="B485" s="3"/>
      <c r="C485" s="3"/>
      <c r="D485" s="3"/>
      <c r="E485" s="4"/>
      <c r="F485" s="3"/>
      <c r="G485" s="5"/>
      <c r="H485" s="3"/>
      <c r="I485" s="5"/>
      <c r="J485" s="3"/>
      <c r="K485" s="5"/>
      <c r="L485" s="3"/>
      <c r="M485" s="5"/>
      <c r="N485" s="5"/>
    </row>
    <row r="486">
      <c r="A486" s="2"/>
      <c r="B486" s="3"/>
      <c r="C486" s="3"/>
      <c r="D486" s="3"/>
      <c r="E486" s="4"/>
      <c r="F486" s="3"/>
      <c r="G486" s="5"/>
      <c r="H486" s="3"/>
      <c r="I486" s="5"/>
      <c r="J486" s="3"/>
      <c r="K486" s="5"/>
      <c r="L486" s="3"/>
      <c r="M486" s="5"/>
      <c r="N486" s="5"/>
    </row>
    <row r="487">
      <c r="A487" s="2"/>
      <c r="B487" s="3"/>
      <c r="C487" s="3"/>
      <c r="D487" s="3"/>
      <c r="E487" s="4"/>
      <c r="F487" s="3"/>
      <c r="G487" s="5"/>
      <c r="H487" s="3"/>
      <c r="I487" s="5"/>
      <c r="J487" s="3"/>
      <c r="K487" s="5"/>
      <c r="L487" s="3"/>
      <c r="M487" s="5"/>
      <c r="N487" s="5"/>
    </row>
    <row r="488">
      <c r="A488" s="2"/>
      <c r="B488" s="3"/>
      <c r="C488" s="3"/>
      <c r="D488" s="3"/>
      <c r="E488" s="4"/>
      <c r="F488" s="3"/>
      <c r="G488" s="5"/>
      <c r="H488" s="3"/>
      <c r="I488" s="5"/>
      <c r="J488" s="3"/>
      <c r="K488" s="5"/>
      <c r="L488" s="3"/>
      <c r="M488" s="5"/>
      <c r="N488" s="5"/>
    </row>
    <row r="489">
      <c r="A489" s="2"/>
      <c r="B489" s="3"/>
      <c r="C489" s="3"/>
      <c r="D489" s="3"/>
      <c r="E489" s="4"/>
      <c r="F489" s="3"/>
      <c r="G489" s="5"/>
      <c r="H489" s="3"/>
      <c r="I489" s="5"/>
      <c r="J489" s="3"/>
      <c r="K489" s="5"/>
      <c r="L489" s="3"/>
      <c r="M489" s="5"/>
      <c r="N489" s="5"/>
    </row>
    <row r="490">
      <c r="A490" s="2"/>
      <c r="B490" s="3"/>
      <c r="C490" s="3"/>
      <c r="D490" s="3"/>
      <c r="E490" s="4"/>
      <c r="F490" s="3"/>
      <c r="G490" s="5"/>
      <c r="H490" s="3"/>
      <c r="I490" s="5"/>
      <c r="J490" s="3"/>
      <c r="K490" s="5"/>
      <c r="L490" s="3"/>
      <c r="M490" s="5"/>
      <c r="N490" s="5"/>
    </row>
    <row r="491">
      <c r="A491" s="2"/>
      <c r="B491" s="3"/>
      <c r="C491" s="3"/>
      <c r="D491" s="3"/>
      <c r="E491" s="4"/>
      <c r="F491" s="3"/>
      <c r="G491" s="5"/>
      <c r="H491" s="3"/>
      <c r="I491" s="5"/>
      <c r="J491" s="3"/>
      <c r="K491" s="5"/>
      <c r="L491" s="3"/>
      <c r="M491" s="5"/>
      <c r="N491" s="5"/>
    </row>
    <row r="492">
      <c r="A492" s="2"/>
      <c r="B492" s="3"/>
      <c r="C492" s="3"/>
      <c r="D492" s="3"/>
      <c r="E492" s="4"/>
      <c r="F492" s="3"/>
      <c r="G492" s="5"/>
      <c r="H492" s="3"/>
      <c r="I492" s="5"/>
      <c r="J492" s="3"/>
      <c r="K492" s="5"/>
      <c r="L492" s="3"/>
      <c r="M492" s="5"/>
      <c r="N492" s="5"/>
    </row>
    <row r="493">
      <c r="A493" s="2"/>
      <c r="B493" s="3"/>
      <c r="C493" s="3"/>
      <c r="D493" s="3"/>
      <c r="E493" s="4"/>
      <c r="F493" s="3"/>
      <c r="G493" s="5"/>
      <c r="H493" s="3"/>
      <c r="I493" s="5"/>
      <c r="J493" s="3"/>
      <c r="K493" s="5"/>
      <c r="L493" s="3"/>
      <c r="M493" s="5"/>
      <c r="N493" s="5"/>
    </row>
    <row r="494">
      <c r="A494" s="2"/>
      <c r="B494" s="3"/>
      <c r="C494" s="3"/>
      <c r="D494" s="3"/>
      <c r="E494" s="4"/>
      <c r="F494" s="3"/>
      <c r="G494" s="5"/>
      <c r="H494" s="3"/>
      <c r="I494" s="5"/>
      <c r="J494" s="3"/>
      <c r="K494" s="5"/>
      <c r="L494" s="3"/>
      <c r="M494" s="5"/>
      <c r="N494" s="5"/>
    </row>
    <row r="495">
      <c r="A495" s="2"/>
      <c r="B495" s="3"/>
      <c r="C495" s="3"/>
      <c r="D495" s="3"/>
      <c r="E495" s="4"/>
      <c r="F495" s="3"/>
      <c r="G495" s="5"/>
      <c r="H495" s="3"/>
      <c r="I495" s="5"/>
      <c r="J495" s="3"/>
      <c r="K495" s="5"/>
      <c r="L495" s="3"/>
      <c r="M495" s="5"/>
      <c r="N495" s="5"/>
    </row>
    <row r="496">
      <c r="A496" s="2"/>
      <c r="B496" s="3"/>
      <c r="C496" s="3"/>
      <c r="D496" s="3"/>
      <c r="E496" s="4"/>
      <c r="F496" s="3"/>
      <c r="G496" s="5"/>
      <c r="H496" s="3"/>
      <c r="I496" s="5"/>
      <c r="J496" s="3"/>
      <c r="K496" s="5"/>
      <c r="L496" s="3"/>
      <c r="M496" s="5"/>
      <c r="N496" s="5"/>
    </row>
    <row r="497">
      <c r="A497" s="2"/>
      <c r="B497" s="3"/>
      <c r="C497" s="3"/>
      <c r="D497" s="3"/>
      <c r="E497" s="4"/>
      <c r="F497" s="3"/>
      <c r="G497" s="5"/>
      <c r="H497" s="3"/>
      <c r="I497" s="5"/>
      <c r="J497" s="3"/>
      <c r="K497" s="5"/>
      <c r="L497" s="3"/>
      <c r="M497" s="5"/>
      <c r="N497" s="5"/>
    </row>
    <row r="498">
      <c r="A498" s="2"/>
      <c r="B498" s="3"/>
      <c r="C498" s="3"/>
      <c r="D498" s="3"/>
      <c r="E498" s="4"/>
      <c r="F498" s="3"/>
      <c r="G498" s="5"/>
      <c r="H498" s="3"/>
      <c r="I498" s="5"/>
      <c r="J498" s="3"/>
      <c r="K498" s="5"/>
      <c r="L498" s="3"/>
      <c r="M498" s="5"/>
      <c r="N498" s="5"/>
    </row>
    <row r="499">
      <c r="A499" s="2"/>
      <c r="B499" s="3"/>
      <c r="C499" s="3"/>
      <c r="D499" s="3"/>
      <c r="E499" s="4"/>
      <c r="F499" s="3"/>
      <c r="G499" s="5"/>
      <c r="H499" s="3"/>
      <c r="I499" s="5"/>
      <c r="J499" s="3"/>
      <c r="K499" s="5"/>
      <c r="L499" s="3"/>
      <c r="M499" s="5"/>
      <c r="N499" s="5"/>
    </row>
    <row r="500">
      <c r="A500" s="2"/>
      <c r="B500" s="3"/>
      <c r="C500" s="3"/>
      <c r="D500" s="3"/>
      <c r="E500" s="4"/>
      <c r="F500" s="3"/>
      <c r="G500" s="5"/>
      <c r="H500" s="3"/>
      <c r="I500" s="5"/>
      <c r="J500" s="3"/>
      <c r="K500" s="5"/>
      <c r="L500" s="3"/>
      <c r="M500" s="5"/>
      <c r="N500" s="5"/>
    </row>
    <row r="501">
      <c r="A501" s="2"/>
      <c r="B501" s="3"/>
      <c r="C501" s="3"/>
      <c r="D501" s="3"/>
      <c r="E501" s="4"/>
      <c r="F501" s="3"/>
      <c r="G501" s="5"/>
      <c r="H501" s="3"/>
      <c r="I501" s="5"/>
      <c r="J501" s="3"/>
      <c r="K501" s="5"/>
      <c r="L501" s="3"/>
      <c r="M501" s="5"/>
      <c r="N501" s="5"/>
    </row>
    <row r="502">
      <c r="A502" s="2"/>
      <c r="B502" s="3"/>
      <c r="C502" s="3"/>
      <c r="D502" s="3"/>
      <c r="E502" s="4"/>
      <c r="F502" s="3"/>
      <c r="G502" s="5"/>
      <c r="H502" s="3"/>
      <c r="I502" s="5"/>
      <c r="J502" s="3"/>
      <c r="K502" s="5"/>
      <c r="L502" s="3"/>
      <c r="M502" s="5"/>
      <c r="N502" s="5"/>
    </row>
    <row r="503">
      <c r="A503" s="2"/>
      <c r="B503" s="3"/>
      <c r="C503" s="3"/>
      <c r="D503" s="3"/>
      <c r="E503" s="4"/>
      <c r="F503" s="3"/>
      <c r="G503" s="5"/>
      <c r="H503" s="3"/>
      <c r="I503" s="5"/>
      <c r="J503" s="3"/>
      <c r="K503" s="5"/>
      <c r="L503" s="3"/>
      <c r="M503" s="5"/>
      <c r="N503" s="5"/>
    </row>
    <row r="504">
      <c r="A504" s="2"/>
      <c r="B504" s="3"/>
      <c r="C504" s="3"/>
      <c r="D504" s="3"/>
      <c r="E504" s="4"/>
      <c r="F504" s="3"/>
      <c r="G504" s="5"/>
      <c r="H504" s="3"/>
      <c r="I504" s="5"/>
      <c r="J504" s="3"/>
      <c r="K504" s="5"/>
      <c r="L504" s="3"/>
      <c r="M504" s="5"/>
      <c r="N504" s="5"/>
    </row>
    <row r="505">
      <c r="A505" s="2"/>
      <c r="B505" s="3"/>
      <c r="C505" s="3"/>
      <c r="D505" s="3"/>
      <c r="E505" s="4"/>
      <c r="F505" s="3"/>
      <c r="G505" s="5"/>
      <c r="H505" s="3"/>
      <c r="I505" s="5"/>
      <c r="J505" s="3"/>
      <c r="K505" s="5"/>
      <c r="L505" s="3"/>
      <c r="M505" s="5"/>
      <c r="N505" s="5"/>
    </row>
    <row r="506">
      <c r="A506" s="2"/>
      <c r="B506" s="3"/>
      <c r="C506" s="3"/>
      <c r="D506" s="3"/>
      <c r="E506" s="4"/>
      <c r="F506" s="3"/>
      <c r="G506" s="5"/>
      <c r="H506" s="3"/>
      <c r="I506" s="5"/>
      <c r="J506" s="3"/>
      <c r="K506" s="5"/>
      <c r="L506" s="3"/>
      <c r="M506" s="5"/>
      <c r="N506" s="5"/>
    </row>
    <row r="507">
      <c r="A507" s="2"/>
      <c r="B507" s="3"/>
      <c r="C507" s="3"/>
      <c r="D507" s="3"/>
      <c r="E507" s="4"/>
      <c r="F507" s="3"/>
      <c r="G507" s="5"/>
      <c r="H507" s="3"/>
      <c r="I507" s="5"/>
      <c r="J507" s="3"/>
      <c r="K507" s="5"/>
      <c r="L507" s="3"/>
      <c r="M507" s="5"/>
      <c r="N507" s="5"/>
    </row>
    <row r="508">
      <c r="A508" s="2"/>
      <c r="B508" s="3"/>
      <c r="C508" s="3"/>
      <c r="D508" s="3"/>
      <c r="E508" s="4"/>
      <c r="F508" s="3"/>
      <c r="G508" s="5"/>
      <c r="H508" s="3"/>
      <c r="I508" s="5"/>
      <c r="J508" s="3"/>
      <c r="K508" s="5"/>
      <c r="L508" s="3"/>
      <c r="M508" s="5"/>
      <c r="N508" s="5"/>
    </row>
    <row r="509">
      <c r="A509" s="2"/>
      <c r="B509" s="3"/>
      <c r="C509" s="3"/>
      <c r="D509" s="3"/>
      <c r="E509" s="4"/>
      <c r="F509" s="3"/>
      <c r="G509" s="5"/>
      <c r="H509" s="3"/>
      <c r="I509" s="5"/>
      <c r="J509" s="3"/>
      <c r="K509" s="5"/>
      <c r="L509" s="3"/>
      <c r="M509" s="5"/>
      <c r="N509" s="5"/>
    </row>
    <row r="510">
      <c r="A510" s="2"/>
      <c r="B510" s="3"/>
      <c r="C510" s="3"/>
      <c r="D510" s="3"/>
      <c r="E510" s="4"/>
      <c r="F510" s="3"/>
      <c r="G510" s="5"/>
      <c r="H510" s="3"/>
      <c r="I510" s="5"/>
      <c r="J510" s="3"/>
      <c r="K510" s="5"/>
      <c r="L510" s="3"/>
      <c r="M510" s="5"/>
      <c r="N510" s="5"/>
    </row>
    <row r="511">
      <c r="A511" s="2"/>
      <c r="B511" s="3"/>
      <c r="C511" s="3"/>
      <c r="D511" s="3"/>
      <c r="E511" s="4"/>
      <c r="F511" s="3"/>
      <c r="G511" s="5"/>
      <c r="H511" s="3"/>
      <c r="I511" s="5"/>
      <c r="J511" s="3"/>
      <c r="K511" s="5"/>
      <c r="L511" s="3"/>
      <c r="M511" s="5"/>
      <c r="N511" s="5"/>
    </row>
    <row r="512">
      <c r="A512" s="2"/>
      <c r="B512" s="3"/>
      <c r="C512" s="3"/>
      <c r="D512" s="3"/>
      <c r="E512" s="4"/>
      <c r="F512" s="3"/>
      <c r="G512" s="5"/>
      <c r="H512" s="3"/>
      <c r="I512" s="5"/>
      <c r="J512" s="3"/>
      <c r="K512" s="5"/>
      <c r="L512" s="3"/>
      <c r="M512" s="5"/>
      <c r="N512" s="5"/>
    </row>
    <row r="513">
      <c r="A513" s="2"/>
      <c r="B513" s="3"/>
      <c r="C513" s="3"/>
      <c r="D513" s="3"/>
      <c r="E513" s="4"/>
      <c r="F513" s="3"/>
      <c r="G513" s="5"/>
      <c r="H513" s="3"/>
      <c r="I513" s="5"/>
      <c r="J513" s="3"/>
      <c r="K513" s="5"/>
      <c r="L513" s="3"/>
      <c r="M513" s="5"/>
      <c r="N513" s="5"/>
    </row>
    <row r="514">
      <c r="A514" s="2"/>
      <c r="B514" s="3"/>
      <c r="C514" s="3"/>
      <c r="D514" s="3"/>
      <c r="E514" s="4"/>
      <c r="F514" s="3"/>
      <c r="G514" s="5"/>
      <c r="H514" s="3"/>
      <c r="I514" s="5"/>
      <c r="J514" s="3"/>
      <c r="K514" s="5"/>
      <c r="L514" s="3"/>
      <c r="M514" s="5"/>
      <c r="N514" s="5"/>
    </row>
    <row r="515">
      <c r="A515" s="2"/>
      <c r="B515" s="3"/>
      <c r="C515" s="3"/>
      <c r="D515" s="3"/>
      <c r="E515" s="4"/>
      <c r="F515" s="3"/>
      <c r="G515" s="5"/>
      <c r="H515" s="3"/>
      <c r="I515" s="5"/>
      <c r="J515" s="3"/>
      <c r="K515" s="5"/>
      <c r="L515" s="3"/>
      <c r="M515" s="5"/>
      <c r="N515" s="5"/>
    </row>
    <row r="516">
      <c r="A516" s="2"/>
      <c r="B516" s="3"/>
      <c r="C516" s="3"/>
      <c r="D516" s="3"/>
      <c r="E516" s="4"/>
      <c r="F516" s="3"/>
      <c r="G516" s="5"/>
      <c r="H516" s="3"/>
      <c r="I516" s="5"/>
      <c r="J516" s="3"/>
      <c r="K516" s="5"/>
      <c r="L516" s="3"/>
      <c r="M516" s="5"/>
      <c r="N516" s="5"/>
    </row>
    <row r="517">
      <c r="A517" s="2"/>
      <c r="B517" s="3"/>
      <c r="C517" s="3"/>
      <c r="D517" s="3"/>
      <c r="E517" s="4"/>
      <c r="F517" s="3"/>
      <c r="G517" s="5"/>
      <c r="H517" s="3"/>
      <c r="I517" s="5"/>
      <c r="J517" s="3"/>
      <c r="K517" s="5"/>
      <c r="L517" s="3"/>
      <c r="M517" s="5"/>
      <c r="N517" s="5"/>
    </row>
    <row r="518">
      <c r="A518" s="2"/>
      <c r="B518" s="3"/>
      <c r="C518" s="3"/>
      <c r="D518" s="3"/>
      <c r="E518" s="4"/>
      <c r="F518" s="3"/>
      <c r="G518" s="5"/>
      <c r="H518" s="3"/>
      <c r="I518" s="5"/>
      <c r="J518" s="3"/>
      <c r="K518" s="5"/>
      <c r="L518" s="3"/>
      <c r="M518" s="5"/>
      <c r="N518" s="5"/>
    </row>
    <row r="519">
      <c r="A519" s="2"/>
      <c r="B519" s="3"/>
      <c r="C519" s="3"/>
      <c r="D519" s="3"/>
      <c r="E519" s="4"/>
      <c r="F519" s="3"/>
      <c r="G519" s="5"/>
      <c r="H519" s="3"/>
      <c r="I519" s="5"/>
      <c r="J519" s="3"/>
      <c r="K519" s="5"/>
      <c r="L519" s="3"/>
      <c r="M519" s="5"/>
      <c r="N519" s="5"/>
    </row>
    <row r="520">
      <c r="A520" s="2"/>
      <c r="B520" s="3"/>
      <c r="C520" s="3"/>
      <c r="D520" s="3"/>
      <c r="E520" s="4"/>
      <c r="F520" s="3"/>
      <c r="G520" s="5"/>
      <c r="H520" s="3"/>
      <c r="I520" s="5"/>
      <c r="J520" s="3"/>
      <c r="K520" s="5"/>
      <c r="L520" s="3"/>
      <c r="M520" s="5"/>
      <c r="N520" s="5"/>
    </row>
    <row r="521">
      <c r="A521" s="2"/>
      <c r="B521" s="3"/>
      <c r="C521" s="3"/>
      <c r="D521" s="3"/>
      <c r="E521" s="4"/>
      <c r="F521" s="3"/>
      <c r="G521" s="5"/>
      <c r="H521" s="3"/>
      <c r="I521" s="5"/>
      <c r="J521" s="3"/>
      <c r="K521" s="5"/>
      <c r="L521" s="3"/>
      <c r="M521" s="5"/>
      <c r="N521" s="5"/>
    </row>
    <row r="522">
      <c r="A522" s="2"/>
      <c r="B522" s="3"/>
      <c r="C522" s="3"/>
      <c r="D522" s="3"/>
      <c r="E522" s="4"/>
      <c r="F522" s="3"/>
      <c r="G522" s="5"/>
      <c r="H522" s="3"/>
      <c r="I522" s="5"/>
      <c r="J522" s="3"/>
      <c r="K522" s="5"/>
      <c r="L522" s="3"/>
      <c r="M522" s="5"/>
      <c r="N522" s="5"/>
    </row>
    <row r="523">
      <c r="A523" s="2"/>
      <c r="B523" s="3"/>
      <c r="C523" s="3"/>
      <c r="D523" s="3"/>
      <c r="E523" s="4"/>
      <c r="F523" s="3"/>
      <c r="G523" s="5"/>
      <c r="H523" s="3"/>
      <c r="I523" s="5"/>
      <c r="J523" s="3"/>
      <c r="K523" s="5"/>
      <c r="L523" s="3"/>
      <c r="M523" s="5"/>
      <c r="N523" s="5"/>
    </row>
    <row r="524">
      <c r="A524" s="2"/>
      <c r="B524" s="3"/>
      <c r="C524" s="3"/>
      <c r="D524" s="3"/>
      <c r="E524" s="4"/>
      <c r="F524" s="3"/>
      <c r="G524" s="5"/>
      <c r="H524" s="3"/>
      <c r="I524" s="5"/>
      <c r="J524" s="3"/>
      <c r="K524" s="5"/>
      <c r="L524" s="3"/>
      <c r="M524" s="5"/>
      <c r="N524" s="5"/>
    </row>
    <row r="525">
      <c r="A525" s="2"/>
      <c r="B525" s="3"/>
      <c r="C525" s="3"/>
      <c r="D525" s="3"/>
      <c r="E525" s="4"/>
      <c r="F525" s="3"/>
      <c r="G525" s="5"/>
      <c r="H525" s="3"/>
      <c r="I525" s="5"/>
      <c r="J525" s="3"/>
      <c r="K525" s="5"/>
      <c r="L525" s="3"/>
      <c r="M525" s="5"/>
      <c r="N525" s="5"/>
    </row>
    <row r="526">
      <c r="A526" s="2"/>
      <c r="B526" s="3"/>
      <c r="C526" s="3"/>
      <c r="D526" s="3"/>
      <c r="E526" s="4"/>
      <c r="F526" s="3"/>
      <c r="G526" s="5"/>
      <c r="H526" s="3"/>
      <c r="I526" s="5"/>
      <c r="J526" s="3"/>
      <c r="K526" s="5"/>
      <c r="L526" s="3"/>
      <c r="M526" s="5"/>
      <c r="N526" s="5"/>
    </row>
    <row r="527">
      <c r="A527" s="2"/>
      <c r="B527" s="3"/>
      <c r="C527" s="3"/>
      <c r="D527" s="3"/>
      <c r="E527" s="4"/>
      <c r="F527" s="3"/>
      <c r="G527" s="5"/>
      <c r="H527" s="3"/>
      <c r="I527" s="5"/>
      <c r="J527" s="3"/>
      <c r="K527" s="5"/>
      <c r="L527" s="3"/>
      <c r="M527" s="5"/>
      <c r="N527" s="5"/>
    </row>
    <row r="528">
      <c r="A528" s="2"/>
      <c r="B528" s="3"/>
      <c r="C528" s="3"/>
      <c r="D528" s="3"/>
      <c r="E528" s="4"/>
      <c r="F528" s="3"/>
      <c r="G528" s="5"/>
      <c r="H528" s="3"/>
      <c r="I528" s="5"/>
      <c r="J528" s="3"/>
      <c r="K528" s="5"/>
      <c r="L528" s="3"/>
      <c r="M528" s="5"/>
      <c r="N528" s="5"/>
    </row>
    <row r="529">
      <c r="A529" s="2"/>
      <c r="B529" s="3"/>
      <c r="C529" s="3"/>
      <c r="D529" s="3"/>
      <c r="E529" s="4"/>
      <c r="F529" s="3"/>
      <c r="G529" s="5"/>
      <c r="H529" s="3"/>
      <c r="I529" s="5"/>
      <c r="J529" s="3"/>
      <c r="K529" s="5"/>
      <c r="L529" s="3"/>
      <c r="M529" s="5"/>
      <c r="N529" s="5"/>
    </row>
    <row r="530">
      <c r="A530" s="2"/>
      <c r="B530" s="3"/>
      <c r="C530" s="3"/>
      <c r="D530" s="3"/>
      <c r="E530" s="4"/>
      <c r="F530" s="3"/>
      <c r="G530" s="5"/>
      <c r="H530" s="3"/>
      <c r="I530" s="5"/>
      <c r="J530" s="3"/>
      <c r="K530" s="5"/>
      <c r="L530" s="3"/>
      <c r="M530" s="5"/>
      <c r="N530" s="5"/>
    </row>
    <row r="531">
      <c r="A531" s="2"/>
      <c r="B531" s="3"/>
      <c r="C531" s="3"/>
      <c r="D531" s="3"/>
      <c r="E531" s="4"/>
      <c r="F531" s="3"/>
      <c r="G531" s="5"/>
      <c r="H531" s="3"/>
      <c r="I531" s="5"/>
      <c r="J531" s="3"/>
      <c r="K531" s="5"/>
      <c r="L531" s="3"/>
      <c r="M531" s="5"/>
      <c r="N531" s="5"/>
    </row>
    <row r="532">
      <c r="A532" s="2"/>
      <c r="B532" s="3"/>
      <c r="C532" s="3"/>
      <c r="D532" s="3"/>
      <c r="E532" s="4"/>
      <c r="F532" s="3"/>
      <c r="G532" s="5"/>
      <c r="H532" s="3"/>
      <c r="I532" s="5"/>
      <c r="J532" s="3"/>
      <c r="K532" s="5"/>
      <c r="L532" s="3"/>
      <c r="M532" s="5"/>
      <c r="N532" s="5"/>
    </row>
    <row r="533">
      <c r="A533" s="2"/>
      <c r="B533" s="3"/>
      <c r="C533" s="3"/>
      <c r="D533" s="3"/>
      <c r="E533" s="4"/>
      <c r="F533" s="3"/>
      <c r="G533" s="5"/>
      <c r="H533" s="3"/>
      <c r="I533" s="5"/>
      <c r="J533" s="3"/>
      <c r="K533" s="5"/>
      <c r="L533" s="3"/>
      <c r="M533" s="5"/>
      <c r="N533" s="5"/>
    </row>
    <row r="534">
      <c r="A534" s="2"/>
      <c r="B534" s="3"/>
      <c r="C534" s="3"/>
      <c r="D534" s="3"/>
      <c r="E534" s="4"/>
      <c r="F534" s="3"/>
      <c r="G534" s="5"/>
      <c r="H534" s="3"/>
      <c r="I534" s="5"/>
      <c r="J534" s="3"/>
      <c r="K534" s="5"/>
      <c r="L534" s="3"/>
      <c r="M534" s="5"/>
      <c r="N534" s="5"/>
    </row>
    <row r="535">
      <c r="A535" s="2"/>
      <c r="B535" s="3"/>
      <c r="C535" s="3"/>
      <c r="D535" s="3"/>
      <c r="E535" s="4"/>
      <c r="F535" s="3"/>
      <c r="G535" s="5"/>
      <c r="H535" s="3"/>
      <c r="I535" s="5"/>
      <c r="J535" s="3"/>
      <c r="K535" s="5"/>
      <c r="L535" s="3"/>
      <c r="M535" s="5"/>
      <c r="N535" s="5"/>
    </row>
    <row r="536">
      <c r="A536" s="2"/>
      <c r="B536" s="3"/>
      <c r="C536" s="3"/>
      <c r="D536" s="3"/>
      <c r="E536" s="4"/>
      <c r="F536" s="3"/>
      <c r="G536" s="5"/>
      <c r="H536" s="3"/>
      <c r="I536" s="5"/>
      <c r="J536" s="3"/>
      <c r="K536" s="5"/>
      <c r="L536" s="3"/>
      <c r="M536" s="5"/>
      <c r="N536" s="5"/>
    </row>
    <row r="537">
      <c r="A537" s="2"/>
      <c r="B537" s="3"/>
      <c r="C537" s="3"/>
      <c r="D537" s="3"/>
      <c r="E537" s="4"/>
      <c r="F537" s="3"/>
      <c r="G537" s="5"/>
      <c r="H537" s="3"/>
      <c r="I537" s="5"/>
      <c r="J537" s="3"/>
      <c r="K537" s="5"/>
      <c r="L537" s="3"/>
      <c r="M537" s="5"/>
      <c r="N537" s="5"/>
    </row>
    <row r="538">
      <c r="A538" s="2"/>
      <c r="B538" s="3"/>
      <c r="C538" s="3"/>
      <c r="D538" s="3"/>
      <c r="E538" s="4"/>
      <c r="F538" s="3"/>
      <c r="G538" s="5"/>
      <c r="H538" s="3"/>
      <c r="I538" s="5"/>
      <c r="J538" s="3"/>
      <c r="K538" s="5"/>
      <c r="L538" s="3"/>
      <c r="M538" s="5"/>
      <c r="N538" s="5"/>
    </row>
    <row r="539">
      <c r="A539" s="2"/>
      <c r="B539" s="3"/>
      <c r="C539" s="3"/>
      <c r="D539" s="3"/>
      <c r="E539" s="4"/>
      <c r="F539" s="3"/>
      <c r="G539" s="5"/>
      <c r="H539" s="3"/>
      <c r="I539" s="5"/>
      <c r="J539" s="3"/>
      <c r="K539" s="5"/>
      <c r="L539" s="3"/>
      <c r="M539" s="5"/>
      <c r="N539" s="5"/>
    </row>
    <row r="540">
      <c r="A540" s="2"/>
      <c r="B540" s="3"/>
      <c r="C540" s="3"/>
      <c r="D540" s="3"/>
      <c r="E540" s="4"/>
      <c r="F540" s="3"/>
      <c r="G540" s="5"/>
      <c r="H540" s="3"/>
      <c r="I540" s="5"/>
      <c r="J540" s="3"/>
      <c r="K540" s="5"/>
      <c r="L540" s="3"/>
      <c r="M540" s="5"/>
      <c r="N540" s="5"/>
    </row>
    <row r="541">
      <c r="A541" s="2"/>
      <c r="B541" s="3"/>
      <c r="C541" s="3"/>
      <c r="D541" s="3"/>
      <c r="E541" s="4"/>
      <c r="F541" s="3"/>
      <c r="G541" s="5"/>
      <c r="H541" s="3"/>
      <c r="I541" s="5"/>
      <c r="J541" s="3"/>
      <c r="K541" s="5"/>
      <c r="L541" s="3"/>
      <c r="M541" s="5"/>
      <c r="N541" s="5"/>
    </row>
    <row r="542">
      <c r="A542" s="2"/>
      <c r="B542" s="3"/>
      <c r="C542" s="3"/>
      <c r="D542" s="3"/>
      <c r="E542" s="4"/>
      <c r="F542" s="3"/>
      <c r="G542" s="5"/>
      <c r="H542" s="3"/>
      <c r="I542" s="5"/>
      <c r="J542" s="3"/>
      <c r="K542" s="5"/>
      <c r="L542" s="3"/>
      <c r="M542" s="5"/>
      <c r="N542" s="5"/>
    </row>
    <row r="543">
      <c r="A543" s="2"/>
      <c r="B543" s="3"/>
      <c r="C543" s="3"/>
      <c r="D543" s="3"/>
      <c r="E543" s="4"/>
      <c r="F543" s="3"/>
      <c r="G543" s="5"/>
      <c r="H543" s="3"/>
      <c r="I543" s="5"/>
      <c r="J543" s="3"/>
      <c r="K543" s="5"/>
      <c r="L543" s="3"/>
      <c r="M543" s="5"/>
      <c r="N543" s="5"/>
    </row>
    <row r="544">
      <c r="A544" s="2"/>
      <c r="B544" s="3"/>
      <c r="C544" s="3"/>
      <c r="D544" s="3"/>
      <c r="E544" s="4"/>
      <c r="F544" s="3"/>
      <c r="G544" s="5"/>
      <c r="H544" s="3"/>
      <c r="I544" s="5"/>
      <c r="J544" s="3"/>
      <c r="K544" s="5"/>
      <c r="L544" s="3"/>
      <c r="M544" s="5"/>
      <c r="N544" s="5"/>
    </row>
    <row r="545">
      <c r="A545" s="2"/>
      <c r="B545" s="3"/>
      <c r="C545" s="3"/>
      <c r="D545" s="3"/>
      <c r="E545" s="4"/>
      <c r="F545" s="3"/>
      <c r="G545" s="5"/>
      <c r="H545" s="3"/>
      <c r="I545" s="5"/>
      <c r="J545" s="3"/>
      <c r="K545" s="5"/>
      <c r="L545" s="3"/>
      <c r="M545" s="5"/>
      <c r="N545" s="5"/>
    </row>
    <row r="546">
      <c r="A546" s="2"/>
      <c r="B546" s="3"/>
      <c r="C546" s="3"/>
      <c r="D546" s="3"/>
      <c r="E546" s="4"/>
      <c r="F546" s="3"/>
      <c r="G546" s="5"/>
      <c r="H546" s="3"/>
      <c r="I546" s="5"/>
      <c r="J546" s="3"/>
      <c r="K546" s="5"/>
      <c r="L546" s="3"/>
      <c r="M546" s="5"/>
      <c r="N546" s="5"/>
    </row>
    <row r="547">
      <c r="A547" s="2"/>
      <c r="B547" s="3"/>
      <c r="C547" s="3"/>
      <c r="D547" s="3"/>
      <c r="E547" s="4"/>
      <c r="F547" s="3"/>
      <c r="G547" s="5"/>
      <c r="H547" s="3"/>
      <c r="I547" s="5"/>
      <c r="J547" s="3"/>
      <c r="K547" s="5"/>
      <c r="L547" s="3"/>
      <c r="M547" s="5"/>
      <c r="N547" s="5"/>
    </row>
    <row r="548">
      <c r="A548" s="2"/>
      <c r="B548" s="3"/>
      <c r="C548" s="3"/>
      <c r="D548" s="3"/>
      <c r="E548" s="4"/>
      <c r="F548" s="3"/>
      <c r="G548" s="5"/>
      <c r="H548" s="3"/>
      <c r="I548" s="5"/>
      <c r="J548" s="3"/>
      <c r="K548" s="5"/>
      <c r="L548" s="3"/>
      <c r="M548" s="5"/>
      <c r="N548" s="5"/>
    </row>
    <row r="549">
      <c r="A549" s="2"/>
      <c r="B549" s="3"/>
      <c r="C549" s="3"/>
      <c r="D549" s="3"/>
      <c r="E549" s="4"/>
      <c r="F549" s="3"/>
      <c r="G549" s="5"/>
      <c r="H549" s="3"/>
      <c r="I549" s="5"/>
      <c r="J549" s="3"/>
      <c r="K549" s="5"/>
      <c r="L549" s="3"/>
      <c r="M549" s="5"/>
      <c r="N549" s="5"/>
    </row>
    <row r="550">
      <c r="A550" s="2"/>
      <c r="B550" s="3"/>
      <c r="C550" s="3"/>
      <c r="D550" s="3"/>
      <c r="E550" s="4"/>
      <c r="F550" s="3"/>
      <c r="G550" s="5"/>
      <c r="H550" s="3"/>
      <c r="I550" s="5"/>
      <c r="J550" s="3"/>
      <c r="K550" s="5"/>
      <c r="L550" s="3"/>
      <c r="M550" s="5"/>
      <c r="N550" s="5"/>
    </row>
    <row r="551">
      <c r="A551" s="2"/>
      <c r="B551" s="3"/>
      <c r="C551" s="3"/>
      <c r="D551" s="3"/>
      <c r="E551" s="4"/>
      <c r="F551" s="3"/>
      <c r="G551" s="5"/>
      <c r="H551" s="3"/>
      <c r="I551" s="5"/>
      <c r="J551" s="3"/>
      <c r="K551" s="5"/>
      <c r="L551" s="3"/>
      <c r="M551" s="5"/>
      <c r="N551" s="5"/>
    </row>
    <row r="552">
      <c r="A552" s="2"/>
      <c r="B552" s="3"/>
      <c r="C552" s="3"/>
      <c r="D552" s="3"/>
      <c r="E552" s="4"/>
      <c r="F552" s="3"/>
      <c r="G552" s="5"/>
      <c r="H552" s="3"/>
      <c r="I552" s="5"/>
      <c r="J552" s="3"/>
      <c r="K552" s="5"/>
      <c r="L552" s="3"/>
      <c r="M552" s="5"/>
      <c r="N552" s="5"/>
    </row>
    <row r="553">
      <c r="A553" s="2"/>
      <c r="B553" s="3"/>
      <c r="C553" s="3"/>
      <c r="D553" s="3"/>
      <c r="E553" s="4"/>
      <c r="F553" s="3"/>
      <c r="G553" s="5"/>
      <c r="H553" s="3"/>
      <c r="I553" s="5"/>
      <c r="J553" s="3"/>
      <c r="K553" s="5"/>
      <c r="L553" s="3"/>
      <c r="M553" s="5"/>
      <c r="N553" s="5"/>
    </row>
    <row r="554">
      <c r="A554" s="2"/>
      <c r="B554" s="3"/>
      <c r="C554" s="3"/>
      <c r="D554" s="3"/>
      <c r="E554" s="4"/>
      <c r="F554" s="3"/>
      <c r="G554" s="5"/>
      <c r="H554" s="3"/>
      <c r="I554" s="5"/>
      <c r="J554" s="3"/>
      <c r="K554" s="5"/>
      <c r="L554" s="3"/>
      <c r="M554" s="5"/>
      <c r="N554" s="5"/>
    </row>
    <row r="555">
      <c r="A555" s="2"/>
      <c r="B555" s="3"/>
      <c r="C555" s="3"/>
      <c r="D555" s="3"/>
      <c r="E555" s="4"/>
      <c r="F555" s="3"/>
      <c r="G555" s="5"/>
      <c r="H555" s="3"/>
      <c r="I555" s="5"/>
      <c r="J555" s="3"/>
      <c r="K555" s="5"/>
      <c r="L555" s="3"/>
      <c r="M555" s="5"/>
      <c r="N555" s="5"/>
    </row>
    <row r="556">
      <c r="A556" s="2"/>
      <c r="B556" s="3"/>
      <c r="C556" s="3"/>
      <c r="D556" s="3"/>
      <c r="E556" s="4"/>
      <c r="F556" s="3"/>
      <c r="G556" s="5"/>
      <c r="H556" s="3"/>
      <c r="I556" s="5"/>
      <c r="J556" s="3"/>
      <c r="K556" s="5"/>
      <c r="L556" s="3"/>
      <c r="M556" s="5"/>
      <c r="N556" s="5"/>
    </row>
    <row r="557">
      <c r="A557" s="2"/>
      <c r="B557" s="3"/>
      <c r="C557" s="3"/>
      <c r="D557" s="3"/>
      <c r="E557" s="4"/>
      <c r="F557" s="3"/>
      <c r="G557" s="5"/>
      <c r="H557" s="3"/>
      <c r="I557" s="5"/>
      <c r="J557" s="3"/>
      <c r="K557" s="5"/>
      <c r="L557" s="3"/>
      <c r="M557" s="5"/>
      <c r="N557" s="5"/>
    </row>
    <row r="558">
      <c r="A558" s="2"/>
      <c r="B558" s="3"/>
      <c r="C558" s="3"/>
      <c r="D558" s="3"/>
      <c r="E558" s="4"/>
      <c r="F558" s="3"/>
      <c r="G558" s="5"/>
      <c r="H558" s="3"/>
      <c r="I558" s="5"/>
      <c r="J558" s="3"/>
      <c r="K558" s="5"/>
      <c r="L558" s="3"/>
      <c r="M558" s="5"/>
      <c r="N558" s="5"/>
    </row>
    <row r="559">
      <c r="A559" s="2"/>
      <c r="B559" s="3"/>
      <c r="C559" s="3"/>
      <c r="D559" s="3"/>
      <c r="E559" s="4"/>
      <c r="F559" s="3"/>
      <c r="G559" s="5"/>
      <c r="H559" s="3"/>
      <c r="I559" s="5"/>
      <c r="J559" s="3"/>
      <c r="K559" s="5"/>
      <c r="L559" s="3"/>
      <c r="M559" s="5"/>
      <c r="N559" s="5"/>
    </row>
    <row r="560">
      <c r="A560" s="2"/>
      <c r="B560" s="3"/>
      <c r="C560" s="3"/>
      <c r="D560" s="3"/>
      <c r="E560" s="4"/>
      <c r="F560" s="3"/>
      <c r="G560" s="5"/>
      <c r="H560" s="3"/>
      <c r="I560" s="5"/>
      <c r="J560" s="3"/>
      <c r="K560" s="5"/>
      <c r="L560" s="3"/>
      <c r="M560" s="5"/>
      <c r="N560" s="5"/>
    </row>
    <row r="561">
      <c r="A561" s="2"/>
      <c r="B561" s="3"/>
      <c r="C561" s="3"/>
      <c r="D561" s="3"/>
      <c r="E561" s="4"/>
      <c r="F561" s="3"/>
      <c r="G561" s="5"/>
      <c r="H561" s="3"/>
      <c r="I561" s="5"/>
      <c r="J561" s="3"/>
      <c r="K561" s="5"/>
      <c r="L561" s="3"/>
      <c r="M561" s="5"/>
      <c r="N561" s="5"/>
    </row>
    <row r="562">
      <c r="A562" s="2"/>
      <c r="B562" s="3"/>
      <c r="C562" s="3"/>
      <c r="D562" s="3"/>
      <c r="E562" s="4"/>
      <c r="F562" s="3"/>
      <c r="G562" s="5"/>
      <c r="H562" s="3"/>
      <c r="I562" s="5"/>
      <c r="J562" s="3"/>
      <c r="K562" s="5"/>
      <c r="L562" s="3"/>
      <c r="M562" s="5"/>
      <c r="N562" s="5"/>
    </row>
    <row r="563">
      <c r="A563" s="2"/>
      <c r="B563" s="3"/>
      <c r="C563" s="3"/>
      <c r="D563" s="3"/>
      <c r="E563" s="4"/>
      <c r="F563" s="3"/>
      <c r="G563" s="5"/>
      <c r="H563" s="3"/>
      <c r="I563" s="5"/>
      <c r="J563" s="3"/>
      <c r="K563" s="5"/>
      <c r="L563" s="3"/>
      <c r="M563" s="5"/>
      <c r="N563" s="5"/>
    </row>
    <row r="564">
      <c r="A564" s="2"/>
      <c r="B564" s="3"/>
      <c r="C564" s="3"/>
      <c r="D564" s="3"/>
      <c r="E564" s="4"/>
      <c r="F564" s="3"/>
      <c r="G564" s="5"/>
      <c r="H564" s="3"/>
      <c r="I564" s="5"/>
      <c r="J564" s="3"/>
      <c r="K564" s="5"/>
      <c r="L564" s="3"/>
      <c r="M564" s="5"/>
      <c r="N564" s="5"/>
    </row>
    <row r="565">
      <c r="A565" s="2"/>
      <c r="B565" s="3"/>
      <c r="C565" s="3"/>
      <c r="D565" s="3"/>
      <c r="E565" s="4"/>
      <c r="F565" s="3"/>
      <c r="G565" s="5"/>
      <c r="H565" s="3"/>
      <c r="I565" s="5"/>
      <c r="J565" s="3"/>
      <c r="K565" s="5"/>
      <c r="L565" s="3"/>
      <c r="M565" s="5"/>
      <c r="N565" s="5"/>
    </row>
    <row r="566">
      <c r="A566" s="2"/>
      <c r="B566" s="3"/>
      <c r="C566" s="3"/>
      <c r="D566" s="3"/>
      <c r="E566" s="4"/>
      <c r="F566" s="3"/>
      <c r="G566" s="5"/>
      <c r="H566" s="3"/>
      <c r="I566" s="5"/>
      <c r="J566" s="3"/>
      <c r="K566" s="5"/>
      <c r="L566" s="3"/>
      <c r="M566" s="5"/>
      <c r="N566" s="5"/>
    </row>
    <row r="567">
      <c r="A567" s="2"/>
      <c r="B567" s="3"/>
      <c r="C567" s="3"/>
      <c r="D567" s="3"/>
      <c r="E567" s="4"/>
      <c r="F567" s="3"/>
      <c r="G567" s="5"/>
      <c r="H567" s="3"/>
      <c r="I567" s="5"/>
      <c r="J567" s="3"/>
      <c r="K567" s="5"/>
      <c r="L567" s="3"/>
      <c r="M567" s="5"/>
      <c r="N567" s="5"/>
    </row>
    <row r="568">
      <c r="A568" s="2"/>
      <c r="B568" s="3"/>
      <c r="C568" s="3"/>
      <c r="D568" s="3"/>
      <c r="E568" s="4"/>
      <c r="F568" s="3"/>
      <c r="G568" s="5"/>
      <c r="H568" s="3"/>
      <c r="I568" s="5"/>
      <c r="J568" s="3"/>
      <c r="K568" s="5"/>
      <c r="L568" s="3"/>
      <c r="M568" s="5"/>
      <c r="N568" s="5"/>
    </row>
    <row r="569">
      <c r="A569" s="2"/>
      <c r="B569" s="3"/>
      <c r="C569" s="3"/>
      <c r="D569" s="3"/>
      <c r="E569" s="4"/>
      <c r="F569" s="3"/>
      <c r="G569" s="5"/>
      <c r="H569" s="3"/>
      <c r="I569" s="5"/>
      <c r="J569" s="3"/>
      <c r="K569" s="5"/>
      <c r="L569" s="3"/>
      <c r="M569" s="5"/>
      <c r="N569" s="5"/>
    </row>
    <row r="570">
      <c r="A570" s="2"/>
      <c r="B570" s="3"/>
      <c r="C570" s="3"/>
      <c r="D570" s="3"/>
      <c r="E570" s="4"/>
      <c r="F570" s="3"/>
      <c r="G570" s="5"/>
      <c r="H570" s="3"/>
      <c r="I570" s="5"/>
      <c r="J570" s="3"/>
      <c r="K570" s="5"/>
      <c r="L570" s="3"/>
      <c r="M570" s="5"/>
      <c r="N570" s="5"/>
    </row>
    <row r="571">
      <c r="A571" s="2"/>
      <c r="B571" s="3"/>
      <c r="C571" s="3"/>
      <c r="D571" s="3"/>
      <c r="E571" s="4"/>
      <c r="F571" s="3"/>
      <c r="G571" s="5"/>
      <c r="H571" s="3"/>
      <c r="I571" s="5"/>
      <c r="J571" s="3"/>
      <c r="K571" s="5"/>
      <c r="L571" s="3"/>
      <c r="M571" s="5"/>
      <c r="N571" s="5"/>
    </row>
    <row r="572">
      <c r="A572" s="2"/>
      <c r="B572" s="3"/>
      <c r="C572" s="3"/>
      <c r="D572" s="3"/>
      <c r="E572" s="4"/>
      <c r="F572" s="3"/>
      <c r="G572" s="5"/>
      <c r="H572" s="3"/>
      <c r="I572" s="5"/>
      <c r="J572" s="3"/>
      <c r="K572" s="5"/>
      <c r="L572" s="3"/>
      <c r="M572" s="5"/>
      <c r="N572" s="5"/>
    </row>
    <row r="573">
      <c r="A573" s="2"/>
      <c r="B573" s="3"/>
      <c r="C573" s="3"/>
      <c r="D573" s="3"/>
      <c r="E573" s="4"/>
      <c r="F573" s="3"/>
      <c r="G573" s="5"/>
      <c r="H573" s="3"/>
      <c r="I573" s="5"/>
      <c r="J573" s="3"/>
      <c r="K573" s="5"/>
      <c r="L573" s="3"/>
      <c r="M573" s="5"/>
      <c r="N573" s="5"/>
    </row>
    <row r="574">
      <c r="A574" s="2"/>
      <c r="B574" s="3"/>
      <c r="C574" s="3"/>
      <c r="D574" s="3"/>
      <c r="E574" s="4"/>
      <c r="F574" s="3"/>
      <c r="G574" s="5"/>
      <c r="H574" s="3"/>
      <c r="I574" s="5"/>
      <c r="J574" s="3"/>
      <c r="K574" s="5"/>
      <c r="L574" s="3"/>
      <c r="M574" s="5"/>
      <c r="N574" s="5"/>
    </row>
    <row r="575">
      <c r="A575" s="2"/>
      <c r="B575" s="3"/>
      <c r="C575" s="3"/>
      <c r="D575" s="3"/>
      <c r="E575" s="4"/>
      <c r="F575" s="3"/>
      <c r="G575" s="5"/>
      <c r="H575" s="3"/>
      <c r="I575" s="5"/>
      <c r="J575" s="3"/>
      <c r="K575" s="5"/>
      <c r="L575" s="3"/>
      <c r="M575" s="5"/>
      <c r="N575" s="5"/>
    </row>
    <row r="576">
      <c r="A576" s="2"/>
      <c r="B576" s="3"/>
      <c r="C576" s="3"/>
      <c r="D576" s="3"/>
      <c r="E576" s="4"/>
      <c r="F576" s="3"/>
      <c r="G576" s="5"/>
      <c r="H576" s="3"/>
      <c r="I576" s="5"/>
      <c r="J576" s="3"/>
      <c r="K576" s="5"/>
      <c r="L576" s="3"/>
      <c r="M576" s="5"/>
      <c r="N576" s="5"/>
    </row>
    <row r="577">
      <c r="A577" s="2"/>
      <c r="B577" s="3"/>
      <c r="C577" s="3"/>
      <c r="D577" s="3"/>
      <c r="E577" s="4"/>
      <c r="F577" s="3"/>
      <c r="G577" s="5"/>
      <c r="H577" s="3"/>
      <c r="I577" s="5"/>
      <c r="J577" s="3"/>
      <c r="K577" s="5"/>
      <c r="L577" s="3"/>
      <c r="M577" s="5"/>
      <c r="N577" s="5"/>
    </row>
    <row r="578">
      <c r="A578" s="2"/>
      <c r="B578" s="3"/>
      <c r="C578" s="3"/>
      <c r="D578" s="3"/>
      <c r="E578" s="4"/>
      <c r="F578" s="3"/>
      <c r="G578" s="5"/>
      <c r="H578" s="3"/>
      <c r="I578" s="5"/>
      <c r="J578" s="3"/>
      <c r="K578" s="5"/>
      <c r="L578" s="3"/>
      <c r="M578" s="5"/>
      <c r="N578" s="5"/>
    </row>
    <row r="579">
      <c r="A579" s="2"/>
      <c r="B579" s="3"/>
      <c r="C579" s="3"/>
      <c r="D579" s="3"/>
      <c r="E579" s="4"/>
      <c r="F579" s="3"/>
      <c r="G579" s="5"/>
      <c r="H579" s="3"/>
      <c r="I579" s="5"/>
      <c r="J579" s="3"/>
      <c r="K579" s="5"/>
      <c r="L579" s="3"/>
      <c r="M579" s="5"/>
      <c r="N579" s="5"/>
    </row>
    <row r="580">
      <c r="A580" s="2"/>
      <c r="B580" s="3"/>
      <c r="C580" s="3"/>
      <c r="D580" s="3"/>
      <c r="E580" s="4"/>
      <c r="F580" s="3"/>
      <c r="G580" s="5"/>
      <c r="H580" s="3"/>
      <c r="I580" s="5"/>
      <c r="J580" s="3"/>
      <c r="K580" s="5"/>
      <c r="L580" s="3"/>
      <c r="M580" s="5"/>
      <c r="N580" s="5"/>
    </row>
    <row r="581">
      <c r="A581" s="2"/>
      <c r="B581" s="3"/>
      <c r="C581" s="3"/>
      <c r="D581" s="3"/>
      <c r="E581" s="4"/>
      <c r="F581" s="3"/>
      <c r="G581" s="5"/>
      <c r="H581" s="3"/>
      <c r="I581" s="5"/>
      <c r="J581" s="3"/>
      <c r="K581" s="5"/>
      <c r="L581" s="3"/>
      <c r="M581" s="5"/>
      <c r="N581" s="5"/>
    </row>
    <row r="582">
      <c r="A582" s="2"/>
      <c r="B582" s="3"/>
      <c r="C582" s="3"/>
      <c r="D582" s="3"/>
      <c r="E582" s="4"/>
      <c r="F582" s="3"/>
      <c r="G582" s="5"/>
      <c r="H582" s="3"/>
      <c r="I582" s="5"/>
      <c r="J582" s="3"/>
      <c r="K582" s="5"/>
      <c r="L582" s="3"/>
      <c r="M582" s="5"/>
      <c r="N582" s="5"/>
    </row>
    <row r="583">
      <c r="A583" s="2"/>
      <c r="B583" s="3"/>
      <c r="C583" s="3"/>
      <c r="D583" s="3"/>
      <c r="E583" s="4"/>
      <c r="F583" s="3"/>
      <c r="G583" s="5"/>
      <c r="H583" s="3"/>
      <c r="I583" s="5"/>
      <c r="J583" s="3"/>
      <c r="K583" s="5"/>
      <c r="L583" s="3"/>
      <c r="M583" s="5"/>
      <c r="N583" s="5"/>
    </row>
    <row r="584">
      <c r="A584" s="2"/>
      <c r="B584" s="3"/>
      <c r="C584" s="3"/>
      <c r="D584" s="3"/>
      <c r="E584" s="4"/>
      <c r="F584" s="3"/>
      <c r="G584" s="5"/>
      <c r="H584" s="3"/>
      <c r="I584" s="5"/>
      <c r="J584" s="3"/>
      <c r="K584" s="5"/>
      <c r="L584" s="3"/>
      <c r="M584" s="5"/>
      <c r="N584" s="5"/>
    </row>
    <row r="585">
      <c r="A585" s="2"/>
      <c r="B585" s="3"/>
      <c r="C585" s="3"/>
      <c r="D585" s="3"/>
      <c r="E585" s="4"/>
      <c r="F585" s="3"/>
      <c r="G585" s="5"/>
      <c r="H585" s="3"/>
      <c r="I585" s="5"/>
      <c r="J585" s="3"/>
      <c r="K585" s="5"/>
      <c r="L585" s="3"/>
      <c r="M585" s="5"/>
      <c r="N585" s="5"/>
    </row>
    <row r="586">
      <c r="A586" s="2"/>
      <c r="B586" s="3"/>
      <c r="C586" s="3"/>
      <c r="D586" s="3"/>
      <c r="E586" s="4"/>
      <c r="F586" s="3"/>
      <c r="G586" s="5"/>
      <c r="H586" s="3"/>
      <c r="I586" s="5"/>
      <c r="J586" s="3"/>
      <c r="K586" s="5"/>
      <c r="L586" s="3"/>
      <c r="M586" s="5"/>
      <c r="N586" s="5"/>
    </row>
    <row r="587">
      <c r="A587" s="2"/>
      <c r="B587" s="3"/>
      <c r="C587" s="3"/>
      <c r="D587" s="3"/>
      <c r="E587" s="4"/>
      <c r="F587" s="3"/>
      <c r="G587" s="5"/>
      <c r="H587" s="3"/>
      <c r="I587" s="5"/>
      <c r="J587" s="3"/>
      <c r="K587" s="5"/>
      <c r="L587" s="3"/>
      <c r="M587" s="5"/>
      <c r="N587" s="5"/>
    </row>
    <row r="588">
      <c r="A588" s="2"/>
      <c r="B588" s="3"/>
      <c r="C588" s="3"/>
      <c r="D588" s="3"/>
      <c r="E588" s="4"/>
      <c r="F588" s="3"/>
      <c r="G588" s="5"/>
      <c r="H588" s="3"/>
      <c r="I588" s="5"/>
      <c r="J588" s="3"/>
      <c r="K588" s="5"/>
      <c r="L588" s="3"/>
      <c r="M588" s="5"/>
      <c r="N588" s="5"/>
    </row>
    <row r="589">
      <c r="A589" s="2"/>
      <c r="B589" s="3"/>
      <c r="C589" s="3"/>
      <c r="D589" s="3"/>
      <c r="E589" s="4"/>
      <c r="F589" s="3"/>
      <c r="G589" s="5"/>
      <c r="H589" s="3"/>
      <c r="I589" s="5"/>
      <c r="J589" s="3"/>
      <c r="K589" s="5"/>
      <c r="L589" s="3"/>
      <c r="M589" s="5"/>
      <c r="N589" s="5"/>
    </row>
    <row r="590">
      <c r="A590" s="2"/>
      <c r="B590" s="3"/>
      <c r="C590" s="3"/>
      <c r="D590" s="3"/>
      <c r="E590" s="4"/>
      <c r="F590" s="3"/>
      <c r="G590" s="5"/>
      <c r="H590" s="3"/>
      <c r="I590" s="5"/>
      <c r="J590" s="3"/>
      <c r="K590" s="5"/>
      <c r="L590" s="3"/>
      <c r="M590" s="5"/>
      <c r="N590" s="5"/>
    </row>
    <row r="591">
      <c r="A591" s="2"/>
      <c r="B591" s="3"/>
      <c r="C591" s="3"/>
      <c r="D591" s="3"/>
      <c r="E591" s="4"/>
      <c r="F591" s="3"/>
      <c r="G591" s="5"/>
      <c r="H591" s="3"/>
      <c r="I591" s="5"/>
      <c r="J591" s="3"/>
      <c r="K591" s="5"/>
      <c r="L591" s="3"/>
      <c r="M591" s="5"/>
      <c r="N591" s="5"/>
    </row>
    <row r="592">
      <c r="A592" s="2"/>
      <c r="B592" s="3"/>
      <c r="C592" s="3"/>
      <c r="D592" s="3"/>
      <c r="E592" s="4"/>
      <c r="F592" s="3"/>
      <c r="G592" s="5"/>
      <c r="H592" s="3"/>
      <c r="I592" s="5"/>
      <c r="J592" s="3"/>
      <c r="K592" s="5"/>
      <c r="L592" s="3"/>
      <c r="M592" s="5"/>
      <c r="N592" s="5"/>
    </row>
    <row r="593">
      <c r="A593" s="2"/>
      <c r="B593" s="3"/>
      <c r="C593" s="3"/>
      <c r="D593" s="3"/>
      <c r="E593" s="4"/>
      <c r="F593" s="3"/>
      <c r="G593" s="5"/>
      <c r="H593" s="3"/>
      <c r="I593" s="5"/>
      <c r="J593" s="3"/>
      <c r="K593" s="5"/>
      <c r="L593" s="3"/>
      <c r="M593" s="5"/>
      <c r="N593" s="5"/>
    </row>
    <row r="594">
      <c r="A594" s="2"/>
      <c r="B594" s="3"/>
      <c r="C594" s="3"/>
      <c r="D594" s="3"/>
      <c r="E594" s="4"/>
      <c r="F594" s="3"/>
      <c r="G594" s="5"/>
      <c r="H594" s="3"/>
      <c r="I594" s="5"/>
      <c r="J594" s="3"/>
      <c r="K594" s="5"/>
      <c r="L594" s="3"/>
      <c r="M594" s="5"/>
      <c r="N594" s="5"/>
    </row>
    <row r="595">
      <c r="A595" s="2"/>
      <c r="B595" s="3"/>
      <c r="C595" s="3"/>
      <c r="D595" s="3"/>
      <c r="E595" s="4"/>
      <c r="F595" s="3"/>
      <c r="G595" s="5"/>
      <c r="H595" s="3"/>
      <c r="I595" s="5"/>
      <c r="J595" s="3"/>
      <c r="K595" s="5"/>
      <c r="L595" s="3"/>
      <c r="M595" s="5"/>
      <c r="N595" s="5"/>
    </row>
    <row r="596">
      <c r="A596" s="2"/>
      <c r="B596" s="3"/>
      <c r="C596" s="3"/>
      <c r="D596" s="3"/>
      <c r="E596" s="4"/>
      <c r="F596" s="3"/>
      <c r="G596" s="5"/>
      <c r="H596" s="3"/>
      <c r="I596" s="5"/>
      <c r="J596" s="3"/>
      <c r="K596" s="5"/>
      <c r="L596" s="3"/>
      <c r="M596" s="5"/>
      <c r="N596" s="5"/>
    </row>
    <row r="597">
      <c r="A597" s="2"/>
      <c r="B597" s="3"/>
      <c r="C597" s="3"/>
      <c r="D597" s="3"/>
      <c r="E597" s="4"/>
      <c r="F597" s="3"/>
      <c r="G597" s="5"/>
      <c r="H597" s="3"/>
      <c r="I597" s="5"/>
      <c r="J597" s="3"/>
      <c r="K597" s="5"/>
      <c r="L597" s="3"/>
      <c r="M597" s="5"/>
      <c r="N597" s="5"/>
    </row>
    <row r="598">
      <c r="A598" s="2"/>
      <c r="B598" s="3"/>
      <c r="C598" s="3"/>
      <c r="D598" s="3"/>
      <c r="E598" s="4"/>
      <c r="F598" s="3"/>
      <c r="G598" s="5"/>
      <c r="H598" s="3"/>
      <c r="I598" s="5"/>
      <c r="J598" s="3"/>
      <c r="K598" s="5"/>
      <c r="L598" s="3"/>
      <c r="M598" s="5"/>
      <c r="N598" s="5"/>
    </row>
    <row r="599">
      <c r="A599" s="2"/>
      <c r="B599" s="3"/>
      <c r="C599" s="3"/>
      <c r="D599" s="3"/>
      <c r="E599" s="4"/>
      <c r="F599" s="3"/>
      <c r="G599" s="5"/>
      <c r="H599" s="3"/>
      <c r="I599" s="5"/>
      <c r="J599" s="3"/>
      <c r="K599" s="5"/>
      <c r="L599" s="3"/>
      <c r="M599" s="5"/>
      <c r="N599" s="5"/>
    </row>
    <row r="600">
      <c r="A600" s="2"/>
      <c r="B600" s="3"/>
      <c r="C600" s="3"/>
      <c r="D600" s="3"/>
      <c r="E600" s="4"/>
      <c r="F600" s="3"/>
      <c r="G600" s="5"/>
      <c r="H600" s="3"/>
      <c r="I600" s="5"/>
      <c r="J600" s="3"/>
      <c r="K600" s="5"/>
      <c r="L600" s="3"/>
      <c r="M600" s="5"/>
      <c r="N600" s="5"/>
    </row>
    <row r="601">
      <c r="A601" s="2"/>
      <c r="B601" s="3"/>
      <c r="C601" s="3"/>
      <c r="D601" s="3"/>
      <c r="E601" s="4"/>
      <c r="F601" s="3"/>
      <c r="G601" s="5"/>
      <c r="H601" s="3"/>
      <c r="I601" s="5"/>
      <c r="J601" s="3"/>
      <c r="K601" s="5"/>
      <c r="L601" s="3"/>
      <c r="M601" s="5"/>
      <c r="N601" s="5"/>
    </row>
    <row r="602">
      <c r="A602" s="2"/>
      <c r="B602" s="3"/>
      <c r="C602" s="3"/>
      <c r="D602" s="3"/>
      <c r="E602" s="4"/>
      <c r="F602" s="3"/>
      <c r="G602" s="5"/>
      <c r="H602" s="3"/>
      <c r="I602" s="5"/>
      <c r="J602" s="3"/>
      <c r="K602" s="5"/>
      <c r="L602" s="3"/>
      <c r="M602" s="5"/>
      <c r="N602" s="5"/>
    </row>
    <row r="603">
      <c r="A603" s="2"/>
      <c r="B603" s="3"/>
      <c r="C603" s="3"/>
      <c r="D603" s="3"/>
      <c r="E603" s="4"/>
      <c r="F603" s="3"/>
      <c r="G603" s="5"/>
      <c r="H603" s="3"/>
      <c r="I603" s="5"/>
      <c r="J603" s="3"/>
      <c r="K603" s="5"/>
      <c r="L603" s="3"/>
      <c r="M603" s="5"/>
      <c r="N603" s="5"/>
    </row>
    <row r="604">
      <c r="A604" s="2"/>
      <c r="B604" s="3"/>
      <c r="C604" s="3"/>
      <c r="D604" s="3"/>
      <c r="E604" s="4"/>
      <c r="F604" s="3"/>
      <c r="G604" s="5"/>
      <c r="H604" s="3"/>
      <c r="I604" s="5"/>
      <c r="J604" s="3"/>
      <c r="K604" s="5"/>
      <c r="L604" s="3"/>
      <c r="M604" s="5"/>
      <c r="N604" s="5"/>
    </row>
    <row r="605">
      <c r="A605" s="2"/>
      <c r="B605" s="3"/>
      <c r="C605" s="3"/>
      <c r="D605" s="3"/>
      <c r="E605" s="4"/>
      <c r="F605" s="3"/>
      <c r="G605" s="5"/>
      <c r="H605" s="3"/>
      <c r="I605" s="5"/>
      <c r="J605" s="3"/>
      <c r="K605" s="5"/>
      <c r="L605" s="3"/>
      <c r="M605" s="5"/>
      <c r="N605" s="5"/>
    </row>
    <row r="606">
      <c r="A606" s="2"/>
      <c r="B606" s="3"/>
      <c r="C606" s="3"/>
      <c r="D606" s="3"/>
      <c r="E606" s="4"/>
      <c r="F606" s="3"/>
      <c r="G606" s="5"/>
      <c r="H606" s="3"/>
      <c r="I606" s="5"/>
      <c r="J606" s="3"/>
      <c r="K606" s="5"/>
      <c r="L606" s="3"/>
      <c r="M606" s="5"/>
      <c r="N606" s="5"/>
    </row>
    <row r="607">
      <c r="A607" s="2"/>
      <c r="B607" s="3"/>
      <c r="C607" s="3"/>
      <c r="D607" s="3"/>
      <c r="E607" s="4"/>
      <c r="F607" s="3"/>
      <c r="G607" s="5"/>
      <c r="H607" s="3"/>
      <c r="I607" s="5"/>
      <c r="J607" s="3"/>
      <c r="K607" s="5"/>
      <c r="L607" s="3"/>
      <c r="M607" s="5"/>
      <c r="N607" s="5"/>
    </row>
    <row r="608">
      <c r="A608" s="2"/>
      <c r="B608" s="3"/>
      <c r="C608" s="3"/>
      <c r="D608" s="3"/>
      <c r="E608" s="4"/>
      <c r="F608" s="3"/>
      <c r="G608" s="5"/>
      <c r="H608" s="3"/>
      <c r="I608" s="5"/>
      <c r="J608" s="3"/>
      <c r="K608" s="5"/>
      <c r="L608" s="3"/>
      <c r="M608" s="5"/>
      <c r="N608" s="5"/>
    </row>
    <row r="609">
      <c r="A609" s="2"/>
      <c r="B609" s="3"/>
      <c r="C609" s="3"/>
      <c r="D609" s="3"/>
      <c r="E609" s="4"/>
      <c r="F609" s="3"/>
      <c r="G609" s="5"/>
      <c r="H609" s="3"/>
      <c r="I609" s="5"/>
      <c r="J609" s="3"/>
      <c r="K609" s="5"/>
      <c r="L609" s="3"/>
      <c r="M609" s="5"/>
      <c r="N609" s="5"/>
    </row>
    <row r="610">
      <c r="A610" s="2"/>
      <c r="B610" s="3"/>
      <c r="C610" s="3"/>
      <c r="D610" s="3"/>
      <c r="E610" s="4"/>
      <c r="F610" s="3"/>
      <c r="G610" s="5"/>
      <c r="H610" s="3"/>
      <c r="I610" s="5"/>
      <c r="J610" s="3"/>
      <c r="K610" s="5"/>
      <c r="L610" s="3"/>
      <c r="M610" s="5"/>
      <c r="N610" s="5"/>
    </row>
    <row r="611">
      <c r="A611" s="2"/>
      <c r="B611" s="3"/>
      <c r="C611" s="3"/>
      <c r="D611" s="3"/>
      <c r="E611" s="4"/>
      <c r="F611" s="3"/>
      <c r="G611" s="5"/>
      <c r="H611" s="3"/>
      <c r="I611" s="5"/>
      <c r="J611" s="3"/>
      <c r="K611" s="5"/>
      <c r="L611" s="3"/>
      <c r="M611" s="5"/>
      <c r="N611" s="5"/>
    </row>
    <row r="612">
      <c r="A612" s="2"/>
      <c r="B612" s="3"/>
      <c r="C612" s="3"/>
      <c r="D612" s="3"/>
      <c r="E612" s="4"/>
      <c r="F612" s="3"/>
      <c r="G612" s="5"/>
      <c r="H612" s="3"/>
      <c r="I612" s="5"/>
      <c r="J612" s="3"/>
      <c r="K612" s="5"/>
      <c r="L612" s="3"/>
      <c r="M612" s="5"/>
      <c r="N612" s="5"/>
    </row>
    <row r="613">
      <c r="A613" s="2"/>
      <c r="B613" s="3"/>
      <c r="C613" s="3"/>
      <c r="D613" s="3"/>
      <c r="E613" s="4"/>
      <c r="F613" s="3"/>
      <c r="G613" s="5"/>
      <c r="H613" s="3"/>
      <c r="I613" s="5"/>
      <c r="J613" s="3"/>
      <c r="K613" s="5"/>
      <c r="L613" s="3"/>
      <c r="M613" s="5"/>
      <c r="N613" s="5"/>
    </row>
    <row r="614">
      <c r="A614" s="2"/>
      <c r="B614" s="3"/>
      <c r="C614" s="3"/>
      <c r="D614" s="3"/>
      <c r="E614" s="4"/>
      <c r="F614" s="3"/>
      <c r="G614" s="5"/>
      <c r="H614" s="3"/>
      <c r="I614" s="5"/>
      <c r="J614" s="3"/>
      <c r="K614" s="5"/>
      <c r="L614" s="3"/>
      <c r="M614" s="5"/>
      <c r="N614" s="5"/>
    </row>
    <row r="615">
      <c r="A615" s="2"/>
      <c r="B615" s="3"/>
      <c r="C615" s="3"/>
      <c r="D615" s="3"/>
      <c r="E615" s="4"/>
      <c r="F615" s="3"/>
      <c r="G615" s="5"/>
      <c r="H615" s="3"/>
      <c r="I615" s="5"/>
      <c r="J615" s="3"/>
      <c r="K615" s="5"/>
      <c r="L615" s="3"/>
      <c r="M615" s="5"/>
      <c r="N615" s="5"/>
    </row>
    <row r="616">
      <c r="A616" s="2"/>
      <c r="B616" s="3"/>
      <c r="C616" s="3"/>
      <c r="D616" s="3"/>
      <c r="E616" s="4"/>
      <c r="F616" s="3"/>
      <c r="G616" s="5"/>
      <c r="H616" s="3"/>
      <c r="I616" s="5"/>
      <c r="J616" s="3"/>
      <c r="K616" s="5"/>
      <c r="L616" s="3"/>
      <c r="M616" s="5"/>
      <c r="N616" s="5"/>
    </row>
    <row r="617">
      <c r="A617" s="2"/>
      <c r="B617" s="3"/>
      <c r="C617" s="3"/>
      <c r="D617" s="3"/>
      <c r="E617" s="4"/>
      <c r="F617" s="3"/>
      <c r="G617" s="5"/>
      <c r="H617" s="3"/>
      <c r="I617" s="5"/>
      <c r="J617" s="3"/>
      <c r="K617" s="5"/>
      <c r="L617" s="3"/>
      <c r="M617" s="5"/>
      <c r="N617" s="5"/>
    </row>
    <row r="618">
      <c r="A618" s="2"/>
      <c r="B618" s="3"/>
      <c r="C618" s="3"/>
      <c r="D618" s="3"/>
      <c r="E618" s="4"/>
      <c r="F618" s="3"/>
      <c r="G618" s="5"/>
      <c r="H618" s="3"/>
      <c r="I618" s="5"/>
      <c r="J618" s="3"/>
      <c r="K618" s="5"/>
      <c r="L618" s="3"/>
      <c r="M618" s="5"/>
      <c r="N618" s="5"/>
    </row>
    <row r="619">
      <c r="A619" s="2"/>
      <c r="B619" s="3"/>
      <c r="C619" s="3"/>
      <c r="D619" s="3"/>
      <c r="E619" s="4"/>
      <c r="F619" s="3"/>
      <c r="G619" s="5"/>
      <c r="H619" s="3"/>
      <c r="I619" s="5"/>
      <c r="J619" s="3"/>
      <c r="K619" s="5"/>
      <c r="L619" s="3"/>
      <c r="M619" s="5"/>
      <c r="N619" s="5"/>
    </row>
    <row r="620">
      <c r="A620" s="2"/>
      <c r="B620" s="3"/>
      <c r="C620" s="3"/>
      <c r="D620" s="3"/>
      <c r="E620" s="4"/>
      <c r="F620" s="3"/>
      <c r="G620" s="5"/>
      <c r="H620" s="3"/>
      <c r="I620" s="5"/>
      <c r="J620" s="3"/>
      <c r="K620" s="5"/>
      <c r="L620" s="3"/>
      <c r="M620" s="5"/>
      <c r="N620" s="5"/>
    </row>
    <row r="621">
      <c r="A621" s="2"/>
      <c r="B621" s="3"/>
      <c r="C621" s="3"/>
      <c r="D621" s="3"/>
      <c r="E621" s="4"/>
      <c r="F621" s="3"/>
      <c r="G621" s="5"/>
      <c r="H621" s="3"/>
      <c r="I621" s="5"/>
      <c r="J621" s="3"/>
      <c r="K621" s="5"/>
      <c r="L621" s="3"/>
      <c r="M621" s="5"/>
      <c r="N621" s="5"/>
    </row>
    <row r="622">
      <c r="A622" s="2"/>
      <c r="B622" s="3"/>
      <c r="C622" s="3"/>
      <c r="D622" s="3"/>
      <c r="E622" s="4"/>
      <c r="F622" s="3"/>
      <c r="G622" s="5"/>
      <c r="H622" s="3"/>
      <c r="I622" s="5"/>
      <c r="J622" s="3"/>
      <c r="K622" s="5"/>
      <c r="L622" s="3"/>
      <c r="M622" s="5"/>
      <c r="N622" s="5"/>
    </row>
    <row r="623">
      <c r="A623" s="2"/>
      <c r="B623" s="3"/>
      <c r="C623" s="3"/>
      <c r="D623" s="3"/>
      <c r="E623" s="4"/>
      <c r="F623" s="3"/>
      <c r="G623" s="5"/>
      <c r="H623" s="3"/>
      <c r="I623" s="5"/>
      <c r="J623" s="3"/>
      <c r="K623" s="5"/>
      <c r="L623" s="3"/>
      <c r="M623" s="5"/>
      <c r="N623" s="5"/>
    </row>
    <row r="624">
      <c r="A624" s="2"/>
      <c r="B624" s="3"/>
      <c r="C624" s="3"/>
      <c r="D624" s="3"/>
      <c r="E624" s="4"/>
      <c r="F624" s="3"/>
      <c r="G624" s="5"/>
      <c r="H624" s="3"/>
      <c r="I624" s="5"/>
      <c r="J624" s="3"/>
      <c r="K624" s="5"/>
      <c r="L624" s="3"/>
      <c r="M624" s="5"/>
      <c r="N624" s="5"/>
    </row>
    <row r="625">
      <c r="A625" s="2"/>
      <c r="B625" s="3"/>
      <c r="C625" s="3"/>
      <c r="D625" s="3"/>
      <c r="E625" s="4"/>
      <c r="F625" s="3"/>
      <c r="G625" s="5"/>
      <c r="H625" s="3"/>
      <c r="I625" s="5"/>
      <c r="J625" s="3"/>
      <c r="K625" s="5"/>
      <c r="L625" s="3"/>
      <c r="M625" s="5"/>
      <c r="N625" s="5"/>
    </row>
    <row r="626">
      <c r="A626" s="2"/>
      <c r="B626" s="3"/>
      <c r="C626" s="3"/>
      <c r="D626" s="3"/>
      <c r="E626" s="4"/>
      <c r="F626" s="3"/>
      <c r="G626" s="5"/>
      <c r="H626" s="3"/>
      <c r="I626" s="5"/>
      <c r="J626" s="3"/>
      <c r="K626" s="5"/>
      <c r="L626" s="3"/>
      <c r="M626" s="5"/>
      <c r="N626" s="5"/>
    </row>
    <row r="627">
      <c r="A627" s="2"/>
      <c r="B627" s="3"/>
      <c r="C627" s="3"/>
      <c r="D627" s="3"/>
      <c r="E627" s="4"/>
      <c r="F627" s="3"/>
      <c r="G627" s="5"/>
      <c r="H627" s="3"/>
      <c r="I627" s="5"/>
      <c r="J627" s="3"/>
      <c r="K627" s="5"/>
      <c r="L627" s="3"/>
      <c r="M627" s="5"/>
      <c r="N627" s="5"/>
    </row>
    <row r="628">
      <c r="A628" s="2"/>
      <c r="B628" s="3"/>
      <c r="C628" s="3"/>
      <c r="D628" s="3"/>
      <c r="E628" s="4"/>
      <c r="F628" s="3"/>
      <c r="G628" s="5"/>
      <c r="H628" s="3"/>
      <c r="I628" s="5"/>
      <c r="J628" s="3"/>
      <c r="K628" s="5"/>
      <c r="L628" s="3"/>
      <c r="M628" s="5"/>
      <c r="N628" s="5"/>
    </row>
    <row r="629">
      <c r="A629" s="2"/>
      <c r="B629" s="3"/>
      <c r="C629" s="3"/>
      <c r="D629" s="3"/>
      <c r="E629" s="4"/>
      <c r="F629" s="3"/>
      <c r="G629" s="5"/>
      <c r="H629" s="3"/>
      <c r="I629" s="5"/>
      <c r="J629" s="3"/>
      <c r="K629" s="5"/>
      <c r="L629" s="3"/>
      <c r="M629" s="5"/>
      <c r="N629" s="5"/>
    </row>
    <row r="630">
      <c r="A630" s="2"/>
      <c r="B630" s="3"/>
      <c r="C630" s="3"/>
      <c r="D630" s="3"/>
      <c r="E630" s="4"/>
      <c r="F630" s="3"/>
      <c r="G630" s="5"/>
      <c r="H630" s="3"/>
      <c r="I630" s="5"/>
      <c r="J630" s="3"/>
      <c r="K630" s="5"/>
      <c r="L630" s="3"/>
      <c r="M630" s="5"/>
      <c r="N630" s="5"/>
    </row>
    <row r="631">
      <c r="A631" s="2"/>
      <c r="B631" s="3"/>
      <c r="C631" s="3"/>
      <c r="D631" s="3"/>
      <c r="E631" s="4"/>
      <c r="F631" s="3"/>
      <c r="G631" s="5"/>
      <c r="H631" s="3"/>
      <c r="I631" s="5"/>
      <c r="J631" s="3"/>
      <c r="K631" s="5"/>
      <c r="L631" s="3"/>
      <c r="M631" s="5"/>
      <c r="N631" s="5"/>
    </row>
    <row r="632">
      <c r="A632" s="2"/>
      <c r="B632" s="3"/>
      <c r="C632" s="3"/>
      <c r="D632" s="3"/>
      <c r="E632" s="4"/>
      <c r="F632" s="3"/>
      <c r="G632" s="5"/>
      <c r="H632" s="3"/>
      <c r="I632" s="5"/>
      <c r="J632" s="3"/>
      <c r="K632" s="5"/>
      <c r="L632" s="3"/>
      <c r="M632" s="5"/>
      <c r="N632" s="5"/>
    </row>
    <row r="633">
      <c r="A633" s="2"/>
      <c r="B633" s="3"/>
      <c r="C633" s="3"/>
      <c r="D633" s="3"/>
      <c r="E633" s="4"/>
      <c r="F633" s="3"/>
      <c r="G633" s="5"/>
      <c r="H633" s="3"/>
      <c r="I633" s="5"/>
      <c r="J633" s="3"/>
      <c r="K633" s="5"/>
      <c r="L633" s="3"/>
      <c r="M633" s="5"/>
      <c r="N633" s="5"/>
    </row>
    <row r="634">
      <c r="A634" s="2"/>
      <c r="B634" s="3"/>
      <c r="C634" s="3"/>
      <c r="D634" s="3"/>
      <c r="E634" s="4"/>
      <c r="F634" s="3"/>
      <c r="G634" s="5"/>
      <c r="H634" s="3"/>
      <c r="I634" s="5"/>
      <c r="J634" s="3"/>
      <c r="K634" s="5"/>
      <c r="L634" s="3"/>
      <c r="M634" s="5"/>
      <c r="N634" s="5"/>
    </row>
    <row r="635">
      <c r="A635" s="2"/>
      <c r="B635" s="3"/>
      <c r="C635" s="3"/>
      <c r="D635" s="3"/>
      <c r="E635" s="4"/>
      <c r="F635" s="3"/>
      <c r="G635" s="5"/>
      <c r="H635" s="3"/>
      <c r="I635" s="5"/>
      <c r="J635" s="3"/>
      <c r="K635" s="5"/>
      <c r="L635" s="3"/>
      <c r="M635" s="5"/>
      <c r="N635" s="5"/>
    </row>
    <row r="636">
      <c r="A636" s="2"/>
      <c r="B636" s="3"/>
      <c r="C636" s="3"/>
      <c r="D636" s="3"/>
      <c r="E636" s="4"/>
      <c r="F636" s="3"/>
      <c r="G636" s="5"/>
      <c r="H636" s="3"/>
      <c r="I636" s="5"/>
      <c r="J636" s="3"/>
      <c r="K636" s="5"/>
      <c r="L636" s="3"/>
      <c r="M636" s="5"/>
      <c r="N636" s="5"/>
    </row>
    <row r="637">
      <c r="A637" s="2"/>
      <c r="B637" s="3"/>
      <c r="C637" s="3"/>
      <c r="D637" s="3"/>
      <c r="E637" s="4"/>
      <c r="F637" s="3"/>
      <c r="G637" s="5"/>
      <c r="H637" s="3"/>
      <c r="I637" s="5"/>
      <c r="J637" s="3"/>
      <c r="K637" s="5"/>
      <c r="L637" s="3"/>
      <c r="M637" s="5"/>
      <c r="N637" s="5"/>
    </row>
    <row r="638">
      <c r="A638" s="2"/>
      <c r="B638" s="3"/>
      <c r="C638" s="3"/>
      <c r="D638" s="3"/>
      <c r="E638" s="4"/>
      <c r="F638" s="3"/>
      <c r="G638" s="5"/>
      <c r="H638" s="3"/>
      <c r="I638" s="5"/>
      <c r="J638" s="3"/>
      <c r="K638" s="5"/>
      <c r="L638" s="3"/>
      <c r="M638" s="5"/>
      <c r="N638" s="5"/>
    </row>
    <row r="639">
      <c r="A639" s="2"/>
      <c r="B639" s="3"/>
      <c r="C639" s="3"/>
      <c r="D639" s="3"/>
      <c r="E639" s="4"/>
      <c r="F639" s="3"/>
      <c r="G639" s="5"/>
      <c r="H639" s="3"/>
      <c r="I639" s="5"/>
      <c r="J639" s="3"/>
      <c r="K639" s="5"/>
      <c r="L639" s="3"/>
      <c r="M639" s="5"/>
      <c r="N639" s="5"/>
    </row>
    <row r="640">
      <c r="A640" s="2"/>
      <c r="B640" s="3"/>
      <c r="C640" s="3"/>
      <c r="D640" s="3"/>
      <c r="E640" s="4"/>
      <c r="F640" s="3"/>
      <c r="G640" s="5"/>
      <c r="H640" s="3"/>
      <c r="I640" s="5"/>
      <c r="J640" s="3"/>
      <c r="K640" s="5"/>
      <c r="L640" s="3"/>
      <c r="M640" s="5"/>
      <c r="N640" s="5"/>
    </row>
    <row r="641">
      <c r="A641" s="2"/>
      <c r="B641" s="3"/>
      <c r="C641" s="3"/>
      <c r="D641" s="3"/>
      <c r="E641" s="4"/>
      <c r="F641" s="3"/>
      <c r="G641" s="5"/>
      <c r="H641" s="3"/>
      <c r="I641" s="5"/>
      <c r="J641" s="3"/>
      <c r="K641" s="5"/>
      <c r="L641" s="3"/>
      <c r="M641" s="5"/>
      <c r="N641" s="5"/>
    </row>
    <row r="642">
      <c r="A642" s="2"/>
      <c r="B642" s="3"/>
      <c r="C642" s="3"/>
      <c r="D642" s="3"/>
      <c r="E642" s="4"/>
      <c r="F642" s="3"/>
      <c r="G642" s="5"/>
      <c r="H642" s="3"/>
      <c r="I642" s="5"/>
      <c r="J642" s="3"/>
      <c r="K642" s="5"/>
      <c r="L642" s="3"/>
      <c r="M642" s="5"/>
      <c r="N642" s="5"/>
    </row>
    <row r="643">
      <c r="A643" s="2"/>
      <c r="B643" s="3"/>
      <c r="C643" s="3"/>
      <c r="D643" s="3"/>
      <c r="E643" s="4"/>
      <c r="F643" s="3"/>
      <c r="G643" s="5"/>
      <c r="H643" s="3"/>
      <c r="I643" s="5"/>
      <c r="J643" s="3"/>
      <c r="K643" s="5"/>
      <c r="L643" s="3"/>
      <c r="M643" s="5"/>
      <c r="N643" s="5"/>
    </row>
    <row r="644">
      <c r="A644" s="2"/>
      <c r="B644" s="3"/>
      <c r="C644" s="3"/>
      <c r="D644" s="3"/>
      <c r="E644" s="4"/>
      <c r="F644" s="3"/>
      <c r="G644" s="5"/>
      <c r="H644" s="3"/>
      <c r="I644" s="5"/>
      <c r="J644" s="3"/>
      <c r="K644" s="5"/>
      <c r="L644" s="3"/>
      <c r="M644" s="5"/>
      <c r="N644" s="5"/>
    </row>
    <row r="645">
      <c r="A645" s="2"/>
      <c r="B645" s="3"/>
      <c r="C645" s="3"/>
      <c r="D645" s="3"/>
      <c r="E645" s="4"/>
      <c r="F645" s="3"/>
      <c r="G645" s="5"/>
      <c r="H645" s="3"/>
      <c r="I645" s="5"/>
      <c r="J645" s="3"/>
      <c r="K645" s="5"/>
      <c r="L645" s="3"/>
      <c r="M645" s="5"/>
      <c r="N645" s="5"/>
    </row>
    <row r="646">
      <c r="A646" s="2"/>
      <c r="B646" s="3"/>
      <c r="C646" s="3"/>
      <c r="D646" s="3"/>
      <c r="E646" s="4"/>
      <c r="F646" s="3"/>
      <c r="G646" s="5"/>
      <c r="H646" s="3"/>
      <c r="I646" s="5"/>
      <c r="J646" s="3"/>
      <c r="K646" s="5"/>
      <c r="L646" s="3"/>
      <c r="M646" s="5"/>
      <c r="N646" s="5"/>
    </row>
    <row r="647">
      <c r="A647" s="2"/>
      <c r="B647" s="3"/>
      <c r="C647" s="3"/>
      <c r="D647" s="3"/>
      <c r="E647" s="4"/>
      <c r="F647" s="3"/>
      <c r="G647" s="5"/>
      <c r="H647" s="3"/>
      <c r="I647" s="5"/>
      <c r="J647" s="3"/>
      <c r="K647" s="5"/>
      <c r="L647" s="3"/>
      <c r="M647" s="5"/>
      <c r="N647" s="5"/>
    </row>
    <row r="648">
      <c r="A648" s="2"/>
      <c r="B648" s="3"/>
      <c r="C648" s="3"/>
      <c r="D648" s="3"/>
      <c r="E648" s="4"/>
      <c r="F648" s="3"/>
      <c r="G648" s="5"/>
      <c r="H648" s="3"/>
      <c r="I648" s="5"/>
      <c r="J648" s="3"/>
      <c r="K648" s="5"/>
      <c r="L648" s="3"/>
      <c r="M648" s="5"/>
      <c r="N648" s="5"/>
    </row>
    <row r="649">
      <c r="A649" s="2"/>
      <c r="B649" s="3"/>
      <c r="C649" s="3"/>
      <c r="D649" s="3"/>
      <c r="E649" s="4"/>
      <c r="F649" s="3"/>
      <c r="G649" s="5"/>
      <c r="H649" s="3"/>
      <c r="I649" s="5"/>
      <c r="J649" s="3"/>
      <c r="K649" s="5"/>
      <c r="L649" s="3"/>
      <c r="M649" s="5"/>
      <c r="N649" s="5"/>
    </row>
    <row r="650">
      <c r="A650" s="2"/>
      <c r="B650" s="3"/>
      <c r="C650" s="3"/>
      <c r="D650" s="3"/>
      <c r="E650" s="4"/>
      <c r="F650" s="3"/>
      <c r="G650" s="5"/>
      <c r="H650" s="3"/>
      <c r="I650" s="5"/>
      <c r="J650" s="3"/>
      <c r="K650" s="5"/>
      <c r="L650" s="3"/>
      <c r="M650" s="5"/>
      <c r="N650" s="5"/>
    </row>
    <row r="651">
      <c r="A651" s="2"/>
      <c r="B651" s="3"/>
      <c r="C651" s="3"/>
      <c r="D651" s="3"/>
      <c r="E651" s="4"/>
      <c r="F651" s="3"/>
      <c r="G651" s="5"/>
      <c r="H651" s="3"/>
      <c r="I651" s="5"/>
      <c r="J651" s="3"/>
      <c r="K651" s="5"/>
      <c r="L651" s="3"/>
      <c r="M651" s="5"/>
      <c r="N651" s="5"/>
    </row>
    <row r="652">
      <c r="A652" s="2"/>
      <c r="B652" s="3"/>
      <c r="C652" s="3"/>
      <c r="D652" s="3"/>
      <c r="E652" s="4"/>
      <c r="F652" s="3"/>
      <c r="G652" s="5"/>
      <c r="H652" s="3"/>
      <c r="I652" s="5"/>
      <c r="J652" s="3"/>
      <c r="K652" s="5"/>
      <c r="L652" s="3"/>
      <c r="M652" s="5"/>
      <c r="N652" s="5"/>
    </row>
    <row r="653">
      <c r="A653" s="2"/>
      <c r="B653" s="3"/>
      <c r="C653" s="3"/>
      <c r="D653" s="3"/>
      <c r="E653" s="4"/>
      <c r="F653" s="3"/>
      <c r="G653" s="5"/>
      <c r="H653" s="3"/>
      <c r="I653" s="5"/>
      <c r="J653" s="3"/>
      <c r="K653" s="5"/>
      <c r="L653" s="3"/>
      <c r="M653" s="5"/>
      <c r="N653" s="5"/>
    </row>
    <row r="654">
      <c r="A654" s="2"/>
      <c r="B654" s="3"/>
      <c r="C654" s="3"/>
      <c r="D654" s="3"/>
      <c r="E654" s="4"/>
      <c r="F654" s="3"/>
      <c r="G654" s="5"/>
      <c r="H654" s="3"/>
      <c r="I654" s="5"/>
      <c r="J654" s="3"/>
      <c r="K654" s="5"/>
      <c r="L654" s="3"/>
      <c r="M654" s="5"/>
      <c r="N654" s="5"/>
    </row>
    <row r="655">
      <c r="A655" s="2"/>
      <c r="B655" s="3"/>
      <c r="C655" s="3"/>
      <c r="D655" s="3"/>
      <c r="E655" s="4"/>
      <c r="F655" s="3"/>
      <c r="G655" s="5"/>
      <c r="H655" s="3"/>
      <c r="I655" s="5"/>
      <c r="J655" s="3"/>
      <c r="K655" s="5"/>
      <c r="L655" s="3"/>
      <c r="M655" s="5"/>
      <c r="N655" s="5"/>
    </row>
    <row r="656">
      <c r="A656" s="2"/>
      <c r="B656" s="3"/>
      <c r="C656" s="3"/>
      <c r="D656" s="3"/>
      <c r="E656" s="4"/>
      <c r="F656" s="3"/>
      <c r="G656" s="5"/>
      <c r="H656" s="3"/>
      <c r="I656" s="5"/>
      <c r="J656" s="3"/>
      <c r="K656" s="5"/>
      <c r="L656" s="3"/>
      <c r="M656" s="5"/>
      <c r="N656" s="5"/>
    </row>
    <row r="657">
      <c r="A657" s="2"/>
      <c r="B657" s="3"/>
      <c r="C657" s="3"/>
      <c r="D657" s="3"/>
      <c r="E657" s="4"/>
      <c r="F657" s="3"/>
      <c r="G657" s="5"/>
      <c r="H657" s="3"/>
      <c r="I657" s="5"/>
      <c r="J657" s="3"/>
      <c r="K657" s="5"/>
      <c r="L657" s="3"/>
      <c r="M657" s="5"/>
      <c r="N657" s="5"/>
    </row>
    <row r="658">
      <c r="A658" s="2"/>
      <c r="B658" s="3"/>
      <c r="C658" s="3"/>
      <c r="D658" s="3"/>
      <c r="E658" s="4"/>
      <c r="F658" s="3"/>
      <c r="G658" s="5"/>
      <c r="H658" s="3"/>
      <c r="I658" s="5"/>
      <c r="J658" s="3"/>
      <c r="K658" s="5"/>
      <c r="L658" s="3"/>
      <c r="M658" s="5"/>
      <c r="N658" s="5"/>
    </row>
    <row r="659">
      <c r="A659" s="2"/>
      <c r="B659" s="3"/>
      <c r="C659" s="3"/>
      <c r="D659" s="3"/>
      <c r="E659" s="4"/>
      <c r="F659" s="3"/>
      <c r="G659" s="5"/>
      <c r="H659" s="3"/>
      <c r="I659" s="5"/>
      <c r="J659" s="3"/>
      <c r="K659" s="5"/>
      <c r="L659" s="3"/>
      <c r="M659" s="5"/>
      <c r="N659" s="5"/>
    </row>
    <row r="660">
      <c r="A660" s="2"/>
      <c r="B660" s="3"/>
      <c r="C660" s="3"/>
      <c r="D660" s="3"/>
      <c r="E660" s="4"/>
      <c r="F660" s="3"/>
      <c r="G660" s="5"/>
      <c r="H660" s="3"/>
      <c r="I660" s="5"/>
      <c r="J660" s="3"/>
      <c r="K660" s="5"/>
      <c r="L660" s="3"/>
      <c r="M660" s="5"/>
      <c r="N660" s="5"/>
    </row>
    <row r="661">
      <c r="A661" s="2"/>
      <c r="B661" s="3"/>
      <c r="C661" s="3"/>
      <c r="D661" s="3"/>
      <c r="E661" s="4"/>
      <c r="F661" s="3"/>
      <c r="G661" s="5"/>
      <c r="H661" s="3"/>
      <c r="I661" s="5"/>
      <c r="J661" s="3"/>
      <c r="K661" s="5"/>
      <c r="L661" s="3"/>
      <c r="M661" s="5"/>
      <c r="N661" s="5"/>
    </row>
    <row r="662">
      <c r="A662" s="2"/>
      <c r="B662" s="3"/>
      <c r="C662" s="3"/>
      <c r="D662" s="3"/>
      <c r="E662" s="4"/>
      <c r="F662" s="3"/>
      <c r="G662" s="5"/>
      <c r="H662" s="3"/>
      <c r="I662" s="5"/>
      <c r="J662" s="3"/>
      <c r="K662" s="5"/>
      <c r="L662" s="3"/>
      <c r="M662" s="5"/>
      <c r="N662" s="5"/>
    </row>
    <row r="663">
      <c r="A663" s="2"/>
      <c r="B663" s="3"/>
      <c r="C663" s="3"/>
      <c r="D663" s="3"/>
      <c r="E663" s="4"/>
      <c r="F663" s="3"/>
      <c r="G663" s="5"/>
      <c r="H663" s="3"/>
      <c r="I663" s="5"/>
      <c r="J663" s="3"/>
      <c r="K663" s="5"/>
      <c r="L663" s="3"/>
      <c r="M663" s="5"/>
      <c r="N663" s="5"/>
    </row>
    <row r="664">
      <c r="A664" s="2"/>
      <c r="B664" s="3"/>
      <c r="C664" s="3"/>
      <c r="D664" s="3"/>
      <c r="E664" s="4"/>
      <c r="F664" s="3"/>
      <c r="G664" s="5"/>
      <c r="H664" s="3"/>
      <c r="I664" s="5"/>
      <c r="J664" s="3"/>
      <c r="K664" s="5"/>
      <c r="L664" s="3"/>
      <c r="M664" s="5"/>
      <c r="N664" s="5"/>
    </row>
    <row r="665">
      <c r="A665" s="2"/>
      <c r="B665" s="3"/>
      <c r="C665" s="3"/>
      <c r="D665" s="3"/>
      <c r="E665" s="4"/>
      <c r="F665" s="3"/>
      <c r="G665" s="5"/>
      <c r="H665" s="3"/>
      <c r="I665" s="5"/>
      <c r="J665" s="3"/>
      <c r="K665" s="5"/>
      <c r="L665" s="3"/>
      <c r="M665" s="5"/>
      <c r="N665" s="5"/>
    </row>
    <row r="666">
      <c r="A666" s="2"/>
      <c r="B666" s="3"/>
      <c r="C666" s="3"/>
      <c r="D666" s="3"/>
      <c r="E666" s="4"/>
      <c r="F666" s="3"/>
      <c r="G666" s="5"/>
      <c r="H666" s="3"/>
      <c r="I666" s="5"/>
      <c r="J666" s="3"/>
      <c r="K666" s="5"/>
      <c r="L666" s="3"/>
      <c r="M666" s="5"/>
      <c r="N666" s="5"/>
    </row>
    <row r="667">
      <c r="A667" s="2"/>
      <c r="B667" s="3"/>
      <c r="C667" s="3"/>
      <c r="D667" s="3"/>
      <c r="E667" s="4"/>
      <c r="F667" s="3"/>
      <c r="G667" s="5"/>
      <c r="H667" s="3"/>
      <c r="I667" s="5"/>
      <c r="J667" s="3"/>
      <c r="K667" s="5"/>
      <c r="L667" s="3"/>
      <c r="M667" s="5"/>
      <c r="N667" s="5"/>
    </row>
    <row r="668">
      <c r="A668" s="2"/>
      <c r="B668" s="3"/>
      <c r="C668" s="3"/>
      <c r="D668" s="3"/>
      <c r="E668" s="4"/>
      <c r="F668" s="3"/>
      <c r="G668" s="5"/>
      <c r="H668" s="3"/>
      <c r="I668" s="5"/>
      <c r="J668" s="3"/>
      <c r="K668" s="5"/>
      <c r="L668" s="3"/>
      <c r="M668" s="5"/>
      <c r="N668" s="5"/>
    </row>
    <row r="669">
      <c r="A669" s="2"/>
      <c r="B669" s="3"/>
      <c r="C669" s="3"/>
      <c r="D669" s="3"/>
      <c r="E669" s="4"/>
      <c r="F669" s="3"/>
      <c r="G669" s="5"/>
      <c r="H669" s="3"/>
      <c r="I669" s="5"/>
      <c r="J669" s="3"/>
      <c r="K669" s="5"/>
      <c r="L669" s="3"/>
      <c r="M669" s="5"/>
      <c r="N669" s="5"/>
    </row>
    <row r="670">
      <c r="A670" s="2"/>
      <c r="B670" s="3"/>
      <c r="C670" s="3"/>
      <c r="D670" s="3"/>
      <c r="E670" s="4"/>
      <c r="F670" s="3"/>
      <c r="G670" s="5"/>
      <c r="H670" s="3"/>
      <c r="I670" s="5"/>
      <c r="J670" s="3"/>
      <c r="K670" s="5"/>
      <c r="L670" s="3"/>
      <c r="M670" s="5"/>
      <c r="N670" s="5"/>
    </row>
    <row r="671">
      <c r="A671" s="2"/>
      <c r="B671" s="3"/>
      <c r="C671" s="3"/>
      <c r="D671" s="3"/>
      <c r="E671" s="4"/>
      <c r="F671" s="3"/>
      <c r="G671" s="5"/>
      <c r="H671" s="3"/>
      <c r="I671" s="5"/>
      <c r="J671" s="3"/>
      <c r="K671" s="5"/>
      <c r="L671" s="3"/>
      <c r="M671" s="5"/>
      <c r="N671" s="5"/>
    </row>
    <row r="672">
      <c r="A672" s="2"/>
      <c r="B672" s="3"/>
      <c r="C672" s="3"/>
      <c r="D672" s="3"/>
      <c r="E672" s="4"/>
      <c r="F672" s="3"/>
      <c r="G672" s="5"/>
      <c r="H672" s="3"/>
      <c r="I672" s="5"/>
      <c r="J672" s="3"/>
      <c r="K672" s="5"/>
      <c r="L672" s="3"/>
      <c r="M672" s="5"/>
      <c r="N672" s="5"/>
    </row>
    <row r="673">
      <c r="A673" s="2"/>
      <c r="B673" s="3"/>
      <c r="C673" s="3"/>
      <c r="D673" s="3"/>
      <c r="E673" s="4"/>
      <c r="F673" s="3"/>
      <c r="G673" s="5"/>
      <c r="H673" s="3"/>
      <c r="I673" s="5"/>
      <c r="J673" s="3"/>
      <c r="K673" s="5"/>
      <c r="L673" s="3"/>
      <c r="M673" s="5"/>
      <c r="N673" s="5"/>
    </row>
    <row r="674">
      <c r="A674" s="2"/>
      <c r="B674" s="3"/>
      <c r="C674" s="3"/>
      <c r="D674" s="3"/>
      <c r="E674" s="4"/>
      <c r="F674" s="3"/>
      <c r="G674" s="5"/>
      <c r="H674" s="3"/>
      <c r="I674" s="5"/>
      <c r="J674" s="3"/>
      <c r="K674" s="5"/>
      <c r="L674" s="3"/>
      <c r="M674" s="5"/>
      <c r="N674" s="5"/>
    </row>
    <row r="675">
      <c r="A675" s="2"/>
      <c r="B675" s="3"/>
      <c r="C675" s="3"/>
      <c r="D675" s="3"/>
      <c r="E675" s="4"/>
      <c r="F675" s="3"/>
      <c r="G675" s="5"/>
      <c r="H675" s="3"/>
      <c r="I675" s="5"/>
      <c r="J675" s="3"/>
      <c r="K675" s="5"/>
      <c r="L675" s="3"/>
      <c r="M675" s="5"/>
      <c r="N675" s="5"/>
    </row>
    <row r="676">
      <c r="A676" s="2"/>
      <c r="B676" s="3"/>
      <c r="C676" s="3"/>
      <c r="D676" s="3"/>
      <c r="E676" s="4"/>
      <c r="F676" s="3"/>
      <c r="G676" s="5"/>
      <c r="H676" s="3"/>
      <c r="I676" s="5"/>
      <c r="J676" s="3"/>
      <c r="K676" s="5"/>
      <c r="L676" s="3"/>
      <c r="M676" s="5"/>
      <c r="N676" s="5"/>
    </row>
    <row r="677">
      <c r="A677" s="2"/>
      <c r="B677" s="3"/>
      <c r="C677" s="3"/>
      <c r="D677" s="3"/>
      <c r="E677" s="4"/>
      <c r="F677" s="3"/>
      <c r="G677" s="5"/>
      <c r="H677" s="3"/>
      <c r="I677" s="5"/>
      <c r="J677" s="3"/>
      <c r="K677" s="5"/>
      <c r="L677" s="3"/>
      <c r="M677" s="5"/>
      <c r="N677" s="5"/>
    </row>
    <row r="678">
      <c r="A678" s="2"/>
      <c r="B678" s="3"/>
      <c r="C678" s="3"/>
      <c r="D678" s="3"/>
      <c r="E678" s="4"/>
      <c r="F678" s="3"/>
      <c r="G678" s="5"/>
      <c r="H678" s="3"/>
      <c r="I678" s="5"/>
      <c r="J678" s="3"/>
      <c r="K678" s="5"/>
      <c r="L678" s="3"/>
      <c r="M678" s="5"/>
      <c r="N678" s="5"/>
    </row>
    <row r="679">
      <c r="A679" s="2"/>
      <c r="B679" s="3"/>
      <c r="C679" s="3"/>
      <c r="D679" s="3"/>
      <c r="E679" s="4"/>
      <c r="F679" s="3"/>
      <c r="G679" s="5"/>
      <c r="H679" s="3"/>
      <c r="I679" s="5"/>
      <c r="J679" s="3"/>
      <c r="K679" s="5"/>
      <c r="L679" s="3"/>
      <c r="M679" s="5"/>
      <c r="N679" s="5"/>
    </row>
    <row r="680">
      <c r="A680" s="2"/>
      <c r="B680" s="3"/>
      <c r="C680" s="3"/>
      <c r="D680" s="3"/>
      <c r="E680" s="4"/>
      <c r="F680" s="3"/>
      <c r="G680" s="5"/>
      <c r="H680" s="3"/>
      <c r="I680" s="5"/>
      <c r="J680" s="3"/>
      <c r="K680" s="5"/>
      <c r="L680" s="3"/>
      <c r="M680" s="5"/>
      <c r="N680" s="5"/>
    </row>
    <row r="681">
      <c r="A681" s="2"/>
      <c r="B681" s="3"/>
      <c r="C681" s="3"/>
      <c r="D681" s="3"/>
      <c r="E681" s="4"/>
      <c r="F681" s="3"/>
      <c r="G681" s="5"/>
      <c r="H681" s="3"/>
      <c r="I681" s="5"/>
      <c r="J681" s="3"/>
      <c r="K681" s="5"/>
      <c r="L681" s="3"/>
      <c r="M681" s="5"/>
      <c r="N681" s="5"/>
    </row>
    <row r="682">
      <c r="A682" s="2"/>
      <c r="B682" s="3"/>
      <c r="C682" s="3"/>
      <c r="D682" s="3"/>
      <c r="E682" s="4"/>
      <c r="F682" s="3"/>
      <c r="G682" s="5"/>
      <c r="H682" s="3"/>
      <c r="I682" s="5"/>
      <c r="J682" s="3"/>
      <c r="K682" s="5"/>
      <c r="L682" s="3"/>
      <c r="M682" s="5"/>
      <c r="N682" s="5"/>
    </row>
    <row r="683">
      <c r="A683" s="2"/>
      <c r="B683" s="3"/>
      <c r="C683" s="3"/>
      <c r="D683" s="3"/>
      <c r="E683" s="4"/>
      <c r="F683" s="3"/>
      <c r="G683" s="5"/>
      <c r="H683" s="3"/>
      <c r="I683" s="5"/>
      <c r="J683" s="3"/>
      <c r="K683" s="5"/>
      <c r="L683" s="3"/>
      <c r="M683" s="5"/>
      <c r="N683" s="5"/>
    </row>
    <row r="684">
      <c r="A684" s="2"/>
      <c r="B684" s="3"/>
      <c r="C684" s="3"/>
      <c r="D684" s="3"/>
      <c r="E684" s="4"/>
      <c r="F684" s="3"/>
      <c r="G684" s="5"/>
      <c r="H684" s="3"/>
      <c r="I684" s="5"/>
      <c r="J684" s="3"/>
      <c r="K684" s="5"/>
      <c r="L684" s="3"/>
      <c r="M684" s="5"/>
      <c r="N684" s="5"/>
    </row>
    <row r="685">
      <c r="A685" s="2"/>
      <c r="B685" s="3"/>
      <c r="C685" s="3"/>
      <c r="D685" s="3"/>
      <c r="E685" s="4"/>
      <c r="F685" s="3"/>
      <c r="G685" s="5"/>
      <c r="H685" s="3"/>
      <c r="I685" s="5"/>
      <c r="J685" s="3"/>
      <c r="K685" s="5"/>
      <c r="L685" s="3"/>
      <c r="M685" s="5"/>
      <c r="N685" s="5"/>
    </row>
    <row r="686">
      <c r="A686" s="2"/>
      <c r="B686" s="3"/>
      <c r="C686" s="3"/>
      <c r="D686" s="3"/>
      <c r="E686" s="4"/>
      <c r="F686" s="3"/>
      <c r="G686" s="5"/>
      <c r="H686" s="3"/>
      <c r="I686" s="5"/>
      <c r="J686" s="3"/>
      <c r="K686" s="5"/>
      <c r="L686" s="3"/>
      <c r="M686" s="5"/>
      <c r="N686" s="5"/>
    </row>
    <row r="687">
      <c r="A687" s="2"/>
      <c r="B687" s="3"/>
      <c r="C687" s="3"/>
      <c r="D687" s="3"/>
      <c r="E687" s="4"/>
      <c r="F687" s="3"/>
      <c r="G687" s="5"/>
      <c r="H687" s="3"/>
      <c r="I687" s="5"/>
      <c r="J687" s="3"/>
      <c r="K687" s="5"/>
      <c r="L687" s="3"/>
      <c r="M687" s="5"/>
      <c r="N687" s="5"/>
    </row>
    <row r="688">
      <c r="A688" s="2"/>
      <c r="B688" s="3"/>
      <c r="C688" s="3"/>
      <c r="D688" s="3"/>
      <c r="E688" s="4"/>
      <c r="F688" s="3"/>
      <c r="G688" s="5"/>
      <c r="H688" s="3"/>
      <c r="I688" s="5"/>
      <c r="J688" s="3"/>
      <c r="K688" s="5"/>
      <c r="L688" s="3"/>
      <c r="M688" s="5"/>
      <c r="N688" s="5"/>
    </row>
    <row r="689">
      <c r="A689" s="2"/>
      <c r="B689" s="3"/>
      <c r="C689" s="3"/>
      <c r="D689" s="3"/>
      <c r="E689" s="4"/>
      <c r="F689" s="3"/>
      <c r="G689" s="5"/>
      <c r="H689" s="3"/>
      <c r="I689" s="5"/>
      <c r="J689" s="3"/>
      <c r="K689" s="5"/>
      <c r="L689" s="3"/>
      <c r="M689" s="5"/>
      <c r="N689" s="5"/>
    </row>
    <row r="690">
      <c r="A690" s="2"/>
      <c r="B690" s="3"/>
      <c r="C690" s="3"/>
      <c r="D690" s="3"/>
      <c r="E690" s="4"/>
      <c r="F690" s="3"/>
      <c r="G690" s="5"/>
      <c r="H690" s="3"/>
      <c r="I690" s="5"/>
      <c r="J690" s="3"/>
      <c r="K690" s="5"/>
      <c r="L690" s="3"/>
      <c r="M690" s="5"/>
      <c r="N690" s="5"/>
    </row>
    <row r="691">
      <c r="A691" s="2"/>
      <c r="B691" s="3"/>
      <c r="C691" s="3"/>
      <c r="D691" s="3"/>
      <c r="E691" s="4"/>
      <c r="F691" s="3"/>
      <c r="G691" s="5"/>
      <c r="H691" s="3"/>
      <c r="I691" s="5"/>
      <c r="J691" s="3"/>
      <c r="K691" s="5"/>
      <c r="L691" s="3"/>
      <c r="M691" s="5"/>
      <c r="N691" s="5"/>
    </row>
    <row r="692">
      <c r="A692" s="2"/>
      <c r="B692" s="3"/>
      <c r="C692" s="3"/>
      <c r="D692" s="3"/>
      <c r="E692" s="4"/>
      <c r="F692" s="3"/>
      <c r="G692" s="5"/>
      <c r="H692" s="3"/>
      <c r="I692" s="5"/>
      <c r="J692" s="3"/>
      <c r="K692" s="5"/>
      <c r="L692" s="3"/>
      <c r="M692" s="5"/>
      <c r="N692" s="5"/>
    </row>
    <row r="693">
      <c r="A693" s="2"/>
      <c r="B693" s="3"/>
      <c r="C693" s="3"/>
      <c r="D693" s="3"/>
      <c r="E693" s="4"/>
      <c r="F693" s="3"/>
      <c r="G693" s="5"/>
      <c r="H693" s="3"/>
      <c r="I693" s="5"/>
      <c r="J693" s="3"/>
      <c r="K693" s="5"/>
      <c r="L693" s="3"/>
      <c r="M693" s="5"/>
      <c r="N693" s="5"/>
    </row>
    <row r="694">
      <c r="A694" s="2"/>
      <c r="B694" s="3"/>
      <c r="C694" s="3"/>
      <c r="D694" s="3"/>
      <c r="E694" s="4"/>
      <c r="F694" s="3"/>
      <c r="G694" s="5"/>
      <c r="H694" s="3"/>
      <c r="I694" s="5"/>
      <c r="J694" s="3"/>
      <c r="K694" s="5"/>
      <c r="L694" s="3"/>
      <c r="M694" s="5"/>
      <c r="N694" s="5"/>
    </row>
    <row r="695">
      <c r="A695" s="2"/>
      <c r="B695" s="3"/>
      <c r="C695" s="3"/>
      <c r="D695" s="3"/>
      <c r="E695" s="4"/>
      <c r="F695" s="3"/>
      <c r="G695" s="5"/>
      <c r="H695" s="3"/>
      <c r="I695" s="5"/>
      <c r="J695" s="3"/>
      <c r="K695" s="5"/>
      <c r="L695" s="3"/>
      <c r="M695" s="5"/>
      <c r="N695" s="5"/>
    </row>
    <row r="696">
      <c r="A696" s="2"/>
      <c r="B696" s="3"/>
      <c r="C696" s="3"/>
      <c r="D696" s="3"/>
      <c r="E696" s="4"/>
      <c r="F696" s="3"/>
      <c r="G696" s="5"/>
      <c r="H696" s="3"/>
      <c r="I696" s="5"/>
      <c r="J696" s="3"/>
      <c r="K696" s="5"/>
      <c r="L696" s="3"/>
      <c r="M696" s="5"/>
      <c r="N696" s="5"/>
    </row>
    <row r="697">
      <c r="A697" s="2"/>
      <c r="B697" s="3"/>
      <c r="C697" s="3"/>
      <c r="D697" s="3"/>
      <c r="E697" s="4"/>
      <c r="F697" s="3"/>
      <c r="G697" s="5"/>
      <c r="H697" s="3"/>
      <c r="I697" s="5"/>
      <c r="J697" s="3"/>
      <c r="K697" s="5"/>
      <c r="L697" s="3"/>
      <c r="M697" s="5"/>
      <c r="N697" s="5"/>
    </row>
    <row r="698">
      <c r="A698" s="2"/>
      <c r="B698" s="3"/>
      <c r="C698" s="3"/>
      <c r="D698" s="3"/>
      <c r="E698" s="4"/>
      <c r="F698" s="3"/>
      <c r="G698" s="5"/>
      <c r="H698" s="3"/>
      <c r="I698" s="5"/>
      <c r="J698" s="3"/>
      <c r="K698" s="5"/>
      <c r="L698" s="3"/>
      <c r="M698" s="5"/>
      <c r="N698" s="5"/>
    </row>
    <row r="699">
      <c r="A699" s="2"/>
      <c r="B699" s="3"/>
      <c r="C699" s="3"/>
      <c r="D699" s="3"/>
      <c r="E699" s="4"/>
      <c r="F699" s="3"/>
      <c r="G699" s="5"/>
      <c r="H699" s="3"/>
      <c r="I699" s="5"/>
      <c r="J699" s="3"/>
      <c r="K699" s="5"/>
      <c r="L699" s="3"/>
      <c r="M699" s="5"/>
      <c r="N699" s="5"/>
    </row>
    <row r="700">
      <c r="A700" s="2"/>
      <c r="B700" s="3"/>
      <c r="C700" s="3"/>
      <c r="D700" s="3"/>
      <c r="E700" s="4"/>
      <c r="F700" s="3"/>
      <c r="G700" s="5"/>
      <c r="H700" s="3"/>
      <c r="I700" s="5"/>
      <c r="J700" s="3"/>
      <c r="K700" s="5"/>
      <c r="L700" s="3"/>
      <c r="M700" s="5"/>
      <c r="N700" s="5"/>
    </row>
    <row r="701">
      <c r="A701" s="2"/>
      <c r="B701" s="3"/>
      <c r="C701" s="3"/>
      <c r="D701" s="3"/>
      <c r="E701" s="4"/>
      <c r="F701" s="3"/>
      <c r="G701" s="5"/>
      <c r="H701" s="3"/>
      <c r="I701" s="5"/>
      <c r="J701" s="3"/>
      <c r="K701" s="5"/>
      <c r="L701" s="3"/>
      <c r="M701" s="5"/>
      <c r="N701" s="5"/>
    </row>
    <row r="702">
      <c r="A702" s="2"/>
      <c r="B702" s="3"/>
      <c r="C702" s="3"/>
      <c r="D702" s="3"/>
      <c r="E702" s="4"/>
      <c r="F702" s="3"/>
      <c r="G702" s="5"/>
      <c r="H702" s="3"/>
      <c r="I702" s="5"/>
      <c r="J702" s="3"/>
      <c r="K702" s="5"/>
      <c r="L702" s="3"/>
      <c r="M702" s="5"/>
      <c r="N702" s="5"/>
    </row>
    <row r="703">
      <c r="A703" s="2"/>
      <c r="B703" s="3"/>
      <c r="C703" s="3"/>
      <c r="D703" s="3"/>
      <c r="E703" s="4"/>
      <c r="F703" s="3"/>
      <c r="G703" s="5"/>
      <c r="H703" s="3"/>
      <c r="I703" s="5"/>
      <c r="J703" s="3"/>
      <c r="K703" s="5"/>
      <c r="L703" s="3"/>
      <c r="M703" s="5"/>
      <c r="N703" s="5"/>
    </row>
    <row r="704">
      <c r="A704" s="2"/>
      <c r="B704" s="3"/>
      <c r="C704" s="3"/>
      <c r="D704" s="3"/>
      <c r="E704" s="4"/>
      <c r="F704" s="3"/>
      <c r="G704" s="5"/>
      <c r="H704" s="3"/>
      <c r="I704" s="5"/>
      <c r="J704" s="3"/>
      <c r="K704" s="5"/>
      <c r="L704" s="3"/>
      <c r="M704" s="5"/>
      <c r="N704" s="5"/>
    </row>
    <row r="705">
      <c r="A705" s="2"/>
      <c r="B705" s="3"/>
      <c r="C705" s="3"/>
      <c r="D705" s="3"/>
      <c r="E705" s="4"/>
      <c r="F705" s="3"/>
      <c r="G705" s="5"/>
      <c r="H705" s="3"/>
      <c r="I705" s="5"/>
      <c r="J705" s="3"/>
      <c r="K705" s="5"/>
      <c r="L705" s="3"/>
      <c r="M705" s="5"/>
      <c r="N705" s="5"/>
    </row>
    <row r="706">
      <c r="A706" s="2"/>
      <c r="B706" s="3"/>
      <c r="C706" s="3"/>
      <c r="D706" s="3"/>
      <c r="E706" s="4"/>
      <c r="F706" s="3"/>
      <c r="G706" s="5"/>
      <c r="H706" s="3"/>
      <c r="I706" s="5"/>
      <c r="J706" s="3"/>
      <c r="K706" s="5"/>
      <c r="L706" s="3"/>
      <c r="M706" s="5"/>
      <c r="N706" s="5"/>
    </row>
    <row r="707">
      <c r="A707" s="2"/>
      <c r="B707" s="3"/>
      <c r="C707" s="3"/>
      <c r="D707" s="3"/>
      <c r="E707" s="4"/>
      <c r="F707" s="3"/>
      <c r="G707" s="5"/>
      <c r="H707" s="3"/>
      <c r="I707" s="5"/>
      <c r="J707" s="3"/>
      <c r="K707" s="5"/>
      <c r="L707" s="3"/>
      <c r="M707" s="5"/>
      <c r="N707" s="5"/>
    </row>
    <row r="708">
      <c r="A708" s="2"/>
      <c r="B708" s="3"/>
      <c r="C708" s="3"/>
      <c r="D708" s="3"/>
      <c r="E708" s="4"/>
      <c r="F708" s="3"/>
      <c r="G708" s="5"/>
      <c r="H708" s="3"/>
      <c r="I708" s="5"/>
      <c r="J708" s="3"/>
      <c r="K708" s="5"/>
      <c r="L708" s="3"/>
      <c r="M708" s="5"/>
      <c r="N708" s="5"/>
    </row>
    <row r="709">
      <c r="A709" s="2"/>
      <c r="B709" s="3"/>
      <c r="C709" s="3"/>
      <c r="D709" s="3"/>
      <c r="E709" s="4"/>
      <c r="F709" s="3"/>
      <c r="G709" s="5"/>
      <c r="H709" s="3"/>
      <c r="I709" s="5"/>
      <c r="J709" s="3"/>
      <c r="K709" s="5"/>
      <c r="L709" s="3"/>
      <c r="M709" s="5"/>
      <c r="N709" s="5"/>
    </row>
    <row r="710">
      <c r="A710" s="2"/>
      <c r="B710" s="3"/>
      <c r="C710" s="3"/>
      <c r="D710" s="3"/>
      <c r="E710" s="4"/>
      <c r="F710" s="3"/>
      <c r="G710" s="5"/>
      <c r="H710" s="3"/>
      <c r="I710" s="5"/>
      <c r="J710" s="3"/>
      <c r="K710" s="5"/>
      <c r="L710" s="3"/>
      <c r="M710" s="5"/>
      <c r="N710" s="5"/>
    </row>
    <row r="711">
      <c r="A711" s="2"/>
      <c r="B711" s="3"/>
      <c r="C711" s="3"/>
      <c r="D711" s="3"/>
      <c r="E711" s="4"/>
      <c r="F711" s="3"/>
      <c r="G711" s="5"/>
      <c r="H711" s="3"/>
      <c r="I711" s="5"/>
      <c r="J711" s="3"/>
      <c r="K711" s="5"/>
      <c r="L711" s="3"/>
      <c r="M711" s="5"/>
      <c r="N711" s="5"/>
    </row>
    <row r="712">
      <c r="A712" s="2"/>
      <c r="B712" s="3"/>
      <c r="C712" s="3"/>
      <c r="D712" s="3"/>
      <c r="E712" s="4"/>
      <c r="F712" s="3"/>
      <c r="G712" s="5"/>
      <c r="H712" s="3"/>
      <c r="I712" s="5"/>
      <c r="J712" s="3"/>
      <c r="K712" s="5"/>
      <c r="L712" s="3"/>
      <c r="M712" s="5"/>
      <c r="N712" s="5"/>
    </row>
    <row r="713">
      <c r="A713" s="2"/>
      <c r="B713" s="3"/>
      <c r="C713" s="3"/>
      <c r="D713" s="3"/>
      <c r="E713" s="4"/>
      <c r="F713" s="3"/>
      <c r="G713" s="5"/>
      <c r="H713" s="3"/>
      <c r="I713" s="5"/>
      <c r="J713" s="3"/>
      <c r="K713" s="5"/>
      <c r="L713" s="3"/>
      <c r="M713" s="5"/>
      <c r="N713" s="5"/>
    </row>
    <row r="714">
      <c r="A714" s="2"/>
      <c r="B714" s="3"/>
      <c r="C714" s="3"/>
      <c r="D714" s="3"/>
      <c r="E714" s="4"/>
      <c r="F714" s="3"/>
      <c r="G714" s="5"/>
      <c r="H714" s="3"/>
      <c r="I714" s="5"/>
      <c r="J714" s="3"/>
      <c r="K714" s="5"/>
      <c r="L714" s="3"/>
      <c r="M714" s="5"/>
      <c r="N714" s="5"/>
    </row>
    <row r="715">
      <c r="A715" s="2"/>
      <c r="B715" s="3"/>
      <c r="C715" s="3"/>
      <c r="D715" s="3"/>
      <c r="E715" s="4"/>
      <c r="F715" s="3"/>
      <c r="G715" s="5"/>
      <c r="H715" s="3"/>
      <c r="I715" s="5"/>
      <c r="J715" s="3"/>
      <c r="K715" s="5"/>
      <c r="L715" s="3"/>
      <c r="M715" s="5"/>
      <c r="N715" s="5"/>
    </row>
    <row r="716">
      <c r="A716" s="2"/>
      <c r="B716" s="3"/>
      <c r="C716" s="3"/>
      <c r="D716" s="3"/>
      <c r="E716" s="4"/>
      <c r="F716" s="3"/>
      <c r="G716" s="5"/>
      <c r="H716" s="3"/>
      <c r="I716" s="5"/>
      <c r="J716" s="3"/>
      <c r="K716" s="5"/>
      <c r="L716" s="3"/>
      <c r="M716" s="5"/>
      <c r="N716" s="5"/>
    </row>
    <row r="717">
      <c r="A717" s="2"/>
      <c r="B717" s="3"/>
      <c r="C717" s="3"/>
      <c r="D717" s="3"/>
      <c r="E717" s="4"/>
      <c r="F717" s="3"/>
      <c r="G717" s="5"/>
      <c r="H717" s="3"/>
      <c r="I717" s="5"/>
      <c r="J717" s="3"/>
      <c r="K717" s="5"/>
      <c r="L717" s="3"/>
      <c r="M717" s="5"/>
      <c r="N717" s="5"/>
    </row>
    <row r="718">
      <c r="A718" s="2"/>
      <c r="B718" s="3"/>
      <c r="C718" s="3"/>
      <c r="D718" s="3"/>
      <c r="E718" s="4"/>
      <c r="F718" s="3"/>
      <c r="G718" s="5"/>
      <c r="H718" s="3"/>
      <c r="I718" s="5"/>
      <c r="J718" s="3"/>
      <c r="K718" s="5"/>
      <c r="L718" s="3"/>
      <c r="M718" s="5"/>
      <c r="N718" s="5"/>
    </row>
    <row r="719">
      <c r="A719" s="2"/>
      <c r="B719" s="3"/>
      <c r="C719" s="3"/>
      <c r="D719" s="3"/>
      <c r="E719" s="4"/>
      <c r="F719" s="3"/>
      <c r="G719" s="5"/>
      <c r="H719" s="3"/>
      <c r="I719" s="5"/>
      <c r="J719" s="3"/>
      <c r="K719" s="5"/>
      <c r="L719" s="3"/>
      <c r="M719" s="5"/>
      <c r="N719" s="5"/>
    </row>
    <row r="720">
      <c r="A720" s="2"/>
      <c r="B720" s="3"/>
      <c r="C720" s="3"/>
      <c r="D720" s="3"/>
      <c r="E720" s="4"/>
      <c r="F720" s="3"/>
      <c r="G720" s="5"/>
      <c r="H720" s="3"/>
      <c r="I720" s="5"/>
      <c r="J720" s="3"/>
      <c r="K720" s="5"/>
      <c r="L720" s="3"/>
      <c r="M720" s="5"/>
      <c r="N720" s="5"/>
    </row>
    <row r="721">
      <c r="A721" s="2"/>
      <c r="B721" s="3"/>
      <c r="C721" s="3"/>
      <c r="D721" s="3"/>
      <c r="E721" s="4"/>
      <c r="F721" s="3"/>
      <c r="G721" s="5"/>
      <c r="H721" s="3"/>
      <c r="I721" s="5"/>
      <c r="J721" s="3"/>
      <c r="K721" s="5"/>
      <c r="L721" s="3"/>
      <c r="M721" s="5"/>
      <c r="N721" s="5"/>
    </row>
    <row r="722">
      <c r="A722" s="2"/>
      <c r="B722" s="3"/>
      <c r="C722" s="3"/>
      <c r="D722" s="3"/>
      <c r="E722" s="4"/>
      <c r="F722" s="3"/>
      <c r="G722" s="5"/>
      <c r="H722" s="3"/>
      <c r="I722" s="5"/>
      <c r="J722" s="3"/>
      <c r="K722" s="5"/>
      <c r="L722" s="3"/>
      <c r="M722" s="5"/>
      <c r="N722" s="5"/>
    </row>
    <row r="723">
      <c r="A723" s="2"/>
      <c r="B723" s="3"/>
      <c r="C723" s="3"/>
      <c r="D723" s="3"/>
      <c r="E723" s="4"/>
      <c r="F723" s="3"/>
      <c r="G723" s="5"/>
      <c r="H723" s="3"/>
      <c r="I723" s="5"/>
      <c r="J723" s="3"/>
      <c r="K723" s="5"/>
      <c r="L723" s="3"/>
      <c r="M723" s="5"/>
      <c r="N723" s="5"/>
    </row>
    <row r="724">
      <c r="A724" s="2"/>
      <c r="B724" s="3"/>
      <c r="C724" s="3"/>
      <c r="D724" s="3"/>
      <c r="E724" s="4"/>
      <c r="F724" s="3"/>
      <c r="G724" s="5"/>
      <c r="H724" s="3"/>
      <c r="I724" s="5"/>
      <c r="J724" s="3"/>
      <c r="K724" s="5"/>
      <c r="L724" s="3"/>
      <c r="M724" s="5"/>
      <c r="N724" s="5"/>
    </row>
    <row r="725">
      <c r="A725" s="2"/>
      <c r="B725" s="3"/>
      <c r="C725" s="3"/>
      <c r="D725" s="3"/>
      <c r="E725" s="4"/>
      <c r="F725" s="3"/>
      <c r="G725" s="5"/>
      <c r="H725" s="3"/>
      <c r="I725" s="5"/>
      <c r="J725" s="3"/>
      <c r="K725" s="5"/>
      <c r="L725" s="3"/>
      <c r="M725" s="5"/>
      <c r="N725" s="5"/>
    </row>
    <row r="726">
      <c r="A726" s="2"/>
      <c r="B726" s="3"/>
      <c r="C726" s="3"/>
      <c r="D726" s="3"/>
      <c r="E726" s="4"/>
      <c r="F726" s="3"/>
      <c r="G726" s="5"/>
      <c r="H726" s="3"/>
      <c r="I726" s="5"/>
      <c r="J726" s="3"/>
      <c r="K726" s="5"/>
      <c r="L726" s="3"/>
      <c r="M726" s="5"/>
      <c r="N726" s="5"/>
    </row>
    <row r="727">
      <c r="A727" s="2"/>
      <c r="B727" s="3"/>
      <c r="C727" s="3"/>
      <c r="D727" s="3"/>
      <c r="E727" s="4"/>
      <c r="F727" s="3"/>
      <c r="G727" s="5"/>
      <c r="H727" s="3"/>
      <c r="I727" s="5"/>
      <c r="J727" s="3"/>
      <c r="K727" s="5"/>
      <c r="L727" s="3"/>
      <c r="M727" s="5"/>
      <c r="N727" s="5"/>
    </row>
    <row r="728">
      <c r="A728" s="2"/>
      <c r="B728" s="3"/>
      <c r="C728" s="3"/>
      <c r="D728" s="3"/>
      <c r="E728" s="4"/>
      <c r="F728" s="3"/>
      <c r="G728" s="5"/>
      <c r="H728" s="3"/>
      <c r="I728" s="5"/>
      <c r="J728" s="3"/>
      <c r="K728" s="5"/>
      <c r="L728" s="3"/>
      <c r="M728" s="5"/>
      <c r="N728" s="5"/>
    </row>
    <row r="729">
      <c r="A729" s="2"/>
      <c r="B729" s="3"/>
      <c r="C729" s="3"/>
      <c r="D729" s="3"/>
      <c r="E729" s="4"/>
      <c r="F729" s="3"/>
      <c r="G729" s="5"/>
      <c r="H729" s="3"/>
      <c r="I729" s="5"/>
      <c r="J729" s="3"/>
      <c r="K729" s="5"/>
      <c r="L729" s="3"/>
      <c r="M729" s="5"/>
      <c r="N729" s="5"/>
    </row>
    <row r="730">
      <c r="A730" s="2"/>
      <c r="B730" s="3"/>
      <c r="C730" s="3"/>
      <c r="D730" s="3"/>
      <c r="E730" s="4"/>
      <c r="F730" s="3"/>
      <c r="G730" s="5"/>
      <c r="H730" s="3"/>
      <c r="I730" s="5"/>
      <c r="J730" s="3"/>
      <c r="K730" s="5"/>
      <c r="L730" s="3"/>
      <c r="M730" s="5"/>
      <c r="N730" s="5"/>
    </row>
    <row r="731">
      <c r="A731" s="2"/>
      <c r="B731" s="3"/>
      <c r="C731" s="3"/>
      <c r="D731" s="3"/>
      <c r="E731" s="4"/>
      <c r="F731" s="3"/>
      <c r="G731" s="5"/>
      <c r="H731" s="3"/>
      <c r="I731" s="5"/>
      <c r="J731" s="3"/>
      <c r="K731" s="5"/>
      <c r="L731" s="3"/>
      <c r="M731" s="5"/>
      <c r="N731" s="5"/>
    </row>
    <row r="732">
      <c r="A732" s="2"/>
      <c r="B732" s="3"/>
      <c r="C732" s="3"/>
      <c r="D732" s="3"/>
      <c r="E732" s="4"/>
      <c r="F732" s="3"/>
      <c r="G732" s="5"/>
      <c r="H732" s="3"/>
      <c r="I732" s="5"/>
      <c r="J732" s="3"/>
      <c r="K732" s="5"/>
      <c r="L732" s="3"/>
      <c r="M732" s="5"/>
      <c r="N732" s="5"/>
    </row>
    <row r="733">
      <c r="A733" s="2"/>
      <c r="B733" s="3"/>
      <c r="C733" s="3"/>
      <c r="D733" s="3"/>
      <c r="E733" s="4"/>
      <c r="F733" s="3"/>
      <c r="G733" s="5"/>
      <c r="H733" s="3"/>
      <c r="I733" s="5"/>
      <c r="J733" s="3"/>
      <c r="K733" s="5"/>
      <c r="L733" s="3"/>
      <c r="M733" s="5"/>
      <c r="N733" s="5"/>
    </row>
    <row r="734">
      <c r="A734" s="2"/>
      <c r="B734" s="3"/>
      <c r="C734" s="3"/>
      <c r="D734" s="3"/>
      <c r="E734" s="4"/>
      <c r="F734" s="3"/>
      <c r="G734" s="5"/>
      <c r="H734" s="3"/>
      <c r="I734" s="5"/>
      <c r="J734" s="3"/>
      <c r="K734" s="5"/>
      <c r="L734" s="3"/>
      <c r="M734" s="5"/>
      <c r="N734" s="5"/>
    </row>
    <row r="735">
      <c r="A735" s="2"/>
      <c r="B735" s="3"/>
      <c r="C735" s="3"/>
      <c r="D735" s="3"/>
      <c r="E735" s="4"/>
      <c r="F735" s="3"/>
      <c r="G735" s="5"/>
      <c r="H735" s="3"/>
      <c r="I735" s="5"/>
      <c r="J735" s="3"/>
      <c r="K735" s="5"/>
      <c r="L735" s="3"/>
      <c r="M735" s="5"/>
      <c r="N735" s="5"/>
    </row>
    <row r="736">
      <c r="A736" s="2"/>
      <c r="B736" s="3"/>
      <c r="C736" s="3"/>
      <c r="D736" s="3"/>
      <c r="E736" s="4"/>
      <c r="F736" s="3"/>
      <c r="G736" s="5"/>
      <c r="H736" s="3"/>
      <c r="I736" s="5"/>
      <c r="J736" s="3"/>
      <c r="K736" s="5"/>
      <c r="L736" s="3"/>
      <c r="M736" s="5"/>
      <c r="N736" s="5"/>
    </row>
    <row r="737">
      <c r="A737" s="2"/>
      <c r="B737" s="3"/>
      <c r="C737" s="3"/>
      <c r="D737" s="3"/>
      <c r="E737" s="4"/>
      <c r="F737" s="3"/>
      <c r="G737" s="5"/>
      <c r="H737" s="3"/>
      <c r="I737" s="5"/>
      <c r="J737" s="3"/>
      <c r="K737" s="5"/>
      <c r="L737" s="3"/>
      <c r="M737" s="5"/>
      <c r="N737" s="5"/>
    </row>
    <row r="738">
      <c r="A738" s="2"/>
      <c r="B738" s="3"/>
      <c r="C738" s="3"/>
      <c r="D738" s="3"/>
      <c r="E738" s="4"/>
      <c r="F738" s="3"/>
      <c r="G738" s="5"/>
      <c r="H738" s="3"/>
      <c r="I738" s="5"/>
      <c r="J738" s="3"/>
      <c r="K738" s="5"/>
      <c r="L738" s="3"/>
      <c r="M738" s="5"/>
      <c r="N738" s="5"/>
    </row>
    <row r="739">
      <c r="A739" s="2"/>
      <c r="B739" s="3"/>
      <c r="C739" s="3"/>
      <c r="D739" s="3"/>
      <c r="E739" s="4"/>
      <c r="F739" s="3"/>
      <c r="G739" s="5"/>
      <c r="H739" s="3"/>
      <c r="I739" s="5"/>
      <c r="J739" s="3"/>
      <c r="K739" s="5"/>
      <c r="L739" s="3"/>
      <c r="M739" s="5"/>
      <c r="N739" s="5"/>
    </row>
    <row r="740">
      <c r="A740" s="2"/>
      <c r="B740" s="3"/>
      <c r="C740" s="3"/>
      <c r="D740" s="3"/>
      <c r="E740" s="4"/>
      <c r="F740" s="3"/>
      <c r="G740" s="5"/>
      <c r="H740" s="3"/>
      <c r="I740" s="5"/>
      <c r="J740" s="3"/>
      <c r="K740" s="5"/>
      <c r="L740" s="3"/>
      <c r="M740" s="5"/>
      <c r="N740" s="5"/>
    </row>
    <row r="741">
      <c r="A741" s="2"/>
      <c r="B741" s="3"/>
      <c r="C741" s="3"/>
      <c r="D741" s="3"/>
      <c r="E741" s="4"/>
      <c r="F741" s="3"/>
      <c r="G741" s="5"/>
      <c r="H741" s="3"/>
      <c r="I741" s="5"/>
      <c r="J741" s="3"/>
      <c r="K741" s="5"/>
      <c r="L741" s="3"/>
      <c r="M741" s="5"/>
      <c r="N741" s="5"/>
    </row>
    <row r="742">
      <c r="A742" s="2"/>
      <c r="B742" s="3"/>
      <c r="C742" s="3"/>
      <c r="D742" s="3"/>
      <c r="E742" s="4"/>
      <c r="F742" s="3"/>
      <c r="G742" s="5"/>
      <c r="H742" s="3"/>
      <c r="I742" s="5"/>
      <c r="J742" s="3"/>
      <c r="K742" s="5"/>
      <c r="L742" s="3"/>
      <c r="M742" s="5"/>
      <c r="N742" s="5"/>
    </row>
    <row r="743">
      <c r="A743" s="2"/>
      <c r="B743" s="3"/>
      <c r="C743" s="3"/>
      <c r="D743" s="3"/>
      <c r="E743" s="4"/>
      <c r="F743" s="3"/>
      <c r="G743" s="5"/>
      <c r="H743" s="3"/>
      <c r="I743" s="5"/>
      <c r="J743" s="3"/>
      <c r="K743" s="5"/>
      <c r="L743" s="3"/>
      <c r="M743" s="5"/>
      <c r="N743" s="5"/>
    </row>
    <row r="744">
      <c r="A744" s="2"/>
      <c r="B744" s="3"/>
      <c r="C744" s="3"/>
      <c r="D744" s="3"/>
      <c r="E744" s="4"/>
      <c r="F744" s="3"/>
      <c r="G744" s="5"/>
      <c r="H744" s="3"/>
      <c r="I744" s="5"/>
      <c r="J744" s="3"/>
      <c r="K744" s="5"/>
      <c r="L744" s="3"/>
      <c r="M744" s="5"/>
      <c r="N744" s="5"/>
    </row>
    <row r="745">
      <c r="A745" s="2"/>
      <c r="B745" s="3"/>
      <c r="C745" s="3"/>
      <c r="D745" s="3"/>
      <c r="E745" s="4"/>
      <c r="F745" s="3"/>
      <c r="G745" s="5"/>
      <c r="H745" s="3"/>
      <c r="I745" s="5"/>
      <c r="J745" s="3"/>
      <c r="K745" s="5"/>
      <c r="L745" s="3"/>
      <c r="M745" s="5"/>
      <c r="N745" s="5"/>
    </row>
    <row r="746">
      <c r="A746" s="2"/>
      <c r="B746" s="3"/>
      <c r="C746" s="3"/>
      <c r="D746" s="3"/>
      <c r="E746" s="4"/>
      <c r="F746" s="3"/>
      <c r="G746" s="5"/>
      <c r="H746" s="3"/>
      <c r="I746" s="5"/>
      <c r="J746" s="3"/>
      <c r="K746" s="5"/>
      <c r="L746" s="3"/>
      <c r="M746" s="5"/>
      <c r="N746" s="5"/>
    </row>
    <row r="747">
      <c r="A747" s="2"/>
      <c r="B747" s="3"/>
      <c r="C747" s="3"/>
      <c r="D747" s="3"/>
      <c r="E747" s="4"/>
      <c r="F747" s="3"/>
      <c r="G747" s="5"/>
      <c r="H747" s="3"/>
      <c r="I747" s="5"/>
      <c r="J747" s="3"/>
      <c r="K747" s="5"/>
      <c r="L747" s="3"/>
      <c r="M747" s="5"/>
      <c r="N747" s="5"/>
    </row>
    <row r="748">
      <c r="A748" s="2"/>
      <c r="B748" s="3"/>
      <c r="C748" s="3"/>
      <c r="D748" s="3"/>
      <c r="E748" s="4"/>
      <c r="F748" s="3"/>
      <c r="G748" s="5"/>
      <c r="H748" s="3"/>
      <c r="I748" s="5"/>
      <c r="J748" s="3"/>
      <c r="K748" s="5"/>
      <c r="L748" s="3"/>
      <c r="M748" s="5"/>
      <c r="N748" s="5"/>
    </row>
    <row r="749">
      <c r="A749" s="2"/>
      <c r="B749" s="3"/>
      <c r="C749" s="3"/>
      <c r="D749" s="3"/>
      <c r="E749" s="4"/>
      <c r="F749" s="3"/>
      <c r="G749" s="5"/>
      <c r="H749" s="3"/>
      <c r="I749" s="5"/>
      <c r="J749" s="3"/>
      <c r="K749" s="5"/>
      <c r="L749" s="3"/>
      <c r="M749" s="5"/>
      <c r="N749" s="5"/>
    </row>
    <row r="750">
      <c r="A750" s="2"/>
      <c r="B750" s="3"/>
      <c r="C750" s="3"/>
      <c r="D750" s="3"/>
      <c r="E750" s="4"/>
      <c r="F750" s="3"/>
      <c r="G750" s="5"/>
      <c r="H750" s="3"/>
      <c r="I750" s="5"/>
      <c r="J750" s="3"/>
      <c r="K750" s="5"/>
      <c r="L750" s="3"/>
      <c r="M750" s="5"/>
      <c r="N750" s="5"/>
    </row>
    <row r="751">
      <c r="A751" s="2"/>
      <c r="B751" s="3"/>
      <c r="C751" s="3"/>
      <c r="D751" s="3"/>
      <c r="E751" s="4"/>
      <c r="F751" s="3"/>
      <c r="G751" s="5"/>
      <c r="H751" s="3"/>
      <c r="I751" s="5"/>
      <c r="J751" s="3"/>
      <c r="K751" s="5"/>
      <c r="L751" s="3"/>
      <c r="M751" s="5"/>
      <c r="N751" s="5"/>
    </row>
    <row r="752">
      <c r="A752" s="2"/>
      <c r="B752" s="3"/>
      <c r="C752" s="3"/>
      <c r="D752" s="3"/>
      <c r="E752" s="4"/>
      <c r="F752" s="3"/>
      <c r="G752" s="5"/>
      <c r="H752" s="3"/>
      <c r="I752" s="5"/>
      <c r="J752" s="3"/>
      <c r="K752" s="5"/>
      <c r="L752" s="3"/>
      <c r="M752" s="5"/>
      <c r="N752" s="5"/>
    </row>
    <row r="753">
      <c r="A753" s="2"/>
      <c r="B753" s="3"/>
      <c r="C753" s="3"/>
      <c r="D753" s="3"/>
      <c r="E753" s="4"/>
      <c r="F753" s="3"/>
      <c r="G753" s="5"/>
      <c r="H753" s="3"/>
      <c r="I753" s="5"/>
      <c r="J753" s="3"/>
      <c r="K753" s="5"/>
      <c r="L753" s="3"/>
      <c r="M753" s="5"/>
      <c r="N753" s="5"/>
    </row>
    <row r="754">
      <c r="A754" s="2"/>
      <c r="B754" s="3"/>
      <c r="C754" s="3"/>
      <c r="D754" s="3"/>
      <c r="E754" s="4"/>
      <c r="F754" s="3"/>
      <c r="G754" s="5"/>
      <c r="H754" s="3"/>
      <c r="I754" s="5"/>
      <c r="J754" s="3"/>
      <c r="K754" s="5"/>
      <c r="L754" s="3"/>
      <c r="M754" s="5"/>
      <c r="N754" s="5"/>
    </row>
    <row r="755">
      <c r="A755" s="2"/>
      <c r="B755" s="3"/>
      <c r="C755" s="3"/>
      <c r="D755" s="3"/>
      <c r="E755" s="4"/>
      <c r="F755" s="3"/>
      <c r="G755" s="5"/>
      <c r="H755" s="3"/>
      <c r="I755" s="5"/>
      <c r="J755" s="3"/>
      <c r="K755" s="5"/>
      <c r="L755" s="3"/>
      <c r="M755" s="5"/>
      <c r="N755" s="5"/>
    </row>
    <row r="756">
      <c r="A756" s="2"/>
      <c r="B756" s="3"/>
      <c r="C756" s="3"/>
      <c r="D756" s="3"/>
      <c r="E756" s="4"/>
      <c r="F756" s="3"/>
      <c r="G756" s="5"/>
      <c r="H756" s="3"/>
      <c r="I756" s="5"/>
      <c r="J756" s="3"/>
      <c r="K756" s="5"/>
      <c r="L756" s="3"/>
      <c r="M756" s="5"/>
      <c r="N756" s="5"/>
    </row>
    <row r="757">
      <c r="A757" s="2"/>
      <c r="B757" s="3"/>
      <c r="C757" s="3"/>
      <c r="D757" s="3"/>
      <c r="E757" s="4"/>
      <c r="F757" s="3"/>
      <c r="G757" s="5"/>
      <c r="H757" s="3"/>
      <c r="I757" s="5"/>
      <c r="J757" s="3"/>
      <c r="K757" s="5"/>
      <c r="L757" s="3"/>
      <c r="M757" s="5"/>
      <c r="N757" s="5"/>
    </row>
    <row r="758">
      <c r="A758" s="2"/>
      <c r="B758" s="3"/>
      <c r="C758" s="3"/>
      <c r="D758" s="3"/>
      <c r="E758" s="4"/>
      <c r="F758" s="3"/>
      <c r="G758" s="5"/>
      <c r="H758" s="3"/>
      <c r="I758" s="5"/>
      <c r="J758" s="3"/>
      <c r="K758" s="5"/>
      <c r="L758" s="3"/>
      <c r="M758" s="5"/>
      <c r="N758" s="5"/>
    </row>
    <row r="759">
      <c r="A759" s="2"/>
      <c r="B759" s="3"/>
      <c r="C759" s="3"/>
      <c r="D759" s="3"/>
      <c r="E759" s="4"/>
      <c r="F759" s="3"/>
      <c r="G759" s="5"/>
      <c r="H759" s="3"/>
      <c r="I759" s="5"/>
      <c r="J759" s="3"/>
      <c r="K759" s="5"/>
      <c r="L759" s="3"/>
      <c r="M759" s="5"/>
      <c r="N759" s="5"/>
    </row>
    <row r="760">
      <c r="A760" s="2"/>
      <c r="B760" s="3"/>
      <c r="C760" s="3"/>
      <c r="D760" s="3"/>
      <c r="E760" s="4"/>
      <c r="F760" s="3"/>
      <c r="G760" s="5"/>
      <c r="H760" s="3"/>
      <c r="I760" s="5"/>
      <c r="J760" s="3"/>
      <c r="K760" s="5"/>
      <c r="L760" s="3"/>
      <c r="M760" s="5"/>
      <c r="N760" s="5"/>
    </row>
    <row r="761">
      <c r="A761" s="2"/>
      <c r="B761" s="3"/>
      <c r="C761" s="3"/>
      <c r="D761" s="3"/>
      <c r="E761" s="4"/>
      <c r="F761" s="3"/>
      <c r="G761" s="5"/>
      <c r="H761" s="3"/>
      <c r="I761" s="5"/>
      <c r="J761" s="3"/>
      <c r="K761" s="5"/>
      <c r="L761" s="3"/>
      <c r="M761" s="5"/>
      <c r="N761" s="5"/>
    </row>
    <row r="762">
      <c r="A762" s="2"/>
      <c r="B762" s="3"/>
      <c r="C762" s="3"/>
      <c r="D762" s="3"/>
      <c r="E762" s="4"/>
      <c r="F762" s="3"/>
      <c r="G762" s="5"/>
      <c r="H762" s="3"/>
      <c r="I762" s="5"/>
      <c r="J762" s="3"/>
      <c r="K762" s="5"/>
      <c r="L762" s="3"/>
      <c r="M762" s="5"/>
      <c r="N762" s="5"/>
    </row>
    <row r="763">
      <c r="A763" s="2"/>
      <c r="B763" s="3"/>
      <c r="C763" s="3"/>
      <c r="D763" s="3"/>
      <c r="E763" s="4"/>
      <c r="F763" s="3"/>
      <c r="G763" s="5"/>
      <c r="H763" s="3"/>
      <c r="I763" s="5"/>
      <c r="J763" s="3"/>
      <c r="K763" s="5"/>
      <c r="L763" s="3"/>
      <c r="M763" s="5"/>
      <c r="N763" s="5"/>
    </row>
    <row r="764">
      <c r="A764" s="2"/>
      <c r="B764" s="3"/>
      <c r="C764" s="3"/>
      <c r="D764" s="3"/>
      <c r="E764" s="4"/>
      <c r="F764" s="3"/>
      <c r="G764" s="5"/>
      <c r="H764" s="3"/>
      <c r="I764" s="5"/>
      <c r="J764" s="3"/>
      <c r="K764" s="5"/>
      <c r="L764" s="3"/>
      <c r="M764" s="5"/>
      <c r="N764" s="5"/>
    </row>
    <row r="765">
      <c r="A765" s="2"/>
      <c r="B765" s="3"/>
      <c r="C765" s="3"/>
      <c r="D765" s="3"/>
      <c r="E765" s="4"/>
      <c r="F765" s="3"/>
      <c r="G765" s="5"/>
      <c r="H765" s="3"/>
      <c r="I765" s="5"/>
      <c r="J765" s="3"/>
      <c r="K765" s="5"/>
      <c r="L765" s="3"/>
      <c r="M765" s="5"/>
      <c r="N765" s="5"/>
    </row>
    <row r="766">
      <c r="A766" s="2"/>
      <c r="B766" s="3"/>
      <c r="C766" s="3"/>
      <c r="D766" s="3"/>
      <c r="E766" s="4"/>
      <c r="F766" s="3"/>
      <c r="G766" s="5"/>
      <c r="H766" s="3"/>
      <c r="I766" s="5"/>
      <c r="J766" s="3"/>
      <c r="K766" s="5"/>
      <c r="L766" s="3"/>
      <c r="M766" s="5"/>
      <c r="N766" s="5"/>
    </row>
    <row r="767">
      <c r="A767" s="2"/>
      <c r="B767" s="3"/>
      <c r="C767" s="3"/>
      <c r="D767" s="3"/>
      <c r="E767" s="4"/>
      <c r="F767" s="3"/>
      <c r="G767" s="5"/>
      <c r="H767" s="3"/>
      <c r="I767" s="5"/>
      <c r="J767" s="3"/>
      <c r="K767" s="5"/>
      <c r="L767" s="3"/>
      <c r="M767" s="5"/>
      <c r="N767" s="5"/>
    </row>
    <row r="768">
      <c r="A768" s="2"/>
      <c r="B768" s="3"/>
      <c r="C768" s="3"/>
      <c r="D768" s="3"/>
      <c r="E768" s="4"/>
      <c r="F768" s="3"/>
      <c r="G768" s="5"/>
      <c r="H768" s="3"/>
      <c r="I768" s="5"/>
      <c r="J768" s="3"/>
      <c r="K768" s="5"/>
      <c r="L768" s="3"/>
      <c r="M768" s="5"/>
      <c r="N768" s="5"/>
    </row>
    <row r="769">
      <c r="A769" s="2"/>
      <c r="B769" s="3"/>
      <c r="C769" s="3"/>
      <c r="D769" s="3"/>
      <c r="E769" s="4"/>
      <c r="F769" s="3"/>
      <c r="G769" s="5"/>
      <c r="H769" s="3"/>
      <c r="I769" s="5"/>
      <c r="J769" s="3"/>
      <c r="K769" s="5"/>
      <c r="L769" s="3"/>
      <c r="M769" s="5"/>
      <c r="N769" s="5"/>
    </row>
    <row r="770">
      <c r="A770" s="2"/>
      <c r="B770" s="3"/>
      <c r="C770" s="3"/>
      <c r="D770" s="3"/>
      <c r="E770" s="4"/>
      <c r="F770" s="3"/>
      <c r="G770" s="5"/>
      <c r="H770" s="3"/>
      <c r="I770" s="5"/>
      <c r="J770" s="3"/>
      <c r="K770" s="5"/>
      <c r="L770" s="3"/>
      <c r="M770" s="5"/>
      <c r="N770" s="5"/>
    </row>
    <row r="771">
      <c r="A771" s="2"/>
      <c r="B771" s="3"/>
      <c r="C771" s="3"/>
      <c r="D771" s="3"/>
      <c r="E771" s="4"/>
      <c r="F771" s="3"/>
      <c r="G771" s="5"/>
      <c r="H771" s="3"/>
      <c r="I771" s="5"/>
      <c r="J771" s="3"/>
      <c r="K771" s="5"/>
      <c r="L771" s="3"/>
      <c r="M771" s="5"/>
      <c r="N771" s="5"/>
    </row>
    <row r="772">
      <c r="A772" s="2"/>
      <c r="B772" s="3"/>
      <c r="C772" s="3"/>
      <c r="D772" s="3"/>
      <c r="E772" s="4"/>
      <c r="F772" s="3"/>
      <c r="G772" s="5"/>
      <c r="H772" s="3"/>
      <c r="I772" s="5"/>
      <c r="J772" s="3"/>
      <c r="K772" s="5"/>
      <c r="L772" s="3"/>
      <c r="M772" s="5"/>
      <c r="N772" s="5"/>
    </row>
    <row r="773">
      <c r="A773" s="2"/>
      <c r="B773" s="3"/>
      <c r="C773" s="3"/>
      <c r="D773" s="3"/>
      <c r="E773" s="4"/>
      <c r="F773" s="3"/>
      <c r="G773" s="5"/>
      <c r="H773" s="3"/>
      <c r="I773" s="5"/>
      <c r="J773" s="3"/>
      <c r="K773" s="5"/>
      <c r="L773" s="3"/>
      <c r="M773" s="5"/>
      <c r="N773" s="5"/>
    </row>
    <row r="774">
      <c r="A774" s="2"/>
      <c r="B774" s="3"/>
      <c r="C774" s="3"/>
      <c r="D774" s="3"/>
      <c r="E774" s="4"/>
      <c r="F774" s="3"/>
      <c r="G774" s="5"/>
      <c r="H774" s="3"/>
      <c r="I774" s="5"/>
      <c r="J774" s="3"/>
      <c r="K774" s="5"/>
      <c r="L774" s="3"/>
      <c r="M774" s="5"/>
      <c r="N774" s="5"/>
    </row>
    <row r="775">
      <c r="A775" s="2"/>
      <c r="B775" s="3"/>
      <c r="C775" s="3"/>
      <c r="D775" s="3"/>
      <c r="E775" s="4"/>
      <c r="F775" s="3"/>
      <c r="G775" s="5"/>
      <c r="H775" s="3"/>
      <c r="I775" s="5"/>
      <c r="J775" s="3"/>
      <c r="K775" s="5"/>
      <c r="L775" s="3"/>
      <c r="M775" s="5"/>
      <c r="N775" s="5"/>
    </row>
    <row r="776">
      <c r="A776" s="2"/>
      <c r="B776" s="3"/>
      <c r="C776" s="3"/>
      <c r="D776" s="3"/>
      <c r="E776" s="4"/>
      <c r="F776" s="3"/>
      <c r="G776" s="5"/>
      <c r="H776" s="3"/>
      <c r="I776" s="5"/>
      <c r="J776" s="3"/>
      <c r="K776" s="5"/>
      <c r="L776" s="3"/>
      <c r="M776" s="5"/>
      <c r="N776" s="5"/>
    </row>
    <row r="777">
      <c r="A777" s="2"/>
      <c r="B777" s="3"/>
      <c r="C777" s="3"/>
      <c r="D777" s="3"/>
      <c r="E777" s="4"/>
      <c r="F777" s="3"/>
      <c r="G777" s="5"/>
      <c r="H777" s="3"/>
      <c r="I777" s="5"/>
      <c r="J777" s="3"/>
      <c r="K777" s="5"/>
      <c r="L777" s="3"/>
      <c r="M777" s="5"/>
      <c r="N777" s="5"/>
    </row>
    <row r="778">
      <c r="A778" s="2"/>
      <c r="B778" s="3"/>
      <c r="C778" s="3"/>
      <c r="D778" s="3"/>
      <c r="E778" s="4"/>
      <c r="F778" s="3"/>
      <c r="G778" s="5"/>
      <c r="H778" s="3"/>
      <c r="I778" s="5"/>
      <c r="J778" s="3"/>
      <c r="K778" s="5"/>
      <c r="L778" s="3"/>
      <c r="M778" s="5"/>
      <c r="N778" s="5"/>
    </row>
    <row r="779">
      <c r="A779" s="2"/>
      <c r="B779" s="3"/>
      <c r="C779" s="3"/>
      <c r="D779" s="3"/>
      <c r="E779" s="4"/>
      <c r="F779" s="3"/>
      <c r="G779" s="5"/>
      <c r="H779" s="3"/>
      <c r="I779" s="5"/>
      <c r="J779" s="3"/>
      <c r="K779" s="5"/>
      <c r="L779" s="3"/>
      <c r="M779" s="5"/>
      <c r="N779" s="5"/>
    </row>
    <row r="780">
      <c r="A780" s="2"/>
      <c r="B780" s="3"/>
      <c r="C780" s="3"/>
      <c r="D780" s="3"/>
      <c r="E780" s="4"/>
      <c r="F780" s="3"/>
      <c r="G780" s="5"/>
      <c r="H780" s="3"/>
      <c r="I780" s="5"/>
      <c r="J780" s="3"/>
      <c r="K780" s="5"/>
      <c r="L780" s="3"/>
      <c r="M780" s="5"/>
      <c r="N780" s="5"/>
    </row>
    <row r="781">
      <c r="A781" s="2"/>
      <c r="B781" s="3"/>
      <c r="C781" s="3"/>
      <c r="D781" s="3"/>
      <c r="E781" s="4"/>
      <c r="F781" s="3"/>
      <c r="G781" s="5"/>
      <c r="H781" s="3"/>
      <c r="I781" s="5"/>
      <c r="J781" s="3"/>
      <c r="K781" s="5"/>
      <c r="L781" s="3"/>
      <c r="M781" s="5"/>
      <c r="N781" s="5"/>
    </row>
    <row r="782">
      <c r="A782" s="2"/>
      <c r="B782" s="3"/>
      <c r="C782" s="3"/>
      <c r="D782" s="3"/>
      <c r="E782" s="4"/>
      <c r="F782" s="3"/>
      <c r="G782" s="5"/>
      <c r="H782" s="3"/>
      <c r="I782" s="5"/>
      <c r="J782" s="3"/>
      <c r="K782" s="5"/>
      <c r="L782" s="3"/>
      <c r="M782" s="5"/>
      <c r="N782" s="5"/>
    </row>
    <row r="783">
      <c r="A783" s="2"/>
      <c r="B783" s="3"/>
      <c r="C783" s="3"/>
      <c r="D783" s="3"/>
      <c r="E783" s="4"/>
      <c r="F783" s="3"/>
      <c r="G783" s="5"/>
      <c r="H783" s="3"/>
      <c r="I783" s="5"/>
      <c r="J783" s="3"/>
      <c r="K783" s="5"/>
      <c r="L783" s="3"/>
      <c r="M783" s="5"/>
      <c r="N783" s="5"/>
    </row>
    <row r="784">
      <c r="A784" s="2"/>
      <c r="B784" s="3"/>
      <c r="C784" s="3"/>
      <c r="D784" s="3"/>
      <c r="E784" s="4"/>
      <c r="F784" s="3"/>
      <c r="G784" s="5"/>
      <c r="H784" s="3"/>
      <c r="I784" s="5"/>
      <c r="J784" s="3"/>
      <c r="K784" s="5"/>
      <c r="L784" s="3"/>
      <c r="M784" s="5"/>
      <c r="N784" s="5"/>
    </row>
    <row r="785">
      <c r="A785" s="2"/>
      <c r="B785" s="3"/>
      <c r="C785" s="3"/>
      <c r="D785" s="3"/>
      <c r="E785" s="4"/>
      <c r="F785" s="3"/>
      <c r="G785" s="5"/>
      <c r="H785" s="3"/>
      <c r="I785" s="5"/>
      <c r="J785" s="3"/>
      <c r="K785" s="5"/>
      <c r="L785" s="3"/>
      <c r="M785" s="5"/>
      <c r="N785" s="5"/>
    </row>
    <row r="786">
      <c r="A786" s="2"/>
      <c r="B786" s="3"/>
      <c r="C786" s="3"/>
      <c r="D786" s="3"/>
      <c r="E786" s="4"/>
      <c r="F786" s="3"/>
      <c r="G786" s="5"/>
      <c r="H786" s="3"/>
      <c r="I786" s="5"/>
      <c r="J786" s="3"/>
      <c r="K786" s="5"/>
      <c r="L786" s="3"/>
      <c r="M786" s="5"/>
      <c r="N786" s="5"/>
    </row>
    <row r="787">
      <c r="A787" s="2"/>
      <c r="B787" s="3"/>
      <c r="C787" s="3"/>
      <c r="D787" s="3"/>
      <c r="E787" s="4"/>
      <c r="F787" s="3"/>
      <c r="G787" s="5"/>
      <c r="H787" s="3"/>
      <c r="I787" s="5"/>
      <c r="J787" s="3"/>
      <c r="K787" s="5"/>
      <c r="L787" s="3"/>
      <c r="M787" s="5"/>
      <c r="N787" s="5"/>
    </row>
    <row r="788">
      <c r="A788" s="2"/>
      <c r="B788" s="3"/>
      <c r="C788" s="3"/>
      <c r="D788" s="3"/>
      <c r="E788" s="4"/>
      <c r="F788" s="3"/>
      <c r="G788" s="5"/>
      <c r="H788" s="3"/>
      <c r="I788" s="5"/>
      <c r="J788" s="3"/>
      <c r="K788" s="5"/>
      <c r="L788" s="3"/>
      <c r="M788" s="5"/>
      <c r="N788" s="5"/>
    </row>
    <row r="789">
      <c r="A789" s="2"/>
      <c r="B789" s="3"/>
      <c r="C789" s="3"/>
      <c r="D789" s="3"/>
      <c r="E789" s="4"/>
      <c r="F789" s="3"/>
      <c r="G789" s="5"/>
      <c r="H789" s="3"/>
      <c r="I789" s="5"/>
      <c r="J789" s="3"/>
      <c r="K789" s="5"/>
      <c r="L789" s="3"/>
      <c r="M789" s="5"/>
      <c r="N789" s="5"/>
    </row>
    <row r="790">
      <c r="A790" s="2"/>
      <c r="B790" s="3"/>
      <c r="C790" s="3"/>
      <c r="D790" s="3"/>
      <c r="E790" s="4"/>
      <c r="F790" s="3"/>
      <c r="G790" s="5"/>
      <c r="H790" s="3"/>
      <c r="I790" s="5"/>
      <c r="J790" s="3"/>
      <c r="K790" s="5"/>
      <c r="L790" s="3"/>
      <c r="M790" s="5"/>
      <c r="N790" s="5"/>
    </row>
    <row r="791">
      <c r="A791" s="2"/>
      <c r="B791" s="3"/>
      <c r="C791" s="3"/>
      <c r="D791" s="3"/>
      <c r="E791" s="4"/>
      <c r="F791" s="3"/>
      <c r="G791" s="5"/>
      <c r="H791" s="3"/>
      <c r="I791" s="5"/>
      <c r="J791" s="3"/>
      <c r="K791" s="5"/>
      <c r="L791" s="3"/>
      <c r="M791" s="5"/>
      <c r="N791" s="5"/>
    </row>
    <row r="792">
      <c r="A792" s="2"/>
      <c r="B792" s="3"/>
      <c r="C792" s="3"/>
      <c r="D792" s="3"/>
      <c r="E792" s="4"/>
      <c r="F792" s="3"/>
      <c r="G792" s="5"/>
      <c r="H792" s="3"/>
      <c r="I792" s="5"/>
      <c r="J792" s="3"/>
      <c r="K792" s="5"/>
      <c r="L792" s="3"/>
      <c r="M792" s="5"/>
      <c r="N792" s="5"/>
    </row>
    <row r="793">
      <c r="A793" s="2"/>
      <c r="B793" s="3"/>
      <c r="C793" s="3"/>
      <c r="D793" s="3"/>
      <c r="E793" s="4"/>
      <c r="F793" s="3"/>
      <c r="G793" s="5"/>
      <c r="H793" s="3"/>
      <c r="I793" s="5"/>
      <c r="J793" s="3"/>
      <c r="K793" s="5"/>
      <c r="L793" s="3"/>
      <c r="M793" s="5"/>
      <c r="N793" s="5"/>
    </row>
    <row r="794">
      <c r="A794" s="2"/>
      <c r="B794" s="3"/>
      <c r="C794" s="3"/>
      <c r="D794" s="3"/>
      <c r="E794" s="4"/>
      <c r="F794" s="3"/>
      <c r="G794" s="5"/>
      <c r="H794" s="3"/>
      <c r="I794" s="5"/>
      <c r="J794" s="3"/>
      <c r="K794" s="5"/>
      <c r="L794" s="3"/>
      <c r="M794" s="5"/>
      <c r="N794" s="5"/>
    </row>
    <row r="795">
      <c r="A795" s="2"/>
      <c r="B795" s="3"/>
      <c r="C795" s="3"/>
      <c r="D795" s="3"/>
      <c r="E795" s="4"/>
      <c r="F795" s="3"/>
      <c r="G795" s="5"/>
      <c r="H795" s="3"/>
      <c r="I795" s="5"/>
      <c r="J795" s="3"/>
      <c r="K795" s="5"/>
      <c r="L795" s="3"/>
      <c r="M795" s="5"/>
      <c r="N795" s="5"/>
    </row>
    <row r="796">
      <c r="A796" s="2"/>
      <c r="B796" s="3"/>
      <c r="C796" s="3"/>
      <c r="D796" s="3"/>
      <c r="E796" s="4"/>
      <c r="F796" s="3"/>
      <c r="G796" s="5"/>
      <c r="H796" s="3"/>
      <c r="I796" s="5"/>
      <c r="J796" s="3"/>
      <c r="K796" s="5"/>
      <c r="L796" s="3"/>
      <c r="M796" s="5"/>
      <c r="N796" s="5"/>
    </row>
    <row r="797">
      <c r="A797" s="2"/>
      <c r="B797" s="3"/>
      <c r="C797" s="3"/>
      <c r="D797" s="3"/>
      <c r="E797" s="4"/>
      <c r="F797" s="3"/>
      <c r="G797" s="5"/>
      <c r="H797" s="3"/>
      <c r="I797" s="5"/>
      <c r="J797" s="3"/>
      <c r="K797" s="5"/>
      <c r="L797" s="3"/>
      <c r="M797" s="5"/>
      <c r="N797" s="5"/>
    </row>
    <row r="798">
      <c r="A798" s="2"/>
      <c r="B798" s="3"/>
      <c r="C798" s="3"/>
      <c r="D798" s="3"/>
      <c r="E798" s="4"/>
      <c r="F798" s="3"/>
      <c r="G798" s="5"/>
      <c r="H798" s="3"/>
      <c r="I798" s="5"/>
      <c r="J798" s="3"/>
      <c r="K798" s="5"/>
      <c r="L798" s="3"/>
      <c r="M798" s="5"/>
      <c r="N798" s="5"/>
    </row>
    <row r="799">
      <c r="A799" s="2"/>
      <c r="B799" s="3"/>
      <c r="C799" s="3"/>
      <c r="D799" s="3"/>
      <c r="E799" s="4"/>
      <c r="F799" s="3"/>
      <c r="G799" s="5"/>
      <c r="H799" s="3"/>
      <c r="I799" s="5"/>
      <c r="J799" s="3"/>
      <c r="K799" s="5"/>
      <c r="L799" s="3"/>
      <c r="M799" s="5"/>
      <c r="N799" s="5"/>
    </row>
    <row r="800">
      <c r="A800" s="2"/>
      <c r="B800" s="3"/>
      <c r="C800" s="3"/>
      <c r="D800" s="3"/>
      <c r="E800" s="4"/>
      <c r="F800" s="3"/>
      <c r="G800" s="5"/>
      <c r="H800" s="3"/>
      <c r="I800" s="5"/>
      <c r="J800" s="3"/>
      <c r="K800" s="5"/>
      <c r="L800" s="3"/>
      <c r="M800" s="5"/>
      <c r="N800" s="5"/>
    </row>
    <row r="801">
      <c r="A801" s="2"/>
      <c r="B801" s="3"/>
      <c r="C801" s="3"/>
      <c r="D801" s="3"/>
      <c r="E801" s="4"/>
      <c r="F801" s="3"/>
      <c r="G801" s="5"/>
      <c r="H801" s="3"/>
      <c r="I801" s="5"/>
      <c r="J801" s="3"/>
      <c r="K801" s="5"/>
      <c r="L801" s="3"/>
      <c r="M801" s="5"/>
      <c r="N801" s="5"/>
    </row>
    <row r="802">
      <c r="A802" s="2"/>
      <c r="B802" s="3"/>
      <c r="C802" s="3"/>
      <c r="D802" s="3"/>
      <c r="E802" s="4"/>
      <c r="F802" s="3"/>
      <c r="G802" s="5"/>
      <c r="H802" s="3"/>
      <c r="I802" s="5"/>
      <c r="J802" s="3"/>
      <c r="K802" s="5"/>
      <c r="L802" s="3"/>
      <c r="M802" s="5"/>
      <c r="N802" s="5"/>
    </row>
    <row r="803">
      <c r="A803" s="2"/>
      <c r="B803" s="3"/>
      <c r="C803" s="3"/>
      <c r="D803" s="3"/>
      <c r="E803" s="4"/>
      <c r="F803" s="3"/>
      <c r="G803" s="5"/>
      <c r="H803" s="3"/>
      <c r="I803" s="5"/>
      <c r="J803" s="3"/>
      <c r="K803" s="5"/>
      <c r="L803" s="3"/>
      <c r="M803" s="5"/>
      <c r="N803" s="5"/>
    </row>
    <row r="804">
      <c r="A804" s="2"/>
      <c r="B804" s="3"/>
      <c r="C804" s="3"/>
      <c r="D804" s="3"/>
      <c r="E804" s="4"/>
      <c r="F804" s="3"/>
      <c r="G804" s="5"/>
      <c r="H804" s="3"/>
      <c r="I804" s="5"/>
      <c r="J804" s="3"/>
      <c r="K804" s="5"/>
      <c r="L804" s="3"/>
      <c r="M804" s="5"/>
      <c r="N804" s="5"/>
    </row>
    <row r="805">
      <c r="A805" s="2"/>
      <c r="B805" s="3"/>
      <c r="C805" s="3"/>
      <c r="D805" s="3"/>
      <c r="E805" s="4"/>
      <c r="F805" s="3"/>
      <c r="G805" s="5"/>
      <c r="H805" s="3"/>
      <c r="I805" s="5"/>
      <c r="J805" s="3"/>
      <c r="K805" s="5"/>
      <c r="L805" s="3"/>
      <c r="M805" s="5"/>
      <c r="N805" s="5"/>
    </row>
    <row r="806">
      <c r="A806" s="2"/>
      <c r="B806" s="3"/>
      <c r="C806" s="3"/>
      <c r="D806" s="3"/>
      <c r="E806" s="4"/>
      <c r="F806" s="3"/>
      <c r="G806" s="5"/>
      <c r="H806" s="3"/>
      <c r="I806" s="5"/>
      <c r="J806" s="3"/>
      <c r="K806" s="5"/>
      <c r="L806" s="3"/>
      <c r="M806" s="5"/>
      <c r="N806" s="5"/>
    </row>
    <row r="807">
      <c r="A807" s="2"/>
      <c r="B807" s="3"/>
      <c r="C807" s="3"/>
      <c r="D807" s="3"/>
      <c r="E807" s="4"/>
      <c r="F807" s="3"/>
      <c r="G807" s="5"/>
      <c r="H807" s="3"/>
      <c r="I807" s="5"/>
      <c r="J807" s="3"/>
      <c r="K807" s="5"/>
      <c r="L807" s="3"/>
      <c r="M807" s="5"/>
      <c r="N807" s="5"/>
    </row>
    <row r="808">
      <c r="A808" s="2"/>
      <c r="B808" s="3"/>
      <c r="C808" s="3"/>
      <c r="D808" s="3"/>
      <c r="E808" s="4"/>
      <c r="F808" s="3"/>
      <c r="G808" s="5"/>
      <c r="H808" s="3"/>
      <c r="I808" s="5"/>
      <c r="J808" s="3"/>
      <c r="K808" s="5"/>
      <c r="L808" s="3"/>
      <c r="M808" s="5"/>
      <c r="N808" s="5"/>
    </row>
    <row r="809">
      <c r="A809" s="2"/>
      <c r="B809" s="3"/>
      <c r="C809" s="3"/>
      <c r="D809" s="3"/>
      <c r="E809" s="4"/>
      <c r="F809" s="3"/>
      <c r="G809" s="5"/>
      <c r="H809" s="3"/>
      <c r="I809" s="5"/>
      <c r="J809" s="3"/>
      <c r="K809" s="5"/>
      <c r="L809" s="3"/>
      <c r="M809" s="5"/>
      <c r="N809" s="5"/>
    </row>
    <row r="810">
      <c r="A810" s="2"/>
      <c r="B810" s="3"/>
      <c r="C810" s="3"/>
      <c r="D810" s="3"/>
      <c r="E810" s="4"/>
      <c r="F810" s="3"/>
      <c r="G810" s="5"/>
      <c r="H810" s="3"/>
      <c r="I810" s="5"/>
      <c r="J810" s="3"/>
      <c r="K810" s="5"/>
      <c r="L810" s="3"/>
      <c r="M810" s="5"/>
      <c r="N810" s="5"/>
    </row>
    <row r="811">
      <c r="A811" s="2"/>
      <c r="B811" s="3"/>
      <c r="C811" s="3"/>
      <c r="D811" s="3"/>
      <c r="E811" s="4"/>
      <c r="F811" s="3"/>
      <c r="G811" s="5"/>
      <c r="H811" s="3"/>
      <c r="I811" s="5"/>
      <c r="J811" s="3"/>
      <c r="K811" s="5"/>
      <c r="L811" s="3"/>
      <c r="M811" s="5"/>
      <c r="N811" s="5"/>
    </row>
    <row r="812">
      <c r="A812" s="2"/>
      <c r="B812" s="3"/>
      <c r="C812" s="3"/>
      <c r="D812" s="3"/>
      <c r="E812" s="4"/>
      <c r="F812" s="3"/>
      <c r="G812" s="5"/>
      <c r="H812" s="3"/>
      <c r="I812" s="5"/>
      <c r="J812" s="3"/>
      <c r="K812" s="5"/>
      <c r="L812" s="3"/>
      <c r="M812" s="5"/>
      <c r="N812" s="5"/>
    </row>
    <row r="813">
      <c r="A813" s="2"/>
      <c r="B813" s="3"/>
      <c r="C813" s="3"/>
      <c r="D813" s="3"/>
      <c r="E813" s="4"/>
      <c r="F813" s="3"/>
      <c r="G813" s="5"/>
      <c r="H813" s="3"/>
      <c r="I813" s="5"/>
      <c r="J813" s="3"/>
      <c r="K813" s="5"/>
      <c r="L813" s="3"/>
      <c r="M813" s="5"/>
      <c r="N813" s="5"/>
    </row>
    <row r="814">
      <c r="A814" s="2"/>
      <c r="B814" s="3"/>
      <c r="C814" s="3"/>
      <c r="D814" s="3"/>
      <c r="E814" s="4"/>
      <c r="F814" s="3"/>
      <c r="G814" s="5"/>
      <c r="H814" s="3"/>
      <c r="I814" s="5"/>
      <c r="J814" s="3"/>
      <c r="K814" s="5"/>
      <c r="L814" s="3"/>
      <c r="M814" s="5"/>
      <c r="N814" s="5"/>
    </row>
    <row r="815">
      <c r="A815" s="2"/>
      <c r="B815" s="3"/>
      <c r="C815" s="3"/>
      <c r="D815" s="3"/>
      <c r="E815" s="4"/>
      <c r="F815" s="3"/>
      <c r="G815" s="5"/>
      <c r="H815" s="3"/>
      <c r="I815" s="5"/>
      <c r="J815" s="3"/>
      <c r="K815" s="5"/>
      <c r="L815" s="3"/>
      <c r="M815" s="5"/>
      <c r="N815" s="5"/>
    </row>
    <row r="816">
      <c r="A816" s="2"/>
      <c r="B816" s="3"/>
      <c r="C816" s="3"/>
      <c r="D816" s="3"/>
      <c r="E816" s="4"/>
      <c r="F816" s="3"/>
      <c r="G816" s="5"/>
      <c r="H816" s="3"/>
      <c r="I816" s="5"/>
      <c r="J816" s="3"/>
      <c r="K816" s="5"/>
      <c r="L816" s="3"/>
      <c r="M816" s="5"/>
      <c r="N816" s="5"/>
    </row>
    <row r="817">
      <c r="A817" s="2"/>
      <c r="B817" s="3"/>
      <c r="C817" s="3"/>
      <c r="D817" s="3"/>
      <c r="E817" s="4"/>
      <c r="F817" s="3"/>
      <c r="G817" s="5"/>
      <c r="H817" s="3"/>
      <c r="I817" s="5"/>
      <c r="J817" s="3"/>
      <c r="K817" s="5"/>
      <c r="L817" s="3"/>
      <c r="M817" s="5"/>
      <c r="N817" s="5"/>
    </row>
    <row r="818">
      <c r="A818" s="2"/>
      <c r="B818" s="3"/>
      <c r="C818" s="3"/>
      <c r="D818" s="3"/>
      <c r="E818" s="4"/>
      <c r="F818" s="3"/>
      <c r="G818" s="5"/>
      <c r="H818" s="3"/>
      <c r="I818" s="5"/>
      <c r="J818" s="3"/>
      <c r="K818" s="5"/>
      <c r="L818" s="3"/>
      <c r="M818" s="5"/>
      <c r="N818" s="5"/>
    </row>
    <row r="819">
      <c r="A819" s="2"/>
      <c r="B819" s="3"/>
      <c r="C819" s="3"/>
      <c r="D819" s="3"/>
      <c r="E819" s="4"/>
      <c r="F819" s="3"/>
      <c r="G819" s="5"/>
      <c r="H819" s="3"/>
      <c r="I819" s="5"/>
      <c r="J819" s="3"/>
      <c r="K819" s="5"/>
      <c r="L819" s="3"/>
      <c r="M819" s="5"/>
      <c r="N819" s="5"/>
    </row>
    <row r="820">
      <c r="A820" s="2"/>
      <c r="B820" s="3"/>
      <c r="C820" s="3"/>
      <c r="D820" s="3"/>
      <c r="E820" s="4"/>
      <c r="F820" s="3"/>
      <c r="G820" s="5"/>
      <c r="H820" s="3"/>
      <c r="I820" s="5"/>
      <c r="J820" s="3"/>
      <c r="K820" s="5"/>
      <c r="L820" s="3"/>
      <c r="M820" s="5"/>
      <c r="N820" s="5"/>
    </row>
    <row r="821">
      <c r="A821" s="2"/>
      <c r="B821" s="3"/>
      <c r="C821" s="3"/>
      <c r="D821" s="3"/>
      <c r="E821" s="4"/>
      <c r="F821" s="3"/>
      <c r="G821" s="5"/>
      <c r="H821" s="3"/>
      <c r="I821" s="5"/>
      <c r="J821" s="3"/>
      <c r="K821" s="5"/>
      <c r="L821" s="3"/>
      <c r="M821" s="5"/>
      <c r="N821" s="5"/>
    </row>
    <row r="822">
      <c r="A822" s="2"/>
      <c r="B822" s="3"/>
      <c r="C822" s="3"/>
      <c r="D822" s="3"/>
      <c r="E822" s="4"/>
      <c r="F822" s="3"/>
      <c r="G822" s="5"/>
      <c r="H822" s="3"/>
      <c r="I822" s="5"/>
      <c r="J822" s="3"/>
      <c r="K822" s="5"/>
      <c r="L822" s="3"/>
      <c r="M822" s="5"/>
      <c r="N822" s="5"/>
    </row>
    <row r="823">
      <c r="A823" s="2"/>
      <c r="B823" s="3"/>
      <c r="C823" s="3"/>
      <c r="D823" s="3"/>
      <c r="E823" s="4"/>
      <c r="F823" s="3"/>
      <c r="G823" s="5"/>
      <c r="H823" s="3"/>
      <c r="I823" s="5"/>
      <c r="J823" s="3"/>
      <c r="K823" s="5"/>
      <c r="L823" s="3"/>
      <c r="M823" s="5"/>
      <c r="N823" s="5"/>
    </row>
    <row r="824">
      <c r="A824" s="2"/>
      <c r="B824" s="3"/>
      <c r="C824" s="3"/>
      <c r="D824" s="3"/>
      <c r="E824" s="4"/>
      <c r="F824" s="3"/>
      <c r="G824" s="5"/>
      <c r="H824" s="3"/>
      <c r="I824" s="5"/>
      <c r="J824" s="3"/>
      <c r="K824" s="5"/>
      <c r="L824" s="3"/>
      <c r="M824" s="5"/>
      <c r="N824" s="5"/>
    </row>
    <row r="825">
      <c r="A825" s="2"/>
      <c r="B825" s="3"/>
      <c r="C825" s="3"/>
      <c r="D825" s="3"/>
      <c r="E825" s="4"/>
      <c r="F825" s="3"/>
      <c r="G825" s="5"/>
      <c r="H825" s="3"/>
      <c r="I825" s="5"/>
      <c r="J825" s="3"/>
      <c r="K825" s="5"/>
      <c r="L825" s="3"/>
      <c r="M825" s="5"/>
      <c r="N825" s="5"/>
    </row>
    <row r="826">
      <c r="A826" s="2"/>
      <c r="B826" s="3"/>
      <c r="C826" s="3"/>
      <c r="D826" s="3"/>
      <c r="E826" s="4"/>
      <c r="F826" s="3"/>
      <c r="G826" s="5"/>
      <c r="H826" s="3"/>
      <c r="I826" s="5"/>
      <c r="J826" s="3"/>
      <c r="K826" s="5"/>
      <c r="L826" s="3"/>
      <c r="M826" s="5"/>
      <c r="N826" s="5"/>
    </row>
    <row r="827">
      <c r="A827" s="2"/>
      <c r="B827" s="3"/>
      <c r="C827" s="3"/>
      <c r="D827" s="3"/>
      <c r="E827" s="4"/>
      <c r="F827" s="3"/>
      <c r="G827" s="5"/>
      <c r="H827" s="3"/>
      <c r="I827" s="5"/>
      <c r="J827" s="3"/>
      <c r="K827" s="5"/>
      <c r="L827" s="3"/>
      <c r="M827" s="5"/>
      <c r="N827" s="5"/>
    </row>
    <row r="828">
      <c r="A828" s="2"/>
      <c r="B828" s="3"/>
      <c r="C828" s="3"/>
      <c r="D828" s="3"/>
      <c r="E828" s="4"/>
      <c r="F828" s="3"/>
      <c r="G828" s="5"/>
      <c r="H828" s="3"/>
      <c r="I828" s="5"/>
      <c r="J828" s="3"/>
      <c r="K828" s="5"/>
      <c r="L828" s="3"/>
      <c r="M828" s="5"/>
      <c r="N828" s="5"/>
    </row>
    <row r="829">
      <c r="A829" s="2"/>
      <c r="B829" s="3"/>
      <c r="C829" s="3"/>
      <c r="D829" s="3"/>
      <c r="E829" s="4"/>
      <c r="F829" s="3"/>
      <c r="G829" s="5"/>
      <c r="H829" s="3"/>
      <c r="I829" s="5"/>
      <c r="J829" s="3"/>
      <c r="K829" s="5"/>
      <c r="L829" s="3"/>
      <c r="M829" s="5"/>
      <c r="N829" s="5"/>
    </row>
    <row r="830">
      <c r="A830" s="2"/>
      <c r="B830" s="3"/>
      <c r="C830" s="3"/>
      <c r="D830" s="3"/>
      <c r="E830" s="4"/>
      <c r="F830" s="3"/>
      <c r="G830" s="5"/>
      <c r="H830" s="3"/>
      <c r="I830" s="5"/>
      <c r="J830" s="3"/>
      <c r="K830" s="5"/>
      <c r="L830" s="3"/>
      <c r="M830" s="5"/>
      <c r="N830" s="5"/>
    </row>
    <row r="831">
      <c r="A831" s="2"/>
      <c r="B831" s="3"/>
      <c r="C831" s="3"/>
      <c r="D831" s="3"/>
      <c r="E831" s="4"/>
      <c r="F831" s="3"/>
      <c r="G831" s="5"/>
      <c r="H831" s="3"/>
      <c r="I831" s="5"/>
      <c r="J831" s="3"/>
      <c r="K831" s="5"/>
      <c r="L831" s="3"/>
      <c r="M831" s="5"/>
      <c r="N831" s="5"/>
    </row>
    <row r="832">
      <c r="A832" s="2"/>
      <c r="B832" s="3"/>
      <c r="C832" s="3"/>
      <c r="D832" s="3"/>
      <c r="E832" s="4"/>
      <c r="F832" s="3"/>
      <c r="G832" s="5"/>
      <c r="H832" s="3"/>
      <c r="I832" s="5"/>
      <c r="J832" s="3"/>
      <c r="K832" s="5"/>
      <c r="L832" s="3"/>
      <c r="M832" s="5"/>
      <c r="N832" s="5"/>
    </row>
    <row r="833">
      <c r="A833" s="2"/>
      <c r="B833" s="3"/>
      <c r="C833" s="3"/>
      <c r="D833" s="3"/>
      <c r="E833" s="4"/>
      <c r="F833" s="3"/>
      <c r="G833" s="5"/>
      <c r="H833" s="3"/>
      <c r="I833" s="5"/>
      <c r="J833" s="3"/>
      <c r="K833" s="5"/>
      <c r="L833" s="3"/>
      <c r="M833" s="5"/>
      <c r="N833" s="5"/>
    </row>
    <row r="834">
      <c r="A834" s="2"/>
      <c r="B834" s="3"/>
      <c r="C834" s="3"/>
      <c r="D834" s="3"/>
      <c r="E834" s="4"/>
      <c r="F834" s="3"/>
      <c r="G834" s="5"/>
      <c r="H834" s="3"/>
      <c r="I834" s="5"/>
      <c r="J834" s="3"/>
      <c r="K834" s="5"/>
      <c r="L834" s="3"/>
      <c r="M834" s="5"/>
      <c r="N834" s="5"/>
    </row>
    <row r="835">
      <c r="A835" s="2"/>
      <c r="B835" s="3"/>
      <c r="C835" s="3"/>
      <c r="D835" s="3"/>
      <c r="E835" s="4"/>
      <c r="F835" s="3"/>
      <c r="G835" s="5"/>
      <c r="H835" s="3"/>
      <c r="I835" s="5"/>
      <c r="J835" s="3"/>
      <c r="K835" s="5"/>
      <c r="L835" s="3"/>
      <c r="M835" s="5"/>
      <c r="N835" s="5"/>
    </row>
    <row r="836">
      <c r="A836" s="2"/>
      <c r="B836" s="3"/>
      <c r="C836" s="3"/>
      <c r="D836" s="3"/>
      <c r="E836" s="4"/>
      <c r="F836" s="3"/>
      <c r="G836" s="5"/>
      <c r="H836" s="3"/>
      <c r="I836" s="5"/>
      <c r="J836" s="3"/>
      <c r="K836" s="5"/>
      <c r="L836" s="3"/>
      <c r="M836" s="5"/>
      <c r="N836" s="5"/>
    </row>
    <row r="837">
      <c r="A837" s="2"/>
      <c r="B837" s="3"/>
      <c r="C837" s="3"/>
      <c r="D837" s="3"/>
      <c r="E837" s="4"/>
      <c r="F837" s="3"/>
      <c r="G837" s="5"/>
      <c r="H837" s="3"/>
      <c r="I837" s="5"/>
      <c r="J837" s="3"/>
      <c r="K837" s="5"/>
      <c r="L837" s="3"/>
      <c r="M837" s="5"/>
      <c r="N837" s="5"/>
    </row>
    <row r="838">
      <c r="A838" s="2"/>
      <c r="B838" s="3"/>
      <c r="C838" s="3"/>
      <c r="D838" s="3"/>
      <c r="E838" s="4"/>
      <c r="F838" s="3"/>
      <c r="G838" s="5"/>
      <c r="H838" s="3"/>
      <c r="I838" s="5"/>
      <c r="J838" s="3"/>
      <c r="K838" s="5"/>
      <c r="L838" s="3"/>
      <c r="M838" s="5"/>
      <c r="N838" s="5"/>
    </row>
    <row r="839">
      <c r="A839" s="2"/>
      <c r="B839" s="3"/>
      <c r="C839" s="3"/>
      <c r="D839" s="3"/>
      <c r="E839" s="4"/>
      <c r="F839" s="3"/>
      <c r="G839" s="5"/>
      <c r="H839" s="3"/>
      <c r="I839" s="5"/>
      <c r="J839" s="3"/>
      <c r="K839" s="5"/>
      <c r="L839" s="3"/>
      <c r="M839" s="5"/>
      <c r="N839" s="5"/>
    </row>
    <row r="840">
      <c r="A840" s="2"/>
      <c r="B840" s="3"/>
      <c r="C840" s="3"/>
      <c r="D840" s="3"/>
      <c r="E840" s="4"/>
      <c r="F840" s="3"/>
      <c r="G840" s="5"/>
      <c r="H840" s="3"/>
      <c r="I840" s="5"/>
      <c r="J840" s="3"/>
      <c r="K840" s="5"/>
      <c r="L840" s="3"/>
      <c r="M840" s="5"/>
      <c r="N840" s="5"/>
    </row>
    <row r="841">
      <c r="A841" s="2"/>
      <c r="B841" s="3"/>
      <c r="C841" s="3"/>
      <c r="D841" s="3"/>
      <c r="E841" s="4"/>
      <c r="F841" s="3"/>
      <c r="G841" s="5"/>
      <c r="H841" s="3"/>
      <c r="I841" s="5"/>
      <c r="J841" s="3"/>
      <c r="K841" s="5"/>
      <c r="L841" s="3"/>
      <c r="M841" s="5"/>
      <c r="N841" s="5"/>
    </row>
    <row r="842">
      <c r="A842" s="2"/>
      <c r="B842" s="3"/>
      <c r="C842" s="3"/>
      <c r="D842" s="3"/>
      <c r="E842" s="4"/>
      <c r="F842" s="3"/>
      <c r="G842" s="5"/>
      <c r="H842" s="3"/>
      <c r="I842" s="5"/>
      <c r="J842" s="3"/>
      <c r="K842" s="5"/>
      <c r="L842" s="3"/>
      <c r="M842" s="5"/>
      <c r="N842" s="5"/>
    </row>
    <row r="843">
      <c r="A843" s="2"/>
      <c r="B843" s="3"/>
      <c r="C843" s="3"/>
      <c r="D843" s="3"/>
      <c r="E843" s="4"/>
      <c r="F843" s="3"/>
      <c r="G843" s="5"/>
      <c r="H843" s="3"/>
      <c r="I843" s="5"/>
      <c r="J843" s="3"/>
      <c r="K843" s="5"/>
      <c r="L843" s="3"/>
      <c r="M843" s="5"/>
      <c r="N843" s="5"/>
    </row>
    <row r="844">
      <c r="A844" s="2"/>
      <c r="B844" s="3"/>
      <c r="C844" s="3"/>
      <c r="D844" s="3"/>
      <c r="E844" s="4"/>
      <c r="F844" s="3"/>
      <c r="G844" s="5"/>
      <c r="H844" s="3"/>
      <c r="I844" s="5"/>
      <c r="J844" s="3"/>
      <c r="K844" s="5"/>
      <c r="L844" s="3"/>
      <c r="M844" s="5"/>
      <c r="N844" s="5"/>
    </row>
    <row r="845">
      <c r="A845" s="2"/>
      <c r="B845" s="3"/>
      <c r="C845" s="3"/>
      <c r="D845" s="3"/>
      <c r="E845" s="4"/>
      <c r="F845" s="3"/>
      <c r="G845" s="5"/>
      <c r="H845" s="3"/>
      <c r="I845" s="5"/>
      <c r="J845" s="3"/>
      <c r="K845" s="5"/>
      <c r="L845" s="3"/>
      <c r="M845" s="5"/>
      <c r="N845" s="5"/>
    </row>
    <row r="846">
      <c r="A846" s="2"/>
      <c r="B846" s="3"/>
      <c r="C846" s="3"/>
      <c r="D846" s="3"/>
      <c r="E846" s="4"/>
      <c r="F846" s="3"/>
      <c r="G846" s="5"/>
      <c r="H846" s="3"/>
      <c r="I846" s="5"/>
      <c r="J846" s="3"/>
      <c r="K846" s="5"/>
      <c r="L846" s="3"/>
      <c r="M846" s="5"/>
      <c r="N846" s="5"/>
    </row>
    <row r="847">
      <c r="A847" s="2"/>
      <c r="B847" s="3"/>
      <c r="C847" s="3"/>
      <c r="D847" s="3"/>
      <c r="E847" s="4"/>
      <c r="F847" s="3"/>
      <c r="G847" s="5"/>
      <c r="H847" s="3"/>
      <c r="I847" s="5"/>
      <c r="J847" s="3"/>
      <c r="K847" s="5"/>
      <c r="L847" s="3"/>
      <c r="M847" s="5"/>
      <c r="N847" s="5"/>
    </row>
    <row r="848">
      <c r="A848" s="2"/>
      <c r="B848" s="3"/>
      <c r="C848" s="3"/>
      <c r="D848" s="3"/>
      <c r="E848" s="4"/>
      <c r="F848" s="3"/>
      <c r="G848" s="5"/>
      <c r="H848" s="3"/>
      <c r="I848" s="5"/>
      <c r="J848" s="3"/>
      <c r="K848" s="5"/>
      <c r="L848" s="3"/>
      <c r="M848" s="5"/>
      <c r="N848" s="5"/>
    </row>
    <row r="849">
      <c r="A849" s="2"/>
      <c r="B849" s="3"/>
      <c r="C849" s="3"/>
      <c r="D849" s="3"/>
      <c r="E849" s="4"/>
      <c r="F849" s="3"/>
      <c r="G849" s="5"/>
      <c r="H849" s="3"/>
      <c r="I849" s="5"/>
      <c r="J849" s="3"/>
      <c r="K849" s="5"/>
      <c r="L849" s="3"/>
      <c r="M849" s="5"/>
      <c r="N849" s="5"/>
    </row>
    <row r="850">
      <c r="A850" s="2"/>
      <c r="B850" s="3"/>
      <c r="C850" s="3"/>
      <c r="D850" s="3"/>
      <c r="E850" s="4"/>
      <c r="F850" s="3"/>
      <c r="G850" s="5"/>
      <c r="H850" s="3"/>
      <c r="I850" s="5"/>
      <c r="J850" s="3"/>
      <c r="K850" s="5"/>
      <c r="L850" s="3"/>
      <c r="M850" s="5"/>
      <c r="N850" s="5"/>
    </row>
    <row r="851">
      <c r="A851" s="2"/>
      <c r="B851" s="3"/>
      <c r="C851" s="3"/>
      <c r="D851" s="3"/>
      <c r="E851" s="4"/>
      <c r="F851" s="3"/>
      <c r="G851" s="5"/>
      <c r="H851" s="3"/>
      <c r="I851" s="5"/>
      <c r="J851" s="3"/>
      <c r="K851" s="5"/>
      <c r="L851" s="3"/>
      <c r="M851" s="5"/>
      <c r="N851" s="5"/>
    </row>
    <row r="852">
      <c r="A852" s="2"/>
      <c r="B852" s="3"/>
      <c r="C852" s="3"/>
      <c r="D852" s="3"/>
      <c r="E852" s="4"/>
      <c r="F852" s="3"/>
      <c r="G852" s="5"/>
      <c r="H852" s="3"/>
      <c r="I852" s="5"/>
      <c r="J852" s="3"/>
      <c r="K852" s="5"/>
      <c r="L852" s="3"/>
      <c r="M852" s="5"/>
      <c r="N852" s="5"/>
    </row>
    <row r="853">
      <c r="A853" s="2"/>
      <c r="B853" s="3"/>
      <c r="C853" s="3"/>
      <c r="D853" s="3"/>
      <c r="E853" s="4"/>
      <c r="F853" s="3"/>
      <c r="G853" s="5"/>
      <c r="H853" s="3"/>
      <c r="I853" s="5"/>
      <c r="J853" s="3"/>
      <c r="K853" s="5"/>
      <c r="L853" s="3"/>
      <c r="M853" s="5"/>
      <c r="N853" s="5"/>
    </row>
    <row r="854">
      <c r="A854" s="2"/>
      <c r="B854" s="3"/>
      <c r="C854" s="3"/>
      <c r="D854" s="3"/>
      <c r="E854" s="4"/>
      <c r="F854" s="3"/>
      <c r="G854" s="5"/>
      <c r="H854" s="3"/>
      <c r="I854" s="5"/>
      <c r="J854" s="3"/>
      <c r="K854" s="5"/>
      <c r="L854" s="3"/>
      <c r="M854" s="5"/>
      <c r="N854" s="5"/>
    </row>
    <row r="855">
      <c r="A855" s="2"/>
      <c r="B855" s="3"/>
      <c r="C855" s="3"/>
      <c r="D855" s="3"/>
      <c r="E855" s="4"/>
      <c r="F855" s="3"/>
      <c r="G855" s="5"/>
      <c r="H855" s="3"/>
      <c r="I855" s="5"/>
      <c r="J855" s="3"/>
      <c r="K855" s="5"/>
      <c r="L855" s="3"/>
      <c r="M855" s="5"/>
      <c r="N855" s="5"/>
    </row>
    <row r="856">
      <c r="A856" s="2"/>
      <c r="B856" s="3"/>
      <c r="C856" s="3"/>
      <c r="D856" s="3"/>
      <c r="E856" s="4"/>
      <c r="F856" s="3"/>
      <c r="G856" s="5"/>
      <c r="H856" s="3"/>
      <c r="I856" s="5"/>
      <c r="J856" s="3"/>
      <c r="K856" s="5"/>
      <c r="L856" s="3"/>
      <c r="M856" s="5"/>
      <c r="N856" s="5"/>
    </row>
    <row r="857">
      <c r="A857" s="2"/>
      <c r="B857" s="3"/>
      <c r="C857" s="3"/>
      <c r="D857" s="3"/>
      <c r="E857" s="4"/>
      <c r="F857" s="3"/>
      <c r="G857" s="5"/>
      <c r="H857" s="3"/>
      <c r="I857" s="5"/>
      <c r="J857" s="3"/>
      <c r="K857" s="5"/>
      <c r="L857" s="3"/>
      <c r="M857" s="5"/>
      <c r="N857" s="5"/>
    </row>
    <row r="858">
      <c r="A858" s="2"/>
      <c r="B858" s="3"/>
      <c r="C858" s="3"/>
      <c r="D858" s="3"/>
      <c r="E858" s="4"/>
      <c r="F858" s="3"/>
      <c r="G858" s="5"/>
      <c r="H858" s="3"/>
      <c r="I858" s="5"/>
      <c r="J858" s="3"/>
      <c r="K858" s="5"/>
      <c r="L858" s="3"/>
      <c r="M858" s="5"/>
      <c r="N858" s="5"/>
    </row>
    <row r="859">
      <c r="A859" s="2"/>
      <c r="B859" s="3"/>
      <c r="C859" s="3"/>
      <c r="D859" s="3"/>
      <c r="E859" s="4"/>
      <c r="F859" s="3"/>
      <c r="G859" s="5"/>
      <c r="H859" s="3"/>
      <c r="I859" s="5"/>
      <c r="J859" s="3"/>
      <c r="K859" s="5"/>
      <c r="L859" s="3"/>
      <c r="M859" s="5"/>
      <c r="N859" s="5"/>
    </row>
    <row r="860">
      <c r="A860" s="2"/>
      <c r="B860" s="3"/>
      <c r="C860" s="3"/>
      <c r="D860" s="3"/>
      <c r="E860" s="4"/>
      <c r="F860" s="3"/>
      <c r="G860" s="5"/>
      <c r="H860" s="3"/>
      <c r="I860" s="5"/>
      <c r="J860" s="3"/>
      <c r="K860" s="5"/>
      <c r="L860" s="3"/>
      <c r="M860" s="5"/>
      <c r="N860" s="5"/>
    </row>
    <row r="861">
      <c r="A861" s="2"/>
      <c r="B861" s="3"/>
      <c r="C861" s="3"/>
      <c r="D861" s="3"/>
      <c r="E861" s="4"/>
      <c r="F861" s="3"/>
      <c r="G861" s="5"/>
      <c r="H861" s="3"/>
      <c r="I861" s="5"/>
      <c r="J861" s="3"/>
      <c r="K861" s="5"/>
      <c r="L861" s="3"/>
      <c r="M861" s="5"/>
      <c r="N861" s="5"/>
    </row>
    <row r="862">
      <c r="A862" s="2"/>
      <c r="B862" s="3"/>
      <c r="C862" s="3"/>
      <c r="D862" s="3"/>
      <c r="E862" s="4"/>
      <c r="F862" s="3"/>
      <c r="G862" s="5"/>
      <c r="H862" s="3"/>
      <c r="I862" s="5"/>
      <c r="J862" s="3"/>
      <c r="K862" s="5"/>
      <c r="L862" s="3"/>
      <c r="M862" s="5"/>
      <c r="N862" s="5"/>
    </row>
    <row r="863">
      <c r="A863" s="2"/>
      <c r="B863" s="3"/>
      <c r="C863" s="3"/>
      <c r="D863" s="3"/>
      <c r="E863" s="4"/>
      <c r="F863" s="3"/>
      <c r="G863" s="5"/>
      <c r="H863" s="3"/>
      <c r="I863" s="5"/>
      <c r="J863" s="3"/>
      <c r="K863" s="5"/>
      <c r="L863" s="3"/>
      <c r="M863" s="5"/>
      <c r="N863" s="5"/>
    </row>
    <row r="864">
      <c r="A864" s="2"/>
      <c r="B864" s="3"/>
      <c r="C864" s="3"/>
      <c r="D864" s="3"/>
      <c r="E864" s="4"/>
      <c r="F864" s="3"/>
      <c r="G864" s="5"/>
      <c r="H864" s="3"/>
      <c r="I864" s="5"/>
      <c r="J864" s="3"/>
      <c r="K864" s="5"/>
      <c r="L864" s="3"/>
      <c r="M864" s="5"/>
      <c r="N864" s="5"/>
    </row>
    <row r="865">
      <c r="A865" s="2"/>
      <c r="B865" s="3"/>
      <c r="C865" s="3"/>
      <c r="D865" s="3"/>
      <c r="E865" s="4"/>
      <c r="F865" s="3"/>
      <c r="G865" s="5"/>
      <c r="H865" s="3"/>
      <c r="I865" s="5"/>
      <c r="J865" s="3"/>
      <c r="K865" s="5"/>
      <c r="L865" s="3"/>
      <c r="M865" s="5"/>
      <c r="N865" s="5"/>
    </row>
    <row r="866">
      <c r="A866" s="2"/>
      <c r="B866" s="3"/>
      <c r="C866" s="3"/>
      <c r="D866" s="3"/>
      <c r="E866" s="4"/>
      <c r="F866" s="3"/>
      <c r="G866" s="5"/>
      <c r="H866" s="3"/>
      <c r="I866" s="5"/>
      <c r="J866" s="3"/>
      <c r="K866" s="5"/>
      <c r="L866" s="3"/>
      <c r="M866" s="5"/>
      <c r="N866" s="5"/>
    </row>
    <row r="867">
      <c r="A867" s="2"/>
      <c r="B867" s="3"/>
      <c r="C867" s="3"/>
      <c r="D867" s="3"/>
      <c r="E867" s="4"/>
      <c r="F867" s="3"/>
      <c r="G867" s="5"/>
      <c r="H867" s="3"/>
      <c r="I867" s="5"/>
      <c r="J867" s="3"/>
      <c r="K867" s="5"/>
      <c r="L867" s="3"/>
      <c r="M867" s="5"/>
      <c r="N867" s="5"/>
    </row>
    <row r="868">
      <c r="A868" s="2"/>
      <c r="B868" s="3"/>
      <c r="C868" s="3"/>
      <c r="D868" s="3"/>
      <c r="E868" s="4"/>
      <c r="F868" s="3"/>
      <c r="G868" s="5"/>
      <c r="H868" s="3"/>
      <c r="I868" s="5"/>
      <c r="J868" s="3"/>
      <c r="K868" s="5"/>
      <c r="L868" s="3"/>
      <c r="M868" s="5"/>
      <c r="N868" s="5"/>
    </row>
    <row r="869">
      <c r="A869" s="2"/>
      <c r="B869" s="3"/>
      <c r="C869" s="3"/>
      <c r="D869" s="3"/>
      <c r="E869" s="4"/>
      <c r="F869" s="3"/>
      <c r="G869" s="5"/>
      <c r="H869" s="3"/>
      <c r="I869" s="5"/>
      <c r="J869" s="3"/>
      <c r="K869" s="5"/>
      <c r="L869" s="3"/>
      <c r="M869" s="5"/>
      <c r="N869" s="5"/>
    </row>
    <row r="870">
      <c r="A870" s="2"/>
      <c r="B870" s="3"/>
      <c r="C870" s="3"/>
      <c r="D870" s="3"/>
      <c r="E870" s="4"/>
      <c r="F870" s="3"/>
      <c r="G870" s="5"/>
      <c r="H870" s="3"/>
      <c r="I870" s="5"/>
      <c r="J870" s="3"/>
      <c r="K870" s="5"/>
      <c r="L870" s="3"/>
      <c r="M870" s="5"/>
      <c r="N870" s="5"/>
    </row>
    <row r="871">
      <c r="A871" s="2"/>
      <c r="B871" s="3"/>
      <c r="C871" s="3"/>
      <c r="D871" s="3"/>
      <c r="E871" s="4"/>
      <c r="F871" s="3"/>
      <c r="G871" s="5"/>
      <c r="H871" s="3"/>
      <c r="I871" s="5"/>
      <c r="J871" s="3"/>
      <c r="K871" s="5"/>
      <c r="L871" s="3"/>
      <c r="M871" s="5"/>
      <c r="N871" s="5"/>
    </row>
    <row r="872">
      <c r="A872" s="2"/>
      <c r="B872" s="3"/>
      <c r="C872" s="3"/>
      <c r="D872" s="3"/>
      <c r="E872" s="4"/>
      <c r="F872" s="3"/>
      <c r="G872" s="5"/>
      <c r="H872" s="3"/>
      <c r="I872" s="5"/>
      <c r="J872" s="3"/>
      <c r="K872" s="5"/>
      <c r="L872" s="3"/>
      <c r="M872" s="5"/>
      <c r="N872" s="5"/>
    </row>
    <row r="873">
      <c r="A873" s="2"/>
      <c r="B873" s="3"/>
      <c r="C873" s="3"/>
      <c r="D873" s="3"/>
      <c r="E873" s="4"/>
      <c r="F873" s="3"/>
      <c r="G873" s="5"/>
      <c r="H873" s="3"/>
      <c r="I873" s="5"/>
      <c r="J873" s="3"/>
      <c r="K873" s="5"/>
      <c r="L873" s="3"/>
      <c r="M873" s="5"/>
      <c r="N873" s="5"/>
    </row>
    <row r="874">
      <c r="A874" s="2"/>
      <c r="B874" s="3"/>
      <c r="C874" s="3"/>
      <c r="D874" s="3"/>
      <c r="E874" s="4"/>
      <c r="F874" s="3"/>
      <c r="G874" s="5"/>
      <c r="H874" s="3"/>
      <c r="I874" s="5"/>
      <c r="J874" s="3"/>
      <c r="K874" s="5"/>
      <c r="L874" s="3"/>
      <c r="M874" s="5"/>
      <c r="N874" s="5"/>
    </row>
    <row r="875">
      <c r="A875" s="2"/>
      <c r="B875" s="3"/>
      <c r="C875" s="3"/>
      <c r="D875" s="3"/>
      <c r="E875" s="4"/>
      <c r="F875" s="3"/>
      <c r="G875" s="5"/>
      <c r="H875" s="3"/>
      <c r="I875" s="5"/>
      <c r="J875" s="3"/>
      <c r="K875" s="5"/>
      <c r="L875" s="3"/>
      <c r="M875" s="5"/>
      <c r="N875" s="5"/>
    </row>
    <row r="876">
      <c r="A876" s="2"/>
      <c r="B876" s="3"/>
      <c r="C876" s="3"/>
      <c r="D876" s="3"/>
      <c r="E876" s="4"/>
      <c r="F876" s="3"/>
      <c r="G876" s="5"/>
      <c r="H876" s="3"/>
      <c r="I876" s="5"/>
      <c r="J876" s="3"/>
      <c r="K876" s="5"/>
      <c r="L876" s="3"/>
      <c r="M876" s="5"/>
      <c r="N876" s="5"/>
    </row>
    <row r="877">
      <c r="A877" s="2"/>
      <c r="B877" s="3"/>
      <c r="C877" s="3"/>
      <c r="D877" s="3"/>
      <c r="E877" s="4"/>
      <c r="F877" s="3"/>
      <c r="G877" s="5"/>
      <c r="H877" s="3"/>
      <c r="I877" s="5"/>
      <c r="J877" s="3"/>
      <c r="K877" s="5"/>
      <c r="L877" s="3"/>
      <c r="M877" s="5"/>
      <c r="N877" s="5"/>
    </row>
    <row r="878">
      <c r="A878" s="2"/>
      <c r="B878" s="3"/>
      <c r="C878" s="3"/>
      <c r="D878" s="3"/>
      <c r="E878" s="4"/>
      <c r="F878" s="3"/>
      <c r="G878" s="5"/>
      <c r="H878" s="3"/>
      <c r="I878" s="5"/>
      <c r="J878" s="3"/>
      <c r="K878" s="5"/>
      <c r="L878" s="3"/>
      <c r="M878" s="5"/>
      <c r="N878" s="5"/>
    </row>
    <row r="879">
      <c r="A879" s="2"/>
      <c r="B879" s="3"/>
      <c r="C879" s="3"/>
      <c r="D879" s="3"/>
      <c r="E879" s="4"/>
      <c r="F879" s="3"/>
      <c r="G879" s="5"/>
      <c r="H879" s="3"/>
      <c r="I879" s="5"/>
      <c r="J879" s="3"/>
      <c r="K879" s="5"/>
      <c r="L879" s="3"/>
      <c r="M879" s="5"/>
      <c r="N879" s="5"/>
    </row>
    <row r="880">
      <c r="A880" s="2"/>
      <c r="B880" s="3"/>
      <c r="C880" s="3"/>
      <c r="D880" s="3"/>
      <c r="E880" s="4"/>
      <c r="F880" s="3"/>
      <c r="G880" s="5"/>
      <c r="H880" s="3"/>
      <c r="I880" s="5"/>
      <c r="J880" s="3"/>
      <c r="K880" s="5"/>
      <c r="L880" s="3"/>
      <c r="M880" s="5"/>
      <c r="N880" s="5"/>
    </row>
    <row r="881">
      <c r="A881" s="2"/>
      <c r="B881" s="3"/>
      <c r="C881" s="3"/>
      <c r="D881" s="3"/>
      <c r="E881" s="4"/>
      <c r="F881" s="3"/>
      <c r="G881" s="5"/>
      <c r="H881" s="3"/>
      <c r="I881" s="5"/>
      <c r="J881" s="3"/>
      <c r="K881" s="5"/>
      <c r="L881" s="3"/>
      <c r="M881" s="5"/>
      <c r="N881" s="5"/>
    </row>
    <row r="882">
      <c r="A882" s="2"/>
      <c r="B882" s="3"/>
      <c r="C882" s="3"/>
      <c r="D882" s="3"/>
      <c r="E882" s="4"/>
      <c r="F882" s="3"/>
      <c r="G882" s="5"/>
      <c r="H882" s="3"/>
      <c r="I882" s="5"/>
      <c r="J882" s="3"/>
      <c r="K882" s="5"/>
      <c r="L882" s="3"/>
      <c r="M882" s="5"/>
      <c r="N882" s="5"/>
    </row>
    <row r="883">
      <c r="A883" s="2"/>
      <c r="B883" s="3"/>
      <c r="C883" s="3"/>
      <c r="D883" s="3"/>
      <c r="E883" s="4"/>
      <c r="F883" s="3"/>
      <c r="G883" s="5"/>
      <c r="H883" s="3"/>
      <c r="I883" s="5"/>
      <c r="J883" s="3"/>
      <c r="K883" s="5"/>
      <c r="L883" s="3"/>
      <c r="M883" s="5"/>
      <c r="N883" s="5"/>
    </row>
    <row r="884">
      <c r="A884" s="2"/>
      <c r="B884" s="3"/>
      <c r="C884" s="3"/>
      <c r="D884" s="3"/>
      <c r="E884" s="4"/>
      <c r="F884" s="3"/>
      <c r="G884" s="5"/>
      <c r="H884" s="3"/>
      <c r="I884" s="5"/>
      <c r="J884" s="3"/>
      <c r="K884" s="5"/>
      <c r="L884" s="3"/>
      <c r="M884" s="5"/>
      <c r="N884" s="5"/>
    </row>
    <row r="885">
      <c r="A885" s="2"/>
      <c r="B885" s="3"/>
      <c r="C885" s="3"/>
      <c r="D885" s="3"/>
      <c r="E885" s="4"/>
      <c r="F885" s="3"/>
      <c r="G885" s="5"/>
      <c r="H885" s="3"/>
      <c r="I885" s="5"/>
      <c r="J885" s="3"/>
      <c r="K885" s="5"/>
      <c r="L885" s="3"/>
      <c r="M885" s="5"/>
      <c r="N885" s="5"/>
    </row>
    <row r="886">
      <c r="A886" s="2"/>
      <c r="B886" s="3"/>
      <c r="C886" s="3"/>
      <c r="D886" s="3"/>
      <c r="E886" s="4"/>
      <c r="F886" s="3"/>
      <c r="G886" s="5"/>
      <c r="H886" s="3"/>
      <c r="I886" s="5"/>
      <c r="J886" s="3"/>
      <c r="K886" s="5"/>
      <c r="L886" s="3"/>
      <c r="M886" s="5"/>
      <c r="N886" s="5"/>
    </row>
    <row r="887">
      <c r="A887" s="2"/>
      <c r="B887" s="3"/>
      <c r="C887" s="3"/>
      <c r="D887" s="3"/>
      <c r="E887" s="4"/>
      <c r="F887" s="3"/>
      <c r="G887" s="5"/>
      <c r="H887" s="3"/>
      <c r="I887" s="5"/>
      <c r="J887" s="3"/>
      <c r="K887" s="5"/>
      <c r="L887" s="3"/>
      <c r="M887" s="5"/>
      <c r="N887" s="5"/>
    </row>
    <row r="888">
      <c r="A888" s="2"/>
      <c r="B888" s="3"/>
      <c r="C888" s="3"/>
      <c r="D888" s="3"/>
      <c r="E888" s="4"/>
      <c r="F888" s="3"/>
      <c r="G888" s="5"/>
      <c r="H888" s="3"/>
      <c r="I888" s="5"/>
      <c r="J888" s="3"/>
      <c r="K888" s="5"/>
      <c r="L888" s="3"/>
      <c r="M888" s="5"/>
      <c r="N888" s="5"/>
    </row>
    <row r="889">
      <c r="A889" s="2"/>
      <c r="B889" s="3"/>
      <c r="C889" s="3"/>
      <c r="D889" s="3"/>
      <c r="E889" s="4"/>
      <c r="F889" s="3"/>
      <c r="G889" s="5"/>
      <c r="H889" s="3"/>
      <c r="I889" s="5"/>
      <c r="J889" s="3"/>
      <c r="K889" s="5"/>
      <c r="L889" s="3"/>
      <c r="M889" s="5"/>
      <c r="N889" s="5"/>
    </row>
    <row r="890">
      <c r="A890" s="2"/>
      <c r="B890" s="3"/>
      <c r="C890" s="3"/>
      <c r="D890" s="3"/>
      <c r="E890" s="4"/>
      <c r="F890" s="3"/>
      <c r="G890" s="5"/>
      <c r="H890" s="3"/>
      <c r="I890" s="5"/>
      <c r="J890" s="3"/>
      <c r="K890" s="5"/>
      <c r="L890" s="3"/>
      <c r="M890" s="5"/>
      <c r="N890" s="5"/>
    </row>
    <row r="891">
      <c r="A891" s="2"/>
      <c r="B891" s="3"/>
      <c r="C891" s="3"/>
      <c r="D891" s="3"/>
      <c r="E891" s="4"/>
      <c r="F891" s="3"/>
      <c r="G891" s="5"/>
      <c r="H891" s="3"/>
      <c r="I891" s="5"/>
      <c r="J891" s="3"/>
      <c r="K891" s="5"/>
      <c r="L891" s="3"/>
      <c r="M891" s="5"/>
      <c r="N891" s="5"/>
    </row>
    <row r="892">
      <c r="A892" s="2"/>
      <c r="B892" s="3"/>
      <c r="C892" s="3"/>
      <c r="D892" s="3"/>
      <c r="E892" s="4"/>
      <c r="F892" s="3"/>
      <c r="G892" s="5"/>
      <c r="H892" s="3"/>
      <c r="I892" s="5"/>
      <c r="J892" s="3"/>
      <c r="K892" s="5"/>
      <c r="L892" s="3"/>
      <c r="M892" s="5"/>
      <c r="N892" s="5"/>
    </row>
    <row r="893">
      <c r="A893" s="2"/>
      <c r="B893" s="3"/>
      <c r="C893" s="3"/>
      <c r="D893" s="3"/>
      <c r="E893" s="4"/>
      <c r="F893" s="3"/>
      <c r="G893" s="5"/>
      <c r="H893" s="3"/>
      <c r="I893" s="5"/>
      <c r="J893" s="3"/>
      <c r="K893" s="5"/>
      <c r="L893" s="3"/>
      <c r="M893" s="5"/>
      <c r="N893" s="5"/>
    </row>
    <row r="894">
      <c r="A894" s="2"/>
      <c r="B894" s="3"/>
      <c r="C894" s="3"/>
      <c r="D894" s="3"/>
      <c r="E894" s="4"/>
      <c r="F894" s="3"/>
      <c r="G894" s="5"/>
      <c r="H894" s="3"/>
      <c r="I894" s="5"/>
      <c r="J894" s="3"/>
      <c r="K894" s="5"/>
      <c r="L894" s="3"/>
      <c r="M894" s="5"/>
      <c r="N894" s="5"/>
    </row>
    <row r="895">
      <c r="A895" s="2"/>
      <c r="B895" s="3"/>
      <c r="C895" s="3"/>
      <c r="D895" s="3"/>
      <c r="E895" s="4"/>
      <c r="F895" s="3"/>
      <c r="G895" s="5"/>
      <c r="H895" s="3"/>
      <c r="I895" s="5"/>
      <c r="J895" s="3"/>
      <c r="K895" s="5"/>
      <c r="L895" s="3"/>
      <c r="M895" s="5"/>
      <c r="N895" s="5"/>
    </row>
    <row r="896">
      <c r="A896" s="2"/>
      <c r="B896" s="3"/>
      <c r="C896" s="3"/>
      <c r="D896" s="3"/>
      <c r="E896" s="4"/>
      <c r="F896" s="3"/>
      <c r="G896" s="5"/>
      <c r="H896" s="3"/>
      <c r="I896" s="5"/>
      <c r="J896" s="3"/>
      <c r="K896" s="5"/>
      <c r="L896" s="3"/>
      <c r="M896" s="5"/>
      <c r="N896" s="5"/>
    </row>
    <row r="897">
      <c r="A897" s="2"/>
      <c r="B897" s="3"/>
      <c r="C897" s="3"/>
      <c r="D897" s="3"/>
      <c r="E897" s="4"/>
      <c r="F897" s="3"/>
      <c r="G897" s="5"/>
      <c r="H897" s="3"/>
      <c r="I897" s="5"/>
      <c r="J897" s="3"/>
      <c r="K897" s="5"/>
      <c r="L897" s="3"/>
      <c r="M897" s="5"/>
      <c r="N897" s="5"/>
    </row>
    <row r="898">
      <c r="A898" s="2"/>
      <c r="B898" s="3"/>
      <c r="C898" s="3"/>
      <c r="D898" s="3"/>
      <c r="E898" s="4"/>
      <c r="F898" s="3"/>
      <c r="G898" s="5"/>
      <c r="H898" s="3"/>
      <c r="I898" s="5"/>
      <c r="J898" s="3"/>
      <c r="K898" s="5"/>
      <c r="L898" s="3"/>
      <c r="M898" s="5"/>
      <c r="N898" s="5"/>
    </row>
    <row r="899">
      <c r="A899" s="2"/>
      <c r="B899" s="3"/>
      <c r="C899" s="3"/>
      <c r="D899" s="3"/>
      <c r="E899" s="4"/>
      <c r="F899" s="3"/>
      <c r="G899" s="5"/>
      <c r="H899" s="3"/>
      <c r="I899" s="5"/>
      <c r="J899" s="3"/>
      <c r="K899" s="5"/>
      <c r="L899" s="3"/>
      <c r="M899" s="5"/>
      <c r="N899" s="5"/>
    </row>
    <row r="900">
      <c r="A900" s="2"/>
      <c r="B900" s="3"/>
      <c r="C900" s="3"/>
      <c r="D900" s="3"/>
      <c r="E900" s="4"/>
      <c r="F900" s="3"/>
      <c r="G900" s="5"/>
      <c r="H900" s="3"/>
      <c r="I900" s="5"/>
      <c r="J900" s="3"/>
      <c r="K900" s="5"/>
      <c r="L900" s="3"/>
      <c r="M900" s="5"/>
      <c r="N900" s="5"/>
    </row>
    <row r="901">
      <c r="A901" s="2"/>
      <c r="B901" s="3"/>
      <c r="C901" s="3"/>
      <c r="D901" s="3"/>
      <c r="E901" s="4"/>
      <c r="F901" s="3"/>
      <c r="G901" s="5"/>
      <c r="H901" s="3"/>
      <c r="I901" s="5"/>
      <c r="J901" s="3"/>
      <c r="K901" s="5"/>
      <c r="L901" s="3"/>
      <c r="M901" s="5"/>
      <c r="N901" s="5"/>
    </row>
    <row r="902">
      <c r="A902" s="2"/>
      <c r="B902" s="3"/>
      <c r="C902" s="3"/>
      <c r="D902" s="3"/>
      <c r="E902" s="4"/>
      <c r="F902" s="3"/>
      <c r="G902" s="5"/>
      <c r="H902" s="3"/>
      <c r="I902" s="5"/>
      <c r="J902" s="3"/>
      <c r="K902" s="5"/>
      <c r="L902" s="3"/>
      <c r="M902" s="5"/>
      <c r="N902" s="5"/>
    </row>
    <row r="903">
      <c r="A903" s="2"/>
      <c r="B903" s="3"/>
      <c r="C903" s="3"/>
      <c r="D903" s="3"/>
      <c r="E903" s="4"/>
      <c r="F903" s="3"/>
      <c r="G903" s="5"/>
      <c r="H903" s="3"/>
      <c r="I903" s="5"/>
      <c r="J903" s="3"/>
      <c r="K903" s="5"/>
      <c r="L903" s="3"/>
      <c r="M903" s="5"/>
      <c r="N903" s="5"/>
    </row>
    <row r="904">
      <c r="A904" s="2"/>
      <c r="B904" s="3"/>
      <c r="C904" s="3"/>
      <c r="D904" s="3"/>
      <c r="E904" s="4"/>
      <c r="F904" s="3"/>
      <c r="G904" s="5"/>
      <c r="H904" s="3"/>
      <c r="I904" s="5"/>
      <c r="J904" s="3"/>
      <c r="K904" s="5"/>
      <c r="L904" s="3"/>
      <c r="M904" s="5"/>
      <c r="N904" s="5"/>
    </row>
    <row r="905">
      <c r="A905" s="2"/>
      <c r="B905" s="3"/>
      <c r="C905" s="3"/>
      <c r="D905" s="3"/>
      <c r="E905" s="4"/>
      <c r="F905" s="3"/>
      <c r="G905" s="5"/>
      <c r="H905" s="3"/>
      <c r="I905" s="5"/>
      <c r="J905" s="3"/>
      <c r="K905" s="5"/>
      <c r="L905" s="3"/>
      <c r="M905" s="5"/>
      <c r="N905" s="5"/>
    </row>
    <row r="906">
      <c r="A906" s="2"/>
      <c r="B906" s="3"/>
      <c r="C906" s="3"/>
      <c r="D906" s="3"/>
      <c r="E906" s="4"/>
      <c r="F906" s="3"/>
      <c r="G906" s="5"/>
      <c r="H906" s="3"/>
      <c r="I906" s="5"/>
      <c r="J906" s="3"/>
      <c r="K906" s="5"/>
      <c r="L906" s="3"/>
      <c r="M906" s="5"/>
      <c r="N906" s="5"/>
    </row>
    <row r="907">
      <c r="A907" s="2"/>
      <c r="B907" s="3"/>
      <c r="C907" s="3"/>
      <c r="D907" s="3"/>
      <c r="E907" s="4"/>
      <c r="F907" s="3"/>
      <c r="G907" s="5"/>
      <c r="H907" s="3"/>
      <c r="I907" s="5"/>
      <c r="J907" s="3"/>
      <c r="K907" s="5"/>
      <c r="L907" s="3"/>
      <c r="M907" s="5"/>
      <c r="N907" s="5"/>
    </row>
    <row r="908">
      <c r="A908" s="2"/>
      <c r="B908" s="3"/>
      <c r="C908" s="3"/>
      <c r="D908" s="3"/>
      <c r="E908" s="4"/>
      <c r="F908" s="3"/>
      <c r="G908" s="5"/>
      <c r="H908" s="3"/>
      <c r="I908" s="5"/>
      <c r="J908" s="3"/>
      <c r="K908" s="5"/>
      <c r="L908" s="3"/>
      <c r="M908" s="5"/>
      <c r="N908" s="5"/>
    </row>
    <row r="909">
      <c r="A909" s="2"/>
      <c r="B909" s="3"/>
      <c r="C909" s="3"/>
      <c r="D909" s="3"/>
      <c r="E909" s="4"/>
      <c r="F909" s="3"/>
      <c r="G909" s="5"/>
      <c r="H909" s="3"/>
      <c r="I909" s="5"/>
      <c r="J909" s="3"/>
      <c r="K909" s="5"/>
      <c r="L909" s="3"/>
      <c r="M909" s="5"/>
      <c r="N909" s="5"/>
    </row>
    <row r="910">
      <c r="A910" s="2"/>
      <c r="B910" s="3"/>
      <c r="C910" s="3"/>
      <c r="D910" s="3"/>
      <c r="E910" s="4"/>
      <c r="F910" s="3"/>
      <c r="G910" s="5"/>
      <c r="H910" s="3"/>
      <c r="I910" s="5"/>
      <c r="J910" s="3"/>
      <c r="K910" s="5"/>
      <c r="L910" s="3"/>
      <c r="M910" s="5"/>
      <c r="N910" s="5"/>
    </row>
    <row r="911">
      <c r="A911" s="2"/>
      <c r="B911" s="3"/>
      <c r="C911" s="3"/>
      <c r="D911" s="3"/>
      <c r="E911" s="4"/>
      <c r="F911" s="3"/>
      <c r="G911" s="5"/>
      <c r="H911" s="3"/>
      <c r="I911" s="5"/>
      <c r="J911" s="3"/>
      <c r="K911" s="5"/>
      <c r="L911" s="3"/>
      <c r="M911" s="5"/>
      <c r="N911" s="5"/>
    </row>
    <row r="912">
      <c r="A912" s="2"/>
      <c r="B912" s="3"/>
      <c r="C912" s="3"/>
      <c r="D912" s="3"/>
      <c r="E912" s="4"/>
      <c r="F912" s="3"/>
      <c r="G912" s="5"/>
      <c r="H912" s="3"/>
      <c r="I912" s="5"/>
      <c r="J912" s="3"/>
      <c r="K912" s="5"/>
      <c r="L912" s="3"/>
      <c r="M912" s="5"/>
      <c r="N912" s="5"/>
    </row>
    <row r="913">
      <c r="A913" s="2"/>
      <c r="B913" s="3"/>
      <c r="C913" s="3"/>
      <c r="D913" s="3"/>
      <c r="E913" s="4"/>
      <c r="F913" s="3"/>
      <c r="G913" s="5"/>
      <c r="H913" s="3"/>
      <c r="I913" s="5"/>
      <c r="J913" s="3"/>
      <c r="K913" s="5"/>
      <c r="L913" s="3"/>
      <c r="M913" s="5"/>
      <c r="N913" s="5"/>
    </row>
    <row r="914">
      <c r="A914" s="2"/>
      <c r="B914" s="3"/>
      <c r="C914" s="3"/>
      <c r="D914" s="3"/>
      <c r="E914" s="4"/>
      <c r="F914" s="3"/>
      <c r="G914" s="5"/>
      <c r="H914" s="3"/>
      <c r="I914" s="5"/>
      <c r="J914" s="3"/>
      <c r="K914" s="5"/>
      <c r="L914" s="3"/>
      <c r="M914" s="5"/>
      <c r="N914" s="5"/>
    </row>
    <row r="915">
      <c r="A915" s="2"/>
      <c r="B915" s="3"/>
      <c r="C915" s="3"/>
      <c r="D915" s="3"/>
      <c r="E915" s="4"/>
      <c r="F915" s="3"/>
      <c r="G915" s="5"/>
      <c r="H915" s="3"/>
      <c r="I915" s="5"/>
      <c r="J915" s="3"/>
      <c r="K915" s="5"/>
      <c r="L915" s="3"/>
      <c r="M915" s="5"/>
      <c r="N915" s="5"/>
    </row>
    <row r="916">
      <c r="A916" s="2"/>
      <c r="B916" s="3"/>
      <c r="C916" s="3"/>
      <c r="D916" s="3"/>
      <c r="E916" s="4"/>
      <c r="F916" s="3"/>
      <c r="G916" s="5"/>
      <c r="H916" s="3"/>
      <c r="I916" s="5"/>
      <c r="J916" s="3"/>
      <c r="K916" s="5"/>
      <c r="L916" s="3"/>
      <c r="M916" s="5"/>
      <c r="N916" s="5"/>
    </row>
    <row r="917">
      <c r="A917" s="2"/>
      <c r="B917" s="3"/>
      <c r="C917" s="3"/>
      <c r="D917" s="3"/>
      <c r="E917" s="4"/>
      <c r="F917" s="3"/>
      <c r="G917" s="5"/>
      <c r="H917" s="3"/>
      <c r="I917" s="5"/>
      <c r="J917" s="3"/>
      <c r="K917" s="5"/>
      <c r="L917" s="3"/>
      <c r="M917" s="5"/>
      <c r="N917" s="5"/>
    </row>
    <row r="918">
      <c r="A918" s="2"/>
      <c r="B918" s="3"/>
      <c r="C918" s="3"/>
      <c r="D918" s="3"/>
      <c r="E918" s="4"/>
      <c r="F918" s="3"/>
      <c r="G918" s="5"/>
      <c r="H918" s="3"/>
      <c r="I918" s="5"/>
      <c r="J918" s="3"/>
      <c r="K918" s="5"/>
      <c r="L918" s="3"/>
      <c r="M918" s="5"/>
      <c r="N918" s="5"/>
    </row>
    <row r="919">
      <c r="A919" s="2"/>
      <c r="B919" s="3"/>
      <c r="C919" s="3"/>
      <c r="D919" s="3"/>
      <c r="E919" s="4"/>
      <c r="F919" s="3"/>
      <c r="G919" s="5"/>
      <c r="H919" s="3"/>
      <c r="I919" s="5"/>
      <c r="J919" s="3"/>
      <c r="K919" s="5"/>
      <c r="L919" s="3"/>
      <c r="M919" s="5"/>
      <c r="N919" s="5"/>
    </row>
    <row r="920">
      <c r="A920" s="2"/>
      <c r="B920" s="3"/>
      <c r="C920" s="3"/>
      <c r="D920" s="3"/>
      <c r="E920" s="4"/>
      <c r="F920" s="3"/>
      <c r="G920" s="5"/>
      <c r="H920" s="3"/>
      <c r="I920" s="5"/>
      <c r="J920" s="3"/>
      <c r="K920" s="5"/>
      <c r="L920" s="3"/>
      <c r="M920" s="5"/>
      <c r="N920" s="5"/>
    </row>
    <row r="921">
      <c r="A921" s="2"/>
      <c r="B921" s="3"/>
      <c r="C921" s="3"/>
      <c r="D921" s="3"/>
      <c r="E921" s="4"/>
      <c r="F921" s="3"/>
      <c r="G921" s="5"/>
      <c r="H921" s="3"/>
      <c r="I921" s="5"/>
      <c r="J921" s="3"/>
      <c r="K921" s="5"/>
      <c r="L921" s="3"/>
      <c r="M921" s="5"/>
      <c r="N921" s="5"/>
    </row>
    <row r="922">
      <c r="A922" s="2"/>
      <c r="B922" s="3"/>
      <c r="C922" s="3"/>
      <c r="D922" s="3"/>
      <c r="E922" s="4"/>
      <c r="F922" s="3"/>
      <c r="G922" s="5"/>
      <c r="H922" s="3"/>
      <c r="I922" s="5"/>
      <c r="J922" s="3"/>
      <c r="K922" s="5"/>
      <c r="L922" s="3"/>
      <c r="M922" s="5"/>
      <c r="N922" s="5"/>
    </row>
    <row r="923">
      <c r="A923" s="2"/>
      <c r="B923" s="3"/>
      <c r="C923" s="3"/>
      <c r="D923" s="3"/>
      <c r="E923" s="4"/>
      <c r="F923" s="3"/>
      <c r="G923" s="5"/>
      <c r="H923" s="3"/>
      <c r="I923" s="5"/>
      <c r="J923" s="3"/>
      <c r="K923" s="5"/>
      <c r="L923" s="3"/>
      <c r="M923" s="5"/>
      <c r="N923" s="5"/>
    </row>
    <row r="924">
      <c r="A924" s="2"/>
      <c r="B924" s="3"/>
      <c r="C924" s="3"/>
      <c r="D924" s="3"/>
      <c r="E924" s="4"/>
      <c r="F924" s="3"/>
      <c r="G924" s="5"/>
      <c r="H924" s="3"/>
      <c r="I924" s="5"/>
      <c r="J924" s="3"/>
      <c r="K924" s="5"/>
      <c r="L924" s="3"/>
      <c r="M924" s="5"/>
      <c r="N924" s="5"/>
    </row>
    <row r="925">
      <c r="A925" s="2"/>
      <c r="B925" s="3"/>
      <c r="C925" s="3"/>
      <c r="D925" s="3"/>
      <c r="E925" s="4"/>
      <c r="F925" s="3"/>
      <c r="G925" s="5"/>
      <c r="H925" s="3"/>
      <c r="I925" s="5"/>
      <c r="J925" s="3"/>
      <c r="K925" s="5"/>
      <c r="L925" s="3"/>
      <c r="M925" s="5"/>
      <c r="N925" s="5"/>
    </row>
    <row r="926">
      <c r="A926" s="2"/>
      <c r="B926" s="3"/>
      <c r="C926" s="3"/>
      <c r="D926" s="3"/>
      <c r="E926" s="4"/>
      <c r="F926" s="3"/>
      <c r="G926" s="5"/>
      <c r="H926" s="3"/>
      <c r="I926" s="5"/>
      <c r="J926" s="3"/>
      <c r="K926" s="5"/>
      <c r="L926" s="3"/>
      <c r="M926" s="5"/>
      <c r="N926" s="5"/>
    </row>
    <row r="927">
      <c r="A927" s="2"/>
      <c r="B927" s="3"/>
      <c r="C927" s="3"/>
      <c r="D927" s="3"/>
      <c r="E927" s="4"/>
      <c r="F927" s="3"/>
      <c r="G927" s="5"/>
      <c r="H927" s="3"/>
      <c r="I927" s="5"/>
      <c r="J927" s="3"/>
      <c r="K927" s="5"/>
      <c r="L927" s="3"/>
      <c r="M927" s="5"/>
      <c r="N927" s="5"/>
    </row>
    <row r="928">
      <c r="A928" s="2"/>
      <c r="B928" s="3"/>
      <c r="C928" s="3"/>
      <c r="D928" s="3"/>
      <c r="E928" s="4"/>
      <c r="F928" s="3"/>
      <c r="G928" s="5"/>
      <c r="H928" s="3"/>
      <c r="I928" s="5"/>
      <c r="J928" s="3"/>
      <c r="K928" s="5"/>
      <c r="L928" s="3"/>
      <c r="M928" s="5"/>
      <c r="N928" s="5"/>
    </row>
    <row r="929">
      <c r="A929" s="2"/>
      <c r="B929" s="3"/>
      <c r="C929" s="3"/>
      <c r="D929" s="3"/>
      <c r="E929" s="4"/>
      <c r="F929" s="3"/>
      <c r="G929" s="5"/>
      <c r="H929" s="3"/>
      <c r="I929" s="5"/>
      <c r="J929" s="3"/>
      <c r="K929" s="5"/>
      <c r="L929" s="3"/>
      <c r="M929" s="5"/>
      <c r="N929" s="5"/>
    </row>
    <row r="930">
      <c r="A930" s="2"/>
      <c r="B930" s="3"/>
      <c r="C930" s="3"/>
      <c r="D930" s="3"/>
      <c r="E930" s="4"/>
      <c r="F930" s="3"/>
      <c r="G930" s="5"/>
      <c r="H930" s="3"/>
      <c r="I930" s="5"/>
      <c r="J930" s="3"/>
      <c r="K930" s="5"/>
      <c r="L930" s="3"/>
      <c r="M930" s="5"/>
      <c r="N930" s="5"/>
    </row>
    <row r="931">
      <c r="A931" s="2"/>
      <c r="B931" s="3"/>
      <c r="C931" s="3"/>
      <c r="D931" s="3"/>
      <c r="E931" s="4"/>
      <c r="F931" s="3"/>
      <c r="G931" s="5"/>
      <c r="H931" s="3"/>
      <c r="I931" s="5"/>
      <c r="J931" s="3"/>
      <c r="K931" s="5"/>
      <c r="L931" s="3"/>
      <c r="M931" s="5"/>
      <c r="N931" s="5"/>
    </row>
    <row r="932">
      <c r="A932" s="2"/>
      <c r="B932" s="3"/>
      <c r="C932" s="3"/>
      <c r="D932" s="3"/>
      <c r="E932" s="4"/>
      <c r="F932" s="3"/>
      <c r="G932" s="5"/>
      <c r="H932" s="3"/>
      <c r="I932" s="5"/>
      <c r="J932" s="3"/>
      <c r="K932" s="5"/>
      <c r="L932" s="3"/>
      <c r="M932" s="5"/>
      <c r="N932" s="5"/>
    </row>
    <row r="933">
      <c r="A933" s="2"/>
      <c r="B933" s="3"/>
      <c r="C933" s="3"/>
      <c r="D933" s="3"/>
      <c r="E933" s="4"/>
      <c r="F933" s="3"/>
      <c r="G933" s="5"/>
      <c r="H933" s="3"/>
      <c r="I933" s="5"/>
      <c r="J933" s="3"/>
      <c r="K933" s="5"/>
      <c r="L933" s="3"/>
      <c r="M933" s="5"/>
      <c r="N933" s="5"/>
    </row>
    <row r="934">
      <c r="A934" s="2"/>
      <c r="B934" s="3"/>
      <c r="C934" s="3"/>
      <c r="D934" s="3"/>
      <c r="E934" s="4"/>
      <c r="F934" s="3"/>
      <c r="G934" s="5"/>
      <c r="H934" s="3"/>
      <c r="I934" s="5"/>
      <c r="J934" s="3"/>
      <c r="K934" s="5"/>
      <c r="L934" s="3"/>
      <c r="M934" s="5"/>
      <c r="N934" s="5"/>
    </row>
    <row r="935">
      <c r="A935" s="2"/>
      <c r="B935" s="3"/>
      <c r="C935" s="3"/>
      <c r="D935" s="3"/>
      <c r="E935" s="4"/>
      <c r="F935" s="3"/>
      <c r="G935" s="5"/>
      <c r="H935" s="3"/>
      <c r="I935" s="5"/>
      <c r="J935" s="3"/>
      <c r="K935" s="5"/>
      <c r="L935" s="3"/>
      <c r="M935" s="5"/>
      <c r="N935" s="5"/>
    </row>
    <row r="936">
      <c r="A936" s="2"/>
      <c r="B936" s="3"/>
      <c r="C936" s="3"/>
      <c r="D936" s="3"/>
      <c r="E936" s="4"/>
      <c r="F936" s="3"/>
      <c r="G936" s="5"/>
      <c r="H936" s="3"/>
      <c r="I936" s="5"/>
      <c r="J936" s="3"/>
      <c r="K936" s="5"/>
      <c r="L936" s="3"/>
      <c r="M936" s="5"/>
      <c r="N936" s="5"/>
    </row>
    <row r="937">
      <c r="A937" s="2"/>
      <c r="B937" s="3"/>
      <c r="C937" s="3"/>
      <c r="D937" s="3"/>
      <c r="E937" s="4"/>
      <c r="F937" s="3"/>
      <c r="G937" s="5"/>
      <c r="H937" s="3"/>
      <c r="I937" s="5"/>
      <c r="J937" s="3"/>
      <c r="K937" s="5"/>
      <c r="L937" s="3"/>
      <c r="M937" s="5"/>
      <c r="N937" s="5"/>
    </row>
    <row r="938">
      <c r="A938" s="2"/>
      <c r="B938" s="3"/>
      <c r="C938" s="3"/>
      <c r="D938" s="3"/>
      <c r="E938" s="4"/>
      <c r="F938" s="3"/>
      <c r="G938" s="5"/>
      <c r="H938" s="3"/>
      <c r="I938" s="5"/>
      <c r="J938" s="3"/>
      <c r="K938" s="5"/>
      <c r="L938" s="3"/>
      <c r="M938" s="5"/>
      <c r="N938" s="5"/>
    </row>
    <row r="939">
      <c r="A939" s="2"/>
      <c r="B939" s="3"/>
      <c r="C939" s="3"/>
      <c r="D939" s="3"/>
      <c r="E939" s="4"/>
      <c r="F939" s="3"/>
      <c r="G939" s="5"/>
      <c r="H939" s="3"/>
      <c r="I939" s="5"/>
      <c r="J939" s="3"/>
      <c r="K939" s="5"/>
      <c r="L939" s="3"/>
      <c r="M939" s="5"/>
      <c r="N939" s="5"/>
    </row>
    <row r="940">
      <c r="A940" s="2"/>
      <c r="B940" s="3"/>
      <c r="C940" s="3"/>
      <c r="D940" s="3"/>
      <c r="E940" s="4"/>
      <c r="F940" s="3"/>
      <c r="G940" s="5"/>
      <c r="H940" s="3"/>
      <c r="I940" s="5"/>
      <c r="J940" s="3"/>
      <c r="K940" s="5"/>
      <c r="L940" s="3"/>
      <c r="M940" s="5"/>
      <c r="N940" s="5"/>
    </row>
    <row r="941">
      <c r="A941" s="2"/>
      <c r="B941" s="3"/>
      <c r="C941" s="3"/>
      <c r="D941" s="3"/>
      <c r="E941" s="4"/>
      <c r="F941" s="3"/>
      <c r="G941" s="5"/>
      <c r="H941" s="3"/>
      <c r="I941" s="5"/>
      <c r="J941" s="3"/>
      <c r="K941" s="5"/>
      <c r="L941" s="3"/>
      <c r="M941" s="5"/>
      <c r="N941" s="5"/>
    </row>
    <row r="942">
      <c r="A942" s="2"/>
      <c r="B942" s="3"/>
      <c r="C942" s="3"/>
      <c r="D942" s="3"/>
      <c r="E942" s="4"/>
      <c r="F942" s="3"/>
      <c r="G942" s="5"/>
      <c r="H942" s="3"/>
      <c r="I942" s="5"/>
      <c r="J942" s="3"/>
      <c r="K942" s="5"/>
      <c r="L942" s="3"/>
      <c r="M942" s="5"/>
      <c r="N942" s="5"/>
    </row>
    <row r="943">
      <c r="A943" s="2"/>
      <c r="B943" s="3"/>
      <c r="C943" s="3"/>
      <c r="D943" s="3"/>
      <c r="E943" s="4"/>
      <c r="F943" s="3"/>
      <c r="G943" s="5"/>
      <c r="H943" s="3"/>
      <c r="I943" s="5"/>
      <c r="J943" s="3"/>
      <c r="K943" s="5"/>
      <c r="L943" s="3"/>
      <c r="M943" s="5"/>
      <c r="N943" s="5"/>
    </row>
    <row r="944">
      <c r="A944" s="2"/>
      <c r="B944" s="3"/>
      <c r="C944" s="3"/>
      <c r="D944" s="3"/>
      <c r="E944" s="4"/>
      <c r="F944" s="3"/>
      <c r="G944" s="5"/>
      <c r="H944" s="3"/>
      <c r="I944" s="5"/>
      <c r="J944" s="3"/>
      <c r="K944" s="5"/>
      <c r="L944" s="3"/>
      <c r="M944" s="5"/>
      <c r="N944" s="5"/>
    </row>
    <row r="945">
      <c r="A945" s="2"/>
      <c r="B945" s="3"/>
      <c r="C945" s="3"/>
      <c r="D945" s="3"/>
      <c r="E945" s="4"/>
      <c r="F945" s="3"/>
      <c r="G945" s="5"/>
      <c r="H945" s="3"/>
      <c r="I945" s="5"/>
      <c r="J945" s="3"/>
      <c r="K945" s="5"/>
      <c r="L945" s="3"/>
      <c r="M945" s="5"/>
      <c r="N945" s="5"/>
    </row>
    <row r="946">
      <c r="A946" s="2"/>
      <c r="B946" s="3"/>
      <c r="C946" s="3"/>
      <c r="D946" s="3"/>
      <c r="E946" s="4"/>
      <c r="F946" s="3"/>
      <c r="G946" s="5"/>
      <c r="H946" s="3"/>
      <c r="I946" s="5"/>
      <c r="J946" s="3"/>
      <c r="K946" s="5"/>
      <c r="L946" s="3"/>
      <c r="M946" s="5"/>
      <c r="N946" s="5"/>
    </row>
    <row r="947">
      <c r="A947" s="2"/>
      <c r="B947" s="3"/>
      <c r="C947" s="3"/>
      <c r="D947" s="3"/>
      <c r="E947" s="4"/>
      <c r="F947" s="3"/>
      <c r="G947" s="5"/>
      <c r="H947" s="3"/>
      <c r="I947" s="5"/>
      <c r="J947" s="3"/>
      <c r="K947" s="5"/>
      <c r="L947" s="3"/>
      <c r="M947" s="5"/>
      <c r="N947" s="5"/>
    </row>
    <row r="948">
      <c r="A948" s="2"/>
      <c r="B948" s="3"/>
      <c r="C948" s="3"/>
      <c r="D948" s="3"/>
      <c r="E948" s="4"/>
      <c r="F948" s="3"/>
      <c r="G948" s="5"/>
      <c r="H948" s="3"/>
      <c r="I948" s="5"/>
      <c r="J948" s="3"/>
      <c r="K948" s="5"/>
      <c r="L948" s="3"/>
      <c r="M948" s="5"/>
      <c r="N948" s="5"/>
    </row>
    <row r="949">
      <c r="A949" s="2"/>
      <c r="B949" s="3"/>
      <c r="C949" s="3"/>
      <c r="D949" s="3"/>
      <c r="E949" s="4"/>
      <c r="F949" s="3"/>
      <c r="G949" s="5"/>
      <c r="H949" s="3"/>
      <c r="I949" s="5"/>
      <c r="J949" s="3"/>
      <c r="K949" s="5"/>
      <c r="L949" s="3"/>
      <c r="M949" s="5"/>
      <c r="N949" s="5"/>
    </row>
    <row r="950">
      <c r="A950" s="2"/>
      <c r="B950" s="3"/>
      <c r="C950" s="3"/>
      <c r="D950" s="3"/>
      <c r="E950" s="4"/>
      <c r="F950" s="3"/>
      <c r="G950" s="5"/>
      <c r="H950" s="3"/>
      <c r="I950" s="5"/>
      <c r="J950" s="3"/>
      <c r="K950" s="5"/>
      <c r="L950" s="3"/>
      <c r="M950" s="5"/>
      <c r="N950" s="5"/>
    </row>
    <row r="951">
      <c r="A951" s="2"/>
      <c r="B951" s="3"/>
      <c r="C951" s="3"/>
      <c r="D951" s="3"/>
      <c r="E951" s="4"/>
      <c r="F951" s="3"/>
      <c r="G951" s="5"/>
      <c r="H951" s="3"/>
      <c r="I951" s="5"/>
      <c r="J951" s="3"/>
      <c r="K951" s="5"/>
      <c r="L951" s="3"/>
      <c r="M951" s="5"/>
      <c r="N951" s="5"/>
    </row>
    <row r="952">
      <c r="A952" s="2"/>
      <c r="B952" s="3"/>
      <c r="C952" s="3"/>
      <c r="D952" s="3"/>
      <c r="E952" s="4"/>
      <c r="F952" s="3"/>
      <c r="G952" s="5"/>
      <c r="H952" s="3"/>
      <c r="I952" s="5"/>
      <c r="J952" s="3"/>
      <c r="K952" s="5"/>
      <c r="L952" s="3"/>
      <c r="M952" s="5"/>
      <c r="N952" s="5"/>
    </row>
    <row r="953">
      <c r="A953" s="2"/>
      <c r="B953" s="3"/>
      <c r="C953" s="3"/>
      <c r="D953" s="3"/>
      <c r="E953" s="4"/>
      <c r="F953" s="3"/>
      <c r="G953" s="5"/>
      <c r="H953" s="3"/>
      <c r="I953" s="5"/>
      <c r="J953" s="3"/>
      <c r="K953" s="5"/>
      <c r="L953" s="3"/>
      <c r="M953" s="5"/>
      <c r="N953" s="5"/>
    </row>
    <row r="954">
      <c r="A954" s="2"/>
      <c r="B954" s="3"/>
      <c r="C954" s="3"/>
      <c r="D954" s="3"/>
      <c r="E954" s="4"/>
      <c r="F954" s="3"/>
      <c r="G954" s="5"/>
      <c r="H954" s="3"/>
      <c r="I954" s="5"/>
      <c r="J954" s="3"/>
      <c r="K954" s="5"/>
      <c r="L954" s="3"/>
      <c r="M954" s="5"/>
      <c r="N954" s="5"/>
    </row>
    <row r="955">
      <c r="A955" s="2"/>
      <c r="B955" s="3"/>
      <c r="C955" s="3"/>
      <c r="D955" s="3"/>
      <c r="E955" s="4"/>
      <c r="F955" s="3"/>
      <c r="G955" s="5"/>
      <c r="H955" s="3"/>
      <c r="I955" s="5"/>
      <c r="J955" s="3"/>
      <c r="K955" s="5"/>
      <c r="L955" s="3"/>
      <c r="M955" s="5"/>
      <c r="N955" s="5"/>
    </row>
    <row r="956">
      <c r="A956" s="2"/>
      <c r="B956" s="3"/>
      <c r="C956" s="3"/>
      <c r="D956" s="3"/>
      <c r="E956" s="4"/>
      <c r="F956" s="3"/>
      <c r="G956" s="5"/>
      <c r="H956" s="3"/>
      <c r="I956" s="5"/>
      <c r="J956" s="3"/>
      <c r="K956" s="5"/>
      <c r="L956" s="3"/>
      <c r="M956" s="5"/>
      <c r="N956" s="5"/>
    </row>
    <row r="957">
      <c r="A957" s="2"/>
      <c r="B957" s="3"/>
      <c r="C957" s="3"/>
      <c r="D957" s="3"/>
      <c r="E957" s="4"/>
      <c r="F957" s="3"/>
      <c r="G957" s="5"/>
      <c r="H957" s="3"/>
      <c r="I957" s="5"/>
      <c r="J957" s="3"/>
      <c r="K957" s="5"/>
      <c r="L957" s="3"/>
      <c r="M957" s="5"/>
      <c r="N957" s="5"/>
    </row>
    <row r="958">
      <c r="A958" s="2"/>
      <c r="B958" s="3"/>
      <c r="C958" s="3"/>
      <c r="D958" s="3"/>
      <c r="E958" s="4"/>
      <c r="F958" s="3"/>
      <c r="G958" s="5"/>
      <c r="H958" s="3"/>
      <c r="I958" s="5"/>
      <c r="J958" s="3"/>
      <c r="K958" s="5"/>
      <c r="L958" s="3"/>
      <c r="M958" s="5"/>
      <c r="N958" s="5"/>
    </row>
    <row r="959">
      <c r="A959" s="2"/>
      <c r="B959" s="3"/>
      <c r="C959" s="3"/>
      <c r="D959" s="3"/>
      <c r="E959" s="4"/>
      <c r="F959" s="3"/>
      <c r="G959" s="5"/>
      <c r="H959" s="3"/>
      <c r="I959" s="5"/>
      <c r="J959" s="3"/>
      <c r="K959" s="5"/>
      <c r="L959" s="3"/>
      <c r="M959" s="5"/>
      <c r="N959" s="5"/>
    </row>
    <row r="960">
      <c r="A960" s="2"/>
      <c r="B960" s="3"/>
      <c r="C960" s="3"/>
      <c r="D960" s="3"/>
      <c r="E960" s="4"/>
      <c r="F960" s="3"/>
      <c r="G960" s="5"/>
      <c r="H960" s="3"/>
      <c r="I960" s="5"/>
      <c r="J960" s="3"/>
      <c r="K960" s="5"/>
      <c r="L960" s="3"/>
      <c r="M960" s="5"/>
      <c r="N960" s="5"/>
    </row>
    <row r="961">
      <c r="A961" s="2"/>
      <c r="B961" s="3"/>
      <c r="C961" s="3"/>
      <c r="D961" s="3"/>
      <c r="E961" s="4"/>
      <c r="F961" s="3"/>
      <c r="G961" s="5"/>
      <c r="H961" s="3"/>
      <c r="I961" s="5"/>
      <c r="J961" s="3"/>
      <c r="K961" s="5"/>
      <c r="L961" s="3"/>
      <c r="M961" s="5"/>
      <c r="N961" s="5"/>
    </row>
    <row r="962">
      <c r="A962" s="2"/>
      <c r="B962" s="3"/>
      <c r="C962" s="3"/>
      <c r="D962" s="3"/>
      <c r="E962" s="4"/>
      <c r="F962" s="3"/>
      <c r="G962" s="5"/>
      <c r="H962" s="3"/>
      <c r="I962" s="5"/>
      <c r="J962" s="3"/>
      <c r="K962" s="5"/>
      <c r="L962" s="3"/>
      <c r="M962" s="5"/>
      <c r="N962" s="5"/>
    </row>
    <row r="963">
      <c r="A963" s="2"/>
      <c r="B963" s="3"/>
      <c r="C963" s="3"/>
      <c r="D963" s="3"/>
      <c r="E963" s="4"/>
      <c r="F963" s="3"/>
      <c r="G963" s="5"/>
      <c r="H963" s="3"/>
      <c r="I963" s="5"/>
      <c r="J963" s="3"/>
      <c r="K963" s="5"/>
      <c r="L963" s="3"/>
      <c r="M963" s="5"/>
      <c r="N963" s="5"/>
    </row>
    <row r="964">
      <c r="A964" s="2"/>
      <c r="B964" s="3"/>
      <c r="C964" s="3"/>
      <c r="D964" s="3"/>
      <c r="E964" s="4"/>
      <c r="F964" s="3"/>
      <c r="G964" s="5"/>
      <c r="H964" s="3"/>
      <c r="I964" s="5"/>
      <c r="J964" s="3"/>
      <c r="K964" s="5"/>
      <c r="L964" s="3"/>
      <c r="M964" s="5"/>
      <c r="N964" s="5"/>
    </row>
    <row r="965">
      <c r="A965" s="2"/>
      <c r="B965" s="3"/>
      <c r="C965" s="3"/>
      <c r="D965" s="3"/>
      <c r="E965" s="4"/>
      <c r="F965" s="3"/>
      <c r="G965" s="5"/>
      <c r="H965" s="3"/>
      <c r="I965" s="5"/>
      <c r="J965" s="3"/>
      <c r="K965" s="5"/>
      <c r="L965" s="3"/>
      <c r="M965" s="5"/>
      <c r="N965" s="5"/>
    </row>
    <row r="966">
      <c r="A966" s="2"/>
      <c r="B966" s="3"/>
      <c r="C966" s="3"/>
      <c r="D966" s="3"/>
      <c r="E966" s="4"/>
      <c r="F966" s="3"/>
      <c r="G966" s="5"/>
      <c r="H966" s="3"/>
      <c r="I966" s="5"/>
      <c r="J966" s="3"/>
      <c r="K966" s="5"/>
      <c r="L966" s="3"/>
      <c r="M966" s="5"/>
      <c r="N966" s="5"/>
    </row>
    <row r="967">
      <c r="A967" s="2"/>
      <c r="B967" s="3"/>
      <c r="C967" s="3"/>
      <c r="D967" s="3"/>
      <c r="E967" s="4"/>
      <c r="F967" s="3"/>
      <c r="G967" s="5"/>
      <c r="H967" s="3"/>
      <c r="I967" s="5"/>
      <c r="J967" s="3"/>
      <c r="K967" s="5"/>
      <c r="L967" s="3"/>
      <c r="M967" s="5"/>
      <c r="N967" s="5"/>
    </row>
    <row r="968">
      <c r="A968" s="2"/>
      <c r="B968" s="3"/>
      <c r="C968" s="3"/>
      <c r="D968" s="3"/>
      <c r="E968" s="4"/>
      <c r="F968" s="3"/>
      <c r="G968" s="5"/>
      <c r="H968" s="3"/>
      <c r="I968" s="5"/>
      <c r="J968" s="3"/>
      <c r="K968" s="5"/>
      <c r="L968" s="3"/>
      <c r="M968" s="5"/>
      <c r="N968" s="5"/>
    </row>
    <row r="969">
      <c r="A969" s="2"/>
      <c r="B969" s="3"/>
      <c r="C969" s="3"/>
      <c r="D969" s="3"/>
      <c r="E969" s="4"/>
      <c r="F969" s="3"/>
      <c r="G969" s="5"/>
      <c r="H969" s="3"/>
      <c r="I969" s="5"/>
      <c r="J969" s="3"/>
      <c r="K969" s="5"/>
      <c r="L969" s="3"/>
      <c r="M969" s="5"/>
      <c r="N969" s="5"/>
    </row>
    <row r="970">
      <c r="A970" s="2"/>
      <c r="B970" s="3"/>
      <c r="C970" s="3"/>
      <c r="D970" s="3"/>
      <c r="E970" s="4"/>
      <c r="F970" s="3"/>
      <c r="G970" s="5"/>
      <c r="H970" s="3"/>
      <c r="I970" s="5"/>
      <c r="J970" s="3"/>
      <c r="K970" s="5"/>
      <c r="L970" s="3"/>
      <c r="M970" s="5"/>
      <c r="N970" s="5"/>
    </row>
    <row r="971">
      <c r="A971" s="2"/>
      <c r="B971" s="3"/>
      <c r="C971" s="3"/>
      <c r="D971" s="3"/>
      <c r="E971" s="4"/>
      <c r="F971" s="3"/>
      <c r="G971" s="5"/>
      <c r="H971" s="3"/>
      <c r="I971" s="5"/>
      <c r="J971" s="3"/>
      <c r="K971" s="5"/>
      <c r="L971" s="3"/>
      <c r="M971" s="5"/>
      <c r="N971" s="5"/>
    </row>
    <row r="972">
      <c r="A972" s="2"/>
      <c r="B972" s="3"/>
      <c r="C972" s="3"/>
      <c r="D972" s="3"/>
      <c r="E972" s="4"/>
      <c r="F972" s="3"/>
      <c r="G972" s="5"/>
      <c r="H972" s="3"/>
      <c r="I972" s="5"/>
      <c r="J972" s="3"/>
      <c r="K972" s="5"/>
      <c r="L972" s="3"/>
      <c r="M972" s="5"/>
      <c r="N972" s="5"/>
    </row>
    <row r="973">
      <c r="A973" s="2"/>
      <c r="B973" s="3"/>
      <c r="C973" s="3"/>
      <c r="D973" s="3"/>
      <c r="E973" s="4"/>
      <c r="F973" s="3"/>
      <c r="G973" s="5"/>
      <c r="H973" s="3"/>
      <c r="I973" s="5"/>
      <c r="J973" s="3"/>
      <c r="K973" s="5"/>
      <c r="L973" s="3"/>
      <c r="M973" s="5"/>
      <c r="N973" s="5"/>
    </row>
    <row r="974">
      <c r="A974" s="2"/>
      <c r="B974" s="3"/>
      <c r="C974" s="3"/>
      <c r="D974" s="3"/>
      <c r="E974" s="4"/>
      <c r="F974" s="3"/>
      <c r="G974" s="5"/>
      <c r="H974" s="3"/>
      <c r="I974" s="5"/>
      <c r="J974" s="3"/>
      <c r="K974" s="5"/>
      <c r="L974" s="3"/>
      <c r="M974" s="5"/>
      <c r="N974" s="5"/>
    </row>
    <row r="975">
      <c r="A975" s="2"/>
      <c r="B975" s="3"/>
      <c r="C975" s="3"/>
      <c r="D975" s="3"/>
      <c r="E975" s="4"/>
      <c r="F975" s="3"/>
      <c r="G975" s="5"/>
      <c r="H975" s="3"/>
      <c r="I975" s="5"/>
      <c r="J975" s="3"/>
      <c r="K975" s="5"/>
      <c r="L975" s="3"/>
      <c r="M975" s="5"/>
      <c r="N975" s="5"/>
    </row>
    <row r="976">
      <c r="A976" s="2"/>
      <c r="B976" s="3"/>
      <c r="C976" s="3"/>
      <c r="D976" s="3"/>
      <c r="E976" s="4"/>
      <c r="F976" s="3"/>
      <c r="G976" s="5"/>
      <c r="H976" s="3"/>
      <c r="I976" s="5"/>
      <c r="J976" s="3"/>
      <c r="K976" s="5"/>
      <c r="L976" s="3"/>
      <c r="M976" s="5"/>
      <c r="N976" s="5"/>
    </row>
    <row r="977">
      <c r="A977" s="2"/>
      <c r="B977" s="3"/>
      <c r="C977" s="3"/>
      <c r="D977" s="3"/>
      <c r="E977" s="4"/>
      <c r="F977" s="3"/>
      <c r="G977" s="5"/>
      <c r="H977" s="3"/>
      <c r="I977" s="5"/>
      <c r="J977" s="3"/>
      <c r="K977" s="5"/>
      <c r="L977" s="3"/>
      <c r="M977" s="5"/>
      <c r="N977" s="5"/>
    </row>
    <row r="978">
      <c r="A978" s="2"/>
      <c r="B978" s="3"/>
      <c r="C978" s="3"/>
      <c r="D978" s="3"/>
      <c r="E978" s="4"/>
      <c r="F978" s="3"/>
      <c r="G978" s="5"/>
      <c r="H978" s="3"/>
      <c r="I978" s="5"/>
      <c r="J978" s="3"/>
      <c r="K978" s="5"/>
      <c r="L978" s="3"/>
      <c r="M978" s="5"/>
      <c r="N978" s="5"/>
    </row>
    <row r="979">
      <c r="A979" s="2"/>
      <c r="B979" s="3"/>
      <c r="C979" s="3"/>
      <c r="D979" s="3"/>
      <c r="E979" s="4"/>
      <c r="F979" s="3"/>
      <c r="G979" s="5"/>
      <c r="H979" s="3"/>
      <c r="I979" s="5"/>
      <c r="J979" s="3"/>
      <c r="K979" s="5"/>
      <c r="L979" s="3"/>
      <c r="M979" s="5"/>
      <c r="N979" s="5"/>
    </row>
    <row r="980">
      <c r="A980" s="2"/>
      <c r="B980" s="3"/>
      <c r="C980" s="3"/>
      <c r="D980" s="3"/>
      <c r="E980" s="4"/>
      <c r="F980" s="3"/>
      <c r="G980" s="5"/>
      <c r="H980" s="3"/>
      <c r="I980" s="5"/>
      <c r="J980" s="3"/>
      <c r="K980" s="5"/>
      <c r="L980" s="3"/>
      <c r="M980" s="5"/>
      <c r="N980" s="5"/>
    </row>
    <row r="981">
      <c r="A981" s="2"/>
      <c r="B981" s="3"/>
      <c r="C981" s="3"/>
      <c r="D981" s="3"/>
      <c r="E981" s="4"/>
      <c r="F981" s="3"/>
      <c r="G981" s="5"/>
      <c r="H981" s="3"/>
      <c r="I981" s="5"/>
      <c r="J981" s="3"/>
      <c r="K981" s="5"/>
      <c r="L981" s="3"/>
      <c r="M981" s="5"/>
      <c r="N981" s="5"/>
    </row>
    <row r="982">
      <c r="A982" s="2"/>
      <c r="B982" s="3"/>
      <c r="C982" s="3"/>
      <c r="D982" s="3"/>
      <c r="E982" s="4"/>
      <c r="F982" s="3"/>
      <c r="G982" s="5"/>
      <c r="H982" s="3"/>
      <c r="I982" s="5"/>
      <c r="J982" s="3"/>
      <c r="K982" s="5"/>
      <c r="L982" s="3"/>
      <c r="M982" s="5"/>
      <c r="N982" s="5"/>
    </row>
    <row r="983">
      <c r="A983" s="2"/>
      <c r="B983" s="3"/>
      <c r="C983" s="3"/>
      <c r="D983" s="3"/>
      <c r="E983" s="4"/>
      <c r="F983" s="3"/>
      <c r="G983" s="5"/>
      <c r="H983" s="3"/>
      <c r="I983" s="5"/>
      <c r="J983" s="3"/>
      <c r="K983" s="5"/>
      <c r="L983" s="3"/>
      <c r="M983" s="5"/>
      <c r="N983" s="5"/>
    </row>
    <row r="984">
      <c r="A984" s="2"/>
      <c r="B984" s="3"/>
      <c r="C984" s="3"/>
      <c r="D984" s="3"/>
      <c r="E984" s="4"/>
      <c r="F984" s="3"/>
      <c r="G984" s="5"/>
      <c r="H984" s="3"/>
      <c r="I984" s="5"/>
      <c r="J984" s="3"/>
      <c r="K984" s="5"/>
      <c r="L984" s="3"/>
      <c r="M984" s="5"/>
      <c r="N984" s="5"/>
    </row>
    <row r="985">
      <c r="A985" s="2"/>
      <c r="B985" s="3"/>
      <c r="C985" s="3"/>
      <c r="D985" s="3"/>
      <c r="E985" s="4"/>
      <c r="F985" s="3"/>
      <c r="G985" s="5"/>
      <c r="H985" s="3"/>
      <c r="I985" s="5"/>
      <c r="J985" s="3"/>
      <c r="K985" s="5"/>
      <c r="L985" s="3"/>
      <c r="M985" s="5"/>
      <c r="N985" s="5"/>
    </row>
    <row r="986">
      <c r="A986" s="2"/>
      <c r="B986" s="3"/>
      <c r="C986" s="3"/>
      <c r="D986" s="3"/>
      <c r="E986" s="4"/>
      <c r="F986" s="3"/>
      <c r="G986" s="5"/>
      <c r="H986" s="3"/>
      <c r="I986" s="5"/>
      <c r="J986" s="3"/>
      <c r="K986" s="5"/>
      <c r="L986" s="3"/>
      <c r="M986" s="5"/>
      <c r="N986" s="5"/>
    </row>
    <row r="987">
      <c r="A987" s="2"/>
      <c r="B987" s="3"/>
      <c r="C987" s="3"/>
      <c r="D987" s="3"/>
      <c r="E987" s="4"/>
      <c r="F987" s="3"/>
      <c r="G987" s="5"/>
      <c r="H987" s="3"/>
      <c r="I987" s="5"/>
      <c r="J987" s="3"/>
      <c r="K987" s="5"/>
      <c r="L987" s="3"/>
      <c r="M987" s="5"/>
      <c r="N987" s="5"/>
    </row>
    <row r="988">
      <c r="A988" s="2"/>
      <c r="B988" s="3"/>
      <c r="C988" s="3"/>
      <c r="D988" s="3"/>
      <c r="E988" s="4"/>
      <c r="F988" s="3"/>
      <c r="G988" s="5"/>
      <c r="H988" s="3"/>
      <c r="I988" s="5"/>
      <c r="J988" s="3"/>
      <c r="K988" s="5"/>
      <c r="L988" s="3"/>
      <c r="M988" s="5"/>
      <c r="N988" s="5"/>
    </row>
    <row r="989">
      <c r="A989" s="2"/>
      <c r="B989" s="3"/>
      <c r="C989" s="3"/>
      <c r="D989" s="3"/>
      <c r="E989" s="4"/>
      <c r="F989" s="3"/>
      <c r="G989" s="5"/>
      <c r="H989" s="3"/>
      <c r="I989" s="5"/>
      <c r="J989" s="3"/>
      <c r="K989" s="5"/>
      <c r="L989" s="3"/>
      <c r="M989" s="5"/>
      <c r="N989" s="5"/>
    </row>
    <row r="990">
      <c r="A990" s="2"/>
      <c r="B990" s="3"/>
      <c r="C990" s="3"/>
      <c r="D990" s="3"/>
      <c r="E990" s="4"/>
      <c r="F990" s="3"/>
      <c r="G990" s="5"/>
      <c r="H990" s="3"/>
      <c r="I990" s="5"/>
      <c r="J990" s="3"/>
      <c r="K990" s="5"/>
      <c r="L990" s="3"/>
      <c r="M990" s="5"/>
      <c r="N990" s="5"/>
    </row>
    <row r="991">
      <c r="A991" s="2"/>
      <c r="B991" s="3"/>
      <c r="C991" s="3"/>
      <c r="D991" s="3"/>
      <c r="E991" s="4"/>
      <c r="F991" s="3"/>
      <c r="G991" s="5"/>
      <c r="H991" s="3"/>
      <c r="I991" s="5"/>
      <c r="J991" s="3"/>
      <c r="K991" s="5"/>
      <c r="L991" s="3"/>
      <c r="M991" s="5"/>
      <c r="N991" s="5"/>
    </row>
    <row r="992">
      <c r="A992" s="2"/>
      <c r="B992" s="3"/>
      <c r="C992" s="3"/>
      <c r="D992" s="3"/>
      <c r="E992" s="4"/>
      <c r="F992" s="3"/>
      <c r="G992" s="5"/>
      <c r="H992" s="3"/>
      <c r="I992" s="5"/>
      <c r="J992" s="3"/>
      <c r="K992" s="5"/>
      <c r="L992" s="3"/>
      <c r="M992" s="5"/>
      <c r="N992" s="5"/>
    </row>
    <row r="993">
      <c r="A993" s="2"/>
      <c r="B993" s="3"/>
      <c r="C993" s="3"/>
      <c r="D993" s="3"/>
      <c r="E993" s="4"/>
      <c r="F993" s="3"/>
      <c r="G993" s="5"/>
      <c r="H993" s="3"/>
      <c r="I993" s="5"/>
      <c r="J993" s="3"/>
      <c r="K993" s="5"/>
      <c r="L993" s="3"/>
      <c r="M993" s="5"/>
      <c r="N993" s="5"/>
    </row>
    <row r="994">
      <c r="A994" s="2"/>
      <c r="B994" s="3"/>
      <c r="C994" s="3"/>
      <c r="D994" s="3"/>
      <c r="E994" s="4"/>
      <c r="F994" s="3"/>
      <c r="G994" s="5"/>
      <c r="H994" s="3"/>
      <c r="I994" s="5"/>
      <c r="J994" s="3"/>
      <c r="K994" s="5"/>
      <c r="L994" s="3"/>
      <c r="M994" s="5"/>
      <c r="N994" s="5"/>
    </row>
    <row r="995">
      <c r="A995" s="2"/>
      <c r="B995" s="3"/>
      <c r="C995" s="3"/>
      <c r="D995" s="3"/>
      <c r="E995" s="4"/>
      <c r="F995" s="3"/>
      <c r="G995" s="5"/>
      <c r="H995" s="3"/>
      <c r="I995" s="5"/>
      <c r="J995" s="3"/>
      <c r="K995" s="5"/>
      <c r="L995" s="3"/>
      <c r="M995" s="5"/>
      <c r="N995" s="5"/>
    </row>
    <row r="996">
      <c r="A996" s="2"/>
      <c r="B996" s="3"/>
      <c r="C996" s="3"/>
      <c r="D996" s="3"/>
      <c r="E996" s="4"/>
      <c r="F996" s="3"/>
      <c r="G996" s="5"/>
      <c r="H996" s="3"/>
      <c r="I996" s="5"/>
      <c r="J996" s="3"/>
      <c r="K996" s="5"/>
      <c r="L996" s="3"/>
      <c r="M996" s="5"/>
      <c r="N996" s="5"/>
    </row>
    <row r="997">
      <c r="A997" s="2"/>
      <c r="B997" s="3"/>
      <c r="C997" s="3"/>
      <c r="D997" s="3"/>
      <c r="E997" s="4"/>
      <c r="F997" s="3"/>
      <c r="G997" s="5"/>
      <c r="H997" s="3"/>
      <c r="I997" s="5"/>
      <c r="J997" s="3"/>
      <c r="K997" s="5"/>
      <c r="L997" s="3"/>
      <c r="M997" s="5"/>
      <c r="N997" s="5"/>
    </row>
    <row r="998">
      <c r="A998" s="2"/>
      <c r="B998" s="3"/>
      <c r="C998" s="3"/>
      <c r="D998" s="3"/>
      <c r="E998" s="4"/>
      <c r="F998" s="3"/>
      <c r="G998" s="5"/>
      <c r="H998" s="3"/>
      <c r="I998" s="5"/>
      <c r="J998" s="3"/>
      <c r="K998" s="5"/>
      <c r="L998" s="3"/>
      <c r="M998" s="5"/>
      <c r="N998" s="5"/>
    </row>
    <row r="999">
      <c r="A999" s="2"/>
      <c r="B999" s="3"/>
      <c r="C999" s="3"/>
      <c r="D999" s="3"/>
      <c r="E999" s="4"/>
      <c r="F999" s="3"/>
      <c r="G999" s="5"/>
      <c r="H999" s="3"/>
      <c r="I999" s="5"/>
      <c r="J999" s="3"/>
      <c r="K999" s="5"/>
      <c r="L999" s="3"/>
      <c r="M999" s="5"/>
      <c r="N999" s="5"/>
    </row>
    <row r="1000">
      <c r="A1000" s="2"/>
      <c r="B1000" s="3"/>
      <c r="C1000" s="3"/>
      <c r="D1000" s="3"/>
      <c r="E1000" s="4"/>
      <c r="F1000" s="3"/>
      <c r="G1000" s="5"/>
      <c r="H1000" s="3"/>
      <c r="I1000" s="5"/>
      <c r="J1000" s="3"/>
      <c r="K1000" s="5"/>
      <c r="L1000" s="3"/>
      <c r="M1000" s="5"/>
      <c r="N1000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tr">
        <f>IFERROR(__xludf.DUMMYFUNCTION("SORT(
  UNIQUE(
    FILTER(
      Raw!L2:L1000,
      Raw!L2:L1000&lt;&gt;"""",
      Raw!C2:C1000=""Season 1"",
      Raw!F2:F1000=""3v3""
    )
  )
)
"),"Aferdita")</f>
        <v>Aferdita</v>
      </c>
      <c r="B2" s="3">
        <f t="array" ref="B2:B1000">IF(A2:A1000="",
   ,
   COUNTIFS(
     Raw!L:L, A2:A1000,
     Raw!C:C, "Season 2",
     Raw!F:F, "3v3"
   )
)
</f>
        <v>0</v>
      </c>
      <c r="C2" s="3">
        <f t="array" ref="C2:C1000">IF(A2:A1000="",
   ,
   COUNTIFS(
     Raw!L:L, A2:A1000,
     Raw!I:I, "win",
     Raw!C:C, "Season 2",
     Raw!F:F, "3v3"
   )
)
</f>
        <v>0</v>
      </c>
      <c r="D2" s="3">
        <f t="array" ref="D2:D1000">IF(A2:A1000="",
   ,
   COUNTIFS(
     Raw!L:L, A2:A1000,
     Raw!I:I, "loss",
     Raw!C:C, "Season 2",
     Raw!F:F, "3v3"
   )
)
</f>
        <v>0</v>
      </c>
      <c r="E2" s="4" t="str">
        <f t="array" ref="E2:E1000">IF(A2:A1000="",
   ,
   IF(B2:B1000=0, , C2:C1000 / B2:B1000)
)
</f>
        <v/>
      </c>
      <c r="F2" s="3" t="str">
        <f>IFERROR(__xludf.DUMMYFUNCTION("ARRAYFORMULA(
MAP(
  A2:A1000,
  LAMBDA(id,
    IF(id="""",,
      SUM(
        FILTER(
          N(Raw!M:M),
          Raw!L:L=id,
          TRIM(SUBSTITUTE(Raw!C:C,CHAR(160),"" ""))=""Season 2"",
          TRIM(SUBSTITUTE(Raw!F:F,CHAR(160),"" ""))=""3v3"&amp;"""
        )
      )
    )
  )
)
)
"),"#N/A")</f>
        <v>#N/A</v>
      </c>
      <c r="G2" s="5" t="str">
        <f t="array" ref="G2:G1000">IF(A2:A1000="",
   ,
   IF(B2:B1000=0, , F2:F1000 / B2:B1000)
)
</f>
        <v/>
      </c>
      <c r="H2" s="3" t="str">
        <f>IFERROR(__xludf.DUMMYFUNCTION("ARRAYFORMULA(
MAP(
  A2:A1000,
  LAMBDA(id,
    IF(id="""",,
      SUM(
        FILTER(
          N(Raw!O:O),
          Raw!L:L=id,
          TRIM(SUBSTITUTE(Raw!C:C,CHAR(160),"" ""))=""Season 2"",
          TRIM(SUBSTITUTE(Raw!F:F,CHAR(160),"" ""))=""3v3"&amp;"""
        )
      )
    )
  )
)
)
"),"#N/A")</f>
        <v>#N/A</v>
      </c>
      <c r="I2" s="5" t="str">
        <f t="array" ref="I2:I1000">IF(A2:A1000="",
   ,
   IF(B2:B1000=0, , H2:H1000 / B2:B1000)
)
</f>
        <v/>
      </c>
      <c r="J2" s="3" t="str">
        <f>IFERROR(__xludf.DUMMYFUNCTION("ARRAYFORMULA(
MAP(
  A2:A1000,
  LAMBDA(id,
    IF(id="""",,
      SUM(
        FILTER(
          N(Raw!P:P),
          Raw!L:L=id,
          TRIM(SUBSTITUTE(Raw!C:C,CHAR(160),"" ""))=""Season 2"",
          TRIM(SUBSTITUTE(Raw!F:F,CHAR(160),"" ""))=""3v3"&amp;"""
        )
      )
    )
  )
)
)
"),"#N/A")</f>
        <v>#N/A</v>
      </c>
      <c r="K2" s="5" t="str">
        <f t="array" ref="K2:K1000">IF(A2:A1000="",
   ,
   IF(B2:B1000=0, , J2:J1000 / B2:B1000)
)
</f>
        <v/>
      </c>
      <c r="L2" s="3" t="str">
        <f>IFERROR(__xludf.DUMMYFUNCTION("ARRAYFORMULA(
MAP(
  A2:A1000,
  LAMBDA(id,
    IF(id="""",,
      SUM(
        FILTER(
          N(Raw!Q:Q),
          Raw!L:L=id,
          TRIM(SUBSTITUTE(Raw!C:C,CHAR(160),"" ""))=""Season 2"",
          TRIM(SUBSTITUTE(Raw!F:F,CHAR(160),"" ""))=""3v3"&amp;"""
        )
      )
    )
  )
)
)
"),"#N/A")</f>
        <v>#N/A</v>
      </c>
      <c r="M2" s="5" t="str">
        <f t="array" ref="M2:M1000">IF(A2:A1000="",
   ,
   IF(B2:B1000=0, , L2:L1000 / B2:B1000)
)
</f>
        <v/>
      </c>
      <c r="N2" s="5" t="str">
        <f t="array" ref="N2:N1000">MAP(
  A2:A1000,
  LAMBDA(id,
    IF(id="",,
      IF(
        SUMIFS(
          Raw!E:E,
          Raw!L:L, id,
          Raw!C:C, "Season 2",
          Raw!F:F, "3v3"
        ) = 0,
        ,
        SUMIFS(
          Raw!P:P,
          Raw!L:L, id,
          Raw!C:C, "Season 2",
          Raw!F:F, "3v3"
        )
        /
        SUMIFS(
          Raw!E:E,
          Raw!L:L, id,
          Raw!C:C, "Season 2",
          Raw!F:F, "3v3"
        )
      )
    )
  )
)
</f>
        <v/>
      </c>
    </row>
    <row r="3">
      <c r="A3" s="2" t="str">
        <f>IFERROR(__xludf.DUMMYFUNCTION("""COMPUTED_VALUE"""),"Anbuu")</f>
        <v>Anbuu</v>
      </c>
      <c r="B3" s="3">
        <v>0.0</v>
      </c>
      <c r="C3" s="3">
        <v>0.0</v>
      </c>
      <c r="D3" s="3">
        <v>0.0</v>
      </c>
      <c r="E3" s="4"/>
      <c r="F3" s="3" t="str">
        <f>IFERROR(__xludf.DUMMYFUNCTION("""COMPUTED_VALUE"""),"#N/A")</f>
        <v>#N/A</v>
      </c>
      <c r="G3" s="5"/>
      <c r="H3" s="3" t="str">
        <f>IFERROR(__xludf.DUMMYFUNCTION("""COMPUTED_VALUE"""),"#N/A")</f>
        <v>#N/A</v>
      </c>
      <c r="I3" s="5"/>
      <c r="J3" s="3" t="str">
        <f>IFERROR(__xludf.DUMMYFUNCTION("""COMPUTED_VALUE"""),"#N/A")</f>
        <v>#N/A</v>
      </c>
      <c r="K3" s="5"/>
      <c r="L3" s="3" t="str">
        <f>IFERROR(__xludf.DUMMYFUNCTION("""COMPUTED_VALUE"""),"#N/A")</f>
        <v>#N/A</v>
      </c>
      <c r="M3" s="5"/>
      <c r="N3" s="5"/>
    </row>
    <row r="4">
      <c r="A4" s="2" t="str">
        <f>IFERROR(__xludf.DUMMYFUNCTION("""COMPUTED_VALUE"""),"Kesny")</f>
        <v>Kesny</v>
      </c>
      <c r="B4" s="3">
        <v>0.0</v>
      </c>
      <c r="C4" s="3">
        <v>0.0</v>
      </c>
      <c r="D4" s="3">
        <v>0.0</v>
      </c>
      <c r="E4" s="4"/>
      <c r="F4" s="3" t="str">
        <f>IFERROR(__xludf.DUMMYFUNCTION("""COMPUTED_VALUE"""),"#N/A")</f>
        <v>#N/A</v>
      </c>
      <c r="G4" s="5"/>
      <c r="H4" s="3" t="str">
        <f>IFERROR(__xludf.DUMMYFUNCTION("""COMPUTED_VALUE"""),"#N/A")</f>
        <v>#N/A</v>
      </c>
      <c r="I4" s="5"/>
      <c r="J4" s="3" t="str">
        <f>IFERROR(__xludf.DUMMYFUNCTION("""COMPUTED_VALUE"""),"#N/A")</f>
        <v>#N/A</v>
      </c>
      <c r="K4" s="5"/>
      <c r="L4" s="3" t="str">
        <f>IFERROR(__xludf.DUMMYFUNCTION("""COMPUTED_VALUE"""),"#N/A")</f>
        <v>#N/A</v>
      </c>
      <c r="M4" s="5"/>
      <c r="N4" s="5"/>
    </row>
    <row r="5">
      <c r="A5" s="2" t="str">
        <f>IFERROR(__xludf.DUMMYFUNCTION("""COMPUTED_VALUE"""),"Malena")</f>
        <v>Malena</v>
      </c>
      <c r="B5" s="3">
        <v>0.0</v>
      </c>
      <c r="C5" s="3">
        <v>0.0</v>
      </c>
      <c r="D5" s="3">
        <v>0.0</v>
      </c>
      <c r="E5" s="4"/>
      <c r="F5" s="3" t="str">
        <f>IFERROR(__xludf.DUMMYFUNCTION("""COMPUTED_VALUE"""),"#N/A")</f>
        <v>#N/A</v>
      </c>
      <c r="G5" s="5"/>
      <c r="H5" s="3" t="str">
        <f>IFERROR(__xludf.DUMMYFUNCTION("""COMPUTED_VALUE"""),"#N/A")</f>
        <v>#N/A</v>
      </c>
      <c r="I5" s="5"/>
      <c r="J5" s="3" t="str">
        <f>IFERROR(__xludf.DUMMYFUNCTION("""COMPUTED_VALUE"""),"#N/A")</f>
        <v>#N/A</v>
      </c>
      <c r="K5" s="5"/>
      <c r="L5" s="3" t="str">
        <f>IFERROR(__xludf.DUMMYFUNCTION("""COMPUTED_VALUE"""),"#N/A")</f>
        <v>#N/A</v>
      </c>
      <c r="M5" s="5"/>
      <c r="N5" s="5"/>
    </row>
    <row r="6">
      <c r="A6" s="2" t="str">
        <f>IFERROR(__xludf.DUMMYFUNCTION("""COMPUTED_VALUE"""),"Nebus.")</f>
        <v>Nebus.</v>
      </c>
      <c r="B6" s="3">
        <v>0.0</v>
      </c>
      <c r="C6" s="3">
        <v>0.0</v>
      </c>
      <c r="D6" s="3">
        <v>0.0</v>
      </c>
      <c r="E6" s="4"/>
      <c r="F6" s="3" t="str">
        <f>IFERROR(__xludf.DUMMYFUNCTION("""COMPUTED_VALUE"""),"#N/A")</f>
        <v>#N/A</v>
      </c>
      <c r="G6" s="5"/>
      <c r="H6" s="3" t="str">
        <f>IFERROR(__xludf.DUMMYFUNCTION("""COMPUTED_VALUE"""),"#N/A")</f>
        <v>#N/A</v>
      </c>
      <c r="I6" s="5"/>
      <c r="J6" s="3" t="str">
        <f>IFERROR(__xludf.DUMMYFUNCTION("""COMPUTED_VALUE"""),"#N/A")</f>
        <v>#N/A</v>
      </c>
      <c r="K6" s="5"/>
      <c r="L6" s="3" t="str">
        <f>IFERROR(__xludf.DUMMYFUNCTION("""COMPUTED_VALUE"""),"#N/A")</f>
        <v>#N/A</v>
      </c>
      <c r="M6" s="5"/>
      <c r="N6" s="5"/>
    </row>
    <row r="7">
      <c r="A7" s="2" t="str">
        <f>IFERROR(__xludf.DUMMYFUNCTION("""COMPUTED_VALUE"""),"Tess1509")</f>
        <v>Tess1509</v>
      </c>
      <c r="B7" s="3">
        <v>0.0</v>
      </c>
      <c r="C7" s="3">
        <v>0.0</v>
      </c>
      <c r="D7" s="3">
        <v>0.0</v>
      </c>
      <c r="E7" s="4"/>
      <c r="F7" s="3" t="str">
        <f>IFERROR(__xludf.DUMMYFUNCTION("""COMPUTED_VALUE"""),"#N/A")</f>
        <v>#N/A</v>
      </c>
      <c r="G7" s="5"/>
      <c r="H7" s="3" t="str">
        <f>IFERROR(__xludf.DUMMYFUNCTION("""COMPUTED_VALUE"""),"#N/A")</f>
        <v>#N/A</v>
      </c>
      <c r="I7" s="5"/>
      <c r="J7" s="3" t="str">
        <f>IFERROR(__xludf.DUMMYFUNCTION("""COMPUTED_VALUE"""),"#N/A")</f>
        <v>#N/A</v>
      </c>
      <c r="K7" s="5"/>
      <c r="L7" s="3" t="str">
        <f>IFERROR(__xludf.DUMMYFUNCTION("""COMPUTED_VALUE"""),"#N/A")</f>
        <v>#N/A</v>
      </c>
      <c r="M7" s="5"/>
      <c r="N7" s="5"/>
    </row>
    <row r="8">
      <c r="A8" s="2" t="str">
        <f>IFERROR(__xludf.DUMMYFUNCTION("""COMPUTED_VALUE"""),"Troniix")</f>
        <v>Troniix</v>
      </c>
      <c r="B8" s="3">
        <v>0.0</v>
      </c>
      <c r="C8" s="3">
        <v>0.0</v>
      </c>
      <c r="D8" s="3">
        <v>0.0</v>
      </c>
      <c r="E8" s="4"/>
      <c r="F8" s="3" t="str">
        <f>IFERROR(__xludf.DUMMYFUNCTION("""COMPUTED_VALUE"""),"#N/A")</f>
        <v>#N/A</v>
      </c>
      <c r="G8" s="5"/>
      <c r="H8" s="3" t="str">
        <f>IFERROR(__xludf.DUMMYFUNCTION("""COMPUTED_VALUE"""),"#N/A")</f>
        <v>#N/A</v>
      </c>
      <c r="I8" s="5"/>
      <c r="J8" s="3" t="str">
        <f>IFERROR(__xludf.DUMMYFUNCTION("""COMPUTED_VALUE"""),"#N/A")</f>
        <v>#N/A</v>
      </c>
      <c r="K8" s="5"/>
      <c r="L8" s="3" t="str">
        <f>IFERROR(__xludf.DUMMYFUNCTION("""COMPUTED_VALUE"""),"#N/A")</f>
        <v>#N/A</v>
      </c>
      <c r="M8" s="5"/>
      <c r="N8" s="5"/>
    </row>
    <row r="9">
      <c r="A9" s="2" t="str">
        <f>IFERROR(__xludf.DUMMYFUNCTION("""COMPUTED_VALUE"""),"ZeroO")</f>
        <v>ZeroO</v>
      </c>
      <c r="B9" s="3">
        <v>0.0</v>
      </c>
      <c r="C9" s="3">
        <v>0.0</v>
      </c>
      <c r="D9" s="3">
        <v>0.0</v>
      </c>
      <c r="E9" s="4"/>
      <c r="F9" s="3" t="str">
        <f>IFERROR(__xludf.DUMMYFUNCTION("""COMPUTED_VALUE"""),"#N/A")</f>
        <v>#N/A</v>
      </c>
      <c r="G9" s="5"/>
      <c r="H9" s="3" t="str">
        <f>IFERROR(__xludf.DUMMYFUNCTION("""COMPUTED_VALUE"""),"#N/A")</f>
        <v>#N/A</v>
      </c>
      <c r="I9" s="5"/>
      <c r="J9" s="3" t="str">
        <f>IFERROR(__xludf.DUMMYFUNCTION("""COMPUTED_VALUE"""),"#N/A")</f>
        <v>#N/A</v>
      </c>
      <c r="K9" s="5"/>
      <c r="L9" s="3" t="str">
        <f>IFERROR(__xludf.DUMMYFUNCTION("""COMPUTED_VALUE"""),"#N/A")</f>
        <v>#N/A</v>
      </c>
      <c r="M9" s="5"/>
      <c r="N9" s="5"/>
    </row>
    <row r="10">
      <c r="A10" s="2"/>
      <c r="B10" s="3"/>
      <c r="C10" s="3"/>
      <c r="D10" s="3"/>
      <c r="E10" s="4"/>
      <c r="F10" s="3"/>
      <c r="G10" s="5"/>
      <c r="H10" s="3"/>
      <c r="I10" s="5"/>
      <c r="J10" s="3"/>
      <c r="K10" s="5"/>
      <c r="L10" s="3"/>
      <c r="M10" s="5"/>
      <c r="N10" s="5"/>
    </row>
    <row r="11">
      <c r="A11" s="2"/>
      <c r="B11" s="3"/>
      <c r="C11" s="3"/>
      <c r="D11" s="3"/>
      <c r="E11" s="4"/>
      <c r="F11" s="3"/>
      <c r="G11" s="5"/>
      <c r="H11" s="3"/>
      <c r="I11" s="5"/>
      <c r="J11" s="3"/>
      <c r="K11" s="5"/>
      <c r="L11" s="3"/>
      <c r="M11" s="5"/>
      <c r="N11" s="5"/>
    </row>
    <row r="12">
      <c r="A12" s="2"/>
      <c r="B12" s="3"/>
      <c r="C12" s="3"/>
      <c r="D12" s="3"/>
      <c r="E12" s="4"/>
      <c r="F12" s="3"/>
      <c r="G12" s="5"/>
      <c r="H12" s="3"/>
      <c r="I12" s="5"/>
      <c r="J12" s="3"/>
      <c r="K12" s="5"/>
      <c r="L12" s="3"/>
      <c r="M12" s="5"/>
      <c r="N12" s="5"/>
    </row>
    <row r="13">
      <c r="A13" s="2"/>
      <c r="B13" s="3"/>
      <c r="C13" s="3"/>
      <c r="D13" s="3"/>
      <c r="E13" s="4"/>
      <c r="F13" s="3"/>
      <c r="G13" s="5"/>
      <c r="H13" s="3"/>
      <c r="I13" s="5"/>
      <c r="J13" s="3"/>
      <c r="K13" s="5"/>
      <c r="L13" s="3"/>
      <c r="M13" s="5"/>
      <c r="N13" s="5"/>
    </row>
    <row r="14">
      <c r="A14" s="2"/>
      <c r="B14" s="3"/>
      <c r="C14" s="3"/>
      <c r="D14" s="3"/>
      <c r="E14" s="4"/>
      <c r="F14" s="3"/>
      <c r="G14" s="5"/>
      <c r="H14" s="3"/>
      <c r="I14" s="5"/>
      <c r="J14" s="3"/>
      <c r="K14" s="5"/>
      <c r="L14" s="3"/>
      <c r="M14" s="5"/>
      <c r="N14" s="5"/>
    </row>
    <row r="15">
      <c r="A15" s="2"/>
      <c r="B15" s="3"/>
      <c r="C15" s="3"/>
      <c r="D15" s="3"/>
      <c r="E15" s="4"/>
      <c r="F15" s="3"/>
      <c r="G15" s="5"/>
      <c r="H15" s="3"/>
      <c r="I15" s="5"/>
      <c r="J15" s="3"/>
      <c r="K15" s="5"/>
      <c r="L15" s="3"/>
      <c r="M15" s="5"/>
      <c r="N15" s="5"/>
    </row>
    <row r="16">
      <c r="A16" s="2"/>
      <c r="B16" s="3"/>
      <c r="C16" s="3"/>
      <c r="D16" s="3"/>
      <c r="E16" s="4"/>
      <c r="F16" s="3"/>
      <c r="G16" s="5"/>
      <c r="H16" s="3"/>
      <c r="I16" s="5"/>
      <c r="J16" s="3"/>
      <c r="K16" s="5"/>
      <c r="L16" s="3"/>
      <c r="M16" s="5"/>
      <c r="N16" s="5"/>
    </row>
    <row r="17">
      <c r="A17" s="2"/>
      <c r="B17" s="3"/>
      <c r="C17" s="3"/>
      <c r="D17" s="3"/>
      <c r="E17" s="4"/>
      <c r="F17" s="3"/>
      <c r="G17" s="5"/>
      <c r="H17" s="3"/>
      <c r="I17" s="5"/>
      <c r="J17" s="3"/>
      <c r="K17" s="5"/>
      <c r="L17" s="3"/>
      <c r="M17" s="5"/>
      <c r="N17" s="5"/>
    </row>
    <row r="18">
      <c r="A18" s="2"/>
      <c r="B18" s="3"/>
      <c r="C18" s="3"/>
      <c r="D18" s="3"/>
      <c r="E18" s="4"/>
      <c r="F18" s="3"/>
      <c r="G18" s="5"/>
      <c r="H18" s="3"/>
      <c r="I18" s="5"/>
      <c r="J18" s="3"/>
      <c r="K18" s="5"/>
      <c r="L18" s="3"/>
      <c r="M18" s="5"/>
      <c r="N18" s="5"/>
    </row>
    <row r="19">
      <c r="A19" s="2"/>
      <c r="B19" s="3"/>
      <c r="C19" s="3"/>
      <c r="D19" s="3"/>
      <c r="E19" s="4"/>
      <c r="F19" s="3"/>
      <c r="G19" s="5"/>
      <c r="H19" s="3"/>
      <c r="I19" s="5"/>
      <c r="J19" s="3"/>
      <c r="K19" s="5"/>
      <c r="L19" s="3"/>
      <c r="M19" s="5"/>
      <c r="N19" s="5"/>
    </row>
    <row r="20">
      <c r="A20" s="2"/>
      <c r="B20" s="3"/>
      <c r="C20" s="3"/>
      <c r="D20" s="3"/>
      <c r="E20" s="4"/>
      <c r="F20" s="3"/>
      <c r="G20" s="5"/>
      <c r="H20" s="3"/>
      <c r="I20" s="5"/>
      <c r="J20" s="3"/>
      <c r="K20" s="5"/>
      <c r="L20" s="3"/>
      <c r="M20" s="5"/>
      <c r="N20" s="5"/>
    </row>
    <row r="21">
      <c r="A21" s="2"/>
      <c r="B21" s="3"/>
      <c r="C21" s="3"/>
      <c r="D21" s="3"/>
      <c r="E21" s="4"/>
      <c r="F21" s="3"/>
      <c r="G21" s="5"/>
      <c r="H21" s="3"/>
      <c r="I21" s="5"/>
      <c r="J21" s="3"/>
      <c r="K21" s="5"/>
      <c r="L21" s="3"/>
      <c r="M21" s="5"/>
      <c r="N21" s="5"/>
    </row>
    <row r="22">
      <c r="A22" s="2"/>
      <c r="B22" s="3"/>
      <c r="C22" s="3"/>
      <c r="D22" s="3"/>
      <c r="E22" s="4"/>
      <c r="F22" s="3"/>
      <c r="G22" s="5"/>
      <c r="H22" s="3"/>
      <c r="I22" s="5"/>
      <c r="J22" s="3"/>
      <c r="K22" s="5"/>
      <c r="L22" s="3"/>
      <c r="M22" s="5"/>
      <c r="N22" s="5"/>
    </row>
    <row r="23">
      <c r="A23" s="2"/>
      <c r="B23" s="3"/>
      <c r="C23" s="3"/>
      <c r="D23" s="3"/>
      <c r="E23" s="4"/>
      <c r="F23" s="3"/>
      <c r="G23" s="5"/>
      <c r="H23" s="3"/>
      <c r="I23" s="5"/>
      <c r="J23" s="3"/>
      <c r="K23" s="5"/>
      <c r="L23" s="3"/>
      <c r="M23" s="5"/>
      <c r="N23" s="5"/>
    </row>
    <row r="24">
      <c r="A24" s="2"/>
      <c r="B24" s="3"/>
      <c r="C24" s="3"/>
      <c r="D24" s="3"/>
      <c r="E24" s="4"/>
      <c r="F24" s="3"/>
      <c r="G24" s="5"/>
      <c r="H24" s="3"/>
      <c r="I24" s="5"/>
      <c r="J24" s="3"/>
      <c r="K24" s="5"/>
      <c r="L24" s="3"/>
      <c r="M24" s="5"/>
      <c r="N24" s="5"/>
    </row>
    <row r="25">
      <c r="A25" s="2"/>
      <c r="B25" s="3"/>
      <c r="C25" s="3"/>
      <c r="D25" s="3"/>
      <c r="E25" s="4"/>
      <c r="F25" s="3"/>
      <c r="G25" s="5"/>
      <c r="H25" s="3"/>
      <c r="I25" s="5"/>
      <c r="J25" s="3"/>
      <c r="K25" s="5"/>
      <c r="L25" s="3"/>
      <c r="M25" s="5"/>
      <c r="N25" s="5"/>
    </row>
    <row r="26">
      <c r="A26" s="2"/>
      <c r="B26" s="3"/>
      <c r="C26" s="3"/>
      <c r="D26" s="3"/>
      <c r="E26" s="4"/>
      <c r="F26" s="3"/>
      <c r="G26" s="5"/>
      <c r="H26" s="3"/>
      <c r="I26" s="5"/>
      <c r="J26" s="3"/>
      <c r="K26" s="5"/>
      <c r="L26" s="3"/>
      <c r="M26" s="5"/>
      <c r="N26" s="5"/>
    </row>
    <row r="27">
      <c r="A27" s="2"/>
      <c r="B27" s="3"/>
      <c r="C27" s="3"/>
      <c r="D27" s="3"/>
      <c r="E27" s="4"/>
      <c r="F27" s="3"/>
      <c r="G27" s="5"/>
      <c r="H27" s="3"/>
      <c r="I27" s="5"/>
      <c r="J27" s="3"/>
      <c r="K27" s="5"/>
      <c r="L27" s="3"/>
      <c r="M27" s="5"/>
      <c r="N27" s="5"/>
    </row>
    <row r="28">
      <c r="A28" s="2"/>
      <c r="B28" s="3"/>
      <c r="C28" s="3"/>
      <c r="D28" s="3"/>
      <c r="E28" s="4"/>
      <c r="F28" s="3"/>
      <c r="G28" s="5"/>
      <c r="H28" s="3"/>
      <c r="I28" s="5"/>
      <c r="J28" s="3"/>
      <c r="K28" s="5"/>
      <c r="L28" s="3"/>
      <c r="M28" s="5"/>
      <c r="N28" s="5"/>
    </row>
    <row r="29">
      <c r="A29" s="2"/>
      <c r="B29" s="3"/>
      <c r="C29" s="3"/>
      <c r="D29" s="3"/>
      <c r="E29" s="4"/>
      <c r="F29" s="3"/>
      <c r="G29" s="5"/>
      <c r="H29" s="3"/>
      <c r="I29" s="5"/>
      <c r="J29" s="3"/>
      <c r="K29" s="5"/>
      <c r="L29" s="3"/>
      <c r="M29" s="5"/>
      <c r="N29" s="5"/>
    </row>
    <row r="30">
      <c r="A30" s="2"/>
      <c r="B30" s="3"/>
      <c r="C30" s="3"/>
      <c r="D30" s="3"/>
      <c r="E30" s="4"/>
      <c r="F30" s="3"/>
      <c r="G30" s="5"/>
      <c r="H30" s="3"/>
      <c r="I30" s="5"/>
      <c r="J30" s="3"/>
      <c r="K30" s="5"/>
      <c r="L30" s="3"/>
      <c r="M30" s="5"/>
      <c r="N30" s="5"/>
    </row>
    <row r="31">
      <c r="A31" s="2"/>
      <c r="B31" s="3"/>
      <c r="C31" s="3"/>
      <c r="D31" s="3"/>
      <c r="E31" s="4"/>
      <c r="F31" s="3"/>
      <c r="G31" s="5"/>
      <c r="H31" s="3"/>
      <c r="I31" s="5"/>
      <c r="J31" s="3"/>
      <c r="K31" s="5"/>
      <c r="L31" s="3"/>
      <c r="M31" s="5"/>
      <c r="N31" s="5"/>
    </row>
    <row r="32">
      <c r="A32" s="2"/>
      <c r="B32" s="3"/>
      <c r="C32" s="3"/>
      <c r="D32" s="3"/>
      <c r="E32" s="4"/>
      <c r="F32" s="3"/>
      <c r="G32" s="5"/>
      <c r="H32" s="3"/>
      <c r="I32" s="5"/>
      <c r="J32" s="3"/>
      <c r="K32" s="5"/>
      <c r="L32" s="3"/>
      <c r="M32" s="5"/>
      <c r="N32" s="5"/>
    </row>
    <row r="33">
      <c r="A33" s="2"/>
      <c r="B33" s="3"/>
      <c r="C33" s="3"/>
      <c r="D33" s="3"/>
      <c r="E33" s="4"/>
      <c r="F33" s="3"/>
      <c r="G33" s="5"/>
      <c r="H33" s="3"/>
      <c r="I33" s="5"/>
      <c r="J33" s="3"/>
      <c r="K33" s="5"/>
      <c r="L33" s="3"/>
      <c r="M33" s="5"/>
      <c r="N33" s="5"/>
    </row>
    <row r="34">
      <c r="A34" s="2"/>
      <c r="B34" s="3"/>
      <c r="C34" s="3"/>
      <c r="D34" s="3"/>
      <c r="E34" s="4"/>
      <c r="F34" s="3"/>
      <c r="G34" s="5"/>
      <c r="H34" s="3"/>
      <c r="I34" s="5"/>
      <c r="J34" s="3"/>
      <c r="K34" s="5"/>
      <c r="L34" s="3"/>
      <c r="M34" s="5"/>
      <c r="N34" s="5"/>
    </row>
    <row r="35">
      <c r="A35" s="2"/>
      <c r="B35" s="3"/>
      <c r="C35" s="3"/>
      <c r="D35" s="3"/>
      <c r="E35" s="4"/>
      <c r="F35" s="3"/>
      <c r="G35" s="5"/>
      <c r="H35" s="3"/>
      <c r="I35" s="5"/>
      <c r="J35" s="3"/>
      <c r="K35" s="5"/>
      <c r="L35" s="3"/>
      <c r="M35" s="5"/>
      <c r="N35" s="5"/>
    </row>
    <row r="36">
      <c r="A36" s="2"/>
      <c r="B36" s="3"/>
      <c r="C36" s="3"/>
      <c r="D36" s="3"/>
      <c r="E36" s="4"/>
      <c r="F36" s="3"/>
      <c r="G36" s="5"/>
      <c r="H36" s="3"/>
      <c r="I36" s="5"/>
      <c r="J36" s="3"/>
      <c r="K36" s="5"/>
      <c r="L36" s="3"/>
      <c r="M36" s="5"/>
      <c r="N36" s="5"/>
    </row>
    <row r="37">
      <c r="A37" s="2"/>
      <c r="B37" s="3"/>
      <c r="C37" s="3"/>
      <c r="D37" s="3"/>
      <c r="E37" s="4"/>
      <c r="F37" s="3"/>
      <c r="G37" s="5"/>
      <c r="H37" s="3"/>
      <c r="I37" s="5"/>
      <c r="J37" s="3"/>
      <c r="K37" s="5"/>
      <c r="L37" s="3"/>
      <c r="M37" s="5"/>
      <c r="N37" s="5"/>
    </row>
    <row r="38">
      <c r="A38" s="2"/>
      <c r="B38" s="3"/>
      <c r="C38" s="3"/>
      <c r="D38" s="3"/>
      <c r="E38" s="4"/>
      <c r="F38" s="3"/>
      <c r="G38" s="5"/>
      <c r="H38" s="3"/>
      <c r="I38" s="5"/>
      <c r="J38" s="3"/>
      <c r="K38" s="5"/>
      <c r="L38" s="3"/>
      <c r="M38" s="5"/>
      <c r="N38" s="5"/>
    </row>
    <row r="39">
      <c r="A39" s="2"/>
      <c r="B39" s="3"/>
      <c r="C39" s="3"/>
      <c r="D39" s="3"/>
      <c r="E39" s="4"/>
      <c r="F39" s="3"/>
      <c r="G39" s="5"/>
      <c r="H39" s="3"/>
      <c r="I39" s="5"/>
      <c r="J39" s="3"/>
      <c r="K39" s="5"/>
      <c r="L39" s="3"/>
      <c r="M39" s="5"/>
      <c r="N39" s="5"/>
    </row>
    <row r="40">
      <c r="A40" s="2"/>
      <c r="B40" s="3"/>
      <c r="C40" s="3"/>
      <c r="D40" s="3"/>
      <c r="E40" s="4"/>
      <c r="F40" s="3"/>
      <c r="G40" s="5"/>
      <c r="H40" s="3"/>
      <c r="I40" s="5"/>
      <c r="J40" s="3"/>
      <c r="K40" s="5"/>
      <c r="L40" s="3"/>
      <c r="M40" s="5"/>
      <c r="N40" s="5"/>
    </row>
    <row r="41">
      <c r="A41" s="2"/>
      <c r="B41" s="3"/>
      <c r="C41" s="3"/>
      <c r="D41" s="3"/>
      <c r="E41" s="4"/>
      <c r="F41" s="3"/>
      <c r="G41" s="5"/>
      <c r="H41" s="3"/>
      <c r="I41" s="5"/>
      <c r="J41" s="3"/>
      <c r="K41" s="5"/>
      <c r="L41" s="3"/>
      <c r="M41" s="5"/>
      <c r="N41" s="5"/>
    </row>
    <row r="42">
      <c r="A42" s="2"/>
      <c r="B42" s="3"/>
      <c r="C42" s="3"/>
      <c r="D42" s="3"/>
      <c r="E42" s="4"/>
      <c r="F42" s="3"/>
      <c r="G42" s="5"/>
      <c r="H42" s="3"/>
      <c r="I42" s="5"/>
      <c r="J42" s="3"/>
      <c r="K42" s="5"/>
      <c r="L42" s="3"/>
      <c r="M42" s="5"/>
      <c r="N42" s="5"/>
    </row>
    <row r="43">
      <c r="A43" s="2"/>
      <c r="B43" s="3"/>
      <c r="C43" s="3"/>
      <c r="D43" s="3"/>
      <c r="E43" s="4"/>
      <c r="F43" s="3"/>
      <c r="G43" s="5"/>
      <c r="H43" s="3"/>
      <c r="I43" s="5"/>
      <c r="J43" s="3"/>
      <c r="K43" s="5"/>
      <c r="L43" s="3"/>
      <c r="M43" s="5"/>
      <c r="N43" s="5"/>
    </row>
    <row r="44">
      <c r="A44" s="2"/>
      <c r="B44" s="3"/>
      <c r="C44" s="3"/>
      <c r="D44" s="3"/>
      <c r="E44" s="4"/>
      <c r="F44" s="3"/>
      <c r="G44" s="5"/>
      <c r="H44" s="3"/>
      <c r="I44" s="5"/>
      <c r="J44" s="3"/>
      <c r="K44" s="5"/>
      <c r="L44" s="3"/>
      <c r="M44" s="5"/>
      <c r="N44" s="5"/>
    </row>
    <row r="45">
      <c r="A45" s="2"/>
      <c r="B45" s="3"/>
      <c r="C45" s="3"/>
      <c r="D45" s="3"/>
      <c r="E45" s="4"/>
      <c r="F45" s="3"/>
      <c r="G45" s="5"/>
      <c r="H45" s="3"/>
      <c r="I45" s="5"/>
      <c r="J45" s="3"/>
      <c r="K45" s="5"/>
      <c r="L45" s="3"/>
      <c r="M45" s="5"/>
      <c r="N45" s="5"/>
    </row>
    <row r="46">
      <c r="A46" s="2"/>
      <c r="B46" s="3"/>
      <c r="C46" s="3"/>
      <c r="D46" s="3"/>
      <c r="E46" s="4"/>
      <c r="F46" s="3"/>
      <c r="G46" s="5"/>
      <c r="H46" s="3"/>
      <c r="I46" s="5"/>
      <c r="J46" s="3"/>
      <c r="K46" s="5"/>
      <c r="L46" s="3"/>
      <c r="M46" s="5"/>
      <c r="N46" s="5"/>
    </row>
    <row r="47">
      <c r="A47" s="2"/>
      <c r="B47" s="3"/>
      <c r="C47" s="3"/>
      <c r="D47" s="3"/>
      <c r="E47" s="4"/>
      <c r="F47" s="3"/>
      <c r="G47" s="5"/>
      <c r="H47" s="3"/>
      <c r="I47" s="5"/>
      <c r="J47" s="3"/>
      <c r="K47" s="5"/>
      <c r="L47" s="3"/>
      <c r="M47" s="5"/>
      <c r="N47" s="5"/>
    </row>
    <row r="48">
      <c r="A48" s="2"/>
      <c r="B48" s="3"/>
      <c r="C48" s="3"/>
      <c r="D48" s="3"/>
      <c r="E48" s="4"/>
      <c r="F48" s="3"/>
      <c r="G48" s="5"/>
      <c r="H48" s="3"/>
      <c r="I48" s="5"/>
      <c r="J48" s="3"/>
      <c r="K48" s="5"/>
      <c r="L48" s="3"/>
      <c r="M48" s="5"/>
      <c r="N48" s="5"/>
    </row>
    <row r="49">
      <c r="A49" s="2"/>
      <c r="B49" s="3"/>
      <c r="C49" s="3"/>
      <c r="D49" s="3"/>
      <c r="E49" s="4"/>
      <c r="F49" s="3"/>
      <c r="G49" s="5"/>
      <c r="H49" s="3"/>
      <c r="I49" s="5"/>
      <c r="J49" s="3"/>
      <c r="K49" s="5"/>
      <c r="L49" s="3"/>
      <c r="M49" s="5"/>
      <c r="N49" s="5"/>
    </row>
    <row r="50">
      <c r="A50" s="2"/>
      <c r="B50" s="3"/>
      <c r="C50" s="3"/>
      <c r="D50" s="3"/>
      <c r="E50" s="4"/>
      <c r="F50" s="3"/>
      <c r="G50" s="5"/>
      <c r="H50" s="3"/>
      <c r="I50" s="5"/>
      <c r="J50" s="3"/>
      <c r="K50" s="5"/>
      <c r="L50" s="3"/>
      <c r="M50" s="5"/>
      <c r="N50" s="5"/>
    </row>
    <row r="51">
      <c r="A51" s="2"/>
      <c r="B51" s="3"/>
      <c r="C51" s="3"/>
      <c r="D51" s="3"/>
      <c r="E51" s="4"/>
      <c r="F51" s="3"/>
      <c r="G51" s="5"/>
      <c r="H51" s="3"/>
      <c r="I51" s="5"/>
      <c r="J51" s="3"/>
      <c r="K51" s="5"/>
      <c r="L51" s="3"/>
      <c r="M51" s="5"/>
      <c r="N51" s="5"/>
    </row>
    <row r="52">
      <c r="A52" s="2"/>
      <c r="B52" s="3"/>
      <c r="C52" s="3"/>
      <c r="D52" s="3"/>
      <c r="E52" s="4"/>
      <c r="F52" s="3"/>
      <c r="G52" s="5"/>
      <c r="H52" s="3"/>
      <c r="I52" s="5"/>
      <c r="J52" s="3"/>
      <c r="K52" s="5"/>
      <c r="L52" s="3"/>
      <c r="M52" s="5"/>
      <c r="N52" s="5"/>
    </row>
    <row r="53">
      <c r="A53" s="2"/>
      <c r="B53" s="3"/>
      <c r="C53" s="3"/>
      <c r="D53" s="3"/>
      <c r="E53" s="4"/>
      <c r="F53" s="3"/>
      <c r="G53" s="5"/>
      <c r="H53" s="3"/>
      <c r="I53" s="5"/>
      <c r="J53" s="3"/>
      <c r="K53" s="5"/>
      <c r="L53" s="3"/>
      <c r="M53" s="5"/>
      <c r="N53" s="5"/>
    </row>
    <row r="54">
      <c r="A54" s="2"/>
      <c r="B54" s="3"/>
      <c r="C54" s="3"/>
      <c r="D54" s="3"/>
      <c r="E54" s="4"/>
      <c r="F54" s="3"/>
      <c r="G54" s="5"/>
      <c r="H54" s="3"/>
      <c r="I54" s="5"/>
      <c r="J54" s="3"/>
      <c r="K54" s="5"/>
      <c r="L54" s="3"/>
      <c r="M54" s="5"/>
      <c r="N54" s="5"/>
    </row>
    <row r="55">
      <c r="A55" s="2"/>
      <c r="B55" s="3"/>
      <c r="C55" s="3"/>
      <c r="D55" s="3"/>
      <c r="E55" s="4"/>
      <c r="F55" s="3"/>
      <c r="G55" s="5"/>
      <c r="H55" s="3"/>
      <c r="I55" s="5"/>
      <c r="J55" s="3"/>
      <c r="K55" s="5"/>
      <c r="L55" s="3"/>
      <c r="M55" s="5"/>
      <c r="N55" s="5"/>
    </row>
    <row r="56">
      <c r="A56" s="2"/>
      <c r="B56" s="3"/>
      <c r="C56" s="3"/>
      <c r="D56" s="3"/>
      <c r="E56" s="4"/>
      <c r="F56" s="3"/>
      <c r="G56" s="5"/>
      <c r="H56" s="3"/>
      <c r="I56" s="5"/>
      <c r="J56" s="3"/>
      <c r="K56" s="5"/>
      <c r="L56" s="3"/>
      <c r="M56" s="5"/>
      <c r="N56" s="5"/>
    </row>
    <row r="57">
      <c r="A57" s="2"/>
      <c r="B57" s="3"/>
      <c r="C57" s="3"/>
      <c r="D57" s="3"/>
      <c r="E57" s="4"/>
      <c r="F57" s="3"/>
      <c r="G57" s="5"/>
      <c r="H57" s="3"/>
      <c r="I57" s="5"/>
      <c r="J57" s="3"/>
      <c r="K57" s="5"/>
      <c r="L57" s="3"/>
      <c r="M57" s="5"/>
      <c r="N57" s="5"/>
    </row>
    <row r="58">
      <c r="A58" s="2"/>
      <c r="B58" s="3"/>
      <c r="C58" s="3"/>
      <c r="D58" s="3"/>
      <c r="E58" s="4"/>
      <c r="F58" s="3"/>
      <c r="G58" s="5"/>
      <c r="H58" s="3"/>
      <c r="I58" s="5"/>
      <c r="J58" s="3"/>
      <c r="K58" s="5"/>
      <c r="L58" s="3"/>
      <c r="M58" s="5"/>
      <c r="N58" s="5"/>
    </row>
    <row r="59">
      <c r="A59" s="2"/>
      <c r="B59" s="3"/>
      <c r="C59" s="3"/>
      <c r="D59" s="3"/>
      <c r="E59" s="4"/>
      <c r="F59" s="3"/>
      <c r="G59" s="5"/>
      <c r="H59" s="3"/>
      <c r="I59" s="5"/>
      <c r="J59" s="3"/>
      <c r="K59" s="5"/>
      <c r="L59" s="3"/>
      <c r="M59" s="5"/>
      <c r="N59" s="5"/>
    </row>
    <row r="60">
      <c r="A60" s="2"/>
      <c r="B60" s="3"/>
      <c r="C60" s="3"/>
      <c r="D60" s="3"/>
      <c r="E60" s="4"/>
      <c r="F60" s="3"/>
      <c r="G60" s="5"/>
      <c r="H60" s="3"/>
      <c r="I60" s="5"/>
      <c r="J60" s="3"/>
      <c r="K60" s="5"/>
      <c r="L60" s="3"/>
      <c r="M60" s="5"/>
      <c r="N60" s="5"/>
    </row>
    <row r="61">
      <c r="A61" s="2"/>
      <c r="B61" s="3"/>
      <c r="C61" s="3"/>
      <c r="D61" s="3"/>
      <c r="E61" s="4"/>
      <c r="F61" s="3"/>
      <c r="G61" s="5"/>
      <c r="H61" s="3"/>
      <c r="I61" s="5"/>
      <c r="J61" s="3"/>
      <c r="K61" s="5"/>
      <c r="L61" s="3"/>
      <c r="M61" s="5"/>
      <c r="N61" s="5"/>
    </row>
    <row r="62">
      <c r="A62" s="2"/>
      <c r="B62" s="3"/>
      <c r="C62" s="3"/>
      <c r="D62" s="3"/>
      <c r="E62" s="4"/>
      <c r="F62" s="3"/>
      <c r="G62" s="5"/>
      <c r="H62" s="3"/>
      <c r="I62" s="5"/>
      <c r="J62" s="3"/>
      <c r="K62" s="5"/>
      <c r="L62" s="3"/>
      <c r="M62" s="5"/>
      <c r="N62" s="5"/>
    </row>
    <row r="63">
      <c r="A63" s="2"/>
      <c r="B63" s="3"/>
      <c r="C63" s="3"/>
      <c r="D63" s="3"/>
      <c r="E63" s="4"/>
      <c r="F63" s="3"/>
      <c r="G63" s="5"/>
      <c r="H63" s="3"/>
      <c r="I63" s="5"/>
      <c r="J63" s="3"/>
      <c r="K63" s="5"/>
      <c r="L63" s="3"/>
      <c r="M63" s="5"/>
      <c r="N63" s="5"/>
    </row>
    <row r="64">
      <c r="A64" s="2"/>
      <c r="B64" s="3"/>
      <c r="C64" s="3"/>
      <c r="D64" s="3"/>
      <c r="E64" s="4"/>
      <c r="F64" s="3"/>
      <c r="G64" s="5"/>
      <c r="H64" s="3"/>
      <c r="I64" s="5"/>
      <c r="J64" s="3"/>
      <c r="K64" s="5"/>
      <c r="L64" s="3"/>
      <c r="M64" s="5"/>
      <c r="N64" s="5"/>
    </row>
    <row r="65">
      <c r="A65" s="2"/>
      <c r="B65" s="3"/>
      <c r="C65" s="3"/>
      <c r="D65" s="3"/>
      <c r="E65" s="4"/>
      <c r="F65" s="3"/>
      <c r="G65" s="5"/>
      <c r="H65" s="3"/>
      <c r="I65" s="5"/>
      <c r="J65" s="3"/>
      <c r="K65" s="5"/>
      <c r="L65" s="3"/>
      <c r="M65" s="5"/>
      <c r="N65" s="5"/>
    </row>
    <row r="66">
      <c r="A66" s="2"/>
      <c r="B66" s="3"/>
      <c r="C66" s="3"/>
      <c r="D66" s="3"/>
      <c r="E66" s="4"/>
      <c r="F66" s="3"/>
      <c r="G66" s="5"/>
      <c r="H66" s="3"/>
      <c r="I66" s="5"/>
      <c r="J66" s="3"/>
      <c r="K66" s="5"/>
      <c r="L66" s="3"/>
      <c r="M66" s="5"/>
      <c r="N66" s="5"/>
    </row>
    <row r="67">
      <c r="A67" s="2"/>
      <c r="B67" s="3"/>
      <c r="C67" s="3"/>
      <c r="D67" s="3"/>
      <c r="E67" s="4"/>
      <c r="F67" s="3"/>
      <c r="G67" s="5"/>
      <c r="H67" s="3"/>
      <c r="I67" s="5"/>
      <c r="J67" s="3"/>
      <c r="K67" s="5"/>
      <c r="L67" s="3"/>
      <c r="M67" s="5"/>
      <c r="N67" s="5"/>
    </row>
    <row r="68">
      <c r="A68" s="2"/>
      <c r="B68" s="3"/>
      <c r="C68" s="3"/>
      <c r="D68" s="3"/>
      <c r="E68" s="4"/>
      <c r="F68" s="3"/>
      <c r="G68" s="5"/>
      <c r="H68" s="3"/>
      <c r="I68" s="5"/>
      <c r="J68" s="3"/>
      <c r="K68" s="5"/>
      <c r="L68" s="3"/>
      <c r="M68" s="5"/>
      <c r="N68" s="5"/>
    </row>
    <row r="69">
      <c r="A69" s="2"/>
      <c r="B69" s="3"/>
      <c r="C69" s="3"/>
      <c r="D69" s="3"/>
      <c r="E69" s="4"/>
      <c r="F69" s="3"/>
      <c r="G69" s="5"/>
      <c r="H69" s="3"/>
      <c r="I69" s="5"/>
      <c r="J69" s="3"/>
      <c r="K69" s="5"/>
      <c r="L69" s="3"/>
      <c r="M69" s="5"/>
      <c r="N69" s="5"/>
    </row>
    <row r="70">
      <c r="A70" s="2"/>
      <c r="B70" s="3"/>
      <c r="C70" s="3"/>
      <c r="D70" s="3"/>
      <c r="E70" s="4"/>
      <c r="F70" s="3"/>
      <c r="G70" s="5"/>
      <c r="H70" s="3"/>
      <c r="I70" s="5"/>
      <c r="J70" s="3"/>
      <c r="K70" s="5"/>
      <c r="L70" s="3"/>
      <c r="M70" s="5"/>
      <c r="N70" s="5"/>
    </row>
    <row r="71">
      <c r="A71" s="2"/>
      <c r="B71" s="3"/>
      <c r="C71" s="3"/>
      <c r="D71" s="3"/>
      <c r="E71" s="4"/>
      <c r="F71" s="3"/>
      <c r="G71" s="5"/>
      <c r="H71" s="3"/>
      <c r="I71" s="5"/>
      <c r="J71" s="3"/>
      <c r="K71" s="5"/>
      <c r="L71" s="3"/>
      <c r="M71" s="5"/>
      <c r="N71" s="5"/>
    </row>
    <row r="72">
      <c r="A72" s="2"/>
      <c r="B72" s="3"/>
      <c r="C72" s="3"/>
      <c r="D72" s="3"/>
      <c r="E72" s="4"/>
      <c r="F72" s="3"/>
      <c r="G72" s="5"/>
      <c r="H72" s="3"/>
      <c r="I72" s="5"/>
      <c r="J72" s="3"/>
      <c r="K72" s="5"/>
      <c r="L72" s="3"/>
      <c r="M72" s="5"/>
      <c r="N72" s="5"/>
    </row>
    <row r="73">
      <c r="A73" s="2"/>
      <c r="B73" s="3"/>
      <c r="C73" s="3"/>
      <c r="D73" s="3"/>
      <c r="E73" s="4"/>
      <c r="F73" s="3"/>
      <c r="G73" s="5"/>
      <c r="H73" s="3"/>
      <c r="I73" s="5"/>
      <c r="J73" s="3"/>
      <c r="K73" s="5"/>
      <c r="L73" s="3"/>
      <c r="M73" s="5"/>
      <c r="N73" s="5"/>
    </row>
    <row r="74">
      <c r="A74" s="2"/>
      <c r="B74" s="3"/>
      <c r="C74" s="3"/>
      <c r="D74" s="3"/>
      <c r="E74" s="4"/>
      <c r="F74" s="3"/>
      <c r="G74" s="5"/>
      <c r="H74" s="3"/>
      <c r="I74" s="5"/>
      <c r="J74" s="3"/>
      <c r="K74" s="5"/>
      <c r="L74" s="3"/>
      <c r="M74" s="5"/>
      <c r="N74" s="5"/>
    </row>
    <row r="75">
      <c r="A75" s="2"/>
      <c r="B75" s="3"/>
      <c r="C75" s="3"/>
      <c r="D75" s="3"/>
      <c r="E75" s="4"/>
      <c r="F75" s="3"/>
      <c r="G75" s="5"/>
      <c r="H75" s="3"/>
      <c r="I75" s="5"/>
      <c r="J75" s="3"/>
      <c r="K75" s="5"/>
      <c r="L75" s="3"/>
      <c r="M75" s="5"/>
      <c r="N75" s="5"/>
    </row>
    <row r="76">
      <c r="A76" s="2"/>
      <c r="B76" s="3"/>
      <c r="C76" s="3"/>
      <c r="D76" s="3"/>
      <c r="E76" s="4"/>
      <c r="F76" s="3"/>
      <c r="G76" s="5"/>
      <c r="H76" s="3"/>
      <c r="I76" s="5"/>
      <c r="J76" s="3"/>
      <c r="K76" s="5"/>
      <c r="L76" s="3"/>
      <c r="M76" s="5"/>
      <c r="N76" s="5"/>
    </row>
    <row r="77">
      <c r="A77" s="2"/>
      <c r="B77" s="3"/>
      <c r="C77" s="3"/>
      <c r="D77" s="3"/>
      <c r="E77" s="4"/>
      <c r="F77" s="3"/>
      <c r="G77" s="5"/>
      <c r="H77" s="3"/>
      <c r="I77" s="5"/>
      <c r="J77" s="3"/>
      <c r="K77" s="5"/>
      <c r="L77" s="3"/>
      <c r="M77" s="5"/>
      <c r="N77" s="5"/>
    </row>
    <row r="78">
      <c r="A78" s="2"/>
      <c r="B78" s="3"/>
      <c r="C78" s="3"/>
      <c r="D78" s="3"/>
      <c r="E78" s="4"/>
      <c r="F78" s="3"/>
      <c r="G78" s="5"/>
      <c r="H78" s="3"/>
      <c r="I78" s="5"/>
      <c r="J78" s="3"/>
      <c r="K78" s="5"/>
      <c r="L78" s="3"/>
      <c r="M78" s="5"/>
      <c r="N78" s="5"/>
    </row>
    <row r="79">
      <c r="A79" s="2"/>
      <c r="B79" s="3"/>
      <c r="C79" s="3"/>
      <c r="D79" s="3"/>
      <c r="E79" s="4"/>
      <c r="F79" s="3"/>
      <c r="G79" s="5"/>
      <c r="H79" s="3"/>
      <c r="I79" s="5"/>
      <c r="J79" s="3"/>
      <c r="K79" s="5"/>
      <c r="L79" s="3"/>
      <c r="M79" s="5"/>
      <c r="N79" s="5"/>
    </row>
    <row r="80">
      <c r="A80" s="2"/>
      <c r="B80" s="3"/>
      <c r="C80" s="3"/>
      <c r="D80" s="3"/>
      <c r="E80" s="4"/>
      <c r="F80" s="3"/>
      <c r="G80" s="5"/>
      <c r="H80" s="3"/>
      <c r="I80" s="5"/>
      <c r="J80" s="3"/>
      <c r="K80" s="5"/>
      <c r="L80" s="3"/>
      <c r="M80" s="5"/>
      <c r="N80" s="5"/>
    </row>
    <row r="81">
      <c r="A81" s="2"/>
      <c r="B81" s="3"/>
      <c r="C81" s="3"/>
      <c r="D81" s="3"/>
      <c r="E81" s="4"/>
      <c r="F81" s="3"/>
      <c r="G81" s="5"/>
      <c r="H81" s="3"/>
      <c r="I81" s="5"/>
      <c r="J81" s="3"/>
      <c r="K81" s="5"/>
      <c r="L81" s="3"/>
      <c r="M81" s="5"/>
      <c r="N81" s="5"/>
    </row>
    <row r="82">
      <c r="A82" s="2"/>
      <c r="B82" s="3"/>
      <c r="C82" s="3"/>
      <c r="D82" s="3"/>
      <c r="E82" s="4"/>
      <c r="F82" s="3"/>
      <c r="G82" s="5"/>
      <c r="H82" s="3"/>
      <c r="I82" s="5"/>
      <c r="J82" s="3"/>
      <c r="K82" s="5"/>
      <c r="L82" s="3"/>
      <c r="M82" s="5"/>
      <c r="N82" s="5"/>
    </row>
    <row r="83">
      <c r="A83" s="2"/>
      <c r="B83" s="3"/>
      <c r="C83" s="3"/>
      <c r="D83" s="3"/>
      <c r="E83" s="4"/>
      <c r="F83" s="3"/>
      <c r="G83" s="5"/>
      <c r="H83" s="3"/>
      <c r="I83" s="5"/>
      <c r="J83" s="3"/>
      <c r="K83" s="5"/>
      <c r="L83" s="3"/>
      <c r="M83" s="5"/>
      <c r="N83" s="5"/>
    </row>
    <row r="84">
      <c r="A84" s="2"/>
      <c r="B84" s="3"/>
      <c r="C84" s="3"/>
      <c r="D84" s="3"/>
      <c r="E84" s="4"/>
      <c r="F84" s="3"/>
      <c r="G84" s="5"/>
      <c r="H84" s="3"/>
      <c r="I84" s="5"/>
      <c r="J84" s="3"/>
      <c r="K84" s="5"/>
      <c r="L84" s="3"/>
      <c r="M84" s="5"/>
      <c r="N84" s="5"/>
    </row>
    <row r="85">
      <c r="A85" s="2"/>
      <c r="B85" s="3"/>
      <c r="C85" s="3"/>
      <c r="D85" s="3"/>
      <c r="E85" s="4"/>
      <c r="F85" s="3"/>
      <c r="G85" s="5"/>
      <c r="H85" s="3"/>
      <c r="I85" s="5"/>
      <c r="J85" s="3"/>
      <c r="K85" s="5"/>
      <c r="L85" s="3"/>
      <c r="M85" s="5"/>
      <c r="N85" s="5"/>
    </row>
    <row r="86">
      <c r="A86" s="2"/>
      <c r="B86" s="3"/>
      <c r="C86" s="3"/>
      <c r="D86" s="3"/>
      <c r="E86" s="4"/>
      <c r="F86" s="3"/>
      <c r="G86" s="5"/>
      <c r="H86" s="3"/>
      <c r="I86" s="5"/>
      <c r="J86" s="3"/>
      <c r="K86" s="5"/>
      <c r="L86" s="3"/>
      <c r="M86" s="5"/>
      <c r="N86" s="5"/>
    </row>
    <row r="87">
      <c r="A87" s="2"/>
      <c r="B87" s="3"/>
      <c r="C87" s="3"/>
      <c r="D87" s="3"/>
      <c r="E87" s="4"/>
      <c r="F87" s="3"/>
      <c r="G87" s="5"/>
      <c r="H87" s="3"/>
      <c r="I87" s="5"/>
      <c r="J87" s="3"/>
      <c r="K87" s="5"/>
      <c r="L87" s="3"/>
      <c r="M87" s="5"/>
      <c r="N87" s="5"/>
    </row>
    <row r="88">
      <c r="A88" s="2"/>
      <c r="B88" s="3"/>
      <c r="C88" s="3"/>
      <c r="D88" s="3"/>
      <c r="E88" s="4"/>
      <c r="F88" s="3"/>
      <c r="G88" s="5"/>
      <c r="H88" s="3"/>
      <c r="I88" s="5"/>
      <c r="J88" s="3"/>
      <c r="K88" s="5"/>
      <c r="L88" s="3"/>
      <c r="M88" s="5"/>
      <c r="N88" s="5"/>
    </row>
    <row r="89">
      <c r="A89" s="2"/>
      <c r="B89" s="3"/>
      <c r="C89" s="3"/>
      <c r="D89" s="3"/>
      <c r="E89" s="4"/>
      <c r="F89" s="3"/>
      <c r="G89" s="5"/>
      <c r="H89" s="3"/>
      <c r="I89" s="5"/>
      <c r="J89" s="3"/>
      <c r="K89" s="5"/>
      <c r="L89" s="3"/>
      <c r="M89" s="5"/>
      <c r="N89" s="5"/>
    </row>
    <row r="90">
      <c r="A90" s="2"/>
      <c r="B90" s="3"/>
      <c r="C90" s="3"/>
      <c r="D90" s="3"/>
      <c r="E90" s="4"/>
      <c r="F90" s="3"/>
      <c r="G90" s="5"/>
      <c r="H90" s="3"/>
      <c r="I90" s="5"/>
      <c r="J90" s="3"/>
      <c r="K90" s="5"/>
      <c r="L90" s="3"/>
      <c r="M90" s="5"/>
      <c r="N90" s="5"/>
    </row>
    <row r="91">
      <c r="A91" s="2"/>
      <c r="B91" s="3"/>
      <c r="C91" s="3"/>
      <c r="D91" s="3"/>
      <c r="E91" s="4"/>
      <c r="F91" s="3"/>
      <c r="G91" s="5"/>
      <c r="H91" s="3"/>
      <c r="I91" s="5"/>
      <c r="J91" s="3"/>
      <c r="K91" s="5"/>
      <c r="L91" s="3"/>
      <c r="M91" s="5"/>
      <c r="N91" s="5"/>
    </row>
    <row r="92">
      <c r="A92" s="2"/>
      <c r="B92" s="3"/>
      <c r="C92" s="3"/>
      <c r="D92" s="3"/>
      <c r="E92" s="4"/>
      <c r="F92" s="3"/>
      <c r="G92" s="5"/>
      <c r="H92" s="3"/>
      <c r="I92" s="5"/>
      <c r="J92" s="3"/>
      <c r="K92" s="5"/>
      <c r="L92" s="3"/>
      <c r="M92" s="5"/>
      <c r="N92" s="5"/>
    </row>
    <row r="93">
      <c r="A93" s="2"/>
      <c r="B93" s="3"/>
      <c r="C93" s="3"/>
      <c r="D93" s="3"/>
      <c r="E93" s="4"/>
      <c r="F93" s="3"/>
      <c r="G93" s="5"/>
      <c r="H93" s="3"/>
      <c r="I93" s="5"/>
      <c r="J93" s="3"/>
      <c r="K93" s="5"/>
      <c r="L93" s="3"/>
      <c r="M93" s="5"/>
      <c r="N93" s="5"/>
    </row>
    <row r="94">
      <c r="A94" s="2"/>
      <c r="B94" s="3"/>
      <c r="C94" s="3"/>
      <c r="D94" s="3"/>
      <c r="E94" s="4"/>
      <c r="F94" s="3"/>
      <c r="G94" s="5"/>
      <c r="H94" s="3"/>
      <c r="I94" s="5"/>
      <c r="J94" s="3"/>
      <c r="K94" s="5"/>
      <c r="L94" s="3"/>
      <c r="M94" s="5"/>
      <c r="N94" s="5"/>
    </row>
    <row r="95">
      <c r="A95" s="2"/>
      <c r="B95" s="3"/>
      <c r="C95" s="3"/>
      <c r="D95" s="3"/>
      <c r="E95" s="4"/>
      <c r="F95" s="3"/>
      <c r="G95" s="5"/>
      <c r="H95" s="3"/>
      <c r="I95" s="5"/>
      <c r="J95" s="3"/>
      <c r="K95" s="5"/>
      <c r="L95" s="3"/>
      <c r="M95" s="5"/>
      <c r="N95" s="5"/>
    </row>
    <row r="96">
      <c r="A96" s="2"/>
      <c r="B96" s="3"/>
      <c r="C96" s="3"/>
      <c r="D96" s="3"/>
      <c r="E96" s="4"/>
      <c r="F96" s="3"/>
      <c r="G96" s="5"/>
      <c r="H96" s="3"/>
      <c r="I96" s="5"/>
      <c r="J96" s="3"/>
      <c r="K96" s="5"/>
      <c r="L96" s="3"/>
      <c r="M96" s="5"/>
      <c r="N96" s="5"/>
    </row>
    <row r="97">
      <c r="A97" s="2"/>
      <c r="B97" s="3"/>
      <c r="C97" s="3"/>
      <c r="D97" s="3"/>
      <c r="E97" s="4"/>
      <c r="F97" s="3"/>
      <c r="G97" s="5"/>
      <c r="H97" s="3"/>
      <c r="I97" s="5"/>
      <c r="J97" s="3"/>
      <c r="K97" s="5"/>
      <c r="L97" s="3"/>
      <c r="M97" s="5"/>
      <c r="N97" s="5"/>
    </row>
    <row r="98">
      <c r="A98" s="2"/>
      <c r="B98" s="3"/>
      <c r="C98" s="3"/>
      <c r="D98" s="3"/>
      <c r="E98" s="4"/>
      <c r="F98" s="3"/>
      <c r="G98" s="5"/>
      <c r="H98" s="3"/>
      <c r="I98" s="5"/>
      <c r="J98" s="3"/>
      <c r="K98" s="5"/>
      <c r="L98" s="3"/>
      <c r="M98" s="5"/>
      <c r="N98" s="5"/>
    </row>
    <row r="99">
      <c r="A99" s="2"/>
      <c r="B99" s="3"/>
      <c r="C99" s="3"/>
      <c r="D99" s="3"/>
      <c r="E99" s="4"/>
      <c r="F99" s="3"/>
      <c r="G99" s="5"/>
      <c r="H99" s="3"/>
      <c r="I99" s="5"/>
      <c r="J99" s="3"/>
      <c r="K99" s="5"/>
      <c r="L99" s="3"/>
      <c r="M99" s="5"/>
      <c r="N99" s="5"/>
    </row>
    <row r="100">
      <c r="A100" s="2"/>
      <c r="B100" s="3"/>
      <c r="C100" s="3"/>
      <c r="D100" s="3"/>
      <c r="E100" s="4"/>
      <c r="F100" s="3"/>
      <c r="G100" s="5"/>
      <c r="H100" s="3"/>
      <c r="I100" s="5"/>
      <c r="J100" s="3"/>
      <c r="K100" s="5"/>
      <c r="L100" s="3"/>
      <c r="M100" s="5"/>
      <c r="N100" s="5"/>
    </row>
    <row r="101">
      <c r="A101" s="2"/>
      <c r="B101" s="3"/>
      <c r="C101" s="3"/>
      <c r="D101" s="3"/>
      <c r="E101" s="4"/>
      <c r="F101" s="3"/>
      <c r="G101" s="5"/>
      <c r="H101" s="3"/>
      <c r="I101" s="5"/>
      <c r="J101" s="3"/>
      <c r="K101" s="5"/>
      <c r="L101" s="3"/>
      <c r="M101" s="5"/>
      <c r="N101" s="5"/>
    </row>
    <row r="102">
      <c r="A102" s="2"/>
      <c r="B102" s="3"/>
      <c r="C102" s="3"/>
      <c r="D102" s="3"/>
      <c r="E102" s="4"/>
      <c r="F102" s="3"/>
      <c r="G102" s="5"/>
      <c r="H102" s="3"/>
      <c r="I102" s="5"/>
      <c r="J102" s="3"/>
      <c r="K102" s="5"/>
      <c r="L102" s="3"/>
      <c r="M102" s="5"/>
      <c r="N102" s="5"/>
    </row>
    <row r="103">
      <c r="A103" s="2"/>
      <c r="B103" s="3"/>
      <c r="C103" s="3"/>
      <c r="D103" s="3"/>
      <c r="E103" s="4"/>
      <c r="F103" s="3"/>
      <c r="G103" s="5"/>
      <c r="H103" s="3"/>
      <c r="I103" s="5"/>
      <c r="J103" s="3"/>
      <c r="K103" s="5"/>
      <c r="L103" s="3"/>
      <c r="M103" s="5"/>
      <c r="N103" s="5"/>
    </row>
    <row r="104">
      <c r="A104" s="2"/>
      <c r="B104" s="3"/>
      <c r="C104" s="3"/>
      <c r="D104" s="3"/>
      <c r="E104" s="4"/>
      <c r="F104" s="3"/>
      <c r="G104" s="5"/>
      <c r="H104" s="3"/>
      <c r="I104" s="5"/>
      <c r="J104" s="3"/>
      <c r="K104" s="5"/>
      <c r="L104" s="3"/>
      <c r="M104" s="5"/>
      <c r="N104" s="5"/>
    </row>
    <row r="105">
      <c r="A105" s="2"/>
      <c r="B105" s="3"/>
      <c r="C105" s="3"/>
      <c r="D105" s="3"/>
      <c r="E105" s="4"/>
      <c r="F105" s="3"/>
      <c r="G105" s="5"/>
      <c r="H105" s="3"/>
      <c r="I105" s="5"/>
      <c r="J105" s="3"/>
      <c r="K105" s="5"/>
      <c r="L105" s="3"/>
      <c r="M105" s="5"/>
      <c r="N105" s="5"/>
    </row>
    <row r="106">
      <c r="A106" s="2"/>
      <c r="B106" s="3"/>
      <c r="C106" s="3"/>
      <c r="D106" s="3"/>
      <c r="E106" s="4"/>
      <c r="F106" s="3"/>
      <c r="G106" s="5"/>
      <c r="H106" s="3"/>
      <c r="I106" s="5"/>
      <c r="J106" s="3"/>
      <c r="K106" s="5"/>
      <c r="L106" s="3"/>
      <c r="M106" s="5"/>
      <c r="N106" s="5"/>
    </row>
    <row r="107">
      <c r="A107" s="2"/>
      <c r="B107" s="3"/>
      <c r="C107" s="3"/>
      <c r="D107" s="3"/>
      <c r="E107" s="4"/>
      <c r="F107" s="3"/>
      <c r="G107" s="5"/>
      <c r="H107" s="3"/>
      <c r="I107" s="5"/>
      <c r="J107" s="3"/>
      <c r="K107" s="5"/>
      <c r="L107" s="3"/>
      <c r="M107" s="5"/>
      <c r="N107" s="5"/>
    </row>
    <row r="108">
      <c r="A108" s="2"/>
      <c r="B108" s="3"/>
      <c r="C108" s="3"/>
      <c r="D108" s="3"/>
      <c r="E108" s="4"/>
      <c r="F108" s="3"/>
      <c r="G108" s="5"/>
      <c r="H108" s="3"/>
      <c r="I108" s="5"/>
      <c r="J108" s="3"/>
      <c r="K108" s="5"/>
      <c r="L108" s="3"/>
      <c r="M108" s="5"/>
      <c r="N108" s="5"/>
    </row>
    <row r="109">
      <c r="A109" s="2"/>
      <c r="B109" s="3"/>
      <c r="C109" s="3"/>
      <c r="D109" s="3"/>
      <c r="E109" s="4"/>
      <c r="F109" s="3"/>
      <c r="G109" s="5"/>
      <c r="H109" s="3"/>
      <c r="I109" s="5"/>
      <c r="J109" s="3"/>
      <c r="K109" s="5"/>
      <c r="L109" s="3"/>
      <c r="M109" s="5"/>
      <c r="N109" s="5"/>
    </row>
    <row r="110">
      <c r="A110" s="2"/>
      <c r="B110" s="3"/>
      <c r="C110" s="3"/>
      <c r="D110" s="3"/>
      <c r="E110" s="4"/>
      <c r="F110" s="3"/>
      <c r="G110" s="5"/>
      <c r="H110" s="3"/>
      <c r="I110" s="5"/>
      <c r="J110" s="3"/>
      <c r="K110" s="5"/>
      <c r="L110" s="3"/>
      <c r="M110" s="5"/>
      <c r="N110" s="5"/>
    </row>
    <row r="111">
      <c r="A111" s="2"/>
      <c r="B111" s="3"/>
      <c r="C111" s="3"/>
      <c r="D111" s="3"/>
      <c r="E111" s="4"/>
      <c r="F111" s="3"/>
      <c r="G111" s="5"/>
      <c r="H111" s="3"/>
      <c r="I111" s="5"/>
      <c r="J111" s="3"/>
      <c r="K111" s="5"/>
      <c r="L111" s="3"/>
      <c r="M111" s="5"/>
      <c r="N111" s="5"/>
    </row>
    <row r="112">
      <c r="A112" s="2"/>
      <c r="B112" s="3"/>
      <c r="C112" s="3"/>
      <c r="D112" s="3"/>
      <c r="E112" s="4"/>
      <c r="F112" s="3"/>
      <c r="G112" s="5"/>
      <c r="H112" s="3"/>
      <c r="I112" s="5"/>
      <c r="J112" s="3"/>
      <c r="K112" s="5"/>
      <c r="L112" s="3"/>
      <c r="M112" s="5"/>
      <c r="N112" s="5"/>
    </row>
    <row r="113">
      <c r="A113" s="2"/>
      <c r="B113" s="3"/>
      <c r="C113" s="3"/>
      <c r="D113" s="3"/>
      <c r="E113" s="4"/>
      <c r="F113" s="3"/>
      <c r="G113" s="5"/>
      <c r="H113" s="3"/>
      <c r="I113" s="5"/>
      <c r="J113" s="3"/>
      <c r="K113" s="5"/>
      <c r="L113" s="3"/>
      <c r="M113" s="5"/>
      <c r="N113" s="5"/>
    </row>
    <row r="114">
      <c r="A114" s="2"/>
      <c r="B114" s="3"/>
      <c r="C114" s="3"/>
      <c r="D114" s="3"/>
      <c r="E114" s="4"/>
      <c r="F114" s="3"/>
      <c r="G114" s="5"/>
      <c r="H114" s="3"/>
      <c r="I114" s="5"/>
      <c r="J114" s="3"/>
      <c r="K114" s="5"/>
      <c r="L114" s="3"/>
      <c r="M114" s="5"/>
      <c r="N114" s="5"/>
    </row>
    <row r="115">
      <c r="A115" s="2"/>
      <c r="B115" s="3"/>
      <c r="C115" s="3"/>
      <c r="D115" s="3"/>
      <c r="E115" s="4"/>
      <c r="F115" s="3"/>
      <c r="G115" s="5"/>
      <c r="H115" s="3"/>
      <c r="I115" s="5"/>
      <c r="J115" s="3"/>
      <c r="K115" s="5"/>
      <c r="L115" s="3"/>
      <c r="M115" s="5"/>
      <c r="N115" s="5"/>
    </row>
    <row r="116">
      <c r="A116" s="2"/>
      <c r="B116" s="3"/>
      <c r="C116" s="3"/>
      <c r="D116" s="3"/>
      <c r="E116" s="4"/>
      <c r="F116" s="3"/>
      <c r="G116" s="5"/>
      <c r="H116" s="3"/>
      <c r="I116" s="5"/>
      <c r="J116" s="3"/>
      <c r="K116" s="5"/>
      <c r="L116" s="3"/>
      <c r="M116" s="5"/>
      <c r="N116" s="5"/>
    </row>
    <row r="117">
      <c r="A117" s="2"/>
      <c r="B117" s="3"/>
      <c r="C117" s="3"/>
      <c r="D117" s="3"/>
      <c r="E117" s="4"/>
      <c r="F117" s="3"/>
      <c r="G117" s="5"/>
      <c r="H117" s="3"/>
      <c r="I117" s="5"/>
      <c r="J117" s="3"/>
      <c r="K117" s="5"/>
      <c r="L117" s="3"/>
      <c r="M117" s="5"/>
      <c r="N117" s="5"/>
    </row>
    <row r="118">
      <c r="A118" s="2"/>
      <c r="B118" s="3"/>
      <c r="C118" s="3"/>
      <c r="D118" s="3"/>
      <c r="E118" s="4"/>
      <c r="F118" s="3"/>
      <c r="G118" s="5"/>
      <c r="H118" s="3"/>
      <c r="I118" s="5"/>
      <c r="J118" s="3"/>
      <c r="K118" s="5"/>
      <c r="L118" s="3"/>
      <c r="M118" s="5"/>
      <c r="N118" s="5"/>
    </row>
    <row r="119">
      <c r="A119" s="2"/>
      <c r="B119" s="3"/>
      <c r="C119" s="3"/>
      <c r="D119" s="3"/>
      <c r="E119" s="4"/>
      <c r="F119" s="3"/>
      <c r="G119" s="5"/>
      <c r="H119" s="3"/>
      <c r="I119" s="5"/>
      <c r="J119" s="3"/>
      <c r="K119" s="5"/>
      <c r="L119" s="3"/>
      <c r="M119" s="5"/>
      <c r="N119" s="5"/>
    </row>
    <row r="120">
      <c r="A120" s="2"/>
      <c r="B120" s="3"/>
      <c r="C120" s="3"/>
      <c r="D120" s="3"/>
      <c r="E120" s="4"/>
      <c r="F120" s="3"/>
      <c r="G120" s="5"/>
      <c r="H120" s="3"/>
      <c r="I120" s="5"/>
      <c r="J120" s="3"/>
      <c r="K120" s="5"/>
      <c r="L120" s="3"/>
      <c r="M120" s="5"/>
      <c r="N120" s="5"/>
    </row>
    <row r="121">
      <c r="A121" s="2"/>
      <c r="B121" s="3"/>
      <c r="C121" s="3"/>
      <c r="D121" s="3"/>
      <c r="E121" s="4"/>
      <c r="F121" s="3"/>
      <c r="G121" s="5"/>
      <c r="H121" s="3"/>
      <c r="I121" s="5"/>
      <c r="J121" s="3"/>
      <c r="K121" s="5"/>
      <c r="L121" s="3"/>
      <c r="M121" s="5"/>
      <c r="N121" s="5"/>
    </row>
    <row r="122">
      <c r="A122" s="2"/>
      <c r="B122" s="3"/>
      <c r="C122" s="3"/>
      <c r="D122" s="3"/>
      <c r="E122" s="4"/>
      <c r="F122" s="3"/>
      <c r="G122" s="5"/>
      <c r="H122" s="3"/>
      <c r="I122" s="5"/>
      <c r="J122" s="3"/>
      <c r="K122" s="5"/>
      <c r="L122" s="3"/>
      <c r="M122" s="5"/>
      <c r="N122" s="5"/>
    </row>
    <row r="123">
      <c r="A123" s="2"/>
      <c r="B123" s="3"/>
      <c r="C123" s="3"/>
      <c r="D123" s="3"/>
      <c r="E123" s="4"/>
      <c r="F123" s="3"/>
      <c r="G123" s="5"/>
      <c r="H123" s="3"/>
      <c r="I123" s="5"/>
      <c r="J123" s="3"/>
      <c r="K123" s="5"/>
      <c r="L123" s="3"/>
      <c r="M123" s="5"/>
      <c r="N123" s="5"/>
    </row>
    <row r="124">
      <c r="A124" s="2"/>
      <c r="B124" s="3"/>
      <c r="C124" s="3"/>
      <c r="D124" s="3"/>
      <c r="E124" s="4"/>
      <c r="F124" s="3"/>
      <c r="G124" s="5"/>
      <c r="H124" s="3"/>
      <c r="I124" s="5"/>
      <c r="J124" s="3"/>
      <c r="K124" s="5"/>
      <c r="L124" s="3"/>
      <c r="M124" s="5"/>
      <c r="N124" s="5"/>
    </row>
    <row r="125">
      <c r="A125" s="2"/>
      <c r="B125" s="3"/>
      <c r="C125" s="3"/>
      <c r="D125" s="3"/>
      <c r="E125" s="4"/>
      <c r="F125" s="3"/>
      <c r="G125" s="5"/>
      <c r="H125" s="3"/>
      <c r="I125" s="5"/>
      <c r="J125" s="3"/>
      <c r="K125" s="5"/>
      <c r="L125" s="3"/>
      <c r="M125" s="5"/>
      <c r="N125" s="5"/>
    </row>
    <row r="126">
      <c r="A126" s="2"/>
      <c r="B126" s="3"/>
      <c r="C126" s="3"/>
      <c r="D126" s="3"/>
      <c r="E126" s="4"/>
      <c r="F126" s="3"/>
      <c r="G126" s="5"/>
      <c r="H126" s="3"/>
      <c r="I126" s="5"/>
      <c r="J126" s="3"/>
      <c r="K126" s="5"/>
      <c r="L126" s="3"/>
      <c r="M126" s="5"/>
      <c r="N126" s="5"/>
    </row>
    <row r="127">
      <c r="A127" s="2"/>
      <c r="B127" s="3"/>
      <c r="C127" s="3"/>
      <c r="D127" s="3"/>
      <c r="E127" s="4"/>
      <c r="F127" s="3"/>
      <c r="G127" s="5"/>
      <c r="H127" s="3"/>
      <c r="I127" s="5"/>
      <c r="J127" s="3"/>
      <c r="K127" s="5"/>
      <c r="L127" s="3"/>
      <c r="M127" s="5"/>
      <c r="N127" s="5"/>
    </row>
    <row r="128">
      <c r="A128" s="2"/>
      <c r="B128" s="3"/>
      <c r="C128" s="3"/>
      <c r="D128" s="3"/>
      <c r="E128" s="4"/>
      <c r="F128" s="3"/>
      <c r="G128" s="5"/>
      <c r="H128" s="3"/>
      <c r="I128" s="5"/>
      <c r="J128" s="3"/>
      <c r="K128" s="5"/>
      <c r="L128" s="3"/>
      <c r="M128" s="5"/>
      <c r="N128" s="5"/>
    </row>
    <row r="129">
      <c r="A129" s="2"/>
      <c r="B129" s="3"/>
      <c r="C129" s="3"/>
      <c r="D129" s="3"/>
      <c r="E129" s="4"/>
      <c r="F129" s="3"/>
      <c r="G129" s="5"/>
      <c r="H129" s="3"/>
      <c r="I129" s="5"/>
      <c r="J129" s="3"/>
      <c r="K129" s="5"/>
      <c r="L129" s="3"/>
      <c r="M129" s="5"/>
      <c r="N129" s="5"/>
    </row>
    <row r="130">
      <c r="A130" s="2"/>
      <c r="B130" s="3"/>
      <c r="C130" s="3"/>
      <c r="D130" s="3"/>
      <c r="E130" s="4"/>
      <c r="F130" s="3"/>
      <c r="G130" s="5"/>
      <c r="H130" s="3"/>
      <c r="I130" s="5"/>
      <c r="J130" s="3"/>
      <c r="K130" s="5"/>
      <c r="L130" s="3"/>
      <c r="M130" s="5"/>
      <c r="N130" s="5"/>
    </row>
    <row r="131">
      <c r="A131" s="2"/>
      <c r="B131" s="3"/>
      <c r="C131" s="3"/>
      <c r="D131" s="3"/>
      <c r="E131" s="4"/>
      <c r="F131" s="3"/>
      <c r="G131" s="5"/>
      <c r="H131" s="3"/>
      <c r="I131" s="5"/>
      <c r="J131" s="3"/>
      <c r="K131" s="5"/>
      <c r="L131" s="3"/>
      <c r="M131" s="5"/>
      <c r="N131" s="5"/>
    </row>
    <row r="132">
      <c r="A132" s="2"/>
      <c r="B132" s="3"/>
      <c r="C132" s="3"/>
      <c r="D132" s="3"/>
      <c r="E132" s="4"/>
      <c r="F132" s="3"/>
      <c r="G132" s="5"/>
      <c r="H132" s="3"/>
      <c r="I132" s="5"/>
      <c r="J132" s="3"/>
      <c r="K132" s="5"/>
      <c r="L132" s="3"/>
      <c r="M132" s="5"/>
      <c r="N132" s="5"/>
    </row>
    <row r="133">
      <c r="A133" s="2"/>
      <c r="B133" s="3"/>
      <c r="C133" s="3"/>
      <c r="D133" s="3"/>
      <c r="E133" s="4"/>
      <c r="F133" s="3"/>
      <c r="G133" s="5"/>
      <c r="H133" s="3"/>
      <c r="I133" s="5"/>
      <c r="J133" s="3"/>
      <c r="K133" s="5"/>
      <c r="L133" s="3"/>
      <c r="M133" s="5"/>
      <c r="N133" s="5"/>
    </row>
    <row r="134">
      <c r="A134" s="2"/>
      <c r="B134" s="3"/>
      <c r="C134" s="3"/>
      <c r="D134" s="3"/>
      <c r="E134" s="4"/>
      <c r="F134" s="3"/>
      <c r="G134" s="5"/>
      <c r="H134" s="3"/>
      <c r="I134" s="5"/>
      <c r="J134" s="3"/>
      <c r="K134" s="5"/>
      <c r="L134" s="3"/>
      <c r="M134" s="5"/>
      <c r="N134" s="5"/>
    </row>
    <row r="135">
      <c r="A135" s="2"/>
      <c r="B135" s="3"/>
      <c r="C135" s="3"/>
      <c r="D135" s="3"/>
      <c r="E135" s="4"/>
      <c r="F135" s="3"/>
      <c r="G135" s="5"/>
      <c r="H135" s="3"/>
      <c r="I135" s="5"/>
      <c r="J135" s="3"/>
      <c r="K135" s="5"/>
      <c r="L135" s="3"/>
      <c r="M135" s="5"/>
      <c r="N135" s="5"/>
    </row>
    <row r="136">
      <c r="A136" s="2"/>
      <c r="B136" s="3"/>
      <c r="C136" s="3"/>
      <c r="D136" s="3"/>
      <c r="E136" s="4"/>
      <c r="F136" s="3"/>
      <c r="G136" s="5"/>
      <c r="H136" s="3"/>
      <c r="I136" s="5"/>
      <c r="J136" s="3"/>
      <c r="K136" s="5"/>
      <c r="L136" s="3"/>
      <c r="M136" s="5"/>
      <c r="N136" s="5"/>
    </row>
    <row r="137">
      <c r="A137" s="2"/>
      <c r="B137" s="3"/>
      <c r="C137" s="3"/>
      <c r="D137" s="3"/>
      <c r="E137" s="4"/>
      <c r="F137" s="3"/>
      <c r="G137" s="5"/>
      <c r="H137" s="3"/>
      <c r="I137" s="5"/>
      <c r="J137" s="3"/>
      <c r="K137" s="5"/>
      <c r="L137" s="3"/>
      <c r="M137" s="5"/>
      <c r="N137" s="5"/>
    </row>
    <row r="138">
      <c r="A138" s="2"/>
      <c r="B138" s="3"/>
      <c r="C138" s="3"/>
      <c r="D138" s="3"/>
      <c r="E138" s="4"/>
      <c r="F138" s="3"/>
      <c r="G138" s="5"/>
      <c r="H138" s="3"/>
      <c r="I138" s="5"/>
      <c r="J138" s="3"/>
      <c r="K138" s="5"/>
      <c r="L138" s="3"/>
      <c r="M138" s="5"/>
      <c r="N138" s="5"/>
    </row>
    <row r="139">
      <c r="A139" s="2"/>
      <c r="B139" s="3"/>
      <c r="C139" s="3"/>
      <c r="D139" s="3"/>
      <c r="E139" s="4"/>
      <c r="F139" s="3"/>
      <c r="G139" s="5"/>
      <c r="H139" s="3"/>
      <c r="I139" s="5"/>
      <c r="J139" s="3"/>
      <c r="K139" s="5"/>
      <c r="L139" s="3"/>
      <c r="M139" s="5"/>
      <c r="N139" s="5"/>
    </row>
    <row r="140">
      <c r="A140" s="2"/>
      <c r="B140" s="3"/>
      <c r="C140" s="3"/>
      <c r="D140" s="3"/>
      <c r="E140" s="4"/>
      <c r="F140" s="3"/>
      <c r="G140" s="5"/>
      <c r="H140" s="3"/>
      <c r="I140" s="5"/>
      <c r="J140" s="3"/>
      <c r="K140" s="5"/>
      <c r="L140" s="3"/>
      <c r="M140" s="5"/>
      <c r="N140" s="5"/>
    </row>
    <row r="141">
      <c r="A141" s="2"/>
      <c r="B141" s="3"/>
      <c r="C141" s="3"/>
      <c r="D141" s="3"/>
      <c r="E141" s="4"/>
      <c r="F141" s="3"/>
      <c r="G141" s="5"/>
      <c r="H141" s="3"/>
      <c r="I141" s="5"/>
      <c r="J141" s="3"/>
      <c r="K141" s="5"/>
      <c r="L141" s="3"/>
      <c r="M141" s="5"/>
      <c r="N141" s="5"/>
    </row>
    <row r="142">
      <c r="A142" s="2"/>
      <c r="B142" s="3"/>
      <c r="C142" s="3"/>
      <c r="D142" s="3"/>
      <c r="E142" s="4"/>
      <c r="F142" s="3"/>
      <c r="G142" s="5"/>
      <c r="H142" s="3"/>
      <c r="I142" s="5"/>
      <c r="J142" s="3"/>
      <c r="K142" s="5"/>
      <c r="L142" s="3"/>
      <c r="M142" s="5"/>
      <c r="N142" s="5"/>
    </row>
    <row r="143">
      <c r="A143" s="2"/>
      <c r="B143" s="3"/>
      <c r="C143" s="3"/>
      <c r="D143" s="3"/>
      <c r="E143" s="4"/>
      <c r="F143" s="3"/>
      <c r="G143" s="5"/>
      <c r="H143" s="3"/>
      <c r="I143" s="5"/>
      <c r="J143" s="3"/>
      <c r="K143" s="5"/>
      <c r="L143" s="3"/>
      <c r="M143" s="5"/>
      <c r="N143" s="5"/>
    </row>
    <row r="144">
      <c r="A144" s="2"/>
      <c r="B144" s="3"/>
      <c r="C144" s="3"/>
      <c r="D144" s="3"/>
      <c r="E144" s="4"/>
      <c r="F144" s="3"/>
      <c r="G144" s="5"/>
      <c r="H144" s="3"/>
      <c r="I144" s="5"/>
      <c r="J144" s="3"/>
      <c r="K144" s="5"/>
      <c r="L144" s="3"/>
      <c r="M144" s="5"/>
      <c r="N144" s="5"/>
    </row>
    <row r="145">
      <c r="A145" s="2"/>
      <c r="B145" s="3"/>
      <c r="C145" s="3"/>
      <c r="D145" s="3"/>
      <c r="E145" s="4"/>
      <c r="F145" s="3"/>
      <c r="G145" s="5"/>
      <c r="H145" s="3"/>
      <c r="I145" s="5"/>
      <c r="J145" s="3"/>
      <c r="K145" s="5"/>
      <c r="L145" s="3"/>
      <c r="M145" s="5"/>
      <c r="N145" s="5"/>
    </row>
    <row r="146">
      <c r="A146" s="2"/>
      <c r="B146" s="3"/>
      <c r="C146" s="3"/>
      <c r="D146" s="3"/>
      <c r="E146" s="4"/>
      <c r="F146" s="3"/>
      <c r="G146" s="5"/>
      <c r="H146" s="3"/>
      <c r="I146" s="5"/>
      <c r="J146" s="3"/>
      <c r="K146" s="5"/>
      <c r="L146" s="3"/>
      <c r="M146" s="5"/>
      <c r="N146" s="5"/>
    </row>
    <row r="147">
      <c r="A147" s="2"/>
      <c r="B147" s="3"/>
      <c r="C147" s="3"/>
      <c r="D147" s="3"/>
      <c r="E147" s="4"/>
      <c r="F147" s="3"/>
      <c r="G147" s="5"/>
      <c r="H147" s="3"/>
      <c r="I147" s="5"/>
      <c r="J147" s="3"/>
      <c r="K147" s="5"/>
      <c r="L147" s="3"/>
      <c r="M147" s="5"/>
      <c r="N147" s="5"/>
    </row>
    <row r="148">
      <c r="A148" s="2"/>
      <c r="B148" s="3"/>
      <c r="C148" s="3"/>
      <c r="D148" s="3"/>
      <c r="E148" s="4"/>
      <c r="F148" s="3"/>
      <c r="G148" s="5"/>
      <c r="H148" s="3"/>
      <c r="I148" s="5"/>
      <c r="J148" s="3"/>
      <c r="K148" s="5"/>
      <c r="L148" s="3"/>
      <c r="M148" s="5"/>
      <c r="N148" s="5"/>
    </row>
    <row r="149">
      <c r="A149" s="2"/>
      <c r="B149" s="3"/>
      <c r="C149" s="3"/>
      <c r="D149" s="3"/>
      <c r="E149" s="4"/>
      <c r="F149" s="3"/>
      <c r="G149" s="5"/>
      <c r="H149" s="3"/>
      <c r="I149" s="5"/>
      <c r="J149" s="3"/>
      <c r="K149" s="5"/>
      <c r="L149" s="3"/>
      <c r="M149" s="5"/>
      <c r="N149" s="5"/>
    </row>
    <row r="150">
      <c r="A150" s="2"/>
      <c r="B150" s="3"/>
      <c r="C150" s="3"/>
      <c r="D150" s="3"/>
      <c r="E150" s="4"/>
      <c r="F150" s="3"/>
      <c r="G150" s="5"/>
      <c r="H150" s="3"/>
      <c r="I150" s="5"/>
      <c r="J150" s="3"/>
      <c r="K150" s="5"/>
      <c r="L150" s="3"/>
      <c r="M150" s="5"/>
      <c r="N150" s="5"/>
    </row>
    <row r="151">
      <c r="A151" s="2"/>
      <c r="B151" s="3"/>
      <c r="C151" s="3"/>
      <c r="D151" s="3"/>
      <c r="E151" s="4"/>
      <c r="F151" s="3"/>
      <c r="G151" s="5"/>
      <c r="H151" s="3"/>
      <c r="I151" s="5"/>
      <c r="J151" s="3"/>
      <c r="K151" s="5"/>
      <c r="L151" s="3"/>
      <c r="M151" s="5"/>
      <c r="N151" s="5"/>
    </row>
    <row r="152">
      <c r="A152" s="2"/>
      <c r="B152" s="3"/>
      <c r="C152" s="3"/>
      <c r="D152" s="3"/>
      <c r="E152" s="4"/>
      <c r="F152" s="3"/>
      <c r="G152" s="5"/>
      <c r="H152" s="3"/>
      <c r="I152" s="5"/>
      <c r="J152" s="3"/>
      <c r="K152" s="5"/>
      <c r="L152" s="3"/>
      <c r="M152" s="5"/>
      <c r="N152" s="5"/>
    </row>
    <row r="153">
      <c r="A153" s="2"/>
      <c r="B153" s="3"/>
      <c r="C153" s="3"/>
      <c r="D153" s="3"/>
      <c r="E153" s="4"/>
      <c r="F153" s="3"/>
      <c r="G153" s="5"/>
      <c r="H153" s="3"/>
      <c r="I153" s="5"/>
      <c r="J153" s="3"/>
      <c r="K153" s="5"/>
      <c r="L153" s="3"/>
      <c r="M153" s="5"/>
      <c r="N153" s="5"/>
    </row>
    <row r="154">
      <c r="A154" s="2"/>
      <c r="B154" s="3"/>
      <c r="C154" s="3"/>
      <c r="D154" s="3"/>
      <c r="E154" s="4"/>
      <c r="F154" s="3"/>
      <c r="G154" s="5"/>
      <c r="H154" s="3"/>
      <c r="I154" s="5"/>
      <c r="J154" s="3"/>
      <c r="K154" s="5"/>
      <c r="L154" s="3"/>
      <c r="M154" s="5"/>
      <c r="N154" s="5"/>
    </row>
    <row r="155">
      <c r="A155" s="2"/>
      <c r="B155" s="3"/>
      <c r="C155" s="3"/>
      <c r="D155" s="3"/>
      <c r="E155" s="4"/>
      <c r="F155" s="3"/>
      <c r="G155" s="5"/>
      <c r="H155" s="3"/>
      <c r="I155" s="5"/>
      <c r="J155" s="3"/>
      <c r="K155" s="5"/>
      <c r="L155" s="3"/>
      <c r="M155" s="5"/>
      <c r="N155" s="5"/>
    </row>
    <row r="156">
      <c r="A156" s="2"/>
      <c r="B156" s="3"/>
      <c r="C156" s="3"/>
      <c r="D156" s="3"/>
      <c r="E156" s="4"/>
      <c r="F156" s="3"/>
      <c r="G156" s="5"/>
      <c r="H156" s="3"/>
      <c r="I156" s="5"/>
      <c r="J156" s="3"/>
      <c r="K156" s="5"/>
      <c r="L156" s="3"/>
      <c r="M156" s="5"/>
      <c r="N156" s="5"/>
    </row>
    <row r="157">
      <c r="A157" s="2"/>
      <c r="B157" s="3"/>
      <c r="C157" s="3"/>
      <c r="D157" s="3"/>
      <c r="E157" s="4"/>
      <c r="F157" s="3"/>
      <c r="G157" s="5"/>
      <c r="H157" s="3"/>
      <c r="I157" s="5"/>
      <c r="J157" s="3"/>
      <c r="K157" s="5"/>
      <c r="L157" s="3"/>
      <c r="M157" s="5"/>
      <c r="N157" s="5"/>
    </row>
    <row r="158">
      <c r="A158" s="2"/>
      <c r="B158" s="3"/>
      <c r="C158" s="3"/>
      <c r="D158" s="3"/>
      <c r="E158" s="4"/>
      <c r="F158" s="3"/>
      <c r="G158" s="5"/>
      <c r="H158" s="3"/>
      <c r="I158" s="5"/>
      <c r="J158" s="3"/>
      <c r="K158" s="5"/>
      <c r="L158" s="3"/>
      <c r="M158" s="5"/>
      <c r="N158" s="5"/>
    </row>
    <row r="159">
      <c r="A159" s="2"/>
      <c r="B159" s="3"/>
      <c r="C159" s="3"/>
      <c r="D159" s="3"/>
      <c r="E159" s="4"/>
      <c r="F159" s="3"/>
      <c r="G159" s="5"/>
      <c r="H159" s="3"/>
      <c r="I159" s="5"/>
      <c r="J159" s="3"/>
      <c r="K159" s="5"/>
      <c r="L159" s="3"/>
      <c r="M159" s="5"/>
      <c r="N159" s="5"/>
    </row>
    <row r="160">
      <c r="A160" s="2"/>
      <c r="B160" s="3"/>
      <c r="C160" s="3"/>
      <c r="D160" s="3"/>
      <c r="E160" s="4"/>
      <c r="F160" s="3"/>
      <c r="G160" s="5"/>
      <c r="H160" s="3"/>
      <c r="I160" s="5"/>
      <c r="J160" s="3"/>
      <c r="K160" s="5"/>
      <c r="L160" s="3"/>
      <c r="M160" s="5"/>
      <c r="N160" s="5"/>
    </row>
    <row r="161">
      <c r="A161" s="2"/>
      <c r="B161" s="3"/>
      <c r="C161" s="3"/>
      <c r="D161" s="3"/>
      <c r="E161" s="4"/>
      <c r="F161" s="3"/>
      <c r="G161" s="5"/>
      <c r="H161" s="3"/>
      <c r="I161" s="5"/>
      <c r="J161" s="3"/>
      <c r="K161" s="5"/>
      <c r="L161" s="3"/>
      <c r="M161" s="5"/>
      <c r="N161" s="5"/>
    </row>
    <row r="162">
      <c r="A162" s="2"/>
      <c r="B162" s="3"/>
      <c r="C162" s="3"/>
      <c r="D162" s="3"/>
      <c r="E162" s="4"/>
      <c r="F162" s="3"/>
      <c r="G162" s="5"/>
      <c r="H162" s="3"/>
      <c r="I162" s="5"/>
      <c r="J162" s="3"/>
      <c r="K162" s="5"/>
      <c r="L162" s="3"/>
      <c r="M162" s="5"/>
      <c r="N162" s="5"/>
    </row>
    <row r="163">
      <c r="A163" s="2"/>
      <c r="B163" s="3"/>
      <c r="C163" s="3"/>
      <c r="D163" s="3"/>
      <c r="E163" s="4"/>
      <c r="F163" s="3"/>
      <c r="G163" s="5"/>
      <c r="H163" s="3"/>
      <c r="I163" s="5"/>
      <c r="J163" s="3"/>
      <c r="K163" s="5"/>
      <c r="L163" s="3"/>
      <c r="M163" s="5"/>
      <c r="N163" s="5"/>
    </row>
    <row r="164">
      <c r="A164" s="2"/>
      <c r="B164" s="3"/>
      <c r="C164" s="3"/>
      <c r="D164" s="3"/>
      <c r="E164" s="4"/>
      <c r="F164" s="3"/>
      <c r="G164" s="5"/>
      <c r="H164" s="3"/>
      <c r="I164" s="5"/>
      <c r="J164" s="3"/>
      <c r="K164" s="5"/>
      <c r="L164" s="3"/>
      <c r="M164" s="5"/>
      <c r="N164" s="5"/>
    </row>
    <row r="165">
      <c r="A165" s="2"/>
      <c r="B165" s="3"/>
      <c r="C165" s="3"/>
      <c r="D165" s="3"/>
      <c r="E165" s="4"/>
      <c r="F165" s="3"/>
      <c r="G165" s="5"/>
      <c r="H165" s="3"/>
      <c r="I165" s="5"/>
      <c r="J165" s="3"/>
      <c r="K165" s="5"/>
      <c r="L165" s="3"/>
      <c r="M165" s="5"/>
      <c r="N165" s="5"/>
    </row>
    <row r="166">
      <c r="A166" s="2"/>
      <c r="B166" s="3"/>
      <c r="C166" s="3"/>
      <c r="D166" s="3"/>
      <c r="E166" s="4"/>
      <c r="F166" s="3"/>
      <c r="G166" s="5"/>
      <c r="H166" s="3"/>
      <c r="I166" s="5"/>
      <c r="J166" s="3"/>
      <c r="K166" s="5"/>
      <c r="L166" s="3"/>
      <c r="M166" s="5"/>
      <c r="N166" s="5"/>
    </row>
    <row r="167">
      <c r="A167" s="2"/>
      <c r="B167" s="3"/>
      <c r="C167" s="3"/>
      <c r="D167" s="3"/>
      <c r="E167" s="4"/>
      <c r="F167" s="3"/>
      <c r="G167" s="5"/>
      <c r="H167" s="3"/>
      <c r="I167" s="5"/>
      <c r="J167" s="3"/>
      <c r="K167" s="5"/>
      <c r="L167" s="3"/>
      <c r="M167" s="5"/>
      <c r="N167" s="5"/>
    </row>
    <row r="168">
      <c r="A168" s="2"/>
      <c r="B168" s="3"/>
      <c r="C168" s="3"/>
      <c r="D168" s="3"/>
      <c r="E168" s="4"/>
      <c r="F168" s="3"/>
      <c r="G168" s="5"/>
      <c r="H168" s="3"/>
      <c r="I168" s="5"/>
      <c r="J168" s="3"/>
      <c r="K168" s="5"/>
      <c r="L168" s="3"/>
      <c r="M168" s="5"/>
      <c r="N168" s="5"/>
    </row>
    <row r="169">
      <c r="A169" s="2"/>
      <c r="B169" s="3"/>
      <c r="C169" s="3"/>
      <c r="D169" s="3"/>
      <c r="E169" s="4"/>
      <c r="F169" s="3"/>
      <c r="G169" s="5"/>
      <c r="H169" s="3"/>
      <c r="I169" s="5"/>
      <c r="J169" s="3"/>
      <c r="K169" s="5"/>
      <c r="L169" s="3"/>
      <c r="M169" s="5"/>
      <c r="N169" s="5"/>
    </row>
    <row r="170">
      <c r="A170" s="2"/>
      <c r="B170" s="3"/>
      <c r="C170" s="3"/>
      <c r="D170" s="3"/>
      <c r="E170" s="4"/>
      <c r="F170" s="3"/>
      <c r="G170" s="5"/>
      <c r="H170" s="3"/>
      <c r="I170" s="5"/>
      <c r="J170" s="3"/>
      <c r="K170" s="5"/>
      <c r="L170" s="3"/>
      <c r="M170" s="5"/>
      <c r="N170" s="5"/>
    </row>
    <row r="171">
      <c r="A171" s="2"/>
      <c r="B171" s="3"/>
      <c r="C171" s="3"/>
      <c r="D171" s="3"/>
      <c r="E171" s="4"/>
      <c r="F171" s="3"/>
      <c r="G171" s="5"/>
      <c r="H171" s="3"/>
      <c r="I171" s="5"/>
      <c r="J171" s="3"/>
      <c r="K171" s="5"/>
      <c r="L171" s="3"/>
      <c r="M171" s="5"/>
      <c r="N171" s="5"/>
    </row>
    <row r="172">
      <c r="A172" s="2"/>
      <c r="B172" s="3"/>
      <c r="C172" s="3"/>
      <c r="D172" s="3"/>
      <c r="E172" s="4"/>
      <c r="F172" s="3"/>
      <c r="G172" s="5"/>
      <c r="H172" s="3"/>
      <c r="I172" s="5"/>
      <c r="J172" s="3"/>
      <c r="K172" s="5"/>
      <c r="L172" s="3"/>
      <c r="M172" s="5"/>
      <c r="N172" s="5"/>
    </row>
    <row r="173">
      <c r="A173" s="2"/>
      <c r="B173" s="3"/>
      <c r="C173" s="3"/>
      <c r="D173" s="3"/>
      <c r="E173" s="4"/>
      <c r="F173" s="3"/>
      <c r="G173" s="5"/>
      <c r="H173" s="3"/>
      <c r="I173" s="5"/>
      <c r="J173" s="3"/>
      <c r="K173" s="5"/>
      <c r="L173" s="3"/>
      <c r="M173" s="5"/>
      <c r="N173" s="5"/>
    </row>
    <row r="174">
      <c r="A174" s="2"/>
      <c r="B174" s="3"/>
      <c r="C174" s="3"/>
      <c r="D174" s="3"/>
      <c r="E174" s="4"/>
      <c r="F174" s="3"/>
      <c r="G174" s="5"/>
      <c r="H174" s="3"/>
      <c r="I174" s="5"/>
      <c r="J174" s="3"/>
      <c r="K174" s="5"/>
      <c r="L174" s="3"/>
      <c r="M174" s="5"/>
      <c r="N174" s="5"/>
    </row>
    <row r="175">
      <c r="A175" s="2"/>
      <c r="B175" s="3"/>
      <c r="C175" s="3"/>
      <c r="D175" s="3"/>
      <c r="E175" s="4"/>
      <c r="F175" s="3"/>
      <c r="G175" s="5"/>
      <c r="H175" s="3"/>
      <c r="I175" s="5"/>
      <c r="J175" s="3"/>
      <c r="K175" s="5"/>
      <c r="L175" s="3"/>
      <c r="M175" s="5"/>
      <c r="N175" s="5"/>
    </row>
    <row r="176">
      <c r="A176" s="2"/>
      <c r="B176" s="3"/>
      <c r="C176" s="3"/>
      <c r="D176" s="3"/>
      <c r="E176" s="4"/>
      <c r="F176" s="3"/>
      <c r="G176" s="5"/>
      <c r="H176" s="3"/>
      <c r="I176" s="5"/>
      <c r="J176" s="3"/>
      <c r="K176" s="5"/>
      <c r="L176" s="3"/>
      <c r="M176" s="5"/>
      <c r="N176" s="5"/>
    </row>
    <row r="177">
      <c r="A177" s="2"/>
      <c r="B177" s="3"/>
      <c r="C177" s="3"/>
      <c r="D177" s="3"/>
      <c r="E177" s="4"/>
      <c r="F177" s="3"/>
      <c r="G177" s="5"/>
      <c r="H177" s="3"/>
      <c r="I177" s="5"/>
      <c r="J177" s="3"/>
      <c r="K177" s="5"/>
      <c r="L177" s="3"/>
      <c r="M177" s="5"/>
      <c r="N177" s="5"/>
    </row>
    <row r="178">
      <c r="A178" s="2"/>
      <c r="B178" s="3"/>
      <c r="C178" s="3"/>
      <c r="D178" s="3"/>
      <c r="E178" s="4"/>
      <c r="F178" s="3"/>
      <c r="G178" s="5"/>
      <c r="H178" s="3"/>
      <c r="I178" s="5"/>
      <c r="J178" s="3"/>
      <c r="K178" s="5"/>
      <c r="L178" s="3"/>
      <c r="M178" s="5"/>
      <c r="N178" s="5"/>
    </row>
    <row r="179">
      <c r="A179" s="2"/>
      <c r="B179" s="3"/>
      <c r="C179" s="3"/>
      <c r="D179" s="3"/>
      <c r="E179" s="4"/>
      <c r="F179" s="3"/>
      <c r="G179" s="5"/>
      <c r="H179" s="3"/>
      <c r="I179" s="5"/>
      <c r="J179" s="3"/>
      <c r="K179" s="5"/>
      <c r="L179" s="3"/>
      <c r="M179" s="5"/>
      <c r="N179" s="5"/>
    </row>
    <row r="180">
      <c r="A180" s="2"/>
      <c r="B180" s="3"/>
      <c r="C180" s="3"/>
      <c r="D180" s="3"/>
      <c r="E180" s="4"/>
      <c r="F180" s="3"/>
      <c r="G180" s="5"/>
      <c r="H180" s="3"/>
      <c r="I180" s="5"/>
      <c r="J180" s="3"/>
      <c r="K180" s="5"/>
      <c r="L180" s="3"/>
      <c r="M180" s="5"/>
      <c r="N180" s="5"/>
    </row>
    <row r="181">
      <c r="A181" s="2"/>
      <c r="B181" s="3"/>
      <c r="C181" s="3"/>
      <c r="D181" s="3"/>
      <c r="E181" s="4"/>
      <c r="F181" s="3"/>
      <c r="G181" s="5"/>
      <c r="H181" s="3"/>
      <c r="I181" s="5"/>
      <c r="J181" s="3"/>
      <c r="K181" s="5"/>
      <c r="L181" s="3"/>
      <c r="M181" s="5"/>
      <c r="N181" s="5"/>
    </row>
    <row r="182">
      <c r="A182" s="2"/>
      <c r="B182" s="3"/>
      <c r="C182" s="3"/>
      <c r="D182" s="3"/>
      <c r="E182" s="4"/>
      <c r="F182" s="3"/>
      <c r="G182" s="5"/>
      <c r="H182" s="3"/>
      <c r="I182" s="5"/>
      <c r="J182" s="3"/>
      <c r="K182" s="5"/>
      <c r="L182" s="3"/>
      <c r="M182" s="5"/>
      <c r="N182" s="5"/>
    </row>
    <row r="183">
      <c r="A183" s="2"/>
      <c r="B183" s="3"/>
      <c r="C183" s="3"/>
      <c r="D183" s="3"/>
      <c r="E183" s="4"/>
      <c r="F183" s="3"/>
      <c r="G183" s="5"/>
      <c r="H183" s="3"/>
      <c r="I183" s="5"/>
      <c r="J183" s="3"/>
      <c r="K183" s="5"/>
      <c r="L183" s="3"/>
      <c r="M183" s="5"/>
      <c r="N183" s="5"/>
    </row>
    <row r="184">
      <c r="A184" s="2"/>
      <c r="B184" s="3"/>
      <c r="C184" s="3"/>
      <c r="D184" s="3"/>
      <c r="E184" s="4"/>
      <c r="F184" s="3"/>
      <c r="G184" s="5"/>
      <c r="H184" s="3"/>
      <c r="I184" s="5"/>
      <c r="J184" s="3"/>
      <c r="K184" s="5"/>
      <c r="L184" s="3"/>
      <c r="M184" s="5"/>
      <c r="N184" s="5"/>
    </row>
    <row r="185">
      <c r="A185" s="2"/>
      <c r="B185" s="3"/>
      <c r="C185" s="3"/>
      <c r="D185" s="3"/>
      <c r="E185" s="4"/>
      <c r="F185" s="3"/>
      <c r="G185" s="5"/>
      <c r="H185" s="3"/>
      <c r="I185" s="5"/>
      <c r="J185" s="3"/>
      <c r="K185" s="5"/>
      <c r="L185" s="3"/>
      <c r="M185" s="5"/>
      <c r="N185" s="5"/>
    </row>
    <row r="186">
      <c r="A186" s="2"/>
      <c r="B186" s="3"/>
      <c r="C186" s="3"/>
      <c r="D186" s="3"/>
      <c r="E186" s="4"/>
      <c r="F186" s="3"/>
      <c r="G186" s="5"/>
      <c r="H186" s="3"/>
      <c r="I186" s="5"/>
      <c r="J186" s="3"/>
      <c r="K186" s="5"/>
      <c r="L186" s="3"/>
      <c r="M186" s="5"/>
      <c r="N186" s="5"/>
    </row>
    <row r="187">
      <c r="A187" s="2"/>
      <c r="B187" s="3"/>
      <c r="C187" s="3"/>
      <c r="D187" s="3"/>
      <c r="E187" s="4"/>
      <c r="F187" s="3"/>
      <c r="G187" s="5"/>
      <c r="H187" s="3"/>
      <c r="I187" s="5"/>
      <c r="J187" s="3"/>
      <c r="K187" s="5"/>
      <c r="L187" s="3"/>
      <c r="M187" s="5"/>
      <c r="N187" s="5"/>
    </row>
    <row r="188">
      <c r="A188" s="2"/>
      <c r="B188" s="3"/>
      <c r="C188" s="3"/>
      <c r="D188" s="3"/>
      <c r="E188" s="4"/>
      <c r="F188" s="3"/>
      <c r="G188" s="5"/>
      <c r="H188" s="3"/>
      <c r="I188" s="5"/>
      <c r="J188" s="3"/>
      <c r="K188" s="5"/>
      <c r="L188" s="3"/>
      <c r="M188" s="5"/>
      <c r="N188" s="5"/>
    </row>
    <row r="189">
      <c r="A189" s="2"/>
      <c r="B189" s="3"/>
      <c r="C189" s="3"/>
      <c r="D189" s="3"/>
      <c r="E189" s="4"/>
      <c r="F189" s="3"/>
      <c r="G189" s="5"/>
      <c r="H189" s="3"/>
      <c r="I189" s="5"/>
      <c r="J189" s="3"/>
      <c r="K189" s="5"/>
      <c r="L189" s="3"/>
      <c r="M189" s="5"/>
      <c r="N189" s="5"/>
    </row>
    <row r="190">
      <c r="A190" s="2"/>
      <c r="B190" s="3"/>
      <c r="C190" s="3"/>
      <c r="D190" s="3"/>
      <c r="E190" s="4"/>
      <c r="F190" s="3"/>
      <c r="G190" s="5"/>
      <c r="H190" s="3"/>
      <c r="I190" s="5"/>
      <c r="J190" s="3"/>
      <c r="K190" s="5"/>
      <c r="L190" s="3"/>
      <c r="M190" s="5"/>
      <c r="N190" s="5"/>
    </row>
    <row r="191">
      <c r="A191" s="2"/>
      <c r="B191" s="3"/>
      <c r="C191" s="3"/>
      <c r="D191" s="3"/>
      <c r="E191" s="4"/>
      <c r="F191" s="3"/>
      <c r="G191" s="5"/>
      <c r="H191" s="3"/>
      <c r="I191" s="5"/>
      <c r="J191" s="3"/>
      <c r="K191" s="5"/>
      <c r="L191" s="3"/>
      <c r="M191" s="5"/>
      <c r="N191" s="5"/>
    </row>
    <row r="192">
      <c r="A192" s="2"/>
      <c r="B192" s="3"/>
      <c r="C192" s="3"/>
      <c r="D192" s="3"/>
      <c r="E192" s="4"/>
      <c r="F192" s="3"/>
      <c r="G192" s="5"/>
      <c r="H192" s="3"/>
      <c r="I192" s="5"/>
      <c r="J192" s="3"/>
      <c r="K192" s="5"/>
      <c r="L192" s="3"/>
      <c r="M192" s="5"/>
      <c r="N192" s="5"/>
    </row>
    <row r="193">
      <c r="A193" s="2"/>
      <c r="B193" s="3"/>
      <c r="C193" s="3"/>
      <c r="D193" s="3"/>
      <c r="E193" s="4"/>
      <c r="F193" s="3"/>
      <c r="G193" s="5"/>
      <c r="H193" s="3"/>
      <c r="I193" s="5"/>
      <c r="J193" s="3"/>
      <c r="K193" s="5"/>
      <c r="L193" s="3"/>
      <c r="M193" s="5"/>
      <c r="N193" s="5"/>
    </row>
    <row r="194">
      <c r="A194" s="2"/>
      <c r="B194" s="3"/>
      <c r="C194" s="3"/>
      <c r="D194" s="3"/>
      <c r="E194" s="4"/>
      <c r="F194" s="3"/>
      <c r="G194" s="5"/>
      <c r="H194" s="3"/>
      <c r="I194" s="5"/>
      <c r="J194" s="3"/>
      <c r="K194" s="5"/>
      <c r="L194" s="3"/>
      <c r="M194" s="5"/>
      <c r="N194" s="5"/>
    </row>
    <row r="195">
      <c r="A195" s="2"/>
      <c r="B195" s="3"/>
      <c r="C195" s="3"/>
      <c r="D195" s="3"/>
      <c r="E195" s="4"/>
      <c r="F195" s="3"/>
      <c r="G195" s="5"/>
      <c r="H195" s="3"/>
      <c r="I195" s="5"/>
      <c r="J195" s="3"/>
      <c r="K195" s="5"/>
      <c r="L195" s="3"/>
      <c r="M195" s="5"/>
      <c r="N195" s="5"/>
    </row>
    <row r="196">
      <c r="A196" s="2"/>
      <c r="B196" s="3"/>
      <c r="C196" s="3"/>
      <c r="D196" s="3"/>
      <c r="E196" s="4"/>
      <c r="F196" s="3"/>
      <c r="G196" s="5"/>
      <c r="H196" s="3"/>
      <c r="I196" s="5"/>
      <c r="J196" s="3"/>
      <c r="K196" s="5"/>
      <c r="L196" s="3"/>
      <c r="M196" s="5"/>
      <c r="N196" s="5"/>
    </row>
    <row r="197">
      <c r="A197" s="2"/>
      <c r="B197" s="3"/>
      <c r="C197" s="3"/>
      <c r="D197" s="3"/>
      <c r="E197" s="4"/>
      <c r="F197" s="3"/>
      <c r="G197" s="5"/>
      <c r="H197" s="3"/>
      <c r="I197" s="5"/>
      <c r="J197" s="3"/>
      <c r="K197" s="5"/>
      <c r="L197" s="3"/>
      <c r="M197" s="5"/>
      <c r="N197" s="5"/>
    </row>
    <row r="198">
      <c r="A198" s="2"/>
      <c r="B198" s="3"/>
      <c r="C198" s="3"/>
      <c r="D198" s="3"/>
      <c r="E198" s="4"/>
      <c r="F198" s="3"/>
      <c r="G198" s="5"/>
      <c r="H198" s="3"/>
      <c r="I198" s="5"/>
      <c r="J198" s="3"/>
      <c r="K198" s="5"/>
      <c r="L198" s="3"/>
      <c r="M198" s="5"/>
      <c r="N198" s="5"/>
    </row>
    <row r="199">
      <c r="A199" s="2"/>
      <c r="B199" s="3"/>
      <c r="C199" s="3"/>
      <c r="D199" s="3"/>
      <c r="E199" s="4"/>
      <c r="F199" s="3"/>
      <c r="G199" s="5"/>
      <c r="H199" s="3"/>
      <c r="I199" s="5"/>
      <c r="J199" s="3"/>
      <c r="K199" s="5"/>
      <c r="L199" s="3"/>
      <c r="M199" s="5"/>
      <c r="N199" s="5"/>
    </row>
    <row r="200">
      <c r="A200" s="2"/>
      <c r="B200" s="3"/>
      <c r="C200" s="3"/>
      <c r="D200" s="3"/>
      <c r="E200" s="4"/>
      <c r="F200" s="3"/>
      <c r="G200" s="5"/>
      <c r="H200" s="3"/>
      <c r="I200" s="5"/>
      <c r="J200" s="3"/>
      <c r="K200" s="5"/>
      <c r="L200" s="3"/>
      <c r="M200" s="5"/>
      <c r="N200" s="5"/>
    </row>
    <row r="201">
      <c r="A201" s="2"/>
      <c r="B201" s="3"/>
      <c r="C201" s="3"/>
      <c r="D201" s="3"/>
      <c r="E201" s="4"/>
      <c r="F201" s="3"/>
      <c r="G201" s="5"/>
      <c r="H201" s="3"/>
      <c r="I201" s="5"/>
      <c r="J201" s="3"/>
      <c r="K201" s="5"/>
      <c r="L201" s="3"/>
      <c r="M201" s="5"/>
      <c r="N201" s="5"/>
    </row>
    <row r="202">
      <c r="A202" s="2"/>
      <c r="B202" s="3"/>
      <c r="C202" s="3"/>
      <c r="D202" s="3"/>
      <c r="E202" s="4"/>
      <c r="F202" s="3"/>
      <c r="G202" s="5"/>
      <c r="H202" s="3"/>
      <c r="I202" s="5"/>
      <c r="J202" s="3"/>
      <c r="K202" s="5"/>
      <c r="L202" s="3"/>
      <c r="M202" s="5"/>
      <c r="N202" s="5"/>
    </row>
    <row r="203">
      <c r="A203" s="2"/>
      <c r="B203" s="3"/>
      <c r="C203" s="3"/>
      <c r="D203" s="3"/>
      <c r="E203" s="4"/>
      <c r="F203" s="3"/>
      <c r="G203" s="5"/>
      <c r="H203" s="3"/>
      <c r="I203" s="5"/>
      <c r="J203" s="3"/>
      <c r="K203" s="5"/>
      <c r="L203" s="3"/>
      <c r="M203" s="5"/>
      <c r="N203" s="5"/>
    </row>
    <row r="204">
      <c r="A204" s="2"/>
      <c r="B204" s="3"/>
      <c r="C204" s="3"/>
      <c r="D204" s="3"/>
      <c r="E204" s="4"/>
      <c r="F204" s="3"/>
      <c r="G204" s="5"/>
      <c r="H204" s="3"/>
      <c r="I204" s="5"/>
      <c r="J204" s="3"/>
      <c r="K204" s="5"/>
      <c r="L204" s="3"/>
      <c r="M204" s="5"/>
      <c r="N204" s="5"/>
    </row>
    <row r="205">
      <c r="A205" s="2"/>
      <c r="B205" s="3"/>
      <c r="C205" s="3"/>
      <c r="D205" s="3"/>
      <c r="E205" s="4"/>
      <c r="F205" s="3"/>
      <c r="G205" s="5"/>
      <c r="H205" s="3"/>
      <c r="I205" s="5"/>
      <c r="J205" s="3"/>
      <c r="K205" s="5"/>
      <c r="L205" s="3"/>
      <c r="M205" s="5"/>
      <c r="N205" s="5"/>
    </row>
    <row r="206">
      <c r="A206" s="2"/>
      <c r="B206" s="3"/>
      <c r="C206" s="3"/>
      <c r="D206" s="3"/>
      <c r="E206" s="4"/>
      <c r="F206" s="3"/>
      <c r="G206" s="5"/>
      <c r="H206" s="3"/>
      <c r="I206" s="5"/>
      <c r="J206" s="3"/>
      <c r="K206" s="5"/>
      <c r="L206" s="3"/>
      <c r="M206" s="5"/>
      <c r="N206" s="5"/>
    </row>
    <row r="207">
      <c r="A207" s="2"/>
      <c r="B207" s="3"/>
      <c r="C207" s="3"/>
      <c r="D207" s="3"/>
      <c r="E207" s="4"/>
      <c r="F207" s="3"/>
      <c r="G207" s="5"/>
      <c r="H207" s="3"/>
      <c r="I207" s="5"/>
      <c r="J207" s="3"/>
      <c r="K207" s="5"/>
      <c r="L207" s="3"/>
      <c r="M207" s="5"/>
      <c r="N207" s="5"/>
    </row>
    <row r="208">
      <c r="A208" s="2"/>
      <c r="B208" s="3"/>
      <c r="C208" s="3"/>
      <c r="D208" s="3"/>
      <c r="E208" s="4"/>
      <c r="F208" s="3"/>
      <c r="G208" s="5"/>
      <c r="H208" s="3"/>
      <c r="I208" s="5"/>
      <c r="J208" s="3"/>
      <c r="K208" s="5"/>
      <c r="L208" s="3"/>
      <c r="M208" s="5"/>
      <c r="N208" s="5"/>
    </row>
    <row r="209">
      <c r="A209" s="2"/>
      <c r="B209" s="3"/>
      <c r="C209" s="3"/>
      <c r="D209" s="3"/>
      <c r="E209" s="4"/>
      <c r="F209" s="3"/>
      <c r="G209" s="5"/>
      <c r="H209" s="3"/>
      <c r="I209" s="5"/>
      <c r="J209" s="3"/>
      <c r="K209" s="5"/>
      <c r="L209" s="3"/>
      <c r="M209" s="5"/>
      <c r="N209" s="5"/>
    </row>
    <row r="210">
      <c r="A210" s="2"/>
      <c r="B210" s="3"/>
      <c r="C210" s="3"/>
      <c r="D210" s="3"/>
      <c r="E210" s="4"/>
      <c r="F210" s="3"/>
      <c r="G210" s="5"/>
      <c r="H210" s="3"/>
      <c r="I210" s="5"/>
      <c r="J210" s="3"/>
      <c r="K210" s="5"/>
      <c r="L210" s="3"/>
      <c r="M210" s="5"/>
      <c r="N210" s="5"/>
    </row>
    <row r="211">
      <c r="A211" s="2"/>
      <c r="B211" s="3"/>
      <c r="C211" s="3"/>
      <c r="D211" s="3"/>
      <c r="E211" s="4"/>
      <c r="F211" s="3"/>
      <c r="G211" s="5"/>
      <c r="H211" s="3"/>
      <c r="I211" s="5"/>
      <c r="J211" s="3"/>
      <c r="K211" s="5"/>
      <c r="L211" s="3"/>
      <c r="M211" s="5"/>
      <c r="N211" s="5"/>
    </row>
    <row r="212">
      <c r="A212" s="2"/>
      <c r="B212" s="3"/>
      <c r="C212" s="3"/>
      <c r="D212" s="3"/>
      <c r="E212" s="4"/>
      <c r="F212" s="3"/>
      <c r="G212" s="5"/>
      <c r="H212" s="3"/>
      <c r="I212" s="5"/>
      <c r="J212" s="3"/>
      <c r="K212" s="5"/>
      <c r="L212" s="3"/>
      <c r="M212" s="5"/>
      <c r="N212" s="5"/>
    </row>
    <row r="213">
      <c r="A213" s="2"/>
      <c r="B213" s="3"/>
      <c r="C213" s="3"/>
      <c r="D213" s="3"/>
      <c r="E213" s="4"/>
      <c r="F213" s="3"/>
      <c r="G213" s="5"/>
      <c r="H213" s="3"/>
      <c r="I213" s="5"/>
      <c r="J213" s="3"/>
      <c r="K213" s="5"/>
      <c r="L213" s="3"/>
      <c r="M213" s="5"/>
      <c r="N213" s="5"/>
    </row>
    <row r="214">
      <c r="A214" s="2"/>
      <c r="B214" s="3"/>
      <c r="C214" s="3"/>
      <c r="D214" s="3"/>
      <c r="E214" s="4"/>
      <c r="F214" s="3"/>
      <c r="G214" s="5"/>
      <c r="H214" s="3"/>
      <c r="I214" s="5"/>
      <c r="J214" s="3"/>
      <c r="K214" s="5"/>
      <c r="L214" s="3"/>
      <c r="M214" s="5"/>
      <c r="N214" s="5"/>
    </row>
    <row r="215">
      <c r="A215" s="2"/>
      <c r="B215" s="3"/>
      <c r="C215" s="3"/>
      <c r="D215" s="3"/>
      <c r="E215" s="4"/>
      <c r="F215" s="3"/>
      <c r="G215" s="5"/>
      <c r="H215" s="3"/>
      <c r="I215" s="5"/>
      <c r="J215" s="3"/>
      <c r="K215" s="5"/>
      <c r="L215" s="3"/>
      <c r="M215" s="5"/>
      <c r="N215" s="5"/>
    </row>
    <row r="216">
      <c r="A216" s="2"/>
      <c r="B216" s="3"/>
      <c r="C216" s="3"/>
      <c r="D216" s="3"/>
      <c r="E216" s="4"/>
      <c r="F216" s="3"/>
      <c r="G216" s="5"/>
      <c r="H216" s="3"/>
      <c r="I216" s="5"/>
      <c r="J216" s="3"/>
      <c r="K216" s="5"/>
      <c r="L216" s="3"/>
      <c r="M216" s="5"/>
      <c r="N216" s="5"/>
    </row>
    <row r="217">
      <c r="A217" s="2"/>
      <c r="B217" s="3"/>
      <c r="C217" s="3"/>
      <c r="D217" s="3"/>
      <c r="E217" s="4"/>
      <c r="F217" s="3"/>
      <c r="G217" s="5"/>
      <c r="H217" s="3"/>
      <c r="I217" s="5"/>
      <c r="J217" s="3"/>
      <c r="K217" s="5"/>
      <c r="L217" s="3"/>
      <c r="M217" s="5"/>
      <c r="N217" s="5"/>
    </row>
    <row r="218">
      <c r="A218" s="2"/>
      <c r="B218" s="3"/>
      <c r="C218" s="3"/>
      <c r="D218" s="3"/>
      <c r="E218" s="4"/>
      <c r="F218" s="3"/>
      <c r="G218" s="5"/>
      <c r="H218" s="3"/>
      <c r="I218" s="5"/>
      <c r="J218" s="3"/>
      <c r="K218" s="5"/>
      <c r="L218" s="3"/>
      <c r="M218" s="5"/>
      <c r="N218" s="5"/>
    </row>
    <row r="219">
      <c r="A219" s="2"/>
      <c r="B219" s="3"/>
      <c r="C219" s="3"/>
      <c r="D219" s="3"/>
      <c r="E219" s="4"/>
      <c r="F219" s="3"/>
      <c r="G219" s="5"/>
      <c r="H219" s="3"/>
      <c r="I219" s="5"/>
      <c r="J219" s="3"/>
      <c r="K219" s="5"/>
      <c r="L219" s="3"/>
      <c r="M219" s="5"/>
      <c r="N219" s="5"/>
    </row>
    <row r="220">
      <c r="A220" s="2"/>
      <c r="B220" s="3"/>
      <c r="C220" s="3"/>
      <c r="D220" s="3"/>
      <c r="E220" s="4"/>
      <c r="F220" s="3"/>
      <c r="G220" s="5"/>
      <c r="H220" s="3"/>
      <c r="I220" s="5"/>
      <c r="J220" s="3"/>
      <c r="K220" s="5"/>
      <c r="L220" s="3"/>
      <c r="M220" s="5"/>
      <c r="N220" s="5"/>
    </row>
    <row r="221">
      <c r="A221" s="2"/>
      <c r="B221" s="3"/>
      <c r="C221" s="3"/>
      <c r="D221" s="3"/>
      <c r="E221" s="4"/>
      <c r="F221" s="3"/>
      <c r="G221" s="5"/>
      <c r="H221" s="3"/>
      <c r="I221" s="5"/>
      <c r="J221" s="3"/>
      <c r="K221" s="5"/>
      <c r="L221" s="3"/>
      <c r="M221" s="5"/>
      <c r="N221" s="5"/>
    </row>
    <row r="222">
      <c r="A222" s="2"/>
      <c r="B222" s="3"/>
      <c r="C222" s="3"/>
      <c r="D222" s="3"/>
      <c r="E222" s="4"/>
      <c r="F222" s="3"/>
      <c r="G222" s="5"/>
      <c r="H222" s="3"/>
      <c r="I222" s="5"/>
      <c r="J222" s="3"/>
      <c r="K222" s="5"/>
      <c r="L222" s="3"/>
      <c r="M222" s="5"/>
      <c r="N222" s="5"/>
    </row>
    <row r="223">
      <c r="A223" s="2"/>
      <c r="B223" s="3"/>
      <c r="C223" s="3"/>
      <c r="D223" s="3"/>
      <c r="E223" s="4"/>
      <c r="F223" s="3"/>
      <c r="G223" s="5"/>
      <c r="H223" s="3"/>
      <c r="I223" s="5"/>
      <c r="J223" s="3"/>
      <c r="K223" s="5"/>
      <c r="L223" s="3"/>
      <c r="M223" s="5"/>
      <c r="N223" s="5"/>
    </row>
    <row r="224">
      <c r="A224" s="2"/>
      <c r="B224" s="3"/>
      <c r="C224" s="3"/>
      <c r="D224" s="3"/>
      <c r="E224" s="4"/>
      <c r="F224" s="3"/>
      <c r="G224" s="5"/>
      <c r="H224" s="3"/>
      <c r="I224" s="5"/>
      <c r="J224" s="3"/>
      <c r="K224" s="5"/>
      <c r="L224" s="3"/>
      <c r="M224" s="5"/>
      <c r="N224" s="5"/>
    </row>
    <row r="225">
      <c r="A225" s="2"/>
      <c r="B225" s="3"/>
      <c r="C225" s="3"/>
      <c r="D225" s="3"/>
      <c r="E225" s="4"/>
      <c r="F225" s="3"/>
      <c r="G225" s="5"/>
      <c r="H225" s="3"/>
      <c r="I225" s="5"/>
      <c r="J225" s="3"/>
      <c r="K225" s="5"/>
      <c r="L225" s="3"/>
      <c r="M225" s="5"/>
      <c r="N225" s="5"/>
    </row>
    <row r="226">
      <c r="A226" s="2"/>
      <c r="B226" s="3"/>
      <c r="C226" s="3"/>
      <c r="D226" s="3"/>
      <c r="E226" s="4"/>
      <c r="F226" s="3"/>
      <c r="G226" s="5"/>
      <c r="H226" s="3"/>
      <c r="I226" s="5"/>
      <c r="J226" s="3"/>
      <c r="K226" s="5"/>
      <c r="L226" s="3"/>
      <c r="M226" s="5"/>
      <c r="N226" s="5"/>
    </row>
    <row r="227">
      <c r="A227" s="2"/>
      <c r="B227" s="3"/>
      <c r="C227" s="3"/>
      <c r="D227" s="3"/>
      <c r="E227" s="4"/>
      <c r="F227" s="3"/>
      <c r="G227" s="5"/>
      <c r="H227" s="3"/>
      <c r="I227" s="5"/>
      <c r="J227" s="3"/>
      <c r="K227" s="5"/>
      <c r="L227" s="3"/>
      <c r="M227" s="5"/>
      <c r="N227" s="5"/>
    </row>
    <row r="228">
      <c r="A228" s="2"/>
      <c r="B228" s="3"/>
      <c r="C228" s="3"/>
      <c r="D228" s="3"/>
      <c r="E228" s="4"/>
      <c r="F228" s="3"/>
      <c r="G228" s="5"/>
      <c r="H228" s="3"/>
      <c r="I228" s="5"/>
      <c r="J228" s="3"/>
      <c r="K228" s="5"/>
      <c r="L228" s="3"/>
      <c r="M228" s="5"/>
      <c r="N228" s="5"/>
    </row>
    <row r="229">
      <c r="A229" s="2"/>
      <c r="B229" s="3"/>
      <c r="C229" s="3"/>
      <c r="D229" s="3"/>
      <c r="E229" s="4"/>
      <c r="F229" s="3"/>
      <c r="G229" s="5"/>
      <c r="H229" s="3"/>
      <c r="I229" s="5"/>
      <c r="J229" s="3"/>
      <c r="K229" s="5"/>
      <c r="L229" s="3"/>
      <c r="M229" s="5"/>
      <c r="N229" s="5"/>
    </row>
    <row r="230">
      <c r="A230" s="2"/>
      <c r="B230" s="3"/>
      <c r="C230" s="3"/>
      <c r="D230" s="3"/>
      <c r="E230" s="4"/>
      <c r="F230" s="3"/>
      <c r="G230" s="5"/>
      <c r="H230" s="3"/>
      <c r="I230" s="5"/>
      <c r="J230" s="3"/>
      <c r="K230" s="5"/>
      <c r="L230" s="3"/>
      <c r="M230" s="5"/>
      <c r="N230" s="5"/>
    </row>
    <row r="231">
      <c r="A231" s="2"/>
      <c r="B231" s="3"/>
      <c r="C231" s="3"/>
      <c r="D231" s="3"/>
      <c r="E231" s="4"/>
      <c r="F231" s="3"/>
      <c r="G231" s="5"/>
      <c r="H231" s="3"/>
      <c r="I231" s="5"/>
      <c r="J231" s="3"/>
      <c r="K231" s="5"/>
      <c r="L231" s="3"/>
      <c r="M231" s="5"/>
      <c r="N231" s="5"/>
    </row>
    <row r="232">
      <c r="A232" s="2"/>
      <c r="B232" s="3"/>
      <c r="C232" s="3"/>
      <c r="D232" s="3"/>
      <c r="E232" s="4"/>
      <c r="F232" s="3"/>
      <c r="G232" s="5"/>
      <c r="H232" s="3"/>
      <c r="I232" s="5"/>
      <c r="J232" s="3"/>
      <c r="K232" s="5"/>
      <c r="L232" s="3"/>
      <c r="M232" s="5"/>
      <c r="N232" s="5"/>
    </row>
    <row r="233">
      <c r="A233" s="2"/>
      <c r="B233" s="3"/>
      <c r="C233" s="3"/>
      <c r="D233" s="3"/>
      <c r="E233" s="4"/>
      <c r="F233" s="3"/>
      <c r="G233" s="5"/>
      <c r="H233" s="3"/>
      <c r="I233" s="5"/>
      <c r="J233" s="3"/>
      <c r="K233" s="5"/>
      <c r="L233" s="3"/>
      <c r="M233" s="5"/>
      <c r="N233" s="5"/>
    </row>
    <row r="234">
      <c r="A234" s="2"/>
      <c r="B234" s="3"/>
      <c r="C234" s="3"/>
      <c r="D234" s="3"/>
      <c r="E234" s="4"/>
      <c r="F234" s="3"/>
      <c r="G234" s="5"/>
      <c r="H234" s="3"/>
      <c r="I234" s="5"/>
      <c r="J234" s="3"/>
      <c r="K234" s="5"/>
      <c r="L234" s="3"/>
      <c r="M234" s="5"/>
      <c r="N234" s="5"/>
    </row>
    <row r="235">
      <c r="A235" s="2"/>
      <c r="B235" s="3"/>
      <c r="C235" s="3"/>
      <c r="D235" s="3"/>
      <c r="E235" s="4"/>
      <c r="F235" s="3"/>
      <c r="G235" s="5"/>
      <c r="H235" s="3"/>
      <c r="I235" s="5"/>
      <c r="J235" s="3"/>
      <c r="K235" s="5"/>
      <c r="L235" s="3"/>
      <c r="M235" s="5"/>
      <c r="N235" s="5"/>
    </row>
    <row r="236">
      <c r="A236" s="2"/>
      <c r="B236" s="3"/>
      <c r="C236" s="3"/>
      <c r="D236" s="3"/>
      <c r="E236" s="4"/>
      <c r="F236" s="3"/>
      <c r="G236" s="5"/>
      <c r="H236" s="3"/>
      <c r="I236" s="5"/>
      <c r="J236" s="3"/>
      <c r="K236" s="5"/>
      <c r="L236" s="3"/>
      <c r="M236" s="5"/>
      <c r="N236" s="5"/>
    </row>
    <row r="237">
      <c r="A237" s="2"/>
      <c r="B237" s="3"/>
      <c r="C237" s="3"/>
      <c r="D237" s="3"/>
      <c r="E237" s="4"/>
      <c r="F237" s="3"/>
      <c r="G237" s="5"/>
      <c r="H237" s="3"/>
      <c r="I237" s="5"/>
      <c r="J237" s="3"/>
      <c r="K237" s="5"/>
      <c r="L237" s="3"/>
      <c r="M237" s="5"/>
      <c r="N237" s="5"/>
    </row>
    <row r="238">
      <c r="A238" s="2"/>
      <c r="B238" s="3"/>
      <c r="C238" s="3"/>
      <c r="D238" s="3"/>
      <c r="E238" s="4"/>
      <c r="F238" s="3"/>
      <c r="G238" s="5"/>
      <c r="H238" s="3"/>
      <c r="I238" s="5"/>
      <c r="J238" s="3"/>
      <c r="K238" s="5"/>
      <c r="L238" s="3"/>
      <c r="M238" s="5"/>
      <c r="N238" s="5"/>
    </row>
    <row r="239">
      <c r="A239" s="2"/>
      <c r="B239" s="3"/>
      <c r="C239" s="3"/>
      <c r="D239" s="3"/>
      <c r="E239" s="4"/>
      <c r="F239" s="3"/>
      <c r="G239" s="5"/>
      <c r="H239" s="3"/>
      <c r="I239" s="5"/>
      <c r="J239" s="3"/>
      <c r="K239" s="5"/>
      <c r="L239" s="3"/>
      <c r="M239" s="5"/>
      <c r="N239" s="5"/>
    </row>
    <row r="240">
      <c r="A240" s="2"/>
      <c r="B240" s="3"/>
      <c r="C240" s="3"/>
      <c r="D240" s="3"/>
      <c r="E240" s="4"/>
      <c r="F240" s="3"/>
      <c r="G240" s="5"/>
      <c r="H240" s="3"/>
      <c r="I240" s="5"/>
      <c r="J240" s="3"/>
      <c r="K240" s="5"/>
      <c r="L240" s="3"/>
      <c r="M240" s="5"/>
      <c r="N240" s="5"/>
    </row>
    <row r="241">
      <c r="A241" s="2"/>
      <c r="B241" s="3"/>
      <c r="C241" s="3"/>
      <c r="D241" s="3"/>
      <c r="E241" s="4"/>
      <c r="F241" s="3"/>
      <c r="G241" s="5"/>
      <c r="H241" s="3"/>
      <c r="I241" s="5"/>
      <c r="J241" s="3"/>
      <c r="K241" s="5"/>
      <c r="L241" s="3"/>
      <c r="M241" s="5"/>
      <c r="N241" s="5"/>
    </row>
    <row r="242">
      <c r="A242" s="2"/>
      <c r="B242" s="3"/>
      <c r="C242" s="3"/>
      <c r="D242" s="3"/>
      <c r="E242" s="4"/>
      <c r="F242" s="3"/>
      <c r="G242" s="5"/>
      <c r="H242" s="3"/>
      <c r="I242" s="5"/>
      <c r="J242" s="3"/>
      <c r="K242" s="5"/>
      <c r="L242" s="3"/>
      <c r="M242" s="5"/>
      <c r="N242" s="5"/>
    </row>
    <row r="243">
      <c r="A243" s="2"/>
      <c r="B243" s="3"/>
      <c r="C243" s="3"/>
      <c r="D243" s="3"/>
      <c r="E243" s="4"/>
      <c r="F243" s="3"/>
      <c r="G243" s="5"/>
      <c r="H243" s="3"/>
      <c r="I243" s="5"/>
      <c r="J243" s="3"/>
      <c r="K243" s="5"/>
      <c r="L243" s="3"/>
      <c r="M243" s="5"/>
      <c r="N243" s="5"/>
    </row>
    <row r="244">
      <c r="A244" s="2"/>
      <c r="B244" s="3"/>
      <c r="C244" s="3"/>
      <c r="D244" s="3"/>
      <c r="E244" s="4"/>
      <c r="F244" s="3"/>
      <c r="G244" s="5"/>
      <c r="H244" s="3"/>
      <c r="I244" s="5"/>
      <c r="J244" s="3"/>
      <c r="K244" s="5"/>
      <c r="L244" s="3"/>
      <c r="M244" s="5"/>
      <c r="N244" s="5"/>
    </row>
    <row r="245">
      <c r="A245" s="2"/>
      <c r="B245" s="3"/>
      <c r="C245" s="3"/>
      <c r="D245" s="3"/>
      <c r="E245" s="4"/>
      <c r="F245" s="3"/>
      <c r="G245" s="5"/>
      <c r="H245" s="3"/>
      <c r="I245" s="5"/>
      <c r="J245" s="3"/>
      <c r="K245" s="5"/>
      <c r="L245" s="3"/>
      <c r="M245" s="5"/>
      <c r="N245" s="5"/>
    </row>
    <row r="246">
      <c r="A246" s="2"/>
      <c r="B246" s="3"/>
      <c r="C246" s="3"/>
      <c r="D246" s="3"/>
      <c r="E246" s="4"/>
      <c r="F246" s="3"/>
      <c r="G246" s="5"/>
      <c r="H246" s="3"/>
      <c r="I246" s="5"/>
      <c r="J246" s="3"/>
      <c r="K246" s="5"/>
      <c r="L246" s="3"/>
      <c r="M246" s="5"/>
      <c r="N246" s="5"/>
    </row>
    <row r="247">
      <c r="A247" s="2"/>
      <c r="B247" s="3"/>
      <c r="C247" s="3"/>
      <c r="D247" s="3"/>
      <c r="E247" s="4"/>
      <c r="F247" s="3"/>
      <c r="G247" s="5"/>
      <c r="H247" s="3"/>
      <c r="I247" s="5"/>
      <c r="J247" s="3"/>
      <c r="K247" s="5"/>
      <c r="L247" s="3"/>
      <c r="M247" s="5"/>
      <c r="N247" s="5"/>
    </row>
    <row r="248">
      <c r="A248" s="2"/>
      <c r="B248" s="3"/>
      <c r="C248" s="3"/>
      <c r="D248" s="3"/>
      <c r="E248" s="4"/>
      <c r="F248" s="3"/>
      <c r="G248" s="5"/>
      <c r="H248" s="3"/>
      <c r="I248" s="5"/>
      <c r="J248" s="3"/>
      <c r="K248" s="5"/>
      <c r="L248" s="3"/>
      <c r="M248" s="5"/>
      <c r="N248" s="5"/>
    </row>
    <row r="249">
      <c r="A249" s="2"/>
      <c r="B249" s="3"/>
      <c r="C249" s="3"/>
      <c r="D249" s="3"/>
      <c r="E249" s="4"/>
      <c r="F249" s="3"/>
      <c r="G249" s="5"/>
      <c r="H249" s="3"/>
      <c r="I249" s="5"/>
      <c r="J249" s="3"/>
      <c r="K249" s="5"/>
      <c r="L249" s="3"/>
      <c r="M249" s="5"/>
      <c r="N249" s="5"/>
    </row>
    <row r="250">
      <c r="A250" s="2"/>
      <c r="B250" s="3"/>
      <c r="C250" s="3"/>
      <c r="D250" s="3"/>
      <c r="E250" s="4"/>
      <c r="F250" s="3"/>
      <c r="G250" s="5"/>
      <c r="H250" s="3"/>
      <c r="I250" s="5"/>
      <c r="J250" s="3"/>
      <c r="K250" s="5"/>
      <c r="L250" s="3"/>
      <c r="M250" s="5"/>
      <c r="N250" s="5"/>
    </row>
    <row r="251">
      <c r="A251" s="2"/>
      <c r="B251" s="3"/>
      <c r="C251" s="3"/>
      <c r="D251" s="3"/>
      <c r="E251" s="4"/>
      <c r="F251" s="3"/>
      <c r="G251" s="5"/>
      <c r="H251" s="3"/>
      <c r="I251" s="5"/>
      <c r="J251" s="3"/>
      <c r="K251" s="5"/>
      <c r="L251" s="3"/>
      <c r="M251" s="5"/>
      <c r="N251" s="5"/>
    </row>
    <row r="252">
      <c r="A252" s="2"/>
      <c r="B252" s="3"/>
      <c r="C252" s="3"/>
      <c r="D252" s="3"/>
      <c r="E252" s="4"/>
      <c r="F252" s="3"/>
      <c r="G252" s="5"/>
      <c r="H252" s="3"/>
      <c r="I252" s="5"/>
      <c r="J252" s="3"/>
      <c r="K252" s="5"/>
      <c r="L252" s="3"/>
      <c r="M252" s="5"/>
      <c r="N252" s="5"/>
    </row>
    <row r="253">
      <c r="A253" s="2"/>
      <c r="B253" s="3"/>
      <c r="C253" s="3"/>
      <c r="D253" s="3"/>
      <c r="E253" s="4"/>
      <c r="F253" s="3"/>
      <c r="G253" s="5"/>
      <c r="H253" s="3"/>
      <c r="I253" s="5"/>
      <c r="J253" s="3"/>
      <c r="K253" s="5"/>
      <c r="L253" s="3"/>
      <c r="M253" s="5"/>
      <c r="N253" s="5"/>
    </row>
    <row r="254">
      <c r="A254" s="2"/>
      <c r="B254" s="3"/>
      <c r="C254" s="3"/>
      <c r="D254" s="3"/>
      <c r="E254" s="4"/>
      <c r="F254" s="3"/>
      <c r="G254" s="5"/>
      <c r="H254" s="3"/>
      <c r="I254" s="5"/>
      <c r="J254" s="3"/>
      <c r="K254" s="5"/>
      <c r="L254" s="3"/>
      <c r="M254" s="5"/>
      <c r="N254" s="5"/>
    </row>
    <row r="255">
      <c r="A255" s="2"/>
      <c r="B255" s="3"/>
      <c r="C255" s="3"/>
      <c r="D255" s="3"/>
      <c r="E255" s="4"/>
      <c r="F255" s="3"/>
      <c r="G255" s="5"/>
      <c r="H255" s="3"/>
      <c r="I255" s="5"/>
      <c r="J255" s="3"/>
      <c r="K255" s="5"/>
      <c r="L255" s="3"/>
      <c r="M255" s="5"/>
      <c r="N255" s="5"/>
    </row>
    <row r="256">
      <c r="A256" s="2"/>
      <c r="B256" s="3"/>
      <c r="C256" s="3"/>
      <c r="D256" s="3"/>
      <c r="E256" s="4"/>
      <c r="F256" s="3"/>
      <c r="G256" s="5"/>
      <c r="H256" s="3"/>
      <c r="I256" s="5"/>
      <c r="J256" s="3"/>
      <c r="K256" s="5"/>
      <c r="L256" s="3"/>
      <c r="M256" s="5"/>
      <c r="N256" s="5"/>
    </row>
    <row r="257">
      <c r="A257" s="2"/>
      <c r="B257" s="3"/>
      <c r="C257" s="3"/>
      <c r="D257" s="3"/>
      <c r="E257" s="4"/>
      <c r="F257" s="3"/>
      <c r="G257" s="5"/>
      <c r="H257" s="3"/>
      <c r="I257" s="5"/>
      <c r="J257" s="3"/>
      <c r="K257" s="5"/>
      <c r="L257" s="3"/>
      <c r="M257" s="5"/>
      <c r="N257" s="5"/>
    </row>
    <row r="258">
      <c r="A258" s="2"/>
      <c r="B258" s="3"/>
      <c r="C258" s="3"/>
      <c r="D258" s="3"/>
      <c r="E258" s="4"/>
      <c r="F258" s="3"/>
      <c r="G258" s="5"/>
      <c r="H258" s="3"/>
      <c r="I258" s="5"/>
      <c r="J258" s="3"/>
      <c r="K258" s="5"/>
      <c r="L258" s="3"/>
      <c r="M258" s="5"/>
      <c r="N258" s="5"/>
    </row>
    <row r="259">
      <c r="A259" s="2"/>
      <c r="B259" s="3"/>
      <c r="C259" s="3"/>
      <c r="D259" s="3"/>
      <c r="E259" s="4"/>
      <c r="F259" s="3"/>
      <c r="G259" s="5"/>
      <c r="H259" s="3"/>
      <c r="I259" s="5"/>
      <c r="J259" s="3"/>
      <c r="K259" s="5"/>
      <c r="L259" s="3"/>
      <c r="M259" s="5"/>
      <c r="N259" s="5"/>
    </row>
    <row r="260">
      <c r="A260" s="2"/>
      <c r="B260" s="3"/>
      <c r="C260" s="3"/>
      <c r="D260" s="3"/>
      <c r="E260" s="4"/>
      <c r="F260" s="3"/>
      <c r="G260" s="5"/>
      <c r="H260" s="3"/>
      <c r="I260" s="5"/>
      <c r="J260" s="3"/>
      <c r="K260" s="5"/>
      <c r="L260" s="3"/>
      <c r="M260" s="5"/>
      <c r="N260" s="5"/>
    </row>
    <row r="261">
      <c r="A261" s="2"/>
      <c r="B261" s="3"/>
      <c r="C261" s="3"/>
      <c r="D261" s="3"/>
      <c r="E261" s="4"/>
      <c r="F261" s="3"/>
      <c r="G261" s="5"/>
      <c r="H261" s="3"/>
      <c r="I261" s="5"/>
      <c r="J261" s="3"/>
      <c r="K261" s="5"/>
      <c r="L261" s="3"/>
      <c r="M261" s="5"/>
      <c r="N261" s="5"/>
    </row>
    <row r="262">
      <c r="A262" s="2"/>
      <c r="B262" s="3"/>
      <c r="C262" s="3"/>
      <c r="D262" s="3"/>
      <c r="E262" s="4"/>
      <c r="F262" s="3"/>
      <c r="G262" s="5"/>
      <c r="H262" s="3"/>
      <c r="I262" s="5"/>
      <c r="J262" s="3"/>
      <c r="K262" s="5"/>
      <c r="L262" s="3"/>
      <c r="M262" s="5"/>
      <c r="N262" s="5"/>
    </row>
    <row r="263">
      <c r="A263" s="2"/>
      <c r="B263" s="3"/>
      <c r="C263" s="3"/>
      <c r="D263" s="3"/>
      <c r="E263" s="4"/>
      <c r="F263" s="3"/>
      <c r="G263" s="5"/>
      <c r="H263" s="3"/>
      <c r="I263" s="5"/>
      <c r="J263" s="3"/>
      <c r="K263" s="5"/>
      <c r="L263" s="3"/>
      <c r="M263" s="5"/>
      <c r="N263" s="5"/>
    </row>
    <row r="264">
      <c r="A264" s="2"/>
      <c r="B264" s="3"/>
      <c r="C264" s="3"/>
      <c r="D264" s="3"/>
      <c r="E264" s="4"/>
      <c r="F264" s="3"/>
      <c r="G264" s="5"/>
      <c r="H264" s="3"/>
      <c r="I264" s="5"/>
      <c r="J264" s="3"/>
      <c r="K264" s="5"/>
      <c r="L264" s="3"/>
      <c r="M264" s="5"/>
      <c r="N264" s="5"/>
    </row>
    <row r="265">
      <c r="A265" s="2"/>
      <c r="B265" s="3"/>
      <c r="C265" s="3"/>
      <c r="D265" s="3"/>
      <c r="E265" s="4"/>
      <c r="F265" s="3"/>
      <c r="G265" s="5"/>
      <c r="H265" s="3"/>
      <c r="I265" s="5"/>
      <c r="J265" s="3"/>
      <c r="K265" s="5"/>
      <c r="L265" s="3"/>
      <c r="M265" s="5"/>
      <c r="N265" s="5"/>
    </row>
    <row r="266">
      <c r="A266" s="2"/>
      <c r="B266" s="3"/>
      <c r="C266" s="3"/>
      <c r="D266" s="3"/>
      <c r="E266" s="4"/>
      <c r="F266" s="3"/>
      <c r="G266" s="5"/>
      <c r="H266" s="3"/>
      <c r="I266" s="5"/>
      <c r="J266" s="3"/>
      <c r="K266" s="5"/>
      <c r="L266" s="3"/>
      <c r="M266" s="5"/>
      <c r="N266" s="5"/>
    </row>
    <row r="267">
      <c r="A267" s="2"/>
      <c r="B267" s="3"/>
      <c r="C267" s="3"/>
      <c r="D267" s="3"/>
      <c r="E267" s="4"/>
      <c r="F267" s="3"/>
      <c r="G267" s="5"/>
      <c r="H267" s="3"/>
      <c r="I267" s="5"/>
      <c r="J267" s="3"/>
      <c r="K267" s="5"/>
      <c r="L267" s="3"/>
      <c r="M267" s="5"/>
      <c r="N267" s="5"/>
    </row>
    <row r="268">
      <c r="A268" s="2"/>
      <c r="B268" s="3"/>
      <c r="C268" s="3"/>
      <c r="D268" s="3"/>
      <c r="E268" s="4"/>
      <c r="F268" s="3"/>
      <c r="G268" s="5"/>
      <c r="H268" s="3"/>
      <c r="I268" s="5"/>
      <c r="J268" s="3"/>
      <c r="K268" s="5"/>
      <c r="L268" s="3"/>
      <c r="M268" s="5"/>
      <c r="N268" s="5"/>
    </row>
    <row r="269">
      <c r="A269" s="2"/>
      <c r="B269" s="3"/>
      <c r="C269" s="3"/>
      <c r="D269" s="3"/>
      <c r="E269" s="4"/>
      <c r="F269" s="3"/>
      <c r="G269" s="5"/>
      <c r="H269" s="3"/>
      <c r="I269" s="5"/>
      <c r="J269" s="3"/>
      <c r="K269" s="5"/>
      <c r="L269" s="3"/>
      <c r="M269" s="5"/>
      <c r="N269" s="5"/>
    </row>
    <row r="270">
      <c r="A270" s="2"/>
      <c r="B270" s="3"/>
      <c r="C270" s="3"/>
      <c r="D270" s="3"/>
      <c r="E270" s="4"/>
      <c r="F270" s="3"/>
      <c r="G270" s="5"/>
      <c r="H270" s="3"/>
      <c r="I270" s="5"/>
      <c r="J270" s="3"/>
      <c r="K270" s="5"/>
      <c r="L270" s="3"/>
      <c r="M270" s="5"/>
      <c r="N270" s="5"/>
    </row>
    <row r="271">
      <c r="A271" s="2"/>
      <c r="B271" s="3"/>
      <c r="C271" s="3"/>
      <c r="D271" s="3"/>
      <c r="E271" s="4"/>
      <c r="F271" s="3"/>
      <c r="G271" s="5"/>
      <c r="H271" s="3"/>
      <c r="I271" s="5"/>
      <c r="J271" s="3"/>
      <c r="K271" s="5"/>
      <c r="L271" s="3"/>
      <c r="M271" s="5"/>
      <c r="N271" s="5"/>
    </row>
    <row r="272">
      <c r="A272" s="2"/>
      <c r="B272" s="3"/>
      <c r="C272" s="3"/>
      <c r="D272" s="3"/>
      <c r="E272" s="4"/>
      <c r="F272" s="3"/>
      <c r="G272" s="5"/>
      <c r="H272" s="3"/>
      <c r="I272" s="5"/>
      <c r="J272" s="3"/>
      <c r="K272" s="5"/>
      <c r="L272" s="3"/>
      <c r="M272" s="5"/>
      <c r="N272" s="5"/>
    </row>
    <row r="273">
      <c r="A273" s="2"/>
      <c r="B273" s="3"/>
      <c r="C273" s="3"/>
      <c r="D273" s="3"/>
      <c r="E273" s="4"/>
      <c r="F273" s="3"/>
      <c r="G273" s="5"/>
      <c r="H273" s="3"/>
      <c r="I273" s="5"/>
      <c r="J273" s="3"/>
      <c r="K273" s="5"/>
      <c r="L273" s="3"/>
      <c r="M273" s="5"/>
      <c r="N273" s="5"/>
    </row>
    <row r="274">
      <c r="A274" s="2"/>
      <c r="B274" s="3"/>
      <c r="C274" s="3"/>
      <c r="D274" s="3"/>
      <c r="E274" s="4"/>
      <c r="F274" s="3"/>
      <c r="G274" s="5"/>
      <c r="H274" s="3"/>
      <c r="I274" s="5"/>
      <c r="J274" s="3"/>
      <c r="K274" s="5"/>
      <c r="L274" s="3"/>
      <c r="M274" s="5"/>
      <c r="N274" s="5"/>
    </row>
    <row r="275">
      <c r="A275" s="2"/>
      <c r="B275" s="3"/>
      <c r="C275" s="3"/>
      <c r="D275" s="3"/>
      <c r="E275" s="4"/>
      <c r="F275" s="3"/>
      <c r="G275" s="5"/>
      <c r="H275" s="3"/>
      <c r="I275" s="5"/>
      <c r="J275" s="3"/>
      <c r="K275" s="5"/>
      <c r="L275" s="3"/>
      <c r="M275" s="5"/>
      <c r="N275" s="5"/>
    </row>
    <row r="276">
      <c r="A276" s="2"/>
      <c r="B276" s="3"/>
      <c r="C276" s="3"/>
      <c r="D276" s="3"/>
      <c r="E276" s="4"/>
      <c r="F276" s="3"/>
      <c r="G276" s="5"/>
      <c r="H276" s="3"/>
      <c r="I276" s="5"/>
      <c r="J276" s="3"/>
      <c r="K276" s="5"/>
      <c r="L276" s="3"/>
      <c r="M276" s="5"/>
      <c r="N276" s="5"/>
    </row>
    <row r="277">
      <c r="A277" s="2"/>
      <c r="B277" s="3"/>
      <c r="C277" s="3"/>
      <c r="D277" s="3"/>
      <c r="E277" s="4"/>
      <c r="F277" s="3"/>
      <c r="G277" s="5"/>
      <c r="H277" s="3"/>
      <c r="I277" s="5"/>
      <c r="J277" s="3"/>
      <c r="K277" s="5"/>
      <c r="L277" s="3"/>
      <c r="M277" s="5"/>
      <c r="N277" s="5"/>
    </row>
    <row r="278">
      <c r="A278" s="2"/>
      <c r="B278" s="3"/>
      <c r="C278" s="3"/>
      <c r="D278" s="3"/>
      <c r="E278" s="4"/>
      <c r="F278" s="3"/>
      <c r="G278" s="5"/>
      <c r="H278" s="3"/>
      <c r="I278" s="5"/>
      <c r="J278" s="3"/>
      <c r="K278" s="5"/>
      <c r="L278" s="3"/>
      <c r="M278" s="5"/>
      <c r="N278" s="5"/>
    </row>
    <row r="279">
      <c r="A279" s="2"/>
      <c r="B279" s="3"/>
      <c r="C279" s="3"/>
      <c r="D279" s="3"/>
      <c r="E279" s="4"/>
      <c r="F279" s="3"/>
      <c r="G279" s="5"/>
      <c r="H279" s="3"/>
      <c r="I279" s="5"/>
      <c r="J279" s="3"/>
      <c r="K279" s="5"/>
      <c r="L279" s="3"/>
      <c r="M279" s="5"/>
      <c r="N279" s="5"/>
    </row>
    <row r="280">
      <c r="A280" s="2"/>
      <c r="B280" s="3"/>
      <c r="C280" s="3"/>
      <c r="D280" s="3"/>
      <c r="E280" s="4"/>
      <c r="F280" s="3"/>
      <c r="G280" s="5"/>
      <c r="H280" s="3"/>
      <c r="I280" s="5"/>
      <c r="J280" s="3"/>
      <c r="K280" s="5"/>
      <c r="L280" s="3"/>
      <c r="M280" s="5"/>
      <c r="N280" s="5"/>
    </row>
    <row r="281">
      <c r="A281" s="2"/>
      <c r="B281" s="3"/>
      <c r="C281" s="3"/>
      <c r="D281" s="3"/>
      <c r="E281" s="4"/>
      <c r="F281" s="3"/>
      <c r="G281" s="5"/>
      <c r="H281" s="3"/>
      <c r="I281" s="5"/>
      <c r="J281" s="3"/>
      <c r="K281" s="5"/>
      <c r="L281" s="3"/>
      <c r="M281" s="5"/>
      <c r="N281" s="5"/>
    </row>
    <row r="282">
      <c r="A282" s="2"/>
      <c r="B282" s="3"/>
      <c r="C282" s="3"/>
      <c r="D282" s="3"/>
      <c r="E282" s="4"/>
      <c r="F282" s="3"/>
      <c r="G282" s="5"/>
      <c r="H282" s="3"/>
      <c r="I282" s="5"/>
      <c r="J282" s="3"/>
      <c r="K282" s="5"/>
      <c r="L282" s="3"/>
      <c r="M282" s="5"/>
      <c r="N282" s="5"/>
    </row>
    <row r="283">
      <c r="A283" s="2"/>
      <c r="B283" s="3"/>
      <c r="C283" s="3"/>
      <c r="D283" s="3"/>
      <c r="E283" s="4"/>
      <c r="F283" s="3"/>
      <c r="G283" s="5"/>
      <c r="H283" s="3"/>
      <c r="I283" s="5"/>
      <c r="J283" s="3"/>
      <c r="K283" s="5"/>
      <c r="L283" s="3"/>
      <c r="M283" s="5"/>
      <c r="N283" s="5"/>
    </row>
    <row r="284">
      <c r="A284" s="2"/>
      <c r="B284" s="3"/>
      <c r="C284" s="3"/>
      <c r="D284" s="3"/>
      <c r="E284" s="4"/>
      <c r="F284" s="3"/>
      <c r="G284" s="5"/>
      <c r="H284" s="3"/>
      <c r="I284" s="5"/>
      <c r="J284" s="3"/>
      <c r="K284" s="5"/>
      <c r="L284" s="3"/>
      <c r="M284" s="5"/>
      <c r="N284" s="5"/>
    </row>
    <row r="285">
      <c r="A285" s="2"/>
      <c r="B285" s="3"/>
      <c r="C285" s="3"/>
      <c r="D285" s="3"/>
      <c r="E285" s="4"/>
      <c r="F285" s="3"/>
      <c r="G285" s="5"/>
      <c r="H285" s="3"/>
      <c r="I285" s="5"/>
      <c r="J285" s="3"/>
      <c r="K285" s="5"/>
      <c r="L285" s="3"/>
      <c r="M285" s="5"/>
      <c r="N285" s="5"/>
    </row>
    <row r="286">
      <c r="A286" s="2"/>
      <c r="B286" s="3"/>
      <c r="C286" s="3"/>
      <c r="D286" s="3"/>
      <c r="E286" s="4"/>
      <c r="F286" s="3"/>
      <c r="G286" s="5"/>
      <c r="H286" s="3"/>
      <c r="I286" s="5"/>
      <c r="J286" s="3"/>
      <c r="K286" s="5"/>
      <c r="L286" s="3"/>
      <c r="M286" s="5"/>
      <c r="N286" s="5"/>
    </row>
    <row r="287">
      <c r="A287" s="2"/>
      <c r="B287" s="3"/>
      <c r="C287" s="3"/>
      <c r="D287" s="3"/>
      <c r="E287" s="4"/>
      <c r="F287" s="3"/>
      <c r="G287" s="5"/>
      <c r="H287" s="3"/>
      <c r="I287" s="5"/>
      <c r="J287" s="3"/>
      <c r="K287" s="5"/>
      <c r="L287" s="3"/>
      <c r="M287" s="5"/>
      <c r="N287" s="5"/>
    </row>
    <row r="288">
      <c r="A288" s="2"/>
      <c r="B288" s="3"/>
      <c r="C288" s="3"/>
      <c r="D288" s="3"/>
      <c r="E288" s="4"/>
      <c r="F288" s="3"/>
      <c r="G288" s="5"/>
      <c r="H288" s="3"/>
      <c r="I288" s="5"/>
      <c r="J288" s="3"/>
      <c r="K288" s="5"/>
      <c r="L288" s="3"/>
      <c r="M288" s="5"/>
      <c r="N288" s="5"/>
    </row>
    <row r="289">
      <c r="A289" s="2"/>
      <c r="B289" s="3"/>
      <c r="C289" s="3"/>
      <c r="D289" s="3"/>
      <c r="E289" s="4"/>
      <c r="F289" s="3"/>
      <c r="G289" s="5"/>
      <c r="H289" s="3"/>
      <c r="I289" s="5"/>
      <c r="J289" s="3"/>
      <c r="K289" s="5"/>
      <c r="L289" s="3"/>
      <c r="M289" s="5"/>
      <c r="N289" s="5"/>
    </row>
    <row r="290">
      <c r="A290" s="2"/>
      <c r="B290" s="3"/>
      <c r="C290" s="3"/>
      <c r="D290" s="3"/>
      <c r="E290" s="4"/>
      <c r="F290" s="3"/>
      <c r="G290" s="5"/>
      <c r="H290" s="3"/>
      <c r="I290" s="5"/>
      <c r="J290" s="3"/>
      <c r="K290" s="5"/>
      <c r="L290" s="3"/>
      <c r="M290" s="5"/>
      <c r="N290" s="5"/>
    </row>
    <row r="291">
      <c r="A291" s="2"/>
      <c r="B291" s="3"/>
      <c r="C291" s="3"/>
      <c r="D291" s="3"/>
      <c r="E291" s="4"/>
      <c r="F291" s="3"/>
      <c r="G291" s="5"/>
      <c r="H291" s="3"/>
      <c r="I291" s="5"/>
      <c r="J291" s="3"/>
      <c r="K291" s="5"/>
      <c r="L291" s="3"/>
      <c r="M291" s="5"/>
      <c r="N291" s="5"/>
    </row>
    <row r="292">
      <c r="A292" s="2"/>
      <c r="B292" s="3"/>
      <c r="C292" s="3"/>
      <c r="D292" s="3"/>
      <c r="E292" s="4"/>
      <c r="F292" s="3"/>
      <c r="G292" s="5"/>
      <c r="H292" s="3"/>
      <c r="I292" s="5"/>
      <c r="J292" s="3"/>
      <c r="K292" s="5"/>
      <c r="L292" s="3"/>
      <c r="M292" s="5"/>
      <c r="N292" s="5"/>
    </row>
    <row r="293">
      <c r="A293" s="2"/>
      <c r="B293" s="3"/>
      <c r="C293" s="3"/>
      <c r="D293" s="3"/>
      <c r="E293" s="4"/>
      <c r="F293" s="3"/>
      <c r="G293" s="5"/>
      <c r="H293" s="3"/>
      <c r="I293" s="5"/>
      <c r="J293" s="3"/>
      <c r="K293" s="5"/>
      <c r="L293" s="3"/>
      <c r="M293" s="5"/>
      <c r="N293" s="5"/>
    </row>
    <row r="294">
      <c r="A294" s="2"/>
      <c r="B294" s="3"/>
      <c r="C294" s="3"/>
      <c r="D294" s="3"/>
      <c r="E294" s="4"/>
      <c r="F294" s="3"/>
      <c r="G294" s="5"/>
      <c r="H294" s="3"/>
      <c r="I294" s="5"/>
      <c r="J294" s="3"/>
      <c r="K294" s="5"/>
      <c r="L294" s="3"/>
      <c r="M294" s="5"/>
      <c r="N294" s="5"/>
    </row>
    <row r="295">
      <c r="A295" s="2"/>
      <c r="B295" s="3"/>
      <c r="C295" s="3"/>
      <c r="D295" s="3"/>
      <c r="E295" s="4"/>
      <c r="F295" s="3"/>
      <c r="G295" s="5"/>
      <c r="H295" s="3"/>
      <c r="I295" s="5"/>
      <c r="J295" s="3"/>
      <c r="K295" s="5"/>
      <c r="L295" s="3"/>
      <c r="M295" s="5"/>
      <c r="N295" s="5"/>
    </row>
    <row r="296">
      <c r="A296" s="2"/>
      <c r="B296" s="3"/>
      <c r="C296" s="3"/>
      <c r="D296" s="3"/>
      <c r="E296" s="4"/>
      <c r="F296" s="3"/>
      <c r="G296" s="5"/>
      <c r="H296" s="3"/>
      <c r="I296" s="5"/>
      <c r="J296" s="3"/>
      <c r="K296" s="5"/>
      <c r="L296" s="3"/>
      <c r="M296" s="5"/>
      <c r="N296" s="5"/>
    </row>
    <row r="297">
      <c r="A297" s="2"/>
      <c r="B297" s="3"/>
      <c r="C297" s="3"/>
      <c r="D297" s="3"/>
      <c r="E297" s="4"/>
      <c r="F297" s="3"/>
      <c r="G297" s="5"/>
      <c r="H297" s="3"/>
      <c r="I297" s="5"/>
      <c r="J297" s="3"/>
      <c r="K297" s="5"/>
      <c r="L297" s="3"/>
      <c r="M297" s="5"/>
      <c r="N297" s="5"/>
    </row>
    <row r="298">
      <c r="A298" s="2"/>
      <c r="B298" s="3"/>
      <c r="C298" s="3"/>
      <c r="D298" s="3"/>
      <c r="E298" s="4"/>
      <c r="F298" s="3"/>
      <c r="G298" s="5"/>
      <c r="H298" s="3"/>
      <c r="I298" s="5"/>
      <c r="J298" s="3"/>
      <c r="K298" s="5"/>
      <c r="L298" s="3"/>
      <c r="M298" s="5"/>
      <c r="N298" s="5"/>
    </row>
    <row r="299">
      <c r="A299" s="2"/>
      <c r="B299" s="3"/>
      <c r="C299" s="3"/>
      <c r="D299" s="3"/>
      <c r="E299" s="4"/>
      <c r="F299" s="3"/>
      <c r="G299" s="5"/>
      <c r="H299" s="3"/>
      <c r="I299" s="5"/>
      <c r="J299" s="3"/>
      <c r="K299" s="5"/>
      <c r="L299" s="3"/>
      <c r="M299" s="5"/>
      <c r="N299" s="5"/>
    </row>
    <row r="300">
      <c r="A300" s="2"/>
      <c r="B300" s="3"/>
      <c r="C300" s="3"/>
      <c r="D300" s="3"/>
      <c r="E300" s="4"/>
      <c r="F300" s="3"/>
      <c r="G300" s="5"/>
      <c r="H300" s="3"/>
      <c r="I300" s="5"/>
      <c r="J300" s="3"/>
      <c r="K300" s="5"/>
      <c r="L300" s="3"/>
      <c r="M300" s="5"/>
      <c r="N300" s="5"/>
    </row>
    <row r="301">
      <c r="A301" s="2"/>
      <c r="B301" s="3"/>
      <c r="C301" s="3"/>
      <c r="D301" s="3"/>
      <c r="E301" s="4"/>
      <c r="F301" s="3"/>
      <c r="G301" s="5"/>
      <c r="H301" s="3"/>
      <c r="I301" s="5"/>
      <c r="J301" s="3"/>
      <c r="K301" s="5"/>
      <c r="L301" s="3"/>
      <c r="M301" s="5"/>
      <c r="N301" s="5"/>
    </row>
    <row r="302">
      <c r="A302" s="2"/>
      <c r="B302" s="3"/>
      <c r="C302" s="3"/>
      <c r="D302" s="3"/>
      <c r="E302" s="4"/>
      <c r="F302" s="3"/>
      <c r="G302" s="5"/>
      <c r="H302" s="3"/>
      <c r="I302" s="5"/>
      <c r="J302" s="3"/>
      <c r="K302" s="5"/>
      <c r="L302" s="3"/>
      <c r="M302" s="5"/>
      <c r="N302" s="5"/>
    </row>
    <row r="303">
      <c r="A303" s="2"/>
      <c r="B303" s="3"/>
      <c r="C303" s="3"/>
      <c r="D303" s="3"/>
      <c r="E303" s="4"/>
      <c r="F303" s="3"/>
      <c r="G303" s="5"/>
      <c r="H303" s="3"/>
      <c r="I303" s="5"/>
      <c r="J303" s="3"/>
      <c r="K303" s="5"/>
      <c r="L303" s="3"/>
      <c r="M303" s="5"/>
      <c r="N303" s="5"/>
    </row>
    <row r="304">
      <c r="A304" s="2"/>
      <c r="B304" s="3"/>
      <c r="C304" s="3"/>
      <c r="D304" s="3"/>
      <c r="E304" s="4"/>
      <c r="F304" s="3"/>
      <c r="G304" s="5"/>
      <c r="H304" s="3"/>
      <c r="I304" s="5"/>
      <c r="J304" s="3"/>
      <c r="K304" s="5"/>
      <c r="L304" s="3"/>
      <c r="M304" s="5"/>
      <c r="N304" s="5"/>
    </row>
    <row r="305">
      <c r="A305" s="2"/>
      <c r="B305" s="3"/>
      <c r="C305" s="3"/>
      <c r="D305" s="3"/>
      <c r="E305" s="4"/>
      <c r="F305" s="3"/>
      <c r="G305" s="5"/>
      <c r="H305" s="3"/>
      <c r="I305" s="5"/>
      <c r="J305" s="3"/>
      <c r="K305" s="5"/>
      <c r="L305" s="3"/>
      <c r="M305" s="5"/>
      <c r="N305" s="5"/>
    </row>
    <row r="306">
      <c r="A306" s="2"/>
      <c r="B306" s="3"/>
      <c r="C306" s="3"/>
      <c r="D306" s="3"/>
      <c r="E306" s="4"/>
      <c r="F306" s="3"/>
      <c r="G306" s="5"/>
      <c r="H306" s="3"/>
      <c r="I306" s="5"/>
      <c r="J306" s="3"/>
      <c r="K306" s="5"/>
      <c r="L306" s="3"/>
      <c r="M306" s="5"/>
      <c r="N306" s="5"/>
    </row>
    <row r="307">
      <c r="A307" s="2"/>
      <c r="B307" s="3"/>
      <c r="C307" s="3"/>
      <c r="D307" s="3"/>
      <c r="E307" s="4"/>
      <c r="F307" s="3"/>
      <c r="G307" s="5"/>
      <c r="H307" s="3"/>
      <c r="I307" s="5"/>
      <c r="J307" s="3"/>
      <c r="K307" s="5"/>
      <c r="L307" s="3"/>
      <c r="M307" s="5"/>
      <c r="N307" s="5"/>
    </row>
    <row r="308">
      <c r="A308" s="2"/>
      <c r="B308" s="3"/>
      <c r="C308" s="3"/>
      <c r="D308" s="3"/>
      <c r="E308" s="4"/>
      <c r="F308" s="3"/>
      <c r="G308" s="5"/>
      <c r="H308" s="3"/>
      <c r="I308" s="5"/>
      <c r="J308" s="3"/>
      <c r="K308" s="5"/>
      <c r="L308" s="3"/>
      <c r="M308" s="5"/>
      <c r="N308" s="5"/>
    </row>
    <row r="309">
      <c r="A309" s="2"/>
      <c r="B309" s="3"/>
      <c r="C309" s="3"/>
      <c r="D309" s="3"/>
      <c r="E309" s="4"/>
      <c r="F309" s="3"/>
      <c r="G309" s="5"/>
      <c r="H309" s="3"/>
      <c r="I309" s="5"/>
      <c r="J309" s="3"/>
      <c r="K309" s="5"/>
      <c r="L309" s="3"/>
      <c r="M309" s="5"/>
      <c r="N309" s="5"/>
    </row>
    <row r="310">
      <c r="A310" s="2"/>
      <c r="B310" s="3"/>
      <c r="C310" s="3"/>
      <c r="D310" s="3"/>
      <c r="E310" s="4"/>
      <c r="F310" s="3"/>
      <c r="G310" s="5"/>
      <c r="H310" s="3"/>
      <c r="I310" s="5"/>
      <c r="J310" s="3"/>
      <c r="K310" s="5"/>
      <c r="L310" s="3"/>
      <c r="M310" s="5"/>
      <c r="N310" s="5"/>
    </row>
    <row r="311">
      <c r="A311" s="2"/>
      <c r="B311" s="3"/>
      <c r="C311" s="3"/>
      <c r="D311" s="3"/>
      <c r="E311" s="4"/>
      <c r="F311" s="3"/>
      <c r="G311" s="5"/>
      <c r="H311" s="3"/>
      <c r="I311" s="5"/>
      <c r="J311" s="3"/>
      <c r="K311" s="5"/>
      <c r="L311" s="3"/>
      <c r="M311" s="5"/>
      <c r="N311" s="5"/>
    </row>
    <row r="312">
      <c r="A312" s="2"/>
      <c r="B312" s="3"/>
      <c r="C312" s="3"/>
      <c r="D312" s="3"/>
      <c r="E312" s="4"/>
      <c r="F312" s="3"/>
      <c r="G312" s="5"/>
      <c r="H312" s="3"/>
      <c r="I312" s="5"/>
      <c r="J312" s="3"/>
      <c r="K312" s="5"/>
      <c r="L312" s="3"/>
      <c r="M312" s="5"/>
      <c r="N312" s="5"/>
    </row>
    <row r="313">
      <c r="A313" s="2"/>
      <c r="B313" s="3"/>
      <c r="C313" s="3"/>
      <c r="D313" s="3"/>
      <c r="E313" s="4"/>
      <c r="F313" s="3"/>
      <c r="G313" s="5"/>
      <c r="H313" s="3"/>
      <c r="I313" s="5"/>
      <c r="J313" s="3"/>
      <c r="K313" s="5"/>
      <c r="L313" s="3"/>
      <c r="M313" s="5"/>
      <c r="N313" s="5"/>
    </row>
    <row r="314">
      <c r="A314" s="2"/>
      <c r="B314" s="3"/>
      <c r="C314" s="3"/>
      <c r="D314" s="3"/>
      <c r="E314" s="4"/>
      <c r="F314" s="3"/>
      <c r="G314" s="5"/>
      <c r="H314" s="3"/>
      <c r="I314" s="5"/>
      <c r="J314" s="3"/>
      <c r="K314" s="5"/>
      <c r="L314" s="3"/>
      <c r="M314" s="5"/>
      <c r="N314" s="5"/>
    </row>
    <row r="315">
      <c r="A315" s="2"/>
      <c r="B315" s="3"/>
      <c r="C315" s="3"/>
      <c r="D315" s="3"/>
      <c r="E315" s="4"/>
      <c r="F315" s="3"/>
      <c r="G315" s="5"/>
      <c r="H315" s="3"/>
      <c r="I315" s="5"/>
      <c r="J315" s="3"/>
      <c r="K315" s="5"/>
      <c r="L315" s="3"/>
      <c r="M315" s="5"/>
      <c r="N315" s="5"/>
    </row>
    <row r="316">
      <c r="A316" s="2"/>
      <c r="B316" s="3"/>
      <c r="C316" s="3"/>
      <c r="D316" s="3"/>
      <c r="E316" s="4"/>
      <c r="F316" s="3"/>
      <c r="G316" s="5"/>
      <c r="H316" s="3"/>
      <c r="I316" s="5"/>
      <c r="J316" s="3"/>
      <c r="K316" s="5"/>
      <c r="L316" s="3"/>
      <c r="M316" s="5"/>
      <c r="N316" s="5"/>
    </row>
    <row r="317">
      <c r="A317" s="2"/>
      <c r="B317" s="3"/>
      <c r="C317" s="3"/>
      <c r="D317" s="3"/>
      <c r="E317" s="4"/>
      <c r="F317" s="3"/>
      <c r="G317" s="5"/>
      <c r="H317" s="3"/>
      <c r="I317" s="5"/>
      <c r="J317" s="3"/>
      <c r="K317" s="5"/>
      <c r="L317" s="3"/>
      <c r="M317" s="5"/>
      <c r="N317" s="5"/>
    </row>
    <row r="318">
      <c r="A318" s="2"/>
      <c r="B318" s="3"/>
      <c r="C318" s="3"/>
      <c r="D318" s="3"/>
      <c r="E318" s="4"/>
      <c r="F318" s="3"/>
      <c r="G318" s="5"/>
      <c r="H318" s="3"/>
      <c r="I318" s="5"/>
      <c r="J318" s="3"/>
      <c r="K318" s="5"/>
      <c r="L318" s="3"/>
      <c r="M318" s="5"/>
      <c r="N318" s="5"/>
    </row>
    <row r="319">
      <c r="A319" s="2"/>
      <c r="B319" s="3"/>
      <c r="C319" s="3"/>
      <c r="D319" s="3"/>
      <c r="E319" s="4"/>
      <c r="F319" s="3"/>
      <c r="G319" s="5"/>
      <c r="H319" s="3"/>
      <c r="I319" s="5"/>
      <c r="J319" s="3"/>
      <c r="K319" s="5"/>
      <c r="L319" s="3"/>
      <c r="M319" s="5"/>
      <c r="N319" s="5"/>
    </row>
    <row r="320">
      <c r="A320" s="2"/>
      <c r="B320" s="3"/>
      <c r="C320" s="3"/>
      <c r="D320" s="3"/>
      <c r="E320" s="4"/>
      <c r="F320" s="3"/>
      <c r="G320" s="5"/>
      <c r="H320" s="3"/>
      <c r="I320" s="5"/>
      <c r="J320" s="3"/>
      <c r="K320" s="5"/>
      <c r="L320" s="3"/>
      <c r="M320" s="5"/>
      <c r="N320" s="5"/>
    </row>
    <row r="321">
      <c r="A321" s="2"/>
      <c r="B321" s="3"/>
      <c r="C321" s="3"/>
      <c r="D321" s="3"/>
      <c r="E321" s="4"/>
      <c r="F321" s="3"/>
      <c r="G321" s="5"/>
      <c r="H321" s="3"/>
      <c r="I321" s="5"/>
      <c r="J321" s="3"/>
      <c r="K321" s="5"/>
      <c r="L321" s="3"/>
      <c r="M321" s="5"/>
      <c r="N321" s="5"/>
    </row>
    <row r="322">
      <c r="A322" s="2"/>
      <c r="B322" s="3"/>
      <c r="C322" s="3"/>
      <c r="D322" s="3"/>
      <c r="E322" s="4"/>
      <c r="F322" s="3"/>
      <c r="G322" s="5"/>
      <c r="H322" s="3"/>
      <c r="I322" s="5"/>
      <c r="J322" s="3"/>
      <c r="K322" s="5"/>
      <c r="L322" s="3"/>
      <c r="M322" s="5"/>
      <c r="N322" s="5"/>
    </row>
    <row r="323">
      <c r="A323" s="2"/>
      <c r="B323" s="3"/>
      <c r="C323" s="3"/>
      <c r="D323" s="3"/>
      <c r="E323" s="4"/>
      <c r="F323" s="3"/>
      <c r="G323" s="5"/>
      <c r="H323" s="3"/>
      <c r="I323" s="5"/>
      <c r="J323" s="3"/>
      <c r="K323" s="5"/>
      <c r="L323" s="3"/>
      <c r="M323" s="5"/>
      <c r="N323" s="5"/>
    </row>
    <row r="324">
      <c r="A324" s="2"/>
      <c r="B324" s="3"/>
      <c r="C324" s="3"/>
      <c r="D324" s="3"/>
      <c r="E324" s="4"/>
      <c r="F324" s="3"/>
      <c r="G324" s="5"/>
      <c r="H324" s="3"/>
      <c r="I324" s="5"/>
      <c r="J324" s="3"/>
      <c r="K324" s="5"/>
      <c r="L324" s="3"/>
      <c r="M324" s="5"/>
      <c r="N324" s="5"/>
    </row>
    <row r="325">
      <c r="A325" s="2"/>
      <c r="B325" s="3"/>
      <c r="C325" s="3"/>
      <c r="D325" s="3"/>
      <c r="E325" s="4"/>
      <c r="F325" s="3"/>
      <c r="G325" s="5"/>
      <c r="H325" s="3"/>
      <c r="I325" s="5"/>
      <c r="J325" s="3"/>
      <c r="K325" s="5"/>
      <c r="L325" s="3"/>
      <c r="M325" s="5"/>
      <c r="N325" s="5"/>
    </row>
    <row r="326">
      <c r="A326" s="2"/>
      <c r="B326" s="3"/>
      <c r="C326" s="3"/>
      <c r="D326" s="3"/>
      <c r="E326" s="4"/>
      <c r="F326" s="3"/>
      <c r="G326" s="5"/>
      <c r="H326" s="3"/>
      <c r="I326" s="5"/>
      <c r="J326" s="3"/>
      <c r="K326" s="5"/>
      <c r="L326" s="3"/>
      <c r="M326" s="5"/>
      <c r="N326" s="5"/>
    </row>
    <row r="327">
      <c r="A327" s="2"/>
      <c r="B327" s="3"/>
      <c r="C327" s="3"/>
      <c r="D327" s="3"/>
      <c r="E327" s="4"/>
      <c r="F327" s="3"/>
      <c r="G327" s="5"/>
      <c r="H327" s="3"/>
      <c r="I327" s="5"/>
      <c r="J327" s="3"/>
      <c r="K327" s="5"/>
      <c r="L327" s="3"/>
      <c r="M327" s="5"/>
      <c r="N327" s="5"/>
    </row>
    <row r="328">
      <c r="A328" s="2"/>
      <c r="B328" s="3"/>
      <c r="C328" s="3"/>
      <c r="D328" s="3"/>
      <c r="E328" s="4"/>
      <c r="F328" s="3"/>
      <c r="G328" s="5"/>
      <c r="H328" s="3"/>
      <c r="I328" s="5"/>
      <c r="J328" s="3"/>
      <c r="K328" s="5"/>
      <c r="L328" s="3"/>
      <c r="M328" s="5"/>
      <c r="N328" s="5"/>
    </row>
    <row r="329">
      <c r="A329" s="2"/>
      <c r="B329" s="3"/>
      <c r="C329" s="3"/>
      <c r="D329" s="3"/>
      <c r="E329" s="4"/>
      <c r="F329" s="3"/>
      <c r="G329" s="5"/>
      <c r="H329" s="3"/>
      <c r="I329" s="5"/>
      <c r="J329" s="3"/>
      <c r="K329" s="5"/>
      <c r="L329" s="3"/>
      <c r="M329" s="5"/>
      <c r="N329" s="5"/>
    </row>
    <row r="330">
      <c r="A330" s="2"/>
      <c r="B330" s="3"/>
      <c r="C330" s="3"/>
      <c r="D330" s="3"/>
      <c r="E330" s="4"/>
      <c r="F330" s="3"/>
      <c r="G330" s="5"/>
      <c r="H330" s="3"/>
      <c r="I330" s="5"/>
      <c r="J330" s="3"/>
      <c r="K330" s="5"/>
      <c r="L330" s="3"/>
      <c r="M330" s="5"/>
      <c r="N330" s="5"/>
    </row>
    <row r="331">
      <c r="A331" s="2"/>
      <c r="B331" s="3"/>
      <c r="C331" s="3"/>
      <c r="D331" s="3"/>
      <c r="E331" s="4"/>
      <c r="F331" s="3"/>
      <c r="G331" s="5"/>
      <c r="H331" s="3"/>
      <c r="I331" s="5"/>
      <c r="J331" s="3"/>
      <c r="K331" s="5"/>
      <c r="L331" s="3"/>
      <c r="M331" s="5"/>
      <c r="N331" s="5"/>
    </row>
    <row r="332">
      <c r="A332" s="2"/>
      <c r="B332" s="3"/>
      <c r="C332" s="3"/>
      <c r="D332" s="3"/>
      <c r="E332" s="4"/>
      <c r="F332" s="3"/>
      <c r="G332" s="5"/>
      <c r="H332" s="3"/>
      <c r="I332" s="5"/>
      <c r="J332" s="3"/>
      <c r="K332" s="5"/>
      <c r="L332" s="3"/>
      <c r="M332" s="5"/>
      <c r="N332" s="5"/>
    </row>
    <row r="333">
      <c r="A333" s="2"/>
      <c r="B333" s="3"/>
      <c r="C333" s="3"/>
      <c r="D333" s="3"/>
      <c r="E333" s="4"/>
      <c r="F333" s="3"/>
      <c r="G333" s="5"/>
      <c r="H333" s="3"/>
      <c r="I333" s="5"/>
      <c r="J333" s="3"/>
      <c r="K333" s="5"/>
      <c r="L333" s="3"/>
      <c r="M333" s="5"/>
      <c r="N333" s="5"/>
    </row>
    <row r="334">
      <c r="A334" s="2"/>
      <c r="B334" s="3"/>
      <c r="C334" s="3"/>
      <c r="D334" s="3"/>
      <c r="E334" s="4"/>
      <c r="F334" s="3"/>
      <c r="G334" s="5"/>
      <c r="H334" s="3"/>
      <c r="I334" s="5"/>
      <c r="J334" s="3"/>
      <c r="K334" s="5"/>
      <c r="L334" s="3"/>
      <c r="M334" s="5"/>
      <c r="N334" s="5"/>
    </row>
    <row r="335">
      <c r="A335" s="2"/>
      <c r="B335" s="3"/>
      <c r="C335" s="3"/>
      <c r="D335" s="3"/>
      <c r="E335" s="4"/>
      <c r="F335" s="3"/>
      <c r="G335" s="5"/>
      <c r="H335" s="3"/>
      <c r="I335" s="5"/>
      <c r="J335" s="3"/>
      <c r="K335" s="5"/>
      <c r="L335" s="3"/>
      <c r="M335" s="5"/>
      <c r="N335" s="5"/>
    </row>
    <row r="336">
      <c r="A336" s="2"/>
      <c r="B336" s="3"/>
      <c r="C336" s="3"/>
      <c r="D336" s="3"/>
      <c r="E336" s="4"/>
      <c r="F336" s="3"/>
      <c r="G336" s="5"/>
      <c r="H336" s="3"/>
      <c r="I336" s="5"/>
      <c r="J336" s="3"/>
      <c r="K336" s="5"/>
      <c r="L336" s="3"/>
      <c r="M336" s="5"/>
      <c r="N336" s="5"/>
    </row>
    <row r="337">
      <c r="A337" s="2"/>
      <c r="B337" s="3"/>
      <c r="C337" s="3"/>
      <c r="D337" s="3"/>
      <c r="E337" s="4"/>
      <c r="F337" s="3"/>
      <c r="G337" s="5"/>
      <c r="H337" s="3"/>
      <c r="I337" s="5"/>
      <c r="J337" s="3"/>
      <c r="K337" s="5"/>
      <c r="L337" s="3"/>
      <c r="M337" s="5"/>
      <c r="N337" s="5"/>
    </row>
    <row r="338">
      <c r="A338" s="2"/>
      <c r="B338" s="3"/>
      <c r="C338" s="3"/>
      <c r="D338" s="3"/>
      <c r="E338" s="4"/>
      <c r="F338" s="3"/>
      <c r="G338" s="5"/>
      <c r="H338" s="3"/>
      <c r="I338" s="5"/>
      <c r="J338" s="3"/>
      <c r="K338" s="5"/>
      <c r="L338" s="3"/>
      <c r="M338" s="5"/>
      <c r="N338" s="5"/>
    </row>
    <row r="339">
      <c r="A339" s="2"/>
      <c r="B339" s="3"/>
      <c r="C339" s="3"/>
      <c r="D339" s="3"/>
      <c r="E339" s="4"/>
      <c r="F339" s="3"/>
      <c r="G339" s="5"/>
      <c r="H339" s="3"/>
      <c r="I339" s="5"/>
      <c r="J339" s="3"/>
      <c r="K339" s="5"/>
      <c r="L339" s="3"/>
      <c r="M339" s="5"/>
      <c r="N339" s="5"/>
    </row>
    <row r="340">
      <c r="A340" s="2"/>
      <c r="B340" s="3"/>
      <c r="C340" s="3"/>
      <c r="D340" s="3"/>
      <c r="E340" s="4"/>
      <c r="F340" s="3"/>
      <c r="G340" s="5"/>
      <c r="H340" s="3"/>
      <c r="I340" s="5"/>
      <c r="J340" s="3"/>
      <c r="K340" s="5"/>
      <c r="L340" s="3"/>
      <c r="M340" s="5"/>
      <c r="N340" s="5"/>
    </row>
    <row r="341">
      <c r="A341" s="2"/>
      <c r="B341" s="3"/>
      <c r="C341" s="3"/>
      <c r="D341" s="3"/>
      <c r="E341" s="4"/>
      <c r="F341" s="3"/>
      <c r="G341" s="5"/>
      <c r="H341" s="3"/>
      <c r="I341" s="5"/>
      <c r="J341" s="3"/>
      <c r="K341" s="5"/>
      <c r="L341" s="3"/>
      <c r="M341" s="5"/>
      <c r="N341" s="5"/>
    </row>
    <row r="342">
      <c r="A342" s="2"/>
      <c r="B342" s="3"/>
      <c r="C342" s="3"/>
      <c r="D342" s="3"/>
      <c r="E342" s="4"/>
      <c r="F342" s="3"/>
      <c r="G342" s="5"/>
      <c r="H342" s="3"/>
      <c r="I342" s="5"/>
      <c r="J342" s="3"/>
      <c r="K342" s="5"/>
      <c r="L342" s="3"/>
      <c r="M342" s="5"/>
      <c r="N342" s="5"/>
    </row>
    <row r="343">
      <c r="A343" s="2"/>
      <c r="B343" s="3"/>
      <c r="C343" s="3"/>
      <c r="D343" s="3"/>
      <c r="E343" s="4"/>
      <c r="F343" s="3"/>
      <c r="G343" s="5"/>
      <c r="H343" s="3"/>
      <c r="I343" s="5"/>
      <c r="J343" s="3"/>
      <c r="K343" s="5"/>
      <c r="L343" s="3"/>
      <c r="M343" s="5"/>
      <c r="N343" s="5"/>
    </row>
    <row r="344">
      <c r="A344" s="2"/>
      <c r="B344" s="3"/>
      <c r="C344" s="3"/>
      <c r="D344" s="3"/>
      <c r="E344" s="4"/>
      <c r="F344" s="3"/>
      <c r="G344" s="5"/>
      <c r="H344" s="3"/>
      <c r="I344" s="5"/>
      <c r="J344" s="3"/>
      <c r="K344" s="5"/>
      <c r="L344" s="3"/>
      <c r="M344" s="5"/>
      <c r="N344" s="5"/>
    </row>
    <row r="345">
      <c r="A345" s="2"/>
      <c r="B345" s="3"/>
      <c r="C345" s="3"/>
      <c r="D345" s="3"/>
      <c r="E345" s="4"/>
      <c r="F345" s="3"/>
      <c r="G345" s="5"/>
      <c r="H345" s="3"/>
      <c r="I345" s="5"/>
      <c r="J345" s="3"/>
      <c r="K345" s="5"/>
      <c r="L345" s="3"/>
      <c r="M345" s="5"/>
      <c r="N345" s="5"/>
    </row>
    <row r="346">
      <c r="A346" s="2"/>
      <c r="B346" s="3"/>
      <c r="C346" s="3"/>
      <c r="D346" s="3"/>
      <c r="E346" s="4"/>
      <c r="F346" s="3"/>
      <c r="G346" s="5"/>
      <c r="H346" s="3"/>
      <c r="I346" s="5"/>
      <c r="J346" s="3"/>
      <c r="K346" s="5"/>
      <c r="L346" s="3"/>
      <c r="M346" s="5"/>
      <c r="N346" s="5"/>
    </row>
    <row r="347">
      <c r="A347" s="2"/>
      <c r="B347" s="3"/>
      <c r="C347" s="3"/>
      <c r="D347" s="3"/>
      <c r="E347" s="4"/>
      <c r="F347" s="3"/>
      <c r="G347" s="5"/>
      <c r="H347" s="3"/>
      <c r="I347" s="5"/>
      <c r="J347" s="3"/>
      <c r="K347" s="5"/>
      <c r="L347" s="3"/>
      <c r="M347" s="5"/>
      <c r="N347" s="5"/>
    </row>
    <row r="348">
      <c r="A348" s="2"/>
      <c r="B348" s="3"/>
      <c r="C348" s="3"/>
      <c r="D348" s="3"/>
      <c r="E348" s="4"/>
      <c r="F348" s="3"/>
      <c r="G348" s="5"/>
      <c r="H348" s="3"/>
      <c r="I348" s="5"/>
      <c r="J348" s="3"/>
      <c r="K348" s="5"/>
      <c r="L348" s="3"/>
      <c r="M348" s="5"/>
      <c r="N348" s="5"/>
    </row>
    <row r="349">
      <c r="A349" s="2"/>
      <c r="B349" s="3"/>
      <c r="C349" s="3"/>
      <c r="D349" s="3"/>
      <c r="E349" s="4"/>
      <c r="F349" s="3"/>
      <c r="G349" s="5"/>
      <c r="H349" s="3"/>
      <c r="I349" s="5"/>
      <c r="J349" s="3"/>
      <c r="K349" s="5"/>
      <c r="L349" s="3"/>
      <c r="M349" s="5"/>
      <c r="N349" s="5"/>
    </row>
    <row r="350">
      <c r="A350" s="2"/>
      <c r="B350" s="3"/>
      <c r="C350" s="3"/>
      <c r="D350" s="3"/>
      <c r="E350" s="4"/>
      <c r="F350" s="3"/>
      <c r="G350" s="5"/>
      <c r="H350" s="3"/>
      <c r="I350" s="5"/>
      <c r="J350" s="3"/>
      <c r="K350" s="5"/>
      <c r="L350" s="3"/>
      <c r="M350" s="5"/>
      <c r="N350" s="5"/>
    </row>
    <row r="351">
      <c r="A351" s="2"/>
      <c r="B351" s="3"/>
      <c r="C351" s="3"/>
      <c r="D351" s="3"/>
      <c r="E351" s="4"/>
      <c r="F351" s="3"/>
      <c r="G351" s="5"/>
      <c r="H351" s="3"/>
      <c r="I351" s="5"/>
      <c r="J351" s="3"/>
      <c r="K351" s="5"/>
      <c r="L351" s="3"/>
      <c r="M351" s="5"/>
      <c r="N351" s="5"/>
    </row>
    <row r="352">
      <c r="A352" s="2"/>
      <c r="B352" s="3"/>
      <c r="C352" s="3"/>
      <c r="D352" s="3"/>
      <c r="E352" s="4"/>
      <c r="F352" s="3"/>
      <c r="G352" s="5"/>
      <c r="H352" s="3"/>
      <c r="I352" s="5"/>
      <c r="J352" s="3"/>
      <c r="K352" s="5"/>
      <c r="L352" s="3"/>
      <c r="M352" s="5"/>
      <c r="N352" s="5"/>
    </row>
    <row r="353">
      <c r="A353" s="2"/>
      <c r="B353" s="3"/>
      <c r="C353" s="3"/>
      <c r="D353" s="3"/>
      <c r="E353" s="4"/>
      <c r="F353" s="3"/>
      <c r="G353" s="5"/>
      <c r="H353" s="3"/>
      <c r="I353" s="5"/>
      <c r="J353" s="3"/>
      <c r="K353" s="5"/>
      <c r="L353" s="3"/>
      <c r="M353" s="5"/>
      <c r="N353" s="5"/>
    </row>
    <row r="354">
      <c r="A354" s="2"/>
      <c r="B354" s="3"/>
      <c r="C354" s="3"/>
      <c r="D354" s="3"/>
      <c r="E354" s="4"/>
      <c r="F354" s="3"/>
      <c r="G354" s="5"/>
      <c r="H354" s="3"/>
      <c r="I354" s="5"/>
      <c r="J354" s="3"/>
      <c r="K354" s="5"/>
      <c r="L354" s="3"/>
      <c r="M354" s="5"/>
      <c r="N354" s="5"/>
    </row>
    <row r="355">
      <c r="A355" s="2"/>
      <c r="B355" s="3"/>
      <c r="C355" s="3"/>
      <c r="D355" s="3"/>
      <c r="E355" s="4"/>
      <c r="F355" s="3"/>
      <c r="G355" s="5"/>
      <c r="H355" s="3"/>
      <c r="I355" s="5"/>
      <c r="J355" s="3"/>
      <c r="K355" s="5"/>
      <c r="L355" s="3"/>
      <c r="M355" s="5"/>
      <c r="N355" s="5"/>
    </row>
    <row r="356">
      <c r="A356" s="2"/>
      <c r="B356" s="3"/>
      <c r="C356" s="3"/>
      <c r="D356" s="3"/>
      <c r="E356" s="4"/>
      <c r="F356" s="3"/>
      <c r="G356" s="5"/>
      <c r="H356" s="3"/>
      <c r="I356" s="5"/>
      <c r="J356" s="3"/>
      <c r="K356" s="5"/>
      <c r="L356" s="3"/>
      <c r="M356" s="5"/>
      <c r="N356" s="5"/>
    </row>
    <row r="357">
      <c r="A357" s="2"/>
      <c r="B357" s="3"/>
      <c r="C357" s="3"/>
      <c r="D357" s="3"/>
      <c r="E357" s="4"/>
      <c r="F357" s="3"/>
      <c r="G357" s="5"/>
      <c r="H357" s="3"/>
      <c r="I357" s="5"/>
      <c r="J357" s="3"/>
      <c r="K357" s="5"/>
      <c r="L357" s="3"/>
      <c r="M357" s="5"/>
      <c r="N357" s="5"/>
    </row>
    <row r="358">
      <c r="A358" s="2"/>
      <c r="B358" s="3"/>
      <c r="C358" s="3"/>
      <c r="D358" s="3"/>
      <c r="E358" s="4"/>
      <c r="F358" s="3"/>
      <c r="G358" s="5"/>
      <c r="H358" s="3"/>
      <c r="I358" s="5"/>
      <c r="J358" s="3"/>
      <c r="K358" s="5"/>
      <c r="L358" s="3"/>
      <c r="M358" s="5"/>
      <c r="N358" s="5"/>
    </row>
    <row r="359">
      <c r="A359" s="2"/>
      <c r="B359" s="3"/>
      <c r="C359" s="3"/>
      <c r="D359" s="3"/>
      <c r="E359" s="4"/>
      <c r="F359" s="3"/>
      <c r="G359" s="5"/>
      <c r="H359" s="3"/>
      <c r="I359" s="5"/>
      <c r="J359" s="3"/>
      <c r="K359" s="5"/>
      <c r="L359" s="3"/>
      <c r="M359" s="5"/>
      <c r="N359" s="5"/>
    </row>
    <row r="360">
      <c r="A360" s="2"/>
      <c r="B360" s="3"/>
      <c r="C360" s="3"/>
      <c r="D360" s="3"/>
      <c r="E360" s="4"/>
      <c r="F360" s="3"/>
      <c r="G360" s="5"/>
      <c r="H360" s="3"/>
      <c r="I360" s="5"/>
      <c r="J360" s="3"/>
      <c r="K360" s="5"/>
      <c r="L360" s="3"/>
      <c r="M360" s="5"/>
      <c r="N360" s="5"/>
    </row>
    <row r="361">
      <c r="A361" s="2"/>
      <c r="B361" s="3"/>
      <c r="C361" s="3"/>
      <c r="D361" s="3"/>
      <c r="E361" s="4"/>
      <c r="F361" s="3"/>
      <c r="G361" s="5"/>
      <c r="H361" s="3"/>
      <c r="I361" s="5"/>
      <c r="J361" s="3"/>
      <c r="K361" s="5"/>
      <c r="L361" s="3"/>
      <c r="M361" s="5"/>
      <c r="N361" s="5"/>
    </row>
    <row r="362">
      <c r="A362" s="2"/>
      <c r="B362" s="3"/>
      <c r="C362" s="3"/>
      <c r="D362" s="3"/>
      <c r="E362" s="4"/>
      <c r="F362" s="3"/>
      <c r="G362" s="5"/>
      <c r="H362" s="3"/>
      <c r="I362" s="5"/>
      <c r="J362" s="3"/>
      <c r="K362" s="5"/>
      <c r="L362" s="3"/>
      <c r="M362" s="5"/>
      <c r="N362" s="5"/>
    </row>
    <row r="363">
      <c r="A363" s="2"/>
      <c r="B363" s="3"/>
      <c r="C363" s="3"/>
      <c r="D363" s="3"/>
      <c r="E363" s="4"/>
      <c r="F363" s="3"/>
      <c r="G363" s="5"/>
      <c r="H363" s="3"/>
      <c r="I363" s="5"/>
      <c r="J363" s="3"/>
      <c r="K363" s="5"/>
      <c r="L363" s="3"/>
      <c r="M363" s="5"/>
      <c r="N363" s="5"/>
    </row>
    <row r="364">
      <c r="A364" s="2"/>
      <c r="B364" s="3"/>
      <c r="C364" s="3"/>
      <c r="D364" s="3"/>
      <c r="E364" s="4"/>
      <c r="F364" s="3"/>
      <c r="G364" s="5"/>
      <c r="H364" s="3"/>
      <c r="I364" s="5"/>
      <c r="J364" s="3"/>
      <c r="K364" s="5"/>
      <c r="L364" s="3"/>
      <c r="M364" s="5"/>
      <c r="N364" s="5"/>
    </row>
    <row r="365">
      <c r="A365" s="2"/>
      <c r="B365" s="3"/>
      <c r="C365" s="3"/>
      <c r="D365" s="3"/>
      <c r="E365" s="4"/>
      <c r="F365" s="3"/>
      <c r="G365" s="5"/>
      <c r="H365" s="3"/>
      <c r="I365" s="5"/>
      <c r="J365" s="3"/>
      <c r="K365" s="5"/>
      <c r="L365" s="3"/>
      <c r="M365" s="5"/>
      <c r="N365" s="5"/>
    </row>
    <row r="366">
      <c r="A366" s="2"/>
      <c r="B366" s="3"/>
      <c r="C366" s="3"/>
      <c r="D366" s="3"/>
      <c r="E366" s="4"/>
      <c r="F366" s="3"/>
      <c r="G366" s="5"/>
      <c r="H366" s="3"/>
      <c r="I366" s="5"/>
      <c r="J366" s="3"/>
      <c r="K366" s="5"/>
      <c r="L366" s="3"/>
      <c r="M366" s="5"/>
      <c r="N366" s="5"/>
    </row>
    <row r="367">
      <c r="A367" s="2"/>
      <c r="B367" s="3"/>
      <c r="C367" s="3"/>
      <c r="D367" s="3"/>
      <c r="E367" s="4"/>
      <c r="F367" s="3"/>
      <c r="G367" s="5"/>
      <c r="H367" s="3"/>
      <c r="I367" s="5"/>
      <c r="J367" s="3"/>
      <c r="K367" s="5"/>
      <c r="L367" s="3"/>
      <c r="M367" s="5"/>
      <c r="N367" s="5"/>
    </row>
    <row r="368">
      <c r="A368" s="2"/>
      <c r="B368" s="3"/>
      <c r="C368" s="3"/>
      <c r="D368" s="3"/>
      <c r="E368" s="4"/>
      <c r="F368" s="3"/>
      <c r="G368" s="5"/>
      <c r="H368" s="3"/>
      <c r="I368" s="5"/>
      <c r="J368" s="3"/>
      <c r="K368" s="5"/>
      <c r="L368" s="3"/>
      <c r="M368" s="5"/>
      <c r="N368" s="5"/>
    </row>
    <row r="369">
      <c r="A369" s="2"/>
      <c r="B369" s="3"/>
      <c r="C369" s="3"/>
      <c r="D369" s="3"/>
      <c r="E369" s="4"/>
      <c r="F369" s="3"/>
      <c r="G369" s="5"/>
      <c r="H369" s="3"/>
      <c r="I369" s="5"/>
      <c r="J369" s="3"/>
      <c r="K369" s="5"/>
      <c r="L369" s="3"/>
      <c r="M369" s="5"/>
      <c r="N369" s="5"/>
    </row>
    <row r="370">
      <c r="A370" s="2"/>
      <c r="B370" s="3"/>
      <c r="C370" s="3"/>
      <c r="D370" s="3"/>
      <c r="E370" s="4"/>
      <c r="F370" s="3"/>
      <c r="G370" s="5"/>
      <c r="H370" s="3"/>
      <c r="I370" s="5"/>
      <c r="J370" s="3"/>
      <c r="K370" s="5"/>
      <c r="L370" s="3"/>
      <c r="M370" s="5"/>
      <c r="N370" s="5"/>
    </row>
    <row r="371">
      <c r="A371" s="2"/>
      <c r="B371" s="3"/>
      <c r="C371" s="3"/>
      <c r="D371" s="3"/>
      <c r="E371" s="4"/>
      <c r="F371" s="3"/>
      <c r="G371" s="5"/>
      <c r="H371" s="3"/>
      <c r="I371" s="5"/>
      <c r="J371" s="3"/>
      <c r="K371" s="5"/>
      <c r="L371" s="3"/>
      <c r="M371" s="5"/>
      <c r="N371" s="5"/>
    </row>
    <row r="372">
      <c r="A372" s="2"/>
      <c r="B372" s="3"/>
      <c r="C372" s="3"/>
      <c r="D372" s="3"/>
      <c r="E372" s="4"/>
      <c r="F372" s="3"/>
      <c r="G372" s="5"/>
      <c r="H372" s="3"/>
      <c r="I372" s="5"/>
      <c r="J372" s="3"/>
      <c r="K372" s="5"/>
      <c r="L372" s="3"/>
      <c r="M372" s="5"/>
      <c r="N372" s="5"/>
    </row>
    <row r="373">
      <c r="A373" s="2"/>
      <c r="B373" s="3"/>
      <c r="C373" s="3"/>
      <c r="D373" s="3"/>
      <c r="E373" s="4"/>
      <c r="F373" s="3"/>
      <c r="G373" s="5"/>
      <c r="H373" s="3"/>
      <c r="I373" s="5"/>
      <c r="J373" s="3"/>
      <c r="K373" s="5"/>
      <c r="L373" s="3"/>
      <c r="M373" s="5"/>
      <c r="N373" s="5"/>
    </row>
    <row r="374">
      <c r="A374" s="2"/>
      <c r="B374" s="3"/>
      <c r="C374" s="3"/>
      <c r="D374" s="3"/>
      <c r="E374" s="4"/>
      <c r="F374" s="3"/>
      <c r="G374" s="5"/>
      <c r="H374" s="3"/>
      <c r="I374" s="5"/>
      <c r="J374" s="3"/>
      <c r="K374" s="5"/>
      <c r="L374" s="3"/>
      <c r="M374" s="5"/>
      <c r="N374" s="5"/>
    </row>
    <row r="375">
      <c r="A375" s="2"/>
      <c r="B375" s="3"/>
      <c r="C375" s="3"/>
      <c r="D375" s="3"/>
      <c r="E375" s="4"/>
      <c r="F375" s="3"/>
      <c r="G375" s="5"/>
      <c r="H375" s="3"/>
      <c r="I375" s="5"/>
      <c r="J375" s="3"/>
      <c r="K375" s="5"/>
      <c r="L375" s="3"/>
      <c r="M375" s="5"/>
      <c r="N375" s="5"/>
    </row>
    <row r="376">
      <c r="A376" s="2"/>
      <c r="B376" s="3"/>
      <c r="C376" s="3"/>
      <c r="D376" s="3"/>
      <c r="E376" s="4"/>
      <c r="F376" s="3"/>
      <c r="G376" s="5"/>
      <c r="H376" s="3"/>
      <c r="I376" s="5"/>
      <c r="J376" s="3"/>
      <c r="K376" s="5"/>
      <c r="L376" s="3"/>
      <c r="M376" s="5"/>
      <c r="N376" s="5"/>
    </row>
    <row r="377">
      <c r="A377" s="2"/>
      <c r="B377" s="3"/>
      <c r="C377" s="3"/>
      <c r="D377" s="3"/>
      <c r="E377" s="4"/>
      <c r="F377" s="3"/>
      <c r="G377" s="5"/>
      <c r="H377" s="3"/>
      <c r="I377" s="5"/>
      <c r="J377" s="3"/>
      <c r="K377" s="5"/>
      <c r="L377" s="3"/>
      <c r="M377" s="5"/>
      <c r="N377" s="5"/>
    </row>
    <row r="378">
      <c r="A378" s="2"/>
      <c r="B378" s="3"/>
      <c r="C378" s="3"/>
      <c r="D378" s="3"/>
      <c r="E378" s="4"/>
      <c r="F378" s="3"/>
      <c r="G378" s="5"/>
      <c r="H378" s="3"/>
      <c r="I378" s="5"/>
      <c r="J378" s="3"/>
      <c r="K378" s="5"/>
      <c r="L378" s="3"/>
      <c r="M378" s="5"/>
      <c r="N378" s="5"/>
    </row>
    <row r="379">
      <c r="A379" s="2"/>
      <c r="B379" s="3"/>
      <c r="C379" s="3"/>
      <c r="D379" s="3"/>
      <c r="E379" s="4"/>
      <c r="F379" s="3"/>
      <c r="G379" s="5"/>
      <c r="H379" s="3"/>
      <c r="I379" s="5"/>
      <c r="J379" s="3"/>
      <c r="K379" s="5"/>
      <c r="L379" s="3"/>
      <c r="M379" s="5"/>
      <c r="N379" s="5"/>
    </row>
    <row r="380">
      <c r="A380" s="2"/>
      <c r="B380" s="3"/>
      <c r="C380" s="3"/>
      <c r="D380" s="3"/>
      <c r="E380" s="4"/>
      <c r="F380" s="3"/>
      <c r="G380" s="5"/>
      <c r="H380" s="3"/>
      <c r="I380" s="5"/>
      <c r="J380" s="3"/>
      <c r="K380" s="5"/>
      <c r="L380" s="3"/>
      <c r="M380" s="5"/>
      <c r="N380" s="5"/>
    </row>
    <row r="381">
      <c r="A381" s="2"/>
      <c r="B381" s="3"/>
      <c r="C381" s="3"/>
      <c r="D381" s="3"/>
      <c r="E381" s="4"/>
      <c r="F381" s="3"/>
      <c r="G381" s="5"/>
      <c r="H381" s="3"/>
      <c r="I381" s="5"/>
      <c r="J381" s="3"/>
      <c r="K381" s="5"/>
      <c r="L381" s="3"/>
      <c r="M381" s="5"/>
      <c r="N381" s="5"/>
    </row>
    <row r="382">
      <c r="A382" s="2"/>
      <c r="B382" s="3"/>
      <c r="C382" s="3"/>
      <c r="D382" s="3"/>
      <c r="E382" s="4"/>
      <c r="F382" s="3"/>
      <c r="G382" s="5"/>
      <c r="H382" s="3"/>
      <c r="I382" s="5"/>
      <c r="J382" s="3"/>
      <c r="K382" s="5"/>
      <c r="L382" s="3"/>
      <c r="M382" s="5"/>
      <c r="N382" s="5"/>
    </row>
    <row r="383">
      <c r="A383" s="2"/>
      <c r="B383" s="3"/>
      <c r="C383" s="3"/>
      <c r="D383" s="3"/>
      <c r="E383" s="4"/>
      <c r="F383" s="3"/>
      <c r="G383" s="5"/>
      <c r="H383" s="3"/>
      <c r="I383" s="5"/>
      <c r="J383" s="3"/>
      <c r="K383" s="5"/>
      <c r="L383" s="3"/>
      <c r="M383" s="5"/>
      <c r="N383" s="5"/>
    </row>
    <row r="384">
      <c r="A384" s="2"/>
      <c r="B384" s="3"/>
      <c r="C384" s="3"/>
      <c r="D384" s="3"/>
      <c r="E384" s="4"/>
      <c r="F384" s="3"/>
      <c r="G384" s="5"/>
      <c r="H384" s="3"/>
      <c r="I384" s="5"/>
      <c r="J384" s="3"/>
      <c r="K384" s="5"/>
      <c r="L384" s="3"/>
      <c r="M384" s="5"/>
      <c r="N384" s="5"/>
    </row>
    <row r="385">
      <c r="A385" s="2"/>
      <c r="B385" s="3"/>
      <c r="C385" s="3"/>
      <c r="D385" s="3"/>
      <c r="E385" s="4"/>
      <c r="F385" s="3"/>
      <c r="G385" s="5"/>
      <c r="H385" s="3"/>
      <c r="I385" s="5"/>
      <c r="J385" s="3"/>
      <c r="K385" s="5"/>
      <c r="L385" s="3"/>
      <c r="M385" s="5"/>
      <c r="N385" s="5"/>
    </row>
    <row r="386">
      <c r="A386" s="2"/>
      <c r="B386" s="3"/>
      <c r="C386" s="3"/>
      <c r="D386" s="3"/>
      <c r="E386" s="4"/>
      <c r="F386" s="3"/>
      <c r="G386" s="5"/>
      <c r="H386" s="3"/>
      <c r="I386" s="5"/>
      <c r="J386" s="3"/>
      <c r="K386" s="5"/>
      <c r="L386" s="3"/>
      <c r="M386" s="5"/>
      <c r="N386" s="5"/>
    </row>
    <row r="387">
      <c r="A387" s="2"/>
      <c r="B387" s="3"/>
      <c r="C387" s="3"/>
      <c r="D387" s="3"/>
      <c r="E387" s="4"/>
      <c r="F387" s="3"/>
      <c r="G387" s="5"/>
      <c r="H387" s="3"/>
      <c r="I387" s="5"/>
      <c r="J387" s="3"/>
      <c r="K387" s="5"/>
      <c r="L387" s="3"/>
      <c r="M387" s="5"/>
      <c r="N387" s="5"/>
    </row>
    <row r="388">
      <c r="A388" s="2"/>
      <c r="B388" s="3"/>
      <c r="C388" s="3"/>
      <c r="D388" s="3"/>
      <c r="E388" s="4"/>
      <c r="F388" s="3"/>
      <c r="G388" s="5"/>
      <c r="H388" s="3"/>
      <c r="I388" s="5"/>
      <c r="J388" s="3"/>
      <c r="K388" s="5"/>
      <c r="L388" s="3"/>
      <c r="M388" s="5"/>
      <c r="N388" s="5"/>
    </row>
    <row r="389">
      <c r="A389" s="2"/>
      <c r="B389" s="3"/>
      <c r="C389" s="3"/>
      <c r="D389" s="3"/>
      <c r="E389" s="4"/>
      <c r="F389" s="3"/>
      <c r="G389" s="5"/>
      <c r="H389" s="3"/>
      <c r="I389" s="5"/>
      <c r="J389" s="3"/>
      <c r="K389" s="5"/>
      <c r="L389" s="3"/>
      <c r="M389" s="5"/>
      <c r="N389" s="5"/>
    </row>
    <row r="390">
      <c r="A390" s="2"/>
      <c r="B390" s="3"/>
      <c r="C390" s="3"/>
      <c r="D390" s="3"/>
      <c r="E390" s="4"/>
      <c r="F390" s="3"/>
      <c r="G390" s="5"/>
      <c r="H390" s="3"/>
      <c r="I390" s="5"/>
      <c r="J390" s="3"/>
      <c r="K390" s="5"/>
      <c r="L390" s="3"/>
      <c r="M390" s="5"/>
      <c r="N390" s="5"/>
    </row>
    <row r="391">
      <c r="A391" s="2"/>
      <c r="B391" s="3"/>
      <c r="C391" s="3"/>
      <c r="D391" s="3"/>
      <c r="E391" s="4"/>
      <c r="F391" s="3"/>
      <c r="G391" s="5"/>
      <c r="H391" s="3"/>
      <c r="I391" s="5"/>
      <c r="J391" s="3"/>
      <c r="K391" s="5"/>
      <c r="L391" s="3"/>
      <c r="M391" s="5"/>
      <c r="N391" s="5"/>
    </row>
    <row r="392">
      <c r="A392" s="2"/>
      <c r="B392" s="3"/>
      <c r="C392" s="3"/>
      <c r="D392" s="3"/>
      <c r="E392" s="4"/>
      <c r="F392" s="3"/>
      <c r="G392" s="5"/>
      <c r="H392" s="3"/>
      <c r="I392" s="5"/>
      <c r="J392" s="3"/>
      <c r="K392" s="5"/>
      <c r="L392" s="3"/>
      <c r="M392" s="5"/>
      <c r="N392" s="5"/>
    </row>
    <row r="393">
      <c r="A393" s="2"/>
      <c r="B393" s="3"/>
      <c r="C393" s="3"/>
      <c r="D393" s="3"/>
      <c r="E393" s="4"/>
      <c r="F393" s="3"/>
      <c r="G393" s="5"/>
      <c r="H393" s="3"/>
      <c r="I393" s="5"/>
      <c r="J393" s="3"/>
      <c r="K393" s="5"/>
      <c r="L393" s="3"/>
      <c r="M393" s="5"/>
      <c r="N393" s="5"/>
    </row>
    <row r="394">
      <c r="A394" s="2"/>
      <c r="B394" s="3"/>
      <c r="C394" s="3"/>
      <c r="D394" s="3"/>
      <c r="E394" s="4"/>
      <c r="F394" s="3"/>
      <c r="G394" s="5"/>
      <c r="H394" s="3"/>
      <c r="I394" s="5"/>
      <c r="J394" s="3"/>
      <c r="K394" s="5"/>
      <c r="L394" s="3"/>
      <c r="M394" s="5"/>
      <c r="N394" s="5"/>
    </row>
    <row r="395">
      <c r="A395" s="2"/>
      <c r="B395" s="3"/>
      <c r="C395" s="3"/>
      <c r="D395" s="3"/>
      <c r="E395" s="4"/>
      <c r="F395" s="3"/>
      <c r="G395" s="5"/>
      <c r="H395" s="3"/>
      <c r="I395" s="5"/>
      <c r="J395" s="3"/>
      <c r="K395" s="5"/>
      <c r="L395" s="3"/>
      <c r="M395" s="5"/>
      <c r="N395" s="5"/>
    </row>
    <row r="396">
      <c r="A396" s="2"/>
      <c r="B396" s="3"/>
      <c r="C396" s="3"/>
      <c r="D396" s="3"/>
      <c r="E396" s="4"/>
      <c r="F396" s="3"/>
      <c r="G396" s="5"/>
      <c r="H396" s="3"/>
      <c r="I396" s="5"/>
      <c r="J396" s="3"/>
      <c r="K396" s="5"/>
      <c r="L396" s="3"/>
      <c r="M396" s="5"/>
      <c r="N396" s="5"/>
    </row>
    <row r="397">
      <c r="A397" s="2"/>
      <c r="B397" s="3"/>
      <c r="C397" s="3"/>
      <c r="D397" s="3"/>
      <c r="E397" s="4"/>
      <c r="F397" s="3"/>
      <c r="G397" s="5"/>
      <c r="H397" s="3"/>
      <c r="I397" s="5"/>
      <c r="J397" s="3"/>
      <c r="K397" s="5"/>
      <c r="L397" s="3"/>
      <c r="M397" s="5"/>
      <c r="N397" s="5"/>
    </row>
    <row r="398">
      <c r="A398" s="2"/>
      <c r="B398" s="3"/>
      <c r="C398" s="3"/>
      <c r="D398" s="3"/>
      <c r="E398" s="4"/>
      <c r="F398" s="3"/>
      <c r="G398" s="5"/>
      <c r="H398" s="3"/>
      <c r="I398" s="5"/>
      <c r="J398" s="3"/>
      <c r="K398" s="5"/>
      <c r="L398" s="3"/>
      <c r="M398" s="5"/>
      <c r="N398" s="5"/>
    </row>
    <row r="399">
      <c r="A399" s="2"/>
      <c r="B399" s="3"/>
      <c r="C399" s="3"/>
      <c r="D399" s="3"/>
      <c r="E399" s="4"/>
      <c r="F399" s="3"/>
      <c r="G399" s="5"/>
      <c r="H399" s="3"/>
      <c r="I399" s="5"/>
      <c r="J399" s="3"/>
      <c r="K399" s="5"/>
      <c r="L399" s="3"/>
      <c r="M399" s="5"/>
      <c r="N399" s="5"/>
    </row>
    <row r="400">
      <c r="A400" s="2"/>
      <c r="B400" s="3"/>
      <c r="C400" s="3"/>
      <c r="D400" s="3"/>
      <c r="E400" s="4"/>
      <c r="F400" s="3"/>
      <c r="G400" s="5"/>
      <c r="H400" s="3"/>
      <c r="I400" s="5"/>
      <c r="J400" s="3"/>
      <c r="K400" s="5"/>
      <c r="L400" s="3"/>
      <c r="M400" s="5"/>
      <c r="N400" s="5"/>
    </row>
    <row r="401">
      <c r="A401" s="2"/>
      <c r="B401" s="3"/>
      <c r="C401" s="3"/>
      <c r="D401" s="3"/>
      <c r="E401" s="4"/>
      <c r="F401" s="3"/>
      <c r="G401" s="5"/>
      <c r="H401" s="3"/>
      <c r="I401" s="5"/>
      <c r="J401" s="3"/>
      <c r="K401" s="5"/>
      <c r="L401" s="3"/>
      <c r="M401" s="5"/>
      <c r="N401" s="5"/>
    </row>
    <row r="402">
      <c r="A402" s="2"/>
      <c r="B402" s="3"/>
      <c r="C402" s="3"/>
      <c r="D402" s="3"/>
      <c r="E402" s="4"/>
      <c r="F402" s="3"/>
      <c r="G402" s="5"/>
      <c r="H402" s="3"/>
      <c r="I402" s="5"/>
      <c r="J402" s="3"/>
      <c r="K402" s="5"/>
      <c r="L402" s="3"/>
      <c r="M402" s="5"/>
      <c r="N402" s="5"/>
    </row>
    <row r="403">
      <c r="A403" s="2"/>
      <c r="B403" s="3"/>
      <c r="C403" s="3"/>
      <c r="D403" s="3"/>
      <c r="E403" s="4"/>
      <c r="F403" s="3"/>
      <c r="G403" s="5"/>
      <c r="H403" s="3"/>
      <c r="I403" s="5"/>
      <c r="J403" s="3"/>
      <c r="K403" s="5"/>
      <c r="L403" s="3"/>
      <c r="M403" s="5"/>
      <c r="N403" s="5"/>
    </row>
    <row r="404">
      <c r="A404" s="2"/>
      <c r="B404" s="3"/>
      <c r="C404" s="3"/>
      <c r="D404" s="3"/>
      <c r="E404" s="4"/>
      <c r="F404" s="3"/>
      <c r="G404" s="5"/>
      <c r="H404" s="3"/>
      <c r="I404" s="5"/>
      <c r="J404" s="3"/>
      <c r="K404" s="5"/>
      <c r="L404" s="3"/>
      <c r="M404" s="5"/>
      <c r="N404" s="5"/>
    </row>
    <row r="405">
      <c r="A405" s="2"/>
      <c r="B405" s="3"/>
      <c r="C405" s="3"/>
      <c r="D405" s="3"/>
      <c r="E405" s="4"/>
      <c r="F405" s="3"/>
      <c r="G405" s="5"/>
      <c r="H405" s="3"/>
      <c r="I405" s="5"/>
      <c r="J405" s="3"/>
      <c r="K405" s="5"/>
      <c r="L405" s="3"/>
      <c r="M405" s="5"/>
      <c r="N405" s="5"/>
    </row>
    <row r="406">
      <c r="A406" s="2"/>
      <c r="B406" s="3"/>
      <c r="C406" s="3"/>
      <c r="D406" s="3"/>
      <c r="E406" s="4"/>
      <c r="F406" s="3"/>
      <c r="G406" s="5"/>
      <c r="H406" s="3"/>
      <c r="I406" s="5"/>
      <c r="J406" s="3"/>
      <c r="K406" s="5"/>
      <c r="L406" s="3"/>
      <c r="M406" s="5"/>
      <c r="N406" s="5"/>
    </row>
    <row r="407">
      <c r="A407" s="2"/>
      <c r="B407" s="3"/>
      <c r="C407" s="3"/>
      <c r="D407" s="3"/>
      <c r="E407" s="4"/>
      <c r="F407" s="3"/>
      <c r="G407" s="5"/>
      <c r="H407" s="3"/>
      <c r="I407" s="5"/>
      <c r="J407" s="3"/>
      <c r="K407" s="5"/>
      <c r="L407" s="3"/>
      <c r="M407" s="5"/>
      <c r="N407" s="5"/>
    </row>
    <row r="408">
      <c r="A408" s="2"/>
      <c r="B408" s="3"/>
      <c r="C408" s="3"/>
      <c r="D408" s="3"/>
      <c r="E408" s="4"/>
      <c r="F408" s="3"/>
      <c r="G408" s="5"/>
      <c r="H408" s="3"/>
      <c r="I408" s="5"/>
      <c r="J408" s="3"/>
      <c r="K408" s="5"/>
      <c r="L408" s="3"/>
      <c r="M408" s="5"/>
      <c r="N408" s="5"/>
    </row>
    <row r="409">
      <c r="A409" s="2"/>
      <c r="B409" s="3"/>
      <c r="C409" s="3"/>
      <c r="D409" s="3"/>
      <c r="E409" s="4"/>
      <c r="F409" s="3"/>
      <c r="G409" s="5"/>
      <c r="H409" s="3"/>
      <c r="I409" s="5"/>
      <c r="J409" s="3"/>
      <c r="K409" s="5"/>
      <c r="L409" s="3"/>
      <c r="M409" s="5"/>
      <c r="N409" s="5"/>
    </row>
    <row r="410">
      <c r="A410" s="2"/>
      <c r="B410" s="3"/>
      <c r="C410" s="3"/>
      <c r="D410" s="3"/>
      <c r="E410" s="4"/>
      <c r="F410" s="3"/>
      <c r="G410" s="5"/>
      <c r="H410" s="3"/>
      <c r="I410" s="5"/>
      <c r="J410" s="3"/>
      <c r="K410" s="5"/>
      <c r="L410" s="3"/>
      <c r="M410" s="5"/>
      <c r="N410" s="5"/>
    </row>
    <row r="411">
      <c r="A411" s="2"/>
      <c r="B411" s="3"/>
      <c r="C411" s="3"/>
      <c r="D411" s="3"/>
      <c r="E411" s="4"/>
      <c r="F411" s="3"/>
      <c r="G411" s="5"/>
      <c r="H411" s="3"/>
      <c r="I411" s="5"/>
      <c r="J411" s="3"/>
      <c r="K411" s="5"/>
      <c r="L411" s="3"/>
      <c r="M411" s="5"/>
      <c r="N411" s="5"/>
    </row>
    <row r="412">
      <c r="A412" s="2"/>
      <c r="B412" s="3"/>
      <c r="C412" s="3"/>
      <c r="D412" s="3"/>
      <c r="E412" s="4"/>
      <c r="F412" s="3"/>
      <c r="G412" s="5"/>
      <c r="H412" s="3"/>
      <c r="I412" s="5"/>
      <c r="J412" s="3"/>
      <c r="K412" s="5"/>
      <c r="L412" s="3"/>
      <c r="M412" s="5"/>
      <c r="N412" s="5"/>
    </row>
    <row r="413">
      <c r="A413" s="2"/>
      <c r="B413" s="3"/>
      <c r="C413" s="3"/>
      <c r="D413" s="3"/>
      <c r="E413" s="4"/>
      <c r="F413" s="3"/>
      <c r="G413" s="5"/>
      <c r="H413" s="3"/>
      <c r="I413" s="5"/>
      <c r="J413" s="3"/>
      <c r="K413" s="5"/>
      <c r="L413" s="3"/>
      <c r="M413" s="5"/>
      <c r="N413" s="5"/>
    </row>
    <row r="414">
      <c r="A414" s="2"/>
      <c r="B414" s="3"/>
      <c r="C414" s="3"/>
      <c r="D414" s="3"/>
      <c r="E414" s="4"/>
      <c r="F414" s="3"/>
      <c r="G414" s="5"/>
      <c r="H414" s="3"/>
      <c r="I414" s="5"/>
      <c r="J414" s="3"/>
      <c r="K414" s="5"/>
      <c r="L414" s="3"/>
      <c r="M414" s="5"/>
      <c r="N414" s="5"/>
    </row>
    <row r="415">
      <c r="A415" s="2"/>
      <c r="B415" s="3"/>
      <c r="C415" s="3"/>
      <c r="D415" s="3"/>
      <c r="E415" s="4"/>
      <c r="F415" s="3"/>
      <c r="G415" s="5"/>
      <c r="H415" s="3"/>
      <c r="I415" s="5"/>
      <c r="J415" s="3"/>
      <c r="K415" s="5"/>
      <c r="L415" s="3"/>
      <c r="M415" s="5"/>
      <c r="N415" s="5"/>
    </row>
    <row r="416">
      <c r="A416" s="2"/>
      <c r="B416" s="3"/>
      <c r="C416" s="3"/>
      <c r="D416" s="3"/>
      <c r="E416" s="4"/>
      <c r="F416" s="3"/>
      <c r="G416" s="5"/>
      <c r="H416" s="3"/>
      <c r="I416" s="5"/>
      <c r="J416" s="3"/>
      <c r="K416" s="5"/>
      <c r="L416" s="3"/>
      <c r="M416" s="5"/>
      <c r="N416" s="5"/>
    </row>
    <row r="417">
      <c r="A417" s="2"/>
      <c r="B417" s="3"/>
      <c r="C417" s="3"/>
      <c r="D417" s="3"/>
      <c r="E417" s="4"/>
      <c r="F417" s="3"/>
      <c r="G417" s="5"/>
      <c r="H417" s="3"/>
      <c r="I417" s="5"/>
      <c r="J417" s="3"/>
      <c r="K417" s="5"/>
      <c r="L417" s="3"/>
      <c r="M417" s="5"/>
      <c r="N417" s="5"/>
    </row>
    <row r="418">
      <c r="A418" s="2"/>
      <c r="B418" s="3"/>
      <c r="C418" s="3"/>
      <c r="D418" s="3"/>
      <c r="E418" s="4"/>
      <c r="F418" s="3"/>
      <c r="G418" s="5"/>
      <c r="H418" s="3"/>
      <c r="I418" s="5"/>
      <c r="J418" s="3"/>
      <c r="K418" s="5"/>
      <c r="L418" s="3"/>
      <c r="M418" s="5"/>
      <c r="N418" s="5"/>
    </row>
    <row r="419">
      <c r="A419" s="2"/>
      <c r="B419" s="3"/>
      <c r="C419" s="3"/>
      <c r="D419" s="3"/>
      <c r="E419" s="4"/>
      <c r="F419" s="3"/>
      <c r="G419" s="5"/>
      <c r="H419" s="3"/>
      <c r="I419" s="5"/>
      <c r="J419" s="3"/>
      <c r="K419" s="5"/>
      <c r="L419" s="3"/>
      <c r="M419" s="5"/>
      <c r="N419" s="5"/>
    </row>
    <row r="420">
      <c r="A420" s="2"/>
      <c r="B420" s="3"/>
      <c r="C420" s="3"/>
      <c r="D420" s="3"/>
      <c r="E420" s="4"/>
      <c r="F420" s="3"/>
      <c r="G420" s="5"/>
      <c r="H420" s="3"/>
      <c r="I420" s="5"/>
      <c r="J420" s="3"/>
      <c r="K420" s="5"/>
      <c r="L420" s="3"/>
      <c r="M420" s="5"/>
      <c r="N420" s="5"/>
    </row>
    <row r="421">
      <c r="A421" s="2"/>
      <c r="B421" s="3"/>
      <c r="C421" s="3"/>
      <c r="D421" s="3"/>
      <c r="E421" s="4"/>
      <c r="F421" s="3"/>
      <c r="G421" s="5"/>
      <c r="H421" s="3"/>
      <c r="I421" s="5"/>
      <c r="J421" s="3"/>
      <c r="K421" s="5"/>
      <c r="L421" s="3"/>
      <c r="M421" s="5"/>
      <c r="N421" s="5"/>
    </row>
    <row r="422">
      <c r="A422" s="2"/>
      <c r="B422" s="3"/>
      <c r="C422" s="3"/>
      <c r="D422" s="3"/>
      <c r="E422" s="4"/>
      <c r="F422" s="3"/>
      <c r="G422" s="5"/>
      <c r="H422" s="3"/>
      <c r="I422" s="5"/>
      <c r="J422" s="3"/>
      <c r="K422" s="5"/>
      <c r="L422" s="3"/>
      <c r="M422" s="5"/>
      <c r="N422" s="5"/>
    </row>
    <row r="423">
      <c r="A423" s="2"/>
      <c r="B423" s="3"/>
      <c r="C423" s="3"/>
      <c r="D423" s="3"/>
      <c r="E423" s="4"/>
      <c r="F423" s="3"/>
      <c r="G423" s="5"/>
      <c r="H423" s="3"/>
      <c r="I423" s="5"/>
      <c r="J423" s="3"/>
      <c r="K423" s="5"/>
      <c r="L423" s="3"/>
      <c r="M423" s="5"/>
      <c r="N423" s="5"/>
    </row>
    <row r="424">
      <c r="A424" s="2"/>
      <c r="B424" s="3"/>
      <c r="C424" s="3"/>
      <c r="D424" s="3"/>
      <c r="E424" s="4"/>
      <c r="F424" s="3"/>
      <c r="G424" s="5"/>
      <c r="H424" s="3"/>
      <c r="I424" s="5"/>
      <c r="J424" s="3"/>
      <c r="K424" s="5"/>
      <c r="L424" s="3"/>
      <c r="M424" s="5"/>
      <c r="N424" s="5"/>
    </row>
    <row r="425">
      <c r="A425" s="2"/>
      <c r="B425" s="3"/>
      <c r="C425" s="3"/>
      <c r="D425" s="3"/>
      <c r="E425" s="4"/>
      <c r="F425" s="3"/>
      <c r="G425" s="5"/>
      <c r="H425" s="3"/>
      <c r="I425" s="5"/>
      <c r="J425" s="3"/>
      <c r="K425" s="5"/>
      <c r="L425" s="3"/>
      <c r="M425" s="5"/>
      <c r="N425" s="5"/>
    </row>
    <row r="426">
      <c r="A426" s="2"/>
      <c r="B426" s="3"/>
      <c r="C426" s="3"/>
      <c r="D426" s="3"/>
      <c r="E426" s="4"/>
      <c r="F426" s="3"/>
      <c r="G426" s="5"/>
      <c r="H426" s="3"/>
      <c r="I426" s="5"/>
      <c r="J426" s="3"/>
      <c r="K426" s="5"/>
      <c r="L426" s="3"/>
      <c r="M426" s="5"/>
      <c r="N426" s="5"/>
    </row>
    <row r="427">
      <c r="A427" s="2"/>
      <c r="B427" s="3"/>
      <c r="C427" s="3"/>
      <c r="D427" s="3"/>
      <c r="E427" s="4"/>
      <c r="F427" s="3"/>
      <c r="G427" s="5"/>
      <c r="H427" s="3"/>
      <c r="I427" s="5"/>
      <c r="J427" s="3"/>
      <c r="K427" s="5"/>
      <c r="L427" s="3"/>
      <c r="M427" s="5"/>
      <c r="N427" s="5"/>
    </row>
    <row r="428">
      <c r="A428" s="2"/>
      <c r="B428" s="3"/>
      <c r="C428" s="3"/>
      <c r="D428" s="3"/>
      <c r="E428" s="4"/>
      <c r="F428" s="3"/>
      <c r="G428" s="5"/>
      <c r="H428" s="3"/>
      <c r="I428" s="5"/>
      <c r="J428" s="3"/>
      <c r="K428" s="5"/>
      <c r="L428" s="3"/>
      <c r="M428" s="5"/>
      <c r="N428" s="5"/>
    </row>
    <row r="429">
      <c r="A429" s="2"/>
      <c r="B429" s="3"/>
      <c r="C429" s="3"/>
      <c r="D429" s="3"/>
      <c r="E429" s="4"/>
      <c r="F429" s="3"/>
      <c r="G429" s="5"/>
      <c r="H429" s="3"/>
      <c r="I429" s="5"/>
      <c r="J429" s="3"/>
      <c r="K429" s="5"/>
      <c r="L429" s="3"/>
      <c r="M429" s="5"/>
      <c r="N429" s="5"/>
    </row>
    <row r="430">
      <c r="A430" s="2"/>
      <c r="B430" s="3"/>
      <c r="C430" s="3"/>
      <c r="D430" s="3"/>
      <c r="E430" s="4"/>
      <c r="F430" s="3"/>
      <c r="G430" s="5"/>
      <c r="H430" s="3"/>
      <c r="I430" s="5"/>
      <c r="J430" s="3"/>
      <c r="K430" s="5"/>
      <c r="L430" s="3"/>
      <c r="M430" s="5"/>
      <c r="N430" s="5"/>
    </row>
    <row r="431">
      <c r="A431" s="2"/>
      <c r="B431" s="3"/>
      <c r="C431" s="3"/>
      <c r="D431" s="3"/>
      <c r="E431" s="4"/>
      <c r="F431" s="3"/>
      <c r="G431" s="5"/>
      <c r="H431" s="3"/>
      <c r="I431" s="5"/>
      <c r="J431" s="3"/>
      <c r="K431" s="5"/>
      <c r="L431" s="3"/>
      <c r="M431" s="5"/>
      <c r="N431" s="5"/>
    </row>
    <row r="432">
      <c r="A432" s="2"/>
      <c r="B432" s="3"/>
      <c r="C432" s="3"/>
      <c r="D432" s="3"/>
      <c r="E432" s="4"/>
      <c r="F432" s="3"/>
      <c r="G432" s="5"/>
      <c r="H432" s="3"/>
      <c r="I432" s="5"/>
      <c r="J432" s="3"/>
      <c r="K432" s="5"/>
      <c r="L432" s="3"/>
      <c r="M432" s="5"/>
      <c r="N432" s="5"/>
    </row>
    <row r="433">
      <c r="A433" s="2"/>
      <c r="B433" s="3"/>
      <c r="C433" s="3"/>
      <c r="D433" s="3"/>
      <c r="E433" s="4"/>
      <c r="F433" s="3"/>
      <c r="G433" s="5"/>
      <c r="H433" s="3"/>
      <c r="I433" s="5"/>
      <c r="J433" s="3"/>
      <c r="K433" s="5"/>
      <c r="L433" s="3"/>
      <c r="M433" s="5"/>
      <c r="N433" s="5"/>
    </row>
    <row r="434">
      <c r="A434" s="2"/>
      <c r="B434" s="3"/>
      <c r="C434" s="3"/>
      <c r="D434" s="3"/>
      <c r="E434" s="4"/>
      <c r="F434" s="3"/>
      <c r="G434" s="5"/>
      <c r="H434" s="3"/>
      <c r="I434" s="5"/>
      <c r="J434" s="3"/>
      <c r="K434" s="5"/>
      <c r="L434" s="3"/>
      <c r="M434" s="5"/>
      <c r="N434" s="5"/>
    </row>
    <row r="435">
      <c r="A435" s="2"/>
      <c r="B435" s="3"/>
      <c r="C435" s="3"/>
      <c r="D435" s="3"/>
      <c r="E435" s="4"/>
      <c r="F435" s="3"/>
      <c r="G435" s="5"/>
      <c r="H435" s="3"/>
      <c r="I435" s="5"/>
      <c r="J435" s="3"/>
      <c r="K435" s="5"/>
      <c r="L435" s="3"/>
      <c r="M435" s="5"/>
      <c r="N435" s="5"/>
    </row>
    <row r="436">
      <c r="A436" s="2"/>
      <c r="B436" s="3"/>
      <c r="C436" s="3"/>
      <c r="D436" s="3"/>
      <c r="E436" s="4"/>
      <c r="F436" s="3"/>
      <c r="G436" s="5"/>
      <c r="H436" s="3"/>
      <c r="I436" s="5"/>
      <c r="J436" s="3"/>
      <c r="K436" s="5"/>
      <c r="L436" s="3"/>
      <c r="M436" s="5"/>
      <c r="N436" s="5"/>
    </row>
    <row r="437">
      <c r="A437" s="2"/>
      <c r="B437" s="3"/>
      <c r="C437" s="3"/>
      <c r="D437" s="3"/>
      <c r="E437" s="4"/>
      <c r="F437" s="3"/>
      <c r="G437" s="5"/>
      <c r="H437" s="3"/>
      <c r="I437" s="5"/>
      <c r="J437" s="3"/>
      <c r="K437" s="5"/>
      <c r="L437" s="3"/>
      <c r="M437" s="5"/>
      <c r="N437" s="5"/>
    </row>
    <row r="438">
      <c r="A438" s="2"/>
      <c r="B438" s="3"/>
      <c r="C438" s="3"/>
      <c r="D438" s="3"/>
      <c r="E438" s="4"/>
      <c r="F438" s="3"/>
      <c r="G438" s="5"/>
      <c r="H438" s="3"/>
      <c r="I438" s="5"/>
      <c r="J438" s="3"/>
      <c r="K438" s="5"/>
      <c r="L438" s="3"/>
      <c r="M438" s="5"/>
      <c r="N438" s="5"/>
    </row>
    <row r="439">
      <c r="A439" s="2"/>
      <c r="B439" s="3"/>
      <c r="C439" s="3"/>
      <c r="D439" s="3"/>
      <c r="E439" s="4"/>
      <c r="F439" s="3"/>
      <c r="G439" s="5"/>
      <c r="H439" s="3"/>
      <c r="I439" s="5"/>
      <c r="J439" s="3"/>
      <c r="K439" s="5"/>
      <c r="L439" s="3"/>
      <c r="M439" s="5"/>
      <c r="N439" s="5"/>
    </row>
    <row r="440">
      <c r="A440" s="2"/>
      <c r="B440" s="3"/>
      <c r="C440" s="3"/>
      <c r="D440" s="3"/>
      <c r="E440" s="4"/>
      <c r="F440" s="3"/>
      <c r="G440" s="5"/>
      <c r="H440" s="3"/>
      <c r="I440" s="5"/>
      <c r="J440" s="3"/>
      <c r="K440" s="5"/>
      <c r="L440" s="3"/>
      <c r="M440" s="5"/>
      <c r="N440" s="5"/>
    </row>
    <row r="441">
      <c r="A441" s="2"/>
      <c r="B441" s="3"/>
      <c r="C441" s="3"/>
      <c r="D441" s="3"/>
      <c r="E441" s="4"/>
      <c r="F441" s="3"/>
      <c r="G441" s="5"/>
      <c r="H441" s="3"/>
      <c r="I441" s="5"/>
      <c r="J441" s="3"/>
      <c r="K441" s="5"/>
      <c r="L441" s="3"/>
      <c r="M441" s="5"/>
      <c r="N441" s="5"/>
    </row>
    <row r="442">
      <c r="A442" s="2"/>
      <c r="B442" s="3"/>
      <c r="C442" s="3"/>
      <c r="D442" s="3"/>
      <c r="E442" s="4"/>
      <c r="F442" s="3"/>
      <c r="G442" s="5"/>
      <c r="H442" s="3"/>
      <c r="I442" s="5"/>
      <c r="J442" s="3"/>
      <c r="K442" s="5"/>
      <c r="L442" s="3"/>
      <c r="M442" s="5"/>
      <c r="N442" s="5"/>
    </row>
    <row r="443">
      <c r="A443" s="2"/>
      <c r="B443" s="3"/>
      <c r="C443" s="3"/>
      <c r="D443" s="3"/>
      <c r="E443" s="4"/>
      <c r="F443" s="3"/>
      <c r="G443" s="5"/>
      <c r="H443" s="3"/>
      <c r="I443" s="5"/>
      <c r="J443" s="3"/>
      <c r="K443" s="5"/>
      <c r="L443" s="3"/>
      <c r="M443" s="5"/>
      <c r="N443" s="5"/>
    </row>
    <row r="444">
      <c r="A444" s="2"/>
      <c r="B444" s="3"/>
      <c r="C444" s="3"/>
      <c r="D444" s="3"/>
      <c r="E444" s="4"/>
      <c r="F444" s="3"/>
      <c r="G444" s="5"/>
      <c r="H444" s="3"/>
      <c r="I444" s="5"/>
      <c r="J444" s="3"/>
      <c r="K444" s="5"/>
      <c r="L444" s="3"/>
      <c r="M444" s="5"/>
      <c r="N444" s="5"/>
    </row>
    <row r="445">
      <c r="A445" s="2"/>
      <c r="B445" s="3"/>
      <c r="C445" s="3"/>
      <c r="D445" s="3"/>
      <c r="E445" s="4"/>
      <c r="F445" s="3"/>
      <c r="G445" s="5"/>
      <c r="H445" s="3"/>
      <c r="I445" s="5"/>
      <c r="J445" s="3"/>
      <c r="K445" s="5"/>
      <c r="L445" s="3"/>
      <c r="M445" s="5"/>
      <c r="N445" s="5"/>
    </row>
    <row r="446">
      <c r="A446" s="2"/>
      <c r="B446" s="3"/>
      <c r="C446" s="3"/>
      <c r="D446" s="3"/>
      <c r="E446" s="4"/>
      <c r="F446" s="3"/>
      <c r="G446" s="5"/>
      <c r="H446" s="3"/>
      <c r="I446" s="5"/>
      <c r="J446" s="3"/>
      <c r="K446" s="5"/>
      <c r="L446" s="3"/>
      <c r="M446" s="5"/>
      <c r="N446" s="5"/>
    </row>
    <row r="447">
      <c r="A447" s="2"/>
      <c r="B447" s="3"/>
      <c r="C447" s="3"/>
      <c r="D447" s="3"/>
      <c r="E447" s="4"/>
      <c r="F447" s="3"/>
      <c r="G447" s="5"/>
      <c r="H447" s="3"/>
      <c r="I447" s="5"/>
      <c r="J447" s="3"/>
      <c r="K447" s="5"/>
      <c r="L447" s="3"/>
      <c r="M447" s="5"/>
      <c r="N447" s="5"/>
    </row>
    <row r="448">
      <c r="A448" s="2"/>
      <c r="B448" s="3"/>
      <c r="C448" s="3"/>
      <c r="D448" s="3"/>
      <c r="E448" s="4"/>
      <c r="F448" s="3"/>
      <c r="G448" s="5"/>
      <c r="H448" s="3"/>
      <c r="I448" s="5"/>
      <c r="J448" s="3"/>
      <c r="K448" s="5"/>
      <c r="L448" s="3"/>
      <c r="M448" s="5"/>
      <c r="N448" s="5"/>
    </row>
    <row r="449">
      <c r="A449" s="2"/>
      <c r="B449" s="3"/>
      <c r="C449" s="3"/>
      <c r="D449" s="3"/>
      <c r="E449" s="4"/>
      <c r="F449" s="3"/>
      <c r="G449" s="5"/>
      <c r="H449" s="3"/>
      <c r="I449" s="5"/>
      <c r="J449" s="3"/>
      <c r="K449" s="5"/>
      <c r="L449" s="3"/>
      <c r="M449" s="5"/>
      <c r="N449" s="5"/>
    </row>
    <row r="450">
      <c r="A450" s="2"/>
      <c r="B450" s="3"/>
      <c r="C450" s="3"/>
      <c r="D450" s="3"/>
      <c r="E450" s="4"/>
      <c r="F450" s="3"/>
      <c r="G450" s="5"/>
      <c r="H450" s="3"/>
      <c r="I450" s="5"/>
      <c r="J450" s="3"/>
      <c r="K450" s="5"/>
      <c r="L450" s="3"/>
      <c r="M450" s="5"/>
      <c r="N450" s="5"/>
    </row>
    <row r="451">
      <c r="A451" s="2"/>
      <c r="B451" s="3"/>
      <c r="C451" s="3"/>
      <c r="D451" s="3"/>
      <c r="E451" s="4"/>
      <c r="F451" s="3"/>
      <c r="G451" s="5"/>
      <c r="H451" s="3"/>
      <c r="I451" s="5"/>
      <c r="J451" s="3"/>
      <c r="K451" s="5"/>
      <c r="L451" s="3"/>
      <c r="M451" s="5"/>
      <c r="N451" s="5"/>
    </row>
    <row r="452">
      <c r="A452" s="2"/>
      <c r="B452" s="3"/>
      <c r="C452" s="3"/>
      <c r="D452" s="3"/>
      <c r="E452" s="4"/>
      <c r="F452" s="3"/>
      <c r="G452" s="5"/>
      <c r="H452" s="3"/>
      <c r="I452" s="5"/>
      <c r="J452" s="3"/>
      <c r="K452" s="5"/>
      <c r="L452" s="3"/>
      <c r="M452" s="5"/>
      <c r="N452" s="5"/>
    </row>
    <row r="453">
      <c r="A453" s="2"/>
      <c r="B453" s="3"/>
      <c r="C453" s="3"/>
      <c r="D453" s="3"/>
      <c r="E453" s="4"/>
      <c r="F453" s="3"/>
      <c r="G453" s="5"/>
      <c r="H453" s="3"/>
      <c r="I453" s="5"/>
      <c r="J453" s="3"/>
      <c r="K453" s="5"/>
      <c r="L453" s="3"/>
      <c r="M453" s="5"/>
      <c r="N453" s="5"/>
    </row>
    <row r="454">
      <c r="A454" s="2"/>
      <c r="B454" s="3"/>
      <c r="C454" s="3"/>
      <c r="D454" s="3"/>
      <c r="E454" s="4"/>
      <c r="F454" s="3"/>
      <c r="G454" s="5"/>
      <c r="H454" s="3"/>
      <c r="I454" s="5"/>
      <c r="J454" s="3"/>
      <c r="K454" s="5"/>
      <c r="L454" s="3"/>
      <c r="M454" s="5"/>
      <c r="N454" s="5"/>
    </row>
    <row r="455">
      <c r="A455" s="2"/>
      <c r="B455" s="3"/>
      <c r="C455" s="3"/>
      <c r="D455" s="3"/>
      <c r="E455" s="4"/>
      <c r="F455" s="3"/>
      <c r="G455" s="5"/>
      <c r="H455" s="3"/>
      <c r="I455" s="5"/>
      <c r="J455" s="3"/>
      <c r="K455" s="5"/>
      <c r="L455" s="3"/>
      <c r="M455" s="5"/>
      <c r="N455" s="5"/>
    </row>
    <row r="456">
      <c r="A456" s="2"/>
      <c r="B456" s="3"/>
      <c r="C456" s="3"/>
      <c r="D456" s="3"/>
      <c r="E456" s="4"/>
      <c r="F456" s="3"/>
      <c r="G456" s="5"/>
      <c r="H456" s="3"/>
      <c r="I456" s="5"/>
      <c r="J456" s="3"/>
      <c r="K456" s="5"/>
      <c r="L456" s="3"/>
      <c r="M456" s="5"/>
      <c r="N456" s="5"/>
    </row>
    <row r="457">
      <c r="A457" s="2"/>
      <c r="B457" s="3"/>
      <c r="C457" s="3"/>
      <c r="D457" s="3"/>
      <c r="E457" s="4"/>
      <c r="F457" s="3"/>
      <c r="G457" s="5"/>
      <c r="H457" s="3"/>
      <c r="I457" s="5"/>
      <c r="J457" s="3"/>
      <c r="K457" s="5"/>
      <c r="L457" s="3"/>
      <c r="M457" s="5"/>
      <c r="N457" s="5"/>
    </row>
    <row r="458">
      <c r="A458" s="2"/>
      <c r="B458" s="3"/>
      <c r="C458" s="3"/>
      <c r="D458" s="3"/>
      <c r="E458" s="4"/>
      <c r="F458" s="3"/>
      <c r="G458" s="5"/>
      <c r="H458" s="3"/>
      <c r="I458" s="5"/>
      <c r="J458" s="3"/>
      <c r="K458" s="5"/>
      <c r="L458" s="3"/>
      <c r="M458" s="5"/>
      <c r="N458" s="5"/>
    </row>
    <row r="459">
      <c r="A459" s="2"/>
      <c r="B459" s="3"/>
      <c r="C459" s="3"/>
      <c r="D459" s="3"/>
      <c r="E459" s="4"/>
      <c r="F459" s="3"/>
      <c r="G459" s="5"/>
      <c r="H459" s="3"/>
      <c r="I459" s="5"/>
      <c r="J459" s="3"/>
      <c r="K459" s="5"/>
      <c r="L459" s="3"/>
      <c r="M459" s="5"/>
      <c r="N459" s="5"/>
    </row>
    <row r="460">
      <c r="A460" s="2"/>
      <c r="B460" s="3"/>
      <c r="C460" s="3"/>
      <c r="D460" s="3"/>
      <c r="E460" s="4"/>
      <c r="F460" s="3"/>
      <c r="G460" s="5"/>
      <c r="H460" s="3"/>
      <c r="I460" s="5"/>
      <c r="J460" s="3"/>
      <c r="K460" s="5"/>
      <c r="L460" s="3"/>
      <c r="M460" s="5"/>
      <c r="N460" s="5"/>
    </row>
    <row r="461">
      <c r="A461" s="2"/>
      <c r="B461" s="3"/>
      <c r="C461" s="3"/>
      <c r="D461" s="3"/>
      <c r="E461" s="4"/>
      <c r="F461" s="3"/>
      <c r="G461" s="5"/>
      <c r="H461" s="3"/>
      <c r="I461" s="5"/>
      <c r="J461" s="3"/>
      <c r="K461" s="5"/>
      <c r="L461" s="3"/>
      <c r="M461" s="5"/>
      <c r="N461" s="5"/>
    </row>
    <row r="462">
      <c r="A462" s="2"/>
      <c r="B462" s="3"/>
      <c r="C462" s="3"/>
      <c r="D462" s="3"/>
      <c r="E462" s="4"/>
      <c r="F462" s="3"/>
      <c r="G462" s="5"/>
      <c r="H462" s="3"/>
      <c r="I462" s="5"/>
      <c r="J462" s="3"/>
      <c r="K462" s="5"/>
      <c r="L462" s="3"/>
      <c r="M462" s="5"/>
      <c r="N462" s="5"/>
    </row>
    <row r="463">
      <c r="A463" s="2"/>
      <c r="B463" s="3"/>
      <c r="C463" s="3"/>
      <c r="D463" s="3"/>
      <c r="E463" s="4"/>
      <c r="F463" s="3"/>
      <c r="G463" s="5"/>
      <c r="H463" s="3"/>
      <c r="I463" s="5"/>
      <c r="J463" s="3"/>
      <c r="K463" s="5"/>
      <c r="L463" s="3"/>
      <c r="M463" s="5"/>
      <c r="N463" s="5"/>
    </row>
    <row r="464">
      <c r="A464" s="2"/>
      <c r="B464" s="3"/>
      <c r="C464" s="3"/>
      <c r="D464" s="3"/>
      <c r="E464" s="4"/>
      <c r="F464" s="3"/>
      <c r="G464" s="5"/>
      <c r="H464" s="3"/>
      <c r="I464" s="5"/>
      <c r="J464" s="3"/>
      <c r="K464" s="5"/>
      <c r="L464" s="3"/>
      <c r="M464" s="5"/>
      <c r="N464" s="5"/>
    </row>
    <row r="465">
      <c r="A465" s="2"/>
      <c r="B465" s="3"/>
      <c r="C465" s="3"/>
      <c r="D465" s="3"/>
      <c r="E465" s="4"/>
      <c r="F465" s="3"/>
      <c r="G465" s="5"/>
      <c r="H465" s="3"/>
      <c r="I465" s="5"/>
      <c r="J465" s="3"/>
      <c r="K465" s="5"/>
      <c r="L465" s="3"/>
      <c r="M465" s="5"/>
      <c r="N465" s="5"/>
    </row>
    <row r="466">
      <c r="A466" s="2"/>
      <c r="B466" s="3"/>
      <c r="C466" s="3"/>
      <c r="D466" s="3"/>
      <c r="E466" s="4"/>
      <c r="F466" s="3"/>
      <c r="G466" s="5"/>
      <c r="H466" s="3"/>
      <c r="I466" s="5"/>
      <c r="J466" s="3"/>
      <c r="K466" s="5"/>
      <c r="L466" s="3"/>
      <c r="M466" s="5"/>
      <c r="N466" s="5"/>
    </row>
    <row r="467">
      <c r="A467" s="2"/>
      <c r="B467" s="3"/>
      <c r="C467" s="3"/>
      <c r="D467" s="3"/>
      <c r="E467" s="4"/>
      <c r="F467" s="3"/>
      <c r="G467" s="5"/>
      <c r="H467" s="3"/>
      <c r="I467" s="5"/>
      <c r="J467" s="3"/>
      <c r="K467" s="5"/>
      <c r="L467" s="3"/>
      <c r="M467" s="5"/>
      <c r="N467" s="5"/>
    </row>
    <row r="468">
      <c r="A468" s="2"/>
      <c r="B468" s="3"/>
      <c r="C468" s="3"/>
      <c r="D468" s="3"/>
      <c r="E468" s="4"/>
      <c r="F468" s="3"/>
      <c r="G468" s="5"/>
      <c r="H468" s="3"/>
      <c r="I468" s="5"/>
      <c r="J468" s="3"/>
      <c r="K468" s="5"/>
      <c r="L468" s="3"/>
      <c r="M468" s="5"/>
      <c r="N468" s="5"/>
    </row>
    <row r="469">
      <c r="A469" s="2"/>
      <c r="B469" s="3"/>
      <c r="C469" s="3"/>
      <c r="D469" s="3"/>
      <c r="E469" s="4"/>
      <c r="F469" s="3"/>
      <c r="G469" s="5"/>
      <c r="H469" s="3"/>
      <c r="I469" s="5"/>
      <c r="J469" s="3"/>
      <c r="K469" s="5"/>
      <c r="L469" s="3"/>
      <c r="M469" s="5"/>
      <c r="N469" s="5"/>
    </row>
    <row r="470">
      <c r="A470" s="2"/>
      <c r="B470" s="3"/>
      <c r="C470" s="3"/>
      <c r="D470" s="3"/>
      <c r="E470" s="4"/>
      <c r="F470" s="3"/>
      <c r="G470" s="5"/>
      <c r="H470" s="3"/>
      <c r="I470" s="5"/>
      <c r="J470" s="3"/>
      <c r="K470" s="5"/>
      <c r="L470" s="3"/>
      <c r="M470" s="5"/>
      <c r="N470" s="5"/>
    </row>
    <row r="471">
      <c r="A471" s="2"/>
      <c r="B471" s="3"/>
      <c r="C471" s="3"/>
      <c r="D471" s="3"/>
      <c r="E471" s="4"/>
      <c r="F471" s="3"/>
      <c r="G471" s="5"/>
      <c r="H471" s="3"/>
      <c r="I471" s="5"/>
      <c r="J471" s="3"/>
      <c r="K471" s="5"/>
      <c r="L471" s="3"/>
      <c r="M471" s="5"/>
      <c r="N471" s="5"/>
    </row>
    <row r="472">
      <c r="A472" s="2"/>
      <c r="B472" s="3"/>
      <c r="C472" s="3"/>
      <c r="D472" s="3"/>
      <c r="E472" s="4"/>
      <c r="F472" s="3"/>
      <c r="G472" s="5"/>
      <c r="H472" s="3"/>
      <c r="I472" s="5"/>
      <c r="J472" s="3"/>
      <c r="K472" s="5"/>
      <c r="L472" s="3"/>
      <c r="M472" s="5"/>
      <c r="N472" s="5"/>
    </row>
    <row r="473">
      <c r="A473" s="2"/>
      <c r="B473" s="3"/>
      <c r="C473" s="3"/>
      <c r="D473" s="3"/>
      <c r="E473" s="4"/>
      <c r="F473" s="3"/>
      <c r="G473" s="5"/>
      <c r="H473" s="3"/>
      <c r="I473" s="5"/>
      <c r="J473" s="3"/>
      <c r="K473" s="5"/>
      <c r="L473" s="3"/>
      <c r="M473" s="5"/>
      <c r="N473" s="5"/>
    </row>
    <row r="474">
      <c r="A474" s="2"/>
      <c r="B474" s="3"/>
      <c r="C474" s="3"/>
      <c r="D474" s="3"/>
      <c r="E474" s="4"/>
      <c r="F474" s="3"/>
      <c r="G474" s="5"/>
      <c r="H474" s="3"/>
      <c r="I474" s="5"/>
      <c r="J474" s="3"/>
      <c r="K474" s="5"/>
      <c r="L474" s="3"/>
      <c r="M474" s="5"/>
      <c r="N474" s="5"/>
    </row>
    <row r="475">
      <c r="A475" s="2"/>
      <c r="B475" s="3"/>
      <c r="C475" s="3"/>
      <c r="D475" s="3"/>
      <c r="E475" s="4"/>
      <c r="F475" s="3"/>
      <c r="G475" s="5"/>
      <c r="H475" s="3"/>
      <c r="I475" s="5"/>
      <c r="J475" s="3"/>
      <c r="K475" s="5"/>
      <c r="L475" s="3"/>
      <c r="M475" s="5"/>
      <c r="N475" s="5"/>
    </row>
    <row r="476">
      <c r="A476" s="2"/>
      <c r="B476" s="3"/>
      <c r="C476" s="3"/>
      <c r="D476" s="3"/>
      <c r="E476" s="4"/>
      <c r="F476" s="3"/>
      <c r="G476" s="5"/>
      <c r="H476" s="3"/>
      <c r="I476" s="5"/>
      <c r="J476" s="3"/>
      <c r="K476" s="5"/>
      <c r="L476" s="3"/>
      <c r="M476" s="5"/>
      <c r="N476" s="5"/>
    </row>
    <row r="477">
      <c r="A477" s="2"/>
      <c r="B477" s="3"/>
      <c r="C477" s="3"/>
      <c r="D477" s="3"/>
      <c r="E477" s="4"/>
      <c r="F477" s="3"/>
      <c r="G477" s="5"/>
      <c r="H477" s="3"/>
      <c r="I477" s="5"/>
      <c r="J477" s="3"/>
      <c r="K477" s="5"/>
      <c r="L477" s="3"/>
      <c r="M477" s="5"/>
      <c r="N477" s="5"/>
    </row>
    <row r="478">
      <c r="A478" s="2"/>
      <c r="B478" s="3"/>
      <c r="C478" s="3"/>
      <c r="D478" s="3"/>
      <c r="E478" s="4"/>
      <c r="F478" s="3"/>
      <c r="G478" s="5"/>
      <c r="H478" s="3"/>
      <c r="I478" s="5"/>
      <c r="J478" s="3"/>
      <c r="K478" s="5"/>
      <c r="L478" s="3"/>
      <c r="M478" s="5"/>
      <c r="N478" s="5"/>
    </row>
    <row r="479">
      <c r="A479" s="2"/>
      <c r="B479" s="3"/>
      <c r="C479" s="3"/>
      <c r="D479" s="3"/>
      <c r="E479" s="4"/>
      <c r="F479" s="3"/>
      <c r="G479" s="5"/>
      <c r="H479" s="3"/>
      <c r="I479" s="5"/>
      <c r="J479" s="3"/>
      <c r="K479" s="5"/>
      <c r="L479" s="3"/>
      <c r="M479" s="5"/>
      <c r="N479" s="5"/>
    </row>
    <row r="480">
      <c r="A480" s="2"/>
      <c r="B480" s="3"/>
      <c r="C480" s="3"/>
      <c r="D480" s="3"/>
      <c r="E480" s="4"/>
      <c r="F480" s="3"/>
      <c r="G480" s="5"/>
      <c r="H480" s="3"/>
      <c r="I480" s="5"/>
      <c r="J480" s="3"/>
      <c r="K480" s="5"/>
      <c r="L480" s="3"/>
      <c r="M480" s="5"/>
      <c r="N480" s="5"/>
    </row>
    <row r="481">
      <c r="A481" s="2"/>
      <c r="B481" s="3"/>
      <c r="C481" s="3"/>
      <c r="D481" s="3"/>
      <c r="E481" s="4"/>
      <c r="F481" s="3"/>
      <c r="G481" s="5"/>
      <c r="H481" s="3"/>
      <c r="I481" s="5"/>
      <c r="J481" s="3"/>
      <c r="K481" s="5"/>
      <c r="L481" s="3"/>
      <c r="M481" s="5"/>
      <c r="N481" s="5"/>
    </row>
    <row r="482">
      <c r="A482" s="2"/>
      <c r="B482" s="3"/>
      <c r="C482" s="3"/>
      <c r="D482" s="3"/>
      <c r="E482" s="4"/>
      <c r="F482" s="3"/>
      <c r="G482" s="5"/>
      <c r="H482" s="3"/>
      <c r="I482" s="5"/>
      <c r="J482" s="3"/>
      <c r="K482" s="5"/>
      <c r="L482" s="3"/>
      <c r="M482" s="5"/>
      <c r="N482" s="5"/>
    </row>
    <row r="483">
      <c r="A483" s="2"/>
      <c r="B483" s="3"/>
      <c r="C483" s="3"/>
      <c r="D483" s="3"/>
      <c r="E483" s="4"/>
      <c r="F483" s="3"/>
      <c r="G483" s="5"/>
      <c r="H483" s="3"/>
      <c r="I483" s="5"/>
      <c r="J483" s="3"/>
      <c r="K483" s="5"/>
      <c r="L483" s="3"/>
      <c r="M483" s="5"/>
      <c r="N483" s="5"/>
    </row>
    <row r="484">
      <c r="A484" s="2"/>
      <c r="B484" s="3"/>
      <c r="C484" s="3"/>
      <c r="D484" s="3"/>
      <c r="E484" s="4"/>
      <c r="F484" s="3"/>
      <c r="G484" s="5"/>
      <c r="H484" s="3"/>
      <c r="I484" s="5"/>
      <c r="J484" s="3"/>
      <c r="K484" s="5"/>
      <c r="L484" s="3"/>
      <c r="M484" s="5"/>
      <c r="N484" s="5"/>
    </row>
    <row r="485">
      <c r="A485" s="2"/>
      <c r="B485" s="3"/>
      <c r="C485" s="3"/>
      <c r="D485" s="3"/>
      <c r="E485" s="4"/>
      <c r="F485" s="3"/>
      <c r="G485" s="5"/>
      <c r="H485" s="3"/>
      <c r="I485" s="5"/>
      <c r="J485" s="3"/>
      <c r="K485" s="5"/>
      <c r="L485" s="3"/>
      <c r="M485" s="5"/>
      <c r="N485" s="5"/>
    </row>
    <row r="486">
      <c r="A486" s="2"/>
      <c r="B486" s="3"/>
      <c r="C486" s="3"/>
      <c r="D486" s="3"/>
      <c r="E486" s="4"/>
      <c r="F486" s="3"/>
      <c r="G486" s="5"/>
      <c r="H486" s="3"/>
      <c r="I486" s="5"/>
      <c r="J486" s="3"/>
      <c r="K486" s="5"/>
      <c r="L486" s="3"/>
      <c r="M486" s="5"/>
      <c r="N486" s="5"/>
    </row>
    <row r="487">
      <c r="A487" s="2"/>
      <c r="B487" s="3"/>
      <c r="C487" s="3"/>
      <c r="D487" s="3"/>
      <c r="E487" s="4"/>
      <c r="F487" s="3"/>
      <c r="G487" s="5"/>
      <c r="H487" s="3"/>
      <c r="I487" s="5"/>
      <c r="J487" s="3"/>
      <c r="K487" s="5"/>
      <c r="L487" s="3"/>
      <c r="M487" s="5"/>
      <c r="N487" s="5"/>
    </row>
    <row r="488">
      <c r="A488" s="2"/>
      <c r="B488" s="3"/>
      <c r="C488" s="3"/>
      <c r="D488" s="3"/>
      <c r="E488" s="4"/>
      <c r="F488" s="3"/>
      <c r="G488" s="5"/>
      <c r="H488" s="3"/>
      <c r="I488" s="5"/>
      <c r="J488" s="3"/>
      <c r="K488" s="5"/>
      <c r="L488" s="3"/>
      <c r="M488" s="5"/>
      <c r="N488" s="5"/>
    </row>
    <row r="489">
      <c r="A489" s="2"/>
      <c r="B489" s="3"/>
      <c r="C489" s="3"/>
      <c r="D489" s="3"/>
      <c r="E489" s="4"/>
      <c r="F489" s="3"/>
      <c r="G489" s="5"/>
      <c r="H489" s="3"/>
      <c r="I489" s="5"/>
      <c r="J489" s="3"/>
      <c r="K489" s="5"/>
      <c r="L489" s="3"/>
      <c r="M489" s="5"/>
      <c r="N489" s="5"/>
    </row>
    <row r="490">
      <c r="A490" s="2"/>
      <c r="B490" s="3"/>
      <c r="C490" s="3"/>
      <c r="D490" s="3"/>
      <c r="E490" s="4"/>
      <c r="F490" s="3"/>
      <c r="G490" s="5"/>
      <c r="H490" s="3"/>
      <c r="I490" s="5"/>
      <c r="J490" s="3"/>
      <c r="K490" s="5"/>
      <c r="L490" s="3"/>
      <c r="M490" s="5"/>
      <c r="N490" s="5"/>
    </row>
    <row r="491">
      <c r="A491" s="2"/>
      <c r="B491" s="3"/>
      <c r="C491" s="3"/>
      <c r="D491" s="3"/>
      <c r="E491" s="4"/>
      <c r="F491" s="3"/>
      <c r="G491" s="5"/>
      <c r="H491" s="3"/>
      <c r="I491" s="5"/>
      <c r="J491" s="3"/>
      <c r="K491" s="5"/>
      <c r="L491" s="3"/>
      <c r="M491" s="5"/>
      <c r="N491" s="5"/>
    </row>
    <row r="492">
      <c r="A492" s="2"/>
      <c r="B492" s="3"/>
      <c r="C492" s="3"/>
      <c r="D492" s="3"/>
      <c r="E492" s="4"/>
      <c r="F492" s="3"/>
      <c r="G492" s="5"/>
      <c r="H492" s="3"/>
      <c r="I492" s="5"/>
      <c r="J492" s="3"/>
      <c r="K492" s="5"/>
      <c r="L492" s="3"/>
      <c r="M492" s="5"/>
      <c r="N492" s="5"/>
    </row>
    <row r="493">
      <c r="A493" s="2"/>
      <c r="B493" s="3"/>
      <c r="C493" s="3"/>
      <c r="D493" s="3"/>
      <c r="E493" s="4"/>
      <c r="F493" s="3"/>
      <c r="G493" s="5"/>
      <c r="H493" s="3"/>
      <c r="I493" s="5"/>
      <c r="J493" s="3"/>
      <c r="K493" s="5"/>
      <c r="L493" s="3"/>
      <c r="M493" s="5"/>
      <c r="N493" s="5"/>
    </row>
    <row r="494">
      <c r="A494" s="2"/>
      <c r="B494" s="3"/>
      <c r="C494" s="3"/>
      <c r="D494" s="3"/>
      <c r="E494" s="4"/>
      <c r="F494" s="3"/>
      <c r="G494" s="5"/>
      <c r="H494" s="3"/>
      <c r="I494" s="5"/>
      <c r="J494" s="3"/>
      <c r="K494" s="5"/>
      <c r="L494" s="3"/>
      <c r="M494" s="5"/>
      <c r="N494" s="5"/>
    </row>
    <row r="495">
      <c r="A495" s="2"/>
      <c r="B495" s="3"/>
      <c r="C495" s="3"/>
      <c r="D495" s="3"/>
      <c r="E495" s="4"/>
      <c r="F495" s="3"/>
      <c r="G495" s="5"/>
      <c r="H495" s="3"/>
      <c r="I495" s="5"/>
      <c r="J495" s="3"/>
      <c r="K495" s="5"/>
      <c r="L495" s="3"/>
      <c r="M495" s="5"/>
      <c r="N495" s="5"/>
    </row>
    <row r="496">
      <c r="A496" s="2"/>
      <c r="B496" s="3"/>
      <c r="C496" s="3"/>
      <c r="D496" s="3"/>
      <c r="E496" s="4"/>
      <c r="F496" s="3"/>
      <c r="G496" s="5"/>
      <c r="H496" s="3"/>
      <c r="I496" s="5"/>
      <c r="J496" s="3"/>
      <c r="K496" s="5"/>
      <c r="L496" s="3"/>
      <c r="M496" s="5"/>
      <c r="N496" s="5"/>
    </row>
    <row r="497">
      <c r="A497" s="2"/>
      <c r="B497" s="3"/>
      <c r="C497" s="3"/>
      <c r="D497" s="3"/>
      <c r="E497" s="4"/>
      <c r="F497" s="3"/>
      <c r="G497" s="5"/>
      <c r="H497" s="3"/>
      <c r="I497" s="5"/>
      <c r="J497" s="3"/>
      <c r="K497" s="5"/>
      <c r="L497" s="3"/>
      <c r="M497" s="5"/>
      <c r="N497" s="5"/>
    </row>
    <row r="498">
      <c r="A498" s="2"/>
      <c r="B498" s="3"/>
      <c r="C498" s="3"/>
      <c r="D498" s="3"/>
      <c r="E498" s="4"/>
      <c r="F498" s="3"/>
      <c r="G498" s="5"/>
      <c r="H498" s="3"/>
      <c r="I498" s="5"/>
      <c r="J498" s="3"/>
      <c r="K498" s="5"/>
      <c r="L498" s="3"/>
      <c r="M498" s="5"/>
      <c r="N498" s="5"/>
    </row>
    <row r="499">
      <c r="A499" s="2"/>
      <c r="B499" s="3"/>
      <c r="C499" s="3"/>
      <c r="D499" s="3"/>
      <c r="E499" s="4"/>
      <c r="F499" s="3"/>
      <c r="G499" s="5"/>
      <c r="H499" s="3"/>
      <c r="I499" s="5"/>
      <c r="J499" s="3"/>
      <c r="K499" s="5"/>
      <c r="L499" s="3"/>
      <c r="M499" s="5"/>
      <c r="N499" s="5"/>
    </row>
    <row r="500">
      <c r="A500" s="2"/>
      <c r="B500" s="3"/>
      <c r="C500" s="3"/>
      <c r="D500" s="3"/>
      <c r="E500" s="4"/>
      <c r="F500" s="3"/>
      <c r="G500" s="5"/>
      <c r="H500" s="3"/>
      <c r="I500" s="5"/>
      <c r="J500" s="3"/>
      <c r="K500" s="5"/>
      <c r="L500" s="3"/>
      <c r="M500" s="5"/>
      <c r="N500" s="5"/>
    </row>
    <row r="501">
      <c r="A501" s="2"/>
      <c r="B501" s="3"/>
      <c r="C501" s="3"/>
      <c r="D501" s="3"/>
      <c r="E501" s="4"/>
      <c r="F501" s="3"/>
      <c r="G501" s="5"/>
      <c r="H501" s="3"/>
      <c r="I501" s="5"/>
      <c r="J501" s="3"/>
      <c r="K501" s="5"/>
      <c r="L501" s="3"/>
      <c r="M501" s="5"/>
      <c r="N501" s="5"/>
    </row>
    <row r="502">
      <c r="A502" s="2"/>
      <c r="B502" s="3"/>
      <c r="C502" s="3"/>
      <c r="D502" s="3"/>
      <c r="E502" s="4"/>
      <c r="F502" s="3"/>
      <c r="G502" s="5"/>
      <c r="H502" s="3"/>
      <c r="I502" s="5"/>
      <c r="J502" s="3"/>
      <c r="K502" s="5"/>
      <c r="L502" s="3"/>
      <c r="M502" s="5"/>
      <c r="N502" s="5"/>
    </row>
    <row r="503">
      <c r="A503" s="2"/>
      <c r="B503" s="3"/>
      <c r="C503" s="3"/>
      <c r="D503" s="3"/>
      <c r="E503" s="4"/>
      <c r="F503" s="3"/>
      <c r="G503" s="5"/>
      <c r="H503" s="3"/>
      <c r="I503" s="5"/>
      <c r="J503" s="3"/>
      <c r="K503" s="5"/>
      <c r="L503" s="3"/>
      <c r="M503" s="5"/>
      <c r="N503" s="5"/>
    </row>
    <row r="504">
      <c r="A504" s="2"/>
      <c r="B504" s="3"/>
      <c r="C504" s="3"/>
      <c r="D504" s="3"/>
      <c r="E504" s="4"/>
      <c r="F504" s="3"/>
      <c r="G504" s="5"/>
      <c r="H504" s="3"/>
      <c r="I504" s="5"/>
      <c r="J504" s="3"/>
      <c r="K504" s="5"/>
      <c r="L504" s="3"/>
      <c r="M504" s="5"/>
      <c r="N504" s="5"/>
    </row>
    <row r="505">
      <c r="A505" s="2"/>
      <c r="B505" s="3"/>
      <c r="C505" s="3"/>
      <c r="D505" s="3"/>
      <c r="E505" s="4"/>
      <c r="F505" s="3"/>
      <c r="G505" s="5"/>
      <c r="H505" s="3"/>
      <c r="I505" s="5"/>
      <c r="J505" s="3"/>
      <c r="K505" s="5"/>
      <c r="L505" s="3"/>
      <c r="M505" s="5"/>
      <c r="N505" s="5"/>
    </row>
    <row r="506">
      <c r="A506" s="2"/>
      <c r="B506" s="3"/>
      <c r="C506" s="3"/>
      <c r="D506" s="3"/>
      <c r="E506" s="4"/>
      <c r="F506" s="3"/>
      <c r="G506" s="5"/>
      <c r="H506" s="3"/>
      <c r="I506" s="5"/>
      <c r="J506" s="3"/>
      <c r="K506" s="5"/>
      <c r="L506" s="3"/>
      <c r="M506" s="5"/>
      <c r="N506" s="5"/>
    </row>
    <row r="507">
      <c r="A507" s="2"/>
      <c r="B507" s="3"/>
      <c r="C507" s="3"/>
      <c r="D507" s="3"/>
      <c r="E507" s="4"/>
      <c r="F507" s="3"/>
      <c r="G507" s="5"/>
      <c r="H507" s="3"/>
      <c r="I507" s="5"/>
      <c r="J507" s="3"/>
      <c r="K507" s="5"/>
      <c r="L507" s="3"/>
      <c r="M507" s="5"/>
      <c r="N507" s="5"/>
    </row>
    <row r="508">
      <c r="A508" s="2"/>
      <c r="B508" s="3"/>
      <c r="C508" s="3"/>
      <c r="D508" s="3"/>
      <c r="E508" s="4"/>
      <c r="F508" s="3"/>
      <c r="G508" s="5"/>
      <c r="H508" s="3"/>
      <c r="I508" s="5"/>
      <c r="J508" s="3"/>
      <c r="K508" s="5"/>
      <c r="L508" s="3"/>
      <c r="M508" s="5"/>
      <c r="N508" s="5"/>
    </row>
    <row r="509">
      <c r="A509" s="2"/>
      <c r="B509" s="3"/>
      <c r="C509" s="3"/>
      <c r="D509" s="3"/>
      <c r="E509" s="4"/>
      <c r="F509" s="3"/>
      <c r="G509" s="5"/>
      <c r="H509" s="3"/>
      <c r="I509" s="5"/>
      <c r="J509" s="3"/>
      <c r="K509" s="5"/>
      <c r="L509" s="3"/>
      <c r="M509" s="5"/>
      <c r="N509" s="5"/>
    </row>
    <row r="510">
      <c r="A510" s="2"/>
      <c r="B510" s="3"/>
      <c r="C510" s="3"/>
      <c r="D510" s="3"/>
      <c r="E510" s="4"/>
      <c r="F510" s="3"/>
      <c r="G510" s="5"/>
      <c r="H510" s="3"/>
      <c r="I510" s="5"/>
      <c r="J510" s="3"/>
      <c r="K510" s="5"/>
      <c r="L510" s="3"/>
      <c r="M510" s="5"/>
      <c r="N510" s="5"/>
    </row>
    <row r="511">
      <c r="A511" s="2"/>
      <c r="B511" s="3"/>
      <c r="C511" s="3"/>
      <c r="D511" s="3"/>
      <c r="E511" s="4"/>
      <c r="F511" s="3"/>
      <c r="G511" s="5"/>
      <c r="H511" s="3"/>
      <c r="I511" s="5"/>
      <c r="J511" s="3"/>
      <c r="K511" s="5"/>
      <c r="L511" s="3"/>
      <c r="M511" s="5"/>
      <c r="N511" s="5"/>
    </row>
    <row r="512">
      <c r="A512" s="2"/>
      <c r="B512" s="3"/>
      <c r="C512" s="3"/>
      <c r="D512" s="3"/>
      <c r="E512" s="4"/>
      <c r="F512" s="3"/>
      <c r="G512" s="5"/>
      <c r="H512" s="3"/>
      <c r="I512" s="5"/>
      <c r="J512" s="3"/>
      <c r="K512" s="5"/>
      <c r="L512" s="3"/>
      <c r="M512" s="5"/>
      <c r="N512" s="5"/>
    </row>
    <row r="513">
      <c r="A513" s="2"/>
      <c r="B513" s="3"/>
      <c r="C513" s="3"/>
      <c r="D513" s="3"/>
      <c r="E513" s="4"/>
      <c r="F513" s="3"/>
      <c r="G513" s="5"/>
      <c r="H513" s="3"/>
      <c r="I513" s="5"/>
      <c r="J513" s="3"/>
      <c r="K513" s="5"/>
      <c r="L513" s="3"/>
      <c r="M513" s="5"/>
      <c r="N513" s="5"/>
    </row>
    <row r="514">
      <c r="A514" s="2"/>
      <c r="B514" s="3"/>
      <c r="C514" s="3"/>
      <c r="D514" s="3"/>
      <c r="E514" s="4"/>
      <c r="F514" s="3"/>
      <c r="G514" s="5"/>
      <c r="H514" s="3"/>
      <c r="I514" s="5"/>
      <c r="J514" s="3"/>
      <c r="K514" s="5"/>
      <c r="L514" s="3"/>
      <c r="M514" s="5"/>
      <c r="N514" s="5"/>
    </row>
    <row r="515">
      <c r="A515" s="2"/>
      <c r="B515" s="3"/>
      <c r="C515" s="3"/>
      <c r="D515" s="3"/>
      <c r="E515" s="4"/>
      <c r="F515" s="3"/>
      <c r="G515" s="5"/>
      <c r="H515" s="3"/>
      <c r="I515" s="5"/>
      <c r="J515" s="3"/>
      <c r="K515" s="5"/>
      <c r="L515" s="3"/>
      <c r="M515" s="5"/>
      <c r="N515" s="5"/>
    </row>
    <row r="516">
      <c r="A516" s="2"/>
      <c r="B516" s="3"/>
      <c r="C516" s="3"/>
      <c r="D516" s="3"/>
      <c r="E516" s="4"/>
      <c r="F516" s="3"/>
      <c r="G516" s="5"/>
      <c r="H516" s="3"/>
      <c r="I516" s="5"/>
      <c r="J516" s="3"/>
      <c r="K516" s="5"/>
      <c r="L516" s="3"/>
      <c r="M516" s="5"/>
      <c r="N516" s="5"/>
    </row>
    <row r="517">
      <c r="A517" s="2"/>
      <c r="B517" s="3"/>
      <c r="C517" s="3"/>
      <c r="D517" s="3"/>
      <c r="E517" s="4"/>
      <c r="F517" s="3"/>
      <c r="G517" s="5"/>
      <c r="H517" s="3"/>
      <c r="I517" s="5"/>
      <c r="J517" s="3"/>
      <c r="K517" s="5"/>
      <c r="L517" s="3"/>
      <c r="M517" s="5"/>
      <c r="N517" s="5"/>
    </row>
    <row r="518">
      <c r="A518" s="2"/>
      <c r="B518" s="3"/>
      <c r="C518" s="3"/>
      <c r="D518" s="3"/>
      <c r="E518" s="4"/>
      <c r="F518" s="3"/>
      <c r="G518" s="5"/>
      <c r="H518" s="3"/>
      <c r="I518" s="5"/>
      <c r="J518" s="3"/>
      <c r="K518" s="5"/>
      <c r="L518" s="3"/>
      <c r="M518" s="5"/>
      <c r="N518" s="5"/>
    </row>
    <row r="519">
      <c r="A519" s="2"/>
      <c r="B519" s="3"/>
      <c r="C519" s="3"/>
      <c r="D519" s="3"/>
      <c r="E519" s="4"/>
      <c r="F519" s="3"/>
      <c r="G519" s="5"/>
      <c r="H519" s="3"/>
      <c r="I519" s="5"/>
      <c r="J519" s="3"/>
      <c r="K519" s="5"/>
      <c r="L519" s="3"/>
      <c r="M519" s="5"/>
      <c r="N519" s="5"/>
    </row>
    <row r="520">
      <c r="A520" s="2"/>
      <c r="B520" s="3"/>
      <c r="C520" s="3"/>
      <c r="D520" s="3"/>
      <c r="E520" s="4"/>
      <c r="F520" s="3"/>
      <c r="G520" s="5"/>
      <c r="H520" s="3"/>
      <c r="I520" s="5"/>
      <c r="J520" s="3"/>
      <c r="K520" s="5"/>
      <c r="L520" s="3"/>
      <c r="M520" s="5"/>
      <c r="N520" s="5"/>
    </row>
    <row r="521">
      <c r="A521" s="2"/>
      <c r="B521" s="3"/>
      <c r="C521" s="3"/>
      <c r="D521" s="3"/>
      <c r="E521" s="4"/>
      <c r="F521" s="3"/>
      <c r="G521" s="5"/>
      <c r="H521" s="3"/>
      <c r="I521" s="5"/>
      <c r="J521" s="3"/>
      <c r="K521" s="5"/>
      <c r="L521" s="3"/>
      <c r="M521" s="5"/>
      <c r="N521" s="5"/>
    </row>
    <row r="522">
      <c r="A522" s="2"/>
      <c r="B522" s="3"/>
      <c r="C522" s="3"/>
      <c r="D522" s="3"/>
      <c r="E522" s="4"/>
      <c r="F522" s="3"/>
      <c r="G522" s="5"/>
      <c r="H522" s="3"/>
      <c r="I522" s="5"/>
      <c r="J522" s="3"/>
      <c r="K522" s="5"/>
      <c r="L522" s="3"/>
      <c r="M522" s="5"/>
      <c r="N522" s="5"/>
    </row>
    <row r="523">
      <c r="A523" s="2"/>
      <c r="B523" s="3"/>
      <c r="C523" s="3"/>
      <c r="D523" s="3"/>
      <c r="E523" s="4"/>
      <c r="F523" s="3"/>
      <c r="G523" s="5"/>
      <c r="H523" s="3"/>
      <c r="I523" s="5"/>
      <c r="J523" s="3"/>
      <c r="K523" s="5"/>
      <c r="L523" s="3"/>
      <c r="M523" s="5"/>
      <c r="N523" s="5"/>
    </row>
    <row r="524">
      <c r="A524" s="2"/>
      <c r="B524" s="3"/>
      <c r="C524" s="3"/>
      <c r="D524" s="3"/>
      <c r="E524" s="4"/>
      <c r="F524" s="3"/>
      <c r="G524" s="5"/>
      <c r="H524" s="3"/>
      <c r="I524" s="5"/>
      <c r="J524" s="3"/>
      <c r="K524" s="5"/>
      <c r="L524" s="3"/>
      <c r="M524" s="5"/>
      <c r="N524" s="5"/>
    </row>
    <row r="525">
      <c r="A525" s="2"/>
      <c r="B525" s="3"/>
      <c r="C525" s="3"/>
      <c r="D525" s="3"/>
      <c r="E525" s="4"/>
      <c r="F525" s="3"/>
      <c r="G525" s="5"/>
      <c r="H525" s="3"/>
      <c r="I525" s="5"/>
      <c r="J525" s="3"/>
      <c r="K525" s="5"/>
      <c r="L525" s="3"/>
      <c r="M525" s="5"/>
      <c r="N525" s="5"/>
    </row>
    <row r="526">
      <c r="A526" s="2"/>
      <c r="B526" s="3"/>
      <c r="C526" s="3"/>
      <c r="D526" s="3"/>
      <c r="E526" s="4"/>
      <c r="F526" s="3"/>
      <c r="G526" s="5"/>
      <c r="H526" s="3"/>
      <c r="I526" s="5"/>
      <c r="J526" s="3"/>
      <c r="K526" s="5"/>
      <c r="L526" s="3"/>
      <c r="M526" s="5"/>
      <c r="N526" s="5"/>
    </row>
    <row r="527">
      <c r="A527" s="2"/>
      <c r="B527" s="3"/>
      <c r="C527" s="3"/>
      <c r="D527" s="3"/>
      <c r="E527" s="4"/>
      <c r="F527" s="3"/>
      <c r="G527" s="5"/>
      <c r="H527" s="3"/>
      <c r="I527" s="5"/>
      <c r="J527" s="3"/>
      <c r="K527" s="5"/>
      <c r="L527" s="3"/>
      <c r="M527" s="5"/>
      <c r="N527" s="5"/>
    </row>
    <row r="528">
      <c r="A528" s="2"/>
      <c r="B528" s="3"/>
      <c r="C528" s="3"/>
      <c r="D528" s="3"/>
      <c r="E528" s="4"/>
      <c r="F528" s="3"/>
      <c r="G528" s="5"/>
      <c r="H528" s="3"/>
      <c r="I528" s="5"/>
      <c r="J528" s="3"/>
      <c r="K528" s="5"/>
      <c r="L528" s="3"/>
      <c r="M528" s="5"/>
      <c r="N528" s="5"/>
    </row>
    <row r="529">
      <c r="A529" s="2"/>
      <c r="B529" s="3"/>
      <c r="C529" s="3"/>
      <c r="D529" s="3"/>
      <c r="E529" s="4"/>
      <c r="F529" s="3"/>
      <c r="G529" s="5"/>
      <c r="H529" s="3"/>
      <c r="I529" s="5"/>
      <c r="J529" s="3"/>
      <c r="K529" s="5"/>
      <c r="L529" s="3"/>
      <c r="M529" s="5"/>
      <c r="N529" s="5"/>
    </row>
    <row r="530">
      <c r="A530" s="2"/>
      <c r="B530" s="3"/>
      <c r="C530" s="3"/>
      <c r="D530" s="3"/>
      <c r="E530" s="4"/>
      <c r="F530" s="3"/>
      <c r="G530" s="5"/>
      <c r="H530" s="3"/>
      <c r="I530" s="5"/>
      <c r="J530" s="3"/>
      <c r="K530" s="5"/>
      <c r="L530" s="3"/>
      <c r="M530" s="5"/>
      <c r="N530" s="5"/>
    </row>
    <row r="531">
      <c r="A531" s="2"/>
      <c r="B531" s="3"/>
      <c r="C531" s="3"/>
      <c r="D531" s="3"/>
      <c r="E531" s="4"/>
      <c r="F531" s="3"/>
      <c r="G531" s="5"/>
      <c r="H531" s="3"/>
      <c r="I531" s="5"/>
      <c r="J531" s="3"/>
      <c r="K531" s="5"/>
      <c r="L531" s="3"/>
      <c r="M531" s="5"/>
      <c r="N531" s="5"/>
    </row>
    <row r="532">
      <c r="A532" s="2"/>
      <c r="B532" s="3"/>
      <c r="C532" s="3"/>
      <c r="D532" s="3"/>
      <c r="E532" s="4"/>
      <c r="F532" s="3"/>
      <c r="G532" s="5"/>
      <c r="H532" s="3"/>
      <c r="I532" s="5"/>
      <c r="J532" s="3"/>
      <c r="K532" s="5"/>
      <c r="L532" s="3"/>
      <c r="M532" s="5"/>
      <c r="N532" s="5"/>
    </row>
    <row r="533">
      <c r="A533" s="2"/>
      <c r="B533" s="3"/>
      <c r="C533" s="3"/>
      <c r="D533" s="3"/>
      <c r="E533" s="4"/>
      <c r="F533" s="3"/>
      <c r="G533" s="5"/>
      <c r="H533" s="3"/>
      <c r="I533" s="5"/>
      <c r="J533" s="3"/>
      <c r="K533" s="5"/>
      <c r="L533" s="3"/>
      <c r="M533" s="5"/>
      <c r="N533" s="5"/>
    </row>
    <row r="534">
      <c r="A534" s="2"/>
      <c r="B534" s="3"/>
      <c r="C534" s="3"/>
      <c r="D534" s="3"/>
      <c r="E534" s="4"/>
      <c r="F534" s="3"/>
      <c r="G534" s="5"/>
      <c r="H534" s="3"/>
      <c r="I534" s="5"/>
      <c r="J534" s="3"/>
      <c r="K534" s="5"/>
      <c r="L534" s="3"/>
      <c r="M534" s="5"/>
      <c r="N534" s="5"/>
    </row>
    <row r="535">
      <c r="A535" s="2"/>
      <c r="B535" s="3"/>
      <c r="C535" s="3"/>
      <c r="D535" s="3"/>
      <c r="E535" s="4"/>
      <c r="F535" s="3"/>
      <c r="G535" s="5"/>
      <c r="H535" s="3"/>
      <c r="I535" s="5"/>
      <c r="J535" s="3"/>
      <c r="K535" s="5"/>
      <c r="L535" s="3"/>
      <c r="M535" s="5"/>
      <c r="N535" s="5"/>
    </row>
    <row r="536">
      <c r="A536" s="2"/>
      <c r="B536" s="3"/>
      <c r="C536" s="3"/>
      <c r="D536" s="3"/>
      <c r="E536" s="4"/>
      <c r="F536" s="3"/>
      <c r="G536" s="5"/>
      <c r="H536" s="3"/>
      <c r="I536" s="5"/>
      <c r="J536" s="3"/>
      <c r="K536" s="5"/>
      <c r="L536" s="3"/>
      <c r="M536" s="5"/>
      <c r="N536" s="5"/>
    </row>
    <row r="537">
      <c r="A537" s="2"/>
      <c r="B537" s="3"/>
      <c r="C537" s="3"/>
      <c r="D537" s="3"/>
      <c r="E537" s="4"/>
      <c r="F537" s="3"/>
      <c r="G537" s="5"/>
      <c r="H537" s="3"/>
      <c r="I537" s="5"/>
      <c r="J537" s="3"/>
      <c r="K537" s="5"/>
      <c r="L537" s="3"/>
      <c r="M537" s="5"/>
      <c r="N537" s="5"/>
    </row>
    <row r="538">
      <c r="A538" s="2"/>
      <c r="B538" s="3"/>
      <c r="C538" s="3"/>
      <c r="D538" s="3"/>
      <c r="E538" s="4"/>
      <c r="F538" s="3"/>
      <c r="G538" s="5"/>
      <c r="H538" s="3"/>
      <c r="I538" s="5"/>
      <c r="J538" s="3"/>
      <c r="K538" s="5"/>
      <c r="L538" s="3"/>
      <c r="M538" s="5"/>
      <c r="N538" s="5"/>
    </row>
    <row r="539">
      <c r="A539" s="2"/>
      <c r="B539" s="3"/>
      <c r="C539" s="3"/>
      <c r="D539" s="3"/>
      <c r="E539" s="4"/>
      <c r="F539" s="3"/>
      <c r="G539" s="5"/>
      <c r="H539" s="3"/>
      <c r="I539" s="5"/>
      <c r="J539" s="3"/>
      <c r="K539" s="5"/>
      <c r="L539" s="3"/>
      <c r="M539" s="5"/>
      <c r="N539" s="5"/>
    </row>
    <row r="540">
      <c r="A540" s="2"/>
      <c r="B540" s="3"/>
      <c r="C540" s="3"/>
      <c r="D540" s="3"/>
      <c r="E540" s="4"/>
      <c r="F540" s="3"/>
      <c r="G540" s="5"/>
      <c r="H540" s="3"/>
      <c r="I540" s="5"/>
      <c r="J540" s="3"/>
      <c r="K540" s="5"/>
      <c r="L540" s="3"/>
      <c r="M540" s="5"/>
      <c r="N540" s="5"/>
    </row>
    <row r="541">
      <c r="A541" s="2"/>
      <c r="B541" s="3"/>
      <c r="C541" s="3"/>
      <c r="D541" s="3"/>
      <c r="E541" s="4"/>
      <c r="F541" s="3"/>
      <c r="G541" s="5"/>
      <c r="H541" s="3"/>
      <c r="I541" s="5"/>
      <c r="J541" s="3"/>
      <c r="K541" s="5"/>
      <c r="L541" s="3"/>
      <c r="M541" s="5"/>
      <c r="N541" s="5"/>
    </row>
    <row r="542">
      <c r="A542" s="2"/>
      <c r="B542" s="3"/>
      <c r="C542" s="3"/>
      <c r="D542" s="3"/>
      <c r="E542" s="4"/>
      <c r="F542" s="3"/>
      <c r="G542" s="5"/>
      <c r="H542" s="3"/>
      <c r="I542" s="5"/>
      <c r="J542" s="3"/>
      <c r="K542" s="5"/>
      <c r="L542" s="3"/>
      <c r="M542" s="5"/>
      <c r="N542" s="5"/>
    </row>
    <row r="543">
      <c r="A543" s="2"/>
      <c r="B543" s="3"/>
      <c r="C543" s="3"/>
      <c r="D543" s="3"/>
      <c r="E543" s="4"/>
      <c r="F543" s="3"/>
      <c r="G543" s="5"/>
      <c r="H543" s="3"/>
      <c r="I543" s="5"/>
      <c r="J543" s="3"/>
      <c r="K543" s="5"/>
      <c r="L543" s="3"/>
      <c r="M543" s="5"/>
      <c r="N543" s="5"/>
    </row>
    <row r="544">
      <c r="A544" s="2"/>
      <c r="B544" s="3"/>
      <c r="C544" s="3"/>
      <c r="D544" s="3"/>
      <c r="E544" s="4"/>
      <c r="F544" s="3"/>
      <c r="G544" s="5"/>
      <c r="H544" s="3"/>
      <c r="I544" s="5"/>
      <c r="J544" s="3"/>
      <c r="K544" s="5"/>
      <c r="L544" s="3"/>
      <c r="M544" s="5"/>
      <c r="N544" s="5"/>
    </row>
    <row r="545">
      <c r="A545" s="2"/>
      <c r="B545" s="3"/>
      <c r="C545" s="3"/>
      <c r="D545" s="3"/>
      <c r="E545" s="4"/>
      <c r="F545" s="3"/>
      <c r="G545" s="5"/>
      <c r="H545" s="3"/>
      <c r="I545" s="5"/>
      <c r="J545" s="3"/>
      <c r="K545" s="5"/>
      <c r="L545" s="3"/>
      <c r="M545" s="5"/>
      <c r="N545" s="5"/>
    </row>
    <row r="546">
      <c r="A546" s="2"/>
      <c r="B546" s="3"/>
      <c r="C546" s="3"/>
      <c r="D546" s="3"/>
      <c r="E546" s="4"/>
      <c r="F546" s="3"/>
      <c r="G546" s="5"/>
      <c r="H546" s="3"/>
      <c r="I546" s="5"/>
      <c r="J546" s="3"/>
      <c r="K546" s="5"/>
      <c r="L546" s="3"/>
      <c r="M546" s="5"/>
      <c r="N546" s="5"/>
    </row>
    <row r="547">
      <c r="A547" s="2"/>
      <c r="B547" s="3"/>
      <c r="C547" s="3"/>
      <c r="D547" s="3"/>
      <c r="E547" s="4"/>
      <c r="F547" s="3"/>
      <c r="G547" s="5"/>
      <c r="H547" s="3"/>
      <c r="I547" s="5"/>
      <c r="J547" s="3"/>
      <c r="K547" s="5"/>
      <c r="L547" s="3"/>
      <c r="M547" s="5"/>
      <c r="N547" s="5"/>
    </row>
    <row r="548">
      <c r="A548" s="2"/>
      <c r="B548" s="3"/>
      <c r="C548" s="3"/>
      <c r="D548" s="3"/>
      <c r="E548" s="4"/>
      <c r="F548" s="3"/>
      <c r="G548" s="5"/>
      <c r="H548" s="3"/>
      <c r="I548" s="5"/>
      <c r="J548" s="3"/>
      <c r="K548" s="5"/>
      <c r="L548" s="3"/>
      <c r="M548" s="5"/>
      <c r="N548" s="5"/>
    </row>
    <row r="549">
      <c r="A549" s="2"/>
      <c r="B549" s="3"/>
      <c r="C549" s="3"/>
      <c r="D549" s="3"/>
      <c r="E549" s="4"/>
      <c r="F549" s="3"/>
      <c r="G549" s="5"/>
      <c r="H549" s="3"/>
      <c r="I549" s="5"/>
      <c r="J549" s="3"/>
      <c r="K549" s="5"/>
      <c r="L549" s="3"/>
      <c r="M549" s="5"/>
      <c r="N549" s="5"/>
    </row>
    <row r="550">
      <c r="A550" s="2"/>
      <c r="B550" s="3"/>
      <c r="C550" s="3"/>
      <c r="D550" s="3"/>
      <c r="E550" s="4"/>
      <c r="F550" s="3"/>
      <c r="G550" s="5"/>
      <c r="H550" s="3"/>
      <c r="I550" s="5"/>
      <c r="J550" s="3"/>
      <c r="K550" s="5"/>
      <c r="L550" s="3"/>
      <c r="M550" s="5"/>
      <c r="N550" s="5"/>
    </row>
    <row r="551">
      <c r="A551" s="2"/>
      <c r="B551" s="3"/>
      <c r="C551" s="3"/>
      <c r="D551" s="3"/>
      <c r="E551" s="4"/>
      <c r="F551" s="3"/>
      <c r="G551" s="5"/>
      <c r="H551" s="3"/>
      <c r="I551" s="5"/>
      <c r="J551" s="3"/>
      <c r="K551" s="5"/>
      <c r="L551" s="3"/>
      <c r="M551" s="5"/>
      <c r="N551" s="5"/>
    </row>
    <row r="552">
      <c r="A552" s="2"/>
      <c r="B552" s="3"/>
      <c r="C552" s="3"/>
      <c r="D552" s="3"/>
      <c r="E552" s="4"/>
      <c r="F552" s="3"/>
      <c r="G552" s="5"/>
      <c r="H552" s="3"/>
      <c r="I552" s="5"/>
      <c r="J552" s="3"/>
      <c r="K552" s="5"/>
      <c r="L552" s="3"/>
      <c r="M552" s="5"/>
      <c r="N552" s="5"/>
    </row>
    <row r="553">
      <c r="A553" s="2"/>
      <c r="B553" s="3"/>
      <c r="C553" s="3"/>
      <c r="D553" s="3"/>
      <c r="E553" s="4"/>
      <c r="F553" s="3"/>
      <c r="G553" s="5"/>
      <c r="H553" s="3"/>
      <c r="I553" s="5"/>
      <c r="J553" s="3"/>
      <c r="K553" s="5"/>
      <c r="L553" s="3"/>
      <c r="M553" s="5"/>
      <c r="N553" s="5"/>
    </row>
    <row r="554">
      <c r="A554" s="2"/>
      <c r="B554" s="3"/>
      <c r="C554" s="3"/>
      <c r="D554" s="3"/>
      <c r="E554" s="4"/>
      <c r="F554" s="3"/>
      <c r="G554" s="5"/>
      <c r="H554" s="3"/>
      <c r="I554" s="5"/>
      <c r="J554" s="3"/>
      <c r="K554" s="5"/>
      <c r="L554" s="3"/>
      <c r="M554" s="5"/>
      <c r="N554" s="5"/>
    </row>
    <row r="555">
      <c r="A555" s="2"/>
      <c r="B555" s="3"/>
      <c r="C555" s="3"/>
      <c r="D555" s="3"/>
      <c r="E555" s="4"/>
      <c r="F555" s="3"/>
      <c r="G555" s="5"/>
      <c r="H555" s="3"/>
      <c r="I555" s="5"/>
      <c r="J555" s="3"/>
      <c r="K555" s="5"/>
      <c r="L555" s="3"/>
      <c r="M555" s="5"/>
      <c r="N555" s="5"/>
    </row>
    <row r="556">
      <c r="A556" s="2"/>
      <c r="B556" s="3"/>
      <c r="C556" s="3"/>
      <c r="D556" s="3"/>
      <c r="E556" s="4"/>
      <c r="F556" s="3"/>
      <c r="G556" s="5"/>
      <c r="H556" s="3"/>
      <c r="I556" s="5"/>
      <c r="J556" s="3"/>
      <c r="K556" s="5"/>
      <c r="L556" s="3"/>
      <c r="M556" s="5"/>
      <c r="N556" s="5"/>
    </row>
    <row r="557">
      <c r="A557" s="2"/>
      <c r="B557" s="3"/>
      <c r="C557" s="3"/>
      <c r="D557" s="3"/>
      <c r="E557" s="4"/>
      <c r="F557" s="3"/>
      <c r="G557" s="5"/>
      <c r="H557" s="3"/>
      <c r="I557" s="5"/>
      <c r="J557" s="3"/>
      <c r="K557" s="5"/>
      <c r="L557" s="3"/>
      <c r="M557" s="5"/>
      <c r="N557" s="5"/>
    </row>
    <row r="558">
      <c r="A558" s="2"/>
      <c r="B558" s="3"/>
      <c r="C558" s="3"/>
      <c r="D558" s="3"/>
      <c r="E558" s="4"/>
      <c r="F558" s="3"/>
      <c r="G558" s="5"/>
      <c r="H558" s="3"/>
      <c r="I558" s="5"/>
      <c r="J558" s="3"/>
      <c r="K558" s="5"/>
      <c r="L558" s="3"/>
      <c r="M558" s="5"/>
      <c r="N558" s="5"/>
    </row>
    <row r="559">
      <c r="A559" s="2"/>
      <c r="B559" s="3"/>
      <c r="C559" s="3"/>
      <c r="D559" s="3"/>
      <c r="E559" s="4"/>
      <c r="F559" s="3"/>
      <c r="G559" s="5"/>
      <c r="H559" s="3"/>
      <c r="I559" s="5"/>
      <c r="J559" s="3"/>
      <c r="K559" s="5"/>
      <c r="L559" s="3"/>
      <c r="M559" s="5"/>
      <c r="N559" s="5"/>
    </row>
    <row r="560">
      <c r="A560" s="2"/>
      <c r="B560" s="3"/>
      <c r="C560" s="3"/>
      <c r="D560" s="3"/>
      <c r="E560" s="4"/>
      <c r="F560" s="3"/>
      <c r="G560" s="5"/>
      <c r="H560" s="3"/>
      <c r="I560" s="5"/>
      <c r="J560" s="3"/>
      <c r="K560" s="5"/>
      <c r="L560" s="3"/>
      <c r="M560" s="5"/>
      <c r="N560" s="5"/>
    </row>
    <row r="561">
      <c r="A561" s="2"/>
      <c r="B561" s="3"/>
      <c r="C561" s="3"/>
      <c r="D561" s="3"/>
      <c r="E561" s="4"/>
      <c r="F561" s="3"/>
      <c r="G561" s="5"/>
      <c r="H561" s="3"/>
      <c r="I561" s="5"/>
      <c r="J561" s="3"/>
      <c r="K561" s="5"/>
      <c r="L561" s="3"/>
      <c r="M561" s="5"/>
      <c r="N561" s="5"/>
    </row>
    <row r="562">
      <c r="A562" s="2"/>
      <c r="B562" s="3"/>
      <c r="C562" s="3"/>
      <c r="D562" s="3"/>
      <c r="E562" s="4"/>
      <c r="F562" s="3"/>
      <c r="G562" s="5"/>
      <c r="H562" s="3"/>
      <c r="I562" s="5"/>
      <c r="J562" s="3"/>
      <c r="K562" s="5"/>
      <c r="L562" s="3"/>
      <c r="M562" s="5"/>
      <c r="N562" s="5"/>
    </row>
    <row r="563">
      <c r="A563" s="2"/>
      <c r="B563" s="3"/>
      <c r="C563" s="3"/>
      <c r="D563" s="3"/>
      <c r="E563" s="4"/>
      <c r="F563" s="3"/>
      <c r="G563" s="5"/>
      <c r="H563" s="3"/>
      <c r="I563" s="5"/>
      <c r="J563" s="3"/>
      <c r="K563" s="5"/>
      <c r="L563" s="3"/>
      <c r="M563" s="5"/>
      <c r="N563" s="5"/>
    </row>
    <row r="564">
      <c r="A564" s="2"/>
      <c r="B564" s="3"/>
      <c r="C564" s="3"/>
      <c r="D564" s="3"/>
      <c r="E564" s="4"/>
      <c r="F564" s="3"/>
      <c r="G564" s="5"/>
      <c r="H564" s="3"/>
      <c r="I564" s="5"/>
      <c r="J564" s="3"/>
      <c r="K564" s="5"/>
      <c r="L564" s="3"/>
      <c r="M564" s="5"/>
      <c r="N564" s="5"/>
    </row>
    <row r="565">
      <c r="A565" s="2"/>
      <c r="B565" s="3"/>
      <c r="C565" s="3"/>
      <c r="D565" s="3"/>
      <c r="E565" s="4"/>
      <c r="F565" s="3"/>
      <c r="G565" s="5"/>
      <c r="H565" s="3"/>
      <c r="I565" s="5"/>
      <c r="J565" s="3"/>
      <c r="K565" s="5"/>
      <c r="L565" s="3"/>
      <c r="M565" s="5"/>
      <c r="N565" s="5"/>
    </row>
    <row r="566">
      <c r="A566" s="2"/>
      <c r="B566" s="3"/>
      <c r="C566" s="3"/>
      <c r="D566" s="3"/>
      <c r="E566" s="4"/>
      <c r="F566" s="3"/>
      <c r="G566" s="5"/>
      <c r="H566" s="3"/>
      <c r="I566" s="5"/>
      <c r="J566" s="3"/>
      <c r="K566" s="5"/>
      <c r="L566" s="3"/>
      <c r="M566" s="5"/>
      <c r="N566" s="5"/>
    </row>
    <row r="567">
      <c r="A567" s="2"/>
      <c r="B567" s="3"/>
      <c r="C567" s="3"/>
      <c r="D567" s="3"/>
      <c r="E567" s="4"/>
      <c r="F567" s="3"/>
      <c r="G567" s="5"/>
      <c r="H567" s="3"/>
      <c r="I567" s="5"/>
      <c r="J567" s="3"/>
      <c r="K567" s="5"/>
      <c r="L567" s="3"/>
      <c r="M567" s="5"/>
      <c r="N567" s="5"/>
    </row>
    <row r="568">
      <c r="A568" s="2"/>
      <c r="B568" s="3"/>
      <c r="C568" s="3"/>
      <c r="D568" s="3"/>
      <c r="E568" s="4"/>
      <c r="F568" s="3"/>
      <c r="G568" s="5"/>
      <c r="H568" s="3"/>
      <c r="I568" s="5"/>
      <c r="J568" s="3"/>
      <c r="K568" s="5"/>
      <c r="L568" s="3"/>
      <c r="M568" s="5"/>
      <c r="N568" s="5"/>
    </row>
    <row r="569">
      <c r="A569" s="2"/>
      <c r="B569" s="3"/>
      <c r="C569" s="3"/>
      <c r="D569" s="3"/>
      <c r="E569" s="4"/>
      <c r="F569" s="3"/>
      <c r="G569" s="5"/>
      <c r="H569" s="3"/>
      <c r="I569" s="5"/>
      <c r="J569" s="3"/>
      <c r="K569" s="5"/>
      <c r="L569" s="3"/>
      <c r="M569" s="5"/>
      <c r="N569" s="5"/>
    </row>
    <row r="570">
      <c r="A570" s="2"/>
      <c r="B570" s="3"/>
      <c r="C570" s="3"/>
      <c r="D570" s="3"/>
      <c r="E570" s="4"/>
      <c r="F570" s="3"/>
      <c r="G570" s="5"/>
      <c r="H570" s="3"/>
      <c r="I570" s="5"/>
      <c r="J570" s="3"/>
      <c r="K570" s="5"/>
      <c r="L570" s="3"/>
      <c r="M570" s="5"/>
      <c r="N570" s="5"/>
    </row>
    <row r="571">
      <c r="A571" s="2"/>
      <c r="B571" s="3"/>
      <c r="C571" s="3"/>
      <c r="D571" s="3"/>
      <c r="E571" s="4"/>
      <c r="F571" s="3"/>
      <c r="G571" s="5"/>
      <c r="H571" s="3"/>
      <c r="I571" s="5"/>
      <c r="J571" s="3"/>
      <c r="K571" s="5"/>
      <c r="L571" s="3"/>
      <c r="M571" s="5"/>
      <c r="N571" s="5"/>
    </row>
    <row r="572">
      <c r="A572" s="2"/>
      <c r="B572" s="3"/>
      <c r="C572" s="3"/>
      <c r="D572" s="3"/>
      <c r="E572" s="4"/>
      <c r="F572" s="3"/>
      <c r="G572" s="5"/>
      <c r="H572" s="3"/>
      <c r="I572" s="5"/>
      <c r="J572" s="3"/>
      <c r="K572" s="5"/>
      <c r="L572" s="3"/>
      <c r="M572" s="5"/>
      <c r="N572" s="5"/>
    </row>
    <row r="573">
      <c r="A573" s="2"/>
      <c r="B573" s="3"/>
      <c r="C573" s="3"/>
      <c r="D573" s="3"/>
      <c r="E573" s="4"/>
      <c r="F573" s="3"/>
      <c r="G573" s="5"/>
      <c r="H573" s="3"/>
      <c r="I573" s="5"/>
      <c r="J573" s="3"/>
      <c r="K573" s="5"/>
      <c r="L573" s="3"/>
      <c r="M573" s="5"/>
      <c r="N573" s="5"/>
    </row>
    <row r="574">
      <c r="A574" s="2"/>
      <c r="B574" s="3"/>
      <c r="C574" s="3"/>
      <c r="D574" s="3"/>
      <c r="E574" s="4"/>
      <c r="F574" s="3"/>
      <c r="G574" s="5"/>
      <c r="H574" s="3"/>
      <c r="I574" s="5"/>
      <c r="J574" s="3"/>
      <c r="K574" s="5"/>
      <c r="L574" s="3"/>
      <c r="M574" s="5"/>
      <c r="N574" s="5"/>
    </row>
    <row r="575">
      <c r="A575" s="2"/>
      <c r="B575" s="3"/>
      <c r="C575" s="3"/>
      <c r="D575" s="3"/>
      <c r="E575" s="4"/>
      <c r="F575" s="3"/>
      <c r="G575" s="5"/>
      <c r="H575" s="3"/>
      <c r="I575" s="5"/>
      <c r="J575" s="3"/>
      <c r="K575" s="5"/>
      <c r="L575" s="3"/>
      <c r="M575" s="5"/>
      <c r="N575" s="5"/>
    </row>
    <row r="576">
      <c r="A576" s="2"/>
      <c r="B576" s="3"/>
      <c r="C576" s="3"/>
      <c r="D576" s="3"/>
      <c r="E576" s="4"/>
      <c r="F576" s="3"/>
      <c r="G576" s="5"/>
      <c r="H576" s="3"/>
      <c r="I576" s="5"/>
      <c r="J576" s="3"/>
      <c r="K576" s="5"/>
      <c r="L576" s="3"/>
      <c r="M576" s="5"/>
      <c r="N576" s="5"/>
    </row>
    <row r="577">
      <c r="A577" s="2"/>
      <c r="B577" s="3"/>
      <c r="C577" s="3"/>
      <c r="D577" s="3"/>
      <c r="E577" s="4"/>
      <c r="F577" s="3"/>
      <c r="G577" s="5"/>
      <c r="H577" s="3"/>
      <c r="I577" s="5"/>
      <c r="J577" s="3"/>
      <c r="K577" s="5"/>
      <c r="L577" s="3"/>
      <c r="M577" s="5"/>
      <c r="N577" s="5"/>
    </row>
    <row r="578">
      <c r="A578" s="2"/>
      <c r="B578" s="3"/>
      <c r="C578" s="3"/>
      <c r="D578" s="3"/>
      <c r="E578" s="4"/>
      <c r="F578" s="3"/>
      <c r="G578" s="5"/>
      <c r="H578" s="3"/>
      <c r="I578" s="5"/>
      <c r="J578" s="3"/>
      <c r="K578" s="5"/>
      <c r="L578" s="3"/>
      <c r="M578" s="5"/>
      <c r="N578" s="5"/>
    </row>
    <row r="579">
      <c r="A579" s="2"/>
      <c r="B579" s="3"/>
      <c r="C579" s="3"/>
      <c r="D579" s="3"/>
      <c r="E579" s="4"/>
      <c r="F579" s="3"/>
      <c r="G579" s="5"/>
      <c r="H579" s="3"/>
      <c r="I579" s="5"/>
      <c r="J579" s="3"/>
      <c r="K579" s="5"/>
      <c r="L579" s="3"/>
      <c r="M579" s="5"/>
      <c r="N579" s="5"/>
    </row>
    <row r="580">
      <c r="A580" s="2"/>
      <c r="B580" s="3"/>
      <c r="C580" s="3"/>
      <c r="D580" s="3"/>
      <c r="E580" s="4"/>
      <c r="F580" s="3"/>
      <c r="G580" s="5"/>
      <c r="H580" s="3"/>
      <c r="I580" s="5"/>
      <c r="J580" s="3"/>
      <c r="K580" s="5"/>
      <c r="L580" s="3"/>
      <c r="M580" s="5"/>
      <c r="N580" s="5"/>
    </row>
    <row r="581">
      <c r="A581" s="2"/>
      <c r="B581" s="3"/>
      <c r="C581" s="3"/>
      <c r="D581" s="3"/>
      <c r="E581" s="4"/>
      <c r="F581" s="3"/>
      <c r="G581" s="5"/>
      <c r="H581" s="3"/>
      <c r="I581" s="5"/>
      <c r="J581" s="3"/>
      <c r="K581" s="5"/>
      <c r="L581" s="3"/>
      <c r="M581" s="5"/>
      <c r="N581" s="5"/>
    </row>
    <row r="582">
      <c r="A582" s="2"/>
      <c r="B582" s="3"/>
      <c r="C582" s="3"/>
      <c r="D582" s="3"/>
      <c r="E582" s="4"/>
      <c r="F582" s="3"/>
      <c r="G582" s="5"/>
      <c r="H582" s="3"/>
      <c r="I582" s="5"/>
      <c r="J582" s="3"/>
      <c r="K582" s="5"/>
      <c r="L582" s="3"/>
      <c r="M582" s="5"/>
      <c r="N582" s="5"/>
    </row>
    <row r="583">
      <c r="A583" s="2"/>
      <c r="B583" s="3"/>
      <c r="C583" s="3"/>
      <c r="D583" s="3"/>
      <c r="E583" s="4"/>
      <c r="F583" s="3"/>
      <c r="G583" s="5"/>
      <c r="H583" s="3"/>
      <c r="I583" s="5"/>
      <c r="J583" s="3"/>
      <c r="K583" s="5"/>
      <c r="L583" s="3"/>
      <c r="M583" s="5"/>
      <c r="N583" s="5"/>
    </row>
    <row r="584">
      <c r="A584" s="2"/>
      <c r="B584" s="3"/>
      <c r="C584" s="3"/>
      <c r="D584" s="3"/>
      <c r="E584" s="4"/>
      <c r="F584" s="3"/>
      <c r="G584" s="5"/>
      <c r="H584" s="3"/>
      <c r="I584" s="5"/>
      <c r="J584" s="3"/>
      <c r="K584" s="5"/>
      <c r="L584" s="3"/>
      <c r="M584" s="5"/>
      <c r="N584" s="5"/>
    </row>
    <row r="585">
      <c r="A585" s="2"/>
      <c r="B585" s="3"/>
      <c r="C585" s="3"/>
      <c r="D585" s="3"/>
      <c r="E585" s="4"/>
      <c r="F585" s="3"/>
      <c r="G585" s="5"/>
      <c r="H585" s="3"/>
      <c r="I585" s="5"/>
      <c r="J585" s="3"/>
      <c r="K585" s="5"/>
      <c r="L585" s="3"/>
      <c r="M585" s="5"/>
      <c r="N585" s="5"/>
    </row>
    <row r="586">
      <c r="A586" s="2"/>
      <c r="B586" s="3"/>
      <c r="C586" s="3"/>
      <c r="D586" s="3"/>
      <c r="E586" s="4"/>
      <c r="F586" s="3"/>
      <c r="G586" s="5"/>
      <c r="H586" s="3"/>
      <c r="I586" s="5"/>
      <c r="J586" s="3"/>
      <c r="K586" s="5"/>
      <c r="L586" s="3"/>
      <c r="M586" s="5"/>
      <c r="N586" s="5"/>
    </row>
    <row r="587">
      <c r="A587" s="2"/>
      <c r="B587" s="3"/>
      <c r="C587" s="3"/>
      <c r="D587" s="3"/>
      <c r="E587" s="4"/>
      <c r="F587" s="3"/>
      <c r="G587" s="5"/>
      <c r="H587" s="3"/>
      <c r="I587" s="5"/>
      <c r="J587" s="3"/>
      <c r="K587" s="5"/>
      <c r="L587" s="3"/>
      <c r="M587" s="5"/>
      <c r="N587" s="5"/>
    </row>
    <row r="588">
      <c r="A588" s="2"/>
      <c r="B588" s="3"/>
      <c r="C588" s="3"/>
      <c r="D588" s="3"/>
      <c r="E588" s="4"/>
      <c r="F588" s="3"/>
      <c r="G588" s="5"/>
      <c r="H588" s="3"/>
      <c r="I588" s="5"/>
      <c r="J588" s="3"/>
      <c r="K588" s="5"/>
      <c r="L588" s="3"/>
      <c r="M588" s="5"/>
      <c r="N588" s="5"/>
    </row>
    <row r="589">
      <c r="A589" s="2"/>
      <c r="B589" s="3"/>
      <c r="C589" s="3"/>
      <c r="D589" s="3"/>
      <c r="E589" s="4"/>
      <c r="F589" s="3"/>
      <c r="G589" s="5"/>
      <c r="H589" s="3"/>
      <c r="I589" s="5"/>
      <c r="J589" s="3"/>
      <c r="K589" s="5"/>
      <c r="L589" s="3"/>
      <c r="M589" s="5"/>
      <c r="N589" s="5"/>
    </row>
    <row r="590">
      <c r="A590" s="2"/>
      <c r="B590" s="3"/>
      <c r="C590" s="3"/>
      <c r="D590" s="3"/>
      <c r="E590" s="4"/>
      <c r="F590" s="3"/>
      <c r="G590" s="5"/>
      <c r="H590" s="3"/>
      <c r="I590" s="5"/>
      <c r="J590" s="3"/>
      <c r="K590" s="5"/>
      <c r="L590" s="3"/>
      <c r="M590" s="5"/>
      <c r="N590" s="5"/>
    </row>
    <row r="591">
      <c r="A591" s="2"/>
      <c r="B591" s="3"/>
      <c r="C591" s="3"/>
      <c r="D591" s="3"/>
      <c r="E591" s="4"/>
      <c r="F591" s="3"/>
      <c r="G591" s="5"/>
      <c r="H591" s="3"/>
      <c r="I591" s="5"/>
      <c r="J591" s="3"/>
      <c r="K591" s="5"/>
      <c r="L591" s="3"/>
      <c r="M591" s="5"/>
      <c r="N591" s="5"/>
    </row>
    <row r="592">
      <c r="A592" s="2"/>
      <c r="B592" s="3"/>
      <c r="C592" s="3"/>
      <c r="D592" s="3"/>
      <c r="E592" s="4"/>
      <c r="F592" s="3"/>
      <c r="G592" s="5"/>
      <c r="H592" s="3"/>
      <c r="I592" s="5"/>
      <c r="J592" s="3"/>
      <c r="K592" s="5"/>
      <c r="L592" s="3"/>
      <c r="M592" s="5"/>
      <c r="N592" s="5"/>
    </row>
    <row r="593">
      <c r="A593" s="2"/>
      <c r="B593" s="3"/>
      <c r="C593" s="3"/>
      <c r="D593" s="3"/>
      <c r="E593" s="4"/>
      <c r="F593" s="3"/>
      <c r="G593" s="5"/>
      <c r="H593" s="3"/>
      <c r="I593" s="5"/>
      <c r="J593" s="3"/>
      <c r="K593" s="5"/>
      <c r="L593" s="3"/>
      <c r="M593" s="5"/>
      <c r="N593" s="5"/>
    </row>
    <row r="594">
      <c r="A594" s="2"/>
      <c r="B594" s="3"/>
      <c r="C594" s="3"/>
      <c r="D594" s="3"/>
      <c r="E594" s="4"/>
      <c r="F594" s="3"/>
      <c r="G594" s="5"/>
      <c r="H594" s="3"/>
      <c r="I594" s="5"/>
      <c r="J594" s="3"/>
      <c r="K594" s="5"/>
      <c r="L594" s="3"/>
      <c r="M594" s="5"/>
      <c r="N594" s="5"/>
    </row>
    <row r="595">
      <c r="A595" s="2"/>
      <c r="B595" s="3"/>
      <c r="C595" s="3"/>
      <c r="D595" s="3"/>
      <c r="E595" s="4"/>
      <c r="F595" s="3"/>
      <c r="G595" s="5"/>
      <c r="H595" s="3"/>
      <c r="I595" s="5"/>
      <c r="J595" s="3"/>
      <c r="K595" s="5"/>
      <c r="L595" s="3"/>
      <c r="M595" s="5"/>
      <c r="N595" s="5"/>
    </row>
    <row r="596">
      <c r="A596" s="2"/>
      <c r="B596" s="3"/>
      <c r="C596" s="3"/>
      <c r="D596" s="3"/>
      <c r="E596" s="4"/>
      <c r="F596" s="3"/>
      <c r="G596" s="5"/>
      <c r="H596" s="3"/>
      <c r="I596" s="5"/>
      <c r="J596" s="3"/>
      <c r="K596" s="5"/>
      <c r="L596" s="3"/>
      <c r="M596" s="5"/>
      <c r="N596" s="5"/>
    </row>
    <row r="597">
      <c r="A597" s="2"/>
      <c r="B597" s="3"/>
      <c r="C597" s="3"/>
      <c r="D597" s="3"/>
      <c r="E597" s="4"/>
      <c r="F597" s="3"/>
      <c r="G597" s="5"/>
      <c r="H597" s="3"/>
      <c r="I597" s="5"/>
      <c r="J597" s="3"/>
      <c r="K597" s="5"/>
      <c r="L597" s="3"/>
      <c r="M597" s="5"/>
      <c r="N597" s="5"/>
    </row>
    <row r="598">
      <c r="A598" s="2"/>
      <c r="B598" s="3"/>
      <c r="C598" s="3"/>
      <c r="D598" s="3"/>
      <c r="E598" s="4"/>
      <c r="F598" s="3"/>
      <c r="G598" s="5"/>
      <c r="H598" s="3"/>
      <c r="I598" s="5"/>
      <c r="J598" s="3"/>
      <c r="K598" s="5"/>
      <c r="L598" s="3"/>
      <c r="M598" s="5"/>
      <c r="N598" s="5"/>
    </row>
    <row r="599">
      <c r="A599" s="2"/>
      <c r="B599" s="3"/>
      <c r="C599" s="3"/>
      <c r="D599" s="3"/>
      <c r="E599" s="4"/>
      <c r="F599" s="3"/>
      <c r="G599" s="5"/>
      <c r="H599" s="3"/>
      <c r="I599" s="5"/>
      <c r="J599" s="3"/>
      <c r="K599" s="5"/>
      <c r="L599" s="3"/>
      <c r="M599" s="5"/>
      <c r="N599" s="5"/>
    </row>
    <row r="600">
      <c r="A600" s="2"/>
      <c r="B600" s="3"/>
      <c r="C600" s="3"/>
      <c r="D600" s="3"/>
      <c r="E600" s="4"/>
      <c r="F600" s="3"/>
      <c r="G600" s="5"/>
      <c r="H600" s="3"/>
      <c r="I600" s="5"/>
      <c r="J600" s="3"/>
      <c r="K600" s="5"/>
      <c r="L600" s="3"/>
      <c r="M600" s="5"/>
      <c r="N600" s="5"/>
    </row>
    <row r="601">
      <c r="A601" s="2"/>
      <c r="B601" s="3"/>
      <c r="C601" s="3"/>
      <c r="D601" s="3"/>
      <c r="E601" s="4"/>
      <c r="F601" s="3"/>
      <c r="G601" s="5"/>
      <c r="H601" s="3"/>
      <c r="I601" s="5"/>
      <c r="J601" s="3"/>
      <c r="K601" s="5"/>
      <c r="L601" s="3"/>
      <c r="M601" s="5"/>
      <c r="N601" s="5"/>
    </row>
    <row r="602">
      <c r="A602" s="2"/>
      <c r="B602" s="3"/>
      <c r="C602" s="3"/>
      <c r="D602" s="3"/>
      <c r="E602" s="4"/>
      <c r="F602" s="3"/>
      <c r="G602" s="5"/>
      <c r="H602" s="3"/>
      <c r="I602" s="5"/>
      <c r="J602" s="3"/>
      <c r="K602" s="5"/>
      <c r="L602" s="3"/>
      <c r="M602" s="5"/>
      <c r="N602" s="5"/>
    </row>
    <row r="603">
      <c r="A603" s="2"/>
      <c r="B603" s="3"/>
      <c r="C603" s="3"/>
      <c r="D603" s="3"/>
      <c r="E603" s="4"/>
      <c r="F603" s="3"/>
      <c r="G603" s="5"/>
      <c r="H603" s="3"/>
      <c r="I603" s="5"/>
      <c r="J603" s="3"/>
      <c r="K603" s="5"/>
      <c r="L603" s="3"/>
      <c r="M603" s="5"/>
      <c r="N603" s="5"/>
    </row>
    <row r="604">
      <c r="A604" s="2"/>
      <c r="B604" s="3"/>
      <c r="C604" s="3"/>
      <c r="D604" s="3"/>
      <c r="E604" s="4"/>
      <c r="F604" s="3"/>
      <c r="G604" s="5"/>
      <c r="H604" s="3"/>
      <c r="I604" s="5"/>
      <c r="J604" s="3"/>
      <c r="K604" s="5"/>
      <c r="L604" s="3"/>
      <c r="M604" s="5"/>
      <c r="N604" s="5"/>
    </row>
    <row r="605">
      <c r="A605" s="2"/>
      <c r="B605" s="3"/>
      <c r="C605" s="3"/>
      <c r="D605" s="3"/>
      <c r="E605" s="4"/>
      <c r="F605" s="3"/>
      <c r="G605" s="5"/>
      <c r="H605" s="3"/>
      <c r="I605" s="5"/>
      <c r="J605" s="3"/>
      <c r="K605" s="5"/>
      <c r="L605" s="3"/>
      <c r="M605" s="5"/>
      <c r="N605" s="5"/>
    </row>
    <row r="606">
      <c r="A606" s="2"/>
      <c r="B606" s="3"/>
      <c r="C606" s="3"/>
      <c r="D606" s="3"/>
      <c r="E606" s="4"/>
      <c r="F606" s="3"/>
      <c r="G606" s="5"/>
      <c r="H606" s="3"/>
      <c r="I606" s="5"/>
      <c r="J606" s="3"/>
      <c r="K606" s="5"/>
      <c r="L606" s="3"/>
      <c r="M606" s="5"/>
      <c r="N606" s="5"/>
    </row>
    <row r="607">
      <c r="A607" s="2"/>
      <c r="B607" s="3"/>
      <c r="C607" s="3"/>
      <c r="D607" s="3"/>
      <c r="E607" s="4"/>
      <c r="F607" s="3"/>
      <c r="G607" s="5"/>
      <c r="H607" s="3"/>
      <c r="I607" s="5"/>
      <c r="J607" s="3"/>
      <c r="K607" s="5"/>
      <c r="L607" s="3"/>
      <c r="M607" s="5"/>
      <c r="N607" s="5"/>
    </row>
    <row r="608">
      <c r="A608" s="2"/>
      <c r="B608" s="3"/>
      <c r="C608" s="3"/>
      <c r="D608" s="3"/>
      <c r="E608" s="4"/>
      <c r="F608" s="3"/>
      <c r="G608" s="5"/>
      <c r="H608" s="3"/>
      <c r="I608" s="5"/>
      <c r="J608" s="3"/>
      <c r="K608" s="5"/>
      <c r="L608" s="3"/>
      <c r="M608" s="5"/>
      <c r="N608" s="5"/>
    </row>
    <row r="609">
      <c r="A609" s="2"/>
      <c r="B609" s="3"/>
      <c r="C609" s="3"/>
      <c r="D609" s="3"/>
      <c r="E609" s="4"/>
      <c r="F609" s="3"/>
      <c r="G609" s="5"/>
      <c r="H609" s="3"/>
      <c r="I609" s="5"/>
      <c r="J609" s="3"/>
      <c r="K609" s="5"/>
      <c r="L609" s="3"/>
      <c r="M609" s="5"/>
      <c r="N609" s="5"/>
    </row>
    <row r="610">
      <c r="A610" s="2"/>
      <c r="B610" s="3"/>
      <c r="C610" s="3"/>
      <c r="D610" s="3"/>
      <c r="E610" s="4"/>
      <c r="F610" s="3"/>
      <c r="G610" s="5"/>
      <c r="H610" s="3"/>
      <c r="I610" s="5"/>
      <c r="J610" s="3"/>
      <c r="K610" s="5"/>
      <c r="L610" s="3"/>
      <c r="M610" s="5"/>
      <c r="N610" s="5"/>
    </row>
    <row r="611">
      <c r="A611" s="2"/>
      <c r="B611" s="3"/>
      <c r="C611" s="3"/>
      <c r="D611" s="3"/>
      <c r="E611" s="4"/>
      <c r="F611" s="3"/>
      <c r="G611" s="5"/>
      <c r="H611" s="3"/>
      <c r="I611" s="5"/>
      <c r="J611" s="3"/>
      <c r="K611" s="5"/>
      <c r="L611" s="3"/>
      <c r="M611" s="5"/>
      <c r="N611" s="5"/>
    </row>
    <row r="612">
      <c r="A612" s="2"/>
      <c r="B612" s="3"/>
      <c r="C612" s="3"/>
      <c r="D612" s="3"/>
      <c r="E612" s="4"/>
      <c r="F612" s="3"/>
      <c r="G612" s="5"/>
      <c r="H612" s="3"/>
      <c r="I612" s="5"/>
      <c r="J612" s="3"/>
      <c r="K612" s="5"/>
      <c r="L612" s="3"/>
      <c r="M612" s="5"/>
      <c r="N612" s="5"/>
    </row>
    <row r="613">
      <c r="A613" s="2"/>
      <c r="B613" s="3"/>
      <c r="C613" s="3"/>
      <c r="D613" s="3"/>
      <c r="E613" s="4"/>
      <c r="F613" s="3"/>
      <c r="G613" s="5"/>
      <c r="H613" s="3"/>
      <c r="I613" s="5"/>
      <c r="J613" s="3"/>
      <c r="K613" s="5"/>
      <c r="L613" s="3"/>
      <c r="M613" s="5"/>
      <c r="N613" s="5"/>
    </row>
    <row r="614">
      <c r="A614" s="2"/>
      <c r="B614" s="3"/>
      <c r="C614" s="3"/>
      <c r="D614" s="3"/>
      <c r="E614" s="4"/>
      <c r="F614" s="3"/>
      <c r="G614" s="5"/>
      <c r="H614" s="3"/>
      <c r="I614" s="5"/>
      <c r="J614" s="3"/>
      <c r="K614" s="5"/>
      <c r="L614" s="3"/>
      <c r="M614" s="5"/>
      <c r="N614" s="5"/>
    </row>
    <row r="615">
      <c r="A615" s="2"/>
      <c r="B615" s="3"/>
      <c r="C615" s="3"/>
      <c r="D615" s="3"/>
      <c r="E615" s="4"/>
      <c r="F615" s="3"/>
      <c r="G615" s="5"/>
      <c r="H615" s="3"/>
      <c r="I615" s="5"/>
      <c r="J615" s="3"/>
      <c r="K615" s="5"/>
      <c r="L615" s="3"/>
      <c r="M615" s="5"/>
      <c r="N615" s="5"/>
    </row>
    <row r="616">
      <c r="A616" s="2"/>
      <c r="B616" s="3"/>
      <c r="C616" s="3"/>
      <c r="D616" s="3"/>
      <c r="E616" s="4"/>
      <c r="F616" s="3"/>
      <c r="G616" s="5"/>
      <c r="H616" s="3"/>
      <c r="I616" s="5"/>
      <c r="J616" s="3"/>
      <c r="K616" s="5"/>
      <c r="L616" s="3"/>
      <c r="M616" s="5"/>
      <c r="N616" s="5"/>
    </row>
    <row r="617">
      <c r="A617" s="2"/>
      <c r="B617" s="3"/>
      <c r="C617" s="3"/>
      <c r="D617" s="3"/>
      <c r="E617" s="4"/>
      <c r="F617" s="3"/>
      <c r="G617" s="5"/>
      <c r="H617" s="3"/>
      <c r="I617" s="5"/>
      <c r="J617" s="3"/>
      <c r="K617" s="5"/>
      <c r="L617" s="3"/>
      <c r="M617" s="5"/>
      <c r="N617" s="5"/>
    </row>
    <row r="618">
      <c r="A618" s="2"/>
      <c r="B618" s="3"/>
      <c r="C618" s="3"/>
      <c r="D618" s="3"/>
      <c r="E618" s="4"/>
      <c r="F618" s="3"/>
      <c r="G618" s="5"/>
      <c r="H618" s="3"/>
      <c r="I618" s="5"/>
      <c r="J618" s="3"/>
      <c r="K618" s="5"/>
      <c r="L618" s="3"/>
      <c r="M618" s="5"/>
      <c r="N618" s="5"/>
    </row>
    <row r="619">
      <c r="A619" s="2"/>
      <c r="B619" s="3"/>
      <c r="C619" s="3"/>
      <c r="D619" s="3"/>
      <c r="E619" s="4"/>
      <c r="F619" s="3"/>
      <c r="G619" s="5"/>
      <c r="H619" s="3"/>
      <c r="I619" s="5"/>
      <c r="J619" s="3"/>
      <c r="K619" s="5"/>
      <c r="L619" s="3"/>
      <c r="M619" s="5"/>
      <c r="N619" s="5"/>
    </row>
    <row r="620">
      <c r="A620" s="2"/>
      <c r="B620" s="3"/>
      <c r="C620" s="3"/>
      <c r="D620" s="3"/>
      <c r="E620" s="4"/>
      <c r="F620" s="3"/>
      <c r="G620" s="5"/>
      <c r="H620" s="3"/>
      <c r="I620" s="5"/>
      <c r="J620" s="3"/>
      <c r="K620" s="5"/>
      <c r="L620" s="3"/>
      <c r="M620" s="5"/>
      <c r="N620" s="5"/>
    </row>
    <row r="621">
      <c r="A621" s="2"/>
      <c r="B621" s="3"/>
      <c r="C621" s="3"/>
      <c r="D621" s="3"/>
      <c r="E621" s="4"/>
      <c r="F621" s="3"/>
      <c r="G621" s="5"/>
      <c r="H621" s="3"/>
      <c r="I621" s="5"/>
      <c r="J621" s="3"/>
      <c r="K621" s="5"/>
      <c r="L621" s="3"/>
      <c r="M621" s="5"/>
      <c r="N621" s="5"/>
    </row>
    <row r="622">
      <c r="A622" s="2"/>
      <c r="B622" s="3"/>
      <c r="C622" s="3"/>
      <c r="D622" s="3"/>
      <c r="E622" s="4"/>
      <c r="F622" s="3"/>
      <c r="G622" s="5"/>
      <c r="H622" s="3"/>
      <c r="I622" s="5"/>
      <c r="J622" s="3"/>
      <c r="K622" s="5"/>
      <c r="L622" s="3"/>
      <c r="M622" s="5"/>
      <c r="N622" s="5"/>
    </row>
    <row r="623">
      <c r="A623" s="2"/>
      <c r="B623" s="3"/>
      <c r="C623" s="3"/>
      <c r="D623" s="3"/>
      <c r="E623" s="4"/>
      <c r="F623" s="3"/>
      <c r="G623" s="5"/>
      <c r="H623" s="3"/>
      <c r="I623" s="5"/>
      <c r="J623" s="3"/>
      <c r="K623" s="5"/>
      <c r="L623" s="3"/>
      <c r="M623" s="5"/>
      <c r="N623" s="5"/>
    </row>
    <row r="624">
      <c r="A624" s="2"/>
      <c r="B624" s="3"/>
      <c r="C624" s="3"/>
      <c r="D624" s="3"/>
      <c r="E624" s="4"/>
      <c r="F624" s="3"/>
      <c r="G624" s="5"/>
      <c r="H624" s="3"/>
      <c r="I624" s="5"/>
      <c r="J624" s="3"/>
      <c r="K624" s="5"/>
      <c r="L624" s="3"/>
      <c r="M624" s="5"/>
      <c r="N624" s="5"/>
    </row>
    <row r="625">
      <c r="A625" s="2"/>
      <c r="B625" s="3"/>
      <c r="C625" s="3"/>
      <c r="D625" s="3"/>
      <c r="E625" s="4"/>
      <c r="F625" s="3"/>
      <c r="G625" s="5"/>
      <c r="H625" s="3"/>
      <c r="I625" s="5"/>
      <c r="J625" s="3"/>
      <c r="K625" s="5"/>
      <c r="L625" s="3"/>
      <c r="M625" s="5"/>
      <c r="N625" s="5"/>
    </row>
    <row r="626">
      <c r="A626" s="2"/>
      <c r="B626" s="3"/>
      <c r="C626" s="3"/>
      <c r="D626" s="3"/>
      <c r="E626" s="4"/>
      <c r="F626" s="3"/>
      <c r="G626" s="5"/>
      <c r="H626" s="3"/>
      <c r="I626" s="5"/>
      <c r="J626" s="3"/>
      <c r="K626" s="5"/>
      <c r="L626" s="3"/>
      <c r="M626" s="5"/>
      <c r="N626" s="5"/>
    </row>
    <row r="627">
      <c r="A627" s="2"/>
      <c r="B627" s="3"/>
      <c r="C627" s="3"/>
      <c r="D627" s="3"/>
      <c r="E627" s="4"/>
      <c r="F627" s="3"/>
      <c r="G627" s="5"/>
      <c r="H627" s="3"/>
      <c r="I627" s="5"/>
      <c r="J627" s="3"/>
      <c r="K627" s="5"/>
      <c r="L627" s="3"/>
      <c r="M627" s="5"/>
      <c r="N627" s="5"/>
    </row>
    <row r="628">
      <c r="A628" s="2"/>
      <c r="B628" s="3"/>
      <c r="C628" s="3"/>
      <c r="D628" s="3"/>
      <c r="E628" s="4"/>
      <c r="F628" s="3"/>
      <c r="G628" s="5"/>
      <c r="H628" s="3"/>
      <c r="I628" s="5"/>
      <c r="J628" s="3"/>
      <c r="K628" s="5"/>
      <c r="L628" s="3"/>
      <c r="M628" s="5"/>
      <c r="N628" s="5"/>
    </row>
    <row r="629">
      <c r="A629" s="2"/>
      <c r="B629" s="3"/>
      <c r="C629" s="3"/>
      <c r="D629" s="3"/>
      <c r="E629" s="4"/>
      <c r="F629" s="3"/>
      <c r="G629" s="5"/>
      <c r="H629" s="3"/>
      <c r="I629" s="5"/>
      <c r="J629" s="3"/>
      <c r="K629" s="5"/>
      <c r="L629" s="3"/>
      <c r="M629" s="5"/>
      <c r="N629" s="5"/>
    </row>
    <row r="630">
      <c r="A630" s="2"/>
      <c r="B630" s="3"/>
      <c r="C630" s="3"/>
      <c r="D630" s="3"/>
      <c r="E630" s="4"/>
      <c r="F630" s="3"/>
      <c r="G630" s="5"/>
      <c r="H630" s="3"/>
      <c r="I630" s="5"/>
      <c r="J630" s="3"/>
      <c r="K630" s="5"/>
      <c r="L630" s="3"/>
      <c r="M630" s="5"/>
      <c r="N630" s="5"/>
    </row>
    <row r="631">
      <c r="A631" s="2"/>
      <c r="B631" s="3"/>
      <c r="C631" s="3"/>
      <c r="D631" s="3"/>
      <c r="E631" s="4"/>
      <c r="F631" s="3"/>
      <c r="G631" s="5"/>
      <c r="H631" s="3"/>
      <c r="I631" s="5"/>
      <c r="J631" s="3"/>
      <c r="K631" s="5"/>
      <c r="L631" s="3"/>
      <c r="M631" s="5"/>
      <c r="N631" s="5"/>
    </row>
    <row r="632">
      <c r="A632" s="2"/>
      <c r="B632" s="3"/>
      <c r="C632" s="3"/>
      <c r="D632" s="3"/>
      <c r="E632" s="4"/>
      <c r="F632" s="3"/>
      <c r="G632" s="5"/>
      <c r="H632" s="3"/>
      <c r="I632" s="5"/>
      <c r="J632" s="3"/>
      <c r="K632" s="5"/>
      <c r="L632" s="3"/>
      <c r="M632" s="5"/>
      <c r="N632" s="5"/>
    </row>
    <row r="633">
      <c r="A633" s="2"/>
      <c r="B633" s="3"/>
      <c r="C633" s="3"/>
      <c r="D633" s="3"/>
      <c r="E633" s="4"/>
      <c r="F633" s="3"/>
      <c r="G633" s="5"/>
      <c r="H633" s="3"/>
      <c r="I633" s="5"/>
      <c r="J633" s="3"/>
      <c r="K633" s="5"/>
      <c r="L633" s="3"/>
      <c r="M633" s="5"/>
      <c r="N633" s="5"/>
    </row>
    <row r="634">
      <c r="A634" s="2"/>
      <c r="B634" s="3"/>
      <c r="C634" s="3"/>
      <c r="D634" s="3"/>
      <c r="E634" s="4"/>
      <c r="F634" s="3"/>
      <c r="G634" s="5"/>
      <c r="H634" s="3"/>
      <c r="I634" s="5"/>
      <c r="J634" s="3"/>
      <c r="K634" s="5"/>
      <c r="L634" s="3"/>
      <c r="M634" s="5"/>
      <c r="N634" s="5"/>
    </row>
    <row r="635">
      <c r="A635" s="2"/>
      <c r="B635" s="3"/>
      <c r="C635" s="3"/>
      <c r="D635" s="3"/>
      <c r="E635" s="4"/>
      <c r="F635" s="3"/>
      <c r="G635" s="5"/>
      <c r="H635" s="3"/>
      <c r="I635" s="5"/>
      <c r="J635" s="3"/>
      <c r="K635" s="5"/>
      <c r="L635" s="3"/>
      <c r="M635" s="5"/>
      <c r="N635" s="5"/>
    </row>
    <row r="636">
      <c r="A636" s="2"/>
      <c r="B636" s="3"/>
      <c r="C636" s="3"/>
      <c r="D636" s="3"/>
      <c r="E636" s="4"/>
      <c r="F636" s="3"/>
      <c r="G636" s="5"/>
      <c r="H636" s="3"/>
      <c r="I636" s="5"/>
      <c r="J636" s="3"/>
      <c r="K636" s="5"/>
      <c r="L636" s="3"/>
      <c r="M636" s="5"/>
      <c r="N636" s="5"/>
    </row>
    <row r="637">
      <c r="A637" s="2"/>
      <c r="B637" s="3"/>
      <c r="C637" s="3"/>
      <c r="D637" s="3"/>
      <c r="E637" s="4"/>
      <c r="F637" s="3"/>
      <c r="G637" s="5"/>
      <c r="H637" s="3"/>
      <c r="I637" s="5"/>
      <c r="J637" s="3"/>
      <c r="K637" s="5"/>
      <c r="L637" s="3"/>
      <c r="M637" s="5"/>
      <c r="N637" s="5"/>
    </row>
    <row r="638">
      <c r="A638" s="2"/>
      <c r="B638" s="3"/>
      <c r="C638" s="3"/>
      <c r="D638" s="3"/>
      <c r="E638" s="4"/>
      <c r="F638" s="3"/>
      <c r="G638" s="5"/>
      <c r="H638" s="3"/>
      <c r="I638" s="5"/>
      <c r="J638" s="3"/>
      <c r="K638" s="5"/>
      <c r="L638" s="3"/>
      <c r="M638" s="5"/>
      <c r="N638" s="5"/>
    </row>
    <row r="639">
      <c r="A639" s="2"/>
      <c r="B639" s="3"/>
      <c r="C639" s="3"/>
      <c r="D639" s="3"/>
      <c r="E639" s="4"/>
      <c r="F639" s="3"/>
      <c r="G639" s="5"/>
      <c r="H639" s="3"/>
      <c r="I639" s="5"/>
      <c r="J639" s="3"/>
      <c r="K639" s="5"/>
      <c r="L639" s="3"/>
      <c r="M639" s="5"/>
      <c r="N639" s="5"/>
    </row>
    <row r="640">
      <c r="A640" s="2"/>
      <c r="B640" s="3"/>
      <c r="C640" s="3"/>
      <c r="D640" s="3"/>
      <c r="E640" s="4"/>
      <c r="F640" s="3"/>
      <c r="G640" s="5"/>
      <c r="H640" s="3"/>
      <c r="I640" s="5"/>
      <c r="J640" s="3"/>
      <c r="K640" s="5"/>
      <c r="L640" s="3"/>
      <c r="M640" s="5"/>
      <c r="N640" s="5"/>
    </row>
    <row r="641">
      <c r="A641" s="2"/>
      <c r="B641" s="3"/>
      <c r="C641" s="3"/>
      <c r="D641" s="3"/>
      <c r="E641" s="4"/>
      <c r="F641" s="3"/>
      <c r="G641" s="5"/>
      <c r="H641" s="3"/>
      <c r="I641" s="5"/>
      <c r="J641" s="3"/>
      <c r="K641" s="5"/>
      <c r="L641" s="3"/>
      <c r="M641" s="5"/>
      <c r="N641" s="5"/>
    </row>
    <row r="642">
      <c r="A642" s="2"/>
      <c r="B642" s="3"/>
      <c r="C642" s="3"/>
      <c r="D642" s="3"/>
      <c r="E642" s="4"/>
      <c r="F642" s="3"/>
      <c r="G642" s="5"/>
      <c r="H642" s="3"/>
      <c r="I642" s="5"/>
      <c r="J642" s="3"/>
      <c r="K642" s="5"/>
      <c r="L642" s="3"/>
      <c r="M642" s="5"/>
      <c r="N642" s="5"/>
    </row>
    <row r="643">
      <c r="A643" s="2"/>
      <c r="B643" s="3"/>
      <c r="C643" s="3"/>
      <c r="D643" s="3"/>
      <c r="E643" s="4"/>
      <c r="F643" s="3"/>
      <c r="G643" s="5"/>
      <c r="H643" s="3"/>
      <c r="I643" s="5"/>
      <c r="J643" s="3"/>
      <c r="K643" s="5"/>
      <c r="L643" s="3"/>
      <c r="M643" s="5"/>
      <c r="N643" s="5"/>
    </row>
    <row r="644">
      <c r="A644" s="2"/>
      <c r="B644" s="3"/>
      <c r="C644" s="3"/>
      <c r="D644" s="3"/>
      <c r="E644" s="4"/>
      <c r="F644" s="3"/>
      <c r="G644" s="5"/>
      <c r="H644" s="3"/>
      <c r="I644" s="5"/>
      <c r="J644" s="3"/>
      <c r="K644" s="5"/>
      <c r="L644" s="3"/>
      <c r="M644" s="5"/>
      <c r="N644" s="5"/>
    </row>
    <row r="645">
      <c r="A645" s="2"/>
      <c r="B645" s="3"/>
      <c r="C645" s="3"/>
      <c r="D645" s="3"/>
      <c r="E645" s="4"/>
      <c r="F645" s="3"/>
      <c r="G645" s="5"/>
      <c r="H645" s="3"/>
      <c r="I645" s="5"/>
      <c r="J645" s="3"/>
      <c r="K645" s="5"/>
      <c r="L645" s="3"/>
      <c r="M645" s="5"/>
      <c r="N645" s="5"/>
    </row>
    <row r="646">
      <c r="A646" s="2"/>
      <c r="B646" s="3"/>
      <c r="C646" s="3"/>
      <c r="D646" s="3"/>
      <c r="E646" s="4"/>
      <c r="F646" s="3"/>
      <c r="G646" s="5"/>
      <c r="H646" s="3"/>
      <c r="I646" s="5"/>
      <c r="J646" s="3"/>
      <c r="K646" s="5"/>
      <c r="L646" s="3"/>
      <c r="M646" s="5"/>
      <c r="N646" s="5"/>
    </row>
    <row r="647">
      <c r="A647" s="2"/>
      <c r="B647" s="3"/>
      <c r="C647" s="3"/>
      <c r="D647" s="3"/>
      <c r="E647" s="4"/>
      <c r="F647" s="3"/>
      <c r="G647" s="5"/>
      <c r="H647" s="3"/>
      <c r="I647" s="5"/>
      <c r="J647" s="3"/>
      <c r="K647" s="5"/>
      <c r="L647" s="3"/>
      <c r="M647" s="5"/>
      <c r="N647" s="5"/>
    </row>
    <row r="648">
      <c r="A648" s="2"/>
      <c r="B648" s="3"/>
      <c r="C648" s="3"/>
      <c r="D648" s="3"/>
      <c r="E648" s="4"/>
      <c r="F648" s="3"/>
      <c r="G648" s="5"/>
      <c r="H648" s="3"/>
      <c r="I648" s="5"/>
      <c r="J648" s="3"/>
      <c r="K648" s="5"/>
      <c r="L648" s="3"/>
      <c r="M648" s="5"/>
      <c r="N648" s="5"/>
    </row>
    <row r="649">
      <c r="A649" s="2"/>
      <c r="B649" s="3"/>
      <c r="C649" s="3"/>
      <c r="D649" s="3"/>
      <c r="E649" s="4"/>
      <c r="F649" s="3"/>
      <c r="G649" s="5"/>
      <c r="H649" s="3"/>
      <c r="I649" s="5"/>
      <c r="J649" s="3"/>
      <c r="K649" s="5"/>
      <c r="L649" s="3"/>
      <c r="M649" s="5"/>
      <c r="N649" s="5"/>
    </row>
    <row r="650">
      <c r="A650" s="2"/>
      <c r="B650" s="3"/>
      <c r="C650" s="3"/>
      <c r="D650" s="3"/>
      <c r="E650" s="4"/>
      <c r="F650" s="3"/>
      <c r="G650" s="5"/>
      <c r="H650" s="3"/>
      <c r="I650" s="5"/>
      <c r="J650" s="3"/>
      <c r="K650" s="5"/>
      <c r="L650" s="3"/>
      <c r="M650" s="5"/>
      <c r="N650" s="5"/>
    </row>
    <row r="651">
      <c r="A651" s="2"/>
      <c r="B651" s="3"/>
      <c r="C651" s="3"/>
      <c r="D651" s="3"/>
      <c r="E651" s="4"/>
      <c r="F651" s="3"/>
      <c r="G651" s="5"/>
      <c r="H651" s="3"/>
      <c r="I651" s="5"/>
      <c r="J651" s="3"/>
      <c r="K651" s="5"/>
      <c r="L651" s="3"/>
      <c r="M651" s="5"/>
      <c r="N651" s="5"/>
    </row>
    <row r="652">
      <c r="A652" s="2"/>
      <c r="B652" s="3"/>
      <c r="C652" s="3"/>
      <c r="D652" s="3"/>
      <c r="E652" s="4"/>
      <c r="F652" s="3"/>
      <c r="G652" s="5"/>
      <c r="H652" s="3"/>
      <c r="I652" s="5"/>
      <c r="J652" s="3"/>
      <c r="K652" s="5"/>
      <c r="L652" s="3"/>
      <c r="M652" s="5"/>
      <c r="N652" s="5"/>
    </row>
    <row r="653">
      <c r="A653" s="2"/>
      <c r="B653" s="3"/>
      <c r="C653" s="3"/>
      <c r="D653" s="3"/>
      <c r="E653" s="4"/>
      <c r="F653" s="3"/>
      <c r="G653" s="5"/>
      <c r="H653" s="3"/>
      <c r="I653" s="5"/>
      <c r="J653" s="3"/>
      <c r="K653" s="5"/>
      <c r="L653" s="3"/>
      <c r="M653" s="5"/>
      <c r="N653" s="5"/>
    </row>
    <row r="654">
      <c r="A654" s="2"/>
      <c r="B654" s="3"/>
      <c r="C654" s="3"/>
      <c r="D654" s="3"/>
      <c r="E654" s="4"/>
      <c r="F654" s="3"/>
      <c r="G654" s="5"/>
      <c r="H654" s="3"/>
      <c r="I654" s="5"/>
      <c r="J654" s="3"/>
      <c r="K654" s="5"/>
      <c r="L654" s="3"/>
      <c r="M654" s="5"/>
      <c r="N654" s="5"/>
    </row>
    <row r="655">
      <c r="A655" s="2"/>
      <c r="B655" s="3"/>
      <c r="C655" s="3"/>
      <c r="D655" s="3"/>
      <c r="E655" s="4"/>
      <c r="F655" s="3"/>
      <c r="G655" s="5"/>
      <c r="H655" s="3"/>
      <c r="I655" s="5"/>
      <c r="J655" s="3"/>
      <c r="K655" s="5"/>
      <c r="L655" s="3"/>
      <c r="M655" s="5"/>
      <c r="N655" s="5"/>
    </row>
    <row r="656">
      <c r="A656" s="2"/>
      <c r="B656" s="3"/>
      <c r="C656" s="3"/>
      <c r="D656" s="3"/>
      <c r="E656" s="4"/>
      <c r="F656" s="3"/>
      <c r="G656" s="5"/>
      <c r="H656" s="3"/>
      <c r="I656" s="5"/>
      <c r="J656" s="3"/>
      <c r="K656" s="5"/>
      <c r="L656" s="3"/>
      <c r="M656" s="5"/>
      <c r="N656" s="5"/>
    </row>
    <row r="657">
      <c r="A657" s="2"/>
      <c r="B657" s="3"/>
      <c r="C657" s="3"/>
      <c r="D657" s="3"/>
      <c r="E657" s="4"/>
      <c r="F657" s="3"/>
      <c r="G657" s="5"/>
      <c r="H657" s="3"/>
      <c r="I657" s="5"/>
      <c r="J657" s="3"/>
      <c r="K657" s="5"/>
      <c r="L657" s="3"/>
      <c r="M657" s="5"/>
      <c r="N657" s="5"/>
    </row>
    <row r="658">
      <c r="A658" s="2"/>
      <c r="B658" s="3"/>
      <c r="C658" s="3"/>
      <c r="D658" s="3"/>
      <c r="E658" s="4"/>
      <c r="F658" s="3"/>
      <c r="G658" s="5"/>
      <c r="H658" s="3"/>
      <c r="I658" s="5"/>
      <c r="J658" s="3"/>
      <c r="K658" s="5"/>
      <c r="L658" s="3"/>
      <c r="M658" s="5"/>
      <c r="N658" s="5"/>
    </row>
    <row r="659">
      <c r="A659" s="2"/>
      <c r="B659" s="3"/>
      <c r="C659" s="3"/>
      <c r="D659" s="3"/>
      <c r="E659" s="4"/>
      <c r="F659" s="3"/>
      <c r="G659" s="5"/>
      <c r="H659" s="3"/>
      <c r="I659" s="5"/>
      <c r="J659" s="3"/>
      <c r="K659" s="5"/>
      <c r="L659" s="3"/>
      <c r="M659" s="5"/>
      <c r="N659" s="5"/>
    </row>
    <row r="660">
      <c r="A660" s="2"/>
      <c r="B660" s="3"/>
      <c r="C660" s="3"/>
      <c r="D660" s="3"/>
      <c r="E660" s="4"/>
      <c r="F660" s="3"/>
      <c r="G660" s="5"/>
      <c r="H660" s="3"/>
      <c r="I660" s="5"/>
      <c r="J660" s="3"/>
      <c r="K660" s="5"/>
      <c r="L660" s="3"/>
      <c r="M660" s="5"/>
      <c r="N660" s="5"/>
    </row>
    <row r="661">
      <c r="A661" s="2"/>
      <c r="B661" s="3"/>
      <c r="C661" s="3"/>
      <c r="D661" s="3"/>
      <c r="E661" s="4"/>
      <c r="F661" s="3"/>
      <c r="G661" s="5"/>
      <c r="H661" s="3"/>
      <c r="I661" s="5"/>
      <c r="J661" s="3"/>
      <c r="K661" s="5"/>
      <c r="L661" s="3"/>
      <c r="M661" s="5"/>
      <c r="N661" s="5"/>
    </row>
    <row r="662">
      <c r="A662" s="2"/>
      <c r="B662" s="3"/>
      <c r="C662" s="3"/>
      <c r="D662" s="3"/>
      <c r="E662" s="4"/>
      <c r="F662" s="3"/>
      <c r="G662" s="5"/>
      <c r="H662" s="3"/>
      <c r="I662" s="5"/>
      <c r="J662" s="3"/>
      <c r="K662" s="5"/>
      <c r="L662" s="3"/>
      <c r="M662" s="5"/>
      <c r="N662" s="5"/>
    </row>
    <row r="663">
      <c r="A663" s="2"/>
      <c r="B663" s="3"/>
      <c r="C663" s="3"/>
      <c r="D663" s="3"/>
      <c r="E663" s="4"/>
      <c r="F663" s="3"/>
      <c r="G663" s="5"/>
      <c r="H663" s="3"/>
      <c r="I663" s="5"/>
      <c r="J663" s="3"/>
      <c r="K663" s="5"/>
      <c r="L663" s="3"/>
      <c r="M663" s="5"/>
      <c r="N663" s="5"/>
    </row>
    <row r="664">
      <c r="A664" s="2"/>
      <c r="B664" s="3"/>
      <c r="C664" s="3"/>
      <c r="D664" s="3"/>
      <c r="E664" s="4"/>
      <c r="F664" s="3"/>
      <c r="G664" s="5"/>
      <c r="H664" s="3"/>
      <c r="I664" s="5"/>
      <c r="J664" s="3"/>
      <c r="K664" s="5"/>
      <c r="L664" s="3"/>
      <c r="M664" s="5"/>
      <c r="N664" s="5"/>
    </row>
    <row r="665">
      <c r="A665" s="2"/>
      <c r="B665" s="3"/>
      <c r="C665" s="3"/>
      <c r="D665" s="3"/>
      <c r="E665" s="4"/>
      <c r="F665" s="3"/>
      <c r="G665" s="5"/>
      <c r="H665" s="3"/>
      <c r="I665" s="5"/>
      <c r="J665" s="3"/>
      <c r="K665" s="5"/>
      <c r="L665" s="3"/>
      <c r="M665" s="5"/>
      <c r="N665" s="5"/>
    </row>
    <row r="666">
      <c r="A666" s="2"/>
      <c r="B666" s="3"/>
      <c r="C666" s="3"/>
      <c r="D666" s="3"/>
      <c r="E666" s="4"/>
      <c r="F666" s="3"/>
      <c r="G666" s="5"/>
      <c r="H666" s="3"/>
      <c r="I666" s="5"/>
      <c r="J666" s="3"/>
      <c r="K666" s="5"/>
      <c r="L666" s="3"/>
      <c r="M666" s="5"/>
      <c r="N666" s="5"/>
    </row>
    <row r="667">
      <c r="A667" s="2"/>
      <c r="B667" s="3"/>
      <c r="C667" s="3"/>
      <c r="D667" s="3"/>
      <c r="E667" s="4"/>
      <c r="F667" s="3"/>
      <c r="G667" s="5"/>
      <c r="H667" s="3"/>
      <c r="I667" s="5"/>
      <c r="J667" s="3"/>
      <c r="K667" s="5"/>
      <c r="L667" s="3"/>
      <c r="M667" s="5"/>
      <c r="N667" s="5"/>
    </row>
    <row r="668">
      <c r="A668" s="2"/>
      <c r="B668" s="3"/>
      <c r="C668" s="3"/>
      <c r="D668" s="3"/>
      <c r="E668" s="4"/>
      <c r="F668" s="3"/>
      <c r="G668" s="5"/>
      <c r="H668" s="3"/>
      <c r="I668" s="5"/>
      <c r="J668" s="3"/>
      <c r="K668" s="5"/>
      <c r="L668" s="3"/>
      <c r="M668" s="5"/>
      <c r="N668" s="5"/>
    </row>
    <row r="669">
      <c r="A669" s="2"/>
      <c r="B669" s="3"/>
      <c r="C669" s="3"/>
      <c r="D669" s="3"/>
      <c r="E669" s="4"/>
      <c r="F669" s="3"/>
      <c r="G669" s="5"/>
      <c r="H669" s="3"/>
      <c r="I669" s="5"/>
      <c r="J669" s="3"/>
      <c r="K669" s="5"/>
      <c r="L669" s="3"/>
      <c r="M669" s="5"/>
      <c r="N669" s="5"/>
    </row>
    <row r="670">
      <c r="A670" s="2"/>
      <c r="B670" s="3"/>
      <c r="C670" s="3"/>
      <c r="D670" s="3"/>
      <c r="E670" s="4"/>
      <c r="F670" s="3"/>
      <c r="G670" s="5"/>
      <c r="H670" s="3"/>
      <c r="I670" s="5"/>
      <c r="J670" s="3"/>
      <c r="K670" s="5"/>
      <c r="L670" s="3"/>
      <c r="M670" s="5"/>
      <c r="N670" s="5"/>
    </row>
    <row r="671">
      <c r="A671" s="2"/>
      <c r="B671" s="3"/>
      <c r="C671" s="3"/>
      <c r="D671" s="3"/>
      <c r="E671" s="4"/>
      <c r="F671" s="3"/>
      <c r="G671" s="5"/>
      <c r="H671" s="3"/>
      <c r="I671" s="5"/>
      <c r="J671" s="3"/>
      <c r="K671" s="5"/>
      <c r="L671" s="3"/>
      <c r="M671" s="5"/>
      <c r="N671" s="5"/>
    </row>
    <row r="672">
      <c r="A672" s="2"/>
      <c r="B672" s="3"/>
      <c r="C672" s="3"/>
      <c r="D672" s="3"/>
      <c r="E672" s="4"/>
      <c r="F672" s="3"/>
      <c r="G672" s="5"/>
      <c r="H672" s="3"/>
      <c r="I672" s="5"/>
      <c r="J672" s="3"/>
      <c r="K672" s="5"/>
      <c r="L672" s="3"/>
      <c r="M672" s="5"/>
      <c r="N672" s="5"/>
    </row>
    <row r="673">
      <c r="A673" s="2"/>
      <c r="B673" s="3"/>
      <c r="C673" s="3"/>
      <c r="D673" s="3"/>
      <c r="E673" s="4"/>
      <c r="F673" s="3"/>
      <c r="G673" s="5"/>
      <c r="H673" s="3"/>
      <c r="I673" s="5"/>
      <c r="J673" s="3"/>
      <c r="K673" s="5"/>
      <c r="L673" s="3"/>
      <c r="M673" s="5"/>
      <c r="N673" s="5"/>
    </row>
    <row r="674">
      <c r="A674" s="2"/>
      <c r="B674" s="3"/>
      <c r="C674" s="3"/>
      <c r="D674" s="3"/>
      <c r="E674" s="4"/>
      <c r="F674" s="3"/>
      <c r="G674" s="5"/>
      <c r="H674" s="3"/>
      <c r="I674" s="5"/>
      <c r="J674" s="3"/>
      <c r="K674" s="5"/>
      <c r="L674" s="3"/>
      <c r="M674" s="5"/>
      <c r="N674" s="5"/>
    </row>
    <row r="675">
      <c r="A675" s="2"/>
      <c r="B675" s="3"/>
      <c r="C675" s="3"/>
      <c r="D675" s="3"/>
      <c r="E675" s="4"/>
      <c r="F675" s="3"/>
      <c r="G675" s="5"/>
      <c r="H675" s="3"/>
      <c r="I675" s="5"/>
      <c r="J675" s="3"/>
      <c r="K675" s="5"/>
      <c r="L675" s="3"/>
      <c r="M675" s="5"/>
      <c r="N675" s="5"/>
    </row>
    <row r="676">
      <c r="A676" s="2"/>
      <c r="B676" s="3"/>
      <c r="C676" s="3"/>
      <c r="D676" s="3"/>
      <c r="E676" s="4"/>
      <c r="F676" s="3"/>
      <c r="G676" s="5"/>
      <c r="H676" s="3"/>
      <c r="I676" s="5"/>
      <c r="J676" s="3"/>
      <c r="K676" s="5"/>
      <c r="L676" s="3"/>
      <c r="M676" s="5"/>
      <c r="N676" s="5"/>
    </row>
    <row r="677">
      <c r="A677" s="2"/>
      <c r="B677" s="3"/>
      <c r="C677" s="3"/>
      <c r="D677" s="3"/>
      <c r="E677" s="4"/>
      <c r="F677" s="3"/>
      <c r="G677" s="5"/>
      <c r="H677" s="3"/>
      <c r="I677" s="5"/>
      <c r="J677" s="3"/>
      <c r="K677" s="5"/>
      <c r="L677" s="3"/>
      <c r="M677" s="5"/>
      <c r="N677" s="5"/>
    </row>
    <row r="678">
      <c r="A678" s="2"/>
      <c r="B678" s="3"/>
      <c r="C678" s="3"/>
      <c r="D678" s="3"/>
      <c r="E678" s="4"/>
      <c r="F678" s="3"/>
      <c r="G678" s="5"/>
      <c r="H678" s="3"/>
      <c r="I678" s="5"/>
      <c r="J678" s="3"/>
      <c r="K678" s="5"/>
      <c r="L678" s="3"/>
      <c r="M678" s="5"/>
      <c r="N678" s="5"/>
    </row>
    <row r="679">
      <c r="A679" s="2"/>
      <c r="B679" s="3"/>
      <c r="C679" s="3"/>
      <c r="D679" s="3"/>
      <c r="E679" s="4"/>
      <c r="F679" s="3"/>
      <c r="G679" s="5"/>
      <c r="H679" s="3"/>
      <c r="I679" s="5"/>
      <c r="J679" s="3"/>
      <c r="K679" s="5"/>
      <c r="L679" s="3"/>
      <c r="M679" s="5"/>
      <c r="N679" s="5"/>
    </row>
    <row r="680">
      <c r="A680" s="2"/>
      <c r="B680" s="3"/>
      <c r="C680" s="3"/>
      <c r="D680" s="3"/>
      <c r="E680" s="4"/>
      <c r="F680" s="3"/>
      <c r="G680" s="5"/>
      <c r="H680" s="3"/>
      <c r="I680" s="5"/>
      <c r="J680" s="3"/>
      <c r="K680" s="5"/>
      <c r="L680" s="3"/>
      <c r="M680" s="5"/>
      <c r="N680" s="5"/>
    </row>
    <row r="681">
      <c r="A681" s="2"/>
      <c r="B681" s="3"/>
      <c r="C681" s="3"/>
      <c r="D681" s="3"/>
      <c r="E681" s="4"/>
      <c r="F681" s="3"/>
      <c r="G681" s="5"/>
      <c r="H681" s="3"/>
      <c r="I681" s="5"/>
      <c r="J681" s="3"/>
      <c r="K681" s="5"/>
      <c r="L681" s="3"/>
      <c r="M681" s="5"/>
      <c r="N681" s="5"/>
    </row>
    <row r="682">
      <c r="A682" s="2"/>
      <c r="B682" s="3"/>
      <c r="C682" s="3"/>
      <c r="D682" s="3"/>
      <c r="E682" s="4"/>
      <c r="F682" s="3"/>
      <c r="G682" s="5"/>
      <c r="H682" s="3"/>
      <c r="I682" s="5"/>
      <c r="J682" s="3"/>
      <c r="K682" s="5"/>
      <c r="L682" s="3"/>
      <c r="M682" s="5"/>
      <c r="N682" s="5"/>
    </row>
    <row r="683">
      <c r="A683" s="2"/>
      <c r="B683" s="3"/>
      <c r="C683" s="3"/>
      <c r="D683" s="3"/>
      <c r="E683" s="4"/>
      <c r="F683" s="3"/>
      <c r="G683" s="5"/>
      <c r="H683" s="3"/>
      <c r="I683" s="5"/>
      <c r="J683" s="3"/>
      <c r="K683" s="5"/>
      <c r="L683" s="3"/>
      <c r="M683" s="5"/>
      <c r="N683" s="5"/>
    </row>
    <row r="684">
      <c r="A684" s="2"/>
      <c r="B684" s="3"/>
      <c r="C684" s="3"/>
      <c r="D684" s="3"/>
      <c r="E684" s="4"/>
      <c r="F684" s="3"/>
      <c r="G684" s="5"/>
      <c r="H684" s="3"/>
      <c r="I684" s="5"/>
      <c r="J684" s="3"/>
      <c r="K684" s="5"/>
      <c r="L684" s="3"/>
      <c r="M684" s="5"/>
      <c r="N684" s="5"/>
    </row>
    <row r="685">
      <c r="A685" s="2"/>
      <c r="B685" s="3"/>
      <c r="C685" s="3"/>
      <c r="D685" s="3"/>
      <c r="E685" s="4"/>
      <c r="F685" s="3"/>
      <c r="G685" s="5"/>
      <c r="H685" s="3"/>
      <c r="I685" s="5"/>
      <c r="J685" s="3"/>
      <c r="K685" s="5"/>
      <c r="L685" s="3"/>
      <c r="M685" s="5"/>
      <c r="N685" s="5"/>
    </row>
    <row r="686">
      <c r="A686" s="2"/>
      <c r="B686" s="3"/>
      <c r="C686" s="3"/>
      <c r="D686" s="3"/>
      <c r="E686" s="4"/>
      <c r="F686" s="3"/>
      <c r="G686" s="5"/>
      <c r="H686" s="3"/>
      <c r="I686" s="5"/>
      <c r="J686" s="3"/>
      <c r="K686" s="5"/>
      <c r="L686" s="3"/>
      <c r="M686" s="5"/>
      <c r="N686" s="5"/>
    </row>
    <row r="687">
      <c r="A687" s="2"/>
      <c r="B687" s="3"/>
      <c r="C687" s="3"/>
      <c r="D687" s="3"/>
      <c r="E687" s="4"/>
      <c r="F687" s="3"/>
      <c r="G687" s="5"/>
      <c r="H687" s="3"/>
      <c r="I687" s="5"/>
      <c r="J687" s="3"/>
      <c r="K687" s="5"/>
      <c r="L687" s="3"/>
      <c r="M687" s="5"/>
      <c r="N687" s="5"/>
    </row>
    <row r="688">
      <c r="A688" s="2"/>
      <c r="B688" s="3"/>
      <c r="C688" s="3"/>
      <c r="D688" s="3"/>
      <c r="E688" s="4"/>
      <c r="F688" s="3"/>
      <c r="G688" s="5"/>
      <c r="H688" s="3"/>
      <c r="I688" s="5"/>
      <c r="J688" s="3"/>
      <c r="K688" s="5"/>
      <c r="L688" s="3"/>
      <c r="M688" s="5"/>
      <c r="N688" s="5"/>
    </row>
    <row r="689">
      <c r="A689" s="2"/>
      <c r="B689" s="3"/>
      <c r="C689" s="3"/>
      <c r="D689" s="3"/>
      <c r="E689" s="4"/>
      <c r="F689" s="3"/>
      <c r="G689" s="5"/>
      <c r="H689" s="3"/>
      <c r="I689" s="5"/>
      <c r="J689" s="3"/>
      <c r="K689" s="5"/>
      <c r="L689" s="3"/>
      <c r="M689" s="5"/>
      <c r="N689" s="5"/>
    </row>
    <row r="690">
      <c r="A690" s="2"/>
      <c r="B690" s="3"/>
      <c r="C690" s="3"/>
      <c r="D690" s="3"/>
      <c r="E690" s="4"/>
      <c r="F690" s="3"/>
      <c r="G690" s="5"/>
      <c r="H690" s="3"/>
      <c r="I690" s="5"/>
      <c r="J690" s="3"/>
      <c r="K690" s="5"/>
      <c r="L690" s="3"/>
      <c r="M690" s="5"/>
      <c r="N690" s="5"/>
    </row>
    <row r="691">
      <c r="A691" s="2"/>
      <c r="B691" s="3"/>
      <c r="C691" s="3"/>
      <c r="D691" s="3"/>
      <c r="E691" s="4"/>
      <c r="F691" s="3"/>
      <c r="G691" s="5"/>
      <c r="H691" s="3"/>
      <c r="I691" s="5"/>
      <c r="J691" s="3"/>
      <c r="K691" s="5"/>
      <c r="L691" s="3"/>
      <c r="M691" s="5"/>
      <c r="N691" s="5"/>
    </row>
    <row r="692">
      <c r="A692" s="2"/>
      <c r="B692" s="3"/>
      <c r="C692" s="3"/>
      <c r="D692" s="3"/>
      <c r="E692" s="4"/>
      <c r="F692" s="3"/>
      <c r="G692" s="5"/>
      <c r="H692" s="3"/>
      <c r="I692" s="5"/>
      <c r="J692" s="3"/>
      <c r="K692" s="5"/>
      <c r="L692" s="3"/>
      <c r="M692" s="5"/>
      <c r="N692" s="5"/>
    </row>
    <row r="693">
      <c r="A693" s="2"/>
      <c r="B693" s="3"/>
      <c r="C693" s="3"/>
      <c r="D693" s="3"/>
      <c r="E693" s="4"/>
      <c r="F693" s="3"/>
      <c r="G693" s="5"/>
      <c r="H693" s="3"/>
      <c r="I693" s="5"/>
      <c r="J693" s="3"/>
      <c r="K693" s="5"/>
      <c r="L693" s="3"/>
      <c r="M693" s="5"/>
      <c r="N693" s="5"/>
    </row>
    <row r="694">
      <c r="A694" s="2"/>
      <c r="B694" s="3"/>
      <c r="C694" s="3"/>
      <c r="D694" s="3"/>
      <c r="E694" s="4"/>
      <c r="F694" s="3"/>
      <c r="G694" s="5"/>
      <c r="H694" s="3"/>
      <c r="I694" s="5"/>
      <c r="J694" s="3"/>
      <c r="K694" s="5"/>
      <c r="L694" s="3"/>
      <c r="M694" s="5"/>
      <c r="N694" s="5"/>
    </row>
    <row r="695">
      <c r="A695" s="2"/>
      <c r="B695" s="3"/>
      <c r="C695" s="3"/>
      <c r="D695" s="3"/>
      <c r="E695" s="4"/>
      <c r="F695" s="3"/>
      <c r="G695" s="5"/>
      <c r="H695" s="3"/>
      <c r="I695" s="5"/>
      <c r="J695" s="3"/>
      <c r="K695" s="5"/>
      <c r="L695" s="3"/>
      <c r="M695" s="5"/>
      <c r="N695" s="5"/>
    </row>
    <row r="696">
      <c r="A696" s="2"/>
      <c r="B696" s="3"/>
      <c r="C696" s="3"/>
      <c r="D696" s="3"/>
      <c r="E696" s="4"/>
      <c r="F696" s="3"/>
      <c r="G696" s="5"/>
      <c r="H696" s="3"/>
      <c r="I696" s="5"/>
      <c r="J696" s="3"/>
      <c r="K696" s="5"/>
      <c r="L696" s="3"/>
      <c r="M696" s="5"/>
      <c r="N696" s="5"/>
    </row>
    <row r="697">
      <c r="A697" s="2"/>
      <c r="B697" s="3"/>
      <c r="C697" s="3"/>
      <c r="D697" s="3"/>
      <c r="E697" s="4"/>
      <c r="F697" s="3"/>
      <c r="G697" s="5"/>
      <c r="H697" s="3"/>
      <c r="I697" s="5"/>
      <c r="J697" s="3"/>
      <c r="K697" s="5"/>
      <c r="L697" s="3"/>
      <c r="M697" s="5"/>
      <c r="N697" s="5"/>
    </row>
    <row r="698">
      <c r="A698" s="2"/>
      <c r="B698" s="3"/>
      <c r="C698" s="3"/>
      <c r="D698" s="3"/>
      <c r="E698" s="4"/>
      <c r="F698" s="3"/>
      <c r="G698" s="5"/>
      <c r="H698" s="3"/>
      <c r="I698" s="5"/>
      <c r="J698" s="3"/>
      <c r="K698" s="5"/>
      <c r="L698" s="3"/>
      <c r="M698" s="5"/>
      <c r="N698" s="5"/>
    </row>
    <row r="699">
      <c r="A699" s="2"/>
      <c r="B699" s="3"/>
      <c r="C699" s="3"/>
      <c r="D699" s="3"/>
      <c r="E699" s="4"/>
      <c r="F699" s="3"/>
      <c r="G699" s="5"/>
      <c r="H699" s="3"/>
      <c r="I699" s="5"/>
      <c r="J699" s="3"/>
      <c r="K699" s="5"/>
      <c r="L699" s="3"/>
      <c r="M699" s="5"/>
      <c r="N699" s="5"/>
    </row>
    <row r="700">
      <c r="A700" s="2"/>
      <c r="B700" s="3"/>
      <c r="C700" s="3"/>
      <c r="D700" s="3"/>
      <c r="E700" s="4"/>
      <c r="F700" s="3"/>
      <c r="G700" s="5"/>
      <c r="H700" s="3"/>
      <c r="I700" s="5"/>
      <c r="J700" s="3"/>
      <c r="K700" s="5"/>
      <c r="L700" s="3"/>
      <c r="M700" s="5"/>
      <c r="N700" s="5"/>
    </row>
    <row r="701">
      <c r="A701" s="2"/>
      <c r="B701" s="3"/>
      <c r="C701" s="3"/>
      <c r="D701" s="3"/>
      <c r="E701" s="4"/>
      <c r="F701" s="3"/>
      <c r="G701" s="5"/>
      <c r="H701" s="3"/>
      <c r="I701" s="5"/>
      <c r="J701" s="3"/>
      <c r="K701" s="5"/>
      <c r="L701" s="3"/>
      <c r="M701" s="5"/>
      <c r="N701" s="5"/>
    </row>
    <row r="702">
      <c r="A702" s="2"/>
      <c r="B702" s="3"/>
      <c r="C702" s="3"/>
      <c r="D702" s="3"/>
      <c r="E702" s="4"/>
      <c r="F702" s="3"/>
      <c r="G702" s="5"/>
      <c r="H702" s="3"/>
      <c r="I702" s="5"/>
      <c r="J702" s="3"/>
      <c r="K702" s="5"/>
      <c r="L702" s="3"/>
      <c r="M702" s="5"/>
      <c r="N702" s="5"/>
    </row>
    <row r="703">
      <c r="A703" s="2"/>
      <c r="B703" s="3"/>
      <c r="C703" s="3"/>
      <c r="D703" s="3"/>
      <c r="E703" s="4"/>
      <c r="F703" s="3"/>
      <c r="G703" s="5"/>
      <c r="H703" s="3"/>
      <c r="I703" s="5"/>
      <c r="J703" s="3"/>
      <c r="K703" s="5"/>
      <c r="L703" s="3"/>
      <c r="M703" s="5"/>
      <c r="N703" s="5"/>
    </row>
    <row r="704">
      <c r="A704" s="2"/>
      <c r="B704" s="3"/>
      <c r="C704" s="3"/>
      <c r="D704" s="3"/>
      <c r="E704" s="4"/>
      <c r="F704" s="3"/>
      <c r="G704" s="5"/>
      <c r="H704" s="3"/>
      <c r="I704" s="5"/>
      <c r="J704" s="3"/>
      <c r="K704" s="5"/>
      <c r="L704" s="3"/>
      <c r="M704" s="5"/>
      <c r="N704" s="5"/>
    </row>
    <row r="705">
      <c r="A705" s="2"/>
      <c r="B705" s="3"/>
      <c r="C705" s="3"/>
      <c r="D705" s="3"/>
      <c r="E705" s="4"/>
      <c r="F705" s="3"/>
      <c r="G705" s="5"/>
      <c r="H705" s="3"/>
      <c r="I705" s="5"/>
      <c r="J705" s="3"/>
      <c r="K705" s="5"/>
      <c r="L705" s="3"/>
      <c r="M705" s="5"/>
      <c r="N705" s="5"/>
    </row>
    <row r="706">
      <c r="A706" s="2"/>
      <c r="B706" s="3"/>
      <c r="C706" s="3"/>
      <c r="D706" s="3"/>
      <c r="E706" s="4"/>
      <c r="F706" s="3"/>
      <c r="G706" s="5"/>
      <c r="H706" s="3"/>
      <c r="I706" s="5"/>
      <c r="J706" s="3"/>
      <c r="K706" s="5"/>
      <c r="L706" s="3"/>
      <c r="M706" s="5"/>
      <c r="N706" s="5"/>
    </row>
    <row r="707">
      <c r="A707" s="2"/>
      <c r="B707" s="3"/>
      <c r="C707" s="3"/>
      <c r="D707" s="3"/>
      <c r="E707" s="4"/>
      <c r="F707" s="3"/>
      <c r="G707" s="5"/>
      <c r="H707" s="3"/>
      <c r="I707" s="5"/>
      <c r="J707" s="3"/>
      <c r="K707" s="5"/>
      <c r="L707" s="3"/>
      <c r="M707" s="5"/>
      <c r="N707" s="5"/>
    </row>
    <row r="708">
      <c r="A708" s="2"/>
      <c r="B708" s="3"/>
      <c r="C708" s="3"/>
      <c r="D708" s="3"/>
      <c r="E708" s="4"/>
      <c r="F708" s="3"/>
      <c r="G708" s="5"/>
      <c r="H708" s="3"/>
      <c r="I708" s="5"/>
      <c r="J708" s="3"/>
      <c r="K708" s="5"/>
      <c r="L708" s="3"/>
      <c r="M708" s="5"/>
      <c r="N708" s="5"/>
    </row>
    <row r="709">
      <c r="A709" s="2"/>
      <c r="B709" s="3"/>
      <c r="C709" s="3"/>
      <c r="D709" s="3"/>
      <c r="E709" s="4"/>
      <c r="F709" s="3"/>
      <c r="G709" s="5"/>
      <c r="H709" s="3"/>
      <c r="I709" s="5"/>
      <c r="J709" s="3"/>
      <c r="K709" s="5"/>
      <c r="L709" s="3"/>
      <c r="M709" s="5"/>
      <c r="N709" s="5"/>
    </row>
    <row r="710">
      <c r="A710" s="2"/>
      <c r="B710" s="3"/>
      <c r="C710" s="3"/>
      <c r="D710" s="3"/>
      <c r="E710" s="4"/>
      <c r="F710" s="3"/>
      <c r="G710" s="5"/>
      <c r="H710" s="3"/>
      <c r="I710" s="5"/>
      <c r="J710" s="3"/>
      <c r="K710" s="5"/>
      <c r="L710" s="3"/>
      <c r="M710" s="5"/>
      <c r="N710" s="5"/>
    </row>
    <row r="711">
      <c r="A711" s="2"/>
      <c r="B711" s="3"/>
      <c r="C711" s="3"/>
      <c r="D711" s="3"/>
      <c r="E711" s="4"/>
      <c r="F711" s="3"/>
      <c r="G711" s="5"/>
      <c r="H711" s="3"/>
      <c r="I711" s="5"/>
      <c r="J711" s="3"/>
      <c r="K711" s="5"/>
      <c r="L711" s="3"/>
      <c r="M711" s="5"/>
      <c r="N711" s="5"/>
    </row>
    <row r="712">
      <c r="A712" s="2"/>
      <c r="B712" s="3"/>
      <c r="C712" s="3"/>
      <c r="D712" s="3"/>
      <c r="E712" s="4"/>
      <c r="F712" s="3"/>
      <c r="G712" s="5"/>
      <c r="H712" s="3"/>
      <c r="I712" s="5"/>
      <c r="J712" s="3"/>
      <c r="K712" s="5"/>
      <c r="L712" s="3"/>
      <c r="M712" s="5"/>
      <c r="N712" s="5"/>
    </row>
    <row r="713">
      <c r="A713" s="2"/>
      <c r="B713" s="3"/>
      <c r="C713" s="3"/>
      <c r="D713" s="3"/>
      <c r="E713" s="4"/>
      <c r="F713" s="3"/>
      <c r="G713" s="5"/>
      <c r="H713" s="3"/>
      <c r="I713" s="5"/>
      <c r="J713" s="3"/>
      <c r="K713" s="5"/>
      <c r="L713" s="3"/>
      <c r="M713" s="5"/>
      <c r="N713" s="5"/>
    </row>
    <row r="714">
      <c r="A714" s="2"/>
      <c r="B714" s="3"/>
      <c r="C714" s="3"/>
      <c r="D714" s="3"/>
      <c r="E714" s="4"/>
      <c r="F714" s="3"/>
      <c r="G714" s="5"/>
      <c r="H714" s="3"/>
      <c r="I714" s="5"/>
      <c r="J714" s="3"/>
      <c r="K714" s="5"/>
      <c r="L714" s="3"/>
      <c r="M714" s="5"/>
      <c r="N714" s="5"/>
    </row>
    <row r="715">
      <c r="A715" s="2"/>
      <c r="B715" s="3"/>
      <c r="C715" s="3"/>
      <c r="D715" s="3"/>
      <c r="E715" s="4"/>
      <c r="F715" s="3"/>
      <c r="G715" s="5"/>
      <c r="H715" s="3"/>
      <c r="I715" s="5"/>
      <c r="J715" s="3"/>
      <c r="K715" s="5"/>
      <c r="L715" s="3"/>
      <c r="M715" s="5"/>
      <c r="N715" s="5"/>
    </row>
    <row r="716">
      <c r="A716" s="2"/>
      <c r="B716" s="3"/>
      <c r="C716" s="3"/>
      <c r="D716" s="3"/>
      <c r="E716" s="4"/>
      <c r="F716" s="3"/>
      <c r="G716" s="5"/>
      <c r="H716" s="3"/>
      <c r="I716" s="5"/>
      <c r="J716" s="3"/>
      <c r="K716" s="5"/>
      <c r="L716" s="3"/>
      <c r="M716" s="5"/>
      <c r="N716" s="5"/>
    </row>
    <row r="717">
      <c r="A717" s="2"/>
      <c r="B717" s="3"/>
      <c r="C717" s="3"/>
      <c r="D717" s="3"/>
      <c r="E717" s="4"/>
      <c r="F717" s="3"/>
      <c r="G717" s="5"/>
      <c r="H717" s="3"/>
      <c r="I717" s="5"/>
      <c r="J717" s="3"/>
      <c r="K717" s="5"/>
      <c r="L717" s="3"/>
      <c r="M717" s="5"/>
      <c r="N717" s="5"/>
    </row>
    <row r="718">
      <c r="A718" s="2"/>
      <c r="B718" s="3"/>
      <c r="C718" s="3"/>
      <c r="D718" s="3"/>
      <c r="E718" s="4"/>
      <c r="F718" s="3"/>
      <c r="G718" s="5"/>
      <c r="H718" s="3"/>
      <c r="I718" s="5"/>
      <c r="J718" s="3"/>
      <c r="K718" s="5"/>
      <c r="L718" s="3"/>
      <c r="M718" s="5"/>
      <c r="N718" s="5"/>
    </row>
    <row r="719">
      <c r="A719" s="2"/>
      <c r="B719" s="3"/>
      <c r="C719" s="3"/>
      <c r="D719" s="3"/>
      <c r="E719" s="4"/>
      <c r="F719" s="3"/>
      <c r="G719" s="5"/>
      <c r="H719" s="3"/>
      <c r="I719" s="5"/>
      <c r="J719" s="3"/>
      <c r="K719" s="5"/>
      <c r="L719" s="3"/>
      <c r="M719" s="5"/>
      <c r="N719" s="5"/>
    </row>
    <row r="720">
      <c r="A720" s="2"/>
      <c r="B720" s="3"/>
      <c r="C720" s="3"/>
      <c r="D720" s="3"/>
      <c r="E720" s="4"/>
      <c r="F720" s="3"/>
      <c r="G720" s="5"/>
      <c r="H720" s="3"/>
      <c r="I720" s="5"/>
      <c r="J720" s="3"/>
      <c r="K720" s="5"/>
      <c r="L720" s="3"/>
      <c r="M720" s="5"/>
      <c r="N720" s="5"/>
    </row>
    <row r="721">
      <c r="A721" s="2"/>
      <c r="B721" s="3"/>
      <c r="C721" s="3"/>
      <c r="D721" s="3"/>
      <c r="E721" s="4"/>
      <c r="F721" s="3"/>
      <c r="G721" s="5"/>
      <c r="H721" s="3"/>
      <c r="I721" s="5"/>
      <c r="J721" s="3"/>
      <c r="K721" s="5"/>
      <c r="L721" s="3"/>
      <c r="M721" s="5"/>
      <c r="N721" s="5"/>
    </row>
    <row r="722">
      <c r="A722" s="2"/>
      <c r="B722" s="3"/>
      <c r="C722" s="3"/>
      <c r="D722" s="3"/>
      <c r="E722" s="4"/>
      <c r="F722" s="3"/>
      <c r="G722" s="5"/>
      <c r="H722" s="3"/>
      <c r="I722" s="5"/>
      <c r="J722" s="3"/>
      <c r="K722" s="5"/>
      <c r="L722" s="3"/>
      <c r="M722" s="5"/>
      <c r="N722" s="5"/>
    </row>
    <row r="723">
      <c r="A723" s="2"/>
      <c r="B723" s="3"/>
      <c r="C723" s="3"/>
      <c r="D723" s="3"/>
      <c r="E723" s="4"/>
      <c r="F723" s="3"/>
      <c r="G723" s="5"/>
      <c r="H723" s="3"/>
      <c r="I723" s="5"/>
      <c r="J723" s="3"/>
      <c r="K723" s="5"/>
      <c r="L723" s="3"/>
      <c r="M723" s="5"/>
      <c r="N723" s="5"/>
    </row>
    <row r="724">
      <c r="A724" s="2"/>
      <c r="B724" s="3"/>
      <c r="C724" s="3"/>
      <c r="D724" s="3"/>
      <c r="E724" s="4"/>
      <c r="F724" s="3"/>
      <c r="G724" s="5"/>
      <c r="H724" s="3"/>
      <c r="I724" s="5"/>
      <c r="J724" s="3"/>
      <c r="K724" s="5"/>
      <c r="L724" s="3"/>
      <c r="M724" s="5"/>
      <c r="N724" s="5"/>
    </row>
    <row r="725">
      <c r="A725" s="2"/>
      <c r="B725" s="3"/>
      <c r="C725" s="3"/>
      <c r="D725" s="3"/>
      <c r="E725" s="4"/>
      <c r="F725" s="3"/>
      <c r="G725" s="5"/>
      <c r="H725" s="3"/>
      <c r="I725" s="5"/>
      <c r="J725" s="3"/>
      <c r="K725" s="5"/>
      <c r="L725" s="3"/>
      <c r="M725" s="5"/>
      <c r="N725" s="5"/>
    </row>
    <row r="726">
      <c r="A726" s="2"/>
      <c r="B726" s="3"/>
      <c r="C726" s="3"/>
      <c r="D726" s="3"/>
      <c r="E726" s="4"/>
      <c r="F726" s="3"/>
      <c r="G726" s="5"/>
      <c r="H726" s="3"/>
      <c r="I726" s="5"/>
      <c r="J726" s="3"/>
      <c r="K726" s="5"/>
      <c r="L726" s="3"/>
      <c r="M726" s="5"/>
      <c r="N726" s="5"/>
    </row>
    <row r="727">
      <c r="A727" s="2"/>
      <c r="B727" s="3"/>
      <c r="C727" s="3"/>
      <c r="D727" s="3"/>
      <c r="E727" s="4"/>
      <c r="F727" s="3"/>
      <c r="G727" s="5"/>
      <c r="H727" s="3"/>
      <c r="I727" s="5"/>
      <c r="J727" s="3"/>
      <c r="K727" s="5"/>
      <c r="L727" s="3"/>
      <c r="M727" s="5"/>
      <c r="N727" s="5"/>
    </row>
    <row r="728">
      <c r="A728" s="2"/>
      <c r="B728" s="3"/>
      <c r="C728" s="3"/>
      <c r="D728" s="3"/>
      <c r="E728" s="4"/>
      <c r="F728" s="3"/>
      <c r="G728" s="5"/>
      <c r="H728" s="3"/>
      <c r="I728" s="5"/>
      <c r="J728" s="3"/>
      <c r="K728" s="5"/>
      <c r="L728" s="3"/>
      <c r="M728" s="5"/>
      <c r="N728" s="5"/>
    </row>
    <row r="729">
      <c r="A729" s="2"/>
      <c r="B729" s="3"/>
      <c r="C729" s="3"/>
      <c r="D729" s="3"/>
      <c r="E729" s="4"/>
      <c r="F729" s="3"/>
      <c r="G729" s="5"/>
      <c r="H729" s="3"/>
      <c r="I729" s="5"/>
      <c r="J729" s="3"/>
      <c r="K729" s="5"/>
      <c r="L729" s="3"/>
      <c r="M729" s="5"/>
      <c r="N729" s="5"/>
    </row>
    <row r="730">
      <c r="A730" s="2"/>
      <c r="B730" s="3"/>
      <c r="C730" s="3"/>
      <c r="D730" s="3"/>
      <c r="E730" s="4"/>
      <c r="F730" s="3"/>
      <c r="G730" s="5"/>
      <c r="H730" s="3"/>
      <c r="I730" s="5"/>
      <c r="J730" s="3"/>
      <c r="K730" s="5"/>
      <c r="L730" s="3"/>
      <c r="M730" s="5"/>
      <c r="N730" s="5"/>
    </row>
    <row r="731">
      <c r="A731" s="2"/>
      <c r="B731" s="3"/>
      <c r="C731" s="3"/>
      <c r="D731" s="3"/>
      <c r="E731" s="4"/>
      <c r="F731" s="3"/>
      <c r="G731" s="5"/>
      <c r="H731" s="3"/>
      <c r="I731" s="5"/>
      <c r="J731" s="3"/>
      <c r="K731" s="5"/>
      <c r="L731" s="3"/>
      <c r="M731" s="5"/>
      <c r="N731" s="5"/>
    </row>
    <row r="732">
      <c r="A732" s="2"/>
      <c r="B732" s="3"/>
      <c r="C732" s="3"/>
      <c r="D732" s="3"/>
      <c r="E732" s="4"/>
      <c r="F732" s="3"/>
      <c r="G732" s="5"/>
      <c r="H732" s="3"/>
      <c r="I732" s="5"/>
      <c r="J732" s="3"/>
      <c r="K732" s="5"/>
      <c r="L732" s="3"/>
      <c r="M732" s="5"/>
      <c r="N732" s="5"/>
    </row>
    <row r="733">
      <c r="A733" s="2"/>
      <c r="B733" s="3"/>
      <c r="C733" s="3"/>
      <c r="D733" s="3"/>
      <c r="E733" s="4"/>
      <c r="F733" s="3"/>
      <c r="G733" s="5"/>
      <c r="H733" s="3"/>
      <c r="I733" s="5"/>
      <c r="J733" s="3"/>
      <c r="K733" s="5"/>
      <c r="L733" s="3"/>
      <c r="M733" s="5"/>
      <c r="N733" s="5"/>
    </row>
    <row r="734">
      <c r="A734" s="2"/>
      <c r="B734" s="3"/>
      <c r="C734" s="3"/>
      <c r="D734" s="3"/>
      <c r="E734" s="4"/>
      <c r="F734" s="3"/>
      <c r="G734" s="5"/>
      <c r="H734" s="3"/>
      <c r="I734" s="5"/>
      <c r="J734" s="3"/>
      <c r="K734" s="5"/>
      <c r="L734" s="3"/>
      <c r="M734" s="5"/>
      <c r="N734" s="5"/>
    </row>
    <row r="735">
      <c r="A735" s="2"/>
      <c r="B735" s="3"/>
      <c r="C735" s="3"/>
      <c r="D735" s="3"/>
      <c r="E735" s="4"/>
      <c r="F735" s="3"/>
      <c r="G735" s="5"/>
      <c r="H735" s="3"/>
      <c r="I735" s="5"/>
      <c r="J735" s="3"/>
      <c r="K735" s="5"/>
      <c r="L735" s="3"/>
      <c r="M735" s="5"/>
      <c r="N735" s="5"/>
    </row>
    <row r="736">
      <c r="A736" s="2"/>
      <c r="B736" s="3"/>
      <c r="C736" s="3"/>
      <c r="D736" s="3"/>
      <c r="E736" s="4"/>
      <c r="F736" s="3"/>
      <c r="G736" s="5"/>
      <c r="H736" s="3"/>
      <c r="I736" s="5"/>
      <c r="J736" s="3"/>
      <c r="K736" s="5"/>
      <c r="L736" s="3"/>
      <c r="M736" s="5"/>
      <c r="N736" s="5"/>
    </row>
    <row r="737">
      <c r="A737" s="2"/>
      <c r="B737" s="3"/>
      <c r="C737" s="3"/>
      <c r="D737" s="3"/>
      <c r="E737" s="4"/>
      <c r="F737" s="3"/>
      <c r="G737" s="5"/>
      <c r="H737" s="3"/>
      <c r="I737" s="5"/>
      <c r="J737" s="3"/>
      <c r="K737" s="5"/>
      <c r="L737" s="3"/>
      <c r="M737" s="5"/>
      <c r="N737" s="5"/>
    </row>
    <row r="738">
      <c r="A738" s="2"/>
      <c r="B738" s="3"/>
      <c r="C738" s="3"/>
      <c r="D738" s="3"/>
      <c r="E738" s="4"/>
      <c r="F738" s="3"/>
      <c r="G738" s="5"/>
      <c r="H738" s="3"/>
      <c r="I738" s="5"/>
      <c r="J738" s="3"/>
      <c r="K738" s="5"/>
      <c r="L738" s="3"/>
      <c r="M738" s="5"/>
      <c r="N738" s="5"/>
    </row>
    <row r="739">
      <c r="A739" s="2"/>
      <c r="B739" s="3"/>
      <c r="C739" s="3"/>
      <c r="D739" s="3"/>
      <c r="E739" s="4"/>
      <c r="F739" s="3"/>
      <c r="G739" s="5"/>
      <c r="H739" s="3"/>
      <c r="I739" s="5"/>
      <c r="J739" s="3"/>
      <c r="K739" s="5"/>
      <c r="L739" s="3"/>
      <c r="M739" s="5"/>
      <c r="N739" s="5"/>
    </row>
    <row r="740">
      <c r="A740" s="2"/>
      <c r="B740" s="3"/>
      <c r="C740" s="3"/>
      <c r="D740" s="3"/>
      <c r="E740" s="4"/>
      <c r="F740" s="3"/>
      <c r="G740" s="5"/>
      <c r="H740" s="3"/>
      <c r="I740" s="5"/>
      <c r="J740" s="3"/>
      <c r="K740" s="5"/>
      <c r="L740" s="3"/>
      <c r="M740" s="5"/>
      <c r="N740" s="5"/>
    </row>
    <row r="741">
      <c r="A741" s="2"/>
      <c r="B741" s="3"/>
      <c r="C741" s="3"/>
      <c r="D741" s="3"/>
      <c r="E741" s="4"/>
      <c r="F741" s="3"/>
      <c r="G741" s="5"/>
      <c r="H741" s="3"/>
      <c r="I741" s="5"/>
      <c r="J741" s="3"/>
      <c r="K741" s="5"/>
      <c r="L741" s="3"/>
      <c r="M741" s="5"/>
      <c r="N741" s="5"/>
    </row>
    <row r="742">
      <c r="A742" s="2"/>
      <c r="B742" s="3"/>
      <c r="C742" s="3"/>
      <c r="D742" s="3"/>
      <c r="E742" s="4"/>
      <c r="F742" s="3"/>
      <c r="G742" s="5"/>
      <c r="H742" s="3"/>
      <c r="I742" s="5"/>
      <c r="J742" s="3"/>
      <c r="K742" s="5"/>
      <c r="L742" s="3"/>
      <c r="M742" s="5"/>
      <c r="N742" s="5"/>
    </row>
    <row r="743">
      <c r="A743" s="2"/>
      <c r="B743" s="3"/>
      <c r="C743" s="3"/>
      <c r="D743" s="3"/>
      <c r="E743" s="4"/>
      <c r="F743" s="3"/>
      <c r="G743" s="5"/>
      <c r="H743" s="3"/>
      <c r="I743" s="5"/>
      <c r="J743" s="3"/>
      <c r="K743" s="5"/>
      <c r="L743" s="3"/>
      <c r="M743" s="5"/>
      <c r="N743" s="5"/>
    </row>
    <row r="744">
      <c r="A744" s="2"/>
      <c r="B744" s="3"/>
      <c r="C744" s="3"/>
      <c r="D744" s="3"/>
      <c r="E744" s="4"/>
      <c r="F744" s="3"/>
      <c r="G744" s="5"/>
      <c r="H744" s="3"/>
      <c r="I744" s="5"/>
      <c r="J744" s="3"/>
      <c r="K744" s="5"/>
      <c r="L744" s="3"/>
      <c r="M744" s="5"/>
      <c r="N744" s="5"/>
    </row>
    <row r="745">
      <c r="A745" s="2"/>
      <c r="B745" s="3"/>
      <c r="C745" s="3"/>
      <c r="D745" s="3"/>
      <c r="E745" s="4"/>
      <c r="F745" s="3"/>
      <c r="G745" s="5"/>
      <c r="H745" s="3"/>
      <c r="I745" s="5"/>
      <c r="J745" s="3"/>
      <c r="K745" s="5"/>
      <c r="L745" s="3"/>
      <c r="M745" s="5"/>
      <c r="N745" s="5"/>
    </row>
    <row r="746">
      <c r="A746" s="2"/>
      <c r="B746" s="3"/>
      <c r="C746" s="3"/>
      <c r="D746" s="3"/>
      <c r="E746" s="4"/>
      <c r="F746" s="3"/>
      <c r="G746" s="5"/>
      <c r="H746" s="3"/>
      <c r="I746" s="5"/>
      <c r="J746" s="3"/>
      <c r="K746" s="5"/>
      <c r="L746" s="3"/>
      <c r="M746" s="5"/>
      <c r="N746" s="5"/>
    </row>
    <row r="747">
      <c r="A747" s="2"/>
      <c r="B747" s="3"/>
      <c r="C747" s="3"/>
      <c r="D747" s="3"/>
      <c r="E747" s="4"/>
      <c r="F747" s="3"/>
      <c r="G747" s="5"/>
      <c r="H747" s="3"/>
      <c r="I747" s="5"/>
      <c r="J747" s="3"/>
      <c r="K747" s="5"/>
      <c r="L747" s="3"/>
      <c r="M747" s="5"/>
      <c r="N747" s="5"/>
    </row>
    <row r="748">
      <c r="A748" s="2"/>
      <c r="B748" s="3"/>
      <c r="C748" s="3"/>
      <c r="D748" s="3"/>
      <c r="E748" s="4"/>
      <c r="F748" s="3"/>
      <c r="G748" s="5"/>
      <c r="H748" s="3"/>
      <c r="I748" s="5"/>
      <c r="J748" s="3"/>
      <c r="K748" s="5"/>
      <c r="L748" s="3"/>
      <c r="M748" s="5"/>
      <c r="N748" s="5"/>
    </row>
    <row r="749">
      <c r="A749" s="2"/>
      <c r="B749" s="3"/>
      <c r="C749" s="3"/>
      <c r="D749" s="3"/>
      <c r="E749" s="4"/>
      <c r="F749" s="3"/>
      <c r="G749" s="5"/>
      <c r="H749" s="3"/>
      <c r="I749" s="5"/>
      <c r="J749" s="3"/>
      <c r="K749" s="5"/>
      <c r="L749" s="3"/>
      <c r="M749" s="5"/>
      <c r="N749" s="5"/>
    </row>
    <row r="750">
      <c r="A750" s="2"/>
      <c r="B750" s="3"/>
      <c r="C750" s="3"/>
      <c r="D750" s="3"/>
      <c r="E750" s="4"/>
      <c r="F750" s="3"/>
      <c r="G750" s="5"/>
      <c r="H750" s="3"/>
      <c r="I750" s="5"/>
      <c r="J750" s="3"/>
      <c r="K750" s="5"/>
      <c r="L750" s="3"/>
      <c r="M750" s="5"/>
      <c r="N750" s="5"/>
    </row>
    <row r="751">
      <c r="A751" s="2"/>
      <c r="B751" s="3"/>
      <c r="C751" s="3"/>
      <c r="D751" s="3"/>
      <c r="E751" s="4"/>
      <c r="F751" s="3"/>
      <c r="G751" s="5"/>
      <c r="H751" s="3"/>
      <c r="I751" s="5"/>
      <c r="J751" s="3"/>
      <c r="K751" s="5"/>
      <c r="L751" s="3"/>
      <c r="M751" s="5"/>
      <c r="N751" s="5"/>
    </row>
    <row r="752">
      <c r="A752" s="2"/>
      <c r="B752" s="3"/>
      <c r="C752" s="3"/>
      <c r="D752" s="3"/>
      <c r="E752" s="4"/>
      <c r="F752" s="3"/>
      <c r="G752" s="5"/>
      <c r="H752" s="3"/>
      <c r="I752" s="5"/>
      <c r="J752" s="3"/>
      <c r="K752" s="5"/>
      <c r="L752" s="3"/>
      <c r="M752" s="5"/>
      <c r="N752" s="5"/>
    </row>
    <row r="753">
      <c r="A753" s="2"/>
      <c r="B753" s="3"/>
      <c r="C753" s="3"/>
      <c r="D753" s="3"/>
      <c r="E753" s="4"/>
      <c r="F753" s="3"/>
      <c r="G753" s="5"/>
      <c r="H753" s="3"/>
      <c r="I753" s="5"/>
      <c r="J753" s="3"/>
      <c r="K753" s="5"/>
      <c r="L753" s="3"/>
      <c r="M753" s="5"/>
      <c r="N753" s="5"/>
    </row>
    <row r="754">
      <c r="A754" s="2"/>
      <c r="B754" s="3"/>
      <c r="C754" s="3"/>
      <c r="D754" s="3"/>
      <c r="E754" s="4"/>
      <c r="F754" s="3"/>
      <c r="G754" s="5"/>
      <c r="H754" s="3"/>
      <c r="I754" s="5"/>
      <c r="J754" s="3"/>
      <c r="K754" s="5"/>
      <c r="L754" s="3"/>
      <c r="M754" s="5"/>
      <c r="N754" s="5"/>
    </row>
    <row r="755">
      <c r="A755" s="2"/>
      <c r="B755" s="3"/>
      <c r="C755" s="3"/>
      <c r="D755" s="3"/>
      <c r="E755" s="4"/>
      <c r="F755" s="3"/>
      <c r="G755" s="5"/>
      <c r="H755" s="3"/>
      <c r="I755" s="5"/>
      <c r="J755" s="3"/>
      <c r="K755" s="5"/>
      <c r="L755" s="3"/>
      <c r="M755" s="5"/>
      <c r="N755" s="5"/>
    </row>
    <row r="756">
      <c r="A756" s="2"/>
      <c r="B756" s="3"/>
      <c r="C756" s="3"/>
      <c r="D756" s="3"/>
      <c r="E756" s="4"/>
      <c r="F756" s="3"/>
      <c r="G756" s="5"/>
      <c r="H756" s="3"/>
      <c r="I756" s="5"/>
      <c r="J756" s="3"/>
      <c r="K756" s="5"/>
      <c r="L756" s="3"/>
      <c r="M756" s="5"/>
      <c r="N756" s="5"/>
    </row>
    <row r="757">
      <c r="A757" s="2"/>
      <c r="B757" s="3"/>
      <c r="C757" s="3"/>
      <c r="D757" s="3"/>
      <c r="E757" s="4"/>
      <c r="F757" s="3"/>
      <c r="G757" s="5"/>
      <c r="H757" s="3"/>
      <c r="I757" s="5"/>
      <c r="J757" s="3"/>
      <c r="K757" s="5"/>
      <c r="L757" s="3"/>
      <c r="M757" s="5"/>
      <c r="N757" s="5"/>
    </row>
    <row r="758">
      <c r="A758" s="2"/>
      <c r="B758" s="3"/>
      <c r="C758" s="3"/>
      <c r="D758" s="3"/>
      <c r="E758" s="4"/>
      <c r="F758" s="3"/>
      <c r="G758" s="5"/>
      <c r="H758" s="3"/>
      <c r="I758" s="5"/>
      <c r="J758" s="3"/>
      <c r="K758" s="5"/>
      <c r="L758" s="3"/>
      <c r="M758" s="5"/>
      <c r="N758" s="5"/>
    </row>
    <row r="759">
      <c r="A759" s="2"/>
      <c r="B759" s="3"/>
      <c r="C759" s="3"/>
      <c r="D759" s="3"/>
      <c r="E759" s="4"/>
      <c r="F759" s="3"/>
      <c r="G759" s="5"/>
      <c r="H759" s="3"/>
      <c r="I759" s="5"/>
      <c r="J759" s="3"/>
      <c r="K759" s="5"/>
      <c r="L759" s="3"/>
      <c r="M759" s="5"/>
      <c r="N759" s="5"/>
    </row>
    <row r="760">
      <c r="A760" s="2"/>
      <c r="B760" s="3"/>
      <c r="C760" s="3"/>
      <c r="D760" s="3"/>
      <c r="E760" s="4"/>
      <c r="F760" s="3"/>
      <c r="G760" s="5"/>
      <c r="H760" s="3"/>
      <c r="I760" s="5"/>
      <c r="J760" s="3"/>
      <c r="K760" s="5"/>
      <c r="L760" s="3"/>
      <c r="M760" s="5"/>
      <c r="N760" s="5"/>
    </row>
    <row r="761">
      <c r="A761" s="2"/>
      <c r="B761" s="3"/>
      <c r="C761" s="3"/>
      <c r="D761" s="3"/>
      <c r="E761" s="4"/>
      <c r="F761" s="3"/>
      <c r="G761" s="5"/>
      <c r="H761" s="3"/>
      <c r="I761" s="5"/>
      <c r="J761" s="3"/>
      <c r="K761" s="5"/>
      <c r="L761" s="3"/>
      <c r="M761" s="5"/>
      <c r="N761" s="5"/>
    </row>
    <row r="762">
      <c r="A762" s="2"/>
      <c r="B762" s="3"/>
      <c r="C762" s="3"/>
      <c r="D762" s="3"/>
      <c r="E762" s="4"/>
      <c r="F762" s="3"/>
      <c r="G762" s="5"/>
      <c r="H762" s="3"/>
      <c r="I762" s="5"/>
      <c r="J762" s="3"/>
      <c r="K762" s="5"/>
      <c r="L762" s="3"/>
      <c r="M762" s="5"/>
      <c r="N762" s="5"/>
    </row>
    <row r="763">
      <c r="A763" s="2"/>
      <c r="B763" s="3"/>
      <c r="C763" s="3"/>
      <c r="D763" s="3"/>
      <c r="E763" s="4"/>
      <c r="F763" s="3"/>
      <c r="G763" s="5"/>
      <c r="H763" s="3"/>
      <c r="I763" s="5"/>
      <c r="J763" s="3"/>
      <c r="K763" s="5"/>
      <c r="L763" s="3"/>
      <c r="M763" s="5"/>
      <c r="N763" s="5"/>
    </row>
    <row r="764">
      <c r="A764" s="2"/>
      <c r="B764" s="3"/>
      <c r="C764" s="3"/>
      <c r="D764" s="3"/>
      <c r="E764" s="4"/>
      <c r="F764" s="3"/>
      <c r="G764" s="5"/>
      <c r="H764" s="3"/>
      <c r="I764" s="5"/>
      <c r="J764" s="3"/>
      <c r="K764" s="5"/>
      <c r="L764" s="3"/>
      <c r="M764" s="5"/>
      <c r="N764" s="5"/>
    </row>
    <row r="765">
      <c r="A765" s="2"/>
      <c r="B765" s="3"/>
      <c r="C765" s="3"/>
      <c r="D765" s="3"/>
      <c r="E765" s="4"/>
      <c r="F765" s="3"/>
      <c r="G765" s="5"/>
      <c r="H765" s="3"/>
      <c r="I765" s="5"/>
      <c r="J765" s="3"/>
      <c r="K765" s="5"/>
      <c r="L765" s="3"/>
      <c r="M765" s="5"/>
      <c r="N765" s="5"/>
    </row>
    <row r="766">
      <c r="A766" s="2"/>
      <c r="B766" s="3"/>
      <c r="C766" s="3"/>
      <c r="D766" s="3"/>
      <c r="E766" s="4"/>
      <c r="F766" s="3"/>
      <c r="G766" s="5"/>
      <c r="H766" s="3"/>
      <c r="I766" s="5"/>
      <c r="J766" s="3"/>
      <c r="K766" s="5"/>
      <c r="L766" s="3"/>
      <c r="M766" s="5"/>
      <c r="N766" s="5"/>
    </row>
    <row r="767">
      <c r="A767" s="2"/>
      <c r="B767" s="3"/>
      <c r="C767" s="3"/>
      <c r="D767" s="3"/>
      <c r="E767" s="4"/>
      <c r="F767" s="3"/>
      <c r="G767" s="5"/>
      <c r="H767" s="3"/>
      <c r="I767" s="5"/>
      <c r="J767" s="3"/>
      <c r="K767" s="5"/>
      <c r="L767" s="3"/>
      <c r="M767" s="5"/>
      <c r="N767" s="5"/>
    </row>
    <row r="768">
      <c r="A768" s="2"/>
      <c r="B768" s="3"/>
      <c r="C768" s="3"/>
      <c r="D768" s="3"/>
      <c r="E768" s="4"/>
      <c r="F768" s="3"/>
      <c r="G768" s="5"/>
      <c r="H768" s="3"/>
      <c r="I768" s="5"/>
      <c r="J768" s="3"/>
      <c r="K768" s="5"/>
      <c r="L768" s="3"/>
      <c r="M768" s="5"/>
      <c r="N768" s="5"/>
    </row>
    <row r="769">
      <c r="A769" s="2"/>
      <c r="B769" s="3"/>
      <c r="C769" s="3"/>
      <c r="D769" s="3"/>
      <c r="E769" s="4"/>
      <c r="F769" s="3"/>
      <c r="G769" s="5"/>
      <c r="H769" s="3"/>
      <c r="I769" s="5"/>
      <c r="J769" s="3"/>
      <c r="K769" s="5"/>
      <c r="L769" s="3"/>
      <c r="M769" s="5"/>
      <c r="N769" s="5"/>
    </row>
    <row r="770">
      <c r="A770" s="2"/>
      <c r="B770" s="3"/>
      <c r="C770" s="3"/>
      <c r="D770" s="3"/>
      <c r="E770" s="4"/>
      <c r="F770" s="3"/>
      <c r="G770" s="5"/>
      <c r="H770" s="3"/>
      <c r="I770" s="5"/>
      <c r="J770" s="3"/>
      <c r="K770" s="5"/>
      <c r="L770" s="3"/>
      <c r="M770" s="5"/>
      <c r="N770" s="5"/>
    </row>
    <row r="771">
      <c r="A771" s="2"/>
      <c r="B771" s="3"/>
      <c r="C771" s="3"/>
      <c r="D771" s="3"/>
      <c r="E771" s="4"/>
      <c r="F771" s="3"/>
      <c r="G771" s="5"/>
      <c r="H771" s="3"/>
      <c r="I771" s="5"/>
      <c r="J771" s="3"/>
      <c r="K771" s="5"/>
      <c r="L771" s="3"/>
      <c r="M771" s="5"/>
      <c r="N771" s="5"/>
    </row>
    <row r="772">
      <c r="A772" s="2"/>
      <c r="B772" s="3"/>
      <c r="C772" s="3"/>
      <c r="D772" s="3"/>
      <c r="E772" s="4"/>
      <c r="F772" s="3"/>
      <c r="G772" s="5"/>
      <c r="H772" s="3"/>
      <c r="I772" s="5"/>
      <c r="J772" s="3"/>
      <c r="K772" s="5"/>
      <c r="L772" s="3"/>
      <c r="M772" s="5"/>
      <c r="N772" s="5"/>
    </row>
    <row r="773">
      <c r="A773" s="2"/>
      <c r="B773" s="3"/>
      <c r="C773" s="3"/>
      <c r="D773" s="3"/>
      <c r="E773" s="4"/>
      <c r="F773" s="3"/>
      <c r="G773" s="5"/>
      <c r="H773" s="3"/>
      <c r="I773" s="5"/>
      <c r="J773" s="3"/>
      <c r="K773" s="5"/>
      <c r="L773" s="3"/>
      <c r="M773" s="5"/>
      <c r="N773" s="5"/>
    </row>
    <row r="774">
      <c r="A774" s="2"/>
      <c r="B774" s="3"/>
      <c r="C774" s="3"/>
      <c r="D774" s="3"/>
      <c r="E774" s="4"/>
      <c r="F774" s="3"/>
      <c r="G774" s="5"/>
      <c r="H774" s="3"/>
      <c r="I774" s="5"/>
      <c r="J774" s="3"/>
      <c r="K774" s="5"/>
      <c r="L774" s="3"/>
      <c r="M774" s="5"/>
      <c r="N774" s="5"/>
    </row>
    <row r="775">
      <c r="A775" s="2"/>
      <c r="B775" s="3"/>
      <c r="C775" s="3"/>
      <c r="D775" s="3"/>
      <c r="E775" s="4"/>
      <c r="F775" s="3"/>
      <c r="G775" s="5"/>
      <c r="H775" s="3"/>
      <c r="I775" s="5"/>
      <c r="J775" s="3"/>
      <c r="K775" s="5"/>
      <c r="L775" s="3"/>
      <c r="M775" s="5"/>
      <c r="N775" s="5"/>
    </row>
    <row r="776">
      <c r="A776" s="2"/>
      <c r="B776" s="3"/>
      <c r="C776" s="3"/>
      <c r="D776" s="3"/>
      <c r="E776" s="4"/>
      <c r="F776" s="3"/>
      <c r="G776" s="5"/>
      <c r="H776" s="3"/>
      <c r="I776" s="5"/>
      <c r="J776" s="3"/>
      <c r="K776" s="5"/>
      <c r="L776" s="3"/>
      <c r="M776" s="5"/>
      <c r="N776" s="5"/>
    </row>
    <row r="777">
      <c r="A777" s="2"/>
      <c r="B777" s="3"/>
      <c r="C777" s="3"/>
      <c r="D777" s="3"/>
      <c r="E777" s="4"/>
      <c r="F777" s="3"/>
      <c r="G777" s="5"/>
      <c r="H777" s="3"/>
      <c r="I777" s="5"/>
      <c r="J777" s="3"/>
      <c r="K777" s="5"/>
      <c r="L777" s="3"/>
      <c r="M777" s="5"/>
      <c r="N777" s="5"/>
    </row>
    <row r="778">
      <c r="A778" s="2"/>
      <c r="B778" s="3"/>
      <c r="C778" s="3"/>
      <c r="D778" s="3"/>
      <c r="E778" s="4"/>
      <c r="F778" s="3"/>
      <c r="G778" s="5"/>
      <c r="H778" s="3"/>
      <c r="I778" s="5"/>
      <c r="J778" s="3"/>
      <c r="K778" s="5"/>
      <c r="L778" s="3"/>
      <c r="M778" s="5"/>
      <c r="N778" s="5"/>
    </row>
    <row r="779">
      <c r="A779" s="2"/>
      <c r="B779" s="3"/>
      <c r="C779" s="3"/>
      <c r="D779" s="3"/>
      <c r="E779" s="4"/>
      <c r="F779" s="3"/>
      <c r="G779" s="5"/>
      <c r="H779" s="3"/>
      <c r="I779" s="5"/>
      <c r="J779" s="3"/>
      <c r="K779" s="5"/>
      <c r="L779" s="3"/>
      <c r="M779" s="5"/>
      <c r="N779" s="5"/>
    </row>
    <row r="780">
      <c r="A780" s="2"/>
      <c r="B780" s="3"/>
      <c r="C780" s="3"/>
      <c r="D780" s="3"/>
      <c r="E780" s="4"/>
      <c r="F780" s="3"/>
      <c r="G780" s="5"/>
      <c r="H780" s="3"/>
      <c r="I780" s="5"/>
      <c r="J780" s="3"/>
      <c r="K780" s="5"/>
      <c r="L780" s="3"/>
      <c r="M780" s="5"/>
      <c r="N780" s="5"/>
    </row>
    <row r="781">
      <c r="A781" s="2"/>
      <c r="B781" s="3"/>
      <c r="C781" s="3"/>
      <c r="D781" s="3"/>
      <c r="E781" s="4"/>
      <c r="F781" s="3"/>
      <c r="G781" s="5"/>
      <c r="H781" s="3"/>
      <c r="I781" s="5"/>
      <c r="J781" s="3"/>
      <c r="K781" s="5"/>
      <c r="L781" s="3"/>
      <c r="M781" s="5"/>
      <c r="N781" s="5"/>
    </row>
    <row r="782">
      <c r="A782" s="2"/>
      <c r="B782" s="3"/>
      <c r="C782" s="3"/>
      <c r="D782" s="3"/>
      <c r="E782" s="4"/>
      <c r="F782" s="3"/>
      <c r="G782" s="5"/>
      <c r="H782" s="3"/>
      <c r="I782" s="5"/>
      <c r="J782" s="3"/>
      <c r="K782" s="5"/>
      <c r="L782" s="3"/>
      <c r="M782" s="5"/>
      <c r="N782" s="5"/>
    </row>
    <row r="783">
      <c r="A783" s="2"/>
      <c r="B783" s="3"/>
      <c r="C783" s="3"/>
      <c r="D783" s="3"/>
      <c r="E783" s="4"/>
      <c r="F783" s="3"/>
      <c r="G783" s="5"/>
      <c r="H783" s="3"/>
      <c r="I783" s="5"/>
      <c r="J783" s="3"/>
      <c r="K783" s="5"/>
      <c r="L783" s="3"/>
      <c r="M783" s="5"/>
      <c r="N783" s="5"/>
    </row>
    <row r="784">
      <c r="A784" s="2"/>
      <c r="B784" s="3"/>
      <c r="C784" s="3"/>
      <c r="D784" s="3"/>
      <c r="E784" s="4"/>
      <c r="F784" s="3"/>
      <c r="G784" s="5"/>
      <c r="H784" s="3"/>
      <c r="I784" s="5"/>
      <c r="J784" s="3"/>
      <c r="K784" s="5"/>
      <c r="L784" s="3"/>
      <c r="M784" s="5"/>
      <c r="N784" s="5"/>
    </row>
    <row r="785">
      <c r="A785" s="2"/>
      <c r="B785" s="3"/>
      <c r="C785" s="3"/>
      <c r="D785" s="3"/>
      <c r="E785" s="4"/>
      <c r="F785" s="3"/>
      <c r="G785" s="5"/>
      <c r="H785" s="3"/>
      <c r="I785" s="5"/>
      <c r="J785" s="3"/>
      <c r="K785" s="5"/>
      <c r="L785" s="3"/>
      <c r="M785" s="5"/>
      <c r="N785" s="5"/>
    </row>
    <row r="786">
      <c r="A786" s="2"/>
      <c r="B786" s="3"/>
      <c r="C786" s="3"/>
      <c r="D786" s="3"/>
      <c r="E786" s="4"/>
      <c r="F786" s="3"/>
      <c r="G786" s="5"/>
      <c r="H786" s="3"/>
      <c r="I786" s="5"/>
      <c r="J786" s="3"/>
      <c r="K786" s="5"/>
      <c r="L786" s="3"/>
      <c r="M786" s="5"/>
      <c r="N786" s="5"/>
    </row>
    <row r="787">
      <c r="A787" s="2"/>
      <c r="B787" s="3"/>
      <c r="C787" s="3"/>
      <c r="D787" s="3"/>
      <c r="E787" s="4"/>
      <c r="F787" s="3"/>
      <c r="G787" s="5"/>
      <c r="H787" s="3"/>
      <c r="I787" s="5"/>
      <c r="J787" s="3"/>
      <c r="K787" s="5"/>
      <c r="L787" s="3"/>
      <c r="M787" s="5"/>
      <c r="N787" s="5"/>
    </row>
    <row r="788">
      <c r="A788" s="2"/>
      <c r="B788" s="3"/>
      <c r="C788" s="3"/>
      <c r="D788" s="3"/>
      <c r="E788" s="4"/>
      <c r="F788" s="3"/>
      <c r="G788" s="5"/>
      <c r="H788" s="3"/>
      <c r="I788" s="5"/>
      <c r="J788" s="3"/>
      <c r="K788" s="5"/>
      <c r="L788" s="3"/>
      <c r="M788" s="5"/>
      <c r="N788" s="5"/>
    </row>
    <row r="789">
      <c r="A789" s="2"/>
      <c r="B789" s="3"/>
      <c r="C789" s="3"/>
      <c r="D789" s="3"/>
      <c r="E789" s="4"/>
      <c r="F789" s="3"/>
      <c r="G789" s="5"/>
      <c r="H789" s="3"/>
      <c r="I789" s="5"/>
      <c r="J789" s="3"/>
      <c r="K789" s="5"/>
      <c r="L789" s="3"/>
      <c r="M789" s="5"/>
      <c r="N789" s="5"/>
    </row>
    <row r="790">
      <c r="A790" s="2"/>
      <c r="B790" s="3"/>
      <c r="C790" s="3"/>
      <c r="D790" s="3"/>
      <c r="E790" s="4"/>
      <c r="F790" s="3"/>
      <c r="G790" s="5"/>
      <c r="H790" s="3"/>
      <c r="I790" s="5"/>
      <c r="J790" s="3"/>
      <c r="K790" s="5"/>
      <c r="L790" s="3"/>
      <c r="M790" s="5"/>
      <c r="N790" s="5"/>
    </row>
    <row r="791">
      <c r="A791" s="2"/>
      <c r="B791" s="3"/>
      <c r="C791" s="3"/>
      <c r="D791" s="3"/>
      <c r="E791" s="4"/>
      <c r="F791" s="3"/>
      <c r="G791" s="5"/>
      <c r="H791" s="3"/>
      <c r="I791" s="5"/>
      <c r="J791" s="3"/>
      <c r="K791" s="5"/>
      <c r="L791" s="3"/>
      <c r="M791" s="5"/>
      <c r="N791" s="5"/>
    </row>
    <row r="792">
      <c r="A792" s="2"/>
      <c r="B792" s="3"/>
      <c r="C792" s="3"/>
      <c r="D792" s="3"/>
      <c r="E792" s="4"/>
      <c r="F792" s="3"/>
      <c r="G792" s="5"/>
      <c r="H792" s="3"/>
      <c r="I792" s="5"/>
      <c r="J792" s="3"/>
      <c r="K792" s="5"/>
      <c r="L792" s="3"/>
      <c r="M792" s="5"/>
      <c r="N792" s="5"/>
    </row>
    <row r="793">
      <c r="A793" s="2"/>
      <c r="B793" s="3"/>
      <c r="C793" s="3"/>
      <c r="D793" s="3"/>
      <c r="E793" s="4"/>
      <c r="F793" s="3"/>
      <c r="G793" s="5"/>
      <c r="H793" s="3"/>
      <c r="I793" s="5"/>
      <c r="J793" s="3"/>
      <c r="K793" s="5"/>
      <c r="L793" s="3"/>
      <c r="M793" s="5"/>
      <c r="N793" s="5"/>
    </row>
    <row r="794">
      <c r="A794" s="2"/>
      <c r="B794" s="3"/>
      <c r="C794" s="3"/>
      <c r="D794" s="3"/>
      <c r="E794" s="4"/>
      <c r="F794" s="3"/>
      <c r="G794" s="5"/>
      <c r="H794" s="3"/>
      <c r="I794" s="5"/>
      <c r="J794" s="3"/>
      <c r="K794" s="5"/>
      <c r="L794" s="3"/>
      <c r="M794" s="5"/>
      <c r="N794" s="5"/>
    </row>
    <row r="795">
      <c r="A795" s="2"/>
      <c r="B795" s="3"/>
      <c r="C795" s="3"/>
      <c r="D795" s="3"/>
      <c r="E795" s="4"/>
      <c r="F795" s="3"/>
      <c r="G795" s="5"/>
      <c r="H795" s="3"/>
      <c r="I795" s="5"/>
      <c r="J795" s="3"/>
      <c r="K795" s="5"/>
      <c r="L795" s="3"/>
      <c r="M795" s="5"/>
      <c r="N795" s="5"/>
    </row>
    <row r="796">
      <c r="A796" s="2"/>
      <c r="B796" s="3"/>
      <c r="C796" s="3"/>
      <c r="D796" s="3"/>
      <c r="E796" s="4"/>
      <c r="F796" s="3"/>
      <c r="G796" s="5"/>
      <c r="H796" s="3"/>
      <c r="I796" s="5"/>
      <c r="J796" s="3"/>
      <c r="K796" s="5"/>
      <c r="L796" s="3"/>
      <c r="M796" s="5"/>
      <c r="N796" s="5"/>
    </row>
    <row r="797">
      <c r="A797" s="2"/>
      <c r="B797" s="3"/>
      <c r="C797" s="3"/>
      <c r="D797" s="3"/>
      <c r="E797" s="4"/>
      <c r="F797" s="3"/>
      <c r="G797" s="5"/>
      <c r="H797" s="3"/>
      <c r="I797" s="5"/>
      <c r="J797" s="3"/>
      <c r="K797" s="5"/>
      <c r="L797" s="3"/>
      <c r="M797" s="5"/>
      <c r="N797" s="5"/>
    </row>
    <row r="798">
      <c r="A798" s="2"/>
      <c r="B798" s="3"/>
      <c r="C798" s="3"/>
      <c r="D798" s="3"/>
      <c r="E798" s="4"/>
      <c r="F798" s="3"/>
      <c r="G798" s="5"/>
      <c r="H798" s="3"/>
      <c r="I798" s="5"/>
      <c r="J798" s="3"/>
      <c r="K798" s="5"/>
      <c r="L798" s="3"/>
      <c r="M798" s="5"/>
      <c r="N798" s="5"/>
    </row>
    <row r="799">
      <c r="A799" s="2"/>
      <c r="B799" s="3"/>
      <c r="C799" s="3"/>
      <c r="D799" s="3"/>
      <c r="E799" s="4"/>
      <c r="F799" s="3"/>
      <c r="G799" s="5"/>
      <c r="H799" s="3"/>
      <c r="I799" s="5"/>
      <c r="J799" s="3"/>
      <c r="K799" s="5"/>
      <c r="L799" s="3"/>
      <c r="M799" s="5"/>
      <c r="N799" s="5"/>
    </row>
    <row r="800">
      <c r="A800" s="2"/>
      <c r="B800" s="3"/>
      <c r="C800" s="3"/>
      <c r="D800" s="3"/>
      <c r="E800" s="4"/>
      <c r="F800" s="3"/>
      <c r="G800" s="5"/>
      <c r="H800" s="3"/>
      <c r="I800" s="5"/>
      <c r="J800" s="3"/>
      <c r="K800" s="5"/>
      <c r="L800" s="3"/>
      <c r="M800" s="5"/>
      <c r="N800" s="5"/>
    </row>
    <row r="801">
      <c r="A801" s="2"/>
      <c r="B801" s="3"/>
      <c r="C801" s="3"/>
      <c r="D801" s="3"/>
      <c r="E801" s="4"/>
      <c r="F801" s="3"/>
      <c r="G801" s="5"/>
      <c r="H801" s="3"/>
      <c r="I801" s="5"/>
      <c r="J801" s="3"/>
      <c r="K801" s="5"/>
      <c r="L801" s="3"/>
      <c r="M801" s="5"/>
      <c r="N801" s="5"/>
    </row>
    <row r="802">
      <c r="A802" s="2"/>
      <c r="B802" s="3"/>
      <c r="C802" s="3"/>
      <c r="D802" s="3"/>
      <c r="E802" s="4"/>
      <c r="F802" s="3"/>
      <c r="G802" s="5"/>
      <c r="H802" s="3"/>
      <c r="I802" s="5"/>
      <c r="J802" s="3"/>
      <c r="K802" s="5"/>
      <c r="L802" s="3"/>
      <c r="M802" s="5"/>
      <c r="N802" s="5"/>
    </row>
    <row r="803">
      <c r="A803" s="2"/>
      <c r="B803" s="3"/>
      <c r="C803" s="3"/>
      <c r="D803" s="3"/>
      <c r="E803" s="4"/>
      <c r="F803" s="3"/>
      <c r="G803" s="5"/>
      <c r="H803" s="3"/>
      <c r="I803" s="5"/>
      <c r="J803" s="3"/>
      <c r="K803" s="5"/>
      <c r="L803" s="3"/>
      <c r="M803" s="5"/>
      <c r="N803" s="5"/>
    </row>
    <row r="804">
      <c r="A804" s="2"/>
      <c r="B804" s="3"/>
      <c r="C804" s="3"/>
      <c r="D804" s="3"/>
      <c r="E804" s="4"/>
      <c r="F804" s="3"/>
      <c r="G804" s="5"/>
      <c r="H804" s="3"/>
      <c r="I804" s="5"/>
      <c r="J804" s="3"/>
      <c r="K804" s="5"/>
      <c r="L804" s="3"/>
      <c r="M804" s="5"/>
      <c r="N804" s="5"/>
    </row>
    <row r="805">
      <c r="A805" s="2"/>
      <c r="B805" s="3"/>
      <c r="C805" s="3"/>
      <c r="D805" s="3"/>
      <c r="E805" s="4"/>
      <c r="F805" s="3"/>
      <c r="G805" s="5"/>
      <c r="H805" s="3"/>
      <c r="I805" s="5"/>
      <c r="J805" s="3"/>
      <c r="K805" s="5"/>
      <c r="L805" s="3"/>
      <c r="M805" s="5"/>
      <c r="N805" s="5"/>
    </row>
    <row r="806">
      <c r="A806" s="2"/>
      <c r="B806" s="3"/>
      <c r="C806" s="3"/>
      <c r="D806" s="3"/>
      <c r="E806" s="4"/>
      <c r="F806" s="3"/>
      <c r="G806" s="5"/>
      <c r="H806" s="3"/>
      <c r="I806" s="5"/>
      <c r="J806" s="3"/>
      <c r="K806" s="5"/>
      <c r="L806" s="3"/>
      <c r="M806" s="5"/>
      <c r="N806" s="5"/>
    </row>
    <row r="807">
      <c r="A807" s="2"/>
      <c r="B807" s="3"/>
      <c r="C807" s="3"/>
      <c r="D807" s="3"/>
      <c r="E807" s="4"/>
      <c r="F807" s="3"/>
      <c r="G807" s="5"/>
      <c r="H807" s="3"/>
      <c r="I807" s="5"/>
      <c r="J807" s="3"/>
      <c r="K807" s="5"/>
      <c r="L807" s="3"/>
      <c r="M807" s="5"/>
      <c r="N807" s="5"/>
    </row>
    <row r="808">
      <c r="A808" s="2"/>
      <c r="B808" s="3"/>
      <c r="C808" s="3"/>
      <c r="D808" s="3"/>
      <c r="E808" s="4"/>
      <c r="F808" s="3"/>
      <c r="G808" s="5"/>
      <c r="H808" s="3"/>
      <c r="I808" s="5"/>
      <c r="J808" s="3"/>
      <c r="K808" s="5"/>
      <c r="L808" s="3"/>
      <c r="M808" s="5"/>
      <c r="N808" s="5"/>
    </row>
    <row r="809">
      <c r="A809" s="2"/>
      <c r="B809" s="3"/>
      <c r="C809" s="3"/>
      <c r="D809" s="3"/>
      <c r="E809" s="4"/>
      <c r="F809" s="3"/>
      <c r="G809" s="5"/>
      <c r="H809" s="3"/>
      <c r="I809" s="5"/>
      <c r="J809" s="3"/>
      <c r="K809" s="5"/>
      <c r="L809" s="3"/>
      <c r="M809" s="5"/>
      <c r="N809" s="5"/>
    </row>
    <row r="810">
      <c r="A810" s="2"/>
      <c r="B810" s="3"/>
      <c r="C810" s="3"/>
      <c r="D810" s="3"/>
      <c r="E810" s="4"/>
      <c r="F810" s="3"/>
      <c r="G810" s="5"/>
      <c r="H810" s="3"/>
      <c r="I810" s="5"/>
      <c r="J810" s="3"/>
      <c r="K810" s="5"/>
      <c r="L810" s="3"/>
      <c r="M810" s="5"/>
      <c r="N810" s="5"/>
    </row>
    <row r="811">
      <c r="A811" s="2"/>
      <c r="B811" s="3"/>
      <c r="C811" s="3"/>
      <c r="D811" s="3"/>
      <c r="E811" s="4"/>
      <c r="F811" s="3"/>
      <c r="G811" s="5"/>
      <c r="H811" s="3"/>
      <c r="I811" s="5"/>
      <c r="J811" s="3"/>
      <c r="K811" s="5"/>
      <c r="L811" s="3"/>
      <c r="M811" s="5"/>
      <c r="N811" s="5"/>
    </row>
    <row r="812">
      <c r="A812" s="2"/>
      <c r="B812" s="3"/>
      <c r="C812" s="3"/>
      <c r="D812" s="3"/>
      <c r="E812" s="4"/>
      <c r="F812" s="3"/>
      <c r="G812" s="5"/>
      <c r="H812" s="3"/>
      <c r="I812" s="5"/>
      <c r="J812" s="3"/>
      <c r="K812" s="5"/>
      <c r="L812" s="3"/>
      <c r="M812" s="5"/>
      <c r="N812" s="5"/>
    </row>
    <row r="813">
      <c r="A813" s="2"/>
      <c r="B813" s="3"/>
      <c r="C813" s="3"/>
      <c r="D813" s="3"/>
      <c r="E813" s="4"/>
      <c r="F813" s="3"/>
      <c r="G813" s="5"/>
      <c r="H813" s="3"/>
      <c r="I813" s="5"/>
      <c r="J813" s="3"/>
      <c r="K813" s="5"/>
      <c r="L813" s="3"/>
      <c r="M813" s="5"/>
      <c r="N813" s="5"/>
    </row>
    <row r="814">
      <c r="A814" s="2"/>
      <c r="B814" s="3"/>
      <c r="C814" s="3"/>
      <c r="D814" s="3"/>
      <c r="E814" s="4"/>
      <c r="F814" s="3"/>
      <c r="G814" s="5"/>
      <c r="H814" s="3"/>
      <c r="I814" s="5"/>
      <c r="J814" s="3"/>
      <c r="K814" s="5"/>
      <c r="L814" s="3"/>
      <c r="M814" s="5"/>
      <c r="N814" s="5"/>
    </row>
    <row r="815">
      <c r="A815" s="2"/>
      <c r="B815" s="3"/>
      <c r="C815" s="3"/>
      <c r="D815" s="3"/>
      <c r="E815" s="4"/>
      <c r="F815" s="3"/>
      <c r="G815" s="5"/>
      <c r="H815" s="3"/>
      <c r="I815" s="5"/>
      <c r="J815" s="3"/>
      <c r="K815" s="5"/>
      <c r="L815" s="3"/>
      <c r="M815" s="5"/>
      <c r="N815" s="5"/>
    </row>
    <row r="816">
      <c r="A816" s="2"/>
      <c r="B816" s="3"/>
      <c r="C816" s="3"/>
      <c r="D816" s="3"/>
      <c r="E816" s="4"/>
      <c r="F816" s="3"/>
      <c r="G816" s="5"/>
      <c r="H816" s="3"/>
      <c r="I816" s="5"/>
      <c r="J816" s="3"/>
      <c r="K816" s="5"/>
      <c r="L816" s="3"/>
      <c r="M816" s="5"/>
      <c r="N816" s="5"/>
    </row>
    <row r="817">
      <c r="A817" s="2"/>
      <c r="B817" s="3"/>
      <c r="C817" s="3"/>
      <c r="D817" s="3"/>
      <c r="E817" s="4"/>
      <c r="F817" s="3"/>
      <c r="G817" s="5"/>
      <c r="H817" s="3"/>
      <c r="I817" s="5"/>
      <c r="J817" s="3"/>
      <c r="K817" s="5"/>
      <c r="L817" s="3"/>
      <c r="M817" s="5"/>
      <c r="N817" s="5"/>
    </row>
    <row r="818">
      <c r="A818" s="2"/>
      <c r="B818" s="3"/>
      <c r="C818" s="3"/>
      <c r="D818" s="3"/>
      <c r="E818" s="4"/>
      <c r="F818" s="3"/>
      <c r="G818" s="5"/>
      <c r="H818" s="3"/>
      <c r="I818" s="5"/>
      <c r="J818" s="3"/>
      <c r="K818" s="5"/>
      <c r="L818" s="3"/>
      <c r="M818" s="5"/>
      <c r="N818" s="5"/>
    </row>
    <row r="819">
      <c r="A819" s="2"/>
      <c r="B819" s="3"/>
      <c r="C819" s="3"/>
      <c r="D819" s="3"/>
      <c r="E819" s="4"/>
      <c r="F819" s="3"/>
      <c r="G819" s="5"/>
      <c r="H819" s="3"/>
      <c r="I819" s="5"/>
      <c r="J819" s="3"/>
      <c r="K819" s="5"/>
      <c r="L819" s="3"/>
      <c r="M819" s="5"/>
      <c r="N819" s="5"/>
    </row>
    <row r="820">
      <c r="A820" s="2"/>
      <c r="B820" s="3"/>
      <c r="C820" s="3"/>
      <c r="D820" s="3"/>
      <c r="E820" s="4"/>
      <c r="F820" s="3"/>
      <c r="G820" s="5"/>
      <c r="H820" s="3"/>
      <c r="I820" s="5"/>
      <c r="J820" s="3"/>
      <c r="K820" s="5"/>
      <c r="L820" s="3"/>
      <c r="M820" s="5"/>
      <c r="N820" s="5"/>
    </row>
    <row r="821">
      <c r="A821" s="2"/>
      <c r="B821" s="3"/>
      <c r="C821" s="3"/>
      <c r="D821" s="3"/>
      <c r="E821" s="4"/>
      <c r="F821" s="3"/>
      <c r="G821" s="5"/>
      <c r="H821" s="3"/>
      <c r="I821" s="5"/>
      <c r="J821" s="3"/>
      <c r="K821" s="5"/>
      <c r="L821" s="3"/>
      <c r="M821" s="5"/>
      <c r="N821" s="5"/>
    </row>
    <row r="822">
      <c r="A822" s="2"/>
      <c r="B822" s="3"/>
      <c r="C822" s="3"/>
      <c r="D822" s="3"/>
      <c r="E822" s="4"/>
      <c r="F822" s="3"/>
      <c r="G822" s="5"/>
      <c r="H822" s="3"/>
      <c r="I822" s="5"/>
      <c r="J822" s="3"/>
      <c r="K822" s="5"/>
      <c r="L822" s="3"/>
      <c r="M822" s="5"/>
      <c r="N822" s="5"/>
    </row>
    <row r="823">
      <c r="A823" s="2"/>
      <c r="B823" s="3"/>
      <c r="C823" s="3"/>
      <c r="D823" s="3"/>
      <c r="E823" s="4"/>
      <c r="F823" s="3"/>
      <c r="G823" s="5"/>
      <c r="H823" s="3"/>
      <c r="I823" s="5"/>
      <c r="J823" s="3"/>
      <c r="K823" s="5"/>
      <c r="L823" s="3"/>
      <c r="M823" s="5"/>
      <c r="N823" s="5"/>
    </row>
    <row r="824">
      <c r="A824" s="2"/>
      <c r="B824" s="3"/>
      <c r="C824" s="3"/>
      <c r="D824" s="3"/>
      <c r="E824" s="4"/>
      <c r="F824" s="3"/>
      <c r="G824" s="5"/>
      <c r="H824" s="3"/>
      <c r="I824" s="5"/>
      <c r="J824" s="3"/>
      <c r="K824" s="5"/>
      <c r="L824" s="3"/>
      <c r="M824" s="5"/>
      <c r="N824" s="5"/>
    </row>
    <row r="825">
      <c r="A825" s="2"/>
      <c r="B825" s="3"/>
      <c r="C825" s="3"/>
      <c r="D825" s="3"/>
      <c r="E825" s="4"/>
      <c r="F825" s="3"/>
      <c r="G825" s="5"/>
      <c r="H825" s="3"/>
      <c r="I825" s="5"/>
      <c r="J825" s="3"/>
      <c r="K825" s="5"/>
      <c r="L825" s="3"/>
      <c r="M825" s="5"/>
      <c r="N825" s="5"/>
    </row>
    <row r="826">
      <c r="A826" s="2"/>
      <c r="B826" s="3"/>
      <c r="C826" s="3"/>
      <c r="D826" s="3"/>
      <c r="E826" s="4"/>
      <c r="F826" s="3"/>
      <c r="G826" s="5"/>
      <c r="H826" s="3"/>
      <c r="I826" s="5"/>
      <c r="J826" s="3"/>
      <c r="K826" s="5"/>
      <c r="L826" s="3"/>
      <c r="M826" s="5"/>
      <c r="N826" s="5"/>
    </row>
    <row r="827">
      <c r="A827" s="2"/>
      <c r="B827" s="3"/>
      <c r="C827" s="3"/>
      <c r="D827" s="3"/>
      <c r="E827" s="4"/>
      <c r="F827" s="3"/>
      <c r="G827" s="5"/>
      <c r="H827" s="3"/>
      <c r="I827" s="5"/>
      <c r="J827" s="3"/>
      <c r="K827" s="5"/>
      <c r="L827" s="3"/>
      <c r="M827" s="5"/>
      <c r="N827" s="5"/>
    </row>
    <row r="828">
      <c r="A828" s="2"/>
      <c r="B828" s="3"/>
      <c r="C828" s="3"/>
      <c r="D828" s="3"/>
      <c r="E828" s="4"/>
      <c r="F828" s="3"/>
      <c r="G828" s="5"/>
      <c r="H828" s="3"/>
      <c r="I828" s="5"/>
      <c r="J828" s="3"/>
      <c r="K828" s="5"/>
      <c r="L828" s="3"/>
      <c r="M828" s="5"/>
      <c r="N828" s="5"/>
    </row>
    <row r="829">
      <c r="A829" s="2"/>
      <c r="B829" s="3"/>
      <c r="C829" s="3"/>
      <c r="D829" s="3"/>
      <c r="E829" s="4"/>
      <c r="F829" s="3"/>
      <c r="G829" s="5"/>
      <c r="H829" s="3"/>
      <c r="I829" s="5"/>
      <c r="J829" s="3"/>
      <c r="K829" s="5"/>
      <c r="L829" s="3"/>
      <c r="M829" s="5"/>
      <c r="N829" s="5"/>
    </row>
    <row r="830">
      <c r="A830" s="2"/>
      <c r="B830" s="3"/>
      <c r="C830" s="3"/>
      <c r="D830" s="3"/>
      <c r="E830" s="4"/>
      <c r="F830" s="3"/>
      <c r="G830" s="5"/>
      <c r="H830" s="3"/>
      <c r="I830" s="5"/>
      <c r="J830" s="3"/>
      <c r="K830" s="5"/>
      <c r="L830" s="3"/>
      <c r="M830" s="5"/>
      <c r="N830" s="5"/>
    </row>
    <row r="831">
      <c r="A831" s="2"/>
      <c r="B831" s="3"/>
      <c r="C831" s="3"/>
      <c r="D831" s="3"/>
      <c r="E831" s="4"/>
      <c r="F831" s="3"/>
      <c r="G831" s="5"/>
      <c r="H831" s="3"/>
      <c r="I831" s="5"/>
      <c r="J831" s="3"/>
      <c r="K831" s="5"/>
      <c r="L831" s="3"/>
      <c r="M831" s="5"/>
      <c r="N831" s="5"/>
    </row>
    <row r="832">
      <c r="A832" s="2"/>
      <c r="B832" s="3"/>
      <c r="C832" s="3"/>
      <c r="D832" s="3"/>
      <c r="E832" s="4"/>
      <c r="F832" s="3"/>
      <c r="G832" s="5"/>
      <c r="H832" s="3"/>
      <c r="I832" s="5"/>
      <c r="J832" s="3"/>
      <c r="K832" s="5"/>
      <c r="L832" s="3"/>
      <c r="M832" s="5"/>
      <c r="N832" s="5"/>
    </row>
    <row r="833">
      <c r="A833" s="2"/>
      <c r="B833" s="3"/>
      <c r="C833" s="3"/>
      <c r="D833" s="3"/>
      <c r="E833" s="4"/>
      <c r="F833" s="3"/>
      <c r="G833" s="5"/>
      <c r="H833" s="3"/>
      <c r="I833" s="5"/>
      <c r="J833" s="3"/>
      <c r="K833" s="5"/>
      <c r="L833" s="3"/>
      <c r="M833" s="5"/>
      <c r="N833" s="5"/>
    </row>
    <row r="834">
      <c r="A834" s="2"/>
      <c r="B834" s="3"/>
      <c r="C834" s="3"/>
      <c r="D834" s="3"/>
      <c r="E834" s="4"/>
      <c r="F834" s="3"/>
      <c r="G834" s="5"/>
      <c r="H834" s="3"/>
      <c r="I834" s="5"/>
      <c r="J834" s="3"/>
      <c r="K834" s="5"/>
      <c r="L834" s="3"/>
      <c r="M834" s="5"/>
      <c r="N834" s="5"/>
    </row>
    <row r="835">
      <c r="A835" s="2"/>
      <c r="B835" s="3"/>
      <c r="C835" s="3"/>
      <c r="D835" s="3"/>
      <c r="E835" s="4"/>
      <c r="F835" s="3"/>
      <c r="G835" s="5"/>
      <c r="H835" s="3"/>
      <c r="I835" s="5"/>
      <c r="J835" s="3"/>
      <c r="K835" s="5"/>
      <c r="L835" s="3"/>
      <c r="M835" s="5"/>
      <c r="N835" s="5"/>
    </row>
    <row r="836">
      <c r="A836" s="2"/>
      <c r="B836" s="3"/>
      <c r="C836" s="3"/>
      <c r="D836" s="3"/>
      <c r="E836" s="4"/>
      <c r="F836" s="3"/>
      <c r="G836" s="5"/>
      <c r="H836" s="3"/>
      <c r="I836" s="5"/>
      <c r="J836" s="3"/>
      <c r="K836" s="5"/>
      <c r="L836" s="3"/>
      <c r="M836" s="5"/>
      <c r="N836" s="5"/>
    </row>
    <row r="837">
      <c r="A837" s="2"/>
      <c r="B837" s="3"/>
      <c r="C837" s="3"/>
      <c r="D837" s="3"/>
      <c r="E837" s="4"/>
      <c r="F837" s="3"/>
      <c r="G837" s="5"/>
      <c r="H837" s="3"/>
      <c r="I837" s="5"/>
      <c r="J837" s="3"/>
      <c r="K837" s="5"/>
      <c r="L837" s="3"/>
      <c r="M837" s="5"/>
      <c r="N837" s="5"/>
    </row>
    <row r="838">
      <c r="A838" s="2"/>
      <c r="B838" s="3"/>
      <c r="C838" s="3"/>
      <c r="D838" s="3"/>
      <c r="E838" s="4"/>
      <c r="F838" s="3"/>
      <c r="G838" s="5"/>
      <c r="H838" s="3"/>
      <c r="I838" s="5"/>
      <c r="J838" s="3"/>
      <c r="K838" s="5"/>
      <c r="L838" s="3"/>
      <c r="M838" s="5"/>
      <c r="N838" s="5"/>
    </row>
    <row r="839">
      <c r="A839" s="2"/>
      <c r="B839" s="3"/>
      <c r="C839" s="3"/>
      <c r="D839" s="3"/>
      <c r="E839" s="4"/>
      <c r="F839" s="3"/>
      <c r="G839" s="5"/>
      <c r="H839" s="3"/>
      <c r="I839" s="5"/>
      <c r="J839" s="3"/>
      <c r="K839" s="5"/>
      <c r="L839" s="3"/>
      <c r="M839" s="5"/>
      <c r="N839" s="5"/>
    </row>
    <row r="840">
      <c r="A840" s="2"/>
      <c r="B840" s="3"/>
      <c r="C840" s="3"/>
      <c r="D840" s="3"/>
      <c r="E840" s="4"/>
      <c r="F840" s="3"/>
      <c r="G840" s="5"/>
      <c r="H840" s="3"/>
      <c r="I840" s="5"/>
      <c r="J840" s="3"/>
      <c r="K840" s="5"/>
      <c r="L840" s="3"/>
      <c r="M840" s="5"/>
      <c r="N840" s="5"/>
    </row>
    <row r="841">
      <c r="A841" s="2"/>
      <c r="B841" s="3"/>
      <c r="C841" s="3"/>
      <c r="D841" s="3"/>
      <c r="E841" s="4"/>
      <c r="F841" s="3"/>
      <c r="G841" s="5"/>
      <c r="H841" s="3"/>
      <c r="I841" s="5"/>
      <c r="J841" s="3"/>
      <c r="K841" s="5"/>
      <c r="L841" s="3"/>
      <c r="M841" s="5"/>
      <c r="N841" s="5"/>
    </row>
    <row r="842">
      <c r="A842" s="2"/>
      <c r="B842" s="3"/>
      <c r="C842" s="3"/>
      <c r="D842" s="3"/>
      <c r="E842" s="4"/>
      <c r="F842" s="3"/>
      <c r="G842" s="5"/>
      <c r="H842" s="3"/>
      <c r="I842" s="5"/>
      <c r="J842" s="3"/>
      <c r="K842" s="5"/>
      <c r="L842" s="3"/>
      <c r="M842" s="5"/>
      <c r="N842" s="5"/>
    </row>
    <row r="843">
      <c r="A843" s="2"/>
      <c r="B843" s="3"/>
      <c r="C843" s="3"/>
      <c r="D843" s="3"/>
      <c r="E843" s="4"/>
      <c r="F843" s="3"/>
      <c r="G843" s="5"/>
      <c r="H843" s="3"/>
      <c r="I843" s="5"/>
      <c r="J843" s="3"/>
      <c r="K843" s="5"/>
      <c r="L843" s="3"/>
      <c r="M843" s="5"/>
      <c r="N843" s="5"/>
    </row>
    <row r="844">
      <c r="A844" s="2"/>
      <c r="B844" s="3"/>
      <c r="C844" s="3"/>
      <c r="D844" s="3"/>
      <c r="E844" s="4"/>
      <c r="F844" s="3"/>
      <c r="G844" s="5"/>
      <c r="H844" s="3"/>
      <c r="I844" s="5"/>
      <c r="J844" s="3"/>
      <c r="K844" s="5"/>
      <c r="L844" s="3"/>
      <c r="M844" s="5"/>
      <c r="N844" s="5"/>
    </row>
    <row r="845">
      <c r="A845" s="2"/>
      <c r="B845" s="3"/>
      <c r="C845" s="3"/>
      <c r="D845" s="3"/>
      <c r="E845" s="4"/>
      <c r="F845" s="3"/>
      <c r="G845" s="5"/>
      <c r="H845" s="3"/>
      <c r="I845" s="5"/>
      <c r="J845" s="3"/>
      <c r="K845" s="5"/>
      <c r="L845" s="3"/>
      <c r="M845" s="5"/>
      <c r="N845" s="5"/>
    </row>
    <row r="846">
      <c r="A846" s="2"/>
      <c r="B846" s="3"/>
      <c r="C846" s="3"/>
      <c r="D846" s="3"/>
      <c r="E846" s="4"/>
      <c r="F846" s="3"/>
      <c r="G846" s="5"/>
      <c r="H846" s="3"/>
      <c r="I846" s="5"/>
      <c r="J846" s="3"/>
      <c r="K846" s="5"/>
      <c r="L846" s="3"/>
      <c r="M846" s="5"/>
      <c r="N846" s="5"/>
    </row>
    <row r="847">
      <c r="A847" s="2"/>
      <c r="B847" s="3"/>
      <c r="C847" s="3"/>
      <c r="D847" s="3"/>
      <c r="E847" s="4"/>
      <c r="F847" s="3"/>
      <c r="G847" s="5"/>
      <c r="H847" s="3"/>
      <c r="I847" s="5"/>
      <c r="J847" s="3"/>
      <c r="K847" s="5"/>
      <c r="L847" s="3"/>
      <c r="M847" s="5"/>
      <c r="N847" s="5"/>
    </row>
    <row r="848">
      <c r="A848" s="2"/>
      <c r="B848" s="3"/>
      <c r="C848" s="3"/>
      <c r="D848" s="3"/>
      <c r="E848" s="4"/>
      <c r="F848" s="3"/>
      <c r="G848" s="5"/>
      <c r="H848" s="3"/>
      <c r="I848" s="5"/>
      <c r="J848" s="3"/>
      <c r="K848" s="5"/>
      <c r="L848" s="3"/>
      <c r="M848" s="5"/>
      <c r="N848" s="5"/>
    </row>
    <row r="849">
      <c r="A849" s="2"/>
      <c r="B849" s="3"/>
      <c r="C849" s="3"/>
      <c r="D849" s="3"/>
      <c r="E849" s="4"/>
      <c r="F849" s="3"/>
      <c r="G849" s="5"/>
      <c r="H849" s="3"/>
      <c r="I849" s="5"/>
      <c r="J849" s="3"/>
      <c r="K849" s="5"/>
      <c r="L849" s="3"/>
      <c r="M849" s="5"/>
      <c r="N849" s="5"/>
    </row>
    <row r="850">
      <c r="A850" s="2"/>
      <c r="B850" s="3"/>
      <c r="C850" s="3"/>
      <c r="D850" s="3"/>
      <c r="E850" s="4"/>
      <c r="F850" s="3"/>
      <c r="G850" s="5"/>
      <c r="H850" s="3"/>
      <c r="I850" s="5"/>
      <c r="J850" s="3"/>
      <c r="K850" s="5"/>
      <c r="L850" s="3"/>
      <c r="M850" s="5"/>
      <c r="N850" s="5"/>
    </row>
    <row r="851">
      <c r="A851" s="2"/>
      <c r="B851" s="3"/>
      <c r="C851" s="3"/>
      <c r="D851" s="3"/>
      <c r="E851" s="4"/>
      <c r="F851" s="3"/>
      <c r="G851" s="5"/>
      <c r="H851" s="3"/>
      <c r="I851" s="5"/>
      <c r="J851" s="3"/>
      <c r="K851" s="5"/>
      <c r="L851" s="3"/>
      <c r="M851" s="5"/>
      <c r="N851" s="5"/>
    </row>
    <row r="852">
      <c r="A852" s="2"/>
      <c r="B852" s="3"/>
      <c r="C852" s="3"/>
      <c r="D852" s="3"/>
      <c r="E852" s="4"/>
      <c r="F852" s="3"/>
      <c r="G852" s="5"/>
      <c r="H852" s="3"/>
      <c r="I852" s="5"/>
      <c r="J852" s="3"/>
      <c r="K852" s="5"/>
      <c r="L852" s="3"/>
      <c r="M852" s="5"/>
      <c r="N852" s="5"/>
    </row>
    <row r="853">
      <c r="A853" s="2"/>
      <c r="B853" s="3"/>
      <c r="C853" s="3"/>
      <c r="D853" s="3"/>
      <c r="E853" s="4"/>
      <c r="F853" s="3"/>
      <c r="G853" s="5"/>
      <c r="H853" s="3"/>
      <c r="I853" s="5"/>
      <c r="J853" s="3"/>
      <c r="K853" s="5"/>
      <c r="L853" s="3"/>
      <c r="M853" s="5"/>
      <c r="N853" s="5"/>
    </row>
    <row r="854">
      <c r="A854" s="2"/>
      <c r="B854" s="3"/>
      <c r="C854" s="3"/>
      <c r="D854" s="3"/>
      <c r="E854" s="4"/>
      <c r="F854" s="3"/>
      <c r="G854" s="5"/>
      <c r="H854" s="3"/>
      <c r="I854" s="5"/>
      <c r="J854" s="3"/>
      <c r="K854" s="5"/>
      <c r="L854" s="3"/>
      <c r="M854" s="5"/>
      <c r="N854" s="5"/>
    </row>
    <row r="855">
      <c r="A855" s="2"/>
      <c r="B855" s="3"/>
      <c r="C855" s="3"/>
      <c r="D855" s="3"/>
      <c r="E855" s="4"/>
      <c r="F855" s="3"/>
      <c r="G855" s="5"/>
      <c r="H855" s="3"/>
      <c r="I855" s="5"/>
      <c r="J855" s="3"/>
      <c r="K855" s="5"/>
      <c r="L855" s="3"/>
      <c r="M855" s="5"/>
      <c r="N855" s="5"/>
    </row>
    <row r="856">
      <c r="A856" s="2"/>
      <c r="B856" s="3"/>
      <c r="C856" s="3"/>
      <c r="D856" s="3"/>
      <c r="E856" s="4"/>
      <c r="F856" s="3"/>
      <c r="G856" s="5"/>
      <c r="H856" s="3"/>
      <c r="I856" s="5"/>
      <c r="J856" s="3"/>
      <c r="K856" s="5"/>
      <c r="L856" s="3"/>
      <c r="M856" s="5"/>
      <c r="N856" s="5"/>
    </row>
    <row r="857">
      <c r="A857" s="2"/>
      <c r="B857" s="3"/>
      <c r="C857" s="3"/>
      <c r="D857" s="3"/>
      <c r="E857" s="4"/>
      <c r="F857" s="3"/>
      <c r="G857" s="5"/>
      <c r="H857" s="3"/>
      <c r="I857" s="5"/>
      <c r="J857" s="3"/>
      <c r="K857" s="5"/>
      <c r="L857" s="3"/>
      <c r="M857" s="5"/>
      <c r="N857" s="5"/>
    </row>
    <row r="858">
      <c r="A858" s="2"/>
      <c r="B858" s="3"/>
      <c r="C858" s="3"/>
      <c r="D858" s="3"/>
      <c r="E858" s="4"/>
      <c r="F858" s="3"/>
      <c r="G858" s="5"/>
      <c r="H858" s="3"/>
      <c r="I858" s="5"/>
      <c r="J858" s="3"/>
      <c r="K858" s="5"/>
      <c r="L858" s="3"/>
      <c r="M858" s="5"/>
      <c r="N858" s="5"/>
    </row>
    <row r="859">
      <c r="A859" s="2"/>
      <c r="B859" s="3"/>
      <c r="C859" s="3"/>
      <c r="D859" s="3"/>
      <c r="E859" s="4"/>
      <c r="F859" s="3"/>
      <c r="G859" s="5"/>
      <c r="H859" s="3"/>
      <c r="I859" s="5"/>
      <c r="J859" s="3"/>
      <c r="K859" s="5"/>
      <c r="L859" s="3"/>
      <c r="M859" s="5"/>
      <c r="N859" s="5"/>
    </row>
    <row r="860">
      <c r="A860" s="2"/>
      <c r="B860" s="3"/>
      <c r="C860" s="3"/>
      <c r="D860" s="3"/>
      <c r="E860" s="4"/>
      <c r="F860" s="3"/>
      <c r="G860" s="5"/>
      <c r="H860" s="3"/>
      <c r="I860" s="5"/>
      <c r="J860" s="3"/>
      <c r="K860" s="5"/>
      <c r="L860" s="3"/>
      <c r="M860" s="5"/>
      <c r="N860" s="5"/>
    </row>
    <row r="861">
      <c r="A861" s="2"/>
      <c r="B861" s="3"/>
      <c r="C861" s="3"/>
      <c r="D861" s="3"/>
      <c r="E861" s="4"/>
      <c r="F861" s="3"/>
      <c r="G861" s="5"/>
      <c r="H861" s="3"/>
      <c r="I861" s="5"/>
      <c r="J861" s="3"/>
      <c r="K861" s="5"/>
      <c r="L861" s="3"/>
      <c r="M861" s="5"/>
      <c r="N861" s="5"/>
    </row>
    <row r="862">
      <c r="A862" s="2"/>
      <c r="B862" s="3"/>
      <c r="C862" s="3"/>
      <c r="D862" s="3"/>
      <c r="E862" s="4"/>
      <c r="F862" s="3"/>
      <c r="G862" s="5"/>
      <c r="H862" s="3"/>
      <c r="I862" s="5"/>
      <c r="J862" s="3"/>
      <c r="K862" s="5"/>
      <c r="L862" s="3"/>
      <c r="M862" s="5"/>
      <c r="N862" s="5"/>
    </row>
    <row r="863">
      <c r="A863" s="2"/>
      <c r="B863" s="3"/>
      <c r="C863" s="3"/>
      <c r="D863" s="3"/>
      <c r="E863" s="4"/>
      <c r="F863" s="3"/>
      <c r="G863" s="5"/>
      <c r="H863" s="3"/>
      <c r="I863" s="5"/>
      <c r="J863" s="3"/>
      <c r="K863" s="5"/>
      <c r="L863" s="3"/>
      <c r="M863" s="5"/>
      <c r="N863" s="5"/>
    </row>
    <row r="864">
      <c r="A864" s="2"/>
      <c r="B864" s="3"/>
      <c r="C864" s="3"/>
      <c r="D864" s="3"/>
      <c r="E864" s="4"/>
      <c r="F864" s="3"/>
      <c r="G864" s="5"/>
      <c r="H864" s="3"/>
      <c r="I864" s="5"/>
      <c r="J864" s="3"/>
      <c r="K864" s="5"/>
      <c r="L864" s="3"/>
      <c r="M864" s="5"/>
      <c r="N864" s="5"/>
    </row>
    <row r="865">
      <c r="A865" s="2"/>
      <c r="B865" s="3"/>
      <c r="C865" s="3"/>
      <c r="D865" s="3"/>
      <c r="E865" s="4"/>
      <c r="F865" s="3"/>
      <c r="G865" s="5"/>
      <c r="H865" s="3"/>
      <c r="I865" s="5"/>
      <c r="J865" s="3"/>
      <c r="K865" s="5"/>
      <c r="L865" s="3"/>
      <c r="M865" s="5"/>
      <c r="N865" s="5"/>
    </row>
    <row r="866">
      <c r="A866" s="2"/>
      <c r="B866" s="3"/>
      <c r="C866" s="3"/>
      <c r="D866" s="3"/>
      <c r="E866" s="4"/>
      <c r="F866" s="3"/>
      <c r="G866" s="5"/>
      <c r="H866" s="3"/>
      <c r="I866" s="5"/>
      <c r="J866" s="3"/>
      <c r="K866" s="5"/>
      <c r="L866" s="3"/>
      <c r="M866" s="5"/>
      <c r="N866" s="5"/>
    </row>
    <row r="867">
      <c r="A867" s="2"/>
      <c r="B867" s="3"/>
      <c r="C867" s="3"/>
      <c r="D867" s="3"/>
      <c r="E867" s="4"/>
      <c r="F867" s="3"/>
      <c r="G867" s="5"/>
      <c r="H867" s="3"/>
      <c r="I867" s="5"/>
      <c r="J867" s="3"/>
      <c r="K867" s="5"/>
      <c r="L867" s="3"/>
      <c r="M867" s="5"/>
      <c r="N867" s="5"/>
    </row>
    <row r="868">
      <c r="A868" s="2"/>
      <c r="B868" s="3"/>
      <c r="C868" s="3"/>
      <c r="D868" s="3"/>
      <c r="E868" s="4"/>
      <c r="F868" s="3"/>
      <c r="G868" s="5"/>
      <c r="H868" s="3"/>
      <c r="I868" s="5"/>
      <c r="J868" s="3"/>
      <c r="K868" s="5"/>
      <c r="L868" s="3"/>
      <c r="M868" s="5"/>
      <c r="N868" s="5"/>
    </row>
    <row r="869">
      <c r="A869" s="2"/>
      <c r="B869" s="3"/>
      <c r="C869" s="3"/>
      <c r="D869" s="3"/>
      <c r="E869" s="4"/>
      <c r="F869" s="3"/>
      <c r="G869" s="5"/>
      <c r="H869" s="3"/>
      <c r="I869" s="5"/>
      <c r="J869" s="3"/>
      <c r="K869" s="5"/>
      <c r="L869" s="3"/>
      <c r="M869" s="5"/>
      <c r="N869" s="5"/>
    </row>
    <row r="870">
      <c r="A870" s="2"/>
      <c r="B870" s="3"/>
      <c r="C870" s="3"/>
      <c r="D870" s="3"/>
      <c r="E870" s="4"/>
      <c r="F870" s="3"/>
      <c r="G870" s="5"/>
      <c r="H870" s="3"/>
      <c r="I870" s="5"/>
      <c r="J870" s="3"/>
      <c r="K870" s="5"/>
      <c r="L870" s="3"/>
      <c r="M870" s="5"/>
      <c r="N870" s="5"/>
    </row>
    <row r="871">
      <c r="A871" s="2"/>
      <c r="B871" s="3"/>
      <c r="C871" s="3"/>
      <c r="D871" s="3"/>
      <c r="E871" s="4"/>
      <c r="F871" s="3"/>
      <c r="G871" s="5"/>
      <c r="H871" s="3"/>
      <c r="I871" s="5"/>
      <c r="J871" s="3"/>
      <c r="K871" s="5"/>
      <c r="L871" s="3"/>
      <c r="M871" s="5"/>
      <c r="N871" s="5"/>
    </row>
    <row r="872">
      <c r="A872" s="2"/>
      <c r="B872" s="3"/>
      <c r="C872" s="3"/>
      <c r="D872" s="3"/>
      <c r="E872" s="4"/>
      <c r="F872" s="3"/>
      <c r="G872" s="5"/>
      <c r="H872" s="3"/>
      <c r="I872" s="5"/>
      <c r="J872" s="3"/>
      <c r="K872" s="5"/>
      <c r="L872" s="3"/>
      <c r="M872" s="5"/>
      <c r="N872" s="5"/>
    </row>
    <row r="873">
      <c r="A873" s="2"/>
      <c r="B873" s="3"/>
      <c r="C873" s="3"/>
      <c r="D873" s="3"/>
      <c r="E873" s="4"/>
      <c r="F873" s="3"/>
      <c r="G873" s="5"/>
      <c r="H873" s="3"/>
      <c r="I873" s="5"/>
      <c r="J873" s="3"/>
      <c r="K873" s="5"/>
      <c r="L873" s="3"/>
      <c r="M873" s="5"/>
      <c r="N873" s="5"/>
    </row>
    <row r="874">
      <c r="A874" s="2"/>
      <c r="B874" s="3"/>
      <c r="C874" s="3"/>
      <c r="D874" s="3"/>
      <c r="E874" s="4"/>
      <c r="F874" s="3"/>
      <c r="G874" s="5"/>
      <c r="H874" s="3"/>
      <c r="I874" s="5"/>
      <c r="J874" s="3"/>
      <c r="K874" s="5"/>
      <c r="L874" s="3"/>
      <c r="M874" s="5"/>
      <c r="N874" s="5"/>
    </row>
    <row r="875">
      <c r="A875" s="2"/>
      <c r="B875" s="3"/>
      <c r="C875" s="3"/>
      <c r="D875" s="3"/>
      <c r="E875" s="4"/>
      <c r="F875" s="3"/>
      <c r="G875" s="5"/>
      <c r="H875" s="3"/>
      <c r="I875" s="5"/>
      <c r="J875" s="3"/>
      <c r="K875" s="5"/>
      <c r="L875" s="3"/>
      <c r="M875" s="5"/>
      <c r="N875" s="5"/>
    </row>
    <row r="876">
      <c r="A876" s="2"/>
      <c r="B876" s="3"/>
      <c r="C876" s="3"/>
      <c r="D876" s="3"/>
      <c r="E876" s="4"/>
      <c r="F876" s="3"/>
      <c r="G876" s="5"/>
      <c r="H876" s="3"/>
      <c r="I876" s="5"/>
      <c r="J876" s="3"/>
      <c r="K876" s="5"/>
      <c r="L876" s="3"/>
      <c r="M876" s="5"/>
      <c r="N876" s="5"/>
    </row>
    <row r="877">
      <c r="A877" s="2"/>
      <c r="B877" s="3"/>
      <c r="C877" s="3"/>
      <c r="D877" s="3"/>
      <c r="E877" s="4"/>
      <c r="F877" s="3"/>
      <c r="G877" s="5"/>
      <c r="H877" s="3"/>
      <c r="I877" s="5"/>
      <c r="J877" s="3"/>
      <c r="K877" s="5"/>
      <c r="L877" s="3"/>
      <c r="M877" s="5"/>
      <c r="N877" s="5"/>
    </row>
    <row r="878">
      <c r="A878" s="2"/>
      <c r="B878" s="3"/>
      <c r="C878" s="3"/>
      <c r="D878" s="3"/>
      <c r="E878" s="4"/>
      <c r="F878" s="3"/>
      <c r="G878" s="5"/>
      <c r="H878" s="3"/>
      <c r="I878" s="5"/>
      <c r="J878" s="3"/>
      <c r="K878" s="5"/>
      <c r="L878" s="3"/>
      <c r="M878" s="5"/>
      <c r="N878" s="5"/>
    </row>
    <row r="879">
      <c r="A879" s="2"/>
      <c r="B879" s="3"/>
      <c r="C879" s="3"/>
      <c r="D879" s="3"/>
      <c r="E879" s="4"/>
      <c r="F879" s="3"/>
      <c r="G879" s="5"/>
      <c r="H879" s="3"/>
      <c r="I879" s="5"/>
      <c r="J879" s="3"/>
      <c r="K879" s="5"/>
      <c r="L879" s="3"/>
      <c r="M879" s="5"/>
      <c r="N879" s="5"/>
    </row>
    <row r="880">
      <c r="A880" s="2"/>
      <c r="B880" s="3"/>
      <c r="C880" s="3"/>
      <c r="D880" s="3"/>
      <c r="E880" s="4"/>
      <c r="F880" s="3"/>
      <c r="G880" s="5"/>
      <c r="H880" s="3"/>
      <c r="I880" s="5"/>
      <c r="J880" s="3"/>
      <c r="K880" s="5"/>
      <c r="L880" s="3"/>
      <c r="M880" s="5"/>
      <c r="N880" s="5"/>
    </row>
    <row r="881">
      <c r="A881" s="2"/>
      <c r="B881" s="3"/>
      <c r="C881" s="3"/>
      <c r="D881" s="3"/>
      <c r="E881" s="4"/>
      <c r="F881" s="3"/>
      <c r="G881" s="5"/>
      <c r="H881" s="3"/>
      <c r="I881" s="5"/>
      <c r="J881" s="3"/>
      <c r="K881" s="5"/>
      <c r="L881" s="3"/>
      <c r="M881" s="5"/>
      <c r="N881" s="5"/>
    </row>
    <row r="882">
      <c r="A882" s="2"/>
      <c r="B882" s="3"/>
      <c r="C882" s="3"/>
      <c r="D882" s="3"/>
      <c r="E882" s="4"/>
      <c r="F882" s="3"/>
      <c r="G882" s="5"/>
      <c r="H882" s="3"/>
      <c r="I882" s="5"/>
      <c r="J882" s="3"/>
      <c r="K882" s="5"/>
      <c r="L882" s="3"/>
      <c r="M882" s="5"/>
      <c r="N882" s="5"/>
    </row>
    <row r="883">
      <c r="A883" s="2"/>
      <c r="B883" s="3"/>
      <c r="C883" s="3"/>
      <c r="D883" s="3"/>
      <c r="E883" s="4"/>
      <c r="F883" s="3"/>
      <c r="G883" s="5"/>
      <c r="H883" s="3"/>
      <c r="I883" s="5"/>
      <c r="J883" s="3"/>
      <c r="K883" s="5"/>
      <c r="L883" s="3"/>
      <c r="M883" s="5"/>
      <c r="N883" s="5"/>
    </row>
    <row r="884">
      <c r="A884" s="2"/>
      <c r="B884" s="3"/>
      <c r="C884" s="3"/>
      <c r="D884" s="3"/>
      <c r="E884" s="4"/>
      <c r="F884" s="3"/>
      <c r="G884" s="5"/>
      <c r="H884" s="3"/>
      <c r="I884" s="5"/>
      <c r="J884" s="3"/>
      <c r="K884" s="5"/>
      <c r="L884" s="3"/>
      <c r="M884" s="5"/>
      <c r="N884" s="5"/>
    </row>
    <row r="885">
      <c r="A885" s="2"/>
      <c r="B885" s="3"/>
      <c r="C885" s="3"/>
      <c r="D885" s="3"/>
      <c r="E885" s="4"/>
      <c r="F885" s="3"/>
      <c r="G885" s="5"/>
      <c r="H885" s="3"/>
      <c r="I885" s="5"/>
      <c r="J885" s="3"/>
      <c r="K885" s="5"/>
      <c r="L885" s="3"/>
      <c r="M885" s="5"/>
      <c r="N885" s="5"/>
    </row>
    <row r="886">
      <c r="A886" s="2"/>
      <c r="B886" s="3"/>
      <c r="C886" s="3"/>
      <c r="D886" s="3"/>
      <c r="E886" s="4"/>
      <c r="F886" s="3"/>
      <c r="G886" s="5"/>
      <c r="H886" s="3"/>
      <c r="I886" s="5"/>
      <c r="J886" s="3"/>
      <c r="K886" s="5"/>
      <c r="L886" s="3"/>
      <c r="M886" s="5"/>
      <c r="N886" s="5"/>
    </row>
    <row r="887">
      <c r="A887" s="2"/>
      <c r="B887" s="3"/>
      <c r="C887" s="3"/>
      <c r="D887" s="3"/>
      <c r="E887" s="4"/>
      <c r="F887" s="3"/>
      <c r="G887" s="5"/>
      <c r="H887" s="3"/>
      <c r="I887" s="5"/>
      <c r="J887" s="3"/>
      <c r="K887" s="5"/>
      <c r="L887" s="3"/>
      <c r="M887" s="5"/>
      <c r="N887" s="5"/>
    </row>
    <row r="888">
      <c r="A888" s="2"/>
      <c r="B888" s="3"/>
      <c r="C888" s="3"/>
      <c r="D888" s="3"/>
      <c r="E888" s="4"/>
      <c r="F888" s="3"/>
      <c r="G888" s="5"/>
      <c r="H888" s="3"/>
      <c r="I888" s="5"/>
      <c r="J888" s="3"/>
      <c r="K888" s="5"/>
      <c r="L888" s="3"/>
      <c r="M888" s="5"/>
      <c r="N888" s="5"/>
    </row>
    <row r="889">
      <c r="A889" s="2"/>
      <c r="B889" s="3"/>
      <c r="C889" s="3"/>
      <c r="D889" s="3"/>
      <c r="E889" s="4"/>
      <c r="F889" s="3"/>
      <c r="G889" s="5"/>
      <c r="H889" s="3"/>
      <c r="I889" s="5"/>
      <c r="J889" s="3"/>
      <c r="K889" s="5"/>
      <c r="L889" s="3"/>
      <c r="M889" s="5"/>
      <c r="N889" s="5"/>
    </row>
    <row r="890">
      <c r="A890" s="2"/>
      <c r="B890" s="3"/>
      <c r="C890" s="3"/>
      <c r="D890" s="3"/>
      <c r="E890" s="4"/>
      <c r="F890" s="3"/>
      <c r="G890" s="5"/>
      <c r="H890" s="3"/>
      <c r="I890" s="5"/>
      <c r="J890" s="3"/>
      <c r="K890" s="5"/>
      <c r="L890" s="3"/>
      <c r="M890" s="5"/>
      <c r="N890" s="5"/>
    </row>
    <row r="891">
      <c r="A891" s="2"/>
      <c r="B891" s="3"/>
      <c r="C891" s="3"/>
      <c r="D891" s="3"/>
      <c r="E891" s="4"/>
      <c r="F891" s="3"/>
      <c r="G891" s="5"/>
      <c r="H891" s="3"/>
      <c r="I891" s="5"/>
      <c r="J891" s="3"/>
      <c r="K891" s="5"/>
      <c r="L891" s="3"/>
      <c r="M891" s="5"/>
      <c r="N891" s="5"/>
    </row>
    <row r="892">
      <c r="A892" s="2"/>
      <c r="B892" s="3"/>
      <c r="C892" s="3"/>
      <c r="D892" s="3"/>
      <c r="E892" s="4"/>
      <c r="F892" s="3"/>
      <c r="G892" s="5"/>
      <c r="H892" s="3"/>
      <c r="I892" s="5"/>
      <c r="J892" s="3"/>
      <c r="K892" s="5"/>
      <c r="L892" s="3"/>
      <c r="M892" s="5"/>
      <c r="N892" s="5"/>
    </row>
    <row r="893">
      <c r="A893" s="2"/>
      <c r="B893" s="3"/>
      <c r="C893" s="3"/>
      <c r="D893" s="3"/>
      <c r="E893" s="4"/>
      <c r="F893" s="3"/>
      <c r="G893" s="5"/>
      <c r="H893" s="3"/>
      <c r="I893" s="5"/>
      <c r="J893" s="3"/>
      <c r="K893" s="5"/>
      <c r="L893" s="3"/>
      <c r="M893" s="5"/>
      <c r="N893" s="5"/>
    </row>
    <row r="894">
      <c r="A894" s="2"/>
      <c r="B894" s="3"/>
      <c r="C894" s="3"/>
      <c r="D894" s="3"/>
      <c r="E894" s="4"/>
      <c r="F894" s="3"/>
      <c r="G894" s="5"/>
      <c r="H894" s="3"/>
      <c r="I894" s="5"/>
      <c r="J894" s="3"/>
      <c r="K894" s="5"/>
      <c r="L894" s="3"/>
      <c r="M894" s="5"/>
      <c r="N894" s="5"/>
    </row>
    <row r="895">
      <c r="A895" s="2"/>
      <c r="B895" s="3"/>
      <c r="C895" s="3"/>
      <c r="D895" s="3"/>
      <c r="E895" s="4"/>
      <c r="F895" s="3"/>
      <c r="G895" s="5"/>
      <c r="H895" s="3"/>
      <c r="I895" s="5"/>
      <c r="J895" s="3"/>
      <c r="K895" s="5"/>
      <c r="L895" s="3"/>
      <c r="M895" s="5"/>
      <c r="N895" s="5"/>
    </row>
    <row r="896">
      <c r="A896" s="2"/>
      <c r="B896" s="3"/>
      <c r="C896" s="3"/>
      <c r="D896" s="3"/>
      <c r="E896" s="4"/>
      <c r="F896" s="3"/>
      <c r="G896" s="5"/>
      <c r="H896" s="3"/>
      <c r="I896" s="5"/>
      <c r="J896" s="3"/>
      <c r="K896" s="5"/>
      <c r="L896" s="3"/>
      <c r="M896" s="5"/>
      <c r="N896" s="5"/>
    </row>
    <row r="897">
      <c r="A897" s="2"/>
      <c r="B897" s="3"/>
      <c r="C897" s="3"/>
      <c r="D897" s="3"/>
      <c r="E897" s="4"/>
      <c r="F897" s="3"/>
      <c r="G897" s="5"/>
      <c r="H897" s="3"/>
      <c r="I897" s="5"/>
      <c r="J897" s="3"/>
      <c r="K897" s="5"/>
      <c r="L897" s="3"/>
      <c r="M897" s="5"/>
      <c r="N897" s="5"/>
    </row>
    <row r="898">
      <c r="A898" s="2"/>
      <c r="B898" s="3"/>
      <c r="C898" s="3"/>
      <c r="D898" s="3"/>
      <c r="E898" s="4"/>
      <c r="F898" s="3"/>
      <c r="G898" s="5"/>
      <c r="H898" s="3"/>
      <c r="I898" s="5"/>
      <c r="J898" s="3"/>
      <c r="K898" s="5"/>
      <c r="L898" s="3"/>
      <c r="M898" s="5"/>
      <c r="N898" s="5"/>
    </row>
    <row r="899">
      <c r="A899" s="2"/>
      <c r="B899" s="3"/>
      <c r="C899" s="3"/>
      <c r="D899" s="3"/>
      <c r="E899" s="4"/>
      <c r="F899" s="3"/>
      <c r="G899" s="5"/>
      <c r="H899" s="3"/>
      <c r="I899" s="5"/>
      <c r="J899" s="3"/>
      <c r="K899" s="5"/>
      <c r="L899" s="3"/>
      <c r="M899" s="5"/>
      <c r="N899" s="5"/>
    </row>
    <row r="900">
      <c r="A900" s="2"/>
      <c r="B900" s="3"/>
      <c r="C900" s="3"/>
      <c r="D900" s="3"/>
      <c r="E900" s="4"/>
      <c r="F900" s="3"/>
      <c r="G900" s="5"/>
      <c r="H900" s="3"/>
      <c r="I900" s="5"/>
      <c r="J900" s="3"/>
      <c r="K900" s="5"/>
      <c r="L900" s="3"/>
      <c r="M900" s="5"/>
      <c r="N900" s="5"/>
    </row>
    <row r="901">
      <c r="A901" s="2"/>
      <c r="B901" s="3"/>
      <c r="C901" s="3"/>
      <c r="D901" s="3"/>
      <c r="E901" s="4"/>
      <c r="F901" s="3"/>
      <c r="G901" s="5"/>
      <c r="H901" s="3"/>
      <c r="I901" s="5"/>
      <c r="J901" s="3"/>
      <c r="K901" s="5"/>
      <c r="L901" s="3"/>
      <c r="M901" s="5"/>
      <c r="N901" s="5"/>
    </row>
    <row r="902">
      <c r="A902" s="2"/>
      <c r="B902" s="3"/>
      <c r="C902" s="3"/>
      <c r="D902" s="3"/>
      <c r="E902" s="4"/>
      <c r="F902" s="3"/>
      <c r="G902" s="5"/>
      <c r="H902" s="3"/>
      <c r="I902" s="5"/>
      <c r="J902" s="3"/>
      <c r="K902" s="5"/>
      <c r="L902" s="3"/>
      <c r="M902" s="5"/>
      <c r="N902" s="5"/>
    </row>
    <row r="903">
      <c r="A903" s="2"/>
      <c r="B903" s="3"/>
      <c r="C903" s="3"/>
      <c r="D903" s="3"/>
      <c r="E903" s="4"/>
      <c r="F903" s="3"/>
      <c r="G903" s="5"/>
      <c r="H903" s="3"/>
      <c r="I903" s="5"/>
      <c r="J903" s="3"/>
      <c r="K903" s="5"/>
      <c r="L903" s="3"/>
      <c r="M903" s="5"/>
      <c r="N903" s="5"/>
    </row>
    <row r="904">
      <c r="A904" s="2"/>
      <c r="B904" s="3"/>
      <c r="C904" s="3"/>
      <c r="D904" s="3"/>
      <c r="E904" s="4"/>
      <c r="F904" s="3"/>
      <c r="G904" s="5"/>
      <c r="H904" s="3"/>
      <c r="I904" s="5"/>
      <c r="J904" s="3"/>
      <c r="K904" s="5"/>
      <c r="L904" s="3"/>
      <c r="M904" s="5"/>
      <c r="N904" s="5"/>
    </row>
    <row r="905">
      <c r="A905" s="2"/>
      <c r="B905" s="3"/>
      <c r="C905" s="3"/>
      <c r="D905" s="3"/>
      <c r="E905" s="4"/>
      <c r="F905" s="3"/>
      <c r="G905" s="5"/>
      <c r="H905" s="3"/>
      <c r="I905" s="5"/>
      <c r="J905" s="3"/>
      <c r="K905" s="5"/>
      <c r="L905" s="3"/>
      <c r="M905" s="5"/>
      <c r="N905" s="5"/>
    </row>
    <row r="906">
      <c r="A906" s="2"/>
      <c r="B906" s="3"/>
      <c r="C906" s="3"/>
      <c r="D906" s="3"/>
      <c r="E906" s="4"/>
      <c r="F906" s="3"/>
      <c r="G906" s="5"/>
      <c r="H906" s="3"/>
      <c r="I906" s="5"/>
      <c r="J906" s="3"/>
      <c r="K906" s="5"/>
      <c r="L906" s="3"/>
      <c r="M906" s="5"/>
      <c r="N906" s="5"/>
    </row>
    <row r="907">
      <c r="A907" s="2"/>
      <c r="B907" s="3"/>
      <c r="C907" s="3"/>
      <c r="D907" s="3"/>
      <c r="E907" s="4"/>
      <c r="F907" s="3"/>
      <c r="G907" s="5"/>
      <c r="H907" s="3"/>
      <c r="I907" s="5"/>
      <c r="J907" s="3"/>
      <c r="K907" s="5"/>
      <c r="L907" s="3"/>
      <c r="M907" s="5"/>
      <c r="N907" s="5"/>
    </row>
    <row r="908">
      <c r="A908" s="2"/>
      <c r="B908" s="3"/>
      <c r="C908" s="3"/>
      <c r="D908" s="3"/>
      <c r="E908" s="4"/>
      <c r="F908" s="3"/>
      <c r="G908" s="5"/>
      <c r="H908" s="3"/>
      <c r="I908" s="5"/>
      <c r="J908" s="3"/>
      <c r="K908" s="5"/>
      <c r="L908" s="3"/>
      <c r="M908" s="5"/>
      <c r="N908" s="5"/>
    </row>
    <row r="909">
      <c r="A909" s="2"/>
      <c r="B909" s="3"/>
      <c r="C909" s="3"/>
      <c r="D909" s="3"/>
      <c r="E909" s="4"/>
      <c r="F909" s="3"/>
      <c r="G909" s="5"/>
      <c r="H909" s="3"/>
      <c r="I909" s="5"/>
      <c r="J909" s="3"/>
      <c r="K909" s="5"/>
      <c r="L909" s="3"/>
      <c r="M909" s="5"/>
      <c r="N909" s="5"/>
    </row>
    <row r="910">
      <c r="A910" s="2"/>
      <c r="B910" s="3"/>
      <c r="C910" s="3"/>
      <c r="D910" s="3"/>
      <c r="E910" s="4"/>
      <c r="F910" s="3"/>
      <c r="G910" s="5"/>
      <c r="H910" s="3"/>
      <c r="I910" s="5"/>
      <c r="J910" s="3"/>
      <c r="K910" s="5"/>
      <c r="L910" s="3"/>
      <c r="M910" s="5"/>
      <c r="N910" s="5"/>
    </row>
    <row r="911">
      <c r="A911" s="2"/>
      <c r="B911" s="3"/>
      <c r="C911" s="3"/>
      <c r="D911" s="3"/>
      <c r="E911" s="4"/>
      <c r="F911" s="3"/>
      <c r="G911" s="5"/>
      <c r="H911" s="3"/>
      <c r="I911" s="5"/>
      <c r="J911" s="3"/>
      <c r="K911" s="5"/>
      <c r="L911" s="3"/>
      <c r="M911" s="5"/>
      <c r="N911" s="5"/>
    </row>
    <row r="912">
      <c r="A912" s="2"/>
      <c r="B912" s="3"/>
      <c r="C912" s="3"/>
      <c r="D912" s="3"/>
      <c r="E912" s="4"/>
      <c r="F912" s="3"/>
      <c r="G912" s="5"/>
      <c r="H912" s="3"/>
      <c r="I912" s="5"/>
      <c r="J912" s="3"/>
      <c r="K912" s="5"/>
      <c r="L912" s="3"/>
      <c r="M912" s="5"/>
      <c r="N912" s="5"/>
    </row>
    <row r="913">
      <c r="A913" s="2"/>
      <c r="B913" s="3"/>
      <c r="C913" s="3"/>
      <c r="D913" s="3"/>
      <c r="E913" s="4"/>
      <c r="F913" s="3"/>
      <c r="G913" s="5"/>
      <c r="H913" s="3"/>
      <c r="I913" s="5"/>
      <c r="J913" s="3"/>
      <c r="K913" s="5"/>
      <c r="L913" s="3"/>
      <c r="M913" s="5"/>
      <c r="N913" s="5"/>
    </row>
    <row r="914">
      <c r="A914" s="2"/>
      <c r="B914" s="3"/>
      <c r="C914" s="3"/>
      <c r="D914" s="3"/>
      <c r="E914" s="4"/>
      <c r="F914" s="3"/>
      <c r="G914" s="5"/>
      <c r="H914" s="3"/>
      <c r="I914" s="5"/>
      <c r="J914" s="3"/>
      <c r="K914" s="5"/>
      <c r="L914" s="3"/>
      <c r="M914" s="5"/>
      <c r="N914" s="5"/>
    </row>
    <row r="915">
      <c r="A915" s="2"/>
      <c r="B915" s="3"/>
      <c r="C915" s="3"/>
      <c r="D915" s="3"/>
      <c r="E915" s="4"/>
      <c r="F915" s="3"/>
      <c r="G915" s="5"/>
      <c r="H915" s="3"/>
      <c r="I915" s="5"/>
      <c r="J915" s="3"/>
      <c r="K915" s="5"/>
      <c r="L915" s="3"/>
      <c r="M915" s="5"/>
      <c r="N915" s="5"/>
    </row>
    <row r="916">
      <c r="A916" s="2"/>
      <c r="B916" s="3"/>
      <c r="C916" s="3"/>
      <c r="D916" s="3"/>
      <c r="E916" s="4"/>
      <c r="F916" s="3"/>
      <c r="G916" s="5"/>
      <c r="H916" s="3"/>
      <c r="I916" s="5"/>
      <c r="J916" s="3"/>
      <c r="K916" s="5"/>
      <c r="L916" s="3"/>
      <c r="M916" s="5"/>
      <c r="N916" s="5"/>
    </row>
    <row r="917">
      <c r="A917" s="2"/>
      <c r="B917" s="3"/>
      <c r="C917" s="3"/>
      <c r="D917" s="3"/>
      <c r="E917" s="4"/>
      <c r="F917" s="3"/>
      <c r="G917" s="5"/>
      <c r="H917" s="3"/>
      <c r="I917" s="5"/>
      <c r="J917" s="3"/>
      <c r="K917" s="5"/>
      <c r="L917" s="3"/>
      <c r="M917" s="5"/>
      <c r="N917" s="5"/>
    </row>
    <row r="918">
      <c r="A918" s="2"/>
      <c r="B918" s="3"/>
      <c r="C918" s="3"/>
      <c r="D918" s="3"/>
      <c r="E918" s="4"/>
      <c r="F918" s="3"/>
      <c r="G918" s="5"/>
      <c r="H918" s="3"/>
      <c r="I918" s="5"/>
      <c r="J918" s="3"/>
      <c r="K918" s="5"/>
      <c r="L918" s="3"/>
      <c r="M918" s="5"/>
      <c r="N918" s="5"/>
    </row>
    <row r="919">
      <c r="A919" s="2"/>
      <c r="B919" s="3"/>
      <c r="C919" s="3"/>
      <c r="D919" s="3"/>
      <c r="E919" s="4"/>
      <c r="F919" s="3"/>
      <c r="G919" s="5"/>
      <c r="H919" s="3"/>
      <c r="I919" s="5"/>
      <c r="J919" s="3"/>
      <c r="K919" s="5"/>
      <c r="L919" s="3"/>
      <c r="M919" s="5"/>
      <c r="N919" s="5"/>
    </row>
    <row r="920">
      <c r="A920" s="2"/>
      <c r="B920" s="3"/>
      <c r="C920" s="3"/>
      <c r="D920" s="3"/>
      <c r="E920" s="4"/>
      <c r="F920" s="3"/>
      <c r="G920" s="5"/>
      <c r="H920" s="3"/>
      <c r="I920" s="5"/>
      <c r="J920" s="3"/>
      <c r="K920" s="5"/>
      <c r="L920" s="3"/>
      <c r="M920" s="5"/>
      <c r="N920" s="5"/>
    </row>
    <row r="921">
      <c r="A921" s="2"/>
      <c r="B921" s="3"/>
      <c r="C921" s="3"/>
      <c r="D921" s="3"/>
      <c r="E921" s="4"/>
      <c r="F921" s="3"/>
      <c r="G921" s="5"/>
      <c r="H921" s="3"/>
      <c r="I921" s="5"/>
      <c r="J921" s="3"/>
      <c r="K921" s="5"/>
      <c r="L921" s="3"/>
      <c r="M921" s="5"/>
      <c r="N921" s="5"/>
    </row>
    <row r="922">
      <c r="A922" s="2"/>
      <c r="B922" s="3"/>
      <c r="C922" s="3"/>
      <c r="D922" s="3"/>
      <c r="E922" s="4"/>
      <c r="F922" s="3"/>
      <c r="G922" s="5"/>
      <c r="H922" s="3"/>
      <c r="I922" s="5"/>
      <c r="J922" s="3"/>
      <c r="K922" s="5"/>
      <c r="L922" s="3"/>
      <c r="M922" s="5"/>
      <c r="N922" s="5"/>
    </row>
    <row r="923">
      <c r="A923" s="2"/>
      <c r="B923" s="3"/>
      <c r="C923" s="3"/>
      <c r="D923" s="3"/>
      <c r="E923" s="4"/>
      <c r="F923" s="3"/>
      <c r="G923" s="5"/>
      <c r="H923" s="3"/>
      <c r="I923" s="5"/>
      <c r="J923" s="3"/>
      <c r="K923" s="5"/>
      <c r="L923" s="3"/>
      <c r="M923" s="5"/>
      <c r="N923" s="5"/>
    </row>
    <row r="924">
      <c r="A924" s="2"/>
      <c r="B924" s="3"/>
      <c r="C924" s="3"/>
      <c r="D924" s="3"/>
      <c r="E924" s="4"/>
      <c r="F924" s="3"/>
      <c r="G924" s="5"/>
      <c r="H924" s="3"/>
      <c r="I924" s="5"/>
      <c r="J924" s="3"/>
      <c r="K924" s="5"/>
      <c r="L924" s="3"/>
      <c r="M924" s="5"/>
      <c r="N924" s="5"/>
    </row>
    <row r="925">
      <c r="A925" s="2"/>
      <c r="B925" s="3"/>
      <c r="C925" s="3"/>
      <c r="D925" s="3"/>
      <c r="E925" s="4"/>
      <c r="F925" s="3"/>
      <c r="G925" s="5"/>
      <c r="H925" s="3"/>
      <c r="I925" s="5"/>
      <c r="J925" s="3"/>
      <c r="K925" s="5"/>
      <c r="L925" s="3"/>
      <c r="M925" s="5"/>
      <c r="N925" s="5"/>
    </row>
    <row r="926">
      <c r="A926" s="2"/>
      <c r="B926" s="3"/>
      <c r="C926" s="3"/>
      <c r="D926" s="3"/>
      <c r="E926" s="4"/>
      <c r="F926" s="3"/>
      <c r="G926" s="5"/>
      <c r="H926" s="3"/>
      <c r="I926" s="5"/>
      <c r="J926" s="3"/>
      <c r="K926" s="5"/>
      <c r="L926" s="3"/>
      <c r="M926" s="5"/>
      <c r="N926" s="5"/>
    </row>
    <row r="927">
      <c r="A927" s="2"/>
      <c r="B927" s="3"/>
      <c r="C927" s="3"/>
      <c r="D927" s="3"/>
      <c r="E927" s="4"/>
      <c r="F927" s="3"/>
      <c r="G927" s="5"/>
      <c r="H927" s="3"/>
      <c r="I927" s="5"/>
      <c r="J927" s="3"/>
      <c r="K927" s="5"/>
      <c r="L927" s="3"/>
      <c r="M927" s="5"/>
      <c r="N927" s="5"/>
    </row>
    <row r="928">
      <c r="A928" s="2"/>
      <c r="B928" s="3"/>
      <c r="C928" s="3"/>
      <c r="D928" s="3"/>
      <c r="E928" s="4"/>
      <c r="F928" s="3"/>
      <c r="G928" s="5"/>
      <c r="H928" s="3"/>
      <c r="I928" s="5"/>
      <c r="J928" s="3"/>
      <c r="K928" s="5"/>
      <c r="L928" s="3"/>
      <c r="M928" s="5"/>
      <c r="N928" s="5"/>
    </row>
    <row r="929">
      <c r="A929" s="2"/>
      <c r="B929" s="3"/>
      <c r="C929" s="3"/>
      <c r="D929" s="3"/>
      <c r="E929" s="4"/>
      <c r="F929" s="3"/>
      <c r="G929" s="5"/>
      <c r="H929" s="3"/>
      <c r="I929" s="5"/>
      <c r="J929" s="3"/>
      <c r="K929" s="5"/>
      <c r="L929" s="3"/>
      <c r="M929" s="5"/>
      <c r="N929" s="5"/>
    </row>
    <row r="930">
      <c r="A930" s="2"/>
      <c r="B930" s="3"/>
      <c r="C930" s="3"/>
      <c r="D930" s="3"/>
      <c r="E930" s="4"/>
      <c r="F930" s="3"/>
      <c r="G930" s="5"/>
      <c r="H930" s="3"/>
      <c r="I930" s="5"/>
      <c r="J930" s="3"/>
      <c r="K930" s="5"/>
      <c r="L930" s="3"/>
      <c r="M930" s="5"/>
      <c r="N930" s="5"/>
    </row>
    <row r="931">
      <c r="A931" s="2"/>
      <c r="B931" s="3"/>
      <c r="C931" s="3"/>
      <c r="D931" s="3"/>
      <c r="E931" s="4"/>
      <c r="F931" s="3"/>
      <c r="G931" s="5"/>
      <c r="H931" s="3"/>
      <c r="I931" s="5"/>
      <c r="J931" s="3"/>
      <c r="K931" s="5"/>
      <c r="L931" s="3"/>
      <c r="M931" s="5"/>
      <c r="N931" s="5"/>
    </row>
    <row r="932">
      <c r="A932" s="2"/>
      <c r="B932" s="3"/>
      <c r="C932" s="3"/>
      <c r="D932" s="3"/>
      <c r="E932" s="4"/>
      <c r="F932" s="3"/>
      <c r="G932" s="5"/>
      <c r="H932" s="3"/>
      <c r="I932" s="5"/>
      <c r="J932" s="3"/>
      <c r="K932" s="5"/>
      <c r="L932" s="3"/>
      <c r="M932" s="5"/>
      <c r="N932" s="5"/>
    </row>
    <row r="933">
      <c r="A933" s="2"/>
      <c r="B933" s="3"/>
      <c r="C933" s="3"/>
      <c r="D933" s="3"/>
      <c r="E933" s="4"/>
      <c r="F933" s="3"/>
      <c r="G933" s="5"/>
      <c r="H933" s="3"/>
      <c r="I933" s="5"/>
      <c r="J933" s="3"/>
      <c r="K933" s="5"/>
      <c r="L933" s="3"/>
      <c r="M933" s="5"/>
      <c r="N933" s="5"/>
    </row>
    <row r="934">
      <c r="A934" s="2"/>
      <c r="B934" s="3"/>
      <c r="C934" s="3"/>
      <c r="D934" s="3"/>
      <c r="E934" s="4"/>
      <c r="F934" s="3"/>
      <c r="G934" s="5"/>
      <c r="H934" s="3"/>
      <c r="I934" s="5"/>
      <c r="J934" s="3"/>
      <c r="K934" s="5"/>
      <c r="L934" s="3"/>
      <c r="M934" s="5"/>
      <c r="N934" s="5"/>
    </row>
    <row r="935">
      <c r="A935" s="2"/>
      <c r="B935" s="3"/>
      <c r="C935" s="3"/>
      <c r="D935" s="3"/>
      <c r="E935" s="4"/>
      <c r="F935" s="3"/>
      <c r="G935" s="5"/>
      <c r="H935" s="3"/>
      <c r="I935" s="5"/>
      <c r="J935" s="3"/>
      <c r="K935" s="5"/>
      <c r="L935" s="3"/>
      <c r="M935" s="5"/>
      <c r="N935" s="5"/>
    </row>
    <row r="936">
      <c r="A936" s="2"/>
      <c r="B936" s="3"/>
      <c r="C936" s="3"/>
      <c r="D936" s="3"/>
      <c r="E936" s="4"/>
      <c r="F936" s="3"/>
      <c r="G936" s="5"/>
      <c r="H936" s="3"/>
      <c r="I936" s="5"/>
      <c r="J936" s="3"/>
      <c r="K936" s="5"/>
      <c r="L936" s="3"/>
      <c r="M936" s="5"/>
      <c r="N936" s="5"/>
    </row>
    <row r="937">
      <c r="A937" s="2"/>
      <c r="B937" s="3"/>
      <c r="C937" s="3"/>
      <c r="D937" s="3"/>
      <c r="E937" s="4"/>
      <c r="F937" s="3"/>
      <c r="G937" s="5"/>
      <c r="H937" s="3"/>
      <c r="I937" s="5"/>
      <c r="J937" s="3"/>
      <c r="K937" s="5"/>
      <c r="L937" s="3"/>
      <c r="M937" s="5"/>
      <c r="N937" s="5"/>
    </row>
    <row r="938">
      <c r="A938" s="2"/>
      <c r="B938" s="3"/>
      <c r="C938" s="3"/>
      <c r="D938" s="3"/>
      <c r="E938" s="4"/>
      <c r="F938" s="3"/>
      <c r="G938" s="5"/>
      <c r="H938" s="3"/>
      <c r="I938" s="5"/>
      <c r="J938" s="3"/>
      <c r="K938" s="5"/>
      <c r="L938" s="3"/>
      <c r="M938" s="5"/>
      <c r="N938" s="5"/>
    </row>
    <row r="939">
      <c r="A939" s="2"/>
      <c r="B939" s="3"/>
      <c r="C939" s="3"/>
      <c r="D939" s="3"/>
      <c r="E939" s="4"/>
      <c r="F939" s="3"/>
      <c r="G939" s="5"/>
      <c r="H939" s="3"/>
      <c r="I939" s="5"/>
      <c r="J939" s="3"/>
      <c r="K939" s="5"/>
      <c r="L939" s="3"/>
      <c r="M939" s="5"/>
      <c r="N939" s="5"/>
    </row>
    <row r="940">
      <c r="A940" s="2"/>
      <c r="B940" s="3"/>
      <c r="C940" s="3"/>
      <c r="D940" s="3"/>
      <c r="E940" s="4"/>
      <c r="F940" s="3"/>
      <c r="G940" s="5"/>
      <c r="H940" s="3"/>
      <c r="I940" s="5"/>
      <c r="J940" s="3"/>
      <c r="K940" s="5"/>
      <c r="L940" s="3"/>
      <c r="M940" s="5"/>
      <c r="N940" s="5"/>
    </row>
    <row r="941">
      <c r="A941" s="2"/>
      <c r="B941" s="3"/>
      <c r="C941" s="3"/>
      <c r="D941" s="3"/>
      <c r="E941" s="4"/>
      <c r="F941" s="3"/>
      <c r="G941" s="5"/>
      <c r="H941" s="3"/>
      <c r="I941" s="5"/>
      <c r="J941" s="3"/>
      <c r="K941" s="5"/>
      <c r="L941" s="3"/>
      <c r="M941" s="5"/>
      <c r="N941" s="5"/>
    </row>
    <row r="942">
      <c r="A942" s="2"/>
      <c r="B942" s="3"/>
      <c r="C942" s="3"/>
      <c r="D942" s="3"/>
      <c r="E942" s="4"/>
      <c r="F942" s="3"/>
      <c r="G942" s="5"/>
      <c r="H942" s="3"/>
      <c r="I942" s="5"/>
      <c r="J942" s="3"/>
      <c r="K942" s="5"/>
      <c r="L942" s="3"/>
      <c r="M942" s="5"/>
      <c r="N942" s="5"/>
    </row>
    <row r="943">
      <c r="A943" s="2"/>
      <c r="B943" s="3"/>
      <c r="C943" s="3"/>
      <c r="D943" s="3"/>
      <c r="E943" s="4"/>
      <c r="F943" s="3"/>
      <c r="G943" s="5"/>
      <c r="H943" s="3"/>
      <c r="I943" s="5"/>
      <c r="J943" s="3"/>
      <c r="K943" s="5"/>
      <c r="L943" s="3"/>
      <c r="M943" s="5"/>
      <c r="N943" s="5"/>
    </row>
    <row r="944">
      <c r="A944" s="2"/>
      <c r="B944" s="3"/>
      <c r="C944" s="3"/>
      <c r="D944" s="3"/>
      <c r="E944" s="4"/>
      <c r="F944" s="3"/>
      <c r="G944" s="5"/>
      <c r="H944" s="3"/>
      <c r="I944" s="5"/>
      <c r="J944" s="3"/>
      <c r="K944" s="5"/>
      <c r="L944" s="3"/>
      <c r="M944" s="5"/>
      <c r="N944" s="5"/>
    </row>
    <row r="945">
      <c r="A945" s="2"/>
      <c r="B945" s="3"/>
      <c r="C945" s="3"/>
      <c r="D945" s="3"/>
      <c r="E945" s="4"/>
      <c r="F945" s="3"/>
      <c r="G945" s="5"/>
      <c r="H945" s="3"/>
      <c r="I945" s="5"/>
      <c r="J945" s="3"/>
      <c r="K945" s="5"/>
      <c r="L945" s="3"/>
      <c r="M945" s="5"/>
      <c r="N945" s="5"/>
    </row>
    <row r="946">
      <c r="A946" s="2"/>
      <c r="B946" s="3"/>
      <c r="C946" s="3"/>
      <c r="D946" s="3"/>
      <c r="E946" s="4"/>
      <c r="F946" s="3"/>
      <c r="G946" s="5"/>
      <c r="H946" s="3"/>
      <c r="I946" s="5"/>
      <c r="J946" s="3"/>
      <c r="K946" s="5"/>
      <c r="L946" s="3"/>
      <c r="M946" s="5"/>
      <c r="N946" s="5"/>
    </row>
    <row r="947">
      <c r="A947" s="2"/>
      <c r="B947" s="3"/>
      <c r="C947" s="3"/>
      <c r="D947" s="3"/>
      <c r="E947" s="4"/>
      <c r="F947" s="3"/>
      <c r="G947" s="5"/>
      <c r="H947" s="3"/>
      <c r="I947" s="5"/>
      <c r="J947" s="3"/>
      <c r="K947" s="5"/>
      <c r="L947" s="3"/>
      <c r="M947" s="5"/>
      <c r="N947" s="5"/>
    </row>
    <row r="948">
      <c r="A948" s="2"/>
      <c r="B948" s="3"/>
      <c r="C948" s="3"/>
      <c r="D948" s="3"/>
      <c r="E948" s="4"/>
      <c r="F948" s="3"/>
      <c r="G948" s="5"/>
      <c r="H948" s="3"/>
      <c r="I948" s="5"/>
      <c r="J948" s="3"/>
      <c r="K948" s="5"/>
      <c r="L948" s="3"/>
      <c r="M948" s="5"/>
      <c r="N948" s="5"/>
    </row>
    <row r="949">
      <c r="A949" s="2"/>
      <c r="B949" s="3"/>
      <c r="C949" s="3"/>
      <c r="D949" s="3"/>
      <c r="E949" s="4"/>
      <c r="F949" s="3"/>
      <c r="G949" s="5"/>
      <c r="H949" s="3"/>
      <c r="I949" s="5"/>
      <c r="J949" s="3"/>
      <c r="K949" s="5"/>
      <c r="L949" s="3"/>
      <c r="M949" s="5"/>
      <c r="N949" s="5"/>
    </row>
    <row r="950">
      <c r="A950" s="2"/>
      <c r="B950" s="3"/>
      <c r="C950" s="3"/>
      <c r="D950" s="3"/>
      <c r="E950" s="4"/>
      <c r="F950" s="3"/>
      <c r="G950" s="5"/>
      <c r="H950" s="3"/>
      <c r="I950" s="5"/>
      <c r="J950" s="3"/>
      <c r="K950" s="5"/>
      <c r="L950" s="3"/>
      <c r="M950" s="5"/>
      <c r="N950" s="5"/>
    </row>
    <row r="951">
      <c r="A951" s="2"/>
      <c r="B951" s="3"/>
      <c r="C951" s="3"/>
      <c r="D951" s="3"/>
      <c r="E951" s="4"/>
      <c r="F951" s="3"/>
      <c r="G951" s="5"/>
      <c r="H951" s="3"/>
      <c r="I951" s="5"/>
      <c r="J951" s="3"/>
      <c r="K951" s="5"/>
      <c r="L951" s="3"/>
      <c r="M951" s="5"/>
      <c r="N951" s="5"/>
    </row>
    <row r="952">
      <c r="A952" s="2"/>
      <c r="B952" s="3"/>
      <c r="C952" s="3"/>
      <c r="D952" s="3"/>
      <c r="E952" s="4"/>
      <c r="F952" s="3"/>
      <c r="G952" s="5"/>
      <c r="H952" s="3"/>
      <c r="I952" s="5"/>
      <c r="J952" s="3"/>
      <c r="K952" s="5"/>
      <c r="L952" s="3"/>
      <c r="M952" s="5"/>
      <c r="N952" s="5"/>
    </row>
    <row r="953">
      <c r="A953" s="2"/>
      <c r="B953" s="3"/>
      <c r="C953" s="3"/>
      <c r="D953" s="3"/>
      <c r="E953" s="4"/>
      <c r="F953" s="3"/>
      <c r="G953" s="5"/>
      <c r="H953" s="3"/>
      <c r="I953" s="5"/>
      <c r="J953" s="3"/>
      <c r="K953" s="5"/>
      <c r="L953" s="3"/>
      <c r="M953" s="5"/>
      <c r="N953" s="5"/>
    </row>
    <row r="954">
      <c r="A954" s="2"/>
      <c r="B954" s="3"/>
      <c r="C954" s="3"/>
      <c r="D954" s="3"/>
      <c r="E954" s="4"/>
      <c r="F954" s="3"/>
      <c r="G954" s="5"/>
      <c r="H954" s="3"/>
      <c r="I954" s="5"/>
      <c r="J954" s="3"/>
      <c r="K954" s="5"/>
      <c r="L954" s="3"/>
      <c r="M954" s="5"/>
      <c r="N954" s="5"/>
    </row>
    <row r="955">
      <c r="A955" s="2"/>
      <c r="B955" s="3"/>
      <c r="C955" s="3"/>
      <c r="D955" s="3"/>
      <c r="E955" s="4"/>
      <c r="F955" s="3"/>
      <c r="G955" s="5"/>
      <c r="H955" s="3"/>
      <c r="I955" s="5"/>
      <c r="J955" s="3"/>
      <c r="K955" s="5"/>
      <c r="L955" s="3"/>
      <c r="M955" s="5"/>
      <c r="N955" s="5"/>
    </row>
    <row r="956">
      <c r="A956" s="2"/>
      <c r="B956" s="3"/>
      <c r="C956" s="3"/>
      <c r="D956" s="3"/>
      <c r="E956" s="4"/>
      <c r="F956" s="3"/>
      <c r="G956" s="5"/>
      <c r="H956" s="3"/>
      <c r="I956" s="5"/>
      <c r="J956" s="3"/>
      <c r="K956" s="5"/>
      <c r="L956" s="3"/>
      <c r="M956" s="5"/>
      <c r="N956" s="5"/>
    </row>
    <row r="957">
      <c r="A957" s="2"/>
      <c r="B957" s="3"/>
      <c r="C957" s="3"/>
      <c r="D957" s="3"/>
      <c r="E957" s="4"/>
      <c r="F957" s="3"/>
      <c r="G957" s="5"/>
      <c r="H957" s="3"/>
      <c r="I957" s="5"/>
      <c r="J957" s="3"/>
      <c r="K957" s="5"/>
      <c r="L957" s="3"/>
      <c r="M957" s="5"/>
      <c r="N957" s="5"/>
    </row>
    <row r="958">
      <c r="A958" s="2"/>
      <c r="B958" s="3"/>
      <c r="C958" s="3"/>
      <c r="D958" s="3"/>
      <c r="E958" s="4"/>
      <c r="F958" s="3"/>
      <c r="G958" s="5"/>
      <c r="H958" s="3"/>
      <c r="I958" s="5"/>
      <c r="J958" s="3"/>
      <c r="K958" s="5"/>
      <c r="L958" s="3"/>
      <c r="M958" s="5"/>
      <c r="N958" s="5"/>
    </row>
    <row r="959">
      <c r="A959" s="2"/>
      <c r="B959" s="3"/>
      <c r="C959" s="3"/>
      <c r="D959" s="3"/>
      <c r="E959" s="4"/>
      <c r="F959" s="3"/>
      <c r="G959" s="5"/>
      <c r="H959" s="3"/>
      <c r="I959" s="5"/>
      <c r="J959" s="3"/>
      <c r="K959" s="5"/>
      <c r="L959" s="3"/>
      <c r="M959" s="5"/>
      <c r="N959" s="5"/>
    </row>
    <row r="960">
      <c r="A960" s="2"/>
      <c r="B960" s="3"/>
      <c r="C960" s="3"/>
      <c r="D960" s="3"/>
      <c r="E960" s="4"/>
      <c r="F960" s="3"/>
      <c r="G960" s="5"/>
      <c r="H960" s="3"/>
      <c r="I960" s="5"/>
      <c r="J960" s="3"/>
      <c r="K960" s="5"/>
      <c r="L960" s="3"/>
      <c r="M960" s="5"/>
      <c r="N960" s="5"/>
    </row>
    <row r="961">
      <c r="A961" s="2"/>
      <c r="B961" s="3"/>
      <c r="C961" s="3"/>
      <c r="D961" s="3"/>
      <c r="E961" s="4"/>
      <c r="F961" s="3"/>
      <c r="G961" s="5"/>
      <c r="H961" s="3"/>
      <c r="I961" s="5"/>
      <c r="J961" s="3"/>
      <c r="K961" s="5"/>
      <c r="L961" s="3"/>
      <c r="M961" s="5"/>
      <c r="N961" s="5"/>
    </row>
    <row r="962">
      <c r="A962" s="2"/>
      <c r="B962" s="3"/>
      <c r="C962" s="3"/>
      <c r="D962" s="3"/>
      <c r="E962" s="4"/>
      <c r="F962" s="3"/>
      <c r="G962" s="5"/>
      <c r="H962" s="3"/>
      <c r="I962" s="5"/>
      <c r="J962" s="3"/>
      <c r="K962" s="5"/>
      <c r="L962" s="3"/>
      <c r="M962" s="5"/>
      <c r="N962" s="5"/>
    </row>
    <row r="963">
      <c r="A963" s="2"/>
      <c r="B963" s="3"/>
      <c r="C963" s="3"/>
      <c r="D963" s="3"/>
      <c r="E963" s="4"/>
      <c r="F963" s="3"/>
      <c r="G963" s="5"/>
      <c r="H963" s="3"/>
      <c r="I963" s="5"/>
      <c r="J963" s="3"/>
      <c r="K963" s="5"/>
      <c r="L963" s="3"/>
      <c r="M963" s="5"/>
      <c r="N963" s="5"/>
    </row>
    <row r="964">
      <c r="A964" s="2"/>
      <c r="B964" s="3"/>
      <c r="C964" s="3"/>
      <c r="D964" s="3"/>
      <c r="E964" s="4"/>
      <c r="F964" s="3"/>
      <c r="G964" s="5"/>
      <c r="H964" s="3"/>
      <c r="I964" s="5"/>
      <c r="J964" s="3"/>
      <c r="K964" s="5"/>
      <c r="L964" s="3"/>
      <c r="M964" s="5"/>
      <c r="N964" s="5"/>
    </row>
    <row r="965">
      <c r="A965" s="2"/>
      <c r="B965" s="3"/>
      <c r="C965" s="3"/>
      <c r="D965" s="3"/>
      <c r="E965" s="4"/>
      <c r="F965" s="3"/>
      <c r="G965" s="5"/>
      <c r="H965" s="3"/>
      <c r="I965" s="5"/>
      <c r="J965" s="3"/>
      <c r="K965" s="5"/>
      <c r="L965" s="3"/>
      <c r="M965" s="5"/>
      <c r="N965" s="5"/>
    </row>
    <row r="966">
      <c r="A966" s="2"/>
      <c r="B966" s="3"/>
      <c r="C966" s="3"/>
      <c r="D966" s="3"/>
      <c r="E966" s="4"/>
      <c r="F966" s="3"/>
      <c r="G966" s="5"/>
      <c r="H966" s="3"/>
      <c r="I966" s="5"/>
      <c r="J966" s="3"/>
      <c r="K966" s="5"/>
      <c r="L966" s="3"/>
      <c r="M966" s="5"/>
      <c r="N966" s="5"/>
    </row>
    <row r="967">
      <c r="A967" s="2"/>
      <c r="B967" s="3"/>
      <c r="C967" s="3"/>
      <c r="D967" s="3"/>
      <c r="E967" s="4"/>
      <c r="F967" s="3"/>
      <c r="G967" s="5"/>
      <c r="H967" s="3"/>
      <c r="I967" s="5"/>
      <c r="J967" s="3"/>
      <c r="K967" s="5"/>
      <c r="L967" s="3"/>
      <c r="M967" s="5"/>
      <c r="N967" s="5"/>
    </row>
    <row r="968">
      <c r="A968" s="2"/>
      <c r="B968" s="3"/>
      <c r="C968" s="3"/>
      <c r="D968" s="3"/>
      <c r="E968" s="4"/>
      <c r="F968" s="3"/>
      <c r="G968" s="5"/>
      <c r="H968" s="3"/>
      <c r="I968" s="5"/>
      <c r="J968" s="3"/>
      <c r="K968" s="5"/>
      <c r="L968" s="3"/>
      <c r="M968" s="5"/>
      <c r="N968" s="5"/>
    </row>
    <row r="969">
      <c r="A969" s="2"/>
      <c r="B969" s="3"/>
      <c r="C969" s="3"/>
      <c r="D969" s="3"/>
      <c r="E969" s="4"/>
      <c r="F969" s="3"/>
      <c r="G969" s="5"/>
      <c r="H969" s="3"/>
      <c r="I969" s="5"/>
      <c r="J969" s="3"/>
      <c r="K969" s="5"/>
      <c r="L969" s="3"/>
      <c r="M969" s="5"/>
      <c r="N969" s="5"/>
    </row>
    <row r="970">
      <c r="A970" s="2"/>
      <c r="B970" s="3"/>
      <c r="C970" s="3"/>
      <c r="D970" s="3"/>
      <c r="E970" s="4"/>
      <c r="F970" s="3"/>
      <c r="G970" s="5"/>
      <c r="H970" s="3"/>
      <c r="I970" s="5"/>
      <c r="J970" s="3"/>
      <c r="K970" s="5"/>
      <c r="L970" s="3"/>
      <c r="M970" s="5"/>
      <c r="N970" s="5"/>
    </row>
    <row r="971">
      <c r="A971" s="2"/>
      <c r="B971" s="3"/>
      <c r="C971" s="3"/>
      <c r="D971" s="3"/>
      <c r="E971" s="4"/>
      <c r="F971" s="3"/>
      <c r="G971" s="5"/>
      <c r="H971" s="3"/>
      <c r="I971" s="5"/>
      <c r="J971" s="3"/>
      <c r="K971" s="5"/>
      <c r="L971" s="3"/>
      <c r="M971" s="5"/>
      <c r="N971" s="5"/>
    </row>
    <row r="972">
      <c r="A972" s="2"/>
      <c r="B972" s="3"/>
      <c r="C972" s="3"/>
      <c r="D972" s="3"/>
      <c r="E972" s="4"/>
      <c r="F972" s="3"/>
      <c r="G972" s="5"/>
      <c r="H972" s="3"/>
      <c r="I972" s="5"/>
      <c r="J972" s="3"/>
      <c r="K972" s="5"/>
      <c r="L972" s="3"/>
      <c r="M972" s="5"/>
      <c r="N972" s="5"/>
    </row>
    <row r="973">
      <c r="A973" s="2"/>
      <c r="B973" s="3"/>
      <c r="C973" s="3"/>
      <c r="D973" s="3"/>
      <c r="E973" s="4"/>
      <c r="F973" s="3"/>
      <c r="G973" s="5"/>
      <c r="H973" s="3"/>
      <c r="I973" s="5"/>
      <c r="J973" s="3"/>
      <c r="K973" s="5"/>
      <c r="L973" s="3"/>
      <c r="M973" s="5"/>
      <c r="N973" s="5"/>
    </row>
    <row r="974">
      <c r="A974" s="2"/>
      <c r="B974" s="3"/>
      <c r="C974" s="3"/>
      <c r="D974" s="3"/>
      <c r="E974" s="4"/>
      <c r="F974" s="3"/>
      <c r="G974" s="5"/>
      <c r="H974" s="3"/>
      <c r="I974" s="5"/>
      <c r="J974" s="3"/>
      <c r="K974" s="5"/>
      <c r="L974" s="3"/>
      <c r="M974" s="5"/>
      <c r="N974" s="5"/>
    </row>
    <row r="975">
      <c r="A975" s="2"/>
      <c r="B975" s="3"/>
      <c r="C975" s="3"/>
      <c r="D975" s="3"/>
      <c r="E975" s="4"/>
      <c r="F975" s="3"/>
      <c r="G975" s="5"/>
      <c r="H975" s="3"/>
      <c r="I975" s="5"/>
      <c r="J975" s="3"/>
      <c r="K975" s="5"/>
      <c r="L975" s="3"/>
      <c r="M975" s="5"/>
      <c r="N975" s="5"/>
    </row>
    <row r="976">
      <c r="A976" s="2"/>
      <c r="B976" s="3"/>
      <c r="C976" s="3"/>
      <c r="D976" s="3"/>
      <c r="E976" s="4"/>
      <c r="F976" s="3"/>
      <c r="G976" s="5"/>
      <c r="H976" s="3"/>
      <c r="I976" s="5"/>
      <c r="J976" s="3"/>
      <c r="K976" s="5"/>
      <c r="L976" s="3"/>
      <c r="M976" s="5"/>
      <c r="N976" s="5"/>
    </row>
    <row r="977">
      <c r="A977" s="2"/>
      <c r="B977" s="3"/>
      <c r="C977" s="3"/>
      <c r="D977" s="3"/>
      <c r="E977" s="4"/>
      <c r="F977" s="3"/>
      <c r="G977" s="5"/>
      <c r="H977" s="3"/>
      <c r="I977" s="5"/>
      <c r="J977" s="3"/>
      <c r="K977" s="5"/>
      <c r="L977" s="3"/>
      <c r="M977" s="5"/>
      <c r="N977" s="5"/>
    </row>
    <row r="978">
      <c r="A978" s="2"/>
      <c r="B978" s="3"/>
      <c r="C978" s="3"/>
      <c r="D978" s="3"/>
      <c r="E978" s="4"/>
      <c r="F978" s="3"/>
      <c r="G978" s="5"/>
      <c r="H978" s="3"/>
      <c r="I978" s="5"/>
      <c r="J978" s="3"/>
      <c r="K978" s="5"/>
      <c r="L978" s="3"/>
      <c r="M978" s="5"/>
      <c r="N978" s="5"/>
    </row>
    <row r="979">
      <c r="A979" s="2"/>
      <c r="B979" s="3"/>
      <c r="C979" s="3"/>
      <c r="D979" s="3"/>
      <c r="E979" s="4"/>
      <c r="F979" s="3"/>
      <c r="G979" s="5"/>
      <c r="H979" s="3"/>
      <c r="I979" s="5"/>
      <c r="J979" s="3"/>
      <c r="K979" s="5"/>
      <c r="L979" s="3"/>
      <c r="M979" s="5"/>
      <c r="N979" s="5"/>
    </row>
    <row r="980">
      <c r="A980" s="2"/>
      <c r="B980" s="3"/>
      <c r="C980" s="3"/>
      <c r="D980" s="3"/>
      <c r="E980" s="4"/>
      <c r="F980" s="3"/>
      <c r="G980" s="5"/>
      <c r="H980" s="3"/>
      <c r="I980" s="5"/>
      <c r="J980" s="3"/>
      <c r="K980" s="5"/>
      <c r="L980" s="3"/>
      <c r="M980" s="5"/>
      <c r="N980" s="5"/>
    </row>
    <row r="981">
      <c r="A981" s="2"/>
      <c r="B981" s="3"/>
      <c r="C981" s="3"/>
      <c r="D981" s="3"/>
      <c r="E981" s="4"/>
      <c r="F981" s="3"/>
      <c r="G981" s="5"/>
      <c r="H981" s="3"/>
      <c r="I981" s="5"/>
      <c r="J981" s="3"/>
      <c r="K981" s="5"/>
      <c r="L981" s="3"/>
      <c r="M981" s="5"/>
      <c r="N981" s="5"/>
    </row>
    <row r="982">
      <c r="A982" s="2"/>
      <c r="B982" s="3"/>
      <c r="C982" s="3"/>
      <c r="D982" s="3"/>
      <c r="E982" s="4"/>
      <c r="F982" s="3"/>
      <c r="G982" s="5"/>
      <c r="H982" s="3"/>
      <c r="I982" s="5"/>
      <c r="J982" s="3"/>
      <c r="K982" s="5"/>
      <c r="L982" s="3"/>
      <c r="M982" s="5"/>
      <c r="N982" s="5"/>
    </row>
    <row r="983">
      <c r="A983" s="2"/>
      <c r="B983" s="3"/>
      <c r="C983" s="3"/>
      <c r="D983" s="3"/>
      <c r="E983" s="4"/>
      <c r="F983" s="3"/>
      <c r="G983" s="5"/>
      <c r="H983" s="3"/>
      <c r="I983" s="5"/>
      <c r="J983" s="3"/>
      <c r="K983" s="5"/>
      <c r="L983" s="3"/>
      <c r="M983" s="5"/>
      <c r="N983" s="5"/>
    </row>
    <row r="984">
      <c r="A984" s="2"/>
      <c r="B984" s="3"/>
      <c r="C984" s="3"/>
      <c r="D984" s="3"/>
      <c r="E984" s="4"/>
      <c r="F984" s="3"/>
      <c r="G984" s="5"/>
      <c r="H984" s="3"/>
      <c r="I984" s="5"/>
      <c r="J984" s="3"/>
      <c r="K984" s="5"/>
      <c r="L984" s="3"/>
      <c r="M984" s="5"/>
      <c r="N984" s="5"/>
    </row>
    <row r="985">
      <c r="A985" s="2"/>
      <c r="B985" s="3"/>
      <c r="C985" s="3"/>
      <c r="D985" s="3"/>
      <c r="E985" s="4"/>
      <c r="F985" s="3"/>
      <c r="G985" s="5"/>
      <c r="H985" s="3"/>
      <c r="I985" s="5"/>
      <c r="J985" s="3"/>
      <c r="K985" s="5"/>
      <c r="L985" s="3"/>
      <c r="M985" s="5"/>
      <c r="N985" s="5"/>
    </row>
    <row r="986">
      <c r="A986" s="2"/>
      <c r="B986" s="3"/>
      <c r="C986" s="3"/>
      <c r="D986" s="3"/>
      <c r="E986" s="4"/>
      <c r="F986" s="3"/>
      <c r="G986" s="5"/>
      <c r="H986" s="3"/>
      <c r="I986" s="5"/>
      <c r="J986" s="3"/>
      <c r="K986" s="5"/>
      <c r="L986" s="3"/>
      <c r="M986" s="5"/>
      <c r="N986" s="5"/>
    </row>
    <row r="987">
      <c r="A987" s="2"/>
      <c r="B987" s="3"/>
      <c r="C987" s="3"/>
      <c r="D987" s="3"/>
      <c r="E987" s="4"/>
      <c r="F987" s="3"/>
      <c r="G987" s="5"/>
      <c r="H987" s="3"/>
      <c r="I987" s="5"/>
      <c r="J987" s="3"/>
      <c r="K987" s="5"/>
      <c r="L987" s="3"/>
      <c r="M987" s="5"/>
      <c r="N987" s="5"/>
    </row>
    <row r="988">
      <c r="A988" s="2"/>
      <c r="B988" s="3"/>
      <c r="C988" s="3"/>
      <c r="D988" s="3"/>
      <c r="E988" s="4"/>
      <c r="F988" s="3"/>
      <c r="G988" s="5"/>
      <c r="H988" s="3"/>
      <c r="I988" s="5"/>
      <c r="J988" s="3"/>
      <c r="K988" s="5"/>
      <c r="L988" s="3"/>
      <c r="M988" s="5"/>
      <c r="N988" s="5"/>
    </row>
    <row r="989">
      <c r="A989" s="2"/>
      <c r="B989" s="3"/>
      <c r="C989" s="3"/>
      <c r="D989" s="3"/>
      <c r="E989" s="4"/>
      <c r="F989" s="3"/>
      <c r="G989" s="5"/>
      <c r="H989" s="3"/>
      <c r="I989" s="5"/>
      <c r="J989" s="3"/>
      <c r="K989" s="5"/>
      <c r="L989" s="3"/>
      <c r="M989" s="5"/>
      <c r="N989" s="5"/>
    </row>
    <row r="990">
      <c r="A990" s="2"/>
      <c r="B990" s="3"/>
      <c r="C990" s="3"/>
      <c r="D990" s="3"/>
      <c r="E990" s="4"/>
      <c r="F990" s="3"/>
      <c r="G990" s="5"/>
      <c r="H990" s="3"/>
      <c r="I990" s="5"/>
      <c r="J990" s="3"/>
      <c r="K990" s="5"/>
      <c r="L990" s="3"/>
      <c r="M990" s="5"/>
      <c r="N990" s="5"/>
    </row>
    <row r="991">
      <c r="A991" s="2"/>
      <c r="B991" s="3"/>
      <c r="C991" s="3"/>
      <c r="D991" s="3"/>
      <c r="E991" s="4"/>
      <c r="F991" s="3"/>
      <c r="G991" s="5"/>
      <c r="H991" s="3"/>
      <c r="I991" s="5"/>
      <c r="J991" s="3"/>
      <c r="K991" s="5"/>
      <c r="L991" s="3"/>
      <c r="M991" s="5"/>
      <c r="N991" s="5"/>
    </row>
    <row r="992">
      <c r="A992" s="2"/>
      <c r="B992" s="3"/>
      <c r="C992" s="3"/>
      <c r="D992" s="3"/>
      <c r="E992" s="4"/>
      <c r="F992" s="3"/>
      <c r="G992" s="5"/>
      <c r="H992" s="3"/>
      <c r="I992" s="5"/>
      <c r="J992" s="3"/>
      <c r="K992" s="5"/>
      <c r="L992" s="3"/>
      <c r="M992" s="5"/>
      <c r="N992" s="5"/>
    </row>
    <row r="993">
      <c r="A993" s="2"/>
      <c r="B993" s="3"/>
      <c r="C993" s="3"/>
      <c r="D993" s="3"/>
      <c r="E993" s="4"/>
      <c r="F993" s="3"/>
      <c r="G993" s="5"/>
      <c r="H993" s="3"/>
      <c r="I993" s="5"/>
      <c r="J993" s="3"/>
      <c r="K993" s="5"/>
      <c r="L993" s="3"/>
      <c r="M993" s="5"/>
      <c r="N993" s="5"/>
    </row>
    <row r="994">
      <c r="A994" s="2"/>
      <c r="B994" s="3"/>
      <c r="C994" s="3"/>
      <c r="D994" s="3"/>
      <c r="E994" s="4"/>
      <c r="F994" s="3"/>
      <c r="G994" s="5"/>
      <c r="H994" s="3"/>
      <c r="I994" s="5"/>
      <c r="J994" s="3"/>
      <c r="K994" s="5"/>
      <c r="L994" s="3"/>
      <c r="M994" s="5"/>
      <c r="N994" s="5"/>
    </row>
    <row r="995">
      <c r="A995" s="2"/>
      <c r="B995" s="3"/>
      <c r="C995" s="3"/>
      <c r="D995" s="3"/>
      <c r="E995" s="4"/>
      <c r="F995" s="3"/>
      <c r="G995" s="5"/>
      <c r="H995" s="3"/>
      <c r="I995" s="5"/>
      <c r="J995" s="3"/>
      <c r="K995" s="5"/>
      <c r="L995" s="3"/>
      <c r="M995" s="5"/>
      <c r="N995" s="5"/>
    </row>
    <row r="996">
      <c r="A996" s="2"/>
      <c r="B996" s="3"/>
      <c r="C996" s="3"/>
      <c r="D996" s="3"/>
      <c r="E996" s="4"/>
      <c r="F996" s="3"/>
      <c r="G996" s="5"/>
      <c r="H996" s="3"/>
      <c r="I996" s="5"/>
      <c r="J996" s="3"/>
      <c r="K996" s="5"/>
      <c r="L996" s="3"/>
      <c r="M996" s="5"/>
      <c r="N996" s="5"/>
    </row>
    <row r="997">
      <c r="A997" s="2"/>
      <c r="B997" s="3"/>
      <c r="C997" s="3"/>
      <c r="D997" s="3"/>
      <c r="E997" s="4"/>
      <c r="F997" s="3"/>
      <c r="G997" s="5"/>
      <c r="H997" s="3"/>
      <c r="I997" s="5"/>
      <c r="J997" s="3"/>
      <c r="K997" s="5"/>
      <c r="L997" s="3"/>
      <c r="M997" s="5"/>
      <c r="N997" s="5"/>
    </row>
    <row r="998">
      <c r="A998" s="2"/>
      <c r="B998" s="3"/>
      <c r="C998" s="3"/>
      <c r="D998" s="3"/>
      <c r="E998" s="4"/>
      <c r="F998" s="3"/>
      <c r="G998" s="5"/>
      <c r="H998" s="3"/>
      <c r="I998" s="5"/>
      <c r="J998" s="3"/>
      <c r="K998" s="5"/>
      <c r="L998" s="3"/>
      <c r="M998" s="5"/>
      <c r="N998" s="5"/>
    </row>
    <row r="999">
      <c r="A999" s="2"/>
      <c r="B999" s="3"/>
      <c r="C999" s="3"/>
      <c r="D999" s="3"/>
      <c r="E999" s="4"/>
      <c r="F999" s="3"/>
      <c r="G999" s="5"/>
      <c r="H999" s="3"/>
      <c r="I999" s="5"/>
      <c r="J999" s="3"/>
      <c r="K999" s="5"/>
      <c r="L999" s="3"/>
      <c r="M999" s="5"/>
      <c r="N999" s="5"/>
    </row>
    <row r="1000">
      <c r="A1000" s="2"/>
      <c r="B1000" s="3"/>
      <c r="C1000" s="3"/>
      <c r="D1000" s="3"/>
      <c r="E1000" s="4"/>
      <c r="F1000" s="3"/>
      <c r="G1000" s="5"/>
      <c r="H1000" s="3"/>
      <c r="I1000" s="5"/>
      <c r="J1000" s="3"/>
      <c r="K1000" s="5"/>
      <c r="L1000" s="3"/>
      <c r="M1000" s="5"/>
      <c r="N1000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8" max="8" width="24.88"/>
  </cols>
  <sheetData>
    <row r="1">
      <c r="A1" s="6" t="s">
        <v>17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18</v>
      </c>
      <c r="G1" s="6" t="s">
        <v>19</v>
      </c>
      <c r="I1" s="7"/>
      <c r="J1" s="7"/>
      <c r="K1" s="7"/>
      <c r="L1" s="7"/>
      <c r="M1" s="7"/>
      <c r="N1" s="7"/>
    </row>
    <row r="2">
      <c r="A2" s="8" t="str">
        <f>IFERROR(__xludf.DUMMYFUNCTION("SORT(
  UNIQUE(
    FILTER(
      Raw!J2:J1000,
      Raw!J2:J1000&lt;&gt;"""",
      Raw!F2:F1000=""2v2""
    )
  )
)
"),"Aferdita + Kesny")</f>
        <v>Aferdita + Kesny</v>
      </c>
      <c r="B2" s="3">
        <f>IFERROR(__xludf.DUMMYFUNCTION("IF(A2="""","""", 
  IFERROR(
    ROWS(
      UNIQUE(
        FILTER(
          Raw!A:A,
          Raw!J:J = A2,
          Raw!F:F = ""2v2""
        )
      )
    ),
    0
  )
)"),2.0)</f>
        <v>2</v>
      </c>
      <c r="C2" s="9">
        <f>IFERROR(__xludf.DUMMYFUNCTION("IF(A2="""","""", 
  IFERROR(
    ROWS(
      UNIQUE(
        FILTER(
          Raw!A:A,
          Raw!J:J = A2,
          Raw!I:I = ""win"",
          Raw!F:F = ""2v2""
        )
      )
    ),
    0
  )
)"),0.0)</f>
        <v>0</v>
      </c>
      <c r="D2" s="9">
        <f>IFERROR(__xludf.DUMMYFUNCTION("IF(A2="""","""", 
  IFERROR(
    ROWS(
      UNIQUE(
        FILTER(
          Raw!A:A,
          Raw!J:J = A2,
          Raw!I:I = ""loss"",
          Raw!F:F = ""2v2""
        )
      )
    ),
    0
  )
)"),2.0)</f>
        <v>2</v>
      </c>
      <c r="E2" s="4">
        <f t="array" ref="E2:E1000">IF(A2:A1000="",
   ,
   IF(B2:B1000=0, , C2:C1000 / B2:B1000)
)
</f>
        <v>0</v>
      </c>
      <c r="F2" s="5">
        <f>IFERROR(__xludf.DUMMYFUNCTION("IF(A2="""","""", 
  IFERROR(
    AVERAGE(
      UNIQUE(
        FILTER(
          Raw!N:N,
          Raw!J:J = A2,
          Raw!F:F = ""2v2""
        )
      )
    ),
    0
  )
)"),8.0)</f>
        <v>8</v>
      </c>
      <c r="G2" s="5">
        <f>IFERROR(__xludf.DUMMYFUNCTION("IF(A2="""","""", 
  IFERROR(
    AVERAGE(
      UNIQUE(
        FILTER(
          Raw!R:R,
          Raw!J:J = A2,
          Raw!F:F = ""2v2""
        )
      )
    ),
    0
  )
)"),247.5)</f>
        <v>247.5</v>
      </c>
      <c r="I2" s="5"/>
      <c r="K2" s="5"/>
      <c r="M2" s="5"/>
      <c r="N2" s="5"/>
    </row>
    <row r="3">
      <c r="A3" s="8" t="str">
        <f>IFERROR(__xludf.DUMMYFUNCTION("""COMPUTED_VALUE"""),"Aferdita + Malena")</f>
        <v>Aferdita + Malena</v>
      </c>
      <c r="B3" s="3">
        <f>IFERROR(__xludf.DUMMYFUNCTION("IF(A3="""","""", 
  IFERROR(
    ROWS(
      UNIQUE(
        FILTER(
          Raw!A:A,
          Raw!J:J = A3,
          Raw!F:F = ""2v2""
        )
      )
    ),
    0
  )
)"),4.0)</f>
        <v>4</v>
      </c>
      <c r="C3" s="9">
        <f>IFERROR(__xludf.DUMMYFUNCTION("IF(A3="""","""", 
  IFERROR(
    ROWS(
      UNIQUE(
        FILTER(
          Raw!A:A,
          Raw!J:J = A3,
          Raw!I:I = ""win"",
          Raw!F:F = ""2v2""
        )
      )
    ),
    0
  )
)"),2.0)</f>
        <v>2</v>
      </c>
      <c r="D3" s="9">
        <f>IFERROR(__xludf.DUMMYFUNCTION("IF(A3="""","""", 
  IFERROR(
    ROWS(
      UNIQUE(
        FILTER(
          Raw!A:A,
          Raw!J:J = A3,
          Raw!I:I = ""loss"",
          Raw!F:F = ""2v2""
        )
      )
    ),
    0
  )
)"),2.0)</f>
        <v>2</v>
      </c>
      <c r="E3" s="4">
        <v>0.5</v>
      </c>
      <c r="F3" s="5">
        <f>IFERROR(__xludf.DUMMYFUNCTION("IF(A3="""","""", 
  IFERROR(
    AVERAGE(
      UNIQUE(
        FILTER(
          Raw!N:N,
          Raw!J:J = A3,
          Raw!F:F = ""2v2""
        )
      )
    ),
    0
  )
)"),8.333333333333334)</f>
        <v>8.333333333</v>
      </c>
      <c r="G3" s="5">
        <f>IFERROR(__xludf.DUMMYFUNCTION("IF(A3="""","""", 
  IFERROR(
    AVERAGE(
      UNIQUE(
        FILTER(
          Raw!R:R,
          Raw!J:J = A3,
          Raw!F:F = ""2v2""
        )
      )
    ),
    0
  )
)"),274.3333333333333)</f>
        <v>274.3333333</v>
      </c>
      <c r="I3" s="5"/>
      <c r="K3" s="5"/>
      <c r="M3" s="5"/>
      <c r="N3" s="5"/>
    </row>
    <row r="4">
      <c r="A4" s="8" t="str">
        <f>IFERROR(__xludf.DUMMYFUNCTION("""COMPUTED_VALUE"""),"Aferdita + Nebus.")</f>
        <v>Aferdita + Nebus.</v>
      </c>
      <c r="B4" s="3">
        <f>IFERROR(__xludf.DUMMYFUNCTION("IF(A4="""","""", 
  IFERROR(
    ROWS(
      UNIQUE(
        FILTER(
          Raw!A:A,
          Raw!J:J = A4,
          Raw!F:F = ""2v2""
        )
      )
    ),
    0
  )
)"),1.0)</f>
        <v>1</v>
      </c>
      <c r="C4" s="9">
        <f>IFERROR(__xludf.DUMMYFUNCTION("IF(A4="""","""", 
  IFERROR(
    ROWS(
      UNIQUE(
        FILTER(
          Raw!A:A,
          Raw!J:J = A4,
          Raw!I:I = ""win"",
          Raw!F:F = ""2v2""
        )
      )
    ),
    0
  )
)"),1.0)</f>
        <v>1</v>
      </c>
      <c r="D4" s="9">
        <f>IFERROR(__xludf.DUMMYFUNCTION("IF(A4="""","""", 
  IFERROR(
    ROWS(
      UNIQUE(
        FILTER(
          Raw!A:A,
          Raw!J:J = A4,
          Raw!I:I = ""loss"",
          Raw!F:F = ""2v2""
        )
      )
    ),
    0
  )
)"),0.0)</f>
        <v>0</v>
      </c>
      <c r="E4" s="4">
        <v>1.0</v>
      </c>
      <c r="F4" s="5">
        <f>IFERROR(__xludf.DUMMYFUNCTION("IF(A4="""","""", 
  IFERROR(
    AVERAGE(
      UNIQUE(
        FILTER(
          Raw!N:N,
          Raw!J:J = A4,
          Raw!F:F = ""2v2""
        )
      )
    ),
    0
  )
)"),10.0)</f>
        <v>10</v>
      </c>
      <c r="G4" s="5">
        <f>IFERROR(__xludf.DUMMYFUNCTION("IF(A4="""","""", 
  IFERROR(
    AVERAGE(
      UNIQUE(
        FILTER(
          Raw!R:R,
          Raw!J:J = A4,
          Raw!F:F = ""2v2""
        )
      )
    ),
    0
  )
)"),261.0)</f>
        <v>261</v>
      </c>
      <c r="I4" s="5"/>
      <c r="K4" s="5"/>
      <c r="M4" s="5"/>
      <c r="N4" s="5"/>
    </row>
    <row r="5">
      <c r="A5" s="8" t="str">
        <f>IFERROR(__xludf.DUMMYFUNCTION("""COMPUTED_VALUE"""),"Aferdita + ZeroO")</f>
        <v>Aferdita + ZeroO</v>
      </c>
      <c r="B5" s="3">
        <f>IFERROR(__xludf.DUMMYFUNCTION("IF(A5="""","""", 
  IFERROR(
    ROWS(
      UNIQUE(
        FILTER(
          Raw!A:A,
          Raw!J:J = A5,
          Raw!F:F = ""2v2""
        )
      )
    ),
    0
  )
)"),1.0)</f>
        <v>1</v>
      </c>
      <c r="C5" s="9">
        <f>IFERROR(__xludf.DUMMYFUNCTION("IF(A5="""","""", 
  IFERROR(
    ROWS(
      UNIQUE(
        FILTER(
          Raw!A:A,
          Raw!J:J = A5,
          Raw!I:I = ""win"",
          Raw!F:F = ""2v2""
        )
      )
    ),
    0
  )
)"),0.0)</f>
        <v>0</v>
      </c>
      <c r="D5" s="9">
        <f>IFERROR(__xludf.DUMMYFUNCTION("IF(A5="""","""", 
  IFERROR(
    ROWS(
      UNIQUE(
        FILTER(
          Raw!A:A,
          Raw!J:J = A5,
          Raw!I:I = ""loss"",
          Raw!F:F = ""2v2""
        )
      )
    ),
    0
  )
)"),1.0)</f>
        <v>1</v>
      </c>
      <c r="E5" s="4">
        <v>0.0</v>
      </c>
      <c r="F5" s="5">
        <f>IFERROR(__xludf.DUMMYFUNCTION("IF(A5="""","""", 
  IFERROR(
    AVERAGE(
      UNIQUE(
        FILTER(
          Raw!N:N,
          Raw!J:J = A5,
          Raw!F:F = ""2v2""
        )
      )
    ),
    0
  )
)"),9.0)</f>
        <v>9</v>
      </c>
      <c r="G5" s="5">
        <f>IFERROR(__xludf.DUMMYFUNCTION("IF(A5="""","""", 
  IFERROR(
    AVERAGE(
      UNIQUE(
        FILTER(
          Raw!R:R,
          Raw!J:J = A5,
          Raw!F:F = ""2v2""
        )
      )
    ),
    0
  )
)"),257.0)</f>
        <v>257</v>
      </c>
      <c r="I5" s="5"/>
      <c r="K5" s="5"/>
      <c r="M5" s="5"/>
      <c r="N5" s="5"/>
    </row>
    <row r="6">
      <c r="A6" s="8" t="str">
        <f>IFERROR(__xludf.DUMMYFUNCTION("""COMPUTED_VALUE"""),"Kesny + Malena")</f>
        <v>Kesny + Malena</v>
      </c>
      <c r="B6" s="3">
        <f>IFERROR(__xludf.DUMMYFUNCTION("IF(A6="""","""", 
  IFERROR(
    ROWS(
      UNIQUE(
        FILTER(
          Raw!A:A,
          Raw!J:J = A6,
          Raw!F:F = ""2v2""
        )
      )
    ),
    0
  )
)"),13.0)</f>
        <v>13</v>
      </c>
      <c r="C6" s="9">
        <f>IFERROR(__xludf.DUMMYFUNCTION("IF(A6="""","""", 
  IFERROR(
    ROWS(
      UNIQUE(
        FILTER(
          Raw!A:A,
          Raw!J:J = A6,
          Raw!I:I = ""win"",
          Raw!F:F = ""2v2""
        )
      )
    ),
    0
  )
)"),5.0)</f>
        <v>5</v>
      </c>
      <c r="D6" s="9">
        <f>IFERROR(__xludf.DUMMYFUNCTION("IF(A6="""","""", 
  IFERROR(
    ROWS(
      UNIQUE(
        FILTER(
          Raw!A:A,
          Raw!J:J = A6,
          Raw!I:I = ""loss"",
          Raw!F:F = ""2v2""
        )
      )
    ),
    0
  )
)"),8.0)</f>
        <v>8</v>
      </c>
      <c r="E6" s="4">
        <v>0.38461538461538464</v>
      </c>
      <c r="F6" s="5">
        <f>IFERROR(__xludf.DUMMYFUNCTION("IF(A6="""","""", 
  IFERROR(
    AVERAGE(
      UNIQUE(
        FILTER(
          Raw!N:N,
          Raw!J:J = A6,
          Raw!F:F = ""2v2""
        )
      )
    ),
    0
  )
)"),8.25)</f>
        <v>8.25</v>
      </c>
      <c r="G6" s="5">
        <f>IFERROR(__xludf.DUMMYFUNCTION("IF(A6="""","""", 
  IFERROR(
    AVERAGE(
      UNIQUE(
        FILTER(
          Raw!R:R,
          Raw!J:J = A6,
          Raw!F:F = ""2v2""
        )
      )
    ),
    0
  )
)"),289.53846153846155)</f>
        <v>289.5384615</v>
      </c>
      <c r="I6" s="5"/>
      <c r="K6" s="5"/>
      <c r="M6" s="5"/>
      <c r="N6" s="5"/>
    </row>
    <row r="7">
      <c r="A7" s="8" t="str">
        <f>IFERROR(__xludf.DUMMYFUNCTION("""COMPUTED_VALUE"""),"Kesny + Nebus.")</f>
        <v>Kesny + Nebus.</v>
      </c>
      <c r="B7" s="3">
        <f>IFERROR(__xludf.DUMMYFUNCTION("IF(A7="""","""", 
  IFERROR(
    ROWS(
      UNIQUE(
        FILTER(
          Raw!A:A,
          Raw!J:J = A7,
          Raw!F:F = ""2v2""
        )
      )
    ),
    0
  )
)"),10.0)</f>
        <v>10</v>
      </c>
      <c r="C7" s="9">
        <f>IFERROR(__xludf.DUMMYFUNCTION("IF(A7="""","""", 
  IFERROR(
    ROWS(
      UNIQUE(
        FILTER(
          Raw!A:A,
          Raw!J:J = A7,
          Raw!I:I = ""win"",
          Raw!F:F = ""2v2""
        )
      )
    ),
    0
  )
)"),4.0)</f>
        <v>4</v>
      </c>
      <c r="D7" s="9">
        <f>IFERROR(__xludf.DUMMYFUNCTION("IF(A7="""","""", 
  IFERROR(
    ROWS(
      UNIQUE(
        FILTER(
          Raw!A:A,
          Raw!J:J = A7,
          Raw!I:I = ""loss"",
          Raw!F:F = ""2v2""
        )
      )
    ),
    0
  )
)"),6.0)</f>
        <v>6</v>
      </c>
      <c r="E7" s="4">
        <v>0.4</v>
      </c>
      <c r="F7" s="5">
        <f>IFERROR(__xludf.DUMMYFUNCTION("IF(A7="""","""", 
  IFERROR(
    AVERAGE(
      UNIQUE(
        FILTER(
          Raw!N:N,
          Raw!J:J = A7,
          Raw!F:F = ""2v2""
        )
      )
    ),
    0
  )
)"),8.5)</f>
        <v>8.5</v>
      </c>
      <c r="G7" s="5">
        <f>IFERROR(__xludf.DUMMYFUNCTION("IF(A7="""","""", 
  IFERROR(
    AVERAGE(
      UNIQUE(
        FILTER(
          Raw!R:R,
          Raw!J:J = A7,
          Raw!F:F = ""2v2""
        )
      )
    ),
    0
  )
)"),295.4)</f>
        <v>295.4</v>
      </c>
      <c r="I7" s="5"/>
      <c r="K7" s="5"/>
      <c r="M7" s="5"/>
      <c r="N7" s="5"/>
    </row>
    <row r="8">
      <c r="A8" s="8" t="str">
        <f>IFERROR(__xludf.DUMMYFUNCTION("""COMPUTED_VALUE"""),"Kesny + Tess1509")</f>
        <v>Kesny + Tess1509</v>
      </c>
      <c r="B8" s="3">
        <f>IFERROR(__xludf.DUMMYFUNCTION("IF(A8="""","""", 
  IFERROR(
    ROWS(
      UNIQUE(
        FILTER(
          Raw!A:A,
          Raw!J:J = A8,
          Raw!F:F = ""2v2""
        )
      )
    ),
    0
  )
)"),1.0)</f>
        <v>1</v>
      </c>
      <c r="C8" s="9">
        <f>IFERROR(__xludf.DUMMYFUNCTION("IF(A8="""","""", 
  IFERROR(
    ROWS(
      UNIQUE(
        FILTER(
          Raw!A:A,
          Raw!J:J = A8,
          Raw!I:I = ""win"",
          Raw!F:F = ""2v2""
        )
      )
    ),
    0
  )
)"),0.0)</f>
        <v>0</v>
      </c>
      <c r="D8" s="9">
        <f>IFERROR(__xludf.DUMMYFUNCTION("IF(A8="""","""", 
  IFERROR(
    ROWS(
      UNIQUE(
        FILTER(
          Raw!A:A,
          Raw!J:J = A8,
          Raw!I:I = ""loss"",
          Raw!F:F = ""2v2""
        )
      )
    ),
    0
  )
)"),1.0)</f>
        <v>1</v>
      </c>
      <c r="E8" s="4">
        <v>0.0</v>
      </c>
      <c r="F8" s="5">
        <f>IFERROR(__xludf.DUMMYFUNCTION("IF(A8="""","""", 
  IFERROR(
    AVERAGE(
      UNIQUE(
        FILTER(
          Raw!N:N,
          Raw!J:J = A8,
          Raw!F:F = ""2v2""
        )
      )
    ),
    0
  )
)"),8.0)</f>
        <v>8</v>
      </c>
      <c r="G8" s="5">
        <f>IFERROR(__xludf.DUMMYFUNCTION("IF(A8="""","""", 
  IFERROR(
    AVERAGE(
      UNIQUE(
        FILTER(
          Raw!R:R,
          Raw!J:J = A8,
          Raw!F:F = ""2v2""
        )
      )
    ),
    0
  )
)"),240.0)</f>
        <v>240</v>
      </c>
      <c r="I8" s="5"/>
      <c r="K8" s="5"/>
      <c r="M8" s="5"/>
      <c r="N8" s="5"/>
    </row>
    <row r="9">
      <c r="A9" s="8" t="str">
        <f>IFERROR(__xludf.DUMMYFUNCTION("""COMPUTED_VALUE"""),"Kesny + ZeroO")</f>
        <v>Kesny + ZeroO</v>
      </c>
      <c r="B9" s="3">
        <f>IFERROR(__xludf.DUMMYFUNCTION("IF(A9="""","""", 
  IFERROR(
    ROWS(
      UNIQUE(
        FILTER(
          Raw!A:A,
          Raw!J:J = A9,
          Raw!F:F = ""2v2""
        )
      )
    ),
    0
  )
)"),9.0)</f>
        <v>9</v>
      </c>
      <c r="C9" s="9">
        <f>IFERROR(__xludf.DUMMYFUNCTION("IF(A9="""","""", 
  IFERROR(
    ROWS(
      UNIQUE(
        FILTER(
          Raw!A:A,
          Raw!J:J = A9,
          Raw!I:I = ""win"",
          Raw!F:F = ""2v2""
        )
      )
    ),
    0
  )
)"),2.0)</f>
        <v>2</v>
      </c>
      <c r="D9" s="9">
        <f>IFERROR(__xludf.DUMMYFUNCTION("IF(A9="""","""", 
  IFERROR(
    ROWS(
      UNIQUE(
        FILTER(
          Raw!A:A,
          Raw!J:J = A9,
          Raw!I:I = ""loss"",
          Raw!F:F = ""2v2""
        )
      )
    ),
    0
  )
)"),7.0)</f>
        <v>7</v>
      </c>
      <c r="E9" s="4">
        <v>0.2222222222222222</v>
      </c>
      <c r="F9" s="5">
        <f>IFERROR(__xludf.DUMMYFUNCTION("IF(A9="""","""", 
  IFERROR(
    AVERAGE(
      UNIQUE(
        FILTER(
          Raw!N:N,
          Raw!J:J = A9,
          Raw!F:F = ""2v2""
        )
      )
    ),
    0
  )
)"),7.25)</f>
        <v>7.25</v>
      </c>
      <c r="G9" s="5">
        <f>IFERROR(__xludf.DUMMYFUNCTION("IF(A9="""","""", 
  IFERROR(
    AVERAGE(
      UNIQUE(
        FILTER(
          Raw!R:R,
          Raw!J:J = A9,
          Raw!F:F = ""2v2""
        )
      )
    ),
    0
  )
)"),244.44444444444446)</f>
        <v>244.4444444</v>
      </c>
      <c r="I9" s="5"/>
      <c r="K9" s="5"/>
      <c r="M9" s="5"/>
      <c r="N9" s="5"/>
    </row>
    <row r="10">
      <c r="A10" s="8" t="str">
        <f>IFERROR(__xludf.DUMMYFUNCTION("""COMPUTED_VALUE"""),"Malena + Nebus.")</f>
        <v>Malena + Nebus.</v>
      </c>
      <c r="B10" s="3">
        <f>IFERROR(__xludf.DUMMYFUNCTION("IF(A10="""","""", 
  IFERROR(
    ROWS(
      UNIQUE(
        FILTER(
          Raw!A:A,
          Raw!J:J = A10,
          Raw!F:F = ""2v2""
        )
      )
    ),
    0
  )
)"),17.0)</f>
        <v>17</v>
      </c>
      <c r="C10" s="9">
        <f>IFERROR(__xludf.DUMMYFUNCTION("IF(A10="""","""", 
  IFERROR(
    ROWS(
      UNIQUE(
        FILTER(
          Raw!A:A,
          Raw!J:J = A10,
          Raw!I:I = ""win"",
          Raw!F:F = ""2v2""
        )
      )
    ),
    0
  )
)"),14.0)</f>
        <v>14</v>
      </c>
      <c r="D10" s="9">
        <f>IFERROR(__xludf.DUMMYFUNCTION("IF(A10="""","""", 
  IFERROR(
    ROWS(
      UNIQUE(
        FILTER(
          Raw!A:A,
          Raw!J:J = A10,
          Raw!I:I = ""loss"",
          Raw!F:F = ""2v2""
        )
      )
    ),
    0
  )
)"),3.0)</f>
        <v>3</v>
      </c>
      <c r="E10" s="4">
        <v>0.8235294117647058</v>
      </c>
      <c r="F10" s="5">
        <f>IFERROR(__xludf.DUMMYFUNCTION("IF(A10="""","""", 
  IFERROR(
    AVERAGE(
      UNIQUE(
        FILTER(
          Raw!N:N,
          Raw!J:J = A10,
          Raw!F:F = ""2v2""
        )
      )
    ),
    0
  )
)"),8.0)</f>
        <v>8</v>
      </c>
      <c r="G10" s="5">
        <f>IFERROR(__xludf.DUMMYFUNCTION("IF(A10="""","""", 
  IFERROR(
    AVERAGE(
      UNIQUE(
        FILTER(
          Raw!R:R,
          Raw!J:J = A10,
          Raw!F:F = ""2v2""
        )
      )
    ),
    0
  )
)"),272.4375)</f>
        <v>272.4375</v>
      </c>
      <c r="I10" s="5"/>
      <c r="K10" s="5"/>
      <c r="M10" s="5"/>
      <c r="N10" s="5"/>
    </row>
    <row r="11">
      <c r="A11" s="8" t="str">
        <f>IFERROR(__xludf.DUMMYFUNCTION("""COMPUTED_VALUE"""),"Malena + Tess1509")</f>
        <v>Malena + Tess1509</v>
      </c>
      <c r="B11" s="3">
        <f>IFERROR(__xludf.DUMMYFUNCTION("IF(A11="""","""", 
  IFERROR(
    ROWS(
      UNIQUE(
        FILTER(
          Raw!A:A,
          Raw!J:J = A11,
          Raw!F:F = ""2v2""
        )
      )
    ),
    0
  )
)"),18.0)</f>
        <v>18</v>
      </c>
      <c r="C11" s="9">
        <f>IFERROR(__xludf.DUMMYFUNCTION("IF(A11="""","""", 
  IFERROR(
    ROWS(
      UNIQUE(
        FILTER(
          Raw!A:A,
          Raw!J:J = A11,
          Raw!I:I = ""win"",
          Raw!F:F = ""2v2""
        )
      )
    ),
    0
  )
)"),5.0)</f>
        <v>5</v>
      </c>
      <c r="D11" s="9">
        <f>IFERROR(__xludf.DUMMYFUNCTION("IF(A11="""","""", 
  IFERROR(
    ROWS(
      UNIQUE(
        FILTER(
          Raw!A:A,
          Raw!J:J = A11,
          Raw!I:I = ""loss"",
          Raw!F:F = ""2v2""
        )
      )
    ),
    0
  )
)"),13.0)</f>
        <v>13</v>
      </c>
      <c r="E11" s="4">
        <v>0.2777777777777778</v>
      </c>
      <c r="F11" s="5">
        <f>IFERROR(__xludf.DUMMYFUNCTION("IF(A11="""","""", 
  IFERROR(
    AVERAGE(
      UNIQUE(
        FILTER(
          Raw!N:N,
          Raw!J:J = A11,
          Raw!F:F = ""2v2""
        )
      )
    ),
    0
  )
)"),6.571428571428571)</f>
        <v>6.571428571</v>
      </c>
      <c r="G11" s="5">
        <f>IFERROR(__xludf.DUMMYFUNCTION("IF(A11="""","""", 
  IFERROR(
    AVERAGE(
      UNIQUE(
        FILTER(
          Raw!R:R,
          Raw!J:J = A11,
          Raw!F:F = ""2v2""
        )
      )
    ),
    0
  )
)"),224.58823529411765)</f>
        <v>224.5882353</v>
      </c>
      <c r="I11" s="5"/>
      <c r="K11" s="5"/>
      <c r="M11" s="5"/>
      <c r="N11" s="5"/>
    </row>
    <row r="12">
      <c r="A12" s="8" t="str">
        <f>IFERROR(__xludf.DUMMYFUNCTION("""COMPUTED_VALUE"""),"Malena + ZeroO")</f>
        <v>Malena + ZeroO</v>
      </c>
      <c r="B12" s="3">
        <f>IFERROR(__xludf.DUMMYFUNCTION("IF(A12="""","""", 
  IFERROR(
    ROWS(
      UNIQUE(
        FILTER(
          Raw!A:A,
          Raw!J:J = A12,
          Raw!F:F = ""2v2""
        )
      )
    ),
    0
  )
)"),15.0)</f>
        <v>15</v>
      </c>
      <c r="C12" s="9">
        <f>IFERROR(__xludf.DUMMYFUNCTION("IF(A12="""","""", 
  IFERROR(
    ROWS(
      UNIQUE(
        FILTER(
          Raw!A:A,
          Raw!J:J = A12,
          Raw!I:I = ""win"",
          Raw!F:F = ""2v2""
        )
      )
    ),
    0
  )
)"),13.0)</f>
        <v>13</v>
      </c>
      <c r="D12" s="9">
        <f>IFERROR(__xludf.DUMMYFUNCTION("IF(A12="""","""", 
  IFERROR(
    ROWS(
      UNIQUE(
        FILTER(
          Raw!A:A,
          Raw!J:J = A12,
          Raw!I:I = ""loss"",
          Raw!F:F = ""2v2""
        )
      )
    ),
    0
  )
)"),2.0)</f>
        <v>2</v>
      </c>
      <c r="E12" s="4">
        <v>0.8666666666666667</v>
      </c>
      <c r="F12" s="5">
        <f>IFERROR(__xludf.DUMMYFUNCTION("IF(A12="""","""", 
  IFERROR(
    AVERAGE(
      UNIQUE(
        FILTER(
          Raw!N:N,
          Raw!J:J = A12,
          Raw!F:F = ""2v2""
        )
      )
    ),
    0
  )
)"),8.666666666666666)</f>
        <v>8.666666667</v>
      </c>
      <c r="G12" s="5">
        <f>IFERROR(__xludf.DUMMYFUNCTION("IF(A12="""","""", 
  IFERROR(
    AVERAGE(
      UNIQUE(
        FILTER(
          Raw!R:R,
          Raw!J:J = A12,
          Raw!F:F = ""2v2""
        )
      )
    ),
    0
  )
)"),262.6666666666667)</f>
        <v>262.6666667</v>
      </c>
      <c r="I12" s="5"/>
      <c r="K12" s="5"/>
      <c r="M12" s="5"/>
      <c r="N12" s="5"/>
    </row>
    <row r="13">
      <c r="A13" s="8" t="str">
        <f>IFERROR(__xludf.DUMMYFUNCTION("""COMPUTED_VALUE"""),"Nebus. + Tess1509")</f>
        <v>Nebus. + Tess1509</v>
      </c>
      <c r="B13" s="3">
        <f>IFERROR(__xludf.DUMMYFUNCTION("IF(A13="""","""", 
  IFERROR(
    ROWS(
      UNIQUE(
        FILTER(
          Raw!A:A,
          Raw!J:J = A13,
          Raw!F:F = ""2v2""
        )
      )
    ),
    0
  )
)"),6.0)</f>
        <v>6</v>
      </c>
      <c r="C13" s="9">
        <f>IFERROR(__xludf.DUMMYFUNCTION("IF(A13="""","""", 
  IFERROR(
    ROWS(
      UNIQUE(
        FILTER(
          Raw!A:A,
          Raw!J:J = A13,
          Raw!I:I = ""win"",
          Raw!F:F = ""2v2""
        )
      )
    ),
    0
  )
)"),0.0)</f>
        <v>0</v>
      </c>
      <c r="D13" s="9">
        <f>IFERROR(__xludf.DUMMYFUNCTION("IF(A13="""","""", 
  IFERROR(
    ROWS(
      UNIQUE(
        FILTER(
          Raw!A:A,
          Raw!J:J = A13,
          Raw!I:I = ""loss"",
          Raw!F:F = ""2v2""
        )
      )
    ),
    0
  )
)"),6.0)</f>
        <v>6</v>
      </c>
      <c r="E13" s="4">
        <v>0.0</v>
      </c>
      <c r="F13" s="5">
        <f>IFERROR(__xludf.DUMMYFUNCTION("IF(A13="""","""", 
  IFERROR(
    AVERAGE(
      UNIQUE(
        FILTER(
          Raw!N:N,
          Raw!J:J = A13,
          Raw!F:F = ""2v2""
        )
      )
    ),
    0
  )
)"),4.5)</f>
        <v>4.5</v>
      </c>
      <c r="G13" s="5">
        <f>IFERROR(__xludf.DUMMYFUNCTION("IF(A13="""","""", 
  IFERROR(
    AVERAGE(
      UNIQUE(
        FILTER(
          Raw!R:R,
          Raw!J:J = A13,
          Raw!F:F = ""2v2""
        )
      )
    ),
    0
  )
)"),194.66666666666666)</f>
        <v>194.6666667</v>
      </c>
      <c r="I13" s="5"/>
      <c r="K13" s="5"/>
      <c r="M13" s="5"/>
      <c r="N13" s="5"/>
    </row>
    <row r="14">
      <c r="A14" s="8" t="str">
        <f>IFERROR(__xludf.DUMMYFUNCTION("""COMPUTED_VALUE"""),"Nebus. + ZeroO")</f>
        <v>Nebus. + ZeroO</v>
      </c>
      <c r="B14" s="3">
        <f>IFERROR(__xludf.DUMMYFUNCTION("IF(A14="""","""", 
  IFERROR(
    ROWS(
      UNIQUE(
        FILTER(
          Raw!A:A,
          Raw!J:J = A14,
          Raw!F:F = ""2v2""
        )
      )
    ),
    0
  )
)"),29.0)</f>
        <v>29</v>
      </c>
      <c r="C14" s="9">
        <f>IFERROR(__xludf.DUMMYFUNCTION("IF(A14="""","""", 
  IFERROR(
    ROWS(
      UNIQUE(
        FILTER(
          Raw!A:A,
          Raw!J:J = A14,
          Raw!I:I = ""win"",
          Raw!F:F = ""2v2""
        )
      )
    ),
    0
  )
)"),20.0)</f>
        <v>20</v>
      </c>
      <c r="D14" s="9">
        <f>IFERROR(__xludf.DUMMYFUNCTION("IF(A14="""","""", 
  IFERROR(
    ROWS(
      UNIQUE(
        FILTER(
          Raw!A:A,
          Raw!J:J = A14,
          Raw!I:I = ""loss"",
          Raw!F:F = ""2v2""
        )
      )
    ),
    0
  )
)"),9.0)</f>
        <v>9</v>
      </c>
      <c r="E14" s="4">
        <v>0.6896551724137931</v>
      </c>
      <c r="F14" s="5">
        <f>IFERROR(__xludf.DUMMYFUNCTION("IF(A14="""","""", 
  IFERROR(
    AVERAGE(
      UNIQUE(
        FILTER(
          Raw!N:N,
          Raw!J:J = A14,
          Raw!F:F = ""2v2""
        )
      )
    ),
    0
  )
)"),8.5)</f>
        <v>8.5</v>
      </c>
      <c r="G14" s="5">
        <f>IFERROR(__xludf.DUMMYFUNCTION("IF(A14="""","""", 
  IFERROR(
    AVERAGE(
      UNIQUE(
        FILTER(
          Raw!R:R,
          Raw!J:J = A14,
          Raw!F:F = ""2v2""
        )
      )
    ),
    0
  )
)"),271.81481481481484)</f>
        <v>271.8148148</v>
      </c>
      <c r="H14" s="5"/>
      <c r="I14" s="5"/>
      <c r="K14" s="5"/>
      <c r="M14" s="5"/>
      <c r="N14" s="5"/>
    </row>
    <row r="15">
      <c r="A15" s="8" t="str">
        <f>IFERROR(__xludf.DUMMYFUNCTION("""COMPUTED_VALUE"""),"Tess1509 + ZeroO")</f>
        <v>Tess1509 + ZeroO</v>
      </c>
      <c r="B15" s="3">
        <f>IFERROR(__xludf.DUMMYFUNCTION("IF(A15="""","""", 
  IFERROR(
    ROWS(
      UNIQUE(
        FILTER(
          Raw!A:A,
          Raw!J:J = A15,
          Raw!F:F = ""2v2""
        )
      )
    ),
    0
  )
)"),8.0)</f>
        <v>8</v>
      </c>
      <c r="C15" s="9">
        <f>IFERROR(__xludf.DUMMYFUNCTION("IF(A15="""","""", 
  IFERROR(
    ROWS(
      UNIQUE(
        FILTER(
          Raw!A:A,
          Raw!J:J = A15,
          Raw!I:I = ""win"",
          Raw!F:F = ""2v2""
        )
      )
    ),
    0
  )
)"),1.0)</f>
        <v>1</v>
      </c>
      <c r="D15" s="9">
        <f>IFERROR(__xludf.DUMMYFUNCTION("IF(A15="""","""", 
  IFERROR(
    ROWS(
      UNIQUE(
        FILTER(
          Raw!A:A,
          Raw!J:J = A15,
          Raw!I:I = ""loss"",
          Raw!F:F = ""2v2""
        )
      )
    ),
    0
  )
)"),7.0)</f>
        <v>7</v>
      </c>
      <c r="E15" s="4">
        <v>0.125</v>
      </c>
      <c r="F15" s="5">
        <f>IFERROR(__xludf.DUMMYFUNCTION("IF(A15="""","""", 
  IFERROR(
    AVERAGE(
      UNIQUE(
        FILTER(
          Raw!N:N,
          Raw!J:J = A15,
          Raw!F:F = ""2v2""
        )
      )
    ),
    0
  )
)"),7.75)</f>
        <v>7.75</v>
      </c>
      <c r="G15" s="5">
        <f>IFERROR(__xludf.DUMMYFUNCTION("IF(A15="""","""", 
  IFERROR(
    AVERAGE(
      UNIQUE(
        FILTER(
          Raw!R:R,
          Raw!J:J = A15,
          Raw!F:F = ""2v2""
        )
      )
    ),
    0
  )
)"),222.375)</f>
        <v>222.375</v>
      </c>
      <c r="H15" s="5"/>
      <c r="I15" s="5"/>
      <c r="K15" s="5"/>
      <c r="M15" s="5"/>
      <c r="N15" s="5"/>
    </row>
    <row r="16">
      <c r="A16" s="8"/>
      <c r="B16" s="3" t="str">
        <f>IFERROR(__xludf.DUMMYFUNCTION("IF(A16="""","""", 
  IFERROR(
    ROWS(
      UNIQUE(
        FILTER(
          Raw!A:A,
          Raw!J:J = A16,
          Raw!F:F = ""2v2""
        )
      )
    ),
    0
  )
)"),"")</f>
        <v/>
      </c>
      <c r="C16" s="9" t="str">
        <f>IFERROR(__xludf.DUMMYFUNCTION("IF(A16="""","""", 
  IFERROR(
    ROWS(
      UNIQUE(
        FILTER(
          Raw!A:A,
          Raw!J:J = A16,
          Raw!I:I = ""win"",
          Raw!F:F = ""2v2""
        )
      )
    ),
    0
  )
)"),"")</f>
        <v/>
      </c>
      <c r="D16" s="9" t="str">
        <f>IFERROR(__xludf.DUMMYFUNCTION("IF(A16="""","""", 
  IFERROR(
    ROWS(
      UNIQUE(
        FILTER(
          Raw!A:A,
          Raw!J:J = A16,
          Raw!I:I = ""loss"",
          Raw!F:F = ""2v2""
        )
      )
    ),
    0
  )
)"),"")</f>
        <v/>
      </c>
      <c r="E16" s="4"/>
      <c r="F16" s="5" t="str">
        <f>IFERROR(__xludf.DUMMYFUNCTION("IF(A16="""","""", 
  IFERROR(
    AVERAGE(
      UNIQUE(
        FILTER(
          Raw!N:N,
          Raw!J:J = A16,
          Raw!F:F = ""2v2""
        )
      )
    ),
    0
  )
)"),"")</f>
        <v/>
      </c>
      <c r="G16" s="5" t="str">
        <f>IFERROR(__xludf.DUMMYFUNCTION("IF(A16="""","""", 
  IFERROR(
    AVERAGE(
      UNIQUE(
        FILTER(
          Raw!R:R,
          Raw!J:J = A16,
          Raw!F:F = ""2v2""
        )
      )
    ),
    0
  )
)"),"")</f>
        <v/>
      </c>
      <c r="H16" s="5"/>
      <c r="I16" s="5"/>
      <c r="K16" s="5"/>
      <c r="M16" s="5"/>
      <c r="N16" s="5"/>
    </row>
    <row r="17">
      <c r="A17" s="8"/>
      <c r="B17" s="3" t="str">
        <f>IFERROR(__xludf.DUMMYFUNCTION("IF(A17="""","""", 
  IFERROR(
    ROWS(
      UNIQUE(
        FILTER(
          Raw!A:A,
          Raw!J:J = A17,
          Raw!F:F = ""2v2""
        )
      )
    ),
    0
  )
)"),"")</f>
        <v/>
      </c>
      <c r="C17" s="9" t="str">
        <f>IFERROR(__xludf.DUMMYFUNCTION("IF(A17="""","""", 
  IFERROR(
    ROWS(
      UNIQUE(
        FILTER(
          Raw!A:A,
          Raw!J:J = A17,
          Raw!I:I = ""win"",
          Raw!F:F = ""2v2""
        )
      )
    ),
    0
  )
)"),"")</f>
        <v/>
      </c>
      <c r="D17" s="9" t="str">
        <f>IFERROR(__xludf.DUMMYFUNCTION("IF(A17="""","""", 
  IFERROR(
    ROWS(
      UNIQUE(
        FILTER(
          Raw!A:A,
          Raw!J:J = A17,
          Raw!I:I = ""loss"",
          Raw!F:F = ""2v2""
        )
      )
    ),
    0
  )
)"),"")</f>
        <v/>
      </c>
      <c r="E17" s="4"/>
      <c r="F17" s="5" t="str">
        <f>IFERROR(__xludf.DUMMYFUNCTION("IF(A17="""","""", 
  IFERROR(
    AVERAGE(
      UNIQUE(
        FILTER(
          Raw!N:N,
          Raw!J:J = A17,
          Raw!F:F = ""2v2""
        )
      )
    ),
    0
  )
)"),"")</f>
        <v/>
      </c>
      <c r="G17" s="5" t="str">
        <f>IFERROR(__xludf.DUMMYFUNCTION("IF(A17="""","""", 
  IFERROR(
    AVERAGE(
      UNIQUE(
        FILTER(
          Raw!R:R,
          Raw!J:J = A17,
          Raw!F:F = ""2v2""
        )
      )
    ),
    0
  )
)"),"")</f>
        <v/>
      </c>
      <c r="H17" s="5"/>
      <c r="I17" s="5"/>
      <c r="K17" s="5"/>
      <c r="M17" s="5"/>
      <c r="N17" s="5"/>
    </row>
    <row r="18">
      <c r="A18" s="8"/>
      <c r="B18" s="3" t="str">
        <f>IFERROR(__xludf.DUMMYFUNCTION("IF(A18="""","""", 
  IFERROR(
    ROWS(
      UNIQUE(
        FILTER(
          Raw!A:A,
          Raw!J:J = A18,
          Raw!F:F = ""2v2""
        )
      )
    ),
    0
  )
)"),"")</f>
        <v/>
      </c>
      <c r="C18" s="9" t="str">
        <f>IFERROR(__xludf.DUMMYFUNCTION("IF(A18="""","""", 
  IFERROR(
    ROWS(
      UNIQUE(
        FILTER(
          Raw!A:A,
          Raw!J:J = A18,
          Raw!I:I = ""win"",
          Raw!F:F = ""2v2""
        )
      )
    ),
    0
  )
)"),"")</f>
        <v/>
      </c>
      <c r="D18" s="9" t="str">
        <f>IFERROR(__xludf.DUMMYFUNCTION("IF(A18="""","""", 
  IFERROR(
    ROWS(
      UNIQUE(
        FILTER(
          Raw!A:A,
          Raw!J:J = A18,
          Raw!I:I = ""loss"",
          Raw!F:F = ""2v2""
        )
      )
    ),
    0
  )
)"),"")</f>
        <v/>
      </c>
      <c r="E18" s="4"/>
      <c r="F18" s="5" t="str">
        <f>IFERROR(__xludf.DUMMYFUNCTION("IF(A18="""","""", 
  IFERROR(
    AVERAGE(
      UNIQUE(
        FILTER(
          Raw!N:N,
          Raw!J:J = A18,
          Raw!F:F = ""2v2""
        )
      )
    ),
    0
  )
)"),"")</f>
        <v/>
      </c>
      <c r="G18" s="5" t="str">
        <f>IFERROR(__xludf.DUMMYFUNCTION("IF(A18="""","""", 
  IFERROR(
    AVERAGE(
      UNIQUE(
        FILTER(
          Raw!R:R,
          Raw!J:J = A18,
          Raw!F:F = ""2v2""
        )
      )
    ),
    0
  )
)"),"")</f>
        <v/>
      </c>
      <c r="H18" s="5"/>
      <c r="I18" s="5"/>
      <c r="K18" s="5"/>
      <c r="M18" s="5"/>
      <c r="N18" s="5"/>
    </row>
    <row r="19">
      <c r="A19" s="8"/>
      <c r="B19" s="3" t="str">
        <f>IFERROR(__xludf.DUMMYFUNCTION("IF(A19="""","""", 
  IFERROR(
    ROWS(
      UNIQUE(
        FILTER(
          Raw!A:A,
          Raw!J:J = A19,
          Raw!F:F = ""2v2""
        )
      )
    ),
    0
  )
)"),"")</f>
        <v/>
      </c>
      <c r="C19" s="9" t="str">
        <f>IFERROR(__xludf.DUMMYFUNCTION("IF(A19="""","""", 
  IFERROR(
    ROWS(
      UNIQUE(
        FILTER(
          Raw!A:A,
          Raw!J:J = A19,
          Raw!I:I = ""win"",
          Raw!F:F = ""2v2""
        )
      )
    ),
    0
  )
)"),"")</f>
        <v/>
      </c>
      <c r="D19" s="9" t="str">
        <f>IFERROR(__xludf.DUMMYFUNCTION("IF(A19="""","""", 
  IFERROR(
    ROWS(
      UNIQUE(
        FILTER(
          Raw!A:A,
          Raw!J:J = A19,
          Raw!I:I = ""loss"",
          Raw!F:F = ""2v2""
        )
      )
    ),
    0
  )
)"),"")</f>
        <v/>
      </c>
      <c r="E19" s="4"/>
      <c r="F19" s="5" t="str">
        <f>IFERROR(__xludf.DUMMYFUNCTION("IF(A19="""","""", 
  IFERROR(
    AVERAGE(
      UNIQUE(
        FILTER(
          Raw!N:N,
          Raw!J:J = A19,
          Raw!F:F = ""2v2""
        )
      )
    ),
    0
  )
)"),"")</f>
        <v/>
      </c>
      <c r="G19" s="5" t="str">
        <f>IFERROR(__xludf.DUMMYFUNCTION("IF(A19="""","""", 
  IFERROR(
    AVERAGE(
      UNIQUE(
        FILTER(
          Raw!R:R,
          Raw!J:J = A19,
          Raw!F:F = ""2v2""
        )
      )
    ),
    0
  )
)"),"")</f>
        <v/>
      </c>
      <c r="H19" s="5"/>
      <c r="I19" s="5"/>
      <c r="K19" s="5"/>
      <c r="M19" s="5"/>
      <c r="N19" s="5"/>
    </row>
    <row r="20">
      <c r="A20" s="8"/>
      <c r="B20" s="3" t="str">
        <f>IFERROR(__xludf.DUMMYFUNCTION("IF(A20="""","""", 
  IFERROR(
    ROWS(
      UNIQUE(
        FILTER(
          Raw!A:A,
          Raw!J:J = A20,
          Raw!F:F = ""2v2""
        )
      )
    ),
    0
  )
)"),"")</f>
        <v/>
      </c>
      <c r="C20" s="9" t="str">
        <f>IFERROR(__xludf.DUMMYFUNCTION("IF(A20="""","""", 
  IFERROR(
    ROWS(
      UNIQUE(
        FILTER(
          Raw!A:A,
          Raw!J:J = A20,
          Raw!I:I = ""win"",
          Raw!F:F = ""2v2""
        )
      )
    ),
    0
  )
)"),"")</f>
        <v/>
      </c>
      <c r="D20" s="9" t="str">
        <f>IFERROR(__xludf.DUMMYFUNCTION("IF(A20="""","""", 
  IFERROR(
    ROWS(
      UNIQUE(
        FILTER(
          Raw!A:A,
          Raw!J:J = A20,
          Raw!I:I = ""loss"",
          Raw!F:F = ""2v2""
        )
      )
    ),
    0
  )
)"),"")</f>
        <v/>
      </c>
      <c r="E20" s="4"/>
      <c r="F20" s="5" t="str">
        <f>IFERROR(__xludf.DUMMYFUNCTION("IF(A20="""","""", 
  IFERROR(
    AVERAGE(
      UNIQUE(
        FILTER(
          Raw!N:N,
          Raw!J:J = A20,
          Raw!F:F = ""2v2""
        )
      )
    ),
    0
  )
)"),"")</f>
        <v/>
      </c>
      <c r="G20" s="5" t="str">
        <f>IFERROR(__xludf.DUMMYFUNCTION("IF(A20="""","""", 
  IFERROR(
    AVERAGE(
      UNIQUE(
        FILTER(
          Raw!R:R,
          Raw!J:J = A20,
          Raw!F:F = ""2v2""
        )
      )
    ),
    0
  )
)"),"")</f>
        <v/>
      </c>
      <c r="H20" s="5"/>
      <c r="I20" s="5"/>
      <c r="K20" s="5"/>
      <c r="M20" s="5"/>
      <c r="N20" s="5"/>
    </row>
    <row r="21">
      <c r="A21" s="8"/>
      <c r="B21" s="3" t="str">
        <f>IFERROR(__xludf.DUMMYFUNCTION("IF(A21="""","""", 
  IFERROR(
    ROWS(
      UNIQUE(
        FILTER(
          Raw!A:A,
          Raw!J:J = A21,
          Raw!F:F = ""2v2""
        )
      )
    ),
    0
  )
)"),"")</f>
        <v/>
      </c>
      <c r="C21" s="9" t="str">
        <f>IFERROR(__xludf.DUMMYFUNCTION("IF(A21="""","""", 
  IFERROR(
    ROWS(
      UNIQUE(
        FILTER(
          Raw!A:A,
          Raw!J:J = A21,
          Raw!I:I = ""win"",
          Raw!F:F = ""2v2""
        )
      )
    ),
    0
  )
)"),"")</f>
        <v/>
      </c>
      <c r="D21" s="9" t="str">
        <f>IFERROR(__xludf.DUMMYFUNCTION("IF(A21="""","""", 
  IFERROR(
    ROWS(
      UNIQUE(
        FILTER(
          Raw!A:A,
          Raw!J:J = A21,
          Raw!I:I = ""loss"",
          Raw!F:F = ""2v2""
        )
      )
    ),
    0
  )
)"),"")</f>
        <v/>
      </c>
      <c r="E21" s="4"/>
      <c r="F21" s="5" t="str">
        <f>IFERROR(__xludf.DUMMYFUNCTION("IF(A21="""","""", 
  IFERROR(
    AVERAGE(
      UNIQUE(
        FILTER(
          Raw!N:N,
          Raw!J:J = A21,
          Raw!F:F = ""2v2""
        )
      )
    ),
    0
  )
)"),"")</f>
        <v/>
      </c>
      <c r="G21" s="5" t="str">
        <f>IFERROR(__xludf.DUMMYFUNCTION("IF(A21="""","""", 
  IFERROR(
    AVERAGE(
      UNIQUE(
        FILTER(
          Raw!R:R,
          Raw!J:J = A21,
          Raw!F:F = ""2v2""
        )
      )
    ),
    0
  )
)"),"")</f>
        <v/>
      </c>
      <c r="H21" s="5"/>
      <c r="I21" s="5"/>
      <c r="K21" s="5"/>
      <c r="M21" s="5"/>
      <c r="N21" s="5"/>
    </row>
    <row r="22">
      <c r="A22" s="8"/>
      <c r="B22" s="3" t="str">
        <f>IFERROR(__xludf.DUMMYFUNCTION("IF(A22="""","""", 
  IFERROR(
    ROWS(
      UNIQUE(
        FILTER(
          Raw!A:A,
          Raw!J:J = A22,
          Raw!F:F = ""2v2""
        )
      )
    ),
    0
  )
)"),"")</f>
        <v/>
      </c>
      <c r="C22" s="9" t="str">
        <f>IFERROR(__xludf.DUMMYFUNCTION("IF(A22="""","""", 
  IFERROR(
    ROWS(
      UNIQUE(
        FILTER(
          Raw!A:A,
          Raw!J:J = A22,
          Raw!I:I = ""win"",
          Raw!F:F = ""2v2""
        )
      )
    ),
    0
  )
)"),"")</f>
        <v/>
      </c>
      <c r="D22" s="9" t="str">
        <f>IFERROR(__xludf.DUMMYFUNCTION("IF(A22="""","""", 
  IFERROR(
    ROWS(
      UNIQUE(
        FILTER(
          Raw!A:A,
          Raw!J:J = A22,
          Raw!I:I = ""loss"",
          Raw!F:F = ""2v2""
        )
      )
    ),
    0
  )
)"),"")</f>
        <v/>
      </c>
      <c r="E22" s="4"/>
      <c r="F22" s="5" t="str">
        <f>IFERROR(__xludf.DUMMYFUNCTION("IF(A22="""","""", 
  IFERROR(
    AVERAGE(
      UNIQUE(
        FILTER(
          Raw!N:N,
          Raw!J:J = A22,
          Raw!F:F = ""2v2""
        )
      )
    ),
    0
  )
)"),"")</f>
        <v/>
      </c>
      <c r="G22" s="5" t="str">
        <f>IFERROR(__xludf.DUMMYFUNCTION("IF(A22="""","""", 
  IFERROR(
    AVERAGE(
      UNIQUE(
        FILTER(
          Raw!R:R,
          Raw!J:J = A22,
          Raw!F:F = ""2v2""
        )
      )
    ),
    0
  )
)"),"")</f>
        <v/>
      </c>
      <c r="H22" s="5"/>
      <c r="I22" s="5"/>
      <c r="K22" s="5"/>
      <c r="M22" s="5"/>
      <c r="N22" s="5"/>
    </row>
    <row r="23">
      <c r="A23" s="8"/>
      <c r="B23" s="3" t="str">
        <f>IFERROR(__xludf.DUMMYFUNCTION("IF(A23="""","""", 
  IFERROR(
    ROWS(
      UNIQUE(
        FILTER(
          Raw!A:A,
          Raw!J:J = A23,
          Raw!F:F = ""2v2""
        )
      )
    ),
    0
  )
)"),"")</f>
        <v/>
      </c>
      <c r="C23" s="9" t="str">
        <f>IFERROR(__xludf.DUMMYFUNCTION("IF(A23="""","""", 
  IFERROR(
    ROWS(
      UNIQUE(
        FILTER(
          Raw!A:A,
          Raw!J:J = A23,
          Raw!I:I = ""win"",
          Raw!F:F = ""2v2""
        )
      )
    ),
    0
  )
)"),"")</f>
        <v/>
      </c>
      <c r="D23" s="9" t="str">
        <f>IFERROR(__xludf.DUMMYFUNCTION("IF(A23="""","""", 
  IFERROR(
    ROWS(
      UNIQUE(
        FILTER(
          Raw!A:A,
          Raw!J:J = A23,
          Raw!I:I = ""loss"",
          Raw!F:F = ""2v2""
        )
      )
    ),
    0
  )
)"),"")</f>
        <v/>
      </c>
      <c r="E23" s="4"/>
      <c r="F23" s="5" t="str">
        <f>IFERROR(__xludf.DUMMYFUNCTION("IF(A23="""","""", 
  IFERROR(
    AVERAGE(
      UNIQUE(
        FILTER(
          Raw!N:N,
          Raw!J:J = A23,
          Raw!F:F = ""2v2""
        )
      )
    ),
    0
  )
)"),"")</f>
        <v/>
      </c>
      <c r="G23" s="5" t="str">
        <f>IFERROR(__xludf.DUMMYFUNCTION("IF(A23="""","""", 
  IFERROR(
    AVERAGE(
      UNIQUE(
        FILTER(
          Raw!R:R,
          Raw!J:J = A23,
          Raw!F:F = ""2v2""
        )
      )
    ),
    0
  )
)"),"")</f>
        <v/>
      </c>
      <c r="H23" s="5"/>
      <c r="I23" s="5"/>
      <c r="K23" s="5"/>
      <c r="M23" s="5"/>
      <c r="N23" s="5"/>
    </row>
    <row r="24">
      <c r="A24" s="8"/>
      <c r="B24" s="3" t="str">
        <f>IFERROR(__xludf.DUMMYFUNCTION("IF(A24="""","""", 
  IFERROR(
    ROWS(
      UNIQUE(
        FILTER(
          Raw!A:A,
          Raw!J:J = A24,
          Raw!F:F = ""2v2""
        )
      )
    ),
    0
  )
)"),"")</f>
        <v/>
      </c>
      <c r="C24" s="9" t="str">
        <f>IFERROR(__xludf.DUMMYFUNCTION("IF(A24="""","""", 
  IFERROR(
    ROWS(
      UNIQUE(
        FILTER(
          Raw!A:A,
          Raw!J:J = A24,
          Raw!I:I = ""win"",
          Raw!F:F = ""2v2""
        )
      )
    ),
    0
  )
)"),"")</f>
        <v/>
      </c>
      <c r="D24" s="9" t="str">
        <f>IFERROR(__xludf.DUMMYFUNCTION("IF(A24="""","""", 
  IFERROR(
    ROWS(
      UNIQUE(
        FILTER(
          Raw!A:A,
          Raw!J:J = A24,
          Raw!I:I = ""loss"",
          Raw!F:F = ""2v2""
        )
      )
    ),
    0
  )
)"),"")</f>
        <v/>
      </c>
      <c r="E24" s="4"/>
      <c r="F24" s="5" t="str">
        <f>IFERROR(__xludf.DUMMYFUNCTION("IF(A24="""","""", 
  IFERROR(
    AVERAGE(
      UNIQUE(
        FILTER(
          Raw!N:N,
          Raw!J:J = A24,
          Raw!F:F = ""2v2""
        )
      )
    ),
    0
  )
)"),"")</f>
        <v/>
      </c>
      <c r="G24" s="5" t="str">
        <f>IFERROR(__xludf.DUMMYFUNCTION("IF(A24="""","""", 
  IFERROR(
    AVERAGE(
      UNIQUE(
        FILTER(
          Raw!R:R,
          Raw!J:J = A24,
          Raw!F:F = ""2v2""
        )
      )
    ),
    0
  )
)"),"")</f>
        <v/>
      </c>
      <c r="H24" s="5"/>
      <c r="I24" s="5"/>
      <c r="K24" s="5"/>
      <c r="M24" s="5"/>
      <c r="N24" s="5"/>
    </row>
    <row r="25">
      <c r="A25" s="8"/>
      <c r="B25" s="3" t="str">
        <f>IFERROR(__xludf.DUMMYFUNCTION("IF(A25="""","""", 
  IFERROR(
    ROWS(
      UNIQUE(
        FILTER(
          Raw!A:A,
          Raw!J:J = A25,
          Raw!F:F = ""2v2""
        )
      )
    ),
    0
  )
)"),"")</f>
        <v/>
      </c>
      <c r="C25" s="9" t="str">
        <f>IFERROR(__xludf.DUMMYFUNCTION("IF(A25="""","""", 
  IFERROR(
    ROWS(
      UNIQUE(
        FILTER(
          Raw!A:A,
          Raw!J:J = A25,
          Raw!I:I = ""win"",
          Raw!F:F = ""2v2""
        )
      )
    ),
    0
  )
)"),"")</f>
        <v/>
      </c>
      <c r="D25" s="9" t="str">
        <f>IFERROR(__xludf.DUMMYFUNCTION("IF(A25="""","""", 
  IFERROR(
    ROWS(
      UNIQUE(
        FILTER(
          Raw!A:A,
          Raw!J:J = A25,
          Raw!I:I = ""loss"",
          Raw!F:F = ""2v2""
        )
      )
    ),
    0
  )
)"),"")</f>
        <v/>
      </c>
      <c r="E25" s="4"/>
      <c r="F25" s="5" t="str">
        <f>IFERROR(__xludf.DUMMYFUNCTION("IF(A25="""","""", 
  IFERROR(
    AVERAGE(
      UNIQUE(
        FILTER(
          Raw!N:N,
          Raw!J:J = A25,
          Raw!F:F = ""2v2""
        )
      )
    ),
    0
  )
)"),"")</f>
        <v/>
      </c>
      <c r="G25" s="5" t="str">
        <f>IFERROR(__xludf.DUMMYFUNCTION("IF(A25="""","""", 
  IFERROR(
    AVERAGE(
      UNIQUE(
        FILTER(
          Raw!R:R,
          Raw!J:J = A25,
          Raw!F:F = ""2v2""
        )
      )
    ),
    0
  )
)"),"")</f>
        <v/>
      </c>
      <c r="H25" s="5"/>
      <c r="I25" s="5"/>
      <c r="K25" s="5"/>
      <c r="M25" s="5"/>
      <c r="N25" s="5"/>
    </row>
    <row r="26">
      <c r="A26" s="8"/>
      <c r="B26" s="3" t="str">
        <f>IFERROR(__xludf.DUMMYFUNCTION("IF(A26="""","""", 
  IFERROR(
    ROWS(
      UNIQUE(
        FILTER(
          Raw!A:A,
          Raw!J:J = A26,
          Raw!F:F = ""2v2""
        )
      )
    ),
    0
  )
)"),"")</f>
        <v/>
      </c>
      <c r="C26" s="9" t="str">
        <f>IFERROR(__xludf.DUMMYFUNCTION("IF(A26="""","""", 
  IFERROR(
    ROWS(
      UNIQUE(
        FILTER(
          Raw!A:A,
          Raw!J:J = A26,
          Raw!I:I = ""win"",
          Raw!F:F = ""2v2""
        )
      )
    ),
    0
  )
)"),"")</f>
        <v/>
      </c>
      <c r="D26" s="9" t="str">
        <f>IFERROR(__xludf.DUMMYFUNCTION("IF(A26="""","""", 
  IFERROR(
    ROWS(
      UNIQUE(
        FILTER(
          Raw!A:A,
          Raw!J:J = A26,
          Raw!I:I = ""loss"",
          Raw!F:F = ""2v2""
        )
      )
    ),
    0
  )
)"),"")</f>
        <v/>
      </c>
      <c r="E26" s="4"/>
      <c r="F26" s="5" t="str">
        <f>IFERROR(__xludf.DUMMYFUNCTION("IF(A26="""","""", 
  IFERROR(
    AVERAGE(
      UNIQUE(
        FILTER(
          Raw!N:N,
          Raw!J:J = A26,
          Raw!F:F = ""2v2""
        )
      )
    ),
    0
  )
)"),"")</f>
        <v/>
      </c>
      <c r="G26" s="5" t="str">
        <f>IFERROR(__xludf.DUMMYFUNCTION("IF(A26="""","""", 
  IFERROR(
    AVERAGE(
      UNIQUE(
        FILTER(
          Raw!R:R,
          Raw!J:J = A26,
          Raw!F:F = ""2v2""
        )
      )
    ),
    0
  )
)"),"")</f>
        <v/>
      </c>
      <c r="H26" s="5"/>
      <c r="I26" s="5"/>
      <c r="K26" s="5"/>
      <c r="M26" s="5"/>
      <c r="N26" s="5"/>
    </row>
    <row r="27">
      <c r="A27" s="8"/>
      <c r="B27" s="3" t="str">
        <f>IFERROR(__xludf.DUMMYFUNCTION("IF(A27="""","""", 
  IFERROR(
    ROWS(
      UNIQUE(
        FILTER(
          Raw!A:A,
          Raw!J:J = A27,
          Raw!F:F = ""2v2""
        )
      )
    ),
    0
  )
)"),"")</f>
        <v/>
      </c>
      <c r="C27" s="9" t="str">
        <f>IFERROR(__xludf.DUMMYFUNCTION("IF(A27="""","""", 
  IFERROR(
    ROWS(
      UNIQUE(
        FILTER(
          Raw!A:A,
          Raw!J:J = A27,
          Raw!I:I = ""win"",
          Raw!F:F = ""2v2""
        )
      )
    ),
    0
  )
)"),"")</f>
        <v/>
      </c>
      <c r="D27" s="9" t="str">
        <f>IFERROR(__xludf.DUMMYFUNCTION("IF(A27="""","""", 
  IFERROR(
    ROWS(
      UNIQUE(
        FILTER(
          Raw!A:A,
          Raw!J:J = A27,
          Raw!I:I = ""loss"",
          Raw!F:F = ""2v2""
        )
      )
    ),
    0
  )
)"),"")</f>
        <v/>
      </c>
      <c r="E27" s="4"/>
      <c r="F27" s="5" t="str">
        <f>IFERROR(__xludf.DUMMYFUNCTION("IF(A27="""","""", 
  IFERROR(
    AVERAGE(
      UNIQUE(
        FILTER(
          Raw!N:N,
          Raw!J:J = A27,
          Raw!F:F = ""2v2""
        )
      )
    ),
    0
  )
)"),"")</f>
        <v/>
      </c>
      <c r="G27" s="5" t="str">
        <f>IFERROR(__xludf.DUMMYFUNCTION("IF(A27="""","""", 
  IFERROR(
    AVERAGE(
      UNIQUE(
        FILTER(
          Raw!R:R,
          Raw!J:J = A27,
          Raw!F:F = ""2v2""
        )
      )
    ),
    0
  )
)"),"")</f>
        <v/>
      </c>
      <c r="H27" s="5"/>
      <c r="I27" s="5"/>
      <c r="K27" s="5"/>
      <c r="M27" s="5"/>
      <c r="N27" s="5"/>
    </row>
    <row r="28">
      <c r="A28" s="8"/>
      <c r="B28" s="3" t="str">
        <f>IFERROR(__xludf.DUMMYFUNCTION("IF(A28="""","""", 
  IFERROR(
    ROWS(
      UNIQUE(
        FILTER(
          Raw!A:A,
          Raw!J:J = A28,
          Raw!F:F = ""2v2""
        )
      )
    ),
    0
  )
)"),"")</f>
        <v/>
      </c>
      <c r="C28" s="9" t="str">
        <f>IFERROR(__xludf.DUMMYFUNCTION("IF(A28="""","""", 
  IFERROR(
    ROWS(
      UNIQUE(
        FILTER(
          Raw!A:A,
          Raw!J:J = A28,
          Raw!I:I = ""win"",
          Raw!F:F = ""2v2""
        )
      )
    ),
    0
  )
)"),"")</f>
        <v/>
      </c>
      <c r="D28" s="9" t="str">
        <f>IFERROR(__xludf.DUMMYFUNCTION("IF(A28="""","""", 
  IFERROR(
    ROWS(
      UNIQUE(
        FILTER(
          Raw!A:A,
          Raw!J:J = A28,
          Raw!I:I = ""loss"",
          Raw!F:F = ""2v2""
        )
      )
    ),
    0
  )
)"),"")</f>
        <v/>
      </c>
      <c r="E28" s="4"/>
      <c r="F28" s="5" t="str">
        <f>IFERROR(__xludf.DUMMYFUNCTION("IF(A28="""","""", 
  IFERROR(
    AVERAGE(
      UNIQUE(
        FILTER(
          Raw!N:N,
          Raw!J:J = A28,
          Raw!F:F = ""2v2""
        )
      )
    ),
    0
  )
)"),"")</f>
        <v/>
      </c>
      <c r="G28" s="5" t="str">
        <f>IFERROR(__xludf.DUMMYFUNCTION("IF(A28="""","""", 
  IFERROR(
    AVERAGE(
      UNIQUE(
        FILTER(
          Raw!R:R,
          Raw!J:J = A28,
          Raw!F:F = ""2v2""
        )
      )
    ),
    0
  )
)"),"")</f>
        <v/>
      </c>
      <c r="H28" s="5"/>
      <c r="I28" s="5"/>
      <c r="K28" s="5"/>
      <c r="M28" s="5"/>
      <c r="N28" s="5"/>
    </row>
    <row r="29">
      <c r="A29" s="8"/>
      <c r="B29" s="3" t="str">
        <f>IFERROR(__xludf.DUMMYFUNCTION("IF(A29="""","""", 
  IFERROR(
    ROWS(
      UNIQUE(
        FILTER(
          Raw!A:A,
          Raw!J:J = A29,
          Raw!F:F = ""2v2""
        )
      )
    ),
    0
  )
)"),"")</f>
        <v/>
      </c>
      <c r="C29" s="9" t="str">
        <f>IFERROR(__xludf.DUMMYFUNCTION("IF(A29="""","""", 
  IFERROR(
    ROWS(
      UNIQUE(
        FILTER(
          Raw!A:A,
          Raw!J:J = A29,
          Raw!I:I = ""win"",
          Raw!F:F = ""2v2""
        )
      )
    ),
    0
  )
)"),"")</f>
        <v/>
      </c>
      <c r="D29" s="9" t="str">
        <f>IFERROR(__xludf.DUMMYFUNCTION("IF(A29="""","""", 
  IFERROR(
    ROWS(
      UNIQUE(
        FILTER(
          Raw!A:A,
          Raw!J:J = A29,
          Raw!I:I = ""loss"",
          Raw!F:F = ""2v2""
        )
      )
    ),
    0
  )
)"),"")</f>
        <v/>
      </c>
      <c r="E29" s="4"/>
      <c r="F29" s="5" t="str">
        <f>IFERROR(__xludf.DUMMYFUNCTION("IF(A29="""","""", 
  IFERROR(
    AVERAGE(
      UNIQUE(
        FILTER(
          Raw!N:N,
          Raw!J:J = A29,
          Raw!F:F = ""2v2""
        )
      )
    ),
    0
  )
)"),"")</f>
        <v/>
      </c>
      <c r="G29" s="5" t="str">
        <f>IFERROR(__xludf.DUMMYFUNCTION("IF(A29="""","""", 
  IFERROR(
    AVERAGE(
      UNIQUE(
        FILTER(
          Raw!R:R,
          Raw!J:J = A29,
          Raw!F:F = ""2v2""
        )
      )
    ),
    0
  )
)"),"")</f>
        <v/>
      </c>
      <c r="H29" s="5"/>
      <c r="I29" s="5"/>
      <c r="K29" s="5"/>
      <c r="M29" s="5"/>
      <c r="N29" s="5"/>
    </row>
    <row r="30">
      <c r="A30" s="8"/>
      <c r="B30" s="3" t="str">
        <f>IFERROR(__xludf.DUMMYFUNCTION("IF(A30="""","""", 
  IFERROR(
    ROWS(
      UNIQUE(
        FILTER(
          Raw!A:A,
          Raw!J:J = A30,
          Raw!F:F = ""2v2""
        )
      )
    ),
    0
  )
)"),"")</f>
        <v/>
      </c>
      <c r="C30" s="9" t="str">
        <f>IFERROR(__xludf.DUMMYFUNCTION("IF(A30="""","""", 
  IFERROR(
    ROWS(
      UNIQUE(
        FILTER(
          Raw!A:A,
          Raw!J:J = A30,
          Raw!I:I = ""win"",
          Raw!F:F = ""2v2""
        )
      )
    ),
    0
  )
)"),"")</f>
        <v/>
      </c>
      <c r="D30" s="9" t="str">
        <f>IFERROR(__xludf.DUMMYFUNCTION("IF(A30="""","""", 
  IFERROR(
    ROWS(
      UNIQUE(
        FILTER(
          Raw!A:A,
          Raw!J:J = A30,
          Raw!I:I = ""loss"",
          Raw!F:F = ""2v2""
        )
      )
    ),
    0
  )
)"),"")</f>
        <v/>
      </c>
      <c r="E30" s="4"/>
      <c r="F30" s="5" t="str">
        <f>IFERROR(__xludf.DUMMYFUNCTION("IF(A30="""","""", 
  IFERROR(
    AVERAGE(
      UNIQUE(
        FILTER(
          Raw!N:N,
          Raw!J:J = A30,
          Raw!F:F = ""2v2""
        )
      )
    ),
    0
  )
)"),"")</f>
        <v/>
      </c>
      <c r="G30" s="5" t="str">
        <f>IFERROR(__xludf.DUMMYFUNCTION("IF(A30="""","""", 
  IFERROR(
    AVERAGE(
      UNIQUE(
        FILTER(
          Raw!R:R,
          Raw!J:J = A30,
          Raw!F:F = ""2v2""
        )
      )
    ),
    0
  )
)"),"")</f>
        <v/>
      </c>
      <c r="H30" s="5"/>
      <c r="I30" s="5"/>
      <c r="K30" s="5"/>
      <c r="M30" s="5"/>
      <c r="N30" s="5"/>
    </row>
    <row r="31">
      <c r="A31" s="8"/>
      <c r="B31" s="3" t="str">
        <f>IFERROR(__xludf.DUMMYFUNCTION("IF(A31="""","""", 
  IFERROR(
    ROWS(
      UNIQUE(
        FILTER(
          Raw!A:A,
          Raw!J:J = A31,
          Raw!F:F = ""2v2""
        )
      )
    ),
    0
  )
)"),"")</f>
        <v/>
      </c>
      <c r="C31" s="9" t="str">
        <f>IFERROR(__xludf.DUMMYFUNCTION("IF(A31="""","""", 
  IFERROR(
    ROWS(
      UNIQUE(
        FILTER(
          Raw!A:A,
          Raw!J:J = A31,
          Raw!I:I = ""win"",
          Raw!F:F = ""2v2""
        )
      )
    ),
    0
  )
)"),"")</f>
        <v/>
      </c>
      <c r="D31" s="9" t="str">
        <f>IFERROR(__xludf.DUMMYFUNCTION("IF(A31="""","""", 
  IFERROR(
    ROWS(
      UNIQUE(
        FILTER(
          Raw!A:A,
          Raw!J:J = A31,
          Raw!I:I = ""loss"",
          Raw!F:F = ""2v2""
        )
      )
    ),
    0
  )
)"),"")</f>
        <v/>
      </c>
      <c r="E31" s="4"/>
      <c r="F31" s="5" t="str">
        <f>IFERROR(__xludf.DUMMYFUNCTION("IF(A31="""","""", 
  IFERROR(
    AVERAGE(
      UNIQUE(
        FILTER(
          Raw!N:N,
          Raw!J:J = A31,
          Raw!F:F = ""2v2""
        )
      )
    ),
    0
  )
)"),"")</f>
        <v/>
      </c>
      <c r="G31" s="5" t="str">
        <f>IFERROR(__xludf.DUMMYFUNCTION("IF(A31="""","""", 
  IFERROR(
    AVERAGE(
      UNIQUE(
        FILTER(
          Raw!R:R,
          Raw!J:J = A31,
          Raw!F:F = ""2v2""
        )
      )
    ),
    0
  )
)"),"")</f>
        <v/>
      </c>
      <c r="H31" s="5"/>
      <c r="I31" s="5"/>
      <c r="K31" s="5"/>
      <c r="M31" s="5"/>
      <c r="N31" s="5"/>
    </row>
    <row r="32">
      <c r="A32" s="8"/>
      <c r="B32" s="3" t="str">
        <f>IFERROR(__xludf.DUMMYFUNCTION("IF(A32="""","""", 
  IFERROR(
    ROWS(
      UNIQUE(
        FILTER(
          Raw!A:A,
          Raw!J:J = A32,
          Raw!F:F = ""2v2""
        )
      )
    ),
    0
  )
)"),"")</f>
        <v/>
      </c>
      <c r="C32" s="9" t="str">
        <f>IFERROR(__xludf.DUMMYFUNCTION("IF(A32="""","""", 
  IFERROR(
    ROWS(
      UNIQUE(
        FILTER(
          Raw!A:A,
          Raw!J:J = A32,
          Raw!I:I = ""win"",
          Raw!F:F = ""2v2""
        )
      )
    ),
    0
  )
)"),"")</f>
        <v/>
      </c>
      <c r="D32" s="9" t="str">
        <f>IFERROR(__xludf.DUMMYFUNCTION("IF(A32="""","""", 
  IFERROR(
    ROWS(
      UNIQUE(
        FILTER(
          Raw!A:A,
          Raw!J:J = A32,
          Raw!I:I = ""loss"",
          Raw!F:F = ""2v2""
        )
      )
    ),
    0
  )
)"),"")</f>
        <v/>
      </c>
      <c r="E32" s="4"/>
      <c r="F32" s="5" t="str">
        <f>IFERROR(__xludf.DUMMYFUNCTION("IF(A32="""","""", 
  IFERROR(
    AVERAGE(
      UNIQUE(
        FILTER(
          Raw!N:N,
          Raw!J:J = A32,
          Raw!F:F = ""2v2""
        )
      )
    ),
    0
  )
)"),"")</f>
        <v/>
      </c>
      <c r="G32" s="5" t="str">
        <f>IFERROR(__xludf.DUMMYFUNCTION("IF(A32="""","""", 
  IFERROR(
    AVERAGE(
      UNIQUE(
        FILTER(
          Raw!R:R,
          Raw!J:J = A32,
          Raw!F:F = ""2v2""
        )
      )
    ),
    0
  )
)"),"")</f>
        <v/>
      </c>
      <c r="H32" s="5"/>
      <c r="I32" s="5"/>
      <c r="K32" s="5"/>
      <c r="M32" s="5"/>
      <c r="N32" s="5"/>
    </row>
    <row r="33">
      <c r="A33" s="8"/>
      <c r="B33" s="3" t="str">
        <f>IFERROR(__xludf.DUMMYFUNCTION("IF(A33="""","""", 
  IFERROR(
    ROWS(
      UNIQUE(
        FILTER(
          Raw!A:A,
          Raw!J:J = A33,
          Raw!F:F = ""2v2""
        )
      )
    ),
    0
  )
)"),"")</f>
        <v/>
      </c>
      <c r="C33" s="9" t="str">
        <f>IFERROR(__xludf.DUMMYFUNCTION("IF(A33="""","""", 
  IFERROR(
    ROWS(
      UNIQUE(
        FILTER(
          Raw!A:A,
          Raw!J:J = A33,
          Raw!I:I = ""win"",
          Raw!F:F = ""2v2""
        )
      )
    ),
    0
  )
)"),"")</f>
        <v/>
      </c>
      <c r="D33" s="9" t="str">
        <f>IFERROR(__xludf.DUMMYFUNCTION("IF(A33="""","""", 
  IFERROR(
    ROWS(
      UNIQUE(
        FILTER(
          Raw!A:A,
          Raw!J:J = A33,
          Raw!I:I = ""loss"",
          Raw!F:F = ""2v2""
        )
      )
    ),
    0
  )
)"),"")</f>
        <v/>
      </c>
      <c r="E33" s="4"/>
      <c r="F33" s="5" t="str">
        <f>IFERROR(__xludf.DUMMYFUNCTION("IF(A33="""","""", 
  IFERROR(
    AVERAGE(
      UNIQUE(
        FILTER(
          Raw!N:N,
          Raw!J:J = A33,
          Raw!F:F = ""2v2""
        )
      )
    ),
    0
  )
)"),"")</f>
        <v/>
      </c>
      <c r="G33" s="5" t="str">
        <f>IFERROR(__xludf.DUMMYFUNCTION("IF(A33="""","""", 
  IFERROR(
    AVERAGE(
      UNIQUE(
        FILTER(
          Raw!R:R,
          Raw!J:J = A33,
          Raw!F:F = ""2v2""
        )
      )
    ),
    0
  )
)"),"")</f>
        <v/>
      </c>
      <c r="H33" s="5"/>
      <c r="I33" s="5"/>
      <c r="K33" s="5"/>
      <c r="M33" s="5"/>
      <c r="N33" s="5"/>
    </row>
    <row r="34">
      <c r="A34" s="8"/>
      <c r="B34" s="3" t="str">
        <f>IFERROR(__xludf.DUMMYFUNCTION("IF(A34="""","""", 
  IFERROR(
    ROWS(
      UNIQUE(
        FILTER(
          Raw!A:A,
          Raw!J:J = A34,
          Raw!F:F = ""2v2""
        )
      )
    ),
    0
  )
)"),"")</f>
        <v/>
      </c>
      <c r="C34" s="9" t="str">
        <f>IFERROR(__xludf.DUMMYFUNCTION("IF(A34="""","""", 
  IFERROR(
    ROWS(
      UNIQUE(
        FILTER(
          Raw!A:A,
          Raw!J:J = A34,
          Raw!I:I = ""win"",
          Raw!F:F = ""2v2""
        )
      )
    ),
    0
  )
)"),"")</f>
        <v/>
      </c>
      <c r="D34" s="9" t="str">
        <f>IFERROR(__xludf.DUMMYFUNCTION("IF(A34="""","""", 
  IFERROR(
    ROWS(
      UNIQUE(
        FILTER(
          Raw!A:A,
          Raw!J:J = A34,
          Raw!I:I = ""loss"",
          Raw!F:F = ""2v2""
        )
      )
    ),
    0
  )
)"),"")</f>
        <v/>
      </c>
      <c r="E34" s="4"/>
      <c r="F34" s="5" t="str">
        <f>IFERROR(__xludf.DUMMYFUNCTION("IF(A34="""","""", 
  IFERROR(
    AVERAGE(
      UNIQUE(
        FILTER(
          Raw!N:N,
          Raw!J:J = A34,
          Raw!F:F = ""2v2""
        )
      )
    ),
    0
  )
)"),"")</f>
        <v/>
      </c>
      <c r="G34" s="5" t="str">
        <f>IFERROR(__xludf.DUMMYFUNCTION("IF(A34="""","""", 
  IFERROR(
    AVERAGE(
      UNIQUE(
        FILTER(
          Raw!R:R,
          Raw!J:J = A34,
          Raw!F:F = ""2v2""
        )
      )
    ),
    0
  )
)"),"")</f>
        <v/>
      </c>
      <c r="H34" s="5"/>
      <c r="I34" s="5"/>
      <c r="K34" s="5"/>
      <c r="M34" s="5"/>
      <c r="N34" s="5"/>
    </row>
    <row r="35">
      <c r="A35" s="8"/>
      <c r="B35" s="3" t="str">
        <f>IFERROR(__xludf.DUMMYFUNCTION("IF(A35="""","""", 
  IFERROR(
    ROWS(
      UNIQUE(
        FILTER(
          Raw!A:A,
          Raw!J:J = A35,
          Raw!F:F = ""2v2""
        )
      )
    ),
    0
  )
)"),"")</f>
        <v/>
      </c>
      <c r="C35" s="9" t="str">
        <f>IFERROR(__xludf.DUMMYFUNCTION("IF(A35="""","""", 
  IFERROR(
    ROWS(
      UNIQUE(
        FILTER(
          Raw!A:A,
          Raw!J:J = A35,
          Raw!I:I = ""win"",
          Raw!F:F = ""2v2""
        )
      )
    ),
    0
  )
)"),"")</f>
        <v/>
      </c>
      <c r="D35" s="9" t="str">
        <f>IFERROR(__xludf.DUMMYFUNCTION("IF(A35="""","""", 
  IFERROR(
    ROWS(
      UNIQUE(
        FILTER(
          Raw!A:A,
          Raw!J:J = A35,
          Raw!I:I = ""loss"",
          Raw!F:F = ""2v2""
        )
      )
    ),
    0
  )
)"),"")</f>
        <v/>
      </c>
      <c r="E35" s="4"/>
      <c r="F35" s="5" t="str">
        <f>IFERROR(__xludf.DUMMYFUNCTION("IF(A35="""","""", 
  IFERROR(
    AVERAGE(
      UNIQUE(
        FILTER(
          Raw!N:N,
          Raw!J:J = A35,
          Raw!F:F = ""2v2""
        )
      )
    ),
    0
  )
)"),"")</f>
        <v/>
      </c>
      <c r="G35" s="5" t="str">
        <f>IFERROR(__xludf.DUMMYFUNCTION("IF(A35="""","""", 
  IFERROR(
    AVERAGE(
      UNIQUE(
        FILTER(
          Raw!R:R,
          Raw!J:J = A35,
          Raw!F:F = ""2v2""
        )
      )
    ),
    0
  )
)"),"")</f>
        <v/>
      </c>
      <c r="H35" s="5"/>
      <c r="I35" s="5"/>
      <c r="K35" s="5"/>
      <c r="M35" s="5"/>
      <c r="N35" s="5"/>
    </row>
    <row r="36">
      <c r="A36" s="8"/>
      <c r="B36" s="3" t="str">
        <f>IFERROR(__xludf.DUMMYFUNCTION("IF(A36="""","""", 
  IFERROR(
    ROWS(
      UNIQUE(
        FILTER(
          Raw!A:A,
          Raw!J:J = A36,
          Raw!F:F = ""2v2""
        )
      )
    ),
    0
  )
)"),"")</f>
        <v/>
      </c>
      <c r="C36" s="9" t="str">
        <f>IFERROR(__xludf.DUMMYFUNCTION("IF(A36="""","""", 
  IFERROR(
    ROWS(
      UNIQUE(
        FILTER(
          Raw!A:A,
          Raw!J:J = A36,
          Raw!I:I = ""win"",
          Raw!F:F = ""2v2""
        )
      )
    ),
    0
  )
)"),"")</f>
        <v/>
      </c>
      <c r="D36" s="9" t="str">
        <f>IFERROR(__xludf.DUMMYFUNCTION("IF(A36="""","""", 
  IFERROR(
    ROWS(
      UNIQUE(
        FILTER(
          Raw!A:A,
          Raw!J:J = A36,
          Raw!I:I = ""loss"",
          Raw!F:F = ""2v2""
        )
      )
    ),
    0
  )
)"),"")</f>
        <v/>
      </c>
      <c r="E36" s="4"/>
      <c r="F36" s="5" t="str">
        <f>IFERROR(__xludf.DUMMYFUNCTION("IF(A36="""","""", 
  IFERROR(
    AVERAGE(
      UNIQUE(
        FILTER(
          Raw!N:N,
          Raw!J:J = A36,
          Raw!F:F = ""2v2""
        )
      )
    ),
    0
  )
)"),"")</f>
        <v/>
      </c>
      <c r="G36" s="5" t="str">
        <f>IFERROR(__xludf.DUMMYFUNCTION("IF(A36="""","""", 
  IFERROR(
    AVERAGE(
      UNIQUE(
        FILTER(
          Raw!R:R,
          Raw!J:J = A36,
          Raw!F:F = ""2v2""
        )
      )
    ),
    0
  )
)"),"")</f>
        <v/>
      </c>
      <c r="H36" s="5"/>
      <c r="I36" s="5"/>
      <c r="K36" s="5"/>
      <c r="M36" s="5"/>
      <c r="N36" s="5"/>
    </row>
    <row r="37">
      <c r="A37" s="8"/>
      <c r="B37" s="3" t="str">
        <f>IFERROR(__xludf.DUMMYFUNCTION("IF(A37="""","""", 
  IFERROR(
    ROWS(
      UNIQUE(
        FILTER(
          Raw!A:A,
          Raw!J:J = A37,
          Raw!F:F = ""2v2""
        )
      )
    ),
    0
  )
)"),"")</f>
        <v/>
      </c>
      <c r="C37" s="9" t="str">
        <f>IFERROR(__xludf.DUMMYFUNCTION("IF(A37="""","""", 
  IFERROR(
    ROWS(
      UNIQUE(
        FILTER(
          Raw!A:A,
          Raw!J:J = A37,
          Raw!I:I = ""win"",
          Raw!F:F = ""2v2""
        )
      )
    ),
    0
  )
)"),"")</f>
        <v/>
      </c>
      <c r="D37" s="9" t="str">
        <f>IFERROR(__xludf.DUMMYFUNCTION("IF(A37="""","""", 
  IFERROR(
    ROWS(
      UNIQUE(
        FILTER(
          Raw!A:A,
          Raw!J:J = A37,
          Raw!I:I = ""loss"",
          Raw!F:F = ""2v2""
        )
      )
    ),
    0
  )
)"),"")</f>
        <v/>
      </c>
      <c r="E37" s="4"/>
      <c r="F37" s="5" t="str">
        <f>IFERROR(__xludf.DUMMYFUNCTION("IF(A37="""","""", 
  IFERROR(
    AVERAGE(
      UNIQUE(
        FILTER(
          Raw!N:N,
          Raw!J:J = A37,
          Raw!F:F = ""2v2""
        )
      )
    ),
    0
  )
)"),"")</f>
        <v/>
      </c>
      <c r="G37" s="5" t="str">
        <f>IFERROR(__xludf.DUMMYFUNCTION("IF(A37="""","""", 
  IFERROR(
    AVERAGE(
      UNIQUE(
        FILTER(
          Raw!R:R,
          Raw!J:J = A37,
          Raw!F:F = ""2v2""
        )
      )
    ),
    0
  )
)"),"")</f>
        <v/>
      </c>
      <c r="H37" s="5"/>
      <c r="I37" s="5"/>
      <c r="K37" s="5"/>
      <c r="M37" s="5"/>
      <c r="N37" s="5"/>
    </row>
    <row r="38">
      <c r="A38" s="8"/>
      <c r="B38" s="3" t="str">
        <f>IFERROR(__xludf.DUMMYFUNCTION("IF(A38="""","""", 
  IFERROR(
    ROWS(
      UNIQUE(
        FILTER(
          Raw!A:A,
          Raw!J:J = A38,
          Raw!F:F = ""2v2""
        )
      )
    ),
    0
  )
)"),"")</f>
        <v/>
      </c>
      <c r="C38" s="9" t="str">
        <f>IFERROR(__xludf.DUMMYFUNCTION("IF(A38="""","""", 
  IFERROR(
    ROWS(
      UNIQUE(
        FILTER(
          Raw!A:A,
          Raw!J:J = A38,
          Raw!I:I = ""win"",
          Raw!F:F = ""2v2""
        )
      )
    ),
    0
  )
)"),"")</f>
        <v/>
      </c>
      <c r="D38" s="9" t="str">
        <f>IFERROR(__xludf.DUMMYFUNCTION("IF(A38="""","""", 
  IFERROR(
    ROWS(
      UNIQUE(
        FILTER(
          Raw!A:A,
          Raw!J:J = A38,
          Raw!I:I = ""loss"",
          Raw!F:F = ""2v2""
        )
      )
    ),
    0
  )
)"),"")</f>
        <v/>
      </c>
      <c r="E38" s="4"/>
      <c r="F38" s="5" t="str">
        <f>IFERROR(__xludf.DUMMYFUNCTION("IF(A38="""","""", 
  IFERROR(
    AVERAGE(
      UNIQUE(
        FILTER(
          Raw!N:N,
          Raw!J:J = A38,
          Raw!F:F = ""2v2""
        )
      )
    ),
    0
  )
)"),"")</f>
        <v/>
      </c>
      <c r="G38" s="5" t="str">
        <f>IFERROR(__xludf.DUMMYFUNCTION("IF(A38="""","""", 
  IFERROR(
    AVERAGE(
      UNIQUE(
        FILTER(
          Raw!R:R,
          Raw!J:J = A38,
          Raw!F:F = ""2v2""
        )
      )
    ),
    0
  )
)"),"")</f>
        <v/>
      </c>
      <c r="H38" s="5"/>
      <c r="I38" s="5"/>
      <c r="K38" s="5"/>
      <c r="M38" s="5"/>
      <c r="N38" s="5"/>
    </row>
    <row r="39">
      <c r="A39" s="8"/>
      <c r="B39" s="3" t="str">
        <f>IFERROR(__xludf.DUMMYFUNCTION("IF(A39="""","""", 
  IFERROR(
    ROWS(
      UNIQUE(
        FILTER(
          Raw!A:A,
          Raw!J:J = A39,
          Raw!F:F = ""2v2""
        )
      )
    ),
    0
  )
)"),"")</f>
        <v/>
      </c>
      <c r="C39" s="9" t="str">
        <f>IFERROR(__xludf.DUMMYFUNCTION("IF(A39="""","""", 
  IFERROR(
    ROWS(
      UNIQUE(
        FILTER(
          Raw!A:A,
          Raw!J:J = A39,
          Raw!I:I = ""win"",
          Raw!F:F = ""2v2""
        )
      )
    ),
    0
  )
)"),"")</f>
        <v/>
      </c>
      <c r="D39" s="9" t="str">
        <f>IFERROR(__xludf.DUMMYFUNCTION("IF(A39="""","""", 
  IFERROR(
    ROWS(
      UNIQUE(
        FILTER(
          Raw!A:A,
          Raw!J:J = A39,
          Raw!I:I = ""loss"",
          Raw!F:F = ""2v2""
        )
      )
    ),
    0
  )
)"),"")</f>
        <v/>
      </c>
      <c r="E39" s="4"/>
      <c r="F39" s="5" t="str">
        <f>IFERROR(__xludf.DUMMYFUNCTION("IF(A39="""","""", 
  IFERROR(
    AVERAGE(
      UNIQUE(
        FILTER(
          Raw!N:N,
          Raw!J:J = A39,
          Raw!F:F = ""2v2""
        )
      )
    ),
    0
  )
)"),"")</f>
        <v/>
      </c>
      <c r="G39" s="5" t="str">
        <f>IFERROR(__xludf.DUMMYFUNCTION("IF(A39="""","""", 
  IFERROR(
    AVERAGE(
      UNIQUE(
        FILTER(
          Raw!R:R,
          Raw!J:J = A39,
          Raw!F:F = ""2v2""
        )
      )
    ),
    0
  )
)"),"")</f>
        <v/>
      </c>
      <c r="H39" s="5"/>
      <c r="I39" s="5"/>
      <c r="K39" s="5"/>
      <c r="M39" s="5"/>
      <c r="N39" s="5"/>
    </row>
    <row r="40">
      <c r="A40" s="8"/>
      <c r="B40" s="3" t="str">
        <f>IFERROR(__xludf.DUMMYFUNCTION("IF(A40="""","""", 
  IFERROR(
    ROWS(
      UNIQUE(
        FILTER(
          Raw!A:A,
          Raw!J:J = A40,
          Raw!F:F = ""2v2""
        )
      )
    ),
    0
  )
)"),"")</f>
        <v/>
      </c>
      <c r="C40" s="9" t="str">
        <f>IFERROR(__xludf.DUMMYFUNCTION("IF(A40="""","""", 
  IFERROR(
    ROWS(
      UNIQUE(
        FILTER(
          Raw!A:A,
          Raw!J:J = A40,
          Raw!I:I = ""win"",
          Raw!F:F = ""2v2""
        )
      )
    ),
    0
  )
)"),"")</f>
        <v/>
      </c>
      <c r="D40" s="9" t="str">
        <f>IFERROR(__xludf.DUMMYFUNCTION("IF(A40="""","""", 
  IFERROR(
    ROWS(
      UNIQUE(
        FILTER(
          Raw!A:A,
          Raw!J:J = A40,
          Raw!I:I = ""loss"",
          Raw!F:F = ""2v2""
        )
      )
    ),
    0
  )
)"),"")</f>
        <v/>
      </c>
      <c r="E40" s="4"/>
      <c r="F40" s="5" t="str">
        <f>IFERROR(__xludf.DUMMYFUNCTION("IF(A40="""","""", 
  IFERROR(
    AVERAGE(
      UNIQUE(
        FILTER(
          Raw!N:N,
          Raw!J:J = A40,
          Raw!F:F = ""2v2""
        )
      )
    ),
    0
  )
)"),"")</f>
        <v/>
      </c>
      <c r="G40" s="5" t="str">
        <f>IFERROR(__xludf.DUMMYFUNCTION("IF(A40="""","""", 
  IFERROR(
    AVERAGE(
      UNIQUE(
        FILTER(
          Raw!R:R,
          Raw!J:J = A40,
          Raw!F:F = ""2v2""
        )
      )
    ),
    0
  )
)"),"")</f>
        <v/>
      </c>
      <c r="H40" s="5"/>
      <c r="I40" s="5"/>
      <c r="K40" s="5"/>
      <c r="M40" s="5"/>
      <c r="N40" s="5"/>
    </row>
    <row r="41">
      <c r="A41" s="8"/>
      <c r="B41" s="3" t="str">
        <f>IFERROR(__xludf.DUMMYFUNCTION("IF(A41="""","""", 
  IFERROR(
    ROWS(
      UNIQUE(
        FILTER(
          Raw!A:A,
          Raw!J:J = A41,
          Raw!F:F = ""2v2""
        )
      )
    ),
    0
  )
)"),"")</f>
        <v/>
      </c>
      <c r="C41" s="9" t="str">
        <f>IFERROR(__xludf.DUMMYFUNCTION("IF(A41="""","""", 
  IFERROR(
    ROWS(
      UNIQUE(
        FILTER(
          Raw!A:A,
          Raw!J:J = A41,
          Raw!I:I = ""win"",
          Raw!F:F = ""2v2""
        )
      )
    ),
    0
  )
)"),"")</f>
        <v/>
      </c>
      <c r="D41" s="9" t="str">
        <f>IFERROR(__xludf.DUMMYFUNCTION("IF(A41="""","""", 
  IFERROR(
    ROWS(
      UNIQUE(
        FILTER(
          Raw!A:A,
          Raw!J:J = A41,
          Raw!I:I = ""loss"",
          Raw!F:F = ""2v2""
        )
      )
    ),
    0
  )
)"),"")</f>
        <v/>
      </c>
      <c r="E41" s="4"/>
      <c r="F41" s="5" t="str">
        <f>IFERROR(__xludf.DUMMYFUNCTION("IF(A41="""","""", 
  IFERROR(
    AVERAGE(
      UNIQUE(
        FILTER(
          Raw!N:N,
          Raw!J:J = A41,
          Raw!F:F = ""2v2""
        )
      )
    ),
    0
  )
)"),"")</f>
        <v/>
      </c>
      <c r="G41" s="5" t="str">
        <f>IFERROR(__xludf.DUMMYFUNCTION("IF(A41="""","""", 
  IFERROR(
    AVERAGE(
      UNIQUE(
        FILTER(
          Raw!R:R,
          Raw!J:J = A41,
          Raw!F:F = ""2v2""
        )
      )
    ),
    0
  )
)"),"")</f>
        <v/>
      </c>
      <c r="H41" s="5"/>
      <c r="I41" s="5"/>
      <c r="K41" s="5"/>
      <c r="M41" s="5"/>
      <c r="N41" s="5"/>
    </row>
    <row r="42">
      <c r="A42" s="8"/>
      <c r="B42" s="3" t="str">
        <f>IFERROR(__xludf.DUMMYFUNCTION("IF(A42="""","""", 
  IFERROR(
    ROWS(
      UNIQUE(
        FILTER(
          Raw!A:A,
          Raw!J:J = A42,
          Raw!F:F = ""2v2""
        )
      )
    ),
    0
  )
)"),"")</f>
        <v/>
      </c>
      <c r="C42" s="9" t="str">
        <f>IFERROR(__xludf.DUMMYFUNCTION("IF(A42="""","""", 
  IFERROR(
    ROWS(
      UNIQUE(
        FILTER(
          Raw!A:A,
          Raw!J:J = A42,
          Raw!I:I = ""win"",
          Raw!F:F = ""2v2""
        )
      )
    ),
    0
  )
)"),"")</f>
        <v/>
      </c>
      <c r="D42" s="9" t="str">
        <f>IFERROR(__xludf.DUMMYFUNCTION("IF(A42="""","""", 
  IFERROR(
    ROWS(
      UNIQUE(
        FILTER(
          Raw!A:A,
          Raw!J:J = A42,
          Raw!I:I = ""loss"",
          Raw!F:F = ""2v2""
        )
      )
    ),
    0
  )
)"),"")</f>
        <v/>
      </c>
      <c r="E42" s="4"/>
      <c r="F42" s="5" t="str">
        <f>IFERROR(__xludf.DUMMYFUNCTION("IF(A42="""","""", 
  IFERROR(
    AVERAGE(
      UNIQUE(
        FILTER(
          Raw!N:N,
          Raw!J:J = A42,
          Raw!F:F = ""2v2""
        )
      )
    ),
    0
  )
)"),"")</f>
        <v/>
      </c>
      <c r="G42" s="5" t="str">
        <f>IFERROR(__xludf.DUMMYFUNCTION("IF(A42="""","""", 
  IFERROR(
    AVERAGE(
      UNIQUE(
        FILTER(
          Raw!R:R,
          Raw!J:J = A42,
          Raw!F:F = ""2v2""
        )
      )
    ),
    0
  )
)"),"")</f>
        <v/>
      </c>
      <c r="H42" s="5"/>
      <c r="I42" s="5"/>
      <c r="K42" s="5"/>
      <c r="M42" s="5"/>
      <c r="N42" s="5"/>
    </row>
    <row r="43">
      <c r="A43" s="8"/>
      <c r="B43" s="3" t="str">
        <f>IFERROR(__xludf.DUMMYFUNCTION("IF(A43="""","""", 
  IFERROR(
    ROWS(
      UNIQUE(
        FILTER(
          Raw!A:A,
          Raw!J:J = A43,
          Raw!F:F = ""2v2""
        )
      )
    ),
    0
  )
)"),"")</f>
        <v/>
      </c>
      <c r="C43" s="9" t="str">
        <f>IFERROR(__xludf.DUMMYFUNCTION("IF(A43="""","""", 
  IFERROR(
    ROWS(
      UNIQUE(
        FILTER(
          Raw!A:A,
          Raw!J:J = A43,
          Raw!I:I = ""win"",
          Raw!F:F = ""2v2""
        )
      )
    ),
    0
  )
)"),"")</f>
        <v/>
      </c>
      <c r="D43" s="9" t="str">
        <f>IFERROR(__xludf.DUMMYFUNCTION("IF(A43="""","""", 
  IFERROR(
    ROWS(
      UNIQUE(
        FILTER(
          Raw!A:A,
          Raw!J:J = A43,
          Raw!I:I = ""loss"",
          Raw!F:F = ""2v2""
        )
      )
    ),
    0
  )
)"),"")</f>
        <v/>
      </c>
      <c r="E43" s="4"/>
      <c r="F43" s="5" t="str">
        <f>IFERROR(__xludf.DUMMYFUNCTION("IF(A43="""","""", 
  IFERROR(
    AVERAGE(
      UNIQUE(
        FILTER(
          Raw!N:N,
          Raw!J:J = A43,
          Raw!F:F = ""2v2""
        )
      )
    ),
    0
  )
)"),"")</f>
        <v/>
      </c>
      <c r="G43" s="5" t="str">
        <f>IFERROR(__xludf.DUMMYFUNCTION("IF(A43="""","""", 
  IFERROR(
    AVERAGE(
      UNIQUE(
        FILTER(
          Raw!R:R,
          Raw!J:J = A43,
          Raw!F:F = ""2v2""
        )
      )
    ),
    0
  )
)"),"")</f>
        <v/>
      </c>
      <c r="H43" s="5"/>
      <c r="I43" s="5"/>
      <c r="K43" s="5"/>
      <c r="M43" s="5"/>
      <c r="N43" s="5"/>
    </row>
    <row r="44">
      <c r="A44" s="8"/>
      <c r="B44" s="3" t="str">
        <f>IFERROR(__xludf.DUMMYFUNCTION("IF(A44="""","""", 
  IFERROR(
    ROWS(
      UNIQUE(
        FILTER(
          Raw!A:A,
          Raw!J:J = A44,
          Raw!F:F = ""2v2""
        )
      )
    ),
    0
  )
)"),"")</f>
        <v/>
      </c>
      <c r="C44" s="9" t="str">
        <f>IFERROR(__xludf.DUMMYFUNCTION("IF(A44="""","""", 
  IFERROR(
    ROWS(
      UNIQUE(
        FILTER(
          Raw!A:A,
          Raw!J:J = A44,
          Raw!I:I = ""win"",
          Raw!F:F = ""2v2""
        )
      )
    ),
    0
  )
)"),"")</f>
        <v/>
      </c>
      <c r="D44" s="9" t="str">
        <f>IFERROR(__xludf.DUMMYFUNCTION("IF(A44="""","""", 
  IFERROR(
    ROWS(
      UNIQUE(
        FILTER(
          Raw!A:A,
          Raw!J:J = A44,
          Raw!I:I = ""loss"",
          Raw!F:F = ""2v2""
        )
      )
    ),
    0
  )
)"),"")</f>
        <v/>
      </c>
      <c r="E44" s="4"/>
      <c r="F44" s="5" t="str">
        <f>IFERROR(__xludf.DUMMYFUNCTION("IF(A44="""","""", 
  IFERROR(
    AVERAGE(
      UNIQUE(
        FILTER(
          Raw!N:N,
          Raw!J:J = A44,
          Raw!F:F = ""2v2""
        )
      )
    ),
    0
  )
)"),"")</f>
        <v/>
      </c>
      <c r="G44" s="5" t="str">
        <f>IFERROR(__xludf.DUMMYFUNCTION("IF(A44="""","""", 
  IFERROR(
    AVERAGE(
      UNIQUE(
        FILTER(
          Raw!R:R,
          Raw!J:J = A44,
          Raw!F:F = ""2v2""
        )
      )
    ),
    0
  )
)"),"")</f>
        <v/>
      </c>
      <c r="H44" s="5"/>
      <c r="I44" s="5"/>
      <c r="K44" s="5"/>
      <c r="M44" s="5"/>
      <c r="N44" s="5"/>
    </row>
    <row r="45">
      <c r="A45" s="8"/>
      <c r="B45" s="3" t="str">
        <f>IFERROR(__xludf.DUMMYFUNCTION("IF(A45="""","""", 
  IFERROR(
    ROWS(
      UNIQUE(
        FILTER(
          Raw!A:A,
          Raw!J:J = A45,
          Raw!F:F = ""2v2""
        )
      )
    ),
    0
  )
)"),"")</f>
        <v/>
      </c>
      <c r="C45" s="9" t="str">
        <f>IFERROR(__xludf.DUMMYFUNCTION("IF(A45="""","""", 
  IFERROR(
    ROWS(
      UNIQUE(
        FILTER(
          Raw!A:A,
          Raw!J:J = A45,
          Raw!I:I = ""win"",
          Raw!F:F = ""2v2""
        )
      )
    ),
    0
  )
)"),"")</f>
        <v/>
      </c>
      <c r="D45" s="9" t="str">
        <f>IFERROR(__xludf.DUMMYFUNCTION("IF(A45="""","""", 
  IFERROR(
    ROWS(
      UNIQUE(
        FILTER(
          Raw!A:A,
          Raw!J:J = A45,
          Raw!I:I = ""loss"",
          Raw!F:F = ""2v2""
        )
      )
    ),
    0
  )
)"),"")</f>
        <v/>
      </c>
      <c r="E45" s="4"/>
      <c r="F45" s="5" t="str">
        <f>IFERROR(__xludf.DUMMYFUNCTION("IF(A45="""","""", 
  IFERROR(
    AVERAGE(
      UNIQUE(
        FILTER(
          Raw!N:N,
          Raw!J:J = A45,
          Raw!F:F = ""2v2""
        )
      )
    ),
    0
  )
)"),"")</f>
        <v/>
      </c>
      <c r="G45" s="5" t="str">
        <f>IFERROR(__xludf.DUMMYFUNCTION("IF(A45="""","""", 
  IFERROR(
    AVERAGE(
      UNIQUE(
        FILTER(
          Raw!R:R,
          Raw!J:J = A45,
          Raw!F:F = ""2v2""
        )
      )
    ),
    0
  )
)"),"")</f>
        <v/>
      </c>
      <c r="H45" s="5"/>
      <c r="I45" s="5"/>
      <c r="K45" s="5"/>
      <c r="M45" s="5"/>
      <c r="N45" s="5"/>
    </row>
    <row r="46">
      <c r="A46" s="8"/>
      <c r="B46" s="3" t="str">
        <f>IFERROR(__xludf.DUMMYFUNCTION("IF(A46="""","""", 
  IFERROR(
    ROWS(
      UNIQUE(
        FILTER(
          Raw!A:A,
          Raw!J:J = A46,
          Raw!F:F = ""2v2""
        )
      )
    ),
    0
  )
)"),"")</f>
        <v/>
      </c>
      <c r="C46" s="9" t="str">
        <f>IFERROR(__xludf.DUMMYFUNCTION("IF(A46="""","""", 
  IFERROR(
    ROWS(
      UNIQUE(
        FILTER(
          Raw!A:A,
          Raw!J:J = A46,
          Raw!I:I = ""win"",
          Raw!F:F = ""2v2""
        )
      )
    ),
    0
  )
)"),"")</f>
        <v/>
      </c>
      <c r="D46" s="9" t="str">
        <f>IFERROR(__xludf.DUMMYFUNCTION("IF(A46="""","""", 
  IFERROR(
    ROWS(
      UNIQUE(
        FILTER(
          Raw!A:A,
          Raw!J:J = A46,
          Raw!I:I = ""loss"",
          Raw!F:F = ""2v2""
        )
      )
    ),
    0
  )
)"),"")</f>
        <v/>
      </c>
      <c r="E46" s="4"/>
      <c r="F46" s="5" t="str">
        <f>IFERROR(__xludf.DUMMYFUNCTION("IF(A46="""","""", 
  IFERROR(
    AVERAGE(
      UNIQUE(
        FILTER(
          Raw!N:N,
          Raw!J:J = A46,
          Raw!F:F = ""2v2""
        )
      )
    ),
    0
  )
)"),"")</f>
        <v/>
      </c>
      <c r="G46" s="5" t="str">
        <f>IFERROR(__xludf.DUMMYFUNCTION("IF(A46="""","""", 
  IFERROR(
    AVERAGE(
      UNIQUE(
        FILTER(
          Raw!R:R,
          Raw!J:J = A46,
          Raw!F:F = ""2v2""
        )
      )
    ),
    0
  )
)"),"")</f>
        <v/>
      </c>
      <c r="H46" s="5"/>
      <c r="I46" s="5"/>
      <c r="K46" s="5"/>
      <c r="M46" s="5"/>
      <c r="N46" s="5"/>
    </row>
    <row r="47">
      <c r="A47" s="8"/>
      <c r="B47" s="3" t="str">
        <f>IFERROR(__xludf.DUMMYFUNCTION("IF(A47="""","""", 
  IFERROR(
    ROWS(
      UNIQUE(
        FILTER(
          Raw!A:A,
          Raw!J:J = A47,
          Raw!F:F = ""2v2""
        )
      )
    ),
    0
  )
)"),"")</f>
        <v/>
      </c>
      <c r="C47" s="9" t="str">
        <f>IFERROR(__xludf.DUMMYFUNCTION("IF(A47="""","""", 
  IFERROR(
    ROWS(
      UNIQUE(
        FILTER(
          Raw!A:A,
          Raw!J:J = A47,
          Raw!I:I = ""win"",
          Raw!F:F = ""2v2""
        )
      )
    ),
    0
  )
)"),"")</f>
        <v/>
      </c>
      <c r="D47" s="9" t="str">
        <f>IFERROR(__xludf.DUMMYFUNCTION("IF(A47="""","""", 
  IFERROR(
    ROWS(
      UNIQUE(
        FILTER(
          Raw!A:A,
          Raw!J:J = A47,
          Raw!I:I = ""loss"",
          Raw!F:F = ""2v2""
        )
      )
    ),
    0
  )
)"),"")</f>
        <v/>
      </c>
      <c r="E47" s="4"/>
      <c r="F47" s="5" t="str">
        <f>IFERROR(__xludf.DUMMYFUNCTION("IF(A47="""","""", 
  IFERROR(
    AVERAGE(
      UNIQUE(
        FILTER(
          Raw!N:N,
          Raw!J:J = A47,
          Raw!F:F = ""2v2""
        )
      )
    ),
    0
  )
)"),"")</f>
        <v/>
      </c>
      <c r="G47" s="5" t="str">
        <f>IFERROR(__xludf.DUMMYFUNCTION("IF(A47="""","""", 
  IFERROR(
    AVERAGE(
      UNIQUE(
        FILTER(
          Raw!R:R,
          Raw!J:J = A47,
          Raw!F:F = ""2v2""
        )
      )
    ),
    0
  )
)"),"")</f>
        <v/>
      </c>
      <c r="H47" s="5"/>
      <c r="I47" s="5"/>
      <c r="K47" s="5"/>
      <c r="M47" s="5"/>
      <c r="N47" s="5"/>
    </row>
    <row r="48">
      <c r="A48" s="8"/>
      <c r="E48" s="4"/>
      <c r="F48" s="5" t="str">
        <f>IFERROR(__xludf.DUMMYFUNCTION("IF(A48="""","""", 
  IFERROR(
    AVERAGE(
      UNIQUE(
        FILTER(
          Raw!N:N,
          Raw!J:J = A48,
          Raw!F:F = ""2v2""
        )
      )
    ),
    0
  )
)"),"")</f>
        <v/>
      </c>
      <c r="G48" s="5" t="str">
        <f>IFERROR(__xludf.DUMMYFUNCTION("IF(A48="""","""", 
  IFERROR(
    AVERAGE(
      UNIQUE(
        FILTER(
          Raw!R:R,
          Raw!J:J = A48,
          Raw!F:F = ""2v2""
        )
      )
    ),
    0
  )
)"),"")</f>
        <v/>
      </c>
      <c r="H48" s="5"/>
      <c r="I48" s="5"/>
      <c r="K48" s="5"/>
      <c r="M48" s="5"/>
      <c r="N48" s="5"/>
    </row>
    <row r="49">
      <c r="A49" s="8"/>
      <c r="E49" s="4"/>
      <c r="F49" s="5" t="str">
        <f>IFERROR(__xludf.DUMMYFUNCTION("IF(A49="""","""", 
  IFERROR(
    AVERAGE(
      UNIQUE(
        FILTER(
          Raw!N:N,
          Raw!J:J = A49,
          Raw!F:F = ""2v2""
        )
      )
    ),
    0
  )
)"),"")</f>
        <v/>
      </c>
      <c r="G49" s="5" t="str">
        <f>IFERROR(__xludf.DUMMYFUNCTION("IF(A49="""","""", 
  IFERROR(
    AVERAGE(
      UNIQUE(
        FILTER(
          Raw!R:R,
          Raw!J:J = A49,
          Raw!F:F = ""2v2""
        )
      )
    ),
    0
  )
)"),"")</f>
        <v/>
      </c>
      <c r="H49" s="5"/>
      <c r="I49" s="5"/>
      <c r="K49" s="5"/>
      <c r="M49" s="5"/>
      <c r="N49" s="5"/>
    </row>
    <row r="50">
      <c r="A50" s="8"/>
      <c r="E50" s="4"/>
      <c r="F50" s="5" t="str">
        <f>IFERROR(__xludf.DUMMYFUNCTION("IF(A50="""","""", 
  IFERROR(
    AVERAGE(
      UNIQUE(
        FILTER(
          Raw!N:N,
          Raw!J:J = A50,
          Raw!F:F = ""2v2""
        )
      )
    ),
    0
  )
)"),"")</f>
        <v/>
      </c>
      <c r="G50" s="5" t="str">
        <f>IFERROR(__xludf.DUMMYFUNCTION("IF(A50="""","""", 
  IFERROR(
    AVERAGE(
      UNIQUE(
        FILTER(
          Raw!R:R,
          Raw!J:J = A50,
          Raw!F:F = ""2v2""
        )
      )
    ),
    0
  )
)"),"")</f>
        <v/>
      </c>
      <c r="H50" s="5"/>
      <c r="I50" s="5"/>
      <c r="K50" s="5"/>
      <c r="M50" s="5"/>
      <c r="N50" s="5"/>
    </row>
    <row r="51">
      <c r="A51" s="8"/>
      <c r="E51" s="4"/>
      <c r="F51" s="5" t="str">
        <f>IFERROR(__xludf.DUMMYFUNCTION("IF(A51="""","""", 
  IFERROR(
    AVERAGE(
      UNIQUE(
        FILTER(
          Raw!N:N,
          Raw!J:J = A51,
          Raw!F:F = ""2v2""
        )
      )
    ),
    0
  )
)"),"")</f>
        <v/>
      </c>
      <c r="G51" s="5" t="str">
        <f>IFERROR(__xludf.DUMMYFUNCTION("IF(A51="""","""", 
  IFERROR(
    AVERAGE(
      UNIQUE(
        FILTER(
          Raw!R:R,
          Raw!J:J = A51,
          Raw!F:F = ""2v2""
        )
      )
    ),
    0
  )
)"),"")</f>
        <v/>
      </c>
      <c r="H51" s="5"/>
      <c r="I51" s="5"/>
      <c r="K51" s="5"/>
      <c r="M51" s="5"/>
      <c r="N51" s="5"/>
    </row>
    <row r="52">
      <c r="A52" s="8"/>
      <c r="E52" s="4"/>
      <c r="F52" s="5" t="str">
        <f>IFERROR(__xludf.DUMMYFUNCTION("IF(A52="""","""", 
  IFERROR(
    AVERAGE(
      UNIQUE(
        FILTER(
          Raw!N:N,
          Raw!J:J = A52,
          Raw!F:F = ""2v2""
        )
      )
    ),
    0
  )
)"),"")</f>
        <v/>
      </c>
      <c r="G52" s="5" t="str">
        <f>IFERROR(__xludf.DUMMYFUNCTION("IF(A52="""","""", 
  IFERROR(
    AVERAGE(
      UNIQUE(
        FILTER(
          Raw!R:R,
          Raw!J:J = A52,
          Raw!F:F = ""2v2""
        )
      )
    ),
    0
  )
)"),"")</f>
        <v/>
      </c>
      <c r="H52" s="5"/>
      <c r="I52" s="5"/>
      <c r="K52" s="5"/>
      <c r="M52" s="5"/>
      <c r="N52" s="5"/>
    </row>
    <row r="53">
      <c r="A53" s="8"/>
      <c r="E53" s="4"/>
      <c r="G53" s="5"/>
      <c r="H53" s="5"/>
      <c r="I53" s="5"/>
      <c r="K53" s="5"/>
      <c r="M53" s="5"/>
      <c r="N53" s="5"/>
    </row>
    <row r="54">
      <c r="A54" s="8"/>
      <c r="E54" s="4"/>
      <c r="G54" s="5"/>
      <c r="H54" s="5"/>
      <c r="I54" s="5"/>
      <c r="K54" s="5"/>
      <c r="M54" s="5"/>
      <c r="N54" s="5"/>
    </row>
    <row r="55">
      <c r="A55" s="8"/>
      <c r="E55" s="4"/>
      <c r="G55" s="5"/>
      <c r="H55" s="5"/>
      <c r="I55" s="5"/>
      <c r="K55" s="5"/>
      <c r="M55" s="5"/>
      <c r="N55" s="5"/>
    </row>
    <row r="56">
      <c r="A56" s="8"/>
      <c r="E56" s="4"/>
      <c r="G56" s="5"/>
      <c r="H56" s="5"/>
      <c r="I56" s="5"/>
      <c r="K56" s="5"/>
      <c r="M56" s="5"/>
      <c r="N56" s="5"/>
    </row>
    <row r="57">
      <c r="A57" s="8"/>
      <c r="E57" s="4"/>
      <c r="G57" s="5"/>
      <c r="H57" s="5"/>
      <c r="I57" s="5"/>
      <c r="K57" s="5"/>
      <c r="M57" s="5"/>
      <c r="N57" s="5"/>
    </row>
    <row r="58">
      <c r="A58" s="8"/>
      <c r="E58" s="4"/>
      <c r="G58" s="5"/>
      <c r="H58" s="5"/>
      <c r="I58" s="5"/>
      <c r="K58" s="5"/>
      <c r="M58" s="5"/>
      <c r="N58" s="5"/>
    </row>
    <row r="59">
      <c r="A59" s="8"/>
      <c r="E59" s="4"/>
      <c r="G59" s="5"/>
      <c r="H59" s="5"/>
      <c r="I59" s="5"/>
      <c r="K59" s="5"/>
      <c r="M59" s="5"/>
      <c r="N59" s="5"/>
    </row>
    <row r="60">
      <c r="A60" s="8"/>
      <c r="E60" s="4"/>
      <c r="G60" s="5"/>
      <c r="H60" s="5"/>
      <c r="I60" s="5"/>
      <c r="K60" s="5"/>
      <c r="M60" s="5"/>
      <c r="N60" s="5"/>
    </row>
    <row r="61">
      <c r="A61" s="8"/>
      <c r="E61" s="4"/>
      <c r="G61" s="5"/>
      <c r="H61" s="5"/>
      <c r="I61" s="5"/>
      <c r="K61" s="5"/>
      <c r="M61" s="5"/>
      <c r="N61" s="5"/>
    </row>
    <row r="62">
      <c r="A62" s="8"/>
      <c r="E62" s="4"/>
      <c r="G62" s="5"/>
      <c r="H62" s="5"/>
      <c r="I62" s="5"/>
      <c r="K62" s="5"/>
      <c r="M62" s="5"/>
      <c r="N62" s="5"/>
    </row>
    <row r="63">
      <c r="A63" s="8"/>
      <c r="E63" s="4"/>
      <c r="G63" s="5"/>
      <c r="H63" s="5"/>
      <c r="I63" s="5"/>
      <c r="K63" s="5"/>
      <c r="M63" s="5"/>
      <c r="N63" s="5"/>
    </row>
    <row r="64">
      <c r="A64" s="8"/>
      <c r="E64" s="4"/>
      <c r="G64" s="5"/>
      <c r="H64" s="5"/>
      <c r="I64" s="5"/>
      <c r="K64" s="5"/>
      <c r="M64" s="5"/>
      <c r="N64" s="5"/>
    </row>
    <row r="65">
      <c r="A65" s="8"/>
      <c r="E65" s="4"/>
      <c r="G65" s="5"/>
      <c r="H65" s="5"/>
      <c r="I65" s="5"/>
      <c r="K65" s="5"/>
      <c r="M65" s="5"/>
      <c r="N65" s="5"/>
    </row>
    <row r="66">
      <c r="A66" s="8"/>
      <c r="E66" s="4"/>
      <c r="G66" s="5"/>
      <c r="H66" s="5"/>
      <c r="I66" s="5"/>
      <c r="K66" s="5"/>
      <c r="M66" s="5"/>
      <c r="N66" s="5"/>
    </row>
    <row r="67">
      <c r="A67" s="8"/>
      <c r="E67" s="4"/>
      <c r="G67" s="5"/>
      <c r="H67" s="5"/>
      <c r="I67" s="5"/>
      <c r="K67" s="5"/>
      <c r="M67" s="5"/>
      <c r="N67" s="5"/>
    </row>
    <row r="68">
      <c r="A68" s="8"/>
      <c r="E68" s="4"/>
      <c r="G68" s="5"/>
      <c r="H68" s="5"/>
      <c r="I68" s="5"/>
      <c r="K68" s="5"/>
      <c r="M68" s="5"/>
      <c r="N68" s="5"/>
    </row>
    <row r="69">
      <c r="A69" s="8"/>
      <c r="E69" s="4"/>
      <c r="G69" s="5"/>
      <c r="H69" s="5"/>
      <c r="I69" s="5"/>
      <c r="K69" s="5"/>
      <c r="M69" s="5"/>
      <c r="N69" s="5"/>
    </row>
    <row r="70">
      <c r="A70" s="8"/>
      <c r="E70" s="4"/>
      <c r="G70" s="5"/>
      <c r="H70" s="5"/>
      <c r="I70" s="5"/>
      <c r="K70" s="5"/>
      <c r="M70" s="5"/>
      <c r="N70" s="5"/>
    </row>
    <row r="71">
      <c r="A71" s="8"/>
      <c r="E71" s="4"/>
      <c r="G71" s="5"/>
      <c r="H71" s="5"/>
      <c r="I71" s="5"/>
      <c r="K71" s="5"/>
      <c r="M71" s="5"/>
      <c r="N71" s="5"/>
    </row>
    <row r="72">
      <c r="A72" s="8"/>
      <c r="E72" s="4"/>
      <c r="G72" s="5"/>
      <c r="H72" s="5"/>
      <c r="I72" s="5"/>
      <c r="K72" s="5"/>
      <c r="M72" s="5"/>
      <c r="N72" s="5"/>
    </row>
    <row r="73">
      <c r="A73" s="8"/>
      <c r="E73" s="4"/>
      <c r="G73" s="5"/>
      <c r="H73" s="5"/>
      <c r="I73" s="5"/>
      <c r="K73" s="5"/>
      <c r="M73" s="5"/>
      <c r="N73" s="5"/>
    </row>
    <row r="74">
      <c r="A74" s="8"/>
      <c r="E74" s="4"/>
      <c r="G74" s="5"/>
      <c r="H74" s="5"/>
      <c r="I74" s="5"/>
      <c r="K74" s="5"/>
      <c r="M74" s="5"/>
      <c r="N74" s="5"/>
    </row>
    <row r="75">
      <c r="A75" s="8"/>
      <c r="E75" s="4"/>
      <c r="G75" s="5"/>
      <c r="H75" s="5"/>
      <c r="I75" s="5"/>
      <c r="K75" s="5"/>
      <c r="M75" s="5"/>
      <c r="N75" s="5"/>
    </row>
    <row r="76">
      <c r="A76" s="8"/>
      <c r="E76" s="4"/>
      <c r="G76" s="5"/>
      <c r="H76" s="5"/>
      <c r="I76" s="5"/>
      <c r="K76" s="5"/>
      <c r="M76" s="5"/>
      <c r="N76" s="5"/>
    </row>
    <row r="77">
      <c r="A77" s="8"/>
      <c r="E77" s="4"/>
      <c r="G77" s="5"/>
      <c r="H77" s="5"/>
      <c r="I77" s="5"/>
      <c r="K77" s="5"/>
      <c r="M77" s="5"/>
      <c r="N77" s="5"/>
    </row>
    <row r="78">
      <c r="A78" s="8"/>
      <c r="E78" s="4"/>
      <c r="G78" s="5"/>
      <c r="H78" s="5"/>
      <c r="I78" s="5"/>
      <c r="K78" s="5"/>
      <c r="M78" s="5"/>
      <c r="N78" s="5"/>
    </row>
    <row r="79">
      <c r="A79" s="8"/>
      <c r="E79" s="4"/>
      <c r="G79" s="5"/>
      <c r="H79" s="5"/>
      <c r="I79" s="5"/>
      <c r="K79" s="5"/>
      <c r="M79" s="5"/>
      <c r="N79" s="5"/>
    </row>
    <row r="80">
      <c r="A80" s="8"/>
      <c r="E80" s="4"/>
      <c r="G80" s="5"/>
      <c r="H80" s="5"/>
      <c r="I80" s="5"/>
      <c r="K80" s="5"/>
      <c r="M80" s="5"/>
      <c r="N80" s="5"/>
    </row>
    <row r="81">
      <c r="A81" s="8"/>
      <c r="E81" s="4"/>
      <c r="G81" s="5"/>
      <c r="H81" s="5"/>
      <c r="I81" s="5"/>
      <c r="K81" s="5"/>
      <c r="M81" s="5"/>
      <c r="N81" s="5"/>
    </row>
    <row r="82">
      <c r="A82" s="8"/>
      <c r="E82" s="4"/>
      <c r="G82" s="5"/>
      <c r="H82" s="5"/>
      <c r="I82" s="5"/>
      <c r="K82" s="5"/>
      <c r="M82" s="5"/>
      <c r="N82" s="5"/>
    </row>
    <row r="83">
      <c r="A83" s="8"/>
      <c r="E83" s="4"/>
      <c r="G83" s="5"/>
      <c r="H83" s="5"/>
      <c r="I83" s="5"/>
      <c r="K83" s="5"/>
      <c r="M83" s="5"/>
      <c r="N83" s="5"/>
    </row>
    <row r="84">
      <c r="A84" s="8"/>
      <c r="E84" s="4"/>
      <c r="G84" s="5"/>
      <c r="H84" s="5"/>
      <c r="I84" s="5"/>
      <c r="K84" s="5"/>
      <c r="M84" s="5"/>
      <c r="N84" s="5"/>
    </row>
    <row r="85">
      <c r="A85" s="8"/>
      <c r="E85" s="4"/>
      <c r="G85" s="5"/>
      <c r="H85" s="5"/>
      <c r="I85" s="5"/>
      <c r="K85" s="5"/>
      <c r="M85" s="5"/>
      <c r="N85" s="5"/>
    </row>
    <row r="86">
      <c r="A86" s="8"/>
      <c r="E86" s="4"/>
      <c r="G86" s="5"/>
      <c r="H86" s="5"/>
      <c r="I86" s="5"/>
      <c r="K86" s="5"/>
      <c r="M86" s="5"/>
      <c r="N86" s="5"/>
    </row>
    <row r="87">
      <c r="A87" s="8"/>
      <c r="E87" s="4"/>
      <c r="G87" s="5"/>
      <c r="H87" s="5"/>
      <c r="I87" s="5"/>
      <c r="K87" s="5"/>
      <c r="M87" s="5"/>
      <c r="N87" s="5"/>
    </row>
    <row r="88">
      <c r="A88" s="8"/>
      <c r="E88" s="4"/>
      <c r="G88" s="5"/>
      <c r="H88" s="5"/>
      <c r="I88" s="5"/>
      <c r="K88" s="5"/>
      <c r="M88" s="5"/>
      <c r="N88" s="5"/>
    </row>
    <row r="89">
      <c r="A89" s="8"/>
      <c r="E89" s="4"/>
      <c r="G89" s="5"/>
      <c r="H89" s="5"/>
      <c r="I89" s="5"/>
      <c r="K89" s="5"/>
      <c r="M89" s="5"/>
      <c r="N89" s="5"/>
    </row>
    <row r="90">
      <c r="A90" s="8"/>
      <c r="E90" s="4"/>
      <c r="G90" s="5"/>
      <c r="H90" s="5"/>
      <c r="I90" s="5"/>
      <c r="K90" s="5"/>
      <c r="M90" s="5"/>
      <c r="N90" s="5"/>
    </row>
    <row r="91">
      <c r="A91" s="8"/>
      <c r="E91" s="4"/>
      <c r="G91" s="5"/>
      <c r="H91" s="5"/>
      <c r="I91" s="5"/>
      <c r="K91" s="5"/>
      <c r="M91" s="5"/>
      <c r="N91" s="5"/>
    </row>
    <row r="92">
      <c r="A92" s="8"/>
      <c r="E92" s="4"/>
      <c r="G92" s="5"/>
      <c r="H92" s="5"/>
      <c r="I92" s="5"/>
      <c r="K92" s="5"/>
      <c r="M92" s="5"/>
      <c r="N92" s="5"/>
    </row>
    <row r="93">
      <c r="A93" s="8"/>
      <c r="E93" s="4"/>
      <c r="G93" s="5"/>
      <c r="H93" s="5"/>
      <c r="I93" s="5"/>
      <c r="K93" s="5"/>
      <c r="M93" s="5"/>
      <c r="N93" s="5"/>
    </row>
    <row r="94">
      <c r="A94" s="8"/>
      <c r="E94" s="4"/>
      <c r="G94" s="5"/>
      <c r="H94" s="5"/>
      <c r="I94" s="5"/>
      <c r="K94" s="5"/>
      <c r="M94" s="5"/>
      <c r="N94" s="5"/>
    </row>
    <row r="95">
      <c r="A95" s="8"/>
      <c r="E95" s="4"/>
      <c r="G95" s="5"/>
      <c r="H95" s="5"/>
      <c r="I95" s="5"/>
      <c r="K95" s="5"/>
      <c r="M95" s="5"/>
      <c r="N95" s="5"/>
    </row>
    <row r="96">
      <c r="A96" s="8"/>
      <c r="E96" s="4"/>
      <c r="G96" s="5"/>
      <c r="H96" s="5"/>
      <c r="I96" s="5"/>
      <c r="K96" s="5"/>
      <c r="M96" s="5"/>
      <c r="N96" s="5"/>
    </row>
    <row r="97">
      <c r="A97" s="8"/>
      <c r="E97" s="4"/>
      <c r="G97" s="5"/>
      <c r="H97" s="5"/>
      <c r="I97" s="5"/>
      <c r="K97" s="5"/>
      <c r="M97" s="5"/>
      <c r="N97" s="5"/>
    </row>
    <row r="98">
      <c r="A98" s="8"/>
      <c r="E98" s="4"/>
      <c r="G98" s="5"/>
      <c r="H98" s="5"/>
      <c r="I98" s="5"/>
      <c r="K98" s="5"/>
      <c r="M98" s="5"/>
      <c r="N98" s="5"/>
    </row>
    <row r="99">
      <c r="A99" s="8"/>
      <c r="E99" s="4"/>
      <c r="G99" s="5"/>
      <c r="H99" s="5"/>
      <c r="I99" s="5"/>
      <c r="K99" s="5"/>
      <c r="M99" s="5"/>
      <c r="N99" s="5"/>
    </row>
    <row r="100">
      <c r="A100" s="8"/>
      <c r="E100" s="4"/>
      <c r="G100" s="5"/>
      <c r="H100" s="5"/>
      <c r="I100" s="5"/>
      <c r="K100" s="5"/>
      <c r="M100" s="5"/>
      <c r="N100" s="5"/>
    </row>
    <row r="101">
      <c r="A101" s="8"/>
      <c r="E101" s="4"/>
      <c r="G101" s="5"/>
      <c r="H101" s="5"/>
      <c r="I101" s="5"/>
      <c r="K101" s="5"/>
      <c r="M101" s="5"/>
      <c r="N101" s="5"/>
    </row>
    <row r="102">
      <c r="A102" s="8"/>
      <c r="E102" s="4"/>
      <c r="G102" s="5"/>
      <c r="H102" s="5"/>
      <c r="I102" s="5"/>
      <c r="K102" s="5"/>
      <c r="M102" s="5"/>
      <c r="N102" s="5"/>
    </row>
    <row r="103">
      <c r="A103" s="8"/>
      <c r="E103" s="4"/>
      <c r="G103" s="5"/>
      <c r="H103" s="5"/>
      <c r="I103" s="5"/>
      <c r="K103" s="5"/>
      <c r="M103" s="5"/>
      <c r="N103" s="5"/>
    </row>
    <row r="104">
      <c r="A104" s="8"/>
      <c r="E104" s="4"/>
      <c r="G104" s="5"/>
      <c r="H104" s="5"/>
      <c r="I104" s="5"/>
      <c r="K104" s="5"/>
      <c r="M104" s="5"/>
      <c r="N104" s="5"/>
    </row>
    <row r="105">
      <c r="A105" s="8"/>
      <c r="E105" s="4"/>
      <c r="G105" s="5"/>
      <c r="H105" s="5"/>
      <c r="I105" s="5"/>
      <c r="K105" s="5"/>
      <c r="M105" s="5"/>
      <c r="N105" s="5"/>
    </row>
    <row r="106">
      <c r="A106" s="8"/>
      <c r="E106" s="4"/>
      <c r="G106" s="5"/>
      <c r="H106" s="5"/>
      <c r="I106" s="5"/>
      <c r="K106" s="5"/>
      <c r="M106" s="5"/>
      <c r="N106" s="5"/>
    </row>
    <row r="107">
      <c r="A107" s="8"/>
      <c r="E107" s="4"/>
      <c r="G107" s="5"/>
      <c r="H107" s="5"/>
      <c r="I107" s="5"/>
      <c r="K107" s="5"/>
      <c r="M107" s="5"/>
      <c r="N107" s="5"/>
    </row>
    <row r="108">
      <c r="A108" s="8"/>
      <c r="E108" s="4"/>
      <c r="G108" s="5"/>
      <c r="H108" s="5"/>
      <c r="I108" s="5"/>
      <c r="K108" s="5"/>
      <c r="M108" s="5"/>
      <c r="N108" s="5"/>
    </row>
    <row r="109">
      <c r="A109" s="8"/>
      <c r="E109" s="4"/>
      <c r="G109" s="5"/>
      <c r="H109" s="5"/>
      <c r="I109" s="5"/>
      <c r="K109" s="5"/>
      <c r="M109" s="5"/>
      <c r="N109" s="5"/>
    </row>
    <row r="110">
      <c r="A110" s="8"/>
      <c r="E110" s="4"/>
      <c r="G110" s="5"/>
      <c r="H110" s="5"/>
      <c r="I110" s="5"/>
      <c r="K110" s="5"/>
      <c r="M110" s="5"/>
      <c r="N110" s="5"/>
    </row>
    <row r="111">
      <c r="A111" s="8"/>
      <c r="E111" s="4"/>
      <c r="G111" s="5"/>
      <c r="H111" s="5"/>
      <c r="I111" s="5"/>
      <c r="K111" s="5"/>
      <c r="M111" s="5"/>
      <c r="N111" s="5"/>
    </row>
    <row r="112">
      <c r="A112" s="8"/>
      <c r="E112" s="4"/>
      <c r="G112" s="5"/>
      <c r="H112" s="5"/>
      <c r="I112" s="5"/>
      <c r="K112" s="5"/>
      <c r="M112" s="5"/>
      <c r="N112" s="5"/>
    </row>
    <row r="113">
      <c r="A113" s="8"/>
      <c r="E113" s="4"/>
      <c r="G113" s="5"/>
      <c r="H113" s="5"/>
      <c r="I113" s="5"/>
      <c r="K113" s="5"/>
      <c r="M113" s="5"/>
      <c r="N113" s="5"/>
    </row>
    <row r="114">
      <c r="A114" s="8"/>
      <c r="E114" s="4"/>
      <c r="G114" s="5"/>
      <c r="H114" s="5"/>
      <c r="I114" s="5"/>
      <c r="K114" s="5"/>
      <c r="M114" s="5"/>
      <c r="N114" s="5"/>
    </row>
    <row r="115">
      <c r="A115" s="8"/>
      <c r="E115" s="4"/>
      <c r="G115" s="5"/>
      <c r="H115" s="5"/>
      <c r="I115" s="5"/>
      <c r="K115" s="5"/>
      <c r="M115" s="5"/>
      <c r="N115" s="5"/>
    </row>
    <row r="116">
      <c r="A116" s="8"/>
      <c r="E116" s="4"/>
      <c r="G116" s="5"/>
      <c r="H116" s="5"/>
      <c r="I116" s="5"/>
      <c r="K116" s="5"/>
      <c r="M116" s="5"/>
      <c r="N116" s="5"/>
    </row>
    <row r="117">
      <c r="A117" s="8"/>
      <c r="E117" s="4"/>
      <c r="G117" s="5"/>
      <c r="H117" s="5"/>
      <c r="I117" s="5"/>
      <c r="K117" s="5"/>
      <c r="M117" s="5"/>
      <c r="N117" s="5"/>
    </row>
    <row r="118">
      <c r="A118" s="8"/>
      <c r="E118" s="4"/>
      <c r="G118" s="5"/>
      <c r="H118" s="5"/>
      <c r="I118" s="5"/>
      <c r="K118" s="5"/>
      <c r="M118" s="5"/>
      <c r="N118" s="5"/>
    </row>
    <row r="119">
      <c r="A119" s="8"/>
      <c r="E119" s="4"/>
      <c r="G119" s="5"/>
      <c r="H119" s="5"/>
      <c r="I119" s="5"/>
      <c r="K119" s="5"/>
      <c r="M119" s="5"/>
      <c r="N119" s="5"/>
    </row>
    <row r="120">
      <c r="A120" s="8"/>
      <c r="E120" s="4"/>
      <c r="G120" s="5"/>
      <c r="H120" s="5"/>
      <c r="I120" s="5"/>
      <c r="K120" s="5"/>
      <c r="M120" s="5"/>
      <c r="N120" s="5"/>
    </row>
    <row r="121">
      <c r="A121" s="8"/>
      <c r="E121" s="4"/>
      <c r="G121" s="5"/>
      <c r="H121" s="5"/>
      <c r="I121" s="5"/>
      <c r="K121" s="5"/>
      <c r="M121" s="5"/>
      <c r="N121" s="5"/>
    </row>
    <row r="122">
      <c r="A122" s="8"/>
      <c r="E122" s="4"/>
      <c r="G122" s="5"/>
      <c r="H122" s="5"/>
      <c r="I122" s="5"/>
      <c r="K122" s="5"/>
      <c r="M122" s="5"/>
      <c r="N122" s="5"/>
    </row>
    <row r="123">
      <c r="A123" s="8"/>
      <c r="E123" s="4"/>
      <c r="G123" s="5"/>
      <c r="H123" s="5"/>
      <c r="I123" s="5"/>
      <c r="K123" s="5"/>
      <c r="M123" s="5"/>
      <c r="N123" s="5"/>
    </row>
    <row r="124">
      <c r="A124" s="8"/>
      <c r="E124" s="4"/>
      <c r="G124" s="5"/>
      <c r="H124" s="5"/>
      <c r="I124" s="5"/>
      <c r="K124" s="5"/>
      <c r="M124" s="5"/>
      <c r="N124" s="5"/>
    </row>
    <row r="125">
      <c r="A125" s="8"/>
      <c r="E125" s="4"/>
      <c r="G125" s="5"/>
      <c r="H125" s="5"/>
      <c r="I125" s="5"/>
      <c r="K125" s="5"/>
      <c r="M125" s="5"/>
      <c r="N125" s="5"/>
    </row>
    <row r="126">
      <c r="A126" s="8"/>
      <c r="E126" s="4"/>
      <c r="G126" s="5"/>
      <c r="H126" s="5"/>
      <c r="I126" s="5"/>
      <c r="K126" s="5"/>
      <c r="M126" s="5"/>
      <c r="N126" s="5"/>
    </row>
    <row r="127">
      <c r="A127" s="8"/>
      <c r="E127" s="4"/>
      <c r="G127" s="5"/>
      <c r="H127" s="5"/>
      <c r="I127" s="5"/>
      <c r="K127" s="5"/>
      <c r="M127" s="5"/>
      <c r="N127" s="5"/>
    </row>
    <row r="128">
      <c r="A128" s="8"/>
      <c r="E128" s="4"/>
      <c r="G128" s="5"/>
      <c r="H128" s="5"/>
      <c r="I128" s="5"/>
      <c r="K128" s="5"/>
      <c r="M128" s="5"/>
      <c r="N128" s="5"/>
    </row>
    <row r="129">
      <c r="A129" s="8"/>
      <c r="E129" s="4"/>
      <c r="G129" s="5"/>
      <c r="H129" s="5"/>
      <c r="I129" s="5"/>
      <c r="K129" s="5"/>
      <c r="M129" s="5"/>
      <c r="N129" s="5"/>
    </row>
    <row r="130">
      <c r="A130" s="8"/>
      <c r="E130" s="4"/>
      <c r="G130" s="5"/>
      <c r="H130" s="5"/>
      <c r="I130" s="5"/>
      <c r="K130" s="5"/>
      <c r="M130" s="5"/>
      <c r="N130" s="5"/>
    </row>
    <row r="131">
      <c r="A131" s="8"/>
      <c r="E131" s="4"/>
      <c r="G131" s="5"/>
      <c r="H131" s="5"/>
      <c r="I131" s="5"/>
      <c r="K131" s="5"/>
      <c r="M131" s="5"/>
      <c r="N131" s="5"/>
    </row>
    <row r="132">
      <c r="A132" s="8"/>
      <c r="E132" s="4"/>
      <c r="G132" s="5"/>
      <c r="H132" s="5"/>
      <c r="I132" s="5"/>
      <c r="K132" s="5"/>
      <c r="M132" s="5"/>
      <c r="N132" s="5"/>
    </row>
    <row r="133">
      <c r="A133" s="8"/>
      <c r="E133" s="4"/>
      <c r="G133" s="5"/>
      <c r="H133" s="5"/>
      <c r="I133" s="5"/>
      <c r="K133" s="5"/>
      <c r="M133" s="5"/>
      <c r="N133" s="5"/>
    </row>
    <row r="134">
      <c r="A134" s="8"/>
      <c r="E134" s="4"/>
      <c r="G134" s="5"/>
      <c r="H134" s="5"/>
      <c r="I134" s="5"/>
      <c r="K134" s="5"/>
      <c r="M134" s="5"/>
      <c r="N134" s="5"/>
    </row>
    <row r="135">
      <c r="A135" s="8"/>
      <c r="E135" s="4"/>
      <c r="G135" s="5"/>
      <c r="H135" s="5"/>
      <c r="I135" s="5"/>
      <c r="K135" s="5"/>
      <c r="M135" s="5"/>
      <c r="N135" s="5"/>
    </row>
    <row r="136">
      <c r="A136" s="8"/>
      <c r="E136" s="4"/>
      <c r="G136" s="5"/>
      <c r="H136" s="5"/>
      <c r="I136" s="5"/>
      <c r="K136" s="5"/>
      <c r="M136" s="5"/>
      <c r="N136" s="5"/>
    </row>
    <row r="137">
      <c r="A137" s="8"/>
      <c r="E137" s="4"/>
      <c r="G137" s="5"/>
      <c r="H137" s="5"/>
      <c r="I137" s="5"/>
      <c r="K137" s="5"/>
      <c r="M137" s="5"/>
      <c r="N137" s="5"/>
    </row>
    <row r="138">
      <c r="A138" s="8"/>
      <c r="E138" s="4"/>
      <c r="G138" s="5"/>
      <c r="H138" s="5"/>
      <c r="I138" s="5"/>
      <c r="K138" s="5"/>
      <c r="M138" s="5"/>
      <c r="N138" s="5"/>
    </row>
    <row r="139">
      <c r="A139" s="8"/>
      <c r="E139" s="4"/>
      <c r="G139" s="5"/>
      <c r="H139" s="5"/>
      <c r="I139" s="5"/>
      <c r="K139" s="5"/>
      <c r="M139" s="5"/>
      <c r="N139" s="5"/>
    </row>
    <row r="140">
      <c r="A140" s="8"/>
      <c r="E140" s="4"/>
      <c r="G140" s="5"/>
      <c r="H140" s="5"/>
      <c r="I140" s="5"/>
      <c r="K140" s="5"/>
      <c r="M140" s="5"/>
      <c r="N140" s="5"/>
    </row>
    <row r="141">
      <c r="A141" s="8"/>
      <c r="E141" s="4"/>
      <c r="G141" s="5"/>
      <c r="H141" s="5"/>
      <c r="I141" s="5"/>
      <c r="K141" s="5"/>
      <c r="M141" s="5"/>
      <c r="N141" s="5"/>
    </row>
    <row r="142">
      <c r="A142" s="8"/>
      <c r="E142" s="4"/>
      <c r="G142" s="5"/>
      <c r="H142" s="5"/>
      <c r="I142" s="5"/>
      <c r="K142" s="5"/>
      <c r="M142" s="5"/>
      <c r="N142" s="5"/>
    </row>
    <row r="143">
      <c r="A143" s="8"/>
      <c r="E143" s="4"/>
      <c r="G143" s="5"/>
      <c r="H143" s="5"/>
      <c r="I143" s="5"/>
      <c r="K143" s="5"/>
      <c r="M143" s="5"/>
      <c r="N143" s="5"/>
    </row>
    <row r="144">
      <c r="A144" s="8"/>
      <c r="E144" s="4"/>
      <c r="G144" s="5"/>
      <c r="H144" s="5"/>
      <c r="I144" s="5"/>
      <c r="K144" s="5"/>
      <c r="M144" s="5"/>
      <c r="N144" s="5"/>
    </row>
    <row r="145">
      <c r="A145" s="8"/>
      <c r="E145" s="4"/>
      <c r="G145" s="5"/>
      <c r="H145" s="5"/>
      <c r="I145" s="5"/>
      <c r="K145" s="5"/>
      <c r="M145" s="5"/>
      <c r="N145" s="5"/>
    </row>
    <row r="146">
      <c r="A146" s="8"/>
      <c r="E146" s="4"/>
      <c r="G146" s="5"/>
      <c r="H146" s="5"/>
      <c r="I146" s="5"/>
      <c r="K146" s="5"/>
      <c r="M146" s="5"/>
      <c r="N146" s="5"/>
    </row>
    <row r="147">
      <c r="A147" s="8"/>
      <c r="E147" s="4"/>
      <c r="G147" s="5"/>
      <c r="H147" s="5"/>
      <c r="I147" s="5"/>
      <c r="K147" s="5"/>
      <c r="M147" s="5"/>
      <c r="N147" s="5"/>
    </row>
    <row r="148">
      <c r="A148" s="8"/>
      <c r="E148" s="4"/>
      <c r="G148" s="5"/>
      <c r="H148" s="5"/>
      <c r="I148" s="5"/>
      <c r="K148" s="5"/>
      <c r="M148" s="5"/>
      <c r="N148" s="5"/>
    </row>
    <row r="149">
      <c r="A149" s="8"/>
      <c r="E149" s="4"/>
      <c r="G149" s="5"/>
      <c r="H149" s="5"/>
      <c r="I149" s="5"/>
      <c r="K149" s="5"/>
      <c r="M149" s="5"/>
      <c r="N149" s="5"/>
    </row>
    <row r="150">
      <c r="A150" s="8"/>
      <c r="E150" s="4"/>
      <c r="G150" s="5"/>
      <c r="H150" s="5"/>
      <c r="I150" s="5"/>
      <c r="K150" s="5"/>
      <c r="M150" s="5"/>
      <c r="N150" s="5"/>
    </row>
    <row r="151">
      <c r="A151" s="8"/>
      <c r="E151" s="4"/>
      <c r="G151" s="5"/>
      <c r="H151" s="5"/>
      <c r="I151" s="5"/>
      <c r="K151" s="5"/>
      <c r="M151" s="5"/>
      <c r="N151" s="5"/>
    </row>
    <row r="152">
      <c r="A152" s="8"/>
      <c r="E152" s="4"/>
      <c r="G152" s="5"/>
      <c r="H152" s="5"/>
      <c r="I152" s="5"/>
      <c r="K152" s="5"/>
      <c r="M152" s="5"/>
      <c r="N152" s="5"/>
    </row>
    <row r="153">
      <c r="A153" s="8"/>
      <c r="E153" s="4"/>
      <c r="G153" s="5"/>
      <c r="H153" s="5"/>
      <c r="I153" s="5"/>
      <c r="K153" s="5"/>
      <c r="M153" s="5"/>
      <c r="N153" s="5"/>
    </row>
    <row r="154">
      <c r="A154" s="8"/>
      <c r="E154" s="4"/>
      <c r="G154" s="5"/>
      <c r="H154" s="5"/>
      <c r="I154" s="5"/>
      <c r="K154" s="5"/>
      <c r="M154" s="5"/>
      <c r="N154" s="5"/>
    </row>
    <row r="155">
      <c r="A155" s="8"/>
      <c r="E155" s="4"/>
      <c r="G155" s="5"/>
      <c r="H155" s="5"/>
      <c r="I155" s="5"/>
      <c r="K155" s="5"/>
      <c r="M155" s="5"/>
      <c r="N155" s="5"/>
    </row>
    <row r="156">
      <c r="A156" s="8"/>
      <c r="E156" s="4"/>
      <c r="G156" s="5"/>
      <c r="H156" s="5"/>
      <c r="I156" s="5"/>
      <c r="K156" s="5"/>
      <c r="M156" s="5"/>
      <c r="N156" s="5"/>
    </row>
    <row r="157">
      <c r="A157" s="8"/>
      <c r="E157" s="4"/>
      <c r="G157" s="5"/>
      <c r="H157" s="5"/>
      <c r="I157" s="5"/>
      <c r="K157" s="5"/>
      <c r="M157" s="5"/>
      <c r="N157" s="5"/>
    </row>
    <row r="158">
      <c r="A158" s="8"/>
      <c r="E158" s="4"/>
      <c r="G158" s="5"/>
      <c r="H158" s="5"/>
      <c r="I158" s="5"/>
      <c r="K158" s="5"/>
      <c r="M158" s="5"/>
      <c r="N158" s="5"/>
    </row>
    <row r="159">
      <c r="A159" s="8"/>
      <c r="E159" s="4"/>
      <c r="G159" s="5"/>
      <c r="H159" s="5"/>
      <c r="I159" s="5"/>
      <c r="K159" s="5"/>
      <c r="M159" s="5"/>
      <c r="N159" s="5"/>
    </row>
    <row r="160">
      <c r="A160" s="8"/>
      <c r="E160" s="4"/>
      <c r="G160" s="5"/>
      <c r="H160" s="5"/>
      <c r="I160" s="5"/>
      <c r="K160" s="5"/>
      <c r="M160" s="5"/>
      <c r="N160" s="5"/>
    </row>
    <row r="161">
      <c r="A161" s="8"/>
      <c r="E161" s="4"/>
      <c r="G161" s="5"/>
      <c r="H161" s="5"/>
      <c r="I161" s="5"/>
      <c r="K161" s="5"/>
      <c r="M161" s="5"/>
      <c r="N161" s="5"/>
    </row>
    <row r="162">
      <c r="A162" s="8"/>
      <c r="E162" s="4"/>
      <c r="G162" s="5"/>
      <c r="H162" s="5"/>
      <c r="I162" s="5"/>
      <c r="K162" s="5"/>
      <c r="M162" s="5"/>
      <c r="N162" s="5"/>
    </row>
    <row r="163">
      <c r="A163" s="8"/>
      <c r="E163" s="4"/>
      <c r="G163" s="5"/>
      <c r="H163" s="5"/>
      <c r="I163" s="5"/>
      <c r="K163" s="5"/>
      <c r="M163" s="5"/>
      <c r="N163" s="5"/>
    </row>
    <row r="164">
      <c r="A164" s="8"/>
      <c r="E164" s="4"/>
      <c r="G164" s="5"/>
      <c r="H164" s="5"/>
      <c r="I164" s="5"/>
      <c r="K164" s="5"/>
      <c r="M164" s="5"/>
      <c r="N164" s="5"/>
    </row>
    <row r="165">
      <c r="A165" s="8"/>
      <c r="E165" s="4"/>
      <c r="G165" s="5"/>
      <c r="H165" s="5"/>
      <c r="I165" s="5"/>
      <c r="K165" s="5"/>
      <c r="M165" s="5"/>
      <c r="N165" s="5"/>
    </row>
    <row r="166">
      <c r="A166" s="8"/>
      <c r="E166" s="4"/>
      <c r="G166" s="5"/>
      <c r="H166" s="5"/>
      <c r="I166" s="5"/>
      <c r="K166" s="5"/>
      <c r="M166" s="5"/>
      <c r="N166" s="5"/>
    </row>
    <row r="167">
      <c r="A167" s="8"/>
      <c r="E167" s="4"/>
      <c r="G167" s="5"/>
      <c r="H167" s="5"/>
      <c r="I167" s="5"/>
      <c r="K167" s="5"/>
      <c r="M167" s="5"/>
      <c r="N167" s="5"/>
    </row>
    <row r="168">
      <c r="A168" s="8"/>
      <c r="E168" s="4"/>
      <c r="G168" s="5"/>
      <c r="H168" s="5"/>
      <c r="I168" s="5"/>
      <c r="K168" s="5"/>
      <c r="M168" s="5"/>
      <c r="N168" s="5"/>
    </row>
    <row r="169">
      <c r="A169" s="8"/>
      <c r="E169" s="4"/>
      <c r="G169" s="5"/>
      <c r="H169" s="5"/>
      <c r="I169" s="5"/>
      <c r="K169" s="5"/>
      <c r="M169" s="5"/>
      <c r="N169" s="5"/>
    </row>
    <row r="170">
      <c r="A170" s="8"/>
      <c r="E170" s="4"/>
      <c r="G170" s="5"/>
      <c r="H170" s="5"/>
      <c r="I170" s="5"/>
      <c r="K170" s="5"/>
      <c r="M170" s="5"/>
      <c r="N170" s="5"/>
    </row>
    <row r="171">
      <c r="A171" s="8"/>
      <c r="E171" s="4"/>
      <c r="G171" s="5"/>
      <c r="H171" s="5"/>
      <c r="I171" s="5"/>
      <c r="K171" s="5"/>
      <c r="M171" s="5"/>
      <c r="N171" s="5"/>
    </row>
    <row r="172">
      <c r="A172" s="8"/>
      <c r="E172" s="4"/>
      <c r="G172" s="5"/>
      <c r="H172" s="5"/>
      <c r="I172" s="5"/>
      <c r="K172" s="5"/>
      <c r="M172" s="5"/>
      <c r="N172" s="5"/>
    </row>
    <row r="173">
      <c r="A173" s="8"/>
      <c r="E173" s="4"/>
      <c r="G173" s="5"/>
      <c r="H173" s="5"/>
      <c r="I173" s="5"/>
      <c r="K173" s="5"/>
      <c r="M173" s="5"/>
      <c r="N173" s="5"/>
    </row>
    <row r="174">
      <c r="A174" s="8"/>
      <c r="E174" s="4"/>
      <c r="G174" s="5"/>
      <c r="H174" s="5"/>
      <c r="I174" s="5"/>
      <c r="K174" s="5"/>
      <c r="M174" s="5"/>
      <c r="N174" s="5"/>
    </row>
    <row r="175">
      <c r="A175" s="8"/>
      <c r="E175" s="4"/>
      <c r="G175" s="5"/>
      <c r="H175" s="5"/>
      <c r="I175" s="5"/>
      <c r="K175" s="5"/>
      <c r="M175" s="5"/>
      <c r="N175" s="5"/>
    </row>
    <row r="176">
      <c r="A176" s="8"/>
      <c r="E176" s="4"/>
      <c r="G176" s="5"/>
      <c r="H176" s="5"/>
      <c r="I176" s="5"/>
      <c r="K176" s="5"/>
      <c r="M176" s="5"/>
      <c r="N176" s="5"/>
    </row>
    <row r="177">
      <c r="A177" s="8"/>
      <c r="E177" s="4"/>
      <c r="G177" s="5"/>
      <c r="H177" s="5"/>
      <c r="I177" s="5"/>
      <c r="K177" s="5"/>
      <c r="M177" s="5"/>
      <c r="N177" s="5"/>
    </row>
    <row r="178">
      <c r="A178" s="8"/>
      <c r="E178" s="4"/>
      <c r="G178" s="5"/>
      <c r="H178" s="5"/>
      <c r="I178" s="5"/>
      <c r="K178" s="5"/>
      <c r="M178" s="5"/>
      <c r="N178" s="5"/>
    </row>
    <row r="179">
      <c r="A179" s="8"/>
      <c r="E179" s="4"/>
      <c r="G179" s="5"/>
      <c r="H179" s="5"/>
      <c r="I179" s="5"/>
      <c r="K179" s="5"/>
      <c r="M179" s="5"/>
      <c r="N179" s="5"/>
    </row>
    <row r="180">
      <c r="A180" s="8"/>
      <c r="E180" s="4"/>
      <c r="G180" s="5"/>
      <c r="H180" s="5"/>
      <c r="I180" s="5"/>
      <c r="K180" s="5"/>
      <c r="M180" s="5"/>
      <c r="N180" s="5"/>
    </row>
    <row r="181">
      <c r="A181" s="8"/>
      <c r="E181" s="4"/>
      <c r="G181" s="5"/>
      <c r="H181" s="5"/>
      <c r="I181" s="5"/>
      <c r="K181" s="5"/>
      <c r="M181" s="5"/>
      <c r="N181" s="5"/>
    </row>
    <row r="182">
      <c r="A182" s="8"/>
      <c r="E182" s="4"/>
      <c r="G182" s="5"/>
      <c r="H182" s="5"/>
      <c r="I182" s="5"/>
      <c r="K182" s="5"/>
      <c r="M182" s="5"/>
      <c r="N182" s="5"/>
    </row>
    <row r="183">
      <c r="A183" s="8"/>
      <c r="E183" s="4"/>
      <c r="G183" s="5"/>
      <c r="H183" s="5"/>
      <c r="I183" s="5"/>
      <c r="K183" s="5"/>
      <c r="M183" s="5"/>
      <c r="N183" s="5"/>
    </row>
    <row r="184">
      <c r="A184" s="8"/>
      <c r="E184" s="4"/>
      <c r="G184" s="5"/>
      <c r="H184" s="5"/>
      <c r="I184" s="5"/>
      <c r="K184" s="5"/>
      <c r="M184" s="5"/>
      <c r="N184" s="5"/>
    </row>
    <row r="185">
      <c r="A185" s="8"/>
      <c r="E185" s="4"/>
      <c r="G185" s="5"/>
      <c r="H185" s="5"/>
      <c r="I185" s="5"/>
      <c r="K185" s="5"/>
      <c r="M185" s="5"/>
      <c r="N185" s="5"/>
    </row>
    <row r="186">
      <c r="A186" s="8"/>
      <c r="E186" s="4"/>
      <c r="G186" s="5"/>
      <c r="H186" s="5"/>
      <c r="I186" s="5"/>
      <c r="K186" s="5"/>
      <c r="M186" s="5"/>
      <c r="N186" s="5"/>
    </row>
    <row r="187">
      <c r="A187" s="8"/>
      <c r="E187" s="4"/>
      <c r="G187" s="5"/>
      <c r="H187" s="5"/>
      <c r="I187" s="5"/>
      <c r="K187" s="5"/>
      <c r="M187" s="5"/>
      <c r="N187" s="5"/>
    </row>
    <row r="188">
      <c r="A188" s="8"/>
      <c r="E188" s="4"/>
      <c r="G188" s="5"/>
      <c r="H188" s="5"/>
      <c r="I188" s="5"/>
      <c r="K188" s="5"/>
      <c r="M188" s="5"/>
      <c r="N188" s="5"/>
    </row>
    <row r="189">
      <c r="A189" s="8"/>
      <c r="E189" s="4"/>
      <c r="G189" s="5"/>
      <c r="H189" s="5"/>
      <c r="I189" s="5"/>
      <c r="K189" s="5"/>
      <c r="M189" s="5"/>
      <c r="N189" s="5"/>
    </row>
    <row r="190">
      <c r="A190" s="8"/>
      <c r="E190" s="4"/>
      <c r="G190" s="5"/>
      <c r="H190" s="5"/>
      <c r="I190" s="5"/>
      <c r="K190" s="5"/>
      <c r="M190" s="5"/>
      <c r="N190" s="5"/>
    </row>
    <row r="191">
      <c r="A191" s="8"/>
      <c r="E191" s="4"/>
      <c r="G191" s="5"/>
      <c r="H191" s="5"/>
      <c r="I191" s="5"/>
      <c r="K191" s="5"/>
      <c r="M191" s="5"/>
      <c r="N191" s="5"/>
    </row>
    <row r="192">
      <c r="A192" s="8"/>
      <c r="E192" s="4"/>
      <c r="G192" s="5"/>
      <c r="H192" s="5"/>
      <c r="I192" s="5"/>
      <c r="K192" s="5"/>
      <c r="M192" s="5"/>
      <c r="N192" s="5"/>
    </row>
    <row r="193">
      <c r="A193" s="8"/>
      <c r="E193" s="4"/>
      <c r="G193" s="5"/>
      <c r="H193" s="5"/>
      <c r="I193" s="5"/>
      <c r="K193" s="5"/>
      <c r="M193" s="5"/>
      <c r="N193" s="5"/>
    </row>
    <row r="194">
      <c r="A194" s="8"/>
      <c r="E194" s="4"/>
      <c r="G194" s="5"/>
      <c r="H194" s="5"/>
      <c r="I194" s="5"/>
      <c r="K194" s="5"/>
      <c r="M194" s="5"/>
      <c r="N194" s="5"/>
    </row>
    <row r="195">
      <c r="A195" s="8"/>
      <c r="E195" s="4"/>
      <c r="G195" s="5"/>
      <c r="H195" s="5"/>
      <c r="I195" s="5"/>
      <c r="K195" s="5"/>
      <c r="M195" s="5"/>
      <c r="N195" s="5"/>
    </row>
    <row r="196">
      <c r="A196" s="8"/>
      <c r="E196" s="4"/>
      <c r="G196" s="5"/>
      <c r="H196" s="5"/>
      <c r="I196" s="5"/>
      <c r="K196" s="5"/>
      <c r="M196" s="5"/>
      <c r="N196" s="5"/>
    </row>
    <row r="197">
      <c r="A197" s="8"/>
      <c r="E197" s="4"/>
      <c r="G197" s="5"/>
      <c r="H197" s="5"/>
      <c r="I197" s="5"/>
      <c r="K197" s="5"/>
      <c r="M197" s="5"/>
      <c r="N197" s="5"/>
    </row>
    <row r="198">
      <c r="A198" s="8"/>
      <c r="E198" s="4"/>
      <c r="G198" s="5"/>
      <c r="H198" s="5"/>
      <c r="I198" s="5"/>
      <c r="K198" s="5"/>
      <c r="M198" s="5"/>
      <c r="N198" s="5"/>
    </row>
    <row r="199">
      <c r="A199" s="8"/>
      <c r="E199" s="4"/>
      <c r="G199" s="5"/>
      <c r="H199" s="5"/>
      <c r="I199" s="5"/>
      <c r="K199" s="5"/>
      <c r="M199" s="5"/>
      <c r="N199" s="5"/>
    </row>
    <row r="200">
      <c r="A200" s="8"/>
      <c r="E200" s="4"/>
      <c r="G200" s="5"/>
      <c r="H200" s="5"/>
      <c r="I200" s="5"/>
      <c r="K200" s="5"/>
      <c r="M200" s="5"/>
      <c r="N200" s="5"/>
    </row>
    <row r="201">
      <c r="A201" s="8"/>
      <c r="E201" s="4"/>
      <c r="G201" s="5"/>
      <c r="H201" s="5"/>
      <c r="I201" s="5"/>
      <c r="K201" s="5"/>
      <c r="M201" s="5"/>
      <c r="N201" s="5"/>
    </row>
    <row r="202">
      <c r="A202" s="8"/>
      <c r="E202" s="4"/>
      <c r="G202" s="5"/>
      <c r="H202" s="5"/>
      <c r="I202" s="5"/>
      <c r="K202" s="5"/>
      <c r="M202" s="5"/>
      <c r="N202" s="5"/>
    </row>
    <row r="203">
      <c r="A203" s="8"/>
      <c r="E203" s="4"/>
      <c r="G203" s="5"/>
      <c r="H203" s="5"/>
      <c r="I203" s="5"/>
      <c r="K203" s="5"/>
      <c r="M203" s="5"/>
      <c r="N203" s="5"/>
    </row>
    <row r="204">
      <c r="A204" s="8"/>
      <c r="E204" s="4"/>
      <c r="G204" s="5"/>
      <c r="H204" s="5"/>
      <c r="I204" s="5"/>
      <c r="K204" s="5"/>
      <c r="M204" s="5"/>
      <c r="N204" s="5"/>
    </row>
    <row r="205">
      <c r="A205" s="8"/>
      <c r="E205" s="4"/>
      <c r="G205" s="5"/>
      <c r="H205" s="5"/>
      <c r="I205" s="5"/>
      <c r="K205" s="5"/>
      <c r="M205" s="5"/>
      <c r="N205" s="5"/>
    </row>
    <row r="206">
      <c r="A206" s="8"/>
      <c r="E206" s="4"/>
      <c r="G206" s="5"/>
      <c r="H206" s="5"/>
      <c r="I206" s="5"/>
      <c r="K206" s="5"/>
      <c r="M206" s="5"/>
      <c r="N206" s="5"/>
    </row>
    <row r="207">
      <c r="A207" s="8"/>
      <c r="E207" s="4"/>
      <c r="G207" s="5"/>
      <c r="H207" s="5"/>
      <c r="I207" s="5"/>
      <c r="K207" s="5"/>
      <c r="M207" s="5"/>
      <c r="N207" s="5"/>
    </row>
    <row r="208">
      <c r="A208" s="8"/>
      <c r="E208" s="4"/>
      <c r="G208" s="5"/>
      <c r="H208" s="5"/>
      <c r="I208" s="5"/>
      <c r="K208" s="5"/>
      <c r="M208" s="5"/>
      <c r="N208" s="5"/>
    </row>
    <row r="209">
      <c r="A209" s="8"/>
      <c r="E209" s="4"/>
      <c r="G209" s="5"/>
      <c r="H209" s="5"/>
      <c r="I209" s="5"/>
      <c r="K209" s="5"/>
      <c r="M209" s="5"/>
      <c r="N209" s="5"/>
    </row>
    <row r="210">
      <c r="A210" s="8"/>
      <c r="E210" s="4"/>
      <c r="G210" s="5"/>
      <c r="H210" s="5"/>
      <c r="I210" s="5"/>
      <c r="K210" s="5"/>
      <c r="M210" s="5"/>
      <c r="N210" s="5"/>
    </row>
    <row r="211">
      <c r="A211" s="8"/>
      <c r="E211" s="4"/>
      <c r="G211" s="5"/>
      <c r="H211" s="5"/>
      <c r="I211" s="5"/>
      <c r="K211" s="5"/>
      <c r="M211" s="5"/>
      <c r="N211" s="5"/>
    </row>
    <row r="212">
      <c r="A212" s="8"/>
      <c r="E212" s="4"/>
      <c r="G212" s="5"/>
      <c r="H212" s="5"/>
      <c r="I212" s="5"/>
      <c r="K212" s="5"/>
      <c r="M212" s="5"/>
      <c r="N212" s="5"/>
    </row>
    <row r="213">
      <c r="A213" s="8"/>
      <c r="E213" s="4"/>
      <c r="G213" s="5"/>
      <c r="H213" s="5"/>
      <c r="I213" s="5"/>
      <c r="K213" s="5"/>
      <c r="M213" s="5"/>
      <c r="N213" s="5"/>
    </row>
    <row r="214">
      <c r="A214" s="8"/>
      <c r="E214" s="4"/>
      <c r="G214" s="5"/>
      <c r="H214" s="5"/>
      <c r="I214" s="5"/>
      <c r="K214" s="5"/>
      <c r="M214" s="5"/>
      <c r="N214" s="5"/>
    </row>
    <row r="215">
      <c r="A215" s="8"/>
      <c r="E215" s="4"/>
      <c r="G215" s="5"/>
      <c r="H215" s="5"/>
      <c r="I215" s="5"/>
      <c r="K215" s="5"/>
      <c r="M215" s="5"/>
      <c r="N215" s="5"/>
    </row>
    <row r="216">
      <c r="A216" s="8"/>
      <c r="E216" s="4"/>
      <c r="G216" s="5"/>
      <c r="H216" s="5"/>
      <c r="I216" s="5"/>
      <c r="K216" s="5"/>
      <c r="M216" s="5"/>
      <c r="N216" s="5"/>
    </row>
    <row r="217">
      <c r="A217" s="8"/>
      <c r="E217" s="4"/>
      <c r="G217" s="5"/>
      <c r="H217" s="5"/>
      <c r="I217" s="5"/>
      <c r="K217" s="5"/>
      <c r="M217" s="5"/>
      <c r="N217" s="5"/>
    </row>
    <row r="218">
      <c r="A218" s="8"/>
      <c r="E218" s="4"/>
      <c r="G218" s="5"/>
      <c r="H218" s="5"/>
      <c r="I218" s="5"/>
      <c r="K218" s="5"/>
      <c r="M218" s="5"/>
      <c r="N218" s="5"/>
    </row>
    <row r="219">
      <c r="A219" s="8"/>
      <c r="E219" s="4"/>
      <c r="G219" s="5"/>
      <c r="H219" s="5"/>
      <c r="I219" s="5"/>
      <c r="K219" s="5"/>
      <c r="M219" s="5"/>
      <c r="N219" s="5"/>
    </row>
    <row r="220">
      <c r="A220" s="8"/>
      <c r="E220" s="4"/>
      <c r="G220" s="5"/>
      <c r="H220" s="5"/>
      <c r="I220" s="5"/>
      <c r="K220" s="5"/>
      <c r="M220" s="5"/>
      <c r="N220" s="5"/>
    </row>
    <row r="221">
      <c r="A221" s="8"/>
      <c r="E221" s="4"/>
      <c r="G221" s="5"/>
      <c r="H221" s="5"/>
      <c r="I221" s="5"/>
      <c r="K221" s="5"/>
      <c r="M221" s="5"/>
      <c r="N221" s="5"/>
    </row>
    <row r="222">
      <c r="A222" s="8"/>
      <c r="E222" s="4"/>
      <c r="G222" s="5"/>
      <c r="H222" s="5"/>
      <c r="I222" s="5"/>
      <c r="K222" s="5"/>
      <c r="M222" s="5"/>
      <c r="N222" s="5"/>
    </row>
    <row r="223">
      <c r="A223" s="8"/>
      <c r="E223" s="4"/>
      <c r="G223" s="5"/>
      <c r="H223" s="5"/>
      <c r="I223" s="5"/>
      <c r="K223" s="5"/>
      <c r="M223" s="5"/>
      <c r="N223" s="5"/>
    </row>
    <row r="224">
      <c r="A224" s="8"/>
      <c r="E224" s="4"/>
      <c r="G224" s="5"/>
      <c r="H224" s="5"/>
      <c r="I224" s="5"/>
      <c r="K224" s="5"/>
      <c r="M224" s="5"/>
      <c r="N224" s="5"/>
    </row>
    <row r="225">
      <c r="A225" s="8"/>
      <c r="E225" s="4"/>
      <c r="G225" s="5"/>
      <c r="H225" s="5"/>
      <c r="I225" s="5"/>
      <c r="K225" s="5"/>
      <c r="M225" s="5"/>
      <c r="N225" s="5"/>
    </row>
    <row r="226">
      <c r="A226" s="8"/>
      <c r="E226" s="4"/>
      <c r="G226" s="5"/>
      <c r="H226" s="5"/>
      <c r="I226" s="5"/>
      <c r="K226" s="5"/>
      <c r="M226" s="5"/>
      <c r="N226" s="5"/>
    </row>
    <row r="227">
      <c r="A227" s="8"/>
      <c r="E227" s="4"/>
      <c r="G227" s="5"/>
      <c r="H227" s="5"/>
      <c r="I227" s="5"/>
      <c r="K227" s="5"/>
      <c r="M227" s="5"/>
      <c r="N227" s="5"/>
    </row>
    <row r="228">
      <c r="A228" s="8"/>
      <c r="E228" s="4"/>
      <c r="G228" s="5"/>
      <c r="H228" s="5"/>
      <c r="I228" s="5"/>
      <c r="K228" s="5"/>
      <c r="M228" s="5"/>
      <c r="N228" s="5"/>
    </row>
    <row r="229">
      <c r="A229" s="8"/>
      <c r="E229" s="4"/>
      <c r="G229" s="5"/>
      <c r="H229" s="5"/>
      <c r="I229" s="5"/>
      <c r="K229" s="5"/>
      <c r="M229" s="5"/>
      <c r="N229" s="5"/>
    </row>
    <row r="230">
      <c r="A230" s="8"/>
      <c r="E230" s="4"/>
      <c r="G230" s="5"/>
      <c r="H230" s="5"/>
      <c r="I230" s="5"/>
      <c r="K230" s="5"/>
      <c r="M230" s="5"/>
      <c r="N230" s="5"/>
    </row>
    <row r="231">
      <c r="A231" s="8"/>
      <c r="E231" s="4"/>
      <c r="G231" s="5"/>
      <c r="H231" s="5"/>
      <c r="I231" s="5"/>
      <c r="K231" s="5"/>
      <c r="M231" s="5"/>
      <c r="N231" s="5"/>
    </row>
    <row r="232">
      <c r="A232" s="8"/>
      <c r="E232" s="4"/>
      <c r="G232" s="5"/>
      <c r="H232" s="5"/>
      <c r="I232" s="5"/>
      <c r="K232" s="5"/>
      <c r="M232" s="5"/>
      <c r="N232" s="5"/>
    </row>
    <row r="233">
      <c r="A233" s="8"/>
      <c r="E233" s="4"/>
      <c r="G233" s="5"/>
      <c r="H233" s="5"/>
      <c r="I233" s="5"/>
      <c r="K233" s="5"/>
      <c r="M233" s="5"/>
      <c r="N233" s="5"/>
    </row>
    <row r="234">
      <c r="A234" s="8"/>
      <c r="E234" s="4"/>
      <c r="G234" s="5"/>
      <c r="H234" s="5"/>
      <c r="I234" s="5"/>
      <c r="K234" s="5"/>
      <c r="M234" s="5"/>
      <c r="N234" s="5"/>
    </row>
    <row r="235">
      <c r="A235" s="8"/>
      <c r="E235" s="4"/>
      <c r="G235" s="5"/>
      <c r="H235" s="5"/>
      <c r="I235" s="5"/>
      <c r="K235" s="5"/>
      <c r="M235" s="5"/>
      <c r="N235" s="5"/>
    </row>
    <row r="236">
      <c r="A236" s="8"/>
      <c r="E236" s="4"/>
      <c r="G236" s="5"/>
      <c r="H236" s="5"/>
      <c r="I236" s="5"/>
      <c r="K236" s="5"/>
      <c r="M236" s="5"/>
      <c r="N236" s="5"/>
    </row>
    <row r="237">
      <c r="A237" s="8"/>
      <c r="E237" s="4"/>
      <c r="G237" s="5"/>
      <c r="H237" s="5"/>
      <c r="I237" s="5"/>
      <c r="K237" s="5"/>
      <c r="M237" s="5"/>
      <c r="N237" s="5"/>
    </row>
    <row r="238">
      <c r="A238" s="8"/>
      <c r="E238" s="4"/>
      <c r="G238" s="5"/>
      <c r="H238" s="5"/>
      <c r="I238" s="5"/>
      <c r="K238" s="5"/>
      <c r="M238" s="5"/>
      <c r="N238" s="5"/>
    </row>
    <row r="239">
      <c r="A239" s="8"/>
      <c r="E239" s="4"/>
      <c r="G239" s="5"/>
      <c r="H239" s="5"/>
      <c r="I239" s="5"/>
      <c r="K239" s="5"/>
      <c r="M239" s="5"/>
      <c r="N239" s="5"/>
    </row>
    <row r="240">
      <c r="A240" s="8"/>
      <c r="E240" s="4"/>
      <c r="G240" s="5"/>
      <c r="H240" s="5"/>
      <c r="I240" s="5"/>
      <c r="K240" s="5"/>
      <c r="M240" s="5"/>
      <c r="N240" s="5"/>
    </row>
    <row r="241">
      <c r="A241" s="8"/>
      <c r="E241" s="4"/>
      <c r="G241" s="5"/>
      <c r="H241" s="5"/>
      <c r="I241" s="5"/>
      <c r="K241" s="5"/>
      <c r="M241" s="5"/>
      <c r="N241" s="5"/>
    </row>
    <row r="242">
      <c r="A242" s="8"/>
      <c r="E242" s="4"/>
      <c r="G242" s="5"/>
      <c r="H242" s="5"/>
      <c r="I242" s="5"/>
      <c r="K242" s="5"/>
      <c r="M242" s="5"/>
      <c r="N242" s="5"/>
    </row>
    <row r="243">
      <c r="A243" s="8"/>
      <c r="E243" s="4"/>
      <c r="G243" s="5"/>
      <c r="H243" s="5"/>
      <c r="I243" s="5"/>
      <c r="K243" s="5"/>
      <c r="M243" s="5"/>
      <c r="N243" s="5"/>
    </row>
    <row r="244">
      <c r="A244" s="8"/>
      <c r="E244" s="4"/>
      <c r="G244" s="5"/>
      <c r="H244" s="5"/>
      <c r="I244" s="5"/>
      <c r="K244" s="5"/>
      <c r="M244" s="5"/>
      <c r="N244" s="5"/>
    </row>
    <row r="245">
      <c r="A245" s="8"/>
      <c r="E245" s="4"/>
      <c r="G245" s="5"/>
      <c r="H245" s="5"/>
      <c r="I245" s="5"/>
      <c r="K245" s="5"/>
      <c r="M245" s="5"/>
      <c r="N245" s="5"/>
    </row>
    <row r="246">
      <c r="A246" s="8"/>
      <c r="E246" s="4"/>
      <c r="G246" s="5"/>
      <c r="H246" s="5"/>
      <c r="I246" s="5"/>
      <c r="K246" s="5"/>
      <c r="M246" s="5"/>
      <c r="N246" s="5"/>
    </row>
    <row r="247">
      <c r="A247" s="8"/>
      <c r="E247" s="4"/>
      <c r="G247" s="5"/>
      <c r="H247" s="5"/>
      <c r="I247" s="5"/>
      <c r="K247" s="5"/>
      <c r="M247" s="5"/>
      <c r="N247" s="5"/>
    </row>
    <row r="248">
      <c r="A248" s="8"/>
      <c r="E248" s="4"/>
      <c r="G248" s="5"/>
      <c r="H248" s="5"/>
      <c r="I248" s="5"/>
      <c r="K248" s="5"/>
      <c r="M248" s="5"/>
      <c r="N248" s="5"/>
    </row>
    <row r="249">
      <c r="A249" s="8"/>
      <c r="E249" s="4"/>
      <c r="G249" s="5"/>
      <c r="H249" s="5"/>
      <c r="I249" s="5"/>
      <c r="K249" s="5"/>
      <c r="M249" s="5"/>
      <c r="N249" s="5"/>
    </row>
    <row r="250">
      <c r="A250" s="8"/>
      <c r="E250" s="4"/>
      <c r="G250" s="5"/>
      <c r="H250" s="5"/>
      <c r="I250" s="5"/>
      <c r="K250" s="5"/>
      <c r="M250" s="5"/>
      <c r="N250" s="5"/>
    </row>
    <row r="251">
      <c r="A251" s="8"/>
      <c r="E251" s="4"/>
      <c r="G251" s="5"/>
      <c r="H251" s="5"/>
      <c r="I251" s="5"/>
      <c r="K251" s="5"/>
      <c r="M251" s="5"/>
      <c r="N251" s="5"/>
    </row>
    <row r="252">
      <c r="A252" s="8"/>
      <c r="E252" s="4"/>
      <c r="G252" s="5"/>
      <c r="H252" s="5"/>
      <c r="I252" s="5"/>
      <c r="K252" s="5"/>
      <c r="M252" s="5"/>
      <c r="N252" s="5"/>
    </row>
    <row r="253">
      <c r="A253" s="8"/>
      <c r="E253" s="4"/>
      <c r="G253" s="5"/>
      <c r="H253" s="5"/>
      <c r="I253" s="5"/>
      <c r="K253" s="5"/>
      <c r="M253" s="5"/>
      <c r="N253" s="5"/>
    </row>
    <row r="254">
      <c r="A254" s="8"/>
      <c r="E254" s="4"/>
      <c r="G254" s="5"/>
      <c r="H254" s="5"/>
      <c r="I254" s="5"/>
      <c r="K254" s="5"/>
      <c r="M254" s="5"/>
      <c r="N254" s="5"/>
    </row>
    <row r="255">
      <c r="A255" s="8"/>
      <c r="E255" s="4"/>
      <c r="G255" s="5"/>
      <c r="H255" s="5"/>
      <c r="I255" s="5"/>
      <c r="K255" s="5"/>
      <c r="M255" s="5"/>
      <c r="N255" s="5"/>
    </row>
    <row r="256">
      <c r="A256" s="8"/>
      <c r="E256" s="4"/>
      <c r="G256" s="5"/>
      <c r="H256" s="5"/>
      <c r="I256" s="5"/>
      <c r="K256" s="5"/>
      <c r="M256" s="5"/>
      <c r="N256" s="5"/>
    </row>
    <row r="257">
      <c r="A257" s="8"/>
      <c r="E257" s="4"/>
      <c r="G257" s="5"/>
      <c r="H257" s="5"/>
      <c r="I257" s="5"/>
      <c r="K257" s="5"/>
      <c r="M257" s="5"/>
      <c r="N257" s="5"/>
    </row>
    <row r="258">
      <c r="A258" s="8"/>
      <c r="E258" s="4"/>
      <c r="G258" s="5"/>
      <c r="H258" s="5"/>
      <c r="I258" s="5"/>
      <c r="K258" s="5"/>
      <c r="M258" s="5"/>
      <c r="N258" s="5"/>
    </row>
    <row r="259">
      <c r="A259" s="8"/>
      <c r="E259" s="4"/>
      <c r="G259" s="5"/>
      <c r="H259" s="5"/>
      <c r="I259" s="5"/>
      <c r="K259" s="5"/>
      <c r="M259" s="5"/>
      <c r="N259" s="5"/>
    </row>
    <row r="260">
      <c r="A260" s="8"/>
      <c r="E260" s="4"/>
      <c r="G260" s="5"/>
      <c r="H260" s="5"/>
      <c r="I260" s="5"/>
      <c r="K260" s="5"/>
      <c r="M260" s="5"/>
      <c r="N260" s="5"/>
    </row>
    <row r="261">
      <c r="A261" s="8"/>
      <c r="E261" s="4"/>
      <c r="G261" s="5"/>
      <c r="H261" s="5"/>
      <c r="I261" s="5"/>
      <c r="K261" s="5"/>
      <c r="M261" s="5"/>
      <c r="N261" s="5"/>
    </row>
    <row r="262">
      <c r="A262" s="8"/>
      <c r="E262" s="4"/>
      <c r="G262" s="5"/>
      <c r="H262" s="5"/>
      <c r="I262" s="5"/>
      <c r="K262" s="5"/>
      <c r="M262" s="5"/>
      <c r="N262" s="5"/>
    </row>
    <row r="263">
      <c r="A263" s="8"/>
      <c r="E263" s="4"/>
      <c r="G263" s="5"/>
      <c r="H263" s="5"/>
      <c r="I263" s="5"/>
      <c r="K263" s="5"/>
      <c r="M263" s="5"/>
      <c r="N263" s="5"/>
    </row>
    <row r="264">
      <c r="A264" s="8"/>
      <c r="E264" s="4"/>
      <c r="G264" s="5"/>
      <c r="H264" s="5"/>
      <c r="I264" s="5"/>
      <c r="K264" s="5"/>
      <c r="M264" s="5"/>
      <c r="N264" s="5"/>
    </row>
    <row r="265">
      <c r="A265" s="8"/>
      <c r="E265" s="4"/>
      <c r="G265" s="5"/>
      <c r="H265" s="5"/>
      <c r="I265" s="5"/>
      <c r="K265" s="5"/>
      <c r="M265" s="5"/>
      <c r="N265" s="5"/>
    </row>
    <row r="266">
      <c r="A266" s="8"/>
      <c r="E266" s="4"/>
      <c r="G266" s="5"/>
      <c r="H266" s="5"/>
      <c r="I266" s="5"/>
      <c r="K266" s="5"/>
      <c r="M266" s="5"/>
      <c r="N266" s="5"/>
    </row>
    <row r="267">
      <c r="A267" s="8"/>
      <c r="E267" s="4"/>
      <c r="G267" s="5"/>
      <c r="H267" s="5"/>
      <c r="I267" s="5"/>
      <c r="K267" s="5"/>
      <c r="M267" s="5"/>
      <c r="N267" s="5"/>
    </row>
    <row r="268">
      <c r="A268" s="8"/>
      <c r="E268" s="4"/>
      <c r="G268" s="5"/>
      <c r="H268" s="5"/>
      <c r="I268" s="5"/>
      <c r="K268" s="5"/>
      <c r="M268" s="5"/>
      <c r="N268" s="5"/>
    </row>
    <row r="269">
      <c r="A269" s="8"/>
      <c r="E269" s="4"/>
      <c r="G269" s="5"/>
      <c r="H269" s="5"/>
      <c r="I269" s="5"/>
      <c r="K269" s="5"/>
      <c r="M269" s="5"/>
      <c r="N269" s="5"/>
    </row>
    <row r="270">
      <c r="A270" s="8"/>
      <c r="E270" s="4"/>
      <c r="G270" s="5"/>
      <c r="H270" s="5"/>
      <c r="I270" s="5"/>
      <c r="K270" s="5"/>
      <c r="M270" s="5"/>
      <c r="N270" s="5"/>
    </row>
    <row r="271">
      <c r="A271" s="8"/>
      <c r="E271" s="4"/>
      <c r="G271" s="5"/>
      <c r="H271" s="5"/>
      <c r="I271" s="5"/>
      <c r="K271" s="5"/>
      <c r="M271" s="5"/>
      <c r="N271" s="5"/>
    </row>
    <row r="272">
      <c r="A272" s="8"/>
      <c r="E272" s="4"/>
      <c r="G272" s="5"/>
      <c r="H272" s="5"/>
      <c r="I272" s="5"/>
      <c r="K272" s="5"/>
      <c r="M272" s="5"/>
      <c r="N272" s="5"/>
    </row>
    <row r="273">
      <c r="A273" s="8"/>
      <c r="E273" s="4"/>
      <c r="G273" s="5"/>
      <c r="H273" s="5"/>
      <c r="I273" s="5"/>
      <c r="K273" s="5"/>
      <c r="M273" s="5"/>
      <c r="N273" s="5"/>
    </row>
    <row r="274">
      <c r="A274" s="8"/>
      <c r="E274" s="4"/>
      <c r="G274" s="5"/>
      <c r="H274" s="5"/>
      <c r="I274" s="5"/>
      <c r="K274" s="5"/>
      <c r="M274" s="5"/>
      <c r="N274" s="5"/>
    </row>
    <row r="275">
      <c r="A275" s="8"/>
      <c r="E275" s="4"/>
      <c r="G275" s="5"/>
      <c r="H275" s="5"/>
      <c r="I275" s="5"/>
      <c r="K275" s="5"/>
      <c r="M275" s="5"/>
      <c r="N275" s="5"/>
    </row>
    <row r="276">
      <c r="A276" s="8"/>
      <c r="E276" s="4"/>
      <c r="G276" s="5"/>
      <c r="H276" s="5"/>
      <c r="I276" s="5"/>
      <c r="K276" s="5"/>
      <c r="M276" s="5"/>
      <c r="N276" s="5"/>
    </row>
    <row r="277">
      <c r="A277" s="8"/>
      <c r="E277" s="4"/>
      <c r="G277" s="5"/>
      <c r="H277" s="5"/>
      <c r="I277" s="5"/>
      <c r="K277" s="5"/>
      <c r="M277" s="5"/>
      <c r="N277" s="5"/>
    </row>
    <row r="278">
      <c r="A278" s="8"/>
      <c r="E278" s="4"/>
      <c r="G278" s="5"/>
      <c r="H278" s="5"/>
      <c r="I278" s="5"/>
      <c r="K278" s="5"/>
      <c r="M278" s="5"/>
      <c r="N278" s="5"/>
    </row>
    <row r="279">
      <c r="A279" s="8"/>
      <c r="E279" s="4"/>
      <c r="G279" s="5"/>
      <c r="H279" s="5"/>
      <c r="I279" s="5"/>
      <c r="K279" s="5"/>
      <c r="M279" s="5"/>
      <c r="N279" s="5"/>
    </row>
    <row r="280">
      <c r="A280" s="8"/>
      <c r="E280" s="4"/>
      <c r="G280" s="5"/>
      <c r="H280" s="5"/>
      <c r="I280" s="5"/>
      <c r="K280" s="5"/>
      <c r="M280" s="5"/>
      <c r="N280" s="5"/>
    </row>
    <row r="281">
      <c r="A281" s="8"/>
      <c r="E281" s="4"/>
      <c r="G281" s="5"/>
      <c r="H281" s="5"/>
      <c r="I281" s="5"/>
      <c r="K281" s="5"/>
      <c r="M281" s="5"/>
      <c r="N281" s="5"/>
    </row>
    <row r="282">
      <c r="A282" s="8"/>
      <c r="E282" s="4"/>
      <c r="G282" s="5"/>
      <c r="H282" s="5"/>
      <c r="I282" s="5"/>
      <c r="K282" s="5"/>
      <c r="M282" s="5"/>
      <c r="N282" s="5"/>
    </row>
    <row r="283">
      <c r="A283" s="8"/>
      <c r="E283" s="4"/>
      <c r="G283" s="5"/>
      <c r="H283" s="5"/>
      <c r="I283" s="5"/>
      <c r="K283" s="5"/>
      <c r="M283" s="5"/>
      <c r="N283" s="5"/>
    </row>
    <row r="284">
      <c r="A284" s="8"/>
      <c r="E284" s="4"/>
      <c r="G284" s="5"/>
      <c r="H284" s="5"/>
      <c r="I284" s="5"/>
      <c r="K284" s="5"/>
      <c r="M284" s="5"/>
      <c r="N284" s="5"/>
    </row>
    <row r="285">
      <c r="A285" s="8"/>
      <c r="E285" s="4"/>
      <c r="G285" s="5"/>
      <c r="H285" s="5"/>
      <c r="I285" s="5"/>
      <c r="K285" s="5"/>
      <c r="M285" s="5"/>
      <c r="N285" s="5"/>
    </row>
    <row r="286">
      <c r="A286" s="8"/>
      <c r="E286" s="4"/>
      <c r="G286" s="5"/>
      <c r="H286" s="5"/>
      <c r="I286" s="5"/>
      <c r="K286" s="5"/>
      <c r="M286" s="5"/>
      <c r="N286" s="5"/>
    </row>
    <row r="287">
      <c r="A287" s="8"/>
      <c r="E287" s="4"/>
      <c r="G287" s="5"/>
      <c r="H287" s="5"/>
      <c r="I287" s="5"/>
      <c r="K287" s="5"/>
      <c r="M287" s="5"/>
      <c r="N287" s="5"/>
    </row>
    <row r="288">
      <c r="A288" s="8"/>
      <c r="E288" s="4"/>
      <c r="G288" s="5"/>
      <c r="H288" s="5"/>
      <c r="I288" s="5"/>
      <c r="K288" s="5"/>
      <c r="M288" s="5"/>
      <c r="N288" s="5"/>
    </row>
    <row r="289">
      <c r="A289" s="8"/>
      <c r="E289" s="4"/>
      <c r="G289" s="5"/>
      <c r="H289" s="5"/>
      <c r="I289" s="5"/>
      <c r="K289" s="5"/>
      <c r="M289" s="5"/>
      <c r="N289" s="5"/>
    </row>
    <row r="290">
      <c r="A290" s="8"/>
      <c r="E290" s="4"/>
      <c r="G290" s="5"/>
      <c r="H290" s="5"/>
      <c r="I290" s="5"/>
      <c r="K290" s="5"/>
      <c r="M290" s="5"/>
      <c r="N290" s="5"/>
    </row>
    <row r="291">
      <c r="A291" s="8"/>
      <c r="E291" s="4"/>
      <c r="G291" s="5"/>
      <c r="H291" s="5"/>
      <c r="I291" s="5"/>
      <c r="K291" s="5"/>
      <c r="M291" s="5"/>
      <c r="N291" s="5"/>
    </row>
    <row r="292">
      <c r="A292" s="8"/>
      <c r="E292" s="4"/>
      <c r="G292" s="5"/>
      <c r="H292" s="5"/>
      <c r="I292" s="5"/>
      <c r="K292" s="5"/>
      <c r="M292" s="5"/>
      <c r="N292" s="5"/>
    </row>
    <row r="293">
      <c r="A293" s="8"/>
      <c r="E293" s="4"/>
      <c r="G293" s="5"/>
      <c r="H293" s="5"/>
      <c r="I293" s="5"/>
      <c r="K293" s="5"/>
      <c r="M293" s="5"/>
      <c r="N293" s="5"/>
    </row>
    <row r="294">
      <c r="A294" s="8"/>
      <c r="E294" s="4"/>
      <c r="G294" s="5"/>
      <c r="H294" s="5"/>
      <c r="I294" s="5"/>
      <c r="K294" s="5"/>
      <c r="M294" s="5"/>
      <c r="N294" s="5"/>
    </row>
    <row r="295">
      <c r="A295" s="8"/>
      <c r="E295" s="4"/>
      <c r="G295" s="5"/>
      <c r="H295" s="5"/>
      <c r="I295" s="5"/>
      <c r="K295" s="5"/>
      <c r="M295" s="5"/>
      <c r="N295" s="5"/>
    </row>
    <row r="296">
      <c r="A296" s="8"/>
      <c r="E296" s="4"/>
      <c r="G296" s="5"/>
      <c r="H296" s="5"/>
      <c r="I296" s="5"/>
      <c r="K296" s="5"/>
      <c r="M296" s="5"/>
      <c r="N296" s="5"/>
    </row>
    <row r="297">
      <c r="A297" s="8"/>
      <c r="E297" s="4"/>
      <c r="G297" s="5"/>
      <c r="H297" s="5"/>
      <c r="I297" s="5"/>
      <c r="K297" s="5"/>
      <c r="M297" s="5"/>
      <c r="N297" s="5"/>
    </row>
    <row r="298">
      <c r="A298" s="8"/>
      <c r="E298" s="4"/>
      <c r="G298" s="5"/>
      <c r="H298" s="5"/>
      <c r="I298" s="5"/>
      <c r="K298" s="5"/>
      <c r="M298" s="5"/>
      <c r="N298" s="5"/>
    </row>
    <row r="299">
      <c r="A299" s="8"/>
      <c r="E299" s="4"/>
      <c r="G299" s="5"/>
      <c r="H299" s="5"/>
      <c r="I299" s="5"/>
      <c r="K299" s="5"/>
      <c r="M299" s="5"/>
      <c r="N299" s="5"/>
    </row>
    <row r="300">
      <c r="A300" s="8"/>
      <c r="E300" s="4"/>
      <c r="G300" s="5"/>
      <c r="H300" s="5"/>
      <c r="I300" s="5"/>
      <c r="K300" s="5"/>
      <c r="M300" s="5"/>
      <c r="N300" s="5"/>
    </row>
    <row r="301">
      <c r="A301" s="8"/>
      <c r="E301" s="4"/>
      <c r="G301" s="5"/>
      <c r="H301" s="5"/>
      <c r="I301" s="5"/>
      <c r="K301" s="5"/>
      <c r="M301" s="5"/>
      <c r="N301" s="5"/>
    </row>
    <row r="302">
      <c r="A302" s="8"/>
      <c r="E302" s="4"/>
      <c r="G302" s="5"/>
      <c r="H302" s="5"/>
      <c r="I302" s="5"/>
      <c r="K302" s="5"/>
      <c r="M302" s="5"/>
      <c r="N302" s="5"/>
    </row>
    <row r="303">
      <c r="A303" s="8"/>
      <c r="E303" s="4"/>
      <c r="G303" s="5"/>
      <c r="H303" s="5"/>
      <c r="I303" s="5"/>
      <c r="K303" s="5"/>
      <c r="M303" s="5"/>
      <c r="N303" s="5"/>
    </row>
    <row r="304">
      <c r="A304" s="8"/>
      <c r="E304" s="4"/>
      <c r="G304" s="5"/>
      <c r="H304" s="5"/>
      <c r="I304" s="5"/>
      <c r="K304" s="5"/>
      <c r="M304" s="5"/>
      <c r="N304" s="5"/>
    </row>
    <row r="305">
      <c r="A305" s="8"/>
      <c r="E305" s="4"/>
      <c r="G305" s="5"/>
      <c r="H305" s="5"/>
      <c r="I305" s="5"/>
      <c r="K305" s="5"/>
      <c r="M305" s="5"/>
      <c r="N305" s="5"/>
    </row>
    <row r="306">
      <c r="A306" s="8"/>
      <c r="E306" s="4"/>
      <c r="G306" s="5"/>
      <c r="H306" s="5"/>
      <c r="I306" s="5"/>
      <c r="K306" s="5"/>
      <c r="M306" s="5"/>
      <c r="N306" s="5"/>
    </row>
    <row r="307">
      <c r="A307" s="8"/>
      <c r="E307" s="4"/>
      <c r="G307" s="5"/>
      <c r="H307" s="5"/>
      <c r="I307" s="5"/>
      <c r="K307" s="5"/>
      <c r="M307" s="5"/>
      <c r="N307" s="5"/>
    </row>
    <row r="308">
      <c r="A308" s="8"/>
      <c r="E308" s="4"/>
      <c r="G308" s="5"/>
      <c r="H308" s="5"/>
      <c r="I308" s="5"/>
      <c r="K308" s="5"/>
      <c r="M308" s="5"/>
      <c r="N308" s="5"/>
    </row>
    <row r="309">
      <c r="A309" s="8"/>
      <c r="E309" s="4"/>
      <c r="G309" s="5"/>
      <c r="H309" s="5"/>
      <c r="I309" s="5"/>
      <c r="K309" s="5"/>
      <c r="M309" s="5"/>
      <c r="N309" s="5"/>
    </row>
    <row r="310">
      <c r="A310" s="8"/>
      <c r="E310" s="4"/>
      <c r="G310" s="5"/>
      <c r="H310" s="5"/>
      <c r="I310" s="5"/>
      <c r="K310" s="5"/>
      <c r="M310" s="5"/>
      <c r="N310" s="5"/>
    </row>
    <row r="311">
      <c r="A311" s="8"/>
      <c r="E311" s="4"/>
      <c r="G311" s="5"/>
      <c r="H311" s="5"/>
      <c r="I311" s="5"/>
      <c r="K311" s="5"/>
      <c r="M311" s="5"/>
      <c r="N311" s="5"/>
    </row>
    <row r="312">
      <c r="A312" s="8"/>
      <c r="E312" s="4"/>
      <c r="G312" s="5"/>
      <c r="H312" s="5"/>
      <c r="I312" s="5"/>
      <c r="K312" s="5"/>
      <c r="M312" s="5"/>
      <c r="N312" s="5"/>
    </row>
    <row r="313">
      <c r="A313" s="8"/>
      <c r="E313" s="4"/>
      <c r="G313" s="5"/>
      <c r="H313" s="5"/>
      <c r="I313" s="5"/>
      <c r="K313" s="5"/>
      <c r="M313" s="5"/>
      <c r="N313" s="5"/>
    </row>
    <row r="314">
      <c r="A314" s="8"/>
      <c r="E314" s="4"/>
      <c r="G314" s="5"/>
      <c r="H314" s="5"/>
      <c r="I314" s="5"/>
      <c r="K314" s="5"/>
      <c r="M314" s="5"/>
      <c r="N314" s="5"/>
    </row>
    <row r="315">
      <c r="A315" s="8"/>
      <c r="E315" s="4"/>
      <c r="G315" s="5"/>
      <c r="H315" s="5"/>
      <c r="I315" s="5"/>
      <c r="K315" s="5"/>
      <c r="M315" s="5"/>
      <c r="N315" s="5"/>
    </row>
    <row r="316">
      <c r="A316" s="8"/>
      <c r="E316" s="4"/>
      <c r="G316" s="5"/>
      <c r="H316" s="5"/>
      <c r="I316" s="5"/>
      <c r="K316" s="5"/>
      <c r="M316" s="5"/>
      <c r="N316" s="5"/>
    </row>
    <row r="317">
      <c r="A317" s="8"/>
      <c r="E317" s="4"/>
      <c r="G317" s="5"/>
      <c r="H317" s="5"/>
      <c r="I317" s="5"/>
      <c r="K317" s="5"/>
      <c r="M317" s="5"/>
      <c r="N317" s="5"/>
    </row>
    <row r="318">
      <c r="A318" s="8"/>
      <c r="E318" s="4"/>
      <c r="G318" s="5"/>
      <c r="H318" s="5"/>
      <c r="I318" s="5"/>
      <c r="K318" s="5"/>
      <c r="M318" s="5"/>
      <c r="N318" s="5"/>
    </row>
    <row r="319">
      <c r="A319" s="8"/>
      <c r="E319" s="4"/>
      <c r="G319" s="5"/>
      <c r="H319" s="5"/>
      <c r="I319" s="5"/>
      <c r="K319" s="5"/>
      <c r="M319" s="5"/>
      <c r="N319" s="5"/>
    </row>
    <row r="320">
      <c r="A320" s="8"/>
      <c r="E320" s="4"/>
      <c r="G320" s="5"/>
      <c r="H320" s="5"/>
      <c r="I320" s="5"/>
      <c r="K320" s="5"/>
      <c r="M320" s="5"/>
      <c r="N320" s="5"/>
    </row>
    <row r="321">
      <c r="A321" s="8"/>
      <c r="E321" s="4"/>
      <c r="G321" s="5"/>
      <c r="H321" s="5"/>
      <c r="I321" s="5"/>
      <c r="K321" s="5"/>
      <c r="M321" s="5"/>
      <c r="N321" s="5"/>
    </row>
    <row r="322">
      <c r="A322" s="8"/>
      <c r="E322" s="4"/>
      <c r="G322" s="5"/>
      <c r="H322" s="5"/>
      <c r="I322" s="5"/>
      <c r="K322" s="5"/>
      <c r="M322" s="5"/>
      <c r="N322" s="5"/>
    </row>
    <row r="323">
      <c r="A323" s="8"/>
      <c r="E323" s="4"/>
      <c r="G323" s="5"/>
      <c r="H323" s="5"/>
      <c r="I323" s="5"/>
      <c r="K323" s="5"/>
      <c r="M323" s="5"/>
      <c r="N323" s="5"/>
    </row>
    <row r="324">
      <c r="A324" s="8"/>
      <c r="E324" s="4"/>
      <c r="G324" s="5"/>
      <c r="H324" s="5"/>
      <c r="I324" s="5"/>
      <c r="K324" s="5"/>
      <c r="M324" s="5"/>
      <c r="N324" s="5"/>
    </row>
    <row r="325">
      <c r="A325" s="8"/>
      <c r="E325" s="4"/>
      <c r="G325" s="5"/>
      <c r="H325" s="5"/>
      <c r="I325" s="5"/>
      <c r="K325" s="5"/>
      <c r="M325" s="5"/>
      <c r="N325" s="5"/>
    </row>
    <row r="326">
      <c r="A326" s="8"/>
      <c r="E326" s="4"/>
      <c r="G326" s="5"/>
      <c r="H326" s="5"/>
      <c r="I326" s="5"/>
      <c r="K326" s="5"/>
      <c r="M326" s="5"/>
      <c r="N326" s="5"/>
    </row>
    <row r="327">
      <c r="A327" s="8"/>
      <c r="E327" s="4"/>
      <c r="G327" s="5"/>
      <c r="H327" s="5"/>
      <c r="I327" s="5"/>
      <c r="K327" s="5"/>
      <c r="M327" s="5"/>
      <c r="N327" s="5"/>
    </row>
    <row r="328">
      <c r="A328" s="8"/>
      <c r="E328" s="4"/>
      <c r="G328" s="5"/>
      <c r="H328" s="5"/>
      <c r="I328" s="5"/>
      <c r="K328" s="5"/>
      <c r="M328" s="5"/>
      <c r="N328" s="5"/>
    </row>
    <row r="329">
      <c r="A329" s="8"/>
      <c r="E329" s="4"/>
      <c r="G329" s="5"/>
      <c r="H329" s="5"/>
      <c r="I329" s="5"/>
      <c r="K329" s="5"/>
      <c r="M329" s="5"/>
      <c r="N329" s="5"/>
    </row>
    <row r="330">
      <c r="A330" s="8"/>
      <c r="E330" s="4"/>
      <c r="G330" s="5"/>
      <c r="H330" s="5"/>
      <c r="I330" s="5"/>
      <c r="K330" s="5"/>
      <c r="M330" s="5"/>
      <c r="N330" s="5"/>
    </row>
    <row r="331">
      <c r="A331" s="8"/>
      <c r="E331" s="4"/>
      <c r="G331" s="5"/>
      <c r="H331" s="5"/>
      <c r="I331" s="5"/>
      <c r="K331" s="5"/>
      <c r="M331" s="5"/>
      <c r="N331" s="5"/>
    </row>
    <row r="332">
      <c r="A332" s="8"/>
      <c r="E332" s="4"/>
      <c r="G332" s="5"/>
      <c r="H332" s="5"/>
      <c r="I332" s="5"/>
      <c r="K332" s="5"/>
      <c r="M332" s="5"/>
      <c r="N332" s="5"/>
    </row>
    <row r="333">
      <c r="A333" s="8"/>
      <c r="E333" s="4"/>
      <c r="G333" s="5"/>
      <c r="H333" s="5"/>
      <c r="I333" s="5"/>
      <c r="K333" s="5"/>
      <c r="M333" s="5"/>
      <c r="N333" s="5"/>
    </row>
    <row r="334">
      <c r="A334" s="8"/>
      <c r="E334" s="4"/>
      <c r="G334" s="5"/>
      <c r="H334" s="5"/>
      <c r="I334" s="5"/>
      <c r="K334" s="5"/>
      <c r="M334" s="5"/>
      <c r="N334" s="5"/>
    </row>
    <row r="335">
      <c r="A335" s="8"/>
      <c r="E335" s="4"/>
      <c r="G335" s="5"/>
      <c r="H335" s="5"/>
      <c r="I335" s="5"/>
      <c r="K335" s="5"/>
      <c r="M335" s="5"/>
      <c r="N335" s="5"/>
    </row>
    <row r="336">
      <c r="A336" s="8"/>
      <c r="E336" s="4"/>
      <c r="G336" s="5"/>
      <c r="H336" s="5"/>
      <c r="I336" s="5"/>
      <c r="K336" s="5"/>
      <c r="M336" s="5"/>
      <c r="N336" s="5"/>
    </row>
    <row r="337">
      <c r="A337" s="8"/>
      <c r="E337" s="4"/>
      <c r="G337" s="5"/>
      <c r="H337" s="5"/>
      <c r="I337" s="5"/>
      <c r="K337" s="5"/>
      <c r="M337" s="5"/>
      <c r="N337" s="5"/>
    </row>
    <row r="338">
      <c r="A338" s="8"/>
      <c r="E338" s="4"/>
      <c r="G338" s="5"/>
      <c r="H338" s="5"/>
      <c r="I338" s="5"/>
      <c r="K338" s="5"/>
      <c r="M338" s="5"/>
      <c r="N338" s="5"/>
    </row>
    <row r="339">
      <c r="A339" s="8"/>
      <c r="E339" s="4"/>
      <c r="G339" s="5"/>
      <c r="H339" s="5"/>
      <c r="I339" s="5"/>
      <c r="K339" s="5"/>
      <c r="M339" s="5"/>
      <c r="N339" s="5"/>
    </row>
    <row r="340">
      <c r="A340" s="8"/>
      <c r="E340" s="4"/>
      <c r="G340" s="5"/>
      <c r="H340" s="5"/>
      <c r="I340" s="5"/>
      <c r="K340" s="5"/>
      <c r="M340" s="5"/>
      <c r="N340" s="5"/>
    </row>
    <row r="341">
      <c r="A341" s="8"/>
      <c r="E341" s="4"/>
      <c r="G341" s="5"/>
      <c r="H341" s="5"/>
      <c r="I341" s="5"/>
      <c r="K341" s="5"/>
      <c r="M341" s="5"/>
      <c r="N341" s="5"/>
    </row>
    <row r="342">
      <c r="A342" s="8"/>
      <c r="E342" s="4"/>
      <c r="G342" s="5"/>
      <c r="H342" s="5"/>
      <c r="I342" s="5"/>
      <c r="K342" s="5"/>
      <c r="M342" s="5"/>
      <c r="N342" s="5"/>
    </row>
    <row r="343">
      <c r="A343" s="8"/>
      <c r="E343" s="4"/>
      <c r="G343" s="5"/>
      <c r="H343" s="5"/>
      <c r="I343" s="5"/>
      <c r="K343" s="5"/>
      <c r="M343" s="5"/>
      <c r="N343" s="5"/>
    </row>
    <row r="344">
      <c r="A344" s="8"/>
      <c r="E344" s="4"/>
      <c r="G344" s="5"/>
      <c r="H344" s="5"/>
      <c r="I344" s="5"/>
      <c r="K344" s="5"/>
      <c r="M344" s="5"/>
      <c r="N344" s="5"/>
    </row>
    <row r="345">
      <c r="A345" s="8"/>
      <c r="E345" s="4"/>
      <c r="G345" s="5"/>
      <c r="H345" s="5"/>
      <c r="I345" s="5"/>
      <c r="K345" s="5"/>
      <c r="M345" s="5"/>
      <c r="N345" s="5"/>
    </row>
    <row r="346">
      <c r="A346" s="8"/>
      <c r="E346" s="4"/>
      <c r="G346" s="5"/>
      <c r="H346" s="5"/>
      <c r="I346" s="5"/>
      <c r="K346" s="5"/>
      <c r="M346" s="5"/>
      <c r="N346" s="5"/>
    </row>
    <row r="347">
      <c r="A347" s="8"/>
      <c r="E347" s="4"/>
      <c r="G347" s="5"/>
      <c r="H347" s="5"/>
      <c r="I347" s="5"/>
      <c r="K347" s="5"/>
      <c r="M347" s="5"/>
      <c r="N347" s="5"/>
    </row>
    <row r="348">
      <c r="A348" s="8"/>
      <c r="E348" s="4"/>
      <c r="G348" s="5"/>
      <c r="H348" s="5"/>
      <c r="I348" s="5"/>
      <c r="K348" s="5"/>
      <c r="M348" s="5"/>
      <c r="N348" s="5"/>
    </row>
    <row r="349">
      <c r="A349" s="8"/>
      <c r="E349" s="4"/>
      <c r="G349" s="5"/>
      <c r="H349" s="5"/>
      <c r="I349" s="5"/>
      <c r="K349" s="5"/>
      <c r="M349" s="5"/>
      <c r="N349" s="5"/>
    </row>
    <row r="350">
      <c r="A350" s="8"/>
      <c r="E350" s="4"/>
      <c r="G350" s="5"/>
      <c r="H350" s="5"/>
      <c r="I350" s="5"/>
      <c r="K350" s="5"/>
      <c r="M350" s="5"/>
      <c r="N350" s="5"/>
    </row>
    <row r="351">
      <c r="A351" s="8"/>
      <c r="E351" s="4"/>
      <c r="G351" s="5"/>
      <c r="H351" s="5"/>
      <c r="I351" s="5"/>
      <c r="K351" s="5"/>
      <c r="M351" s="5"/>
      <c r="N351" s="5"/>
    </row>
    <row r="352">
      <c r="A352" s="8"/>
      <c r="E352" s="4"/>
      <c r="G352" s="5"/>
      <c r="H352" s="5"/>
      <c r="I352" s="5"/>
      <c r="K352" s="5"/>
      <c r="M352" s="5"/>
      <c r="N352" s="5"/>
    </row>
    <row r="353">
      <c r="A353" s="8"/>
      <c r="E353" s="4"/>
      <c r="G353" s="5"/>
      <c r="H353" s="5"/>
      <c r="I353" s="5"/>
      <c r="K353" s="5"/>
      <c r="M353" s="5"/>
      <c r="N353" s="5"/>
    </row>
    <row r="354">
      <c r="A354" s="8"/>
      <c r="E354" s="4"/>
      <c r="G354" s="5"/>
      <c r="H354" s="5"/>
      <c r="I354" s="5"/>
      <c r="K354" s="5"/>
      <c r="M354" s="5"/>
      <c r="N354" s="5"/>
    </row>
    <row r="355">
      <c r="A355" s="8"/>
      <c r="E355" s="4"/>
      <c r="G355" s="5"/>
      <c r="H355" s="5"/>
      <c r="I355" s="5"/>
      <c r="K355" s="5"/>
      <c r="M355" s="5"/>
      <c r="N355" s="5"/>
    </row>
    <row r="356">
      <c r="A356" s="8"/>
      <c r="E356" s="4"/>
      <c r="G356" s="5"/>
      <c r="H356" s="5"/>
      <c r="I356" s="5"/>
      <c r="K356" s="5"/>
      <c r="M356" s="5"/>
      <c r="N356" s="5"/>
    </row>
    <row r="357">
      <c r="A357" s="8"/>
      <c r="E357" s="4"/>
      <c r="G357" s="5"/>
      <c r="H357" s="5"/>
      <c r="I357" s="5"/>
      <c r="K357" s="5"/>
      <c r="M357" s="5"/>
      <c r="N357" s="5"/>
    </row>
    <row r="358">
      <c r="A358" s="8"/>
      <c r="E358" s="4"/>
      <c r="G358" s="5"/>
      <c r="H358" s="5"/>
      <c r="I358" s="5"/>
      <c r="K358" s="5"/>
      <c r="M358" s="5"/>
      <c r="N358" s="5"/>
    </row>
    <row r="359">
      <c r="A359" s="8"/>
      <c r="E359" s="4"/>
      <c r="G359" s="5"/>
      <c r="H359" s="5"/>
      <c r="I359" s="5"/>
      <c r="K359" s="5"/>
      <c r="M359" s="5"/>
      <c r="N359" s="5"/>
    </row>
    <row r="360">
      <c r="A360" s="8"/>
      <c r="E360" s="4"/>
      <c r="G360" s="5"/>
      <c r="H360" s="5"/>
      <c r="I360" s="5"/>
      <c r="K360" s="5"/>
      <c r="M360" s="5"/>
      <c r="N360" s="5"/>
    </row>
    <row r="361">
      <c r="A361" s="8"/>
      <c r="E361" s="4"/>
      <c r="G361" s="5"/>
      <c r="H361" s="5"/>
      <c r="I361" s="5"/>
      <c r="K361" s="5"/>
      <c r="M361" s="5"/>
      <c r="N361" s="5"/>
    </row>
    <row r="362">
      <c r="A362" s="8"/>
      <c r="E362" s="4"/>
      <c r="G362" s="5"/>
      <c r="H362" s="5"/>
      <c r="I362" s="5"/>
      <c r="K362" s="5"/>
      <c r="M362" s="5"/>
      <c r="N362" s="5"/>
    </row>
    <row r="363">
      <c r="A363" s="8"/>
      <c r="E363" s="4"/>
      <c r="G363" s="5"/>
      <c r="H363" s="5"/>
      <c r="I363" s="5"/>
      <c r="K363" s="5"/>
      <c r="M363" s="5"/>
      <c r="N363" s="5"/>
    </row>
    <row r="364">
      <c r="A364" s="8"/>
      <c r="E364" s="4"/>
      <c r="G364" s="5"/>
      <c r="H364" s="5"/>
      <c r="I364" s="5"/>
      <c r="K364" s="5"/>
      <c r="M364" s="5"/>
      <c r="N364" s="5"/>
    </row>
    <row r="365">
      <c r="A365" s="8"/>
      <c r="E365" s="4"/>
      <c r="G365" s="5"/>
      <c r="H365" s="5"/>
      <c r="I365" s="5"/>
      <c r="K365" s="5"/>
      <c r="M365" s="5"/>
      <c r="N365" s="5"/>
    </row>
    <row r="366">
      <c r="A366" s="8"/>
      <c r="E366" s="4"/>
      <c r="G366" s="5"/>
      <c r="H366" s="5"/>
      <c r="I366" s="5"/>
      <c r="K366" s="5"/>
      <c r="M366" s="5"/>
      <c r="N366" s="5"/>
    </row>
    <row r="367">
      <c r="A367" s="8"/>
      <c r="E367" s="4"/>
      <c r="G367" s="5"/>
      <c r="H367" s="5"/>
      <c r="I367" s="5"/>
      <c r="K367" s="5"/>
      <c r="M367" s="5"/>
      <c r="N367" s="5"/>
    </row>
    <row r="368">
      <c r="A368" s="8"/>
      <c r="E368" s="4"/>
      <c r="G368" s="5"/>
      <c r="H368" s="5"/>
      <c r="I368" s="5"/>
      <c r="K368" s="5"/>
      <c r="M368" s="5"/>
      <c r="N368" s="5"/>
    </row>
    <row r="369">
      <c r="A369" s="8"/>
      <c r="E369" s="4"/>
      <c r="G369" s="5"/>
      <c r="H369" s="5"/>
      <c r="I369" s="5"/>
      <c r="K369" s="5"/>
      <c r="M369" s="5"/>
      <c r="N369" s="5"/>
    </row>
    <row r="370">
      <c r="A370" s="8"/>
      <c r="E370" s="4"/>
      <c r="G370" s="5"/>
      <c r="H370" s="5"/>
      <c r="I370" s="5"/>
      <c r="K370" s="5"/>
      <c r="M370" s="5"/>
      <c r="N370" s="5"/>
    </row>
    <row r="371">
      <c r="A371" s="8"/>
      <c r="E371" s="4"/>
      <c r="G371" s="5"/>
      <c r="H371" s="5"/>
      <c r="I371" s="5"/>
      <c r="K371" s="5"/>
      <c r="M371" s="5"/>
      <c r="N371" s="5"/>
    </row>
    <row r="372">
      <c r="A372" s="8"/>
      <c r="E372" s="4"/>
      <c r="G372" s="5"/>
      <c r="H372" s="5"/>
      <c r="I372" s="5"/>
      <c r="K372" s="5"/>
      <c r="M372" s="5"/>
      <c r="N372" s="5"/>
    </row>
    <row r="373">
      <c r="A373" s="8"/>
      <c r="E373" s="4"/>
      <c r="G373" s="5"/>
      <c r="H373" s="5"/>
      <c r="I373" s="5"/>
      <c r="K373" s="5"/>
      <c r="M373" s="5"/>
      <c r="N373" s="5"/>
    </row>
    <row r="374">
      <c r="A374" s="8"/>
      <c r="E374" s="4"/>
      <c r="G374" s="5"/>
      <c r="H374" s="5"/>
      <c r="I374" s="5"/>
      <c r="K374" s="5"/>
      <c r="M374" s="5"/>
      <c r="N374" s="5"/>
    </row>
    <row r="375">
      <c r="A375" s="8"/>
      <c r="E375" s="4"/>
      <c r="G375" s="5"/>
      <c r="H375" s="5"/>
      <c r="I375" s="5"/>
      <c r="K375" s="5"/>
      <c r="M375" s="5"/>
      <c r="N375" s="5"/>
    </row>
    <row r="376">
      <c r="A376" s="8"/>
      <c r="E376" s="4"/>
      <c r="G376" s="5"/>
      <c r="H376" s="5"/>
      <c r="I376" s="5"/>
      <c r="K376" s="5"/>
      <c r="M376" s="5"/>
      <c r="N376" s="5"/>
    </row>
    <row r="377">
      <c r="A377" s="8"/>
      <c r="E377" s="4"/>
      <c r="G377" s="5"/>
      <c r="H377" s="5"/>
      <c r="I377" s="5"/>
      <c r="K377" s="5"/>
      <c r="M377" s="5"/>
      <c r="N377" s="5"/>
    </row>
    <row r="378">
      <c r="A378" s="8"/>
      <c r="E378" s="4"/>
      <c r="G378" s="5"/>
      <c r="H378" s="5"/>
      <c r="I378" s="5"/>
      <c r="K378" s="5"/>
      <c r="M378" s="5"/>
      <c r="N378" s="5"/>
    </row>
    <row r="379">
      <c r="A379" s="8"/>
      <c r="E379" s="4"/>
      <c r="G379" s="5"/>
      <c r="H379" s="5"/>
      <c r="I379" s="5"/>
      <c r="K379" s="5"/>
      <c r="M379" s="5"/>
      <c r="N379" s="5"/>
    </row>
    <row r="380">
      <c r="A380" s="8"/>
      <c r="E380" s="4"/>
      <c r="G380" s="5"/>
      <c r="H380" s="5"/>
      <c r="I380" s="5"/>
      <c r="K380" s="5"/>
      <c r="M380" s="5"/>
      <c r="N380" s="5"/>
    </row>
    <row r="381">
      <c r="A381" s="8"/>
      <c r="E381" s="4"/>
      <c r="G381" s="5"/>
      <c r="H381" s="5"/>
      <c r="I381" s="5"/>
      <c r="K381" s="5"/>
      <c r="M381" s="5"/>
      <c r="N381" s="5"/>
    </row>
    <row r="382">
      <c r="A382" s="8"/>
      <c r="E382" s="4"/>
      <c r="G382" s="5"/>
      <c r="H382" s="5"/>
      <c r="I382" s="5"/>
      <c r="K382" s="5"/>
      <c r="M382" s="5"/>
      <c r="N382" s="5"/>
    </row>
    <row r="383">
      <c r="A383" s="8"/>
      <c r="E383" s="4"/>
      <c r="G383" s="5"/>
      <c r="H383" s="5"/>
      <c r="I383" s="5"/>
      <c r="K383" s="5"/>
      <c r="M383" s="5"/>
      <c r="N383" s="5"/>
    </row>
    <row r="384">
      <c r="A384" s="8"/>
      <c r="E384" s="4"/>
      <c r="G384" s="5"/>
      <c r="H384" s="5"/>
      <c r="I384" s="5"/>
      <c r="K384" s="5"/>
      <c r="M384" s="5"/>
      <c r="N384" s="5"/>
    </row>
    <row r="385">
      <c r="A385" s="8"/>
      <c r="E385" s="4"/>
      <c r="G385" s="5"/>
      <c r="H385" s="5"/>
      <c r="I385" s="5"/>
      <c r="K385" s="5"/>
      <c r="M385" s="5"/>
      <c r="N385" s="5"/>
    </row>
    <row r="386">
      <c r="A386" s="8"/>
      <c r="E386" s="4"/>
      <c r="G386" s="5"/>
      <c r="H386" s="5"/>
      <c r="I386" s="5"/>
      <c r="K386" s="5"/>
      <c r="M386" s="5"/>
      <c r="N386" s="5"/>
    </row>
    <row r="387">
      <c r="A387" s="8"/>
      <c r="E387" s="4"/>
      <c r="G387" s="5"/>
      <c r="H387" s="5"/>
      <c r="I387" s="5"/>
      <c r="K387" s="5"/>
      <c r="M387" s="5"/>
      <c r="N387" s="5"/>
    </row>
    <row r="388">
      <c r="A388" s="8"/>
      <c r="E388" s="4"/>
      <c r="G388" s="5"/>
      <c r="H388" s="5"/>
      <c r="I388" s="5"/>
      <c r="K388" s="5"/>
      <c r="M388" s="5"/>
      <c r="N388" s="5"/>
    </row>
    <row r="389">
      <c r="A389" s="8"/>
      <c r="E389" s="4"/>
      <c r="G389" s="5"/>
      <c r="H389" s="5"/>
      <c r="I389" s="5"/>
      <c r="K389" s="5"/>
      <c r="M389" s="5"/>
      <c r="N389" s="5"/>
    </row>
    <row r="390">
      <c r="A390" s="8"/>
      <c r="E390" s="4"/>
      <c r="G390" s="5"/>
      <c r="H390" s="5"/>
      <c r="I390" s="5"/>
      <c r="K390" s="5"/>
      <c r="M390" s="5"/>
      <c r="N390" s="5"/>
    </row>
    <row r="391">
      <c r="A391" s="8"/>
      <c r="E391" s="4"/>
      <c r="G391" s="5"/>
      <c r="H391" s="5"/>
      <c r="I391" s="5"/>
      <c r="K391" s="5"/>
      <c r="M391" s="5"/>
      <c r="N391" s="5"/>
    </row>
    <row r="392">
      <c r="A392" s="8"/>
      <c r="E392" s="4"/>
      <c r="G392" s="5"/>
      <c r="H392" s="5"/>
      <c r="I392" s="5"/>
      <c r="K392" s="5"/>
      <c r="M392" s="5"/>
      <c r="N392" s="5"/>
    </row>
    <row r="393">
      <c r="A393" s="8"/>
      <c r="E393" s="4"/>
      <c r="G393" s="5"/>
      <c r="H393" s="5"/>
      <c r="I393" s="5"/>
      <c r="K393" s="5"/>
      <c r="M393" s="5"/>
      <c r="N393" s="5"/>
    </row>
    <row r="394">
      <c r="A394" s="8"/>
      <c r="E394" s="4"/>
      <c r="G394" s="5"/>
      <c r="H394" s="5"/>
      <c r="I394" s="5"/>
      <c r="K394" s="5"/>
      <c r="M394" s="5"/>
      <c r="N394" s="5"/>
    </row>
    <row r="395">
      <c r="A395" s="8"/>
      <c r="E395" s="4"/>
      <c r="G395" s="5"/>
      <c r="H395" s="5"/>
      <c r="I395" s="5"/>
      <c r="K395" s="5"/>
      <c r="M395" s="5"/>
      <c r="N395" s="5"/>
    </row>
    <row r="396">
      <c r="A396" s="8"/>
      <c r="E396" s="4"/>
      <c r="G396" s="5"/>
      <c r="H396" s="5"/>
      <c r="I396" s="5"/>
      <c r="K396" s="5"/>
      <c r="M396" s="5"/>
      <c r="N396" s="5"/>
    </row>
    <row r="397">
      <c r="A397" s="8"/>
      <c r="E397" s="4"/>
      <c r="G397" s="5"/>
      <c r="H397" s="5"/>
      <c r="I397" s="5"/>
      <c r="K397" s="5"/>
      <c r="M397" s="5"/>
      <c r="N397" s="5"/>
    </row>
    <row r="398">
      <c r="A398" s="8"/>
      <c r="E398" s="4"/>
      <c r="G398" s="5"/>
      <c r="H398" s="5"/>
      <c r="I398" s="5"/>
      <c r="K398" s="5"/>
      <c r="M398" s="5"/>
      <c r="N398" s="5"/>
    </row>
    <row r="399">
      <c r="A399" s="8"/>
      <c r="E399" s="4"/>
      <c r="G399" s="5"/>
      <c r="H399" s="5"/>
      <c r="I399" s="5"/>
      <c r="K399" s="5"/>
      <c r="M399" s="5"/>
      <c r="N399" s="5"/>
    </row>
    <row r="400">
      <c r="A400" s="8"/>
      <c r="E400" s="4"/>
      <c r="G400" s="5"/>
      <c r="H400" s="5"/>
      <c r="I400" s="5"/>
      <c r="K400" s="5"/>
      <c r="M400" s="5"/>
      <c r="N400" s="5"/>
    </row>
    <row r="401">
      <c r="A401" s="8"/>
      <c r="E401" s="4"/>
      <c r="G401" s="5"/>
      <c r="H401" s="5"/>
      <c r="I401" s="5"/>
      <c r="K401" s="5"/>
      <c r="M401" s="5"/>
      <c r="N401" s="5"/>
    </row>
    <row r="402">
      <c r="A402" s="8"/>
      <c r="E402" s="4"/>
      <c r="G402" s="5"/>
      <c r="H402" s="5"/>
      <c r="I402" s="5"/>
      <c r="K402" s="5"/>
      <c r="M402" s="5"/>
      <c r="N402" s="5"/>
    </row>
    <row r="403">
      <c r="A403" s="8"/>
      <c r="E403" s="4"/>
      <c r="G403" s="5"/>
      <c r="H403" s="5"/>
      <c r="I403" s="5"/>
      <c r="K403" s="5"/>
      <c r="M403" s="5"/>
      <c r="N403" s="5"/>
    </row>
    <row r="404">
      <c r="A404" s="8"/>
      <c r="E404" s="4"/>
      <c r="G404" s="5"/>
      <c r="H404" s="5"/>
      <c r="I404" s="5"/>
      <c r="K404" s="5"/>
      <c r="M404" s="5"/>
      <c r="N404" s="5"/>
    </row>
    <row r="405">
      <c r="A405" s="8"/>
      <c r="E405" s="4"/>
      <c r="G405" s="5"/>
      <c r="H405" s="5"/>
      <c r="I405" s="5"/>
      <c r="K405" s="5"/>
      <c r="M405" s="5"/>
      <c r="N405" s="5"/>
    </row>
    <row r="406">
      <c r="A406" s="8"/>
      <c r="E406" s="4"/>
      <c r="G406" s="5"/>
      <c r="H406" s="5"/>
      <c r="I406" s="5"/>
      <c r="K406" s="5"/>
      <c r="M406" s="5"/>
      <c r="N406" s="5"/>
    </row>
    <row r="407">
      <c r="A407" s="8"/>
      <c r="E407" s="4"/>
      <c r="G407" s="5"/>
      <c r="H407" s="5"/>
      <c r="I407" s="5"/>
      <c r="K407" s="5"/>
      <c r="M407" s="5"/>
      <c r="N407" s="5"/>
    </row>
    <row r="408">
      <c r="A408" s="8"/>
      <c r="E408" s="4"/>
      <c r="G408" s="5"/>
      <c r="H408" s="5"/>
      <c r="I408" s="5"/>
      <c r="K408" s="5"/>
      <c r="M408" s="5"/>
      <c r="N408" s="5"/>
    </row>
    <row r="409">
      <c r="A409" s="8"/>
      <c r="E409" s="4"/>
      <c r="G409" s="5"/>
      <c r="H409" s="5"/>
      <c r="I409" s="5"/>
      <c r="K409" s="5"/>
      <c r="M409" s="5"/>
      <c r="N409" s="5"/>
    </row>
    <row r="410">
      <c r="A410" s="8"/>
      <c r="E410" s="4"/>
      <c r="G410" s="5"/>
      <c r="H410" s="5"/>
      <c r="I410" s="5"/>
      <c r="K410" s="5"/>
      <c r="M410" s="5"/>
      <c r="N410" s="5"/>
    </row>
    <row r="411">
      <c r="A411" s="8"/>
      <c r="E411" s="4"/>
      <c r="G411" s="5"/>
      <c r="H411" s="5"/>
      <c r="I411" s="5"/>
      <c r="K411" s="5"/>
      <c r="M411" s="5"/>
      <c r="N411" s="5"/>
    </row>
    <row r="412">
      <c r="A412" s="8"/>
      <c r="E412" s="4"/>
      <c r="G412" s="5"/>
      <c r="H412" s="5"/>
      <c r="I412" s="5"/>
      <c r="K412" s="5"/>
      <c r="M412" s="5"/>
      <c r="N412" s="5"/>
    </row>
    <row r="413">
      <c r="A413" s="8"/>
      <c r="E413" s="4"/>
      <c r="G413" s="5"/>
      <c r="H413" s="5"/>
      <c r="I413" s="5"/>
      <c r="K413" s="5"/>
      <c r="M413" s="5"/>
      <c r="N413" s="5"/>
    </row>
    <row r="414">
      <c r="A414" s="8"/>
      <c r="E414" s="4"/>
      <c r="G414" s="5"/>
      <c r="H414" s="5"/>
      <c r="I414" s="5"/>
      <c r="K414" s="5"/>
      <c r="M414" s="5"/>
      <c r="N414" s="5"/>
    </row>
    <row r="415">
      <c r="A415" s="8"/>
      <c r="E415" s="4"/>
      <c r="G415" s="5"/>
      <c r="H415" s="5"/>
      <c r="I415" s="5"/>
      <c r="K415" s="5"/>
      <c r="M415" s="5"/>
      <c r="N415" s="5"/>
    </row>
    <row r="416">
      <c r="A416" s="8"/>
      <c r="E416" s="4"/>
      <c r="G416" s="5"/>
      <c r="H416" s="5"/>
      <c r="I416" s="5"/>
      <c r="K416" s="5"/>
      <c r="M416" s="5"/>
      <c r="N416" s="5"/>
    </row>
    <row r="417">
      <c r="A417" s="8"/>
      <c r="E417" s="4"/>
      <c r="G417" s="5"/>
      <c r="H417" s="5"/>
      <c r="I417" s="5"/>
      <c r="K417" s="5"/>
      <c r="M417" s="5"/>
      <c r="N417" s="5"/>
    </row>
    <row r="418">
      <c r="A418" s="8"/>
      <c r="E418" s="4"/>
      <c r="G418" s="5"/>
      <c r="H418" s="5"/>
      <c r="I418" s="5"/>
      <c r="K418" s="5"/>
      <c r="M418" s="5"/>
      <c r="N418" s="5"/>
    </row>
    <row r="419">
      <c r="A419" s="8"/>
      <c r="E419" s="4"/>
      <c r="G419" s="5"/>
      <c r="H419" s="5"/>
      <c r="I419" s="5"/>
      <c r="K419" s="5"/>
      <c r="M419" s="5"/>
      <c r="N419" s="5"/>
    </row>
    <row r="420">
      <c r="A420" s="8"/>
      <c r="E420" s="4"/>
      <c r="G420" s="5"/>
      <c r="H420" s="5"/>
      <c r="I420" s="5"/>
      <c r="K420" s="5"/>
      <c r="M420" s="5"/>
      <c r="N420" s="5"/>
    </row>
    <row r="421">
      <c r="A421" s="8"/>
      <c r="E421" s="4"/>
      <c r="G421" s="5"/>
      <c r="H421" s="5"/>
      <c r="I421" s="5"/>
      <c r="K421" s="5"/>
      <c r="M421" s="5"/>
      <c r="N421" s="5"/>
    </row>
    <row r="422">
      <c r="A422" s="8"/>
      <c r="E422" s="4"/>
      <c r="G422" s="5"/>
      <c r="H422" s="5"/>
      <c r="I422" s="5"/>
      <c r="K422" s="5"/>
      <c r="M422" s="5"/>
      <c r="N422" s="5"/>
    </row>
    <row r="423">
      <c r="A423" s="8"/>
      <c r="E423" s="4"/>
      <c r="G423" s="5"/>
      <c r="H423" s="5"/>
      <c r="I423" s="5"/>
      <c r="K423" s="5"/>
      <c r="M423" s="5"/>
      <c r="N423" s="5"/>
    </row>
    <row r="424">
      <c r="A424" s="8"/>
      <c r="E424" s="4"/>
      <c r="G424" s="5"/>
      <c r="H424" s="5"/>
      <c r="I424" s="5"/>
      <c r="K424" s="5"/>
      <c r="M424" s="5"/>
      <c r="N424" s="5"/>
    </row>
    <row r="425">
      <c r="A425" s="8"/>
      <c r="E425" s="4"/>
      <c r="G425" s="5"/>
      <c r="H425" s="5"/>
      <c r="I425" s="5"/>
      <c r="K425" s="5"/>
      <c r="M425" s="5"/>
      <c r="N425" s="5"/>
    </row>
    <row r="426">
      <c r="A426" s="8"/>
      <c r="E426" s="4"/>
      <c r="G426" s="5"/>
      <c r="H426" s="5"/>
      <c r="I426" s="5"/>
      <c r="K426" s="5"/>
      <c r="M426" s="5"/>
      <c r="N426" s="5"/>
    </row>
    <row r="427">
      <c r="A427" s="8"/>
      <c r="E427" s="4"/>
      <c r="G427" s="5"/>
      <c r="H427" s="5"/>
      <c r="I427" s="5"/>
      <c r="K427" s="5"/>
      <c r="M427" s="5"/>
      <c r="N427" s="5"/>
    </row>
    <row r="428">
      <c r="A428" s="8"/>
      <c r="E428" s="4"/>
      <c r="G428" s="5"/>
      <c r="H428" s="5"/>
      <c r="I428" s="5"/>
      <c r="K428" s="5"/>
      <c r="M428" s="5"/>
      <c r="N428" s="5"/>
    </row>
    <row r="429">
      <c r="A429" s="8"/>
      <c r="E429" s="4"/>
      <c r="G429" s="5"/>
      <c r="H429" s="5"/>
      <c r="I429" s="5"/>
      <c r="K429" s="5"/>
      <c r="M429" s="5"/>
      <c r="N429" s="5"/>
    </row>
    <row r="430">
      <c r="A430" s="8"/>
      <c r="E430" s="4"/>
      <c r="G430" s="5"/>
      <c r="H430" s="5"/>
      <c r="I430" s="5"/>
      <c r="K430" s="5"/>
      <c r="M430" s="5"/>
      <c r="N430" s="5"/>
    </row>
    <row r="431">
      <c r="A431" s="8"/>
      <c r="E431" s="4"/>
      <c r="G431" s="5"/>
      <c r="H431" s="5"/>
      <c r="I431" s="5"/>
      <c r="K431" s="5"/>
      <c r="M431" s="5"/>
      <c r="N431" s="5"/>
    </row>
    <row r="432">
      <c r="A432" s="8"/>
      <c r="E432" s="4"/>
      <c r="G432" s="5"/>
      <c r="H432" s="5"/>
      <c r="I432" s="5"/>
      <c r="K432" s="5"/>
      <c r="M432" s="5"/>
      <c r="N432" s="5"/>
    </row>
    <row r="433">
      <c r="A433" s="8"/>
      <c r="E433" s="4"/>
      <c r="G433" s="5"/>
      <c r="H433" s="5"/>
      <c r="I433" s="5"/>
      <c r="K433" s="5"/>
      <c r="M433" s="5"/>
      <c r="N433" s="5"/>
    </row>
    <row r="434">
      <c r="A434" s="8"/>
      <c r="E434" s="4"/>
      <c r="G434" s="5"/>
      <c r="H434" s="5"/>
      <c r="I434" s="5"/>
      <c r="K434" s="5"/>
      <c r="M434" s="5"/>
      <c r="N434" s="5"/>
    </row>
    <row r="435">
      <c r="A435" s="8"/>
      <c r="E435" s="4"/>
      <c r="G435" s="5"/>
      <c r="H435" s="5"/>
      <c r="I435" s="5"/>
      <c r="K435" s="5"/>
      <c r="M435" s="5"/>
      <c r="N435" s="5"/>
    </row>
    <row r="436">
      <c r="A436" s="8"/>
      <c r="E436" s="4"/>
      <c r="G436" s="5"/>
      <c r="H436" s="5"/>
      <c r="I436" s="5"/>
      <c r="K436" s="5"/>
      <c r="M436" s="5"/>
      <c r="N436" s="5"/>
    </row>
    <row r="437">
      <c r="A437" s="8"/>
      <c r="E437" s="4"/>
      <c r="G437" s="5"/>
      <c r="H437" s="5"/>
      <c r="I437" s="5"/>
      <c r="K437" s="5"/>
      <c r="M437" s="5"/>
      <c r="N437" s="5"/>
    </row>
    <row r="438">
      <c r="A438" s="8"/>
      <c r="E438" s="4"/>
      <c r="G438" s="5"/>
      <c r="H438" s="5"/>
      <c r="I438" s="5"/>
      <c r="K438" s="5"/>
      <c r="M438" s="5"/>
      <c r="N438" s="5"/>
    </row>
    <row r="439">
      <c r="A439" s="8"/>
      <c r="E439" s="4"/>
      <c r="G439" s="5"/>
      <c r="H439" s="5"/>
      <c r="I439" s="5"/>
      <c r="K439" s="5"/>
      <c r="M439" s="5"/>
      <c r="N439" s="5"/>
    </row>
    <row r="440">
      <c r="A440" s="8"/>
      <c r="E440" s="4"/>
      <c r="G440" s="5"/>
      <c r="H440" s="5"/>
      <c r="I440" s="5"/>
      <c r="K440" s="5"/>
      <c r="M440" s="5"/>
      <c r="N440" s="5"/>
    </row>
    <row r="441">
      <c r="A441" s="8"/>
      <c r="E441" s="4"/>
      <c r="G441" s="5"/>
      <c r="H441" s="5"/>
      <c r="I441" s="5"/>
      <c r="K441" s="5"/>
      <c r="M441" s="5"/>
      <c r="N441" s="5"/>
    </row>
    <row r="442">
      <c r="A442" s="8"/>
      <c r="E442" s="4"/>
      <c r="G442" s="5"/>
      <c r="H442" s="5"/>
      <c r="I442" s="5"/>
      <c r="K442" s="5"/>
      <c r="M442" s="5"/>
      <c r="N442" s="5"/>
    </row>
    <row r="443">
      <c r="A443" s="8"/>
      <c r="E443" s="4"/>
      <c r="G443" s="5"/>
      <c r="H443" s="5"/>
      <c r="I443" s="5"/>
      <c r="K443" s="5"/>
      <c r="M443" s="5"/>
      <c r="N443" s="5"/>
    </row>
    <row r="444">
      <c r="A444" s="8"/>
      <c r="E444" s="4"/>
      <c r="G444" s="5"/>
      <c r="H444" s="5"/>
      <c r="I444" s="5"/>
      <c r="K444" s="5"/>
      <c r="M444" s="5"/>
      <c r="N444" s="5"/>
    </row>
    <row r="445">
      <c r="A445" s="8"/>
      <c r="E445" s="4"/>
      <c r="G445" s="5"/>
      <c r="H445" s="5"/>
      <c r="I445" s="5"/>
      <c r="K445" s="5"/>
      <c r="M445" s="5"/>
      <c r="N445" s="5"/>
    </row>
    <row r="446">
      <c r="A446" s="8"/>
      <c r="E446" s="4"/>
      <c r="G446" s="5"/>
      <c r="H446" s="5"/>
      <c r="I446" s="5"/>
      <c r="K446" s="5"/>
      <c r="M446" s="5"/>
      <c r="N446" s="5"/>
    </row>
    <row r="447">
      <c r="A447" s="8"/>
      <c r="E447" s="4"/>
      <c r="G447" s="5"/>
      <c r="H447" s="5"/>
      <c r="I447" s="5"/>
      <c r="K447" s="5"/>
      <c r="M447" s="5"/>
      <c r="N447" s="5"/>
    </row>
    <row r="448">
      <c r="A448" s="8"/>
      <c r="E448" s="4"/>
      <c r="G448" s="5"/>
      <c r="H448" s="5"/>
      <c r="I448" s="5"/>
      <c r="K448" s="5"/>
      <c r="M448" s="5"/>
      <c r="N448" s="5"/>
    </row>
    <row r="449">
      <c r="A449" s="8"/>
      <c r="E449" s="4"/>
      <c r="G449" s="5"/>
      <c r="H449" s="5"/>
      <c r="I449" s="5"/>
      <c r="K449" s="5"/>
      <c r="M449" s="5"/>
      <c r="N449" s="5"/>
    </row>
    <row r="450">
      <c r="A450" s="8"/>
      <c r="E450" s="4"/>
      <c r="G450" s="5"/>
      <c r="H450" s="5"/>
      <c r="I450" s="5"/>
      <c r="K450" s="5"/>
      <c r="M450" s="5"/>
      <c r="N450" s="5"/>
    </row>
    <row r="451">
      <c r="A451" s="8"/>
      <c r="E451" s="4"/>
      <c r="G451" s="5"/>
      <c r="H451" s="5"/>
      <c r="I451" s="5"/>
      <c r="K451" s="5"/>
      <c r="M451" s="5"/>
      <c r="N451" s="5"/>
    </row>
    <row r="452">
      <c r="A452" s="8"/>
      <c r="E452" s="4"/>
      <c r="G452" s="5"/>
      <c r="H452" s="5"/>
      <c r="I452" s="5"/>
      <c r="K452" s="5"/>
      <c r="M452" s="5"/>
      <c r="N452" s="5"/>
    </row>
    <row r="453">
      <c r="A453" s="8"/>
      <c r="E453" s="4"/>
      <c r="G453" s="5"/>
      <c r="H453" s="5"/>
      <c r="I453" s="5"/>
      <c r="K453" s="5"/>
      <c r="M453" s="5"/>
      <c r="N453" s="5"/>
    </row>
    <row r="454">
      <c r="A454" s="8"/>
      <c r="E454" s="4"/>
      <c r="G454" s="5"/>
      <c r="H454" s="5"/>
      <c r="I454" s="5"/>
      <c r="K454" s="5"/>
      <c r="M454" s="5"/>
      <c r="N454" s="5"/>
    </row>
    <row r="455">
      <c r="A455" s="8"/>
      <c r="E455" s="4"/>
      <c r="G455" s="5"/>
      <c r="H455" s="5"/>
      <c r="I455" s="5"/>
      <c r="K455" s="5"/>
      <c r="M455" s="5"/>
      <c r="N455" s="5"/>
    </row>
    <row r="456">
      <c r="A456" s="8"/>
      <c r="E456" s="4"/>
      <c r="G456" s="5"/>
      <c r="H456" s="5"/>
      <c r="I456" s="5"/>
      <c r="K456" s="5"/>
      <c r="M456" s="5"/>
      <c r="N456" s="5"/>
    </row>
    <row r="457">
      <c r="A457" s="8"/>
      <c r="E457" s="4"/>
      <c r="G457" s="5"/>
      <c r="H457" s="5"/>
      <c r="I457" s="5"/>
      <c r="K457" s="5"/>
      <c r="M457" s="5"/>
      <c r="N457" s="5"/>
    </row>
    <row r="458">
      <c r="A458" s="8"/>
      <c r="E458" s="4"/>
      <c r="G458" s="5"/>
      <c r="H458" s="5"/>
      <c r="I458" s="5"/>
      <c r="K458" s="5"/>
      <c r="M458" s="5"/>
      <c r="N458" s="5"/>
    </row>
    <row r="459">
      <c r="A459" s="8"/>
      <c r="E459" s="4"/>
      <c r="G459" s="5"/>
      <c r="H459" s="5"/>
      <c r="I459" s="5"/>
      <c r="K459" s="5"/>
      <c r="M459" s="5"/>
      <c r="N459" s="5"/>
    </row>
    <row r="460">
      <c r="A460" s="8"/>
      <c r="E460" s="4"/>
      <c r="G460" s="5"/>
      <c r="H460" s="5"/>
      <c r="I460" s="5"/>
      <c r="K460" s="5"/>
      <c r="M460" s="5"/>
      <c r="N460" s="5"/>
    </row>
    <row r="461">
      <c r="A461" s="8"/>
      <c r="E461" s="4"/>
      <c r="G461" s="5"/>
      <c r="H461" s="5"/>
      <c r="I461" s="5"/>
      <c r="K461" s="5"/>
      <c r="M461" s="5"/>
      <c r="N461" s="5"/>
    </row>
    <row r="462">
      <c r="A462" s="8"/>
      <c r="E462" s="4"/>
      <c r="G462" s="5"/>
      <c r="H462" s="5"/>
      <c r="I462" s="5"/>
      <c r="K462" s="5"/>
      <c r="M462" s="5"/>
      <c r="N462" s="5"/>
    </row>
    <row r="463">
      <c r="A463" s="8"/>
      <c r="E463" s="4"/>
      <c r="G463" s="5"/>
      <c r="H463" s="5"/>
      <c r="I463" s="5"/>
      <c r="K463" s="5"/>
      <c r="M463" s="5"/>
      <c r="N463" s="5"/>
    </row>
    <row r="464">
      <c r="A464" s="8"/>
      <c r="E464" s="4"/>
      <c r="G464" s="5"/>
      <c r="H464" s="5"/>
      <c r="I464" s="5"/>
      <c r="K464" s="5"/>
      <c r="M464" s="5"/>
      <c r="N464" s="5"/>
    </row>
    <row r="465">
      <c r="A465" s="8"/>
      <c r="E465" s="4"/>
      <c r="G465" s="5"/>
      <c r="H465" s="5"/>
      <c r="I465" s="5"/>
      <c r="K465" s="5"/>
      <c r="M465" s="5"/>
      <c r="N465" s="5"/>
    </row>
    <row r="466">
      <c r="A466" s="8"/>
      <c r="E466" s="4"/>
      <c r="G466" s="5"/>
      <c r="H466" s="5"/>
      <c r="I466" s="5"/>
      <c r="K466" s="5"/>
      <c r="M466" s="5"/>
      <c r="N466" s="5"/>
    </row>
    <row r="467">
      <c r="A467" s="8"/>
      <c r="E467" s="4"/>
      <c r="G467" s="5"/>
      <c r="H467" s="5"/>
      <c r="I467" s="5"/>
      <c r="K467" s="5"/>
      <c r="M467" s="5"/>
      <c r="N467" s="5"/>
    </row>
    <row r="468">
      <c r="A468" s="8"/>
      <c r="E468" s="4"/>
      <c r="G468" s="5"/>
      <c r="H468" s="5"/>
      <c r="I468" s="5"/>
      <c r="K468" s="5"/>
      <c r="M468" s="5"/>
      <c r="N468" s="5"/>
    </row>
    <row r="469">
      <c r="A469" s="8"/>
      <c r="E469" s="4"/>
      <c r="G469" s="5"/>
      <c r="H469" s="5"/>
      <c r="I469" s="5"/>
      <c r="K469" s="5"/>
      <c r="M469" s="5"/>
      <c r="N469" s="5"/>
    </row>
    <row r="470">
      <c r="A470" s="8"/>
      <c r="E470" s="4"/>
      <c r="G470" s="5"/>
      <c r="H470" s="5"/>
      <c r="I470" s="5"/>
      <c r="K470" s="5"/>
      <c r="M470" s="5"/>
      <c r="N470" s="5"/>
    </row>
    <row r="471">
      <c r="A471" s="8"/>
      <c r="E471" s="4"/>
      <c r="G471" s="5"/>
      <c r="H471" s="5"/>
      <c r="I471" s="5"/>
      <c r="K471" s="5"/>
      <c r="M471" s="5"/>
      <c r="N471" s="5"/>
    </row>
    <row r="472">
      <c r="A472" s="8"/>
      <c r="E472" s="4"/>
      <c r="G472" s="5"/>
      <c r="H472" s="5"/>
      <c r="I472" s="5"/>
      <c r="K472" s="5"/>
      <c r="M472" s="5"/>
      <c r="N472" s="5"/>
    </row>
    <row r="473">
      <c r="A473" s="8"/>
      <c r="E473" s="4"/>
      <c r="G473" s="5"/>
      <c r="H473" s="5"/>
      <c r="I473" s="5"/>
      <c r="K473" s="5"/>
      <c r="M473" s="5"/>
      <c r="N473" s="5"/>
    </row>
    <row r="474">
      <c r="A474" s="8"/>
      <c r="E474" s="4"/>
      <c r="G474" s="5"/>
      <c r="H474" s="5"/>
      <c r="I474" s="5"/>
      <c r="K474" s="5"/>
      <c r="M474" s="5"/>
      <c r="N474" s="5"/>
    </row>
    <row r="475">
      <c r="A475" s="8"/>
      <c r="E475" s="4"/>
      <c r="G475" s="5"/>
      <c r="H475" s="5"/>
      <c r="I475" s="5"/>
      <c r="K475" s="5"/>
      <c r="M475" s="5"/>
      <c r="N475" s="5"/>
    </row>
    <row r="476">
      <c r="A476" s="8"/>
      <c r="E476" s="4"/>
      <c r="G476" s="5"/>
      <c r="H476" s="5"/>
      <c r="I476" s="5"/>
      <c r="K476" s="5"/>
      <c r="M476" s="5"/>
      <c r="N476" s="5"/>
    </row>
    <row r="477">
      <c r="A477" s="8"/>
      <c r="E477" s="4"/>
      <c r="G477" s="5"/>
      <c r="H477" s="5"/>
      <c r="I477" s="5"/>
      <c r="K477" s="5"/>
      <c r="M477" s="5"/>
      <c r="N477" s="5"/>
    </row>
    <row r="478">
      <c r="A478" s="8"/>
      <c r="E478" s="4"/>
      <c r="G478" s="5"/>
      <c r="H478" s="5"/>
      <c r="I478" s="5"/>
      <c r="K478" s="5"/>
      <c r="M478" s="5"/>
      <c r="N478" s="5"/>
    </row>
    <row r="479">
      <c r="A479" s="8"/>
      <c r="E479" s="4"/>
      <c r="G479" s="5"/>
      <c r="H479" s="5"/>
      <c r="I479" s="5"/>
      <c r="K479" s="5"/>
      <c r="M479" s="5"/>
      <c r="N479" s="5"/>
    </row>
    <row r="480">
      <c r="A480" s="8"/>
      <c r="E480" s="4"/>
      <c r="G480" s="5"/>
      <c r="H480" s="5"/>
      <c r="I480" s="5"/>
      <c r="K480" s="5"/>
      <c r="M480" s="5"/>
      <c r="N480" s="5"/>
    </row>
    <row r="481">
      <c r="A481" s="8"/>
      <c r="E481" s="4"/>
      <c r="G481" s="5"/>
      <c r="H481" s="5"/>
      <c r="I481" s="5"/>
      <c r="K481" s="5"/>
      <c r="M481" s="5"/>
      <c r="N481" s="5"/>
    </row>
    <row r="482">
      <c r="A482" s="8"/>
      <c r="E482" s="4"/>
      <c r="G482" s="5"/>
      <c r="H482" s="5"/>
      <c r="I482" s="5"/>
      <c r="K482" s="5"/>
      <c r="M482" s="5"/>
      <c r="N482" s="5"/>
    </row>
    <row r="483">
      <c r="A483" s="8"/>
      <c r="E483" s="4"/>
      <c r="G483" s="5"/>
      <c r="H483" s="5"/>
      <c r="I483" s="5"/>
      <c r="K483" s="5"/>
      <c r="M483" s="5"/>
      <c r="N483" s="5"/>
    </row>
    <row r="484">
      <c r="A484" s="8"/>
      <c r="E484" s="4"/>
      <c r="G484" s="5"/>
      <c r="H484" s="5"/>
      <c r="I484" s="5"/>
      <c r="K484" s="5"/>
      <c r="M484" s="5"/>
      <c r="N484" s="5"/>
    </row>
    <row r="485">
      <c r="A485" s="8"/>
      <c r="E485" s="4"/>
      <c r="G485" s="5"/>
      <c r="H485" s="5"/>
      <c r="I485" s="5"/>
      <c r="K485" s="5"/>
      <c r="M485" s="5"/>
      <c r="N485" s="5"/>
    </row>
    <row r="486">
      <c r="A486" s="8"/>
      <c r="E486" s="4"/>
      <c r="G486" s="5"/>
      <c r="H486" s="5"/>
      <c r="I486" s="5"/>
      <c r="K486" s="5"/>
      <c r="M486" s="5"/>
      <c r="N486" s="5"/>
    </row>
    <row r="487">
      <c r="A487" s="8"/>
      <c r="E487" s="4"/>
      <c r="G487" s="5"/>
      <c r="H487" s="5"/>
      <c r="I487" s="5"/>
      <c r="K487" s="5"/>
      <c r="M487" s="5"/>
      <c r="N487" s="5"/>
    </row>
    <row r="488">
      <c r="A488" s="8"/>
      <c r="E488" s="4"/>
      <c r="G488" s="5"/>
      <c r="H488" s="5"/>
      <c r="I488" s="5"/>
      <c r="K488" s="5"/>
      <c r="M488" s="5"/>
      <c r="N488" s="5"/>
    </row>
    <row r="489">
      <c r="A489" s="8"/>
      <c r="E489" s="4"/>
      <c r="G489" s="5"/>
      <c r="H489" s="5"/>
      <c r="I489" s="5"/>
      <c r="K489" s="5"/>
      <c r="M489" s="5"/>
      <c r="N489" s="5"/>
    </row>
    <row r="490">
      <c r="A490" s="8"/>
      <c r="E490" s="4"/>
      <c r="G490" s="5"/>
      <c r="H490" s="5"/>
      <c r="I490" s="5"/>
      <c r="K490" s="5"/>
      <c r="M490" s="5"/>
      <c r="N490" s="5"/>
    </row>
    <row r="491">
      <c r="A491" s="8"/>
      <c r="E491" s="4"/>
      <c r="G491" s="5"/>
      <c r="H491" s="5"/>
      <c r="I491" s="5"/>
      <c r="K491" s="5"/>
      <c r="M491" s="5"/>
      <c r="N491" s="5"/>
    </row>
    <row r="492">
      <c r="A492" s="8"/>
      <c r="E492" s="4"/>
      <c r="G492" s="5"/>
      <c r="H492" s="5"/>
      <c r="I492" s="5"/>
      <c r="K492" s="5"/>
      <c r="M492" s="5"/>
      <c r="N492" s="5"/>
    </row>
    <row r="493">
      <c r="A493" s="8"/>
      <c r="E493" s="4"/>
      <c r="G493" s="5"/>
      <c r="H493" s="5"/>
      <c r="I493" s="5"/>
      <c r="K493" s="5"/>
      <c r="M493" s="5"/>
      <c r="N493" s="5"/>
    </row>
    <row r="494">
      <c r="A494" s="8"/>
      <c r="E494" s="4"/>
      <c r="G494" s="5"/>
      <c r="H494" s="5"/>
      <c r="I494" s="5"/>
      <c r="K494" s="5"/>
      <c r="M494" s="5"/>
      <c r="N494" s="5"/>
    </row>
    <row r="495">
      <c r="A495" s="8"/>
      <c r="E495" s="4"/>
      <c r="G495" s="5"/>
      <c r="H495" s="5"/>
      <c r="I495" s="5"/>
      <c r="K495" s="5"/>
      <c r="M495" s="5"/>
      <c r="N495" s="5"/>
    </row>
    <row r="496">
      <c r="A496" s="8"/>
      <c r="E496" s="4"/>
      <c r="G496" s="5"/>
      <c r="H496" s="5"/>
      <c r="I496" s="5"/>
      <c r="K496" s="5"/>
      <c r="M496" s="5"/>
      <c r="N496" s="5"/>
    </row>
    <row r="497">
      <c r="A497" s="8"/>
      <c r="E497" s="4"/>
      <c r="G497" s="5"/>
      <c r="H497" s="5"/>
      <c r="I497" s="5"/>
      <c r="K497" s="5"/>
      <c r="M497" s="5"/>
      <c r="N497" s="5"/>
    </row>
    <row r="498">
      <c r="A498" s="8"/>
      <c r="E498" s="4"/>
      <c r="G498" s="5"/>
      <c r="H498" s="5"/>
      <c r="I498" s="5"/>
      <c r="K498" s="5"/>
      <c r="M498" s="5"/>
      <c r="N498" s="5"/>
    </row>
    <row r="499">
      <c r="A499" s="8"/>
      <c r="E499" s="4"/>
      <c r="G499" s="5"/>
      <c r="H499" s="5"/>
      <c r="I499" s="5"/>
      <c r="K499" s="5"/>
      <c r="M499" s="5"/>
      <c r="N499" s="5"/>
    </row>
    <row r="500">
      <c r="A500" s="8"/>
      <c r="E500" s="4"/>
      <c r="G500" s="5"/>
      <c r="H500" s="5"/>
      <c r="I500" s="5"/>
      <c r="K500" s="5"/>
      <c r="M500" s="5"/>
      <c r="N500" s="5"/>
    </row>
    <row r="501">
      <c r="A501" s="8"/>
      <c r="E501" s="4"/>
      <c r="G501" s="5"/>
      <c r="H501" s="5"/>
      <c r="I501" s="5"/>
      <c r="K501" s="5"/>
      <c r="M501" s="5"/>
      <c r="N501" s="5"/>
    </row>
    <row r="502">
      <c r="A502" s="8"/>
      <c r="E502" s="4"/>
      <c r="G502" s="5"/>
      <c r="H502" s="5"/>
      <c r="I502" s="5"/>
      <c r="K502" s="5"/>
      <c r="M502" s="5"/>
      <c r="N502" s="5"/>
    </row>
    <row r="503">
      <c r="A503" s="8"/>
      <c r="E503" s="4"/>
      <c r="G503" s="5"/>
      <c r="H503" s="5"/>
      <c r="I503" s="5"/>
      <c r="K503" s="5"/>
      <c r="M503" s="5"/>
      <c r="N503" s="5"/>
    </row>
    <row r="504">
      <c r="A504" s="8"/>
      <c r="E504" s="4"/>
      <c r="G504" s="5"/>
      <c r="H504" s="5"/>
      <c r="I504" s="5"/>
      <c r="K504" s="5"/>
      <c r="M504" s="5"/>
      <c r="N504" s="5"/>
    </row>
    <row r="505">
      <c r="A505" s="8"/>
      <c r="E505" s="4"/>
      <c r="G505" s="5"/>
      <c r="H505" s="5"/>
      <c r="I505" s="5"/>
      <c r="K505" s="5"/>
      <c r="M505" s="5"/>
      <c r="N505" s="5"/>
    </row>
    <row r="506">
      <c r="A506" s="8"/>
      <c r="E506" s="4"/>
      <c r="G506" s="5"/>
      <c r="H506" s="5"/>
      <c r="I506" s="5"/>
      <c r="K506" s="5"/>
      <c r="M506" s="5"/>
      <c r="N506" s="5"/>
    </row>
    <row r="507">
      <c r="A507" s="8"/>
      <c r="E507" s="4"/>
      <c r="G507" s="5"/>
      <c r="H507" s="5"/>
      <c r="I507" s="5"/>
      <c r="K507" s="5"/>
      <c r="M507" s="5"/>
      <c r="N507" s="5"/>
    </row>
    <row r="508">
      <c r="A508" s="8"/>
      <c r="E508" s="4"/>
      <c r="G508" s="5"/>
      <c r="H508" s="5"/>
      <c r="I508" s="5"/>
      <c r="K508" s="5"/>
      <c r="M508" s="5"/>
      <c r="N508" s="5"/>
    </row>
    <row r="509">
      <c r="A509" s="8"/>
      <c r="E509" s="4"/>
      <c r="G509" s="5"/>
      <c r="H509" s="5"/>
      <c r="I509" s="5"/>
      <c r="K509" s="5"/>
      <c r="M509" s="5"/>
      <c r="N509" s="5"/>
    </row>
    <row r="510">
      <c r="A510" s="8"/>
      <c r="E510" s="4"/>
      <c r="G510" s="5"/>
      <c r="H510" s="5"/>
      <c r="I510" s="5"/>
      <c r="K510" s="5"/>
      <c r="M510" s="5"/>
      <c r="N510" s="5"/>
    </row>
    <row r="511">
      <c r="A511" s="8"/>
      <c r="E511" s="4"/>
      <c r="G511" s="5"/>
      <c r="H511" s="5"/>
      <c r="I511" s="5"/>
      <c r="K511" s="5"/>
      <c r="M511" s="5"/>
      <c r="N511" s="5"/>
    </row>
    <row r="512">
      <c r="A512" s="8"/>
      <c r="E512" s="4"/>
      <c r="G512" s="5"/>
      <c r="H512" s="5"/>
      <c r="I512" s="5"/>
      <c r="K512" s="5"/>
      <c r="M512" s="5"/>
      <c r="N512" s="5"/>
    </row>
    <row r="513">
      <c r="A513" s="8"/>
      <c r="E513" s="4"/>
      <c r="G513" s="5"/>
      <c r="H513" s="5"/>
      <c r="I513" s="5"/>
      <c r="K513" s="5"/>
      <c r="M513" s="5"/>
      <c r="N513" s="5"/>
    </row>
    <row r="514">
      <c r="A514" s="8"/>
      <c r="E514" s="4"/>
      <c r="G514" s="5"/>
      <c r="H514" s="5"/>
      <c r="I514" s="5"/>
      <c r="K514" s="5"/>
      <c r="M514" s="5"/>
      <c r="N514" s="5"/>
    </row>
    <row r="515">
      <c r="A515" s="8"/>
      <c r="E515" s="4"/>
      <c r="G515" s="5"/>
      <c r="H515" s="5"/>
      <c r="I515" s="5"/>
      <c r="K515" s="5"/>
      <c r="M515" s="5"/>
      <c r="N515" s="5"/>
    </row>
    <row r="516">
      <c r="A516" s="8"/>
      <c r="E516" s="4"/>
      <c r="G516" s="5"/>
      <c r="H516" s="5"/>
      <c r="I516" s="5"/>
      <c r="K516" s="5"/>
      <c r="M516" s="5"/>
      <c r="N516" s="5"/>
    </row>
    <row r="517">
      <c r="A517" s="8"/>
      <c r="E517" s="4"/>
      <c r="G517" s="5"/>
      <c r="H517" s="5"/>
      <c r="I517" s="5"/>
      <c r="K517" s="5"/>
      <c r="M517" s="5"/>
      <c r="N517" s="5"/>
    </row>
    <row r="518">
      <c r="A518" s="8"/>
      <c r="E518" s="4"/>
      <c r="G518" s="5"/>
      <c r="H518" s="5"/>
      <c r="I518" s="5"/>
      <c r="K518" s="5"/>
      <c r="M518" s="5"/>
      <c r="N518" s="5"/>
    </row>
    <row r="519">
      <c r="A519" s="8"/>
      <c r="E519" s="4"/>
      <c r="G519" s="5"/>
      <c r="H519" s="5"/>
      <c r="I519" s="5"/>
      <c r="K519" s="5"/>
      <c r="M519" s="5"/>
      <c r="N519" s="5"/>
    </row>
    <row r="520">
      <c r="A520" s="8"/>
      <c r="E520" s="4"/>
      <c r="G520" s="5"/>
      <c r="H520" s="5"/>
      <c r="I520" s="5"/>
      <c r="K520" s="5"/>
      <c r="M520" s="5"/>
      <c r="N520" s="5"/>
    </row>
    <row r="521">
      <c r="A521" s="8"/>
      <c r="E521" s="4"/>
      <c r="G521" s="5"/>
      <c r="H521" s="5"/>
      <c r="I521" s="5"/>
      <c r="K521" s="5"/>
      <c r="M521" s="5"/>
      <c r="N521" s="5"/>
    </row>
    <row r="522">
      <c r="A522" s="8"/>
      <c r="E522" s="4"/>
      <c r="G522" s="5"/>
      <c r="H522" s="5"/>
      <c r="I522" s="5"/>
      <c r="K522" s="5"/>
      <c r="M522" s="5"/>
      <c r="N522" s="5"/>
    </row>
    <row r="523">
      <c r="A523" s="8"/>
      <c r="E523" s="4"/>
      <c r="G523" s="5"/>
      <c r="H523" s="5"/>
      <c r="I523" s="5"/>
      <c r="K523" s="5"/>
      <c r="M523" s="5"/>
      <c r="N523" s="5"/>
    </row>
    <row r="524">
      <c r="A524" s="8"/>
      <c r="E524" s="4"/>
      <c r="G524" s="5"/>
      <c r="H524" s="5"/>
      <c r="I524" s="5"/>
      <c r="K524" s="5"/>
      <c r="M524" s="5"/>
      <c r="N524" s="5"/>
    </row>
    <row r="525">
      <c r="A525" s="8"/>
      <c r="E525" s="4"/>
      <c r="G525" s="5"/>
      <c r="H525" s="5"/>
      <c r="I525" s="5"/>
      <c r="K525" s="5"/>
      <c r="M525" s="5"/>
      <c r="N525" s="5"/>
    </row>
    <row r="526">
      <c r="A526" s="8"/>
      <c r="E526" s="4"/>
      <c r="G526" s="5"/>
      <c r="H526" s="5"/>
      <c r="I526" s="5"/>
      <c r="K526" s="5"/>
      <c r="M526" s="5"/>
      <c r="N526" s="5"/>
    </row>
    <row r="527">
      <c r="A527" s="8"/>
      <c r="E527" s="4"/>
      <c r="G527" s="5"/>
      <c r="H527" s="5"/>
      <c r="I527" s="5"/>
      <c r="K527" s="5"/>
      <c r="M527" s="5"/>
      <c r="N527" s="5"/>
    </row>
    <row r="528">
      <c r="A528" s="8"/>
      <c r="E528" s="4"/>
      <c r="G528" s="5"/>
      <c r="H528" s="5"/>
      <c r="I528" s="5"/>
      <c r="K528" s="5"/>
      <c r="M528" s="5"/>
      <c r="N528" s="5"/>
    </row>
    <row r="529">
      <c r="A529" s="8"/>
      <c r="E529" s="4"/>
      <c r="G529" s="5"/>
      <c r="H529" s="5"/>
      <c r="I529" s="5"/>
      <c r="K529" s="5"/>
      <c r="M529" s="5"/>
      <c r="N529" s="5"/>
    </row>
    <row r="530">
      <c r="A530" s="8"/>
      <c r="E530" s="4"/>
      <c r="G530" s="5"/>
      <c r="H530" s="5"/>
      <c r="I530" s="5"/>
      <c r="K530" s="5"/>
      <c r="M530" s="5"/>
      <c r="N530" s="5"/>
    </row>
    <row r="531">
      <c r="A531" s="8"/>
      <c r="E531" s="4"/>
      <c r="G531" s="5"/>
      <c r="H531" s="5"/>
      <c r="I531" s="5"/>
      <c r="K531" s="5"/>
      <c r="M531" s="5"/>
      <c r="N531" s="5"/>
    </row>
    <row r="532">
      <c r="A532" s="8"/>
      <c r="E532" s="4"/>
      <c r="G532" s="5"/>
      <c r="H532" s="5"/>
      <c r="I532" s="5"/>
      <c r="K532" s="5"/>
      <c r="M532" s="5"/>
      <c r="N532" s="5"/>
    </row>
    <row r="533">
      <c r="A533" s="8"/>
      <c r="E533" s="4"/>
      <c r="G533" s="5"/>
      <c r="H533" s="5"/>
      <c r="I533" s="5"/>
      <c r="K533" s="5"/>
      <c r="M533" s="5"/>
      <c r="N533" s="5"/>
    </row>
    <row r="534">
      <c r="A534" s="8"/>
      <c r="E534" s="4"/>
      <c r="G534" s="5"/>
      <c r="H534" s="5"/>
      <c r="I534" s="5"/>
      <c r="K534" s="5"/>
      <c r="M534" s="5"/>
      <c r="N534" s="5"/>
    </row>
    <row r="535">
      <c r="A535" s="8"/>
      <c r="E535" s="4"/>
      <c r="G535" s="5"/>
      <c r="H535" s="5"/>
      <c r="I535" s="5"/>
      <c r="K535" s="5"/>
      <c r="M535" s="5"/>
      <c r="N535" s="5"/>
    </row>
    <row r="536">
      <c r="A536" s="8"/>
      <c r="E536" s="4"/>
      <c r="G536" s="5"/>
      <c r="H536" s="5"/>
      <c r="I536" s="5"/>
      <c r="K536" s="5"/>
      <c r="M536" s="5"/>
      <c r="N536" s="5"/>
    </row>
    <row r="537">
      <c r="A537" s="8"/>
      <c r="E537" s="4"/>
      <c r="G537" s="5"/>
      <c r="H537" s="5"/>
      <c r="I537" s="5"/>
      <c r="K537" s="5"/>
      <c r="M537" s="5"/>
      <c r="N537" s="5"/>
    </row>
    <row r="538">
      <c r="A538" s="8"/>
      <c r="E538" s="4"/>
      <c r="G538" s="5"/>
      <c r="H538" s="5"/>
      <c r="I538" s="5"/>
      <c r="K538" s="5"/>
      <c r="M538" s="5"/>
      <c r="N538" s="5"/>
    </row>
    <row r="539">
      <c r="A539" s="8"/>
      <c r="E539" s="4"/>
      <c r="G539" s="5"/>
      <c r="H539" s="5"/>
      <c r="I539" s="5"/>
      <c r="K539" s="5"/>
      <c r="M539" s="5"/>
      <c r="N539" s="5"/>
    </row>
    <row r="540">
      <c r="A540" s="8"/>
      <c r="E540" s="4"/>
      <c r="G540" s="5"/>
      <c r="H540" s="5"/>
      <c r="I540" s="5"/>
      <c r="K540" s="5"/>
      <c r="M540" s="5"/>
      <c r="N540" s="5"/>
    </row>
    <row r="541">
      <c r="A541" s="8"/>
      <c r="E541" s="4"/>
      <c r="G541" s="5"/>
      <c r="H541" s="5"/>
      <c r="I541" s="5"/>
      <c r="K541" s="5"/>
      <c r="M541" s="5"/>
      <c r="N541" s="5"/>
    </row>
    <row r="542">
      <c r="A542" s="8"/>
      <c r="E542" s="4"/>
      <c r="G542" s="5"/>
      <c r="H542" s="5"/>
      <c r="I542" s="5"/>
      <c r="K542" s="5"/>
      <c r="M542" s="5"/>
      <c r="N542" s="5"/>
    </row>
    <row r="543">
      <c r="A543" s="8"/>
      <c r="E543" s="4"/>
      <c r="G543" s="5"/>
      <c r="H543" s="5"/>
      <c r="I543" s="5"/>
      <c r="K543" s="5"/>
      <c r="M543" s="5"/>
      <c r="N543" s="5"/>
    </row>
    <row r="544">
      <c r="A544" s="8"/>
      <c r="E544" s="4"/>
      <c r="G544" s="5"/>
      <c r="H544" s="5"/>
      <c r="I544" s="5"/>
      <c r="K544" s="5"/>
      <c r="M544" s="5"/>
      <c r="N544" s="5"/>
    </row>
    <row r="545">
      <c r="A545" s="8"/>
      <c r="E545" s="4"/>
      <c r="G545" s="5"/>
      <c r="H545" s="5"/>
      <c r="I545" s="5"/>
      <c r="K545" s="5"/>
      <c r="M545" s="5"/>
      <c r="N545" s="5"/>
    </row>
    <row r="546">
      <c r="A546" s="8"/>
      <c r="E546" s="4"/>
      <c r="G546" s="5"/>
      <c r="H546" s="5"/>
      <c r="I546" s="5"/>
      <c r="K546" s="5"/>
      <c r="M546" s="5"/>
      <c r="N546" s="5"/>
    </row>
    <row r="547">
      <c r="A547" s="8"/>
      <c r="E547" s="4"/>
      <c r="G547" s="5"/>
      <c r="H547" s="5"/>
      <c r="I547" s="5"/>
      <c r="K547" s="5"/>
      <c r="M547" s="5"/>
      <c r="N547" s="5"/>
    </row>
    <row r="548">
      <c r="A548" s="8"/>
      <c r="E548" s="4"/>
      <c r="G548" s="5"/>
      <c r="H548" s="5"/>
      <c r="I548" s="5"/>
      <c r="K548" s="5"/>
      <c r="M548" s="5"/>
      <c r="N548" s="5"/>
    </row>
    <row r="549">
      <c r="A549" s="8"/>
      <c r="E549" s="4"/>
      <c r="G549" s="5"/>
      <c r="H549" s="5"/>
      <c r="I549" s="5"/>
      <c r="K549" s="5"/>
      <c r="M549" s="5"/>
      <c r="N549" s="5"/>
    </row>
    <row r="550">
      <c r="A550" s="8"/>
      <c r="E550" s="4"/>
      <c r="G550" s="5"/>
      <c r="H550" s="5"/>
      <c r="I550" s="5"/>
      <c r="K550" s="5"/>
      <c r="M550" s="5"/>
      <c r="N550" s="5"/>
    </row>
    <row r="551">
      <c r="A551" s="8"/>
      <c r="E551" s="4"/>
      <c r="G551" s="5"/>
      <c r="H551" s="5"/>
      <c r="I551" s="5"/>
      <c r="K551" s="5"/>
      <c r="M551" s="5"/>
      <c r="N551" s="5"/>
    </row>
    <row r="552">
      <c r="A552" s="8"/>
      <c r="E552" s="4"/>
      <c r="G552" s="5"/>
      <c r="H552" s="5"/>
      <c r="I552" s="5"/>
      <c r="K552" s="5"/>
      <c r="M552" s="5"/>
      <c r="N552" s="5"/>
    </row>
    <row r="553">
      <c r="A553" s="8"/>
      <c r="E553" s="4"/>
      <c r="G553" s="5"/>
      <c r="H553" s="5"/>
      <c r="I553" s="5"/>
      <c r="K553" s="5"/>
      <c r="M553" s="5"/>
      <c r="N553" s="5"/>
    </row>
    <row r="554">
      <c r="A554" s="8"/>
      <c r="E554" s="4"/>
      <c r="G554" s="5"/>
      <c r="H554" s="5"/>
      <c r="I554" s="5"/>
      <c r="K554" s="5"/>
      <c r="M554" s="5"/>
      <c r="N554" s="5"/>
    </row>
    <row r="555">
      <c r="A555" s="8"/>
      <c r="E555" s="4"/>
      <c r="G555" s="5"/>
      <c r="H555" s="5"/>
      <c r="I555" s="5"/>
      <c r="K555" s="5"/>
      <c r="M555" s="5"/>
      <c r="N555" s="5"/>
    </row>
    <row r="556">
      <c r="A556" s="8"/>
      <c r="E556" s="4"/>
      <c r="G556" s="5"/>
      <c r="H556" s="5"/>
      <c r="I556" s="5"/>
      <c r="K556" s="5"/>
      <c r="M556" s="5"/>
      <c r="N556" s="5"/>
    </row>
    <row r="557">
      <c r="A557" s="8"/>
      <c r="E557" s="4"/>
      <c r="G557" s="5"/>
      <c r="H557" s="5"/>
      <c r="I557" s="5"/>
      <c r="K557" s="5"/>
      <c r="M557" s="5"/>
      <c r="N557" s="5"/>
    </row>
    <row r="558">
      <c r="A558" s="8"/>
      <c r="E558" s="4"/>
      <c r="G558" s="5"/>
      <c r="H558" s="5"/>
      <c r="I558" s="5"/>
      <c r="K558" s="5"/>
      <c r="M558" s="5"/>
      <c r="N558" s="5"/>
    </row>
    <row r="559">
      <c r="A559" s="8"/>
      <c r="E559" s="4"/>
      <c r="G559" s="5"/>
      <c r="H559" s="5"/>
      <c r="I559" s="5"/>
      <c r="K559" s="5"/>
      <c r="M559" s="5"/>
      <c r="N559" s="5"/>
    </row>
    <row r="560">
      <c r="A560" s="8"/>
      <c r="E560" s="4"/>
      <c r="G560" s="5"/>
      <c r="H560" s="5"/>
      <c r="I560" s="5"/>
      <c r="K560" s="5"/>
      <c r="M560" s="5"/>
      <c r="N560" s="5"/>
    </row>
    <row r="561">
      <c r="A561" s="8"/>
      <c r="E561" s="4"/>
      <c r="G561" s="5"/>
      <c r="H561" s="5"/>
      <c r="I561" s="5"/>
      <c r="K561" s="5"/>
      <c r="M561" s="5"/>
      <c r="N561" s="5"/>
    </row>
    <row r="562">
      <c r="A562" s="8"/>
      <c r="E562" s="4"/>
      <c r="G562" s="5"/>
      <c r="H562" s="5"/>
      <c r="I562" s="5"/>
      <c r="K562" s="5"/>
      <c r="M562" s="5"/>
      <c r="N562" s="5"/>
    </row>
    <row r="563">
      <c r="A563" s="8"/>
      <c r="E563" s="4"/>
      <c r="G563" s="5"/>
      <c r="H563" s="5"/>
      <c r="I563" s="5"/>
      <c r="K563" s="5"/>
      <c r="M563" s="5"/>
      <c r="N563" s="5"/>
    </row>
    <row r="564">
      <c r="A564" s="8"/>
      <c r="E564" s="4"/>
      <c r="G564" s="5"/>
      <c r="H564" s="5"/>
      <c r="I564" s="5"/>
      <c r="K564" s="5"/>
      <c r="M564" s="5"/>
      <c r="N564" s="5"/>
    </row>
    <row r="565">
      <c r="A565" s="8"/>
      <c r="E565" s="4"/>
      <c r="G565" s="5"/>
      <c r="H565" s="5"/>
      <c r="I565" s="5"/>
      <c r="K565" s="5"/>
      <c r="M565" s="5"/>
      <c r="N565" s="5"/>
    </row>
    <row r="566">
      <c r="A566" s="8"/>
      <c r="E566" s="4"/>
      <c r="G566" s="5"/>
      <c r="H566" s="5"/>
      <c r="I566" s="5"/>
      <c r="K566" s="5"/>
      <c r="M566" s="5"/>
      <c r="N566" s="5"/>
    </row>
    <row r="567">
      <c r="A567" s="8"/>
      <c r="E567" s="4"/>
      <c r="G567" s="5"/>
      <c r="H567" s="5"/>
      <c r="I567" s="5"/>
      <c r="K567" s="5"/>
      <c r="M567" s="5"/>
      <c r="N567" s="5"/>
    </row>
    <row r="568">
      <c r="A568" s="8"/>
      <c r="E568" s="4"/>
      <c r="G568" s="5"/>
      <c r="H568" s="5"/>
      <c r="I568" s="5"/>
      <c r="K568" s="5"/>
      <c r="M568" s="5"/>
      <c r="N568" s="5"/>
    </row>
    <row r="569">
      <c r="A569" s="8"/>
      <c r="E569" s="4"/>
      <c r="G569" s="5"/>
      <c r="H569" s="5"/>
      <c r="I569" s="5"/>
      <c r="K569" s="5"/>
      <c r="M569" s="5"/>
      <c r="N569" s="5"/>
    </row>
    <row r="570">
      <c r="A570" s="8"/>
      <c r="E570" s="4"/>
      <c r="G570" s="5"/>
      <c r="H570" s="5"/>
      <c r="I570" s="5"/>
      <c r="K570" s="5"/>
      <c r="M570" s="5"/>
      <c r="N570" s="5"/>
    </row>
    <row r="571">
      <c r="A571" s="8"/>
      <c r="E571" s="4"/>
      <c r="G571" s="5"/>
      <c r="H571" s="5"/>
      <c r="I571" s="5"/>
      <c r="K571" s="5"/>
      <c r="M571" s="5"/>
      <c r="N571" s="5"/>
    </row>
    <row r="572">
      <c r="A572" s="8"/>
      <c r="E572" s="4"/>
      <c r="G572" s="5"/>
      <c r="H572" s="5"/>
      <c r="I572" s="5"/>
      <c r="K572" s="5"/>
      <c r="M572" s="5"/>
      <c r="N572" s="5"/>
    </row>
    <row r="573">
      <c r="A573" s="8"/>
      <c r="E573" s="4"/>
      <c r="G573" s="5"/>
      <c r="H573" s="5"/>
      <c r="I573" s="5"/>
      <c r="K573" s="5"/>
      <c r="M573" s="5"/>
      <c r="N573" s="5"/>
    </row>
    <row r="574">
      <c r="A574" s="8"/>
      <c r="E574" s="4"/>
      <c r="G574" s="5"/>
      <c r="H574" s="5"/>
      <c r="I574" s="5"/>
      <c r="K574" s="5"/>
      <c r="M574" s="5"/>
      <c r="N574" s="5"/>
    </row>
    <row r="575">
      <c r="A575" s="8"/>
      <c r="E575" s="4"/>
      <c r="G575" s="5"/>
      <c r="H575" s="5"/>
      <c r="I575" s="5"/>
      <c r="K575" s="5"/>
      <c r="M575" s="5"/>
      <c r="N575" s="5"/>
    </row>
    <row r="576">
      <c r="A576" s="8"/>
      <c r="E576" s="4"/>
      <c r="G576" s="5"/>
      <c r="H576" s="5"/>
      <c r="I576" s="5"/>
      <c r="K576" s="5"/>
      <c r="M576" s="5"/>
      <c r="N576" s="5"/>
    </row>
    <row r="577">
      <c r="A577" s="8"/>
      <c r="E577" s="4"/>
      <c r="G577" s="5"/>
      <c r="H577" s="5"/>
      <c r="I577" s="5"/>
      <c r="K577" s="5"/>
      <c r="M577" s="5"/>
      <c r="N577" s="5"/>
    </row>
    <row r="578">
      <c r="A578" s="8"/>
      <c r="E578" s="4"/>
      <c r="G578" s="5"/>
      <c r="H578" s="5"/>
      <c r="I578" s="5"/>
      <c r="K578" s="5"/>
      <c r="M578" s="5"/>
      <c r="N578" s="5"/>
    </row>
    <row r="579">
      <c r="A579" s="8"/>
      <c r="E579" s="4"/>
      <c r="G579" s="5"/>
      <c r="H579" s="5"/>
      <c r="I579" s="5"/>
      <c r="K579" s="5"/>
      <c r="M579" s="5"/>
      <c r="N579" s="5"/>
    </row>
    <row r="580">
      <c r="A580" s="8"/>
      <c r="E580" s="4"/>
      <c r="G580" s="5"/>
      <c r="H580" s="5"/>
      <c r="I580" s="5"/>
      <c r="K580" s="5"/>
      <c r="M580" s="5"/>
      <c r="N580" s="5"/>
    </row>
    <row r="581">
      <c r="A581" s="8"/>
      <c r="E581" s="4"/>
      <c r="G581" s="5"/>
      <c r="H581" s="5"/>
      <c r="I581" s="5"/>
      <c r="K581" s="5"/>
      <c r="M581" s="5"/>
      <c r="N581" s="5"/>
    </row>
    <row r="582">
      <c r="A582" s="8"/>
      <c r="E582" s="4"/>
      <c r="G582" s="5"/>
      <c r="H582" s="5"/>
      <c r="I582" s="5"/>
      <c r="K582" s="5"/>
      <c r="M582" s="5"/>
      <c r="N582" s="5"/>
    </row>
    <row r="583">
      <c r="A583" s="8"/>
      <c r="E583" s="4"/>
      <c r="G583" s="5"/>
      <c r="H583" s="5"/>
      <c r="I583" s="5"/>
      <c r="K583" s="5"/>
      <c r="M583" s="5"/>
      <c r="N583" s="5"/>
    </row>
    <row r="584">
      <c r="A584" s="8"/>
      <c r="E584" s="4"/>
      <c r="G584" s="5"/>
      <c r="H584" s="5"/>
      <c r="I584" s="5"/>
      <c r="K584" s="5"/>
      <c r="M584" s="5"/>
      <c r="N584" s="5"/>
    </row>
    <row r="585">
      <c r="A585" s="8"/>
      <c r="E585" s="4"/>
      <c r="G585" s="5"/>
      <c r="H585" s="5"/>
      <c r="I585" s="5"/>
      <c r="K585" s="5"/>
      <c r="M585" s="5"/>
      <c r="N585" s="5"/>
    </row>
    <row r="586">
      <c r="A586" s="8"/>
      <c r="E586" s="4"/>
      <c r="G586" s="5"/>
      <c r="H586" s="5"/>
      <c r="I586" s="5"/>
      <c r="K586" s="5"/>
      <c r="M586" s="5"/>
      <c r="N586" s="5"/>
    </row>
    <row r="587">
      <c r="A587" s="8"/>
      <c r="E587" s="4"/>
      <c r="G587" s="5"/>
      <c r="H587" s="5"/>
      <c r="I587" s="5"/>
      <c r="K587" s="5"/>
      <c r="M587" s="5"/>
      <c r="N587" s="5"/>
    </row>
    <row r="588">
      <c r="A588" s="8"/>
      <c r="E588" s="4"/>
      <c r="G588" s="5"/>
      <c r="H588" s="5"/>
      <c r="I588" s="5"/>
      <c r="K588" s="5"/>
      <c r="M588" s="5"/>
      <c r="N588" s="5"/>
    </row>
    <row r="589">
      <c r="A589" s="8"/>
      <c r="E589" s="4"/>
      <c r="G589" s="5"/>
      <c r="H589" s="5"/>
      <c r="I589" s="5"/>
      <c r="K589" s="5"/>
      <c r="M589" s="5"/>
      <c r="N589" s="5"/>
    </row>
    <row r="590">
      <c r="A590" s="8"/>
      <c r="E590" s="4"/>
      <c r="G590" s="5"/>
      <c r="H590" s="5"/>
      <c r="I590" s="5"/>
      <c r="K590" s="5"/>
      <c r="M590" s="5"/>
      <c r="N590" s="5"/>
    </row>
    <row r="591">
      <c r="A591" s="8"/>
      <c r="E591" s="4"/>
      <c r="G591" s="5"/>
      <c r="H591" s="5"/>
      <c r="I591" s="5"/>
      <c r="K591" s="5"/>
      <c r="M591" s="5"/>
      <c r="N591" s="5"/>
    </row>
    <row r="592">
      <c r="A592" s="8"/>
      <c r="E592" s="4"/>
      <c r="G592" s="5"/>
      <c r="H592" s="5"/>
      <c r="I592" s="5"/>
      <c r="K592" s="5"/>
      <c r="M592" s="5"/>
      <c r="N592" s="5"/>
    </row>
    <row r="593">
      <c r="A593" s="8"/>
      <c r="E593" s="4"/>
      <c r="G593" s="5"/>
      <c r="H593" s="5"/>
      <c r="I593" s="5"/>
      <c r="K593" s="5"/>
      <c r="M593" s="5"/>
      <c r="N593" s="5"/>
    </row>
    <row r="594">
      <c r="A594" s="8"/>
      <c r="E594" s="4"/>
      <c r="G594" s="5"/>
      <c r="H594" s="5"/>
      <c r="I594" s="5"/>
      <c r="K594" s="5"/>
      <c r="M594" s="5"/>
      <c r="N594" s="5"/>
    </row>
    <row r="595">
      <c r="A595" s="8"/>
      <c r="E595" s="4"/>
      <c r="G595" s="5"/>
      <c r="H595" s="5"/>
      <c r="I595" s="5"/>
      <c r="K595" s="5"/>
      <c r="M595" s="5"/>
      <c r="N595" s="5"/>
    </row>
    <row r="596">
      <c r="A596" s="8"/>
      <c r="E596" s="4"/>
      <c r="G596" s="5"/>
      <c r="H596" s="5"/>
      <c r="I596" s="5"/>
      <c r="K596" s="5"/>
      <c r="M596" s="5"/>
      <c r="N596" s="5"/>
    </row>
    <row r="597">
      <c r="A597" s="8"/>
      <c r="E597" s="4"/>
      <c r="G597" s="5"/>
      <c r="H597" s="5"/>
      <c r="I597" s="5"/>
      <c r="K597" s="5"/>
      <c r="M597" s="5"/>
      <c r="N597" s="5"/>
    </row>
    <row r="598">
      <c r="A598" s="8"/>
      <c r="E598" s="4"/>
      <c r="G598" s="5"/>
      <c r="H598" s="5"/>
      <c r="I598" s="5"/>
      <c r="K598" s="5"/>
      <c r="M598" s="5"/>
      <c r="N598" s="5"/>
    </row>
    <row r="599">
      <c r="A599" s="8"/>
      <c r="E599" s="4"/>
      <c r="G599" s="5"/>
      <c r="H599" s="5"/>
      <c r="I599" s="5"/>
      <c r="K599" s="5"/>
      <c r="M599" s="5"/>
      <c r="N599" s="5"/>
    </row>
    <row r="600">
      <c r="A600" s="8"/>
      <c r="E600" s="4"/>
      <c r="G600" s="5"/>
      <c r="H600" s="5"/>
      <c r="I600" s="5"/>
      <c r="K600" s="5"/>
      <c r="M600" s="5"/>
      <c r="N600" s="5"/>
    </row>
    <row r="601">
      <c r="A601" s="8"/>
      <c r="E601" s="4"/>
      <c r="G601" s="5"/>
      <c r="H601" s="5"/>
      <c r="I601" s="5"/>
      <c r="K601" s="5"/>
      <c r="M601" s="5"/>
      <c r="N601" s="5"/>
    </row>
    <row r="602">
      <c r="A602" s="8"/>
      <c r="E602" s="4"/>
      <c r="G602" s="5"/>
      <c r="H602" s="5"/>
      <c r="I602" s="5"/>
      <c r="K602" s="5"/>
      <c r="M602" s="5"/>
      <c r="N602" s="5"/>
    </row>
    <row r="603">
      <c r="A603" s="8"/>
      <c r="E603" s="4"/>
      <c r="G603" s="5"/>
      <c r="H603" s="5"/>
      <c r="I603" s="5"/>
      <c r="K603" s="5"/>
      <c r="M603" s="5"/>
      <c r="N603" s="5"/>
    </row>
    <row r="604">
      <c r="A604" s="8"/>
      <c r="E604" s="4"/>
      <c r="G604" s="5"/>
      <c r="H604" s="5"/>
      <c r="I604" s="5"/>
      <c r="K604" s="5"/>
      <c r="M604" s="5"/>
      <c r="N604" s="5"/>
    </row>
    <row r="605">
      <c r="A605" s="8"/>
      <c r="E605" s="4"/>
      <c r="G605" s="5"/>
      <c r="H605" s="5"/>
      <c r="I605" s="5"/>
      <c r="K605" s="5"/>
      <c r="M605" s="5"/>
      <c r="N605" s="5"/>
    </row>
    <row r="606">
      <c r="A606" s="8"/>
      <c r="E606" s="4"/>
      <c r="G606" s="5"/>
      <c r="H606" s="5"/>
      <c r="I606" s="5"/>
      <c r="K606" s="5"/>
      <c r="M606" s="5"/>
      <c r="N606" s="5"/>
    </row>
    <row r="607">
      <c r="A607" s="8"/>
      <c r="E607" s="4"/>
      <c r="G607" s="5"/>
      <c r="H607" s="5"/>
      <c r="I607" s="5"/>
      <c r="K607" s="5"/>
      <c r="M607" s="5"/>
      <c r="N607" s="5"/>
    </row>
    <row r="608">
      <c r="A608" s="8"/>
      <c r="E608" s="4"/>
      <c r="G608" s="5"/>
      <c r="H608" s="5"/>
      <c r="I608" s="5"/>
      <c r="K608" s="5"/>
      <c r="M608" s="5"/>
      <c r="N608" s="5"/>
    </row>
    <row r="609">
      <c r="A609" s="8"/>
      <c r="E609" s="4"/>
      <c r="G609" s="5"/>
      <c r="H609" s="5"/>
      <c r="I609" s="5"/>
      <c r="K609" s="5"/>
      <c r="M609" s="5"/>
      <c r="N609" s="5"/>
    </row>
    <row r="610">
      <c r="A610" s="8"/>
      <c r="E610" s="4"/>
      <c r="G610" s="5"/>
      <c r="H610" s="5"/>
      <c r="I610" s="5"/>
      <c r="K610" s="5"/>
      <c r="M610" s="5"/>
      <c r="N610" s="5"/>
    </row>
    <row r="611">
      <c r="A611" s="8"/>
      <c r="E611" s="4"/>
      <c r="G611" s="5"/>
      <c r="H611" s="5"/>
      <c r="I611" s="5"/>
      <c r="K611" s="5"/>
      <c r="M611" s="5"/>
      <c r="N611" s="5"/>
    </row>
    <row r="612">
      <c r="A612" s="8"/>
      <c r="E612" s="4"/>
      <c r="G612" s="5"/>
      <c r="H612" s="5"/>
      <c r="I612" s="5"/>
      <c r="K612" s="5"/>
      <c r="M612" s="5"/>
      <c r="N612" s="5"/>
    </row>
    <row r="613">
      <c r="A613" s="8"/>
      <c r="E613" s="4"/>
      <c r="G613" s="5"/>
      <c r="H613" s="5"/>
      <c r="I613" s="5"/>
      <c r="K613" s="5"/>
      <c r="M613" s="5"/>
      <c r="N613" s="5"/>
    </row>
    <row r="614">
      <c r="A614" s="8"/>
      <c r="E614" s="4"/>
      <c r="G614" s="5"/>
      <c r="H614" s="5"/>
      <c r="I614" s="5"/>
      <c r="K614" s="5"/>
      <c r="M614" s="5"/>
      <c r="N614" s="5"/>
    </row>
    <row r="615">
      <c r="A615" s="8"/>
      <c r="E615" s="4"/>
      <c r="G615" s="5"/>
      <c r="H615" s="5"/>
      <c r="I615" s="5"/>
      <c r="K615" s="5"/>
      <c r="M615" s="5"/>
      <c r="N615" s="5"/>
    </row>
    <row r="616">
      <c r="A616" s="8"/>
      <c r="E616" s="4"/>
      <c r="G616" s="5"/>
      <c r="H616" s="5"/>
      <c r="I616" s="5"/>
      <c r="K616" s="5"/>
      <c r="M616" s="5"/>
      <c r="N616" s="5"/>
    </row>
    <row r="617">
      <c r="A617" s="8"/>
      <c r="E617" s="4"/>
      <c r="G617" s="5"/>
      <c r="H617" s="5"/>
      <c r="I617" s="5"/>
      <c r="K617" s="5"/>
      <c r="M617" s="5"/>
      <c r="N617" s="5"/>
    </row>
    <row r="618">
      <c r="A618" s="8"/>
      <c r="E618" s="4"/>
      <c r="G618" s="5"/>
      <c r="H618" s="5"/>
      <c r="I618" s="5"/>
      <c r="K618" s="5"/>
      <c r="M618" s="5"/>
      <c r="N618" s="5"/>
    </row>
    <row r="619">
      <c r="A619" s="8"/>
      <c r="E619" s="4"/>
      <c r="G619" s="5"/>
      <c r="H619" s="5"/>
      <c r="I619" s="5"/>
      <c r="K619" s="5"/>
      <c r="M619" s="5"/>
      <c r="N619" s="5"/>
    </row>
    <row r="620">
      <c r="A620" s="8"/>
      <c r="E620" s="4"/>
      <c r="G620" s="5"/>
      <c r="H620" s="5"/>
      <c r="I620" s="5"/>
      <c r="K620" s="5"/>
      <c r="M620" s="5"/>
      <c r="N620" s="5"/>
    </row>
    <row r="621">
      <c r="A621" s="8"/>
      <c r="E621" s="4"/>
      <c r="G621" s="5"/>
      <c r="H621" s="5"/>
      <c r="I621" s="5"/>
      <c r="K621" s="5"/>
      <c r="M621" s="5"/>
      <c r="N621" s="5"/>
    </row>
    <row r="622">
      <c r="A622" s="8"/>
      <c r="E622" s="4"/>
      <c r="G622" s="5"/>
      <c r="H622" s="5"/>
      <c r="I622" s="5"/>
      <c r="K622" s="5"/>
      <c r="M622" s="5"/>
      <c r="N622" s="5"/>
    </row>
    <row r="623">
      <c r="A623" s="8"/>
      <c r="E623" s="4"/>
      <c r="G623" s="5"/>
      <c r="H623" s="5"/>
      <c r="I623" s="5"/>
      <c r="K623" s="5"/>
      <c r="M623" s="5"/>
      <c r="N623" s="5"/>
    </row>
    <row r="624">
      <c r="A624" s="8"/>
      <c r="E624" s="4"/>
      <c r="G624" s="5"/>
      <c r="H624" s="5"/>
      <c r="I624" s="5"/>
      <c r="K624" s="5"/>
      <c r="M624" s="5"/>
      <c r="N624" s="5"/>
    </row>
    <row r="625">
      <c r="A625" s="8"/>
      <c r="E625" s="4"/>
      <c r="G625" s="5"/>
      <c r="H625" s="5"/>
      <c r="I625" s="5"/>
      <c r="K625" s="5"/>
      <c r="M625" s="5"/>
      <c r="N625" s="5"/>
    </row>
    <row r="626">
      <c r="A626" s="8"/>
      <c r="E626" s="4"/>
      <c r="G626" s="5"/>
      <c r="H626" s="5"/>
      <c r="I626" s="5"/>
      <c r="K626" s="5"/>
      <c r="M626" s="5"/>
      <c r="N626" s="5"/>
    </row>
    <row r="627">
      <c r="A627" s="8"/>
      <c r="E627" s="4"/>
      <c r="G627" s="5"/>
      <c r="H627" s="5"/>
      <c r="I627" s="5"/>
      <c r="K627" s="5"/>
      <c r="M627" s="5"/>
      <c r="N627" s="5"/>
    </row>
    <row r="628">
      <c r="A628" s="8"/>
      <c r="E628" s="4"/>
      <c r="G628" s="5"/>
      <c r="H628" s="5"/>
      <c r="I628" s="5"/>
      <c r="K628" s="5"/>
      <c r="M628" s="5"/>
      <c r="N628" s="5"/>
    </row>
    <row r="629">
      <c r="A629" s="8"/>
      <c r="E629" s="4"/>
      <c r="G629" s="5"/>
      <c r="H629" s="5"/>
      <c r="I629" s="5"/>
      <c r="K629" s="5"/>
      <c r="M629" s="5"/>
      <c r="N629" s="5"/>
    </row>
    <row r="630">
      <c r="A630" s="8"/>
      <c r="E630" s="4"/>
      <c r="G630" s="5"/>
      <c r="H630" s="5"/>
      <c r="I630" s="5"/>
      <c r="K630" s="5"/>
      <c r="M630" s="5"/>
      <c r="N630" s="5"/>
    </row>
    <row r="631">
      <c r="A631" s="8"/>
      <c r="E631" s="4"/>
      <c r="G631" s="5"/>
      <c r="H631" s="5"/>
      <c r="I631" s="5"/>
      <c r="K631" s="5"/>
      <c r="M631" s="5"/>
      <c r="N631" s="5"/>
    </row>
    <row r="632">
      <c r="A632" s="8"/>
      <c r="E632" s="4"/>
      <c r="G632" s="5"/>
      <c r="H632" s="5"/>
      <c r="I632" s="5"/>
      <c r="K632" s="5"/>
      <c r="M632" s="5"/>
      <c r="N632" s="5"/>
    </row>
    <row r="633">
      <c r="A633" s="8"/>
      <c r="E633" s="4"/>
      <c r="G633" s="5"/>
      <c r="H633" s="5"/>
      <c r="I633" s="5"/>
      <c r="K633" s="5"/>
      <c r="M633" s="5"/>
      <c r="N633" s="5"/>
    </row>
    <row r="634">
      <c r="A634" s="8"/>
      <c r="E634" s="4"/>
      <c r="G634" s="5"/>
      <c r="H634" s="5"/>
      <c r="I634" s="5"/>
      <c r="K634" s="5"/>
      <c r="M634" s="5"/>
      <c r="N634" s="5"/>
    </row>
    <row r="635">
      <c r="A635" s="8"/>
      <c r="E635" s="4"/>
      <c r="G635" s="5"/>
      <c r="H635" s="5"/>
      <c r="I635" s="5"/>
      <c r="K635" s="5"/>
      <c r="M635" s="5"/>
      <c r="N635" s="5"/>
    </row>
    <row r="636">
      <c r="A636" s="8"/>
      <c r="E636" s="4"/>
      <c r="G636" s="5"/>
      <c r="H636" s="5"/>
      <c r="I636" s="5"/>
      <c r="K636" s="5"/>
      <c r="M636" s="5"/>
      <c r="N636" s="5"/>
    </row>
    <row r="637">
      <c r="A637" s="8"/>
      <c r="E637" s="4"/>
      <c r="G637" s="5"/>
      <c r="H637" s="5"/>
      <c r="I637" s="5"/>
      <c r="K637" s="5"/>
      <c r="M637" s="5"/>
      <c r="N637" s="5"/>
    </row>
    <row r="638">
      <c r="A638" s="8"/>
      <c r="E638" s="4"/>
      <c r="G638" s="5"/>
      <c r="H638" s="5"/>
      <c r="I638" s="5"/>
      <c r="K638" s="5"/>
      <c r="M638" s="5"/>
      <c r="N638" s="5"/>
    </row>
    <row r="639">
      <c r="A639" s="8"/>
      <c r="E639" s="4"/>
      <c r="G639" s="5"/>
      <c r="H639" s="5"/>
      <c r="I639" s="5"/>
      <c r="K639" s="5"/>
      <c r="M639" s="5"/>
      <c r="N639" s="5"/>
    </row>
    <row r="640">
      <c r="A640" s="8"/>
      <c r="E640" s="4"/>
      <c r="G640" s="5"/>
      <c r="H640" s="5"/>
      <c r="I640" s="5"/>
      <c r="K640" s="5"/>
      <c r="M640" s="5"/>
      <c r="N640" s="5"/>
    </row>
    <row r="641">
      <c r="A641" s="8"/>
      <c r="E641" s="4"/>
      <c r="G641" s="5"/>
      <c r="H641" s="5"/>
      <c r="I641" s="5"/>
      <c r="K641" s="5"/>
      <c r="M641" s="5"/>
      <c r="N641" s="5"/>
    </row>
    <row r="642">
      <c r="A642" s="8"/>
      <c r="E642" s="4"/>
      <c r="G642" s="5"/>
      <c r="H642" s="5"/>
      <c r="I642" s="5"/>
      <c r="K642" s="5"/>
      <c r="M642" s="5"/>
      <c r="N642" s="5"/>
    </row>
    <row r="643">
      <c r="A643" s="8"/>
      <c r="E643" s="4"/>
      <c r="G643" s="5"/>
      <c r="H643" s="5"/>
      <c r="I643" s="5"/>
      <c r="K643" s="5"/>
      <c r="M643" s="5"/>
      <c r="N643" s="5"/>
    </row>
    <row r="644">
      <c r="A644" s="8"/>
      <c r="E644" s="4"/>
      <c r="G644" s="5"/>
      <c r="H644" s="5"/>
      <c r="I644" s="5"/>
      <c r="K644" s="5"/>
      <c r="M644" s="5"/>
      <c r="N644" s="5"/>
    </row>
    <row r="645">
      <c r="A645" s="8"/>
      <c r="E645" s="4"/>
      <c r="G645" s="5"/>
      <c r="H645" s="5"/>
      <c r="I645" s="5"/>
      <c r="K645" s="5"/>
      <c r="M645" s="5"/>
      <c r="N645" s="5"/>
    </row>
    <row r="646">
      <c r="A646" s="8"/>
      <c r="E646" s="4"/>
      <c r="G646" s="5"/>
      <c r="H646" s="5"/>
      <c r="I646" s="5"/>
      <c r="K646" s="5"/>
      <c r="M646" s="5"/>
      <c r="N646" s="5"/>
    </row>
    <row r="647">
      <c r="A647" s="8"/>
      <c r="E647" s="4"/>
      <c r="G647" s="5"/>
      <c r="H647" s="5"/>
      <c r="I647" s="5"/>
      <c r="K647" s="5"/>
      <c r="M647" s="5"/>
      <c r="N647" s="5"/>
    </row>
    <row r="648">
      <c r="A648" s="8"/>
      <c r="E648" s="4"/>
      <c r="G648" s="5"/>
      <c r="H648" s="5"/>
      <c r="I648" s="5"/>
      <c r="K648" s="5"/>
      <c r="M648" s="5"/>
      <c r="N648" s="5"/>
    </row>
    <row r="649">
      <c r="A649" s="8"/>
      <c r="E649" s="4"/>
      <c r="G649" s="5"/>
      <c r="H649" s="5"/>
      <c r="I649" s="5"/>
      <c r="K649" s="5"/>
      <c r="M649" s="5"/>
      <c r="N649" s="5"/>
    </row>
    <row r="650">
      <c r="A650" s="8"/>
      <c r="E650" s="4"/>
      <c r="G650" s="5"/>
      <c r="H650" s="5"/>
      <c r="I650" s="5"/>
      <c r="K650" s="5"/>
      <c r="M650" s="5"/>
      <c r="N650" s="5"/>
    </row>
    <row r="651">
      <c r="A651" s="8"/>
      <c r="E651" s="4"/>
      <c r="G651" s="5"/>
      <c r="H651" s="5"/>
      <c r="I651" s="5"/>
      <c r="K651" s="5"/>
      <c r="M651" s="5"/>
      <c r="N651" s="5"/>
    </row>
    <row r="652">
      <c r="A652" s="8"/>
      <c r="E652" s="4"/>
      <c r="G652" s="5"/>
      <c r="H652" s="5"/>
      <c r="I652" s="5"/>
      <c r="K652" s="5"/>
      <c r="M652" s="5"/>
      <c r="N652" s="5"/>
    </row>
    <row r="653">
      <c r="A653" s="8"/>
      <c r="E653" s="4"/>
      <c r="G653" s="5"/>
      <c r="H653" s="5"/>
      <c r="I653" s="5"/>
      <c r="K653" s="5"/>
      <c r="M653" s="5"/>
      <c r="N653" s="5"/>
    </row>
    <row r="654">
      <c r="A654" s="8"/>
      <c r="E654" s="4"/>
      <c r="G654" s="5"/>
      <c r="H654" s="5"/>
      <c r="I654" s="5"/>
      <c r="K654" s="5"/>
      <c r="M654" s="5"/>
      <c r="N654" s="5"/>
    </row>
    <row r="655">
      <c r="A655" s="8"/>
      <c r="E655" s="4"/>
      <c r="G655" s="5"/>
      <c r="H655" s="5"/>
      <c r="I655" s="5"/>
      <c r="K655" s="5"/>
      <c r="M655" s="5"/>
      <c r="N655" s="5"/>
    </row>
    <row r="656">
      <c r="A656" s="8"/>
      <c r="E656" s="4"/>
      <c r="G656" s="5"/>
      <c r="H656" s="5"/>
      <c r="I656" s="5"/>
      <c r="K656" s="5"/>
      <c r="M656" s="5"/>
      <c r="N656" s="5"/>
    </row>
    <row r="657">
      <c r="A657" s="8"/>
      <c r="E657" s="4"/>
      <c r="G657" s="5"/>
      <c r="H657" s="5"/>
      <c r="I657" s="5"/>
      <c r="K657" s="5"/>
      <c r="M657" s="5"/>
      <c r="N657" s="5"/>
    </row>
    <row r="658">
      <c r="A658" s="8"/>
      <c r="E658" s="4"/>
      <c r="G658" s="5"/>
      <c r="H658" s="5"/>
      <c r="I658" s="5"/>
      <c r="K658" s="5"/>
      <c r="M658" s="5"/>
      <c r="N658" s="5"/>
    </row>
    <row r="659">
      <c r="A659" s="8"/>
      <c r="E659" s="4"/>
      <c r="G659" s="5"/>
      <c r="H659" s="5"/>
      <c r="I659" s="5"/>
      <c r="K659" s="5"/>
      <c r="M659" s="5"/>
      <c r="N659" s="5"/>
    </row>
    <row r="660">
      <c r="A660" s="8"/>
      <c r="E660" s="4"/>
      <c r="G660" s="5"/>
      <c r="H660" s="5"/>
      <c r="I660" s="5"/>
      <c r="K660" s="5"/>
      <c r="M660" s="5"/>
      <c r="N660" s="5"/>
    </row>
    <row r="661">
      <c r="A661" s="8"/>
      <c r="E661" s="4"/>
      <c r="G661" s="5"/>
      <c r="H661" s="5"/>
      <c r="I661" s="5"/>
      <c r="K661" s="5"/>
      <c r="M661" s="5"/>
      <c r="N661" s="5"/>
    </row>
    <row r="662">
      <c r="A662" s="8"/>
      <c r="E662" s="4"/>
      <c r="G662" s="5"/>
      <c r="H662" s="5"/>
      <c r="I662" s="5"/>
      <c r="K662" s="5"/>
      <c r="M662" s="5"/>
      <c r="N662" s="5"/>
    </row>
    <row r="663">
      <c r="A663" s="8"/>
      <c r="E663" s="4"/>
      <c r="G663" s="5"/>
      <c r="H663" s="5"/>
      <c r="I663" s="5"/>
      <c r="K663" s="5"/>
      <c r="M663" s="5"/>
      <c r="N663" s="5"/>
    </row>
    <row r="664">
      <c r="A664" s="8"/>
      <c r="E664" s="4"/>
      <c r="G664" s="5"/>
      <c r="H664" s="5"/>
      <c r="I664" s="5"/>
      <c r="K664" s="5"/>
      <c r="M664" s="5"/>
      <c r="N664" s="5"/>
    </row>
    <row r="665">
      <c r="A665" s="8"/>
      <c r="E665" s="4"/>
      <c r="G665" s="5"/>
      <c r="H665" s="5"/>
      <c r="I665" s="5"/>
      <c r="K665" s="5"/>
      <c r="M665" s="5"/>
      <c r="N665" s="5"/>
    </row>
    <row r="666">
      <c r="A666" s="8"/>
      <c r="E666" s="4"/>
      <c r="G666" s="5"/>
      <c r="H666" s="5"/>
      <c r="I666" s="5"/>
      <c r="K666" s="5"/>
      <c r="M666" s="5"/>
      <c r="N666" s="5"/>
    </row>
    <row r="667">
      <c r="A667" s="8"/>
      <c r="E667" s="4"/>
      <c r="G667" s="5"/>
      <c r="H667" s="5"/>
      <c r="I667" s="5"/>
      <c r="K667" s="5"/>
      <c r="M667" s="5"/>
      <c r="N667" s="5"/>
    </row>
    <row r="668">
      <c r="A668" s="8"/>
      <c r="E668" s="4"/>
      <c r="G668" s="5"/>
      <c r="H668" s="5"/>
      <c r="I668" s="5"/>
      <c r="K668" s="5"/>
      <c r="M668" s="5"/>
      <c r="N668" s="5"/>
    </row>
    <row r="669">
      <c r="A669" s="8"/>
      <c r="E669" s="4"/>
      <c r="G669" s="5"/>
      <c r="H669" s="5"/>
      <c r="I669" s="5"/>
      <c r="K669" s="5"/>
      <c r="M669" s="5"/>
      <c r="N669" s="5"/>
    </row>
    <row r="670">
      <c r="A670" s="8"/>
      <c r="E670" s="4"/>
      <c r="G670" s="5"/>
      <c r="H670" s="5"/>
      <c r="I670" s="5"/>
      <c r="K670" s="5"/>
      <c r="M670" s="5"/>
      <c r="N670" s="5"/>
    </row>
    <row r="671">
      <c r="A671" s="8"/>
      <c r="E671" s="4"/>
      <c r="G671" s="5"/>
      <c r="H671" s="5"/>
      <c r="I671" s="5"/>
      <c r="K671" s="5"/>
      <c r="M671" s="5"/>
      <c r="N671" s="5"/>
    </row>
    <row r="672">
      <c r="A672" s="8"/>
      <c r="E672" s="4"/>
      <c r="G672" s="5"/>
      <c r="H672" s="5"/>
      <c r="I672" s="5"/>
      <c r="K672" s="5"/>
      <c r="M672" s="5"/>
      <c r="N672" s="5"/>
    </row>
    <row r="673">
      <c r="A673" s="8"/>
      <c r="E673" s="4"/>
      <c r="G673" s="5"/>
      <c r="H673" s="5"/>
      <c r="I673" s="5"/>
      <c r="K673" s="5"/>
      <c r="M673" s="5"/>
      <c r="N673" s="5"/>
    </row>
    <row r="674">
      <c r="A674" s="8"/>
      <c r="E674" s="4"/>
      <c r="G674" s="5"/>
      <c r="H674" s="5"/>
      <c r="I674" s="5"/>
      <c r="K674" s="5"/>
      <c r="M674" s="5"/>
      <c r="N674" s="5"/>
    </row>
    <row r="675">
      <c r="A675" s="8"/>
      <c r="E675" s="4"/>
      <c r="G675" s="5"/>
      <c r="H675" s="5"/>
      <c r="I675" s="5"/>
      <c r="K675" s="5"/>
      <c r="M675" s="5"/>
      <c r="N675" s="5"/>
    </row>
    <row r="676">
      <c r="A676" s="8"/>
      <c r="E676" s="4"/>
      <c r="G676" s="5"/>
      <c r="H676" s="5"/>
      <c r="I676" s="5"/>
      <c r="K676" s="5"/>
      <c r="M676" s="5"/>
      <c r="N676" s="5"/>
    </row>
    <row r="677">
      <c r="A677" s="8"/>
      <c r="E677" s="4"/>
      <c r="G677" s="5"/>
      <c r="H677" s="5"/>
      <c r="I677" s="5"/>
      <c r="K677" s="5"/>
      <c r="M677" s="5"/>
      <c r="N677" s="5"/>
    </row>
    <row r="678">
      <c r="A678" s="8"/>
      <c r="E678" s="4"/>
      <c r="G678" s="5"/>
      <c r="H678" s="5"/>
      <c r="I678" s="5"/>
      <c r="K678" s="5"/>
      <c r="M678" s="5"/>
      <c r="N678" s="5"/>
    </row>
    <row r="679">
      <c r="A679" s="8"/>
      <c r="E679" s="4"/>
      <c r="G679" s="5"/>
      <c r="H679" s="5"/>
      <c r="I679" s="5"/>
      <c r="K679" s="5"/>
      <c r="M679" s="5"/>
      <c r="N679" s="5"/>
    </row>
    <row r="680">
      <c r="A680" s="8"/>
      <c r="E680" s="4"/>
      <c r="G680" s="5"/>
      <c r="H680" s="5"/>
      <c r="I680" s="5"/>
      <c r="K680" s="5"/>
      <c r="M680" s="5"/>
      <c r="N680" s="5"/>
    </row>
    <row r="681">
      <c r="A681" s="8"/>
      <c r="E681" s="4"/>
      <c r="G681" s="5"/>
      <c r="H681" s="5"/>
      <c r="I681" s="5"/>
      <c r="K681" s="5"/>
      <c r="M681" s="5"/>
      <c r="N681" s="5"/>
    </row>
    <row r="682">
      <c r="A682" s="8"/>
      <c r="E682" s="4"/>
      <c r="G682" s="5"/>
      <c r="H682" s="5"/>
      <c r="I682" s="5"/>
      <c r="K682" s="5"/>
      <c r="M682" s="5"/>
      <c r="N682" s="5"/>
    </row>
    <row r="683">
      <c r="A683" s="8"/>
      <c r="E683" s="4"/>
      <c r="G683" s="5"/>
      <c r="H683" s="5"/>
      <c r="I683" s="5"/>
      <c r="K683" s="5"/>
      <c r="M683" s="5"/>
      <c r="N683" s="5"/>
    </row>
    <row r="684">
      <c r="A684" s="8"/>
      <c r="E684" s="4"/>
      <c r="G684" s="5"/>
      <c r="H684" s="5"/>
      <c r="I684" s="5"/>
      <c r="K684" s="5"/>
      <c r="M684" s="5"/>
      <c r="N684" s="5"/>
    </row>
    <row r="685">
      <c r="A685" s="8"/>
      <c r="E685" s="4"/>
      <c r="G685" s="5"/>
      <c r="H685" s="5"/>
      <c r="I685" s="5"/>
      <c r="K685" s="5"/>
      <c r="M685" s="5"/>
      <c r="N685" s="5"/>
    </row>
    <row r="686">
      <c r="A686" s="8"/>
      <c r="E686" s="4"/>
      <c r="G686" s="5"/>
      <c r="H686" s="5"/>
      <c r="I686" s="5"/>
      <c r="K686" s="5"/>
      <c r="M686" s="5"/>
      <c r="N686" s="5"/>
    </row>
    <row r="687">
      <c r="A687" s="8"/>
      <c r="E687" s="4"/>
      <c r="G687" s="5"/>
      <c r="H687" s="5"/>
      <c r="I687" s="5"/>
      <c r="K687" s="5"/>
      <c r="M687" s="5"/>
      <c r="N687" s="5"/>
    </row>
    <row r="688">
      <c r="A688" s="8"/>
      <c r="E688" s="4"/>
      <c r="G688" s="5"/>
      <c r="H688" s="5"/>
      <c r="I688" s="5"/>
      <c r="K688" s="5"/>
      <c r="M688" s="5"/>
      <c r="N688" s="5"/>
    </row>
    <row r="689">
      <c r="A689" s="8"/>
      <c r="E689" s="4"/>
      <c r="G689" s="5"/>
      <c r="H689" s="5"/>
      <c r="I689" s="5"/>
      <c r="K689" s="5"/>
      <c r="M689" s="5"/>
      <c r="N689" s="5"/>
    </row>
    <row r="690">
      <c r="A690" s="8"/>
      <c r="E690" s="4"/>
      <c r="G690" s="5"/>
      <c r="H690" s="5"/>
      <c r="I690" s="5"/>
      <c r="K690" s="5"/>
      <c r="M690" s="5"/>
      <c r="N690" s="5"/>
    </row>
    <row r="691">
      <c r="A691" s="8"/>
      <c r="E691" s="4"/>
      <c r="G691" s="5"/>
      <c r="H691" s="5"/>
      <c r="I691" s="5"/>
      <c r="K691" s="5"/>
      <c r="M691" s="5"/>
      <c r="N691" s="5"/>
    </row>
    <row r="692">
      <c r="A692" s="8"/>
      <c r="E692" s="4"/>
      <c r="G692" s="5"/>
      <c r="H692" s="5"/>
      <c r="I692" s="5"/>
      <c r="K692" s="5"/>
      <c r="M692" s="5"/>
      <c r="N692" s="5"/>
    </row>
    <row r="693">
      <c r="A693" s="8"/>
      <c r="E693" s="4"/>
      <c r="G693" s="5"/>
      <c r="H693" s="5"/>
      <c r="I693" s="5"/>
      <c r="K693" s="5"/>
      <c r="M693" s="5"/>
      <c r="N693" s="5"/>
    </row>
    <row r="694">
      <c r="A694" s="8"/>
      <c r="E694" s="4"/>
      <c r="G694" s="5"/>
      <c r="H694" s="5"/>
      <c r="I694" s="5"/>
      <c r="K694" s="5"/>
      <c r="M694" s="5"/>
      <c r="N694" s="5"/>
    </row>
    <row r="695">
      <c r="A695" s="8"/>
      <c r="E695" s="4"/>
      <c r="G695" s="5"/>
      <c r="H695" s="5"/>
      <c r="I695" s="5"/>
      <c r="K695" s="5"/>
      <c r="M695" s="5"/>
      <c r="N695" s="5"/>
    </row>
    <row r="696">
      <c r="A696" s="8"/>
      <c r="E696" s="4"/>
      <c r="G696" s="5"/>
      <c r="H696" s="5"/>
      <c r="I696" s="5"/>
      <c r="K696" s="5"/>
      <c r="M696" s="5"/>
      <c r="N696" s="5"/>
    </row>
    <row r="697">
      <c r="A697" s="8"/>
      <c r="E697" s="4"/>
      <c r="G697" s="5"/>
      <c r="H697" s="5"/>
      <c r="I697" s="5"/>
      <c r="K697" s="5"/>
      <c r="M697" s="5"/>
      <c r="N697" s="5"/>
    </row>
    <row r="698">
      <c r="A698" s="8"/>
      <c r="E698" s="4"/>
      <c r="G698" s="5"/>
      <c r="H698" s="5"/>
      <c r="I698" s="5"/>
      <c r="K698" s="5"/>
      <c r="M698" s="5"/>
      <c r="N698" s="5"/>
    </row>
    <row r="699">
      <c r="A699" s="8"/>
      <c r="E699" s="4"/>
      <c r="G699" s="5"/>
      <c r="H699" s="5"/>
      <c r="I699" s="5"/>
      <c r="K699" s="5"/>
      <c r="M699" s="5"/>
      <c r="N699" s="5"/>
    </row>
    <row r="700">
      <c r="A700" s="8"/>
      <c r="E700" s="4"/>
      <c r="G700" s="5"/>
      <c r="H700" s="5"/>
      <c r="I700" s="5"/>
      <c r="K700" s="5"/>
      <c r="M700" s="5"/>
      <c r="N700" s="5"/>
    </row>
    <row r="701">
      <c r="A701" s="8"/>
      <c r="E701" s="4"/>
      <c r="G701" s="5"/>
      <c r="H701" s="5"/>
      <c r="I701" s="5"/>
      <c r="K701" s="5"/>
      <c r="M701" s="5"/>
      <c r="N701" s="5"/>
    </row>
    <row r="702">
      <c r="A702" s="8"/>
      <c r="E702" s="4"/>
      <c r="G702" s="5"/>
      <c r="H702" s="5"/>
      <c r="I702" s="5"/>
      <c r="K702" s="5"/>
      <c r="M702" s="5"/>
      <c r="N702" s="5"/>
    </row>
    <row r="703">
      <c r="A703" s="8"/>
      <c r="E703" s="4"/>
      <c r="G703" s="5"/>
      <c r="H703" s="5"/>
      <c r="I703" s="5"/>
      <c r="K703" s="5"/>
      <c r="M703" s="5"/>
      <c r="N703" s="5"/>
    </row>
    <row r="704">
      <c r="A704" s="8"/>
      <c r="E704" s="4"/>
      <c r="G704" s="5"/>
      <c r="H704" s="5"/>
      <c r="I704" s="5"/>
      <c r="K704" s="5"/>
      <c r="M704" s="5"/>
      <c r="N704" s="5"/>
    </row>
    <row r="705">
      <c r="A705" s="8"/>
      <c r="E705" s="4"/>
      <c r="G705" s="5"/>
      <c r="H705" s="5"/>
      <c r="I705" s="5"/>
      <c r="K705" s="5"/>
      <c r="M705" s="5"/>
      <c r="N705" s="5"/>
    </row>
    <row r="706">
      <c r="A706" s="8"/>
      <c r="E706" s="4"/>
      <c r="G706" s="5"/>
      <c r="H706" s="5"/>
      <c r="I706" s="5"/>
      <c r="K706" s="5"/>
      <c r="M706" s="5"/>
      <c r="N706" s="5"/>
    </row>
    <row r="707">
      <c r="A707" s="8"/>
      <c r="E707" s="4"/>
      <c r="G707" s="5"/>
      <c r="H707" s="5"/>
      <c r="I707" s="5"/>
      <c r="K707" s="5"/>
      <c r="M707" s="5"/>
      <c r="N707" s="5"/>
    </row>
    <row r="708">
      <c r="A708" s="8"/>
      <c r="E708" s="4"/>
      <c r="G708" s="5"/>
      <c r="H708" s="5"/>
      <c r="I708" s="5"/>
      <c r="K708" s="5"/>
      <c r="M708" s="5"/>
      <c r="N708" s="5"/>
    </row>
    <row r="709">
      <c r="A709" s="8"/>
      <c r="E709" s="4"/>
      <c r="G709" s="5"/>
      <c r="H709" s="5"/>
      <c r="I709" s="5"/>
      <c r="K709" s="5"/>
      <c r="M709" s="5"/>
      <c r="N709" s="5"/>
    </row>
    <row r="710">
      <c r="A710" s="8"/>
      <c r="E710" s="4"/>
      <c r="G710" s="5"/>
      <c r="H710" s="5"/>
      <c r="I710" s="5"/>
      <c r="K710" s="5"/>
      <c r="M710" s="5"/>
      <c r="N710" s="5"/>
    </row>
    <row r="711">
      <c r="A711" s="8"/>
      <c r="E711" s="4"/>
      <c r="G711" s="5"/>
      <c r="H711" s="5"/>
      <c r="I711" s="5"/>
      <c r="K711" s="5"/>
      <c r="M711" s="5"/>
      <c r="N711" s="5"/>
    </row>
    <row r="712">
      <c r="A712" s="8"/>
      <c r="E712" s="4"/>
      <c r="G712" s="5"/>
      <c r="H712" s="5"/>
      <c r="I712" s="5"/>
      <c r="K712" s="5"/>
      <c r="M712" s="5"/>
      <c r="N712" s="5"/>
    </row>
    <row r="713">
      <c r="A713" s="8"/>
      <c r="E713" s="4"/>
      <c r="G713" s="5"/>
      <c r="H713" s="5"/>
      <c r="I713" s="5"/>
      <c r="K713" s="5"/>
      <c r="M713" s="5"/>
      <c r="N713" s="5"/>
    </row>
    <row r="714">
      <c r="A714" s="8"/>
      <c r="E714" s="4"/>
      <c r="G714" s="5"/>
      <c r="H714" s="5"/>
      <c r="I714" s="5"/>
      <c r="K714" s="5"/>
      <c r="M714" s="5"/>
      <c r="N714" s="5"/>
    </row>
    <row r="715">
      <c r="A715" s="8"/>
      <c r="E715" s="4"/>
      <c r="G715" s="5"/>
      <c r="H715" s="5"/>
      <c r="I715" s="5"/>
      <c r="K715" s="5"/>
      <c r="M715" s="5"/>
      <c r="N715" s="5"/>
    </row>
    <row r="716">
      <c r="A716" s="8"/>
      <c r="E716" s="4"/>
      <c r="G716" s="5"/>
      <c r="H716" s="5"/>
      <c r="I716" s="5"/>
      <c r="K716" s="5"/>
      <c r="M716" s="5"/>
      <c r="N716" s="5"/>
    </row>
    <row r="717">
      <c r="A717" s="8"/>
      <c r="E717" s="4"/>
      <c r="G717" s="5"/>
      <c r="H717" s="5"/>
      <c r="I717" s="5"/>
      <c r="K717" s="5"/>
      <c r="M717" s="5"/>
      <c r="N717" s="5"/>
    </row>
    <row r="718">
      <c r="A718" s="8"/>
      <c r="E718" s="4"/>
      <c r="G718" s="5"/>
      <c r="H718" s="5"/>
      <c r="I718" s="5"/>
      <c r="K718" s="5"/>
      <c r="M718" s="5"/>
      <c r="N718" s="5"/>
    </row>
    <row r="719">
      <c r="A719" s="8"/>
      <c r="E719" s="4"/>
      <c r="G719" s="5"/>
      <c r="H719" s="5"/>
      <c r="I719" s="5"/>
      <c r="K719" s="5"/>
      <c r="M719" s="5"/>
      <c r="N719" s="5"/>
    </row>
    <row r="720">
      <c r="A720" s="8"/>
      <c r="E720" s="4"/>
      <c r="G720" s="5"/>
      <c r="H720" s="5"/>
      <c r="I720" s="5"/>
      <c r="K720" s="5"/>
      <c r="M720" s="5"/>
      <c r="N720" s="5"/>
    </row>
    <row r="721">
      <c r="A721" s="8"/>
      <c r="E721" s="4"/>
      <c r="G721" s="5"/>
      <c r="H721" s="5"/>
      <c r="I721" s="5"/>
      <c r="K721" s="5"/>
      <c r="M721" s="5"/>
      <c r="N721" s="5"/>
    </row>
    <row r="722">
      <c r="A722" s="8"/>
      <c r="E722" s="4"/>
      <c r="G722" s="5"/>
      <c r="H722" s="5"/>
      <c r="I722" s="5"/>
      <c r="K722" s="5"/>
      <c r="M722" s="5"/>
      <c r="N722" s="5"/>
    </row>
    <row r="723">
      <c r="A723" s="8"/>
      <c r="E723" s="4"/>
      <c r="G723" s="5"/>
      <c r="H723" s="5"/>
      <c r="I723" s="5"/>
      <c r="K723" s="5"/>
      <c r="M723" s="5"/>
      <c r="N723" s="5"/>
    </row>
    <row r="724">
      <c r="A724" s="8"/>
      <c r="E724" s="4"/>
      <c r="G724" s="5"/>
      <c r="H724" s="5"/>
      <c r="I724" s="5"/>
      <c r="K724" s="5"/>
      <c r="M724" s="5"/>
      <c r="N724" s="5"/>
    </row>
    <row r="725">
      <c r="A725" s="8"/>
      <c r="E725" s="4"/>
      <c r="G725" s="5"/>
      <c r="H725" s="5"/>
      <c r="I725" s="5"/>
      <c r="K725" s="5"/>
      <c r="M725" s="5"/>
      <c r="N725" s="5"/>
    </row>
    <row r="726">
      <c r="A726" s="8"/>
      <c r="E726" s="4"/>
      <c r="G726" s="5"/>
      <c r="H726" s="5"/>
      <c r="I726" s="5"/>
      <c r="K726" s="5"/>
      <c r="M726" s="5"/>
      <c r="N726" s="5"/>
    </row>
    <row r="727">
      <c r="A727" s="8"/>
      <c r="E727" s="4"/>
      <c r="G727" s="5"/>
      <c r="H727" s="5"/>
      <c r="I727" s="5"/>
      <c r="K727" s="5"/>
      <c r="M727" s="5"/>
      <c r="N727" s="5"/>
    </row>
    <row r="728">
      <c r="A728" s="8"/>
      <c r="E728" s="4"/>
      <c r="G728" s="5"/>
      <c r="H728" s="5"/>
      <c r="I728" s="5"/>
      <c r="K728" s="5"/>
      <c r="M728" s="5"/>
      <c r="N728" s="5"/>
    </row>
    <row r="729">
      <c r="A729" s="8"/>
      <c r="E729" s="4"/>
      <c r="G729" s="5"/>
      <c r="H729" s="5"/>
      <c r="I729" s="5"/>
      <c r="K729" s="5"/>
      <c r="M729" s="5"/>
      <c r="N729" s="5"/>
    </row>
    <row r="730">
      <c r="A730" s="8"/>
      <c r="E730" s="4"/>
      <c r="G730" s="5"/>
      <c r="H730" s="5"/>
      <c r="I730" s="5"/>
      <c r="K730" s="5"/>
      <c r="M730" s="5"/>
      <c r="N730" s="5"/>
    </row>
    <row r="731">
      <c r="A731" s="8"/>
      <c r="E731" s="4"/>
      <c r="G731" s="5"/>
      <c r="H731" s="5"/>
      <c r="I731" s="5"/>
      <c r="K731" s="5"/>
      <c r="M731" s="5"/>
      <c r="N731" s="5"/>
    </row>
    <row r="732">
      <c r="A732" s="8"/>
      <c r="E732" s="4"/>
      <c r="G732" s="5"/>
      <c r="H732" s="5"/>
      <c r="I732" s="5"/>
      <c r="K732" s="5"/>
      <c r="M732" s="5"/>
      <c r="N732" s="5"/>
    </row>
    <row r="733">
      <c r="A733" s="8"/>
      <c r="E733" s="4"/>
      <c r="G733" s="5"/>
      <c r="H733" s="5"/>
      <c r="I733" s="5"/>
      <c r="K733" s="5"/>
      <c r="M733" s="5"/>
      <c r="N733" s="5"/>
    </row>
    <row r="734">
      <c r="A734" s="8"/>
      <c r="E734" s="4"/>
      <c r="G734" s="5"/>
      <c r="H734" s="5"/>
      <c r="I734" s="5"/>
      <c r="K734" s="5"/>
      <c r="M734" s="5"/>
      <c r="N734" s="5"/>
    </row>
    <row r="735">
      <c r="A735" s="8"/>
      <c r="E735" s="4"/>
      <c r="G735" s="5"/>
      <c r="H735" s="5"/>
      <c r="I735" s="5"/>
      <c r="K735" s="5"/>
      <c r="M735" s="5"/>
      <c r="N735" s="5"/>
    </row>
    <row r="736">
      <c r="A736" s="8"/>
      <c r="E736" s="4"/>
      <c r="G736" s="5"/>
      <c r="H736" s="5"/>
      <c r="I736" s="5"/>
      <c r="K736" s="5"/>
      <c r="M736" s="5"/>
      <c r="N736" s="5"/>
    </row>
    <row r="737">
      <c r="A737" s="8"/>
      <c r="E737" s="4"/>
      <c r="G737" s="5"/>
      <c r="H737" s="5"/>
      <c r="I737" s="5"/>
      <c r="K737" s="5"/>
      <c r="M737" s="5"/>
      <c r="N737" s="5"/>
    </row>
    <row r="738">
      <c r="A738" s="8"/>
      <c r="E738" s="4"/>
      <c r="G738" s="5"/>
      <c r="H738" s="5"/>
      <c r="I738" s="5"/>
      <c r="K738" s="5"/>
      <c r="M738" s="5"/>
      <c r="N738" s="5"/>
    </row>
    <row r="739">
      <c r="A739" s="8"/>
      <c r="E739" s="4"/>
      <c r="G739" s="5"/>
      <c r="H739" s="5"/>
      <c r="I739" s="5"/>
      <c r="K739" s="5"/>
      <c r="M739" s="5"/>
      <c r="N739" s="5"/>
    </row>
    <row r="740">
      <c r="A740" s="8"/>
      <c r="E740" s="4"/>
      <c r="G740" s="5"/>
      <c r="H740" s="5"/>
      <c r="I740" s="5"/>
      <c r="K740" s="5"/>
      <c r="M740" s="5"/>
      <c r="N740" s="5"/>
    </row>
    <row r="741">
      <c r="A741" s="8"/>
      <c r="E741" s="4"/>
      <c r="G741" s="5"/>
      <c r="H741" s="5"/>
      <c r="I741" s="5"/>
      <c r="K741" s="5"/>
      <c r="M741" s="5"/>
      <c r="N741" s="5"/>
    </row>
    <row r="742">
      <c r="A742" s="8"/>
      <c r="E742" s="4"/>
      <c r="G742" s="5"/>
      <c r="H742" s="5"/>
      <c r="I742" s="5"/>
      <c r="K742" s="5"/>
      <c r="M742" s="5"/>
      <c r="N742" s="5"/>
    </row>
    <row r="743">
      <c r="A743" s="8"/>
      <c r="E743" s="4"/>
      <c r="G743" s="5"/>
      <c r="H743" s="5"/>
      <c r="I743" s="5"/>
      <c r="K743" s="5"/>
      <c r="M743" s="5"/>
      <c r="N743" s="5"/>
    </row>
    <row r="744">
      <c r="A744" s="8"/>
      <c r="E744" s="4"/>
      <c r="G744" s="5"/>
      <c r="H744" s="5"/>
      <c r="I744" s="5"/>
      <c r="K744" s="5"/>
      <c r="M744" s="5"/>
      <c r="N744" s="5"/>
    </row>
    <row r="745">
      <c r="A745" s="8"/>
      <c r="E745" s="4"/>
      <c r="G745" s="5"/>
      <c r="H745" s="5"/>
      <c r="I745" s="5"/>
      <c r="K745" s="5"/>
      <c r="M745" s="5"/>
      <c r="N745" s="5"/>
    </row>
    <row r="746">
      <c r="A746" s="8"/>
      <c r="E746" s="4"/>
      <c r="G746" s="5"/>
      <c r="H746" s="5"/>
      <c r="I746" s="5"/>
      <c r="K746" s="5"/>
      <c r="M746" s="5"/>
      <c r="N746" s="5"/>
    </row>
    <row r="747">
      <c r="A747" s="8"/>
      <c r="E747" s="4"/>
      <c r="G747" s="5"/>
      <c r="H747" s="5"/>
      <c r="I747" s="5"/>
      <c r="K747" s="5"/>
      <c r="M747" s="5"/>
      <c r="N747" s="5"/>
    </row>
    <row r="748">
      <c r="A748" s="8"/>
      <c r="E748" s="4"/>
      <c r="G748" s="5"/>
      <c r="H748" s="5"/>
      <c r="I748" s="5"/>
      <c r="K748" s="5"/>
      <c r="M748" s="5"/>
      <c r="N748" s="5"/>
    </row>
    <row r="749">
      <c r="A749" s="8"/>
      <c r="E749" s="4"/>
      <c r="G749" s="5"/>
      <c r="H749" s="5"/>
      <c r="I749" s="5"/>
      <c r="K749" s="5"/>
      <c r="M749" s="5"/>
      <c r="N749" s="5"/>
    </row>
    <row r="750">
      <c r="A750" s="8"/>
      <c r="E750" s="4"/>
      <c r="G750" s="5"/>
      <c r="H750" s="5"/>
      <c r="I750" s="5"/>
      <c r="K750" s="5"/>
      <c r="M750" s="5"/>
      <c r="N750" s="5"/>
    </row>
    <row r="751">
      <c r="A751" s="8"/>
      <c r="E751" s="4"/>
      <c r="G751" s="5"/>
      <c r="H751" s="5"/>
      <c r="I751" s="5"/>
      <c r="K751" s="5"/>
      <c r="M751" s="5"/>
      <c r="N751" s="5"/>
    </row>
    <row r="752">
      <c r="A752" s="8"/>
      <c r="E752" s="4"/>
      <c r="G752" s="5"/>
      <c r="H752" s="5"/>
      <c r="I752" s="5"/>
      <c r="K752" s="5"/>
      <c r="M752" s="5"/>
      <c r="N752" s="5"/>
    </row>
    <row r="753">
      <c r="A753" s="8"/>
      <c r="E753" s="4"/>
      <c r="G753" s="5"/>
      <c r="H753" s="5"/>
      <c r="I753" s="5"/>
      <c r="K753" s="5"/>
      <c r="M753" s="5"/>
      <c r="N753" s="5"/>
    </row>
    <row r="754">
      <c r="A754" s="8"/>
      <c r="E754" s="4"/>
      <c r="G754" s="5"/>
      <c r="H754" s="5"/>
      <c r="I754" s="5"/>
      <c r="K754" s="5"/>
      <c r="M754" s="5"/>
      <c r="N754" s="5"/>
    </row>
    <row r="755">
      <c r="A755" s="8"/>
      <c r="E755" s="4"/>
      <c r="G755" s="5"/>
      <c r="H755" s="5"/>
      <c r="I755" s="5"/>
      <c r="K755" s="5"/>
      <c r="M755" s="5"/>
      <c r="N755" s="5"/>
    </row>
    <row r="756">
      <c r="A756" s="8"/>
      <c r="E756" s="4"/>
      <c r="G756" s="5"/>
      <c r="H756" s="5"/>
      <c r="I756" s="5"/>
      <c r="K756" s="5"/>
      <c r="M756" s="5"/>
      <c r="N756" s="5"/>
    </row>
    <row r="757">
      <c r="A757" s="8"/>
      <c r="E757" s="4"/>
      <c r="G757" s="5"/>
      <c r="H757" s="5"/>
      <c r="I757" s="5"/>
      <c r="K757" s="5"/>
      <c r="M757" s="5"/>
      <c r="N757" s="5"/>
    </row>
    <row r="758">
      <c r="A758" s="8"/>
      <c r="E758" s="4"/>
      <c r="G758" s="5"/>
      <c r="H758" s="5"/>
      <c r="I758" s="5"/>
      <c r="K758" s="5"/>
      <c r="M758" s="5"/>
      <c r="N758" s="5"/>
    </row>
    <row r="759">
      <c r="A759" s="8"/>
      <c r="E759" s="4"/>
      <c r="G759" s="5"/>
      <c r="H759" s="5"/>
      <c r="I759" s="5"/>
      <c r="K759" s="5"/>
      <c r="M759" s="5"/>
      <c r="N759" s="5"/>
    </row>
    <row r="760">
      <c r="A760" s="8"/>
      <c r="E760" s="4"/>
      <c r="G760" s="5"/>
      <c r="H760" s="5"/>
      <c r="I760" s="5"/>
      <c r="K760" s="5"/>
      <c r="M760" s="5"/>
      <c r="N760" s="5"/>
    </row>
    <row r="761">
      <c r="A761" s="8"/>
      <c r="E761" s="4"/>
      <c r="G761" s="5"/>
      <c r="H761" s="5"/>
      <c r="I761" s="5"/>
      <c r="K761" s="5"/>
      <c r="M761" s="5"/>
      <c r="N761" s="5"/>
    </row>
    <row r="762">
      <c r="A762" s="8"/>
      <c r="E762" s="4"/>
      <c r="G762" s="5"/>
      <c r="H762" s="5"/>
      <c r="I762" s="5"/>
      <c r="K762" s="5"/>
      <c r="M762" s="5"/>
      <c r="N762" s="5"/>
    </row>
    <row r="763">
      <c r="A763" s="8"/>
      <c r="E763" s="4"/>
      <c r="G763" s="5"/>
      <c r="H763" s="5"/>
      <c r="I763" s="5"/>
      <c r="K763" s="5"/>
      <c r="M763" s="5"/>
      <c r="N763" s="5"/>
    </row>
    <row r="764">
      <c r="A764" s="8"/>
      <c r="E764" s="4"/>
      <c r="G764" s="5"/>
      <c r="H764" s="5"/>
      <c r="I764" s="5"/>
      <c r="K764" s="5"/>
      <c r="M764" s="5"/>
      <c r="N764" s="5"/>
    </row>
    <row r="765">
      <c r="A765" s="8"/>
      <c r="E765" s="4"/>
      <c r="G765" s="5"/>
      <c r="H765" s="5"/>
      <c r="I765" s="5"/>
      <c r="K765" s="5"/>
      <c r="M765" s="5"/>
      <c r="N765" s="5"/>
    </row>
    <row r="766">
      <c r="A766" s="8"/>
      <c r="E766" s="4"/>
      <c r="G766" s="5"/>
      <c r="H766" s="5"/>
      <c r="I766" s="5"/>
      <c r="K766" s="5"/>
      <c r="M766" s="5"/>
      <c r="N766" s="5"/>
    </row>
    <row r="767">
      <c r="A767" s="8"/>
      <c r="E767" s="4"/>
      <c r="G767" s="5"/>
      <c r="H767" s="5"/>
      <c r="I767" s="5"/>
      <c r="K767" s="5"/>
      <c r="M767" s="5"/>
      <c r="N767" s="5"/>
    </row>
    <row r="768">
      <c r="A768" s="8"/>
      <c r="E768" s="4"/>
      <c r="G768" s="5"/>
      <c r="H768" s="5"/>
      <c r="I768" s="5"/>
      <c r="K768" s="5"/>
      <c r="M768" s="5"/>
      <c r="N768" s="5"/>
    </row>
    <row r="769">
      <c r="A769" s="8"/>
      <c r="E769" s="4"/>
      <c r="G769" s="5"/>
      <c r="H769" s="5"/>
      <c r="I769" s="5"/>
      <c r="K769" s="5"/>
      <c r="M769" s="5"/>
      <c r="N769" s="5"/>
    </row>
    <row r="770">
      <c r="A770" s="8"/>
      <c r="E770" s="4"/>
      <c r="G770" s="5"/>
      <c r="H770" s="5"/>
      <c r="I770" s="5"/>
      <c r="K770" s="5"/>
      <c r="M770" s="5"/>
      <c r="N770" s="5"/>
    </row>
    <row r="771">
      <c r="A771" s="8"/>
      <c r="E771" s="4"/>
      <c r="G771" s="5"/>
      <c r="H771" s="5"/>
      <c r="I771" s="5"/>
      <c r="K771" s="5"/>
      <c r="M771" s="5"/>
      <c r="N771" s="5"/>
    </row>
    <row r="772">
      <c r="A772" s="8"/>
      <c r="E772" s="4"/>
      <c r="G772" s="5"/>
      <c r="H772" s="5"/>
      <c r="I772" s="5"/>
      <c r="K772" s="5"/>
      <c r="M772" s="5"/>
      <c r="N772" s="5"/>
    </row>
    <row r="773">
      <c r="A773" s="8"/>
      <c r="E773" s="4"/>
      <c r="G773" s="5"/>
      <c r="H773" s="5"/>
      <c r="I773" s="5"/>
      <c r="K773" s="5"/>
      <c r="M773" s="5"/>
      <c r="N773" s="5"/>
    </row>
    <row r="774">
      <c r="A774" s="8"/>
      <c r="E774" s="4"/>
      <c r="G774" s="5"/>
      <c r="H774" s="5"/>
      <c r="I774" s="5"/>
      <c r="K774" s="5"/>
      <c r="M774" s="5"/>
      <c r="N774" s="5"/>
    </row>
    <row r="775">
      <c r="A775" s="8"/>
      <c r="E775" s="4"/>
      <c r="G775" s="5"/>
      <c r="H775" s="5"/>
      <c r="I775" s="5"/>
      <c r="K775" s="5"/>
      <c r="M775" s="5"/>
      <c r="N775" s="5"/>
    </row>
    <row r="776">
      <c r="A776" s="8"/>
      <c r="E776" s="4"/>
      <c r="G776" s="5"/>
      <c r="H776" s="5"/>
      <c r="I776" s="5"/>
      <c r="K776" s="5"/>
      <c r="M776" s="5"/>
      <c r="N776" s="5"/>
    </row>
    <row r="777">
      <c r="A777" s="8"/>
      <c r="E777" s="4"/>
      <c r="G777" s="5"/>
      <c r="H777" s="5"/>
      <c r="I777" s="5"/>
      <c r="K777" s="5"/>
      <c r="M777" s="5"/>
      <c r="N777" s="5"/>
    </row>
    <row r="778">
      <c r="A778" s="8"/>
      <c r="E778" s="4"/>
      <c r="G778" s="5"/>
      <c r="H778" s="5"/>
      <c r="I778" s="5"/>
      <c r="K778" s="5"/>
      <c r="M778" s="5"/>
      <c r="N778" s="5"/>
    </row>
    <row r="779">
      <c r="A779" s="8"/>
      <c r="E779" s="4"/>
      <c r="G779" s="5"/>
      <c r="H779" s="5"/>
      <c r="I779" s="5"/>
      <c r="K779" s="5"/>
      <c r="M779" s="5"/>
      <c r="N779" s="5"/>
    </row>
    <row r="780">
      <c r="A780" s="8"/>
      <c r="E780" s="4"/>
      <c r="G780" s="5"/>
      <c r="H780" s="5"/>
      <c r="I780" s="5"/>
      <c r="K780" s="5"/>
      <c r="M780" s="5"/>
      <c r="N780" s="5"/>
    </row>
    <row r="781">
      <c r="A781" s="8"/>
      <c r="E781" s="4"/>
      <c r="G781" s="5"/>
      <c r="H781" s="5"/>
      <c r="I781" s="5"/>
      <c r="K781" s="5"/>
      <c r="M781" s="5"/>
      <c r="N781" s="5"/>
    </row>
    <row r="782">
      <c r="A782" s="8"/>
      <c r="E782" s="4"/>
      <c r="G782" s="5"/>
      <c r="H782" s="5"/>
      <c r="I782" s="5"/>
      <c r="K782" s="5"/>
      <c r="M782" s="5"/>
      <c r="N782" s="5"/>
    </row>
    <row r="783">
      <c r="A783" s="8"/>
      <c r="E783" s="4"/>
      <c r="G783" s="5"/>
      <c r="H783" s="5"/>
      <c r="I783" s="5"/>
      <c r="K783" s="5"/>
      <c r="M783" s="5"/>
      <c r="N783" s="5"/>
    </row>
    <row r="784">
      <c r="A784" s="8"/>
      <c r="E784" s="4"/>
      <c r="G784" s="5"/>
      <c r="H784" s="5"/>
      <c r="I784" s="5"/>
      <c r="K784" s="5"/>
      <c r="M784" s="5"/>
      <c r="N784" s="5"/>
    </row>
    <row r="785">
      <c r="A785" s="8"/>
      <c r="E785" s="4"/>
      <c r="G785" s="5"/>
      <c r="H785" s="5"/>
      <c r="I785" s="5"/>
      <c r="K785" s="5"/>
      <c r="M785" s="5"/>
      <c r="N785" s="5"/>
    </row>
    <row r="786">
      <c r="A786" s="8"/>
      <c r="E786" s="4"/>
      <c r="G786" s="5"/>
      <c r="H786" s="5"/>
      <c r="I786" s="5"/>
      <c r="K786" s="5"/>
      <c r="M786" s="5"/>
      <c r="N786" s="5"/>
    </row>
    <row r="787">
      <c r="A787" s="8"/>
      <c r="E787" s="4"/>
      <c r="G787" s="5"/>
      <c r="H787" s="5"/>
      <c r="I787" s="5"/>
      <c r="K787" s="5"/>
      <c r="M787" s="5"/>
      <c r="N787" s="5"/>
    </row>
    <row r="788">
      <c r="A788" s="8"/>
      <c r="E788" s="4"/>
      <c r="G788" s="5"/>
      <c r="H788" s="5"/>
      <c r="I788" s="5"/>
      <c r="K788" s="5"/>
      <c r="M788" s="5"/>
      <c r="N788" s="5"/>
    </row>
    <row r="789">
      <c r="A789" s="8"/>
      <c r="E789" s="4"/>
      <c r="G789" s="5"/>
      <c r="H789" s="5"/>
      <c r="I789" s="5"/>
      <c r="K789" s="5"/>
      <c r="M789" s="5"/>
      <c r="N789" s="5"/>
    </row>
    <row r="790">
      <c r="A790" s="8"/>
      <c r="E790" s="4"/>
      <c r="G790" s="5"/>
      <c r="H790" s="5"/>
      <c r="I790" s="5"/>
      <c r="K790" s="5"/>
      <c r="M790" s="5"/>
      <c r="N790" s="5"/>
    </row>
    <row r="791">
      <c r="A791" s="8"/>
      <c r="E791" s="4"/>
      <c r="G791" s="5"/>
      <c r="H791" s="5"/>
      <c r="I791" s="5"/>
      <c r="K791" s="5"/>
      <c r="M791" s="5"/>
      <c r="N791" s="5"/>
    </row>
    <row r="792">
      <c r="A792" s="8"/>
      <c r="E792" s="4"/>
      <c r="G792" s="5"/>
      <c r="H792" s="5"/>
      <c r="I792" s="5"/>
      <c r="K792" s="5"/>
      <c r="M792" s="5"/>
      <c r="N792" s="5"/>
    </row>
    <row r="793">
      <c r="A793" s="8"/>
      <c r="E793" s="4"/>
      <c r="G793" s="5"/>
      <c r="H793" s="5"/>
      <c r="I793" s="5"/>
      <c r="K793" s="5"/>
      <c r="M793" s="5"/>
      <c r="N793" s="5"/>
    </row>
    <row r="794">
      <c r="A794" s="8"/>
      <c r="E794" s="4"/>
      <c r="G794" s="5"/>
      <c r="H794" s="5"/>
      <c r="I794" s="5"/>
      <c r="K794" s="5"/>
      <c r="M794" s="5"/>
      <c r="N794" s="5"/>
    </row>
    <row r="795">
      <c r="A795" s="8"/>
      <c r="E795" s="4"/>
      <c r="G795" s="5"/>
      <c r="H795" s="5"/>
      <c r="I795" s="5"/>
      <c r="K795" s="5"/>
      <c r="M795" s="5"/>
      <c r="N795" s="5"/>
    </row>
    <row r="796">
      <c r="A796" s="8"/>
      <c r="E796" s="4"/>
      <c r="G796" s="5"/>
      <c r="H796" s="5"/>
      <c r="I796" s="5"/>
      <c r="K796" s="5"/>
      <c r="M796" s="5"/>
      <c r="N796" s="5"/>
    </row>
    <row r="797">
      <c r="A797" s="8"/>
      <c r="E797" s="4"/>
      <c r="G797" s="5"/>
      <c r="H797" s="5"/>
      <c r="I797" s="5"/>
      <c r="K797" s="5"/>
      <c r="M797" s="5"/>
      <c r="N797" s="5"/>
    </row>
    <row r="798">
      <c r="A798" s="8"/>
      <c r="E798" s="4"/>
      <c r="G798" s="5"/>
      <c r="H798" s="5"/>
      <c r="I798" s="5"/>
      <c r="K798" s="5"/>
      <c r="M798" s="5"/>
      <c r="N798" s="5"/>
    </row>
    <row r="799">
      <c r="A799" s="8"/>
      <c r="E799" s="4"/>
      <c r="G799" s="5"/>
      <c r="H799" s="5"/>
      <c r="I799" s="5"/>
      <c r="K799" s="5"/>
      <c r="M799" s="5"/>
      <c r="N799" s="5"/>
    </row>
    <row r="800">
      <c r="A800" s="8"/>
      <c r="E800" s="4"/>
      <c r="G800" s="5"/>
      <c r="H800" s="5"/>
      <c r="I800" s="5"/>
      <c r="K800" s="5"/>
      <c r="M800" s="5"/>
      <c r="N800" s="5"/>
    </row>
    <row r="801">
      <c r="A801" s="8"/>
      <c r="E801" s="4"/>
      <c r="G801" s="5"/>
      <c r="H801" s="5"/>
      <c r="I801" s="5"/>
      <c r="K801" s="5"/>
      <c r="M801" s="5"/>
      <c r="N801" s="5"/>
    </row>
    <row r="802">
      <c r="A802" s="8"/>
      <c r="E802" s="4"/>
      <c r="G802" s="5"/>
      <c r="H802" s="5"/>
      <c r="I802" s="5"/>
      <c r="K802" s="5"/>
      <c r="M802" s="5"/>
      <c r="N802" s="5"/>
    </row>
    <row r="803">
      <c r="A803" s="8"/>
      <c r="E803" s="4"/>
      <c r="G803" s="5"/>
      <c r="H803" s="5"/>
      <c r="I803" s="5"/>
      <c r="K803" s="5"/>
      <c r="M803" s="5"/>
      <c r="N803" s="5"/>
    </row>
    <row r="804">
      <c r="A804" s="8"/>
      <c r="E804" s="4"/>
      <c r="G804" s="5"/>
      <c r="H804" s="5"/>
      <c r="I804" s="5"/>
      <c r="K804" s="5"/>
      <c r="M804" s="5"/>
      <c r="N804" s="5"/>
    </row>
    <row r="805">
      <c r="A805" s="8"/>
      <c r="E805" s="4"/>
      <c r="G805" s="5"/>
      <c r="H805" s="5"/>
      <c r="I805" s="5"/>
      <c r="K805" s="5"/>
      <c r="M805" s="5"/>
      <c r="N805" s="5"/>
    </row>
    <row r="806">
      <c r="A806" s="8"/>
      <c r="E806" s="4"/>
      <c r="G806" s="5"/>
      <c r="H806" s="5"/>
      <c r="I806" s="5"/>
      <c r="K806" s="5"/>
      <c r="M806" s="5"/>
      <c r="N806" s="5"/>
    </row>
    <row r="807">
      <c r="A807" s="8"/>
      <c r="E807" s="4"/>
      <c r="G807" s="5"/>
      <c r="H807" s="5"/>
      <c r="I807" s="5"/>
      <c r="K807" s="5"/>
      <c r="M807" s="5"/>
      <c r="N807" s="5"/>
    </row>
    <row r="808">
      <c r="A808" s="8"/>
      <c r="E808" s="4"/>
      <c r="G808" s="5"/>
      <c r="H808" s="5"/>
      <c r="I808" s="5"/>
      <c r="K808" s="5"/>
      <c r="M808" s="5"/>
      <c r="N808" s="5"/>
    </row>
    <row r="809">
      <c r="A809" s="8"/>
      <c r="E809" s="4"/>
      <c r="G809" s="5"/>
      <c r="H809" s="5"/>
      <c r="I809" s="5"/>
      <c r="K809" s="5"/>
      <c r="M809" s="5"/>
      <c r="N809" s="5"/>
    </row>
    <row r="810">
      <c r="A810" s="8"/>
      <c r="E810" s="4"/>
      <c r="G810" s="5"/>
      <c r="H810" s="5"/>
      <c r="I810" s="5"/>
      <c r="K810" s="5"/>
      <c r="M810" s="5"/>
      <c r="N810" s="5"/>
    </row>
    <row r="811">
      <c r="A811" s="8"/>
      <c r="E811" s="4"/>
      <c r="G811" s="5"/>
      <c r="H811" s="5"/>
      <c r="I811" s="5"/>
      <c r="K811" s="5"/>
      <c r="M811" s="5"/>
      <c r="N811" s="5"/>
    </row>
    <row r="812">
      <c r="A812" s="8"/>
      <c r="E812" s="4"/>
      <c r="G812" s="5"/>
      <c r="H812" s="5"/>
      <c r="I812" s="5"/>
      <c r="K812" s="5"/>
      <c r="M812" s="5"/>
      <c r="N812" s="5"/>
    </row>
    <row r="813">
      <c r="A813" s="8"/>
      <c r="E813" s="4"/>
      <c r="G813" s="5"/>
      <c r="H813" s="5"/>
      <c r="I813" s="5"/>
      <c r="K813" s="5"/>
      <c r="M813" s="5"/>
      <c r="N813" s="5"/>
    </row>
    <row r="814">
      <c r="A814" s="8"/>
      <c r="E814" s="4"/>
      <c r="G814" s="5"/>
      <c r="H814" s="5"/>
      <c r="I814" s="5"/>
      <c r="K814" s="5"/>
      <c r="M814" s="5"/>
      <c r="N814" s="5"/>
    </row>
    <row r="815">
      <c r="A815" s="8"/>
      <c r="E815" s="4"/>
      <c r="G815" s="5"/>
      <c r="H815" s="5"/>
      <c r="I815" s="5"/>
      <c r="K815" s="5"/>
      <c r="M815" s="5"/>
      <c r="N815" s="5"/>
    </row>
    <row r="816">
      <c r="A816" s="8"/>
      <c r="E816" s="4"/>
      <c r="G816" s="5"/>
      <c r="H816" s="5"/>
      <c r="I816" s="5"/>
      <c r="K816" s="5"/>
      <c r="M816" s="5"/>
      <c r="N816" s="5"/>
    </row>
    <row r="817">
      <c r="A817" s="8"/>
      <c r="E817" s="4"/>
      <c r="G817" s="5"/>
      <c r="H817" s="5"/>
      <c r="I817" s="5"/>
      <c r="K817" s="5"/>
      <c r="M817" s="5"/>
      <c r="N817" s="5"/>
    </row>
    <row r="818">
      <c r="A818" s="8"/>
      <c r="E818" s="4"/>
      <c r="G818" s="5"/>
      <c r="H818" s="5"/>
      <c r="I818" s="5"/>
      <c r="K818" s="5"/>
      <c r="M818" s="5"/>
      <c r="N818" s="5"/>
    </row>
    <row r="819">
      <c r="A819" s="8"/>
      <c r="E819" s="4"/>
      <c r="G819" s="5"/>
      <c r="H819" s="5"/>
      <c r="I819" s="5"/>
      <c r="K819" s="5"/>
      <c r="M819" s="5"/>
      <c r="N819" s="5"/>
    </row>
    <row r="820">
      <c r="A820" s="8"/>
      <c r="E820" s="4"/>
      <c r="G820" s="5"/>
      <c r="H820" s="5"/>
      <c r="I820" s="5"/>
      <c r="K820" s="5"/>
      <c r="M820" s="5"/>
      <c r="N820" s="5"/>
    </row>
    <row r="821">
      <c r="A821" s="8"/>
      <c r="E821" s="4"/>
      <c r="G821" s="5"/>
      <c r="H821" s="5"/>
      <c r="I821" s="5"/>
      <c r="K821" s="5"/>
      <c r="M821" s="5"/>
      <c r="N821" s="5"/>
    </row>
    <row r="822">
      <c r="A822" s="8"/>
      <c r="E822" s="4"/>
      <c r="G822" s="5"/>
      <c r="H822" s="5"/>
      <c r="I822" s="5"/>
      <c r="K822" s="5"/>
      <c r="M822" s="5"/>
      <c r="N822" s="5"/>
    </row>
    <row r="823">
      <c r="A823" s="8"/>
      <c r="E823" s="4"/>
      <c r="G823" s="5"/>
      <c r="H823" s="5"/>
      <c r="I823" s="5"/>
      <c r="K823" s="5"/>
      <c r="M823" s="5"/>
      <c r="N823" s="5"/>
    </row>
    <row r="824">
      <c r="A824" s="8"/>
      <c r="E824" s="4"/>
      <c r="G824" s="5"/>
      <c r="H824" s="5"/>
      <c r="I824" s="5"/>
      <c r="K824" s="5"/>
      <c r="M824" s="5"/>
      <c r="N824" s="5"/>
    </row>
    <row r="825">
      <c r="A825" s="8"/>
      <c r="E825" s="4"/>
      <c r="G825" s="5"/>
      <c r="H825" s="5"/>
      <c r="I825" s="5"/>
      <c r="K825" s="5"/>
      <c r="M825" s="5"/>
      <c r="N825" s="5"/>
    </row>
    <row r="826">
      <c r="A826" s="8"/>
      <c r="E826" s="4"/>
      <c r="G826" s="5"/>
      <c r="H826" s="5"/>
      <c r="I826" s="5"/>
      <c r="K826" s="5"/>
      <c r="M826" s="5"/>
      <c r="N826" s="5"/>
    </row>
    <row r="827">
      <c r="A827" s="8"/>
      <c r="E827" s="4"/>
      <c r="G827" s="5"/>
      <c r="H827" s="5"/>
      <c r="I827" s="5"/>
      <c r="K827" s="5"/>
      <c r="M827" s="5"/>
      <c r="N827" s="5"/>
    </row>
    <row r="828">
      <c r="A828" s="8"/>
      <c r="E828" s="4"/>
      <c r="G828" s="5"/>
      <c r="H828" s="5"/>
      <c r="I828" s="5"/>
      <c r="K828" s="5"/>
      <c r="M828" s="5"/>
      <c r="N828" s="5"/>
    </row>
    <row r="829">
      <c r="A829" s="8"/>
      <c r="E829" s="4"/>
      <c r="G829" s="5"/>
      <c r="H829" s="5"/>
      <c r="I829" s="5"/>
      <c r="K829" s="5"/>
      <c r="M829" s="5"/>
      <c r="N829" s="5"/>
    </row>
    <row r="830">
      <c r="A830" s="8"/>
      <c r="E830" s="4"/>
      <c r="G830" s="5"/>
      <c r="H830" s="5"/>
      <c r="I830" s="5"/>
      <c r="K830" s="5"/>
      <c r="M830" s="5"/>
      <c r="N830" s="5"/>
    </row>
    <row r="831">
      <c r="A831" s="8"/>
      <c r="E831" s="4"/>
      <c r="G831" s="5"/>
      <c r="H831" s="5"/>
      <c r="I831" s="5"/>
      <c r="K831" s="5"/>
      <c r="M831" s="5"/>
      <c r="N831" s="5"/>
    </row>
    <row r="832">
      <c r="A832" s="8"/>
      <c r="E832" s="4"/>
      <c r="G832" s="5"/>
      <c r="H832" s="5"/>
      <c r="I832" s="5"/>
      <c r="K832" s="5"/>
      <c r="M832" s="5"/>
      <c r="N832" s="5"/>
    </row>
    <row r="833">
      <c r="A833" s="8"/>
      <c r="E833" s="4"/>
      <c r="G833" s="5"/>
      <c r="H833" s="5"/>
      <c r="I833" s="5"/>
      <c r="K833" s="5"/>
      <c r="M833" s="5"/>
      <c r="N833" s="5"/>
    </row>
    <row r="834">
      <c r="A834" s="8"/>
      <c r="E834" s="4"/>
      <c r="G834" s="5"/>
      <c r="H834" s="5"/>
      <c r="I834" s="5"/>
      <c r="K834" s="5"/>
      <c r="M834" s="5"/>
      <c r="N834" s="5"/>
    </row>
    <row r="835">
      <c r="A835" s="8"/>
      <c r="E835" s="4"/>
      <c r="G835" s="5"/>
      <c r="H835" s="5"/>
      <c r="I835" s="5"/>
      <c r="K835" s="5"/>
      <c r="M835" s="5"/>
      <c r="N835" s="5"/>
    </row>
    <row r="836">
      <c r="A836" s="8"/>
      <c r="E836" s="4"/>
      <c r="G836" s="5"/>
      <c r="H836" s="5"/>
      <c r="I836" s="5"/>
      <c r="K836" s="5"/>
      <c r="M836" s="5"/>
      <c r="N836" s="5"/>
    </row>
    <row r="837">
      <c r="A837" s="8"/>
      <c r="E837" s="4"/>
      <c r="G837" s="5"/>
      <c r="H837" s="5"/>
      <c r="I837" s="5"/>
      <c r="K837" s="5"/>
      <c r="M837" s="5"/>
      <c r="N837" s="5"/>
    </row>
    <row r="838">
      <c r="A838" s="8"/>
      <c r="E838" s="4"/>
      <c r="G838" s="5"/>
      <c r="H838" s="5"/>
      <c r="I838" s="5"/>
      <c r="K838" s="5"/>
      <c r="M838" s="5"/>
      <c r="N838" s="5"/>
    </row>
    <row r="839">
      <c r="A839" s="8"/>
      <c r="E839" s="4"/>
      <c r="G839" s="5"/>
      <c r="H839" s="5"/>
      <c r="I839" s="5"/>
      <c r="K839" s="5"/>
      <c r="M839" s="5"/>
      <c r="N839" s="5"/>
    </row>
    <row r="840">
      <c r="A840" s="8"/>
      <c r="E840" s="4"/>
      <c r="G840" s="5"/>
      <c r="H840" s="5"/>
      <c r="I840" s="5"/>
      <c r="K840" s="5"/>
      <c r="M840" s="5"/>
      <c r="N840" s="5"/>
    </row>
    <row r="841">
      <c r="A841" s="8"/>
      <c r="E841" s="4"/>
      <c r="G841" s="5"/>
      <c r="H841" s="5"/>
      <c r="I841" s="5"/>
      <c r="K841" s="5"/>
      <c r="M841" s="5"/>
      <c r="N841" s="5"/>
    </row>
    <row r="842">
      <c r="A842" s="8"/>
      <c r="E842" s="4"/>
      <c r="G842" s="5"/>
      <c r="H842" s="5"/>
      <c r="I842" s="5"/>
      <c r="K842" s="5"/>
      <c r="M842" s="5"/>
      <c r="N842" s="5"/>
    </row>
    <row r="843">
      <c r="A843" s="8"/>
      <c r="E843" s="4"/>
      <c r="G843" s="5"/>
      <c r="H843" s="5"/>
      <c r="I843" s="5"/>
      <c r="K843" s="5"/>
      <c r="M843" s="5"/>
      <c r="N843" s="5"/>
    </row>
    <row r="844">
      <c r="A844" s="8"/>
      <c r="E844" s="4"/>
      <c r="G844" s="5"/>
      <c r="H844" s="5"/>
      <c r="I844" s="5"/>
      <c r="K844" s="5"/>
      <c r="M844" s="5"/>
      <c r="N844" s="5"/>
    </row>
    <row r="845">
      <c r="A845" s="8"/>
      <c r="E845" s="4"/>
      <c r="G845" s="5"/>
      <c r="H845" s="5"/>
      <c r="I845" s="5"/>
      <c r="K845" s="5"/>
      <c r="M845" s="5"/>
      <c r="N845" s="5"/>
    </row>
    <row r="846">
      <c r="A846" s="8"/>
      <c r="E846" s="4"/>
      <c r="G846" s="5"/>
      <c r="H846" s="5"/>
      <c r="I846" s="5"/>
      <c r="K846" s="5"/>
      <c r="M846" s="5"/>
      <c r="N846" s="5"/>
    </row>
    <row r="847">
      <c r="A847" s="8"/>
      <c r="E847" s="4"/>
      <c r="G847" s="5"/>
      <c r="H847" s="5"/>
      <c r="I847" s="5"/>
      <c r="K847" s="5"/>
      <c r="M847" s="5"/>
      <c r="N847" s="5"/>
    </row>
    <row r="848">
      <c r="A848" s="8"/>
      <c r="E848" s="4"/>
      <c r="G848" s="5"/>
      <c r="H848" s="5"/>
      <c r="I848" s="5"/>
      <c r="K848" s="5"/>
      <c r="M848" s="5"/>
      <c r="N848" s="5"/>
    </row>
    <row r="849">
      <c r="A849" s="8"/>
      <c r="E849" s="4"/>
      <c r="G849" s="5"/>
      <c r="H849" s="5"/>
      <c r="I849" s="5"/>
      <c r="K849" s="5"/>
      <c r="M849" s="5"/>
      <c r="N849" s="5"/>
    </row>
    <row r="850">
      <c r="A850" s="8"/>
      <c r="E850" s="4"/>
      <c r="G850" s="5"/>
      <c r="H850" s="5"/>
      <c r="I850" s="5"/>
      <c r="K850" s="5"/>
      <c r="M850" s="5"/>
      <c r="N850" s="5"/>
    </row>
    <row r="851">
      <c r="A851" s="8"/>
      <c r="E851" s="4"/>
      <c r="G851" s="5"/>
      <c r="H851" s="5"/>
      <c r="I851" s="5"/>
      <c r="K851" s="5"/>
      <c r="M851" s="5"/>
      <c r="N851" s="5"/>
    </row>
    <row r="852">
      <c r="A852" s="8"/>
      <c r="E852" s="4"/>
      <c r="G852" s="5"/>
      <c r="H852" s="5"/>
      <c r="I852" s="5"/>
      <c r="K852" s="5"/>
      <c r="M852" s="5"/>
      <c r="N852" s="5"/>
    </row>
    <row r="853">
      <c r="A853" s="8"/>
      <c r="E853" s="4"/>
      <c r="G853" s="5"/>
      <c r="H853" s="5"/>
      <c r="I853" s="5"/>
      <c r="K853" s="5"/>
      <c r="M853" s="5"/>
      <c r="N853" s="5"/>
    </row>
    <row r="854">
      <c r="A854" s="8"/>
      <c r="E854" s="4"/>
      <c r="G854" s="5"/>
      <c r="H854" s="5"/>
      <c r="I854" s="5"/>
      <c r="K854" s="5"/>
      <c r="M854" s="5"/>
      <c r="N854" s="5"/>
    </row>
    <row r="855">
      <c r="A855" s="8"/>
      <c r="E855" s="4"/>
      <c r="G855" s="5"/>
      <c r="H855" s="5"/>
      <c r="I855" s="5"/>
      <c r="K855" s="5"/>
      <c r="M855" s="5"/>
      <c r="N855" s="5"/>
    </row>
    <row r="856">
      <c r="A856" s="8"/>
      <c r="E856" s="4"/>
      <c r="G856" s="5"/>
      <c r="H856" s="5"/>
      <c r="I856" s="5"/>
      <c r="K856" s="5"/>
      <c r="M856" s="5"/>
      <c r="N856" s="5"/>
    </row>
    <row r="857">
      <c r="A857" s="8"/>
      <c r="E857" s="4"/>
      <c r="G857" s="5"/>
      <c r="H857" s="5"/>
      <c r="I857" s="5"/>
      <c r="K857" s="5"/>
      <c r="M857" s="5"/>
      <c r="N857" s="5"/>
    </row>
    <row r="858">
      <c r="A858" s="8"/>
      <c r="E858" s="4"/>
      <c r="G858" s="5"/>
      <c r="H858" s="5"/>
      <c r="I858" s="5"/>
      <c r="K858" s="5"/>
      <c r="M858" s="5"/>
      <c r="N858" s="5"/>
    </row>
    <row r="859">
      <c r="A859" s="8"/>
      <c r="E859" s="4"/>
      <c r="G859" s="5"/>
      <c r="H859" s="5"/>
      <c r="I859" s="5"/>
      <c r="K859" s="5"/>
      <c r="M859" s="5"/>
      <c r="N859" s="5"/>
    </row>
    <row r="860">
      <c r="A860" s="8"/>
      <c r="E860" s="4"/>
      <c r="G860" s="5"/>
      <c r="H860" s="5"/>
      <c r="I860" s="5"/>
      <c r="K860" s="5"/>
      <c r="M860" s="5"/>
      <c r="N860" s="5"/>
    </row>
    <row r="861">
      <c r="A861" s="8"/>
      <c r="E861" s="4"/>
      <c r="G861" s="5"/>
      <c r="H861" s="5"/>
      <c r="I861" s="5"/>
      <c r="K861" s="5"/>
      <c r="M861" s="5"/>
      <c r="N861" s="5"/>
    </row>
    <row r="862">
      <c r="A862" s="8"/>
      <c r="E862" s="4"/>
      <c r="G862" s="5"/>
      <c r="H862" s="5"/>
      <c r="I862" s="5"/>
      <c r="K862" s="5"/>
      <c r="M862" s="5"/>
      <c r="N862" s="5"/>
    </row>
    <row r="863">
      <c r="A863" s="8"/>
      <c r="E863" s="4"/>
      <c r="G863" s="5"/>
      <c r="H863" s="5"/>
      <c r="I863" s="5"/>
      <c r="K863" s="5"/>
      <c r="M863" s="5"/>
      <c r="N863" s="5"/>
    </row>
    <row r="864">
      <c r="A864" s="8"/>
      <c r="E864" s="4"/>
      <c r="G864" s="5"/>
      <c r="H864" s="5"/>
      <c r="I864" s="5"/>
      <c r="K864" s="5"/>
      <c r="M864" s="5"/>
      <c r="N864" s="5"/>
    </row>
    <row r="865">
      <c r="A865" s="8"/>
      <c r="E865" s="4"/>
      <c r="G865" s="5"/>
      <c r="H865" s="5"/>
      <c r="I865" s="5"/>
      <c r="K865" s="5"/>
      <c r="M865" s="5"/>
      <c r="N865" s="5"/>
    </row>
    <row r="866">
      <c r="A866" s="8"/>
      <c r="E866" s="4"/>
      <c r="G866" s="5"/>
      <c r="H866" s="5"/>
      <c r="I866" s="5"/>
      <c r="K866" s="5"/>
      <c r="M866" s="5"/>
      <c r="N866" s="5"/>
    </row>
    <row r="867">
      <c r="A867" s="8"/>
      <c r="E867" s="4"/>
      <c r="G867" s="5"/>
      <c r="H867" s="5"/>
      <c r="I867" s="5"/>
      <c r="K867" s="5"/>
      <c r="M867" s="5"/>
      <c r="N867" s="5"/>
    </row>
    <row r="868">
      <c r="A868" s="8"/>
      <c r="E868" s="4"/>
      <c r="G868" s="5"/>
      <c r="H868" s="5"/>
      <c r="I868" s="5"/>
      <c r="K868" s="5"/>
      <c r="M868" s="5"/>
      <c r="N868" s="5"/>
    </row>
    <row r="869">
      <c r="A869" s="8"/>
      <c r="E869" s="4"/>
      <c r="G869" s="5"/>
      <c r="H869" s="5"/>
      <c r="I869" s="5"/>
      <c r="K869" s="5"/>
      <c r="M869" s="5"/>
      <c r="N869" s="5"/>
    </row>
    <row r="870">
      <c r="A870" s="8"/>
      <c r="E870" s="4"/>
      <c r="G870" s="5"/>
      <c r="H870" s="5"/>
      <c r="I870" s="5"/>
      <c r="K870" s="5"/>
      <c r="M870" s="5"/>
      <c r="N870" s="5"/>
    </row>
    <row r="871">
      <c r="A871" s="8"/>
      <c r="E871" s="4"/>
      <c r="G871" s="5"/>
      <c r="H871" s="5"/>
      <c r="I871" s="5"/>
      <c r="K871" s="5"/>
      <c r="M871" s="5"/>
      <c r="N871" s="5"/>
    </row>
    <row r="872">
      <c r="A872" s="8"/>
      <c r="E872" s="4"/>
      <c r="G872" s="5"/>
      <c r="H872" s="5"/>
      <c r="I872" s="5"/>
      <c r="K872" s="5"/>
      <c r="M872" s="5"/>
      <c r="N872" s="5"/>
    </row>
    <row r="873">
      <c r="A873" s="8"/>
      <c r="E873" s="4"/>
      <c r="G873" s="5"/>
      <c r="H873" s="5"/>
      <c r="I873" s="5"/>
      <c r="K873" s="5"/>
      <c r="M873" s="5"/>
      <c r="N873" s="5"/>
    </row>
    <row r="874">
      <c r="A874" s="8"/>
      <c r="E874" s="4"/>
      <c r="G874" s="5"/>
      <c r="H874" s="5"/>
      <c r="I874" s="5"/>
      <c r="K874" s="5"/>
      <c r="M874" s="5"/>
      <c r="N874" s="5"/>
    </row>
    <row r="875">
      <c r="A875" s="8"/>
      <c r="E875" s="4"/>
      <c r="G875" s="5"/>
      <c r="H875" s="5"/>
      <c r="I875" s="5"/>
      <c r="K875" s="5"/>
      <c r="M875" s="5"/>
      <c r="N875" s="5"/>
    </row>
    <row r="876">
      <c r="A876" s="8"/>
      <c r="E876" s="4"/>
      <c r="G876" s="5"/>
      <c r="H876" s="5"/>
      <c r="I876" s="5"/>
      <c r="K876" s="5"/>
      <c r="M876" s="5"/>
      <c r="N876" s="5"/>
    </row>
    <row r="877">
      <c r="A877" s="8"/>
      <c r="E877" s="4"/>
      <c r="G877" s="5"/>
      <c r="H877" s="5"/>
      <c r="I877" s="5"/>
      <c r="K877" s="5"/>
      <c r="M877" s="5"/>
      <c r="N877" s="5"/>
    </row>
    <row r="878">
      <c r="A878" s="8"/>
      <c r="E878" s="4"/>
      <c r="G878" s="5"/>
      <c r="H878" s="5"/>
      <c r="I878" s="5"/>
      <c r="K878" s="5"/>
      <c r="M878" s="5"/>
      <c r="N878" s="5"/>
    </row>
    <row r="879">
      <c r="A879" s="8"/>
      <c r="E879" s="4"/>
      <c r="G879" s="5"/>
      <c r="H879" s="5"/>
      <c r="I879" s="5"/>
      <c r="K879" s="5"/>
      <c r="M879" s="5"/>
      <c r="N879" s="5"/>
    </row>
    <row r="880">
      <c r="A880" s="8"/>
      <c r="E880" s="4"/>
      <c r="G880" s="5"/>
      <c r="H880" s="5"/>
      <c r="I880" s="5"/>
      <c r="K880" s="5"/>
      <c r="M880" s="5"/>
      <c r="N880" s="5"/>
    </row>
    <row r="881">
      <c r="A881" s="8"/>
      <c r="E881" s="4"/>
      <c r="G881" s="5"/>
      <c r="H881" s="5"/>
      <c r="I881" s="5"/>
      <c r="K881" s="5"/>
      <c r="M881" s="5"/>
      <c r="N881" s="5"/>
    </row>
    <row r="882">
      <c r="A882" s="8"/>
      <c r="E882" s="4"/>
      <c r="G882" s="5"/>
      <c r="H882" s="5"/>
      <c r="I882" s="5"/>
      <c r="K882" s="5"/>
      <c r="M882" s="5"/>
      <c r="N882" s="5"/>
    </row>
    <row r="883">
      <c r="A883" s="8"/>
      <c r="E883" s="4"/>
      <c r="G883" s="5"/>
      <c r="H883" s="5"/>
      <c r="I883" s="5"/>
      <c r="K883" s="5"/>
      <c r="M883" s="5"/>
      <c r="N883" s="5"/>
    </row>
    <row r="884">
      <c r="A884" s="8"/>
      <c r="E884" s="4"/>
      <c r="G884" s="5"/>
      <c r="H884" s="5"/>
      <c r="I884" s="5"/>
      <c r="K884" s="5"/>
      <c r="M884" s="5"/>
      <c r="N884" s="5"/>
    </row>
    <row r="885">
      <c r="A885" s="8"/>
      <c r="E885" s="4"/>
      <c r="G885" s="5"/>
      <c r="H885" s="5"/>
      <c r="I885" s="5"/>
      <c r="K885" s="5"/>
      <c r="M885" s="5"/>
      <c r="N885" s="5"/>
    </row>
    <row r="886">
      <c r="A886" s="8"/>
      <c r="E886" s="4"/>
      <c r="G886" s="5"/>
      <c r="H886" s="5"/>
      <c r="I886" s="5"/>
      <c r="K886" s="5"/>
      <c r="M886" s="5"/>
      <c r="N886" s="5"/>
    </row>
    <row r="887">
      <c r="A887" s="8"/>
      <c r="E887" s="4"/>
      <c r="G887" s="5"/>
      <c r="H887" s="5"/>
      <c r="I887" s="5"/>
      <c r="K887" s="5"/>
      <c r="M887" s="5"/>
      <c r="N887" s="5"/>
    </row>
    <row r="888">
      <c r="A888" s="8"/>
      <c r="E888" s="4"/>
      <c r="G888" s="5"/>
      <c r="H888" s="5"/>
      <c r="I888" s="5"/>
      <c r="K888" s="5"/>
      <c r="M888" s="5"/>
      <c r="N888" s="5"/>
    </row>
    <row r="889">
      <c r="A889" s="8"/>
      <c r="E889" s="4"/>
      <c r="G889" s="5"/>
      <c r="H889" s="5"/>
      <c r="I889" s="5"/>
      <c r="K889" s="5"/>
      <c r="M889" s="5"/>
      <c r="N889" s="5"/>
    </row>
    <row r="890">
      <c r="A890" s="8"/>
      <c r="E890" s="4"/>
      <c r="G890" s="5"/>
      <c r="H890" s="5"/>
      <c r="I890" s="5"/>
      <c r="K890" s="5"/>
      <c r="M890" s="5"/>
      <c r="N890" s="5"/>
    </row>
    <row r="891">
      <c r="A891" s="8"/>
      <c r="E891" s="4"/>
      <c r="G891" s="5"/>
      <c r="H891" s="5"/>
      <c r="I891" s="5"/>
      <c r="K891" s="5"/>
      <c r="M891" s="5"/>
      <c r="N891" s="5"/>
    </row>
    <row r="892">
      <c r="A892" s="8"/>
      <c r="E892" s="4"/>
      <c r="G892" s="5"/>
      <c r="H892" s="5"/>
      <c r="I892" s="5"/>
      <c r="K892" s="5"/>
      <c r="M892" s="5"/>
      <c r="N892" s="5"/>
    </row>
    <row r="893">
      <c r="A893" s="8"/>
      <c r="E893" s="4"/>
      <c r="G893" s="5"/>
      <c r="H893" s="5"/>
      <c r="I893" s="5"/>
      <c r="K893" s="5"/>
      <c r="M893" s="5"/>
      <c r="N893" s="5"/>
    </row>
    <row r="894">
      <c r="A894" s="8"/>
      <c r="E894" s="4"/>
      <c r="G894" s="5"/>
      <c r="H894" s="5"/>
      <c r="I894" s="5"/>
      <c r="K894" s="5"/>
      <c r="M894" s="5"/>
      <c r="N894" s="5"/>
    </row>
    <row r="895">
      <c r="A895" s="8"/>
      <c r="E895" s="4"/>
      <c r="G895" s="5"/>
      <c r="H895" s="5"/>
      <c r="I895" s="5"/>
      <c r="K895" s="5"/>
      <c r="M895" s="5"/>
      <c r="N895" s="5"/>
    </row>
    <row r="896">
      <c r="A896" s="8"/>
      <c r="E896" s="4"/>
      <c r="G896" s="5"/>
      <c r="H896" s="5"/>
      <c r="I896" s="5"/>
      <c r="K896" s="5"/>
      <c r="M896" s="5"/>
      <c r="N896" s="5"/>
    </row>
    <row r="897">
      <c r="A897" s="8"/>
      <c r="E897" s="4"/>
      <c r="G897" s="5"/>
      <c r="H897" s="5"/>
      <c r="I897" s="5"/>
      <c r="K897" s="5"/>
      <c r="M897" s="5"/>
      <c r="N897" s="5"/>
    </row>
    <row r="898">
      <c r="A898" s="8"/>
      <c r="E898" s="4"/>
      <c r="G898" s="5"/>
      <c r="H898" s="5"/>
      <c r="I898" s="5"/>
      <c r="K898" s="5"/>
      <c r="M898" s="5"/>
      <c r="N898" s="5"/>
    </row>
    <row r="899">
      <c r="A899" s="8"/>
      <c r="E899" s="4"/>
      <c r="G899" s="5"/>
      <c r="H899" s="5"/>
      <c r="I899" s="5"/>
      <c r="K899" s="5"/>
      <c r="M899" s="5"/>
      <c r="N899" s="5"/>
    </row>
    <row r="900">
      <c r="A900" s="8"/>
      <c r="E900" s="4"/>
      <c r="G900" s="5"/>
      <c r="H900" s="5"/>
      <c r="I900" s="5"/>
      <c r="K900" s="5"/>
      <c r="M900" s="5"/>
      <c r="N900" s="5"/>
    </row>
    <row r="901">
      <c r="A901" s="8"/>
      <c r="E901" s="4"/>
      <c r="G901" s="5"/>
      <c r="H901" s="5"/>
      <c r="I901" s="5"/>
      <c r="K901" s="5"/>
      <c r="M901" s="5"/>
      <c r="N901" s="5"/>
    </row>
    <row r="902">
      <c r="A902" s="8"/>
      <c r="E902" s="4"/>
      <c r="G902" s="5"/>
      <c r="H902" s="5"/>
      <c r="I902" s="5"/>
      <c r="K902" s="5"/>
      <c r="M902" s="5"/>
      <c r="N902" s="5"/>
    </row>
    <row r="903">
      <c r="A903" s="8"/>
      <c r="E903" s="4"/>
      <c r="G903" s="5"/>
      <c r="H903" s="5"/>
      <c r="I903" s="5"/>
      <c r="K903" s="5"/>
      <c r="M903" s="5"/>
      <c r="N903" s="5"/>
    </row>
    <row r="904">
      <c r="A904" s="8"/>
      <c r="E904" s="4"/>
      <c r="G904" s="5"/>
      <c r="H904" s="5"/>
      <c r="I904" s="5"/>
      <c r="K904" s="5"/>
      <c r="M904" s="5"/>
      <c r="N904" s="5"/>
    </row>
    <row r="905">
      <c r="A905" s="8"/>
      <c r="E905" s="4"/>
      <c r="G905" s="5"/>
      <c r="H905" s="5"/>
      <c r="I905" s="5"/>
      <c r="K905" s="5"/>
      <c r="M905" s="5"/>
      <c r="N905" s="5"/>
    </row>
    <row r="906">
      <c r="A906" s="8"/>
      <c r="E906" s="4"/>
      <c r="G906" s="5"/>
      <c r="H906" s="5"/>
      <c r="I906" s="5"/>
      <c r="K906" s="5"/>
      <c r="M906" s="5"/>
      <c r="N906" s="5"/>
    </row>
    <row r="907">
      <c r="A907" s="8"/>
      <c r="E907" s="4"/>
      <c r="G907" s="5"/>
      <c r="H907" s="5"/>
      <c r="I907" s="5"/>
      <c r="K907" s="5"/>
      <c r="M907" s="5"/>
      <c r="N907" s="5"/>
    </row>
    <row r="908">
      <c r="A908" s="8"/>
      <c r="E908" s="4"/>
      <c r="G908" s="5"/>
      <c r="H908" s="5"/>
      <c r="I908" s="5"/>
      <c r="K908" s="5"/>
      <c r="M908" s="5"/>
      <c r="N908" s="5"/>
    </row>
    <row r="909">
      <c r="A909" s="8"/>
      <c r="E909" s="4"/>
      <c r="G909" s="5"/>
      <c r="H909" s="5"/>
      <c r="I909" s="5"/>
      <c r="K909" s="5"/>
      <c r="M909" s="5"/>
      <c r="N909" s="5"/>
    </row>
    <row r="910">
      <c r="A910" s="8"/>
      <c r="E910" s="4"/>
      <c r="G910" s="5"/>
      <c r="H910" s="5"/>
      <c r="I910" s="5"/>
      <c r="K910" s="5"/>
      <c r="M910" s="5"/>
      <c r="N910" s="5"/>
    </row>
    <row r="911">
      <c r="A911" s="8"/>
      <c r="E911" s="4"/>
      <c r="G911" s="5"/>
      <c r="H911" s="5"/>
      <c r="I911" s="5"/>
      <c r="K911" s="5"/>
      <c r="M911" s="5"/>
      <c r="N911" s="5"/>
    </row>
    <row r="912">
      <c r="A912" s="8"/>
      <c r="E912" s="4"/>
      <c r="G912" s="5"/>
      <c r="H912" s="5"/>
      <c r="I912" s="5"/>
      <c r="K912" s="5"/>
      <c r="M912" s="5"/>
      <c r="N912" s="5"/>
    </row>
    <row r="913">
      <c r="A913" s="8"/>
      <c r="E913" s="4"/>
      <c r="G913" s="5"/>
      <c r="H913" s="5"/>
      <c r="I913" s="5"/>
      <c r="K913" s="5"/>
      <c r="M913" s="5"/>
      <c r="N913" s="5"/>
    </row>
    <row r="914">
      <c r="A914" s="8"/>
      <c r="E914" s="4"/>
      <c r="G914" s="5"/>
      <c r="H914" s="5"/>
      <c r="I914" s="5"/>
      <c r="K914" s="5"/>
      <c r="M914" s="5"/>
      <c r="N914" s="5"/>
    </row>
    <row r="915">
      <c r="A915" s="8"/>
      <c r="E915" s="4"/>
      <c r="G915" s="5"/>
      <c r="H915" s="5"/>
      <c r="I915" s="5"/>
      <c r="K915" s="5"/>
      <c r="M915" s="5"/>
      <c r="N915" s="5"/>
    </row>
    <row r="916">
      <c r="A916" s="8"/>
      <c r="E916" s="4"/>
      <c r="G916" s="5"/>
      <c r="H916" s="5"/>
      <c r="I916" s="5"/>
      <c r="K916" s="5"/>
      <c r="M916" s="5"/>
      <c r="N916" s="5"/>
    </row>
    <row r="917">
      <c r="A917" s="8"/>
      <c r="E917" s="4"/>
      <c r="G917" s="5"/>
      <c r="H917" s="5"/>
      <c r="I917" s="5"/>
      <c r="K917" s="5"/>
      <c r="M917" s="5"/>
      <c r="N917" s="5"/>
    </row>
    <row r="918">
      <c r="A918" s="8"/>
      <c r="E918" s="4"/>
      <c r="G918" s="5"/>
      <c r="H918" s="5"/>
      <c r="I918" s="5"/>
      <c r="K918" s="5"/>
      <c r="M918" s="5"/>
      <c r="N918" s="5"/>
    </row>
    <row r="919">
      <c r="A919" s="8"/>
      <c r="E919" s="4"/>
      <c r="G919" s="5"/>
      <c r="H919" s="5"/>
      <c r="I919" s="5"/>
      <c r="K919" s="5"/>
      <c r="M919" s="5"/>
      <c r="N919" s="5"/>
    </row>
    <row r="920">
      <c r="A920" s="8"/>
      <c r="E920" s="4"/>
      <c r="G920" s="5"/>
      <c r="H920" s="5"/>
      <c r="I920" s="5"/>
      <c r="K920" s="5"/>
      <c r="M920" s="5"/>
      <c r="N920" s="5"/>
    </row>
    <row r="921">
      <c r="A921" s="8"/>
      <c r="E921" s="4"/>
      <c r="G921" s="5"/>
      <c r="H921" s="5"/>
      <c r="I921" s="5"/>
      <c r="K921" s="5"/>
      <c r="M921" s="5"/>
      <c r="N921" s="5"/>
    </row>
    <row r="922">
      <c r="A922" s="8"/>
      <c r="E922" s="4"/>
      <c r="G922" s="5"/>
      <c r="H922" s="5"/>
      <c r="I922" s="5"/>
      <c r="K922" s="5"/>
      <c r="M922" s="5"/>
      <c r="N922" s="5"/>
    </row>
    <row r="923">
      <c r="A923" s="8"/>
      <c r="E923" s="4"/>
      <c r="G923" s="5"/>
      <c r="H923" s="5"/>
      <c r="I923" s="5"/>
      <c r="K923" s="5"/>
      <c r="M923" s="5"/>
      <c r="N923" s="5"/>
    </row>
    <row r="924">
      <c r="A924" s="8"/>
      <c r="E924" s="4"/>
      <c r="G924" s="5"/>
      <c r="H924" s="5"/>
      <c r="I924" s="5"/>
      <c r="K924" s="5"/>
      <c r="M924" s="5"/>
      <c r="N924" s="5"/>
    </row>
    <row r="925">
      <c r="A925" s="8"/>
      <c r="E925" s="4"/>
      <c r="G925" s="5"/>
      <c r="H925" s="5"/>
      <c r="I925" s="5"/>
      <c r="K925" s="5"/>
      <c r="M925" s="5"/>
      <c r="N925" s="5"/>
    </row>
    <row r="926">
      <c r="A926" s="8"/>
      <c r="E926" s="4"/>
      <c r="G926" s="5"/>
      <c r="H926" s="5"/>
      <c r="I926" s="5"/>
      <c r="K926" s="5"/>
      <c r="M926" s="5"/>
      <c r="N926" s="5"/>
    </row>
    <row r="927">
      <c r="A927" s="8"/>
      <c r="E927" s="4"/>
      <c r="G927" s="5"/>
      <c r="H927" s="5"/>
      <c r="I927" s="5"/>
      <c r="K927" s="5"/>
      <c r="M927" s="5"/>
      <c r="N927" s="5"/>
    </row>
    <row r="928">
      <c r="A928" s="8"/>
      <c r="E928" s="4"/>
      <c r="G928" s="5"/>
      <c r="H928" s="5"/>
      <c r="I928" s="5"/>
      <c r="K928" s="5"/>
      <c r="M928" s="5"/>
      <c r="N928" s="5"/>
    </row>
    <row r="929">
      <c r="A929" s="8"/>
      <c r="E929" s="4"/>
      <c r="G929" s="5"/>
      <c r="H929" s="5"/>
      <c r="I929" s="5"/>
      <c r="K929" s="5"/>
      <c r="M929" s="5"/>
      <c r="N929" s="5"/>
    </row>
    <row r="930">
      <c r="A930" s="8"/>
      <c r="E930" s="4"/>
      <c r="G930" s="5"/>
      <c r="H930" s="5"/>
      <c r="I930" s="5"/>
      <c r="K930" s="5"/>
      <c r="M930" s="5"/>
      <c r="N930" s="5"/>
    </row>
    <row r="931">
      <c r="A931" s="8"/>
      <c r="E931" s="4"/>
      <c r="G931" s="5"/>
      <c r="H931" s="5"/>
      <c r="I931" s="5"/>
      <c r="K931" s="5"/>
      <c r="M931" s="5"/>
      <c r="N931" s="5"/>
    </row>
    <row r="932">
      <c r="A932" s="8"/>
      <c r="E932" s="4"/>
      <c r="G932" s="5"/>
      <c r="H932" s="5"/>
      <c r="I932" s="5"/>
      <c r="K932" s="5"/>
      <c r="M932" s="5"/>
      <c r="N932" s="5"/>
    </row>
    <row r="933">
      <c r="A933" s="8"/>
      <c r="E933" s="4"/>
      <c r="G933" s="5"/>
      <c r="H933" s="5"/>
      <c r="I933" s="5"/>
      <c r="K933" s="5"/>
      <c r="M933" s="5"/>
      <c r="N933" s="5"/>
    </row>
    <row r="934">
      <c r="A934" s="8"/>
      <c r="E934" s="4"/>
      <c r="G934" s="5"/>
      <c r="H934" s="5"/>
      <c r="I934" s="5"/>
      <c r="K934" s="5"/>
      <c r="M934" s="5"/>
      <c r="N934" s="5"/>
    </row>
    <row r="935">
      <c r="A935" s="8"/>
      <c r="E935" s="4"/>
      <c r="G935" s="5"/>
      <c r="H935" s="5"/>
      <c r="I935" s="5"/>
      <c r="K935" s="5"/>
      <c r="M935" s="5"/>
      <c r="N935" s="5"/>
    </row>
    <row r="936">
      <c r="A936" s="8"/>
      <c r="E936" s="4"/>
      <c r="G936" s="5"/>
      <c r="H936" s="5"/>
      <c r="I936" s="5"/>
      <c r="K936" s="5"/>
      <c r="M936" s="5"/>
      <c r="N936" s="5"/>
    </row>
    <row r="937">
      <c r="A937" s="8"/>
      <c r="E937" s="4"/>
      <c r="G937" s="5"/>
      <c r="H937" s="5"/>
      <c r="I937" s="5"/>
      <c r="K937" s="5"/>
      <c r="M937" s="5"/>
      <c r="N937" s="5"/>
    </row>
    <row r="938">
      <c r="A938" s="8"/>
      <c r="E938" s="4"/>
      <c r="G938" s="5"/>
      <c r="H938" s="5"/>
      <c r="I938" s="5"/>
      <c r="K938" s="5"/>
      <c r="M938" s="5"/>
      <c r="N938" s="5"/>
    </row>
    <row r="939">
      <c r="A939" s="8"/>
      <c r="E939" s="4"/>
      <c r="G939" s="5"/>
      <c r="H939" s="5"/>
      <c r="I939" s="5"/>
      <c r="K939" s="5"/>
      <c r="M939" s="5"/>
      <c r="N939" s="5"/>
    </row>
    <row r="940">
      <c r="A940" s="8"/>
      <c r="E940" s="4"/>
      <c r="G940" s="5"/>
      <c r="H940" s="5"/>
      <c r="I940" s="5"/>
      <c r="K940" s="5"/>
      <c r="M940" s="5"/>
      <c r="N940" s="5"/>
    </row>
    <row r="941">
      <c r="A941" s="8"/>
      <c r="E941" s="4"/>
      <c r="G941" s="5"/>
      <c r="H941" s="5"/>
      <c r="I941" s="5"/>
      <c r="K941" s="5"/>
      <c r="M941" s="5"/>
      <c r="N941" s="5"/>
    </row>
    <row r="942">
      <c r="A942" s="8"/>
      <c r="E942" s="4"/>
      <c r="G942" s="5"/>
      <c r="H942" s="5"/>
      <c r="I942" s="5"/>
      <c r="K942" s="5"/>
      <c r="M942" s="5"/>
      <c r="N942" s="5"/>
    </row>
    <row r="943">
      <c r="A943" s="8"/>
      <c r="E943" s="4"/>
      <c r="G943" s="5"/>
      <c r="H943" s="5"/>
      <c r="I943" s="5"/>
      <c r="K943" s="5"/>
      <c r="M943" s="5"/>
      <c r="N943" s="5"/>
    </row>
    <row r="944">
      <c r="A944" s="8"/>
      <c r="E944" s="4"/>
      <c r="G944" s="5"/>
      <c r="H944" s="5"/>
      <c r="I944" s="5"/>
      <c r="K944" s="5"/>
      <c r="M944" s="5"/>
      <c r="N944" s="5"/>
    </row>
    <row r="945">
      <c r="A945" s="8"/>
      <c r="E945" s="4"/>
      <c r="G945" s="5"/>
      <c r="H945" s="5"/>
      <c r="I945" s="5"/>
      <c r="K945" s="5"/>
      <c r="M945" s="5"/>
      <c r="N945" s="5"/>
    </row>
    <row r="946">
      <c r="A946" s="8"/>
      <c r="E946" s="4"/>
      <c r="G946" s="5"/>
      <c r="H946" s="5"/>
      <c r="I946" s="5"/>
      <c r="K946" s="5"/>
      <c r="M946" s="5"/>
      <c r="N946" s="5"/>
    </row>
    <row r="947">
      <c r="A947" s="8"/>
      <c r="E947" s="4"/>
      <c r="G947" s="5"/>
      <c r="H947" s="5"/>
      <c r="I947" s="5"/>
      <c r="K947" s="5"/>
      <c r="M947" s="5"/>
      <c r="N947" s="5"/>
    </row>
    <row r="948">
      <c r="A948" s="8"/>
      <c r="E948" s="4"/>
      <c r="G948" s="5"/>
      <c r="H948" s="5"/>
      <c r="I948" s="5"/>
      <c r="K948" s="5"/>
      <c r="M948" s="5"/>
      <c r="N948" s="5"/>
    </row>
    <row r="949">
      <c r="A949" s="8"/>
      <c r="E949" s="4"/>
      <c r="G949" s="5"/>
      <c r="H949" s="5"/>
      <c r="I949" s="5"/>
      <c r="K949" s="5"/>
      <c r="M949" s="5"/>
      <c r="N949" s="5"/>
    </row>
    <row r="950">
      <c r="A950" s="8"/>
      <c r="E950" s="4"/>
      <c r="G950" s="5"/>
      <c r="H950" s="5"/>
      <c r="I950" s="5"/>
      <c r="K950" s="5"/>
      <c r="M950" s="5"/>
      <c r="N950" s="5"/>
    </row>
    <row r="951">
      <c r="A951" s="8"/>
      <c r="E951" s="4"/>
      <c r="G951" s="5"/>
      <c r="H951" s="5"/>
      <c r="I951" s="5"/>
      <c r="K951" s="5"/>
      <c r="M951" s="5"/>
      <c r="N951" s="5"/>
    </row>
    <row r="952">
      <c r="A952" s="8"/>
      <c r="E952" s="4"/>
      <c r="G952" s="5"/>
      <c r="H952" s="5"/>
      <c r="I952" s="5"/>
      <c r="K952" s="5"/>
      <c r="M952" s="5"/>
      <c r="N952" s="5"/>
    </row>
    <row r="953">
      <c r="A953" s="8"/>
      <c r="E953" s="4"/>
      <c r="G953" s="5"/>
      <c r="H953" s="5"/>
      <c r="I953" s="5"/>
      <c r="K953" s="5"/>
      <c r="M953" s="5"/>
      <c r="N953" s="5"/>
    </row>
    <row r="954">
      <c r="A954" s="8"/>
      <c r="E954" s="4"/>
      <c r="G954" s="5"/>
      <c r="H954" s="5"/>
      <c r="I954" s="5"/>
      <c r="K954" s="5"/>
      <c r="M954" s="5"/>
      <c r="N954" s="5"/>
    </row>
    <row r="955">
      <c r="A955" s="8"/>
      <c r="E955" s="4"/>
      <c r="G955" s="5"/>
      <c r="H955" s="5"/>
      <c r="I955" s="5"/>
      <c r="K955" s="5"/>
      <c r="M955" s="5"/>
      <c r="N955" s="5"/>
    </row>
    <row r="956">
      <c r="A956" s="8"/>
      <c r="E956" s="4"/>
      <c r="G956" s="5"/>
      <c r="H956" s="5"/>
      <c r="I956" s="5"/>
      <c r="K956" s="5"/>
      <c r="M956" s="5"/>
      <c r="N956" s="5"/>
    </row>
    <row r="957">
      <c r="A957" s="8"/>
      <c r="E957" s="4"/>
      <c r="G957" s="5"/>
      <c r="H957" s="5"/>
      <c r="I957" s="5"/>
      <c r="K957" s="5"/>
      <c r="M957" s="5"/>
      <c r="N957" s="5"/>
    </row>
    <row r="958">
      <c r="A958" s="8"/>
      <c r="E958" s="4"/>
      <c r="G958" s="5"/>
      <c r="H958" s="5"/>
      <c r="I958" s="5"/>
      <c r="K958" s="5"/>
      <c r="M958" s="5"/>
      <c r="N958" s="5"/>
    </row>
    <row r="959">
      <c r="A959" s="8"/>
      <c r="E959" s="4"/>
      <c r="G959" s="5"/>
      <c r="H959" s="5"/>
      <c r="I959" s="5"/>
      <c r="K959" s="5"/>
      <c r="M959" s="5"/>
      <c r="N959" s="5"/>
    </row>
    <row r="960">
      <c r="A960" s="8"/>
      <c r="E960" s="4"/>
      <c r="G960" s="5"/>
      <c r="H960" s="5"/>
      <c r="I960" s="5"/>
      <c r="K960" s="5"/>
      <c r="M960" s="5"/>
      <c r="N960" s="5"/>
    </row>
    <row r="961">
      <c r="A961" s="8"/>
      <c r="E961" s="4"/>
      <c r="G961" s="5"/>
      <c r="H961" s="5"/>
      <c r="I961" s="5"/>
      <c r="K961" s="5"/>
      <c r="M961" s="5"/>
      <c r="N961" s="5"/>
    </row>
    <row r="962">
      <c r="A962" s="8"/>
      <c r="E962" s="4"/>
      <c r="G962" s="5"/>
      <c r="H962" s="5"/>
      <c r="I962" s="5"/>
      <c r="K962" s="5"/>
      <c r="M962" s="5"/>
      <c r="N962" s="5"/>
    </row>
    <row r="963">
      <c r="A963" s="8"/>
      <c r="E963" s="4"/>
      <c r="G963" s="5"/>
      <c r="H963" s="5"/>
      <c r="I963" s="5"/>
      <c r="K963" s="5"/>
      <c r="M963" s="5"/>
      <c r="N963" s="5"/>
    </row>
    <row r="964">
      <c r="A964" s="8"/>
      <c r="E964" s="4"/>
      <c r="G964" s="5"/>
      <c r="H964" s="5"/>
      <c r="I964" s="5"/>
      <c r="K964" s="5"/>
      <c r="M964" s="5"/>
      <c r="N964" s="5"/>
    </row>
    <row r="965">
      <c r="A965" s="8"/>
      <c r="E965" s="4"/>
      <c r="G965" s="5"/>
      <c r="H965" s="5"/>
      <c r="I965" s="5"/>
      <c r="K965" s="5"/>
      <c r="M965" s="5"/>
      <c r="N965" s="5"/>
    </row>
    <row r="966">
      <c r="A966" s="8"/>
      <c r="E966" s="4"/>
      <c r="G966" s="5"/>
      <c r="H966" s="5"/>
      <c r="I966" s="5"/>
      <c r="K966" s="5"/>
      <c r="M966" s="5"/>
      <c r="N966" s="5"/>
    </row>
    <row r="967">
      <c r="A967" s="8"/>
      <c r="E967" s="4"/>
      <c r="G967" s="5"/>
      <c r="H967" s="5"/>
      <c r="I967" s="5"/>
      <c r="K967" s="5"/>
      <c r="M967" s="5"/>
      <c r="N967" s="5"/>
    </row>
    <row r="968">
      <c r="A968" s="8"/>
      <c r="E968" s="4"/>
      <c r="G968" s="5"/>
      <c r="H968" s="5"/>
      <c r="I968" s="5"/>
      <c r="K968" s="5"/>
      <c r="M968" s="5"/>
      <c r="N968" s="5"/>
    </row>
    <row r="969">
      <c r="A969" s="8"/>
      <c r="E969" s="4"/>
      <c r="G969" s="5"/>
      <c r="H969" s="5"/>
      <c r="I969" s="5"/>
      <c r="K969" s="5"/>
      <c r="M969" s="5"/>
      <c r="N969" s="5"/>
    </row>
    <row r="970">
      <c r="A970" s="8"/>
      <c r="E970" s="4"/>
      <c r="G970" s="5"/>
      <c r="H970" s="5"/>
      <c r="I970" s="5"/>
      <c r="K970" s="5"/>
      <c r="M970" s="5"/>
      <c r="N970" s="5"/>
    </row>
    <row r="971">
      <c r="A971" s="8"/>
      <c r="E971" s="4"/>
      <c r="G971" s="5"/>
      <c r="H971" s="5"/>
      <c r="I971" s="5"/>
      <c r="K971" s="5"/>
      <c r="M971" s="5"/>
      <c r="N971" s="5"/>
    </row>
    <row r="972">
      <c r="A972" s="8"/>
      <c r="E972" s="4"/>
      <c r="G972" s="5"/>
      <c r="H972" s="5"/>
      <c r="I972" s="5"/>
      <c r="K972" s="5"/>
      <c r="M972" s="5"/>
      <c r="N972" s="5"/>
    </row>
    <row r="973">
      <c r="A973" s="8"/>
      <c r="E973" s="4"/>
      <c r="G973" s="5"/>
      <c r="H973" s="5"/>
      <c r="I973" s="5"/>
      <c r="K973" s="5"/>
      <c r="M973" s="5"/>
      <c r="N973" s="5"/>
    </row>
    <row r="974">
      <c r="A974" s="8"/>
      <c r="E974" s="4"/>
      <c r="G974" s="5"/>
      <c r="H974" s="5"/>
      <c r="I974" s="5"/>
      <c r="K974" s="5"/>
      <c r="M974" s="5"/>
      <c r="N974" s="5"/>
    </row>
    <row r="975">
      <c r="A975" s="8"/>
      <c r="E975" s="4"/>
      <c r="G975" s="5"/>
      <c r="H975" s="5"/>
      <c r="I975" s="5"/>
      <c r="K975" s="5"/>
      <c r="M975" s="5"/>
      <c r="N975" s="5"/>
    </row>
    <row r="976">
      <c r="A976" s="8"/>
      <c r="E976" s="4"/>
      <c r="G976" s="5"/>
      <c r="H976" s="5"/>
      <c r="I976" s="5"/>
      <c r="K976" s="5"/>
      <c r="M976" s="5"/>
      <c r="N976" s="5"/>
    </row>
    <row r="977">
      <c r="A977" s="8"/>
      <c r="E977" s="4"/>
      <c r="G977" s="5"/>
      <c r="H977" s="5"/>
      <c r="I977" s="5"/>
      <c r="K977" s="5"/>
      <c r="M977" s="5"/>
      <c r="N977" s="5"/>
    </row>
    <row r="978">
      <c r="A978" s="8"/>
      <c r="E978" s="4"/>
      <c r="G978" s="5"/>
      <c r="H978" s="5"/>
      <c r="I978" s="5"/>
      <c r="K978" s="5"/>
      <c r="M978" s="5"/>
      <c r="N978" s="5"/>
    </row>
    <row r="979">
      <c r="A979" s="8"/>
      <c r="E979" s="4"/>
      <c r="G979" s="5"/>
      <c r="H979" s="5"/>
      <c r="I979" s="5"/>
      <c r="K979" s="5"/>
      <c r="M979" s="5"/>
      <c r="N979" s="5"/>
    </row>
    <row r="980">
      <c r="A980" s="8"/>
      <c r="E980" s="4"/>
      <c r="G980" s="5"/>
      <c r="H980" s="5"/>
      <c r="I980" s="5"/>
      <c r="K980" s="5"/>
      <c r="M980" s="5"/>
      <c r="N980" s="5"/>
    </row>
    <row r="981">
      <c r="A981" s="8"/>
      <c r="E981" s="4"/>
      <c r="G981" s="5"/>
      <c r="H981" s="5"/>
      <c r="I981" s="5"/>
      <c r="K981" s="5"/>
      <c r="M981" s="5"/>
      <c r="N981" s="5"/>
    </row>
    <row r="982">
      <c r="A982" s="8"/>
      <c r="E982" s="4"/>
      <c r="G982" s="5"/>
      <c r="H982" s="5"/>
      <c r="I982" s="5"/>
      <c r="K982" s="5"/>
      <c r="M982" s="5"/>
      <c r="N982" s="5"/>
    </row>
    <row r="983">
      <c r="A983" s="8"/>
      <c r="E983" s="4"/>
      <c r="G983" s="5"/>
      <c r="H983" s="5"/>
      <c r="I983" s="5"/>
      <c r="K983" s="5"/>
      <c r="M983" s="5"/>
      <c r="N983" s="5"/>
    </row>
    <row r="984">
      <c r="A984" s="8"/>
      <c r="E984" s="4"/>
      <c r="G984" s="5"/>
      <c r="H984" s="5"/>
      <c r="I984" s="5"/>
      <c r="K984" s="5"/>
      <c r="M984" s="5"/>
      <c r="N984" s="5"/>
    </row>
    <row r="985">
      <c r="A985" s="8"/>
      <c r="E985" s="4"/>
      <c r="G985" s="5"/>
      <c r="H985" s="5"/>
      <c r="I985" s="5"/>
      <c r="K985" s="5"/>
      <c r="M985" s="5"/>
      <c r="N985" s="5"/>
    </row>
    <row r="986">
      <c r="A986" s="8"/>
      <c r="E986" s="4"/>
      <c r="G986" s="5"/>
      <c r="H986" s="5"/>
      <c r="I986" s="5"/>
      <c r="K986" s="5"/>
      <c r="M986" s="5"/>
      <c r="N986" s="5"/>
    </row>
    <row r="987">
      <c r="A987" s="8"/>
      <c r="E987" s="4"/>
      <c r="G987" s="5"/>
      <c r="H987" s="5"/>
      <c r="I987" s="5"/>
      <c r="K987" s="5"/>
      <c r="M987" s="5"/>
      <c r="N987" s="5"/>
    </row>
    <row r="988">
      <c r="A988" s="8"/>
      <c r="E988" s="4"/>
      <c r="G988" s="5"/>
      <c r="H988" s="5"/>
      <c r="I988" s="5"/>
      <c r="K988" s="5"/>
      <c r="M988" s="5"/>
      <c r="N988" s="5"/>
    </row>
    <row r="989">
      <c r="A989" s="8"/>
      <c r="E989" s="4"/>
      <c r="G989" s="5"/>
      <c r="H989" s="5"/>
      <c r="I989" s="5"/>
      <c r="K989" s="5"/>
      <c r="M989" s="5"/>
      <c r="N989" s="5"/>
    </row>
    <row r="990">
      <c r="A990" s="8"/>
      <c r="E990" s="4"/>
      <c r="G990" s="5"/>
      <c r="H990" s="5"/>
      <c r="I990" s="5"/>
      <c r="K990" s="5"/>
      <c r="M990" s="5"/>
      <c r="N990" s="5"/>
    </row>
    <row r="991">
      <c r="A991" s="8"/>
      <c r="E991" s="4"/>
      <c r="G991" s="5"/>
      <c r="H991" s="5"/>
      <c r="I991" s="5"/>
      <c r="K991" s="5"/>
      <c r="M991" s="5"/>
      <c r="N991" s="5"/>
    </row>
    <row r="992">
      <c r="A992" s="8"/>
      <c r="E992" s="4"/>
      <c r="G992" s="5"/>
      <c r="H992" s="5"/>
      <c r="I992" s="5"/>
      <c r="K992" s="5"/>
      <c r="M992" s="5"/>
      <c r="N992" s="5"/>
    </row>
    <row r="993">
      <c r="A993" s="8"/>
      <c r="E993" s="4"/>
      <c r="G993" s="5"/>
      <c r="H993" s="5"/>
      <c r="I993" s="5"/>
      <c r="K993" s="5"/>
      <c r="M993" s="5"/>
      <c r="N993" s="5"/>
    </row>
    <row r="994">
      <c r="A994" s="8"/>
      <c r="E994" s="4"/>
      <c r="G994" s="5"/>
      <c r="H994" s="5"/>
      <c r="I994" s="5"/>
      <c r="K994" s="5"/>
      <c r="M994" s="5"/>
      <c r="N994" s="5"/>
    </row>
    <row r="995">
      <c r="A995" s="8"/>
      <c r="E995" s="4"/>
      <c r="G995" s="5"/>
      <c r="H995" s="5"/>
      <c r="I995" s="5"/>
      <c r="K995" s="5"/>
      <c r="M995" s="5"/>
      <c r="N995" s="5"/>
    </row>
    <row r="996">
      <c r="A996" s="8"/>
      <c r="E996" s="4"/>
      <c r="G996" s="5"/>
      <c r="H996" s="5"/>
      <c r="I996" s="5"/>
      <c r="K996" s="5"/>
      <c r="M996" s="5"/>
      <c r="N996" s="5"/>
    </row>
    <row r="997">
      <c r="A997" s="8"/>
      <c r="E997" s="4"/>
      <c r="G997" s="5"/>
      <c r="H997" s="5"/>
      <c r="I997" s="5"/>
      <c r="K997" s="5"/>
      <c r="M997" s="5"/>
      <c r="N997" s="5"/>
    </row>
    <row r="998">
      <c r="A998" s="8"/>
      <c r="E998" s="4"/>
      <c r="G998" s="5"/>
      <c r="H998" s="5"/>
      <c r="I998" s="5"/>
      <c r="K998" s="5"/>
      <c r="M998" s="5"/>
      <c r="N998" s="5"/>
    </row>
    <row r="999">
      <c r="A999" s="8"/>
      <c r="E999" s="4"/>
      <c r="G999" s="5"/>
      <c r="H999" s="5"/>
      <c r="I999" s="5"/>
      <c r="K999" s="5"/>
      <c r="M999" s="5"/>
      <c r="N999" s="5"/>
    </row>
    <row r="1000">
      <c r="A1000" s="8"/>
      <c r="E1000" s="4"/>
      <c r="G1000" s="5"/>
      <c r="H1000" s="5"/>
      <c r="I1000" s="5"/>
      <c r="K1000" s="5"/>
      <c r="M1000" s="5"/>
      <c r="N1000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8" max="8" width="24.88"/>
  </cols>
  <sheetData>
    <row r="1">
      <c r="A1" s="10" t="s">
        <v>17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18</v>
      </c>
      <c r="G1" s="10" t="s">
        <v>19</v>
      </c>
      <c r="I1" s="7"/>
      <c r="J1" s="7"/>
      <c r="K1" s="7"/>
      <c r="L1" s="7"/>
      <c r="M1" s="7"/>
      <c r="N1" s="7"/>
    </row>
    <row r="2">
      <c r="A2" s="11" t="str">
        <f>IFERROR(__xludf.DUMMYFUNCTION("SORT(
  UNIQUE(
    FILTER(
      Raw!J2:J1000,
      Raw!J2:J1000&lt;&gt;"""",
      Raw!F2:F1000=""3v3""
    )
  )
)
"),"Aferdita + Anbuu + ZeroO")</f>
        <v>Aferdita + Anbuu + ZeroO</v>
      </c>
      <c r="B2" s="3">
        <f>IFERROR(__xludf.DUMMYFUNCTION("IF(A2="""","""", 
  IFERROR(
    ROWS(
      UNIQUE(
        FILTER(
          Raw!A:A,
          Raw!J:J = A2,
          Raw!F:F = ""3v3""
        )
      )
    ),
    0
  )
)"),2.0)</f>
        <v>2</v>
      </c>
      <c r="C2" s="9">
        <f>IFERROR(__xludf.DUMMYFUNCTION("IF(A2="""","""", 
  IFERROR(
    ROWS(
      UNIQUE(
        FILTER(
          Raw!A:A,
          Raw!J:J = A2,
          Raw!I:I = ""win"",
          Raw!F:F = ""3v3""
        )
      )
    ),
    0
  )
)"),1.0)</f>
        <v>1</v>
      </c>
      <c r="D2" s="9">
        <f>IFERROR(__xludf.DUMMYFUNCTION("IF(A2="""","""", 
  IFERROR(
    ROWS(
      UNIQUE(
        FILTER(
          Raw!A:A,
          Raw!J:J = A2,
          Raw!I:I = ""loss"",
          Raw!F:F = ""3v3""
        )
      )
    ),
    0
  )
)"),1.0)</f>
        <v>1</v>
      </c>
      <c r="E2" s="4">
        <f t="array" ref="E2:E1000">IF(A2:A1000="",
   ,
   IF(B2:B1000=0, , C2:C1000 / B2:B1000)
)
</f>
        <v>0.5</v>
      </c>
      <c r="F2" s="5">
        <f>IFERROR(__xludf.DUMMYFUNCTION("IF(A2="""","""", 
  IFERROR(
    AVERAGE(
      UNIQUE(
        FILTER(
          Raw!N:N,
          Raw!J:J = A2,
          Raw!F:F = ""3v3""
        )
      )
    ),
    0
  )
)"),8.0)</f>
        <v>8</v>
      </c>
      <c r="G2" s="5">
        <f>IFERROR(__xludf.DUMMYFUNCTION("IF(A2="""","""", 
  IFERROR(
    AVERAGE(
      UNIQUE(
        FILTER(
          Raw!R:R,
          Raw!J:J = A2,
          Raw!F:F = ""3v3""
        )
      )
    ),
    0
  )
)"),400.0)</f>
        <v>400</v>
      </c>
      <c r="I2" s="5"/>
      <c r="K2" s="5"/>
      <c r="M2" s="5"/>
      <c r="N2" s="5"/>
    </row>
    <row r="3">
      <c r="A3" s="11" t="str">
        <f>IFERROR(__xludf.DUMMYFUNCTION("""COMPUTED_VALUE"""),"Aferdita + Kesny + Malena")</f>
        <v>Aferdita + Kesny + Malena</v>
      </c>
      <c r="B3" s="3">
        <f>IFERROR(__xludf.DUMMYFUNCTION("IF(A3="""","""", 
  IFERROR(
    ROWS(
      UNIQUE(
        FILTER(
          Raw!A:A,
          Raw!J:J = A3,
          Raw!F:F = ""3v3""
        )
      )
    ),
    0
  )
)"),2.0)</f>
        <v>2</v>
      </c>
      <c r="C3" s="9">
        <f>IFERROR(__xludf.DUMMYFUNCTION("IF(A3="""","""", 
  IFERROR(
    ROWS(
      UNIQUE(
        FILTER(
          Raw!A:A,
          Raw!J:J = A3,
          Raw!I:I = ""win"",
          Raw!F:F = ""3v3""
        )
      )
    ),
    0
  )
)"),0.0)</f>
        <v>0</v>
      </c>
      <c r="D3" s="9">
        <f>IFERROR(__xludf.DUMMYFUNCTION("IF(A3="""","""", 
  IFERROR(
    ROWS(
      UNIQUE(
        FILTER(
          Raw!A:A,
          Raw!J:J = A3,
          Raw!I:I = ""loss"",
          Raw!F:F = ""3v3""
        )
      )
    ),
    0
  )
)"),2.0)</f>
        <v>2</v>
      </c>
      <c r="E3" s="4">
        <v>0.0</v>
      </c>
      <c r="F3" s="5">
        <f>IFERROR(__xludf.DUMMYFUNCTION("IF(A3="""","""", 
  IFERROR(
    AVERAGE(
      UNIQUE(
        FILTER(
          Raw!N:N,
          Raw!J:J = A3,
          Raw!F:F = ""3v3""
        )
      )
    ),
    0
  )
)"),7.0)</f>
        <v>7</v>
      </c>
      <c r="G3" s="5">
        <f>IFERROR(__xludf.DUMMYFUNCTION("IF(A3="""","""", 
  IFERROR(
    AVERAGE(
      UNIQUE(
        FILTER(
          Raw!R:R,
          Raw!J:J = A3,
          Raw!F:F = ""3v3""
        )
      )
    ),
    0
  )
)"),377.0)</f>
        <v>377</v>
      </c>
      <c r="I3" s="5"/>
      <c r="K3" s="5"/>
      <c r="M3" s="5"/>
      <c r="N3" s="5"/>
    </row>
    <row r="4">
      <c r="A4" s="11" t="str">
        <f>IFERROR(__xludf.DUMMYFUNCTION("""COMPUTED_VALUE"""),"Aferdita + Kesny + Nebus.")</f>
        <v>Aferdita + Kesny + Nebus.</v>
      </c>
      <c r="B4" s="3">
        <f>IFERROR(__xludf.DUMMYFUNCTION("IF(A4="""","""", 
  IFERROR(
    ROWS(
      UNIQUE(
        FILTER(
          Raw!A:A,
          Raw!J:J = A4,
          Raw!F:F = ""3v3""
        )
      )
    ),
    0
  )
)"),1.0)</f>
        <v>1</v>
      </c>
      <c r="C4" s="9">
        <f>IFERROR(__xludf.DUMMYFUNCTION("IF(A4="""","""", 
  IFERROR(
    ROWS(
      UNIQUE(
        FILTER(
          Raw!A:A,
          Raw!J:J = A4,
          Raw!I:I = ""win"",
          Raw!F:F = ""3v3""
        )
      )
    ),
    0
  )
)"),1.0)</f>
        <v>1</v>
      </c>
      <c r="D4" s="9">
        <f>IFERROR(__xludf.DUMMYFUNCTION("IF(A4="""","""", 
  IFERROR(
    ROWS(
      UNIQUE(
        FILTER(
          Raw!A:A,
          Raw!J:J = A4,
          Raw!I:I = ""loss"",
          Raw!F:F = ""3v3""
        )
      )
    ),
    0
  )
)"),0.0)</f>
        <v>0</v>
      </c>
      <c r="E4" s="4">
        <v>1.0</v>
      </c>
      <c r="F4" s="5">
        <f>IFERROR(__xludf.DUMMYFUNCTION("IF(A4="""","""", 
  IFERROR(
    AVERAGE(
      UNIQUE(
        FILTER(
          Raw!N:N,
          Raw!J:J = A4,
          Raw!F:F = ""3v3""
        )
      )
    ),
    0
  )
)"),10.0)</f>
        <v>10</v>
      </c>
      <c r="G4" s="5">
        <f>IFERROR(__xludf.DUMMYFUNCTION("IF(A4="""","""", 
  IFERROR(
    AVERAGE(
      UNIQUE(
        FILTER(
          Raw!R:R,
          Raw!J:J = A4,
          Raw!F:F = ""3v3""
        )
      )
    ),
    0
  )
)"),444.0)</f>
        <v>444</v>
      </c>
      <c r="I4" s="5"/>
      <c r="K4" s="5"/>
      <c r="M4" s="5"/>
      <c r="N4" s="5"/>
    </row>
    <row r="5">
      <c r="A5" s="11" t="str">
        <f>IFERROR(__xludf.DUMMYFUNCTION("""COMPUTED_VALUE"""),"Aferdita + Kesny + ZeroO")</f>
        <v>Aferdita + Kesny + ZeroO</v>
      </c>
      <c r="B5" s="3">
        <f>IFERROR(__xludf.DUMMYFUNCTION("IF(A5="""","""", 
  IFERROR(
    ROWS(
      UNIQUE(
        FILTER(
          Raw!A:A,
          Raw!J:J = A5,
          Raw!F:F = ""3v3""
        )
      )
    ),
    0
  )
)"),5.0)</f>
        <v>5</v>
      </c>
      <c r="C5" s="9">
        <f>IFERROR(__xludf.DUMMYFUNCTION("IF(A5="""","""", 
  IFERROR(
    ROWS(
      UNIQUE(
        FILTER(
          Raw!A:A,
          Raw!J:J = A5,
          Raw!I:I = ""win"",
          Raw!F:F = ""3v3""
        )
      )
    ),
    0
  )
)"),2.0)</f>
        <v>2</v>
      </c>
      <c r="D5" s="9">
        <f>IFERROR(__xludf.DUMMYFUNCTION("IF(A5="""","""", 
  IFERROR(
    ROWS(
      UNIQUE(
        FILTER(
          Raw!A:A,
          Raw!J:J = A5,
          Raw!I:I = ""loss"",
          Raw!F:F = ""3v3""
        )
      )
    ),
    0
  )
)"),3.0)</f>
        <v>3</v>
      </c>
      <c r="E5" s="4">
        <v>0.4</v>
      </c>
      <c r="F5" s="5">
        <f>IFERROR(__xludf.DUMMYFUNCTION("IF(A5="""","""", 
  IFERROR(
    AVERAGE(
      UNIQUE(
        FILTER(
          Raw!N:N,
          Raw!J:J = A5,
          Raw!F:F = ""3v3""
        )
      )
    ),
    0
  )
)"),7.75)</f>
        <v>7.75</v>
      </c>
      <c r="G5" s="5">
        <f>IFERROR(__xludf.DUMMYFUNCTION("IF(A5="""","""", 
  IFERROR(
    AVERAGE(
      UNIQUE(
        FILTER(
          Raw!R:R,
          Raw!J:J = A5,
          Raw!F:F = ""3v3""
        )
      )
    ),
    0
  )
)"),475.4)</f>
        <v>475.4</v>
      </c>
      <c r="I5" s="5"/>
      <c r="K5" s="5"/>
      <c r="M5" s="5"/>
      <c r="N5" s="5"/>
    </row>
    <row r="6">
      <c r="A6" s="11" t="str">
        <f>IFERROR(__xludf.DUMMYFUNCTION("""COMPUTED_VALUE"""),"Aferdita + Malena + Nebus.")</f>
        <v>Aferdita + Malena + Nebus.</v>
      </c>
      <c r="B6" s="3">
        <f>IFERROR(__xludf.DUMMYFUNCTION("IF(A6="""","""", 
  IFERROR(
    ROWS(
      UNIQUE(
        FILTER(
          Raw!A:A,
          Raw!J:J = A6,
          Raw!F:F = ""3v3""
        )
      )
    ),
    0
  )
)"),1.0)</f>
        <v>1</v>
      </c>
      <c r="C6" s="9">
        <f>IFERROR(__xludf.DUMMYFUNCTION("IF(A6="""","""", 
  IFERROR(
    ROWS(
      UNIQUE(
        FILTER(
          Raw!A:A,
          Raw!J:J = A6,
          Raw!I:I = ""win"",
          Raw!F:F = ""3v3""
        )
      )
    ),
    0
  )
)"),1.0)</f>
        <v>1</v>
      </c>
      <c r="D6" s="9">
        <f>IFERROR(__xludf.DUMMYFUNCTION("IF(A6="""","""", 
  IFERROR(
    ROWS(
      UNIQUE(
        FILTER(
          Raw!A:A,
          Raw!J:J = A6,
          Raw!I:I = ""loss"",
          Raw!F:F = ""3v3""
        )
      )
    ),
    0
  )
)"),0.0)</f>
        <v>0</v>
      </c>
      <c r="E6" s="4">
        <v>1.0</v>
      </c>
      <c r="F6" s="5">
        <f>IFERROR(__xludf.DUMMYFUNCTION("IF(A6="""","""", 
  IFERROR(
    AVERAGE(
      UNIQUE(
        FILTER(
          Raw!N:N,
          Raw!J:J = A6,
          Raw!F:F = ""3v3""
        )
      )
    ),
    0
  )
)"),10.0)</f>
        <v>10</v>
      </c>
      <c r="G6" s="5">
        <f>IFERROR(__xludf.DUMMYFUNCTION("IF(A6="""","""", 
  IFERROR(
    AVERAGE(
      UNIQUE(
        FILTER(
          Raw!R:R,
          Raw!J:J = A6,
          Raw!F:F = ""3v3""
        )
      )
    ),
    0
  )
)"),527.0)</f>
        <v>527</v>
      </c>
      <c r="I6" s="5"/>
      <c r="K6" s="5"/>
      <c r="M6" s="5"/>
      <c r="N6" s="5"/>
    </row>
    <row r="7">
      <c r="A7" s="11" t="str">
        <f>IFERROR(__xludf.DUMMYFUNCTION("""COMPUTED_VALUE"""),"Aferdita + Malena + Tess1509")</f>
        <v>Aferdita + Malena + Tess1509</v>
      </c>
      <c r="B7" s="3">
        <f>IFERROR(__xludf.DUMMYFUNCTION("IF(A7="""","""", 
  IFERROR(
    ROWS(
      UNIQUE(
        FILTER(
          Raw!A:A,
          Raw!J:J = A7,
          Raw!F:F = ""3v3""
        )
      )
    ),
    0
  )
)"),5.0)</f>
        <v>5</v>
      </c>
      <c r="C7" s="9">
        <f>IFERROR(__xludf.DUMMYFUNCTION("IF(A7="""","""", 
  IFERROR(
    ROWS(
      UNIQUE(
        FILTER(
          Raw!A:A,
          Raw!J:J = A7,
          Raw!I:I = ""win"",
          Raw!F:F = ""3v3""
        )
      )
    ),
    0
  )
)"),0.0)</f>
        <v>0</v>
      </c>
      <c r="D7" s="9">
        <f>IFERROR(__xludf.DUMMYFUNCTION("IF(A7="""","""", 
  IFERROR(
    ROWS(
      UNIQUE(
        FILTER(
          Raw!A:A,
          Raw!J:J = A7,
          Raw!I:I = ""loss"",
          Raw!F:F = ""3v3""
        )
      )
    ),
    0
  )
)"),5.0)</f>
        <v>5</v>
      </c>
      <c r="E7" s="4">
        <v>0.0</v>
      </c>
      <c r="F7" s="5">
        <f>IFERROR(__xludf.DUMMYFUNCTION("IF(A7="""","""", 
  IFERROR(
    AVERAGE(
      UNIQUE(
        FILTER(
          Raw!N:N,
          Raw!J:J = A7,
          Raw!F:F = ""3v3""
        )
      )
    ),
    0
  )
)"),3.5)</f>
        <v>3.5</v>
      </c>
      <c r="G7" s="5">
        <f>IFERROR(__xludf.DUMMYFUNCTION("IF(A7="""","""", 
  IFERROR(
    AVERAGE(
      UNIQUE(
        FILTER(
          Raw!R:R,
          Raw!J:J = A7,
          Raw!F:F = ""3v3""
        )
      )
    ),
    0
  )
)"),294.4)</f>
        <v>294.4</v>
      </c>
      <c r="I7" s="5"/>
      <c r="K7" s="5"/>
      <c r="M7" s="5"/>
      <c r="N7" s="5"/>
    </row>
    <row r="8">
      <c r="A8" s="11" t="str">
        <f>IFERROR(__xludf.DUMMYFUNCTION("""COMPUTED_VALUE"""),"Aferdita + Malena + ZeroO")</f>
        <v>Aferdita + Malena + ZeroO</v>
      </c>
      <c r="B8" s="3">
        <f>IFERROR(__xludf.DUMMYFUNCTION("IF(A8="""","""", 
  IFERROR(
    ROWS(
      UNIQUE(
        FILTER(
          Raw!A:A,
          Raw!J:J = A8,
          Raw!F:F = ""3v3""
        )
      )
    ),
    0
  )
)"),1.0)</f>
        <v>1</v>
      </c>
      <c r="C8" s="9">
        <f>IFERROR(__xludf.DUMMYFUNCTION("IF(A8="""","""", 
  IFERROR(
    ROWS(
      UNIQUE(
        FILTER(
          Raw!A:A,
          Raw!J:J = A8,
          Raw!I:I = ""win"",
          Raw!F:F = ""3v3""
        )
      )
    ),
    0
  )
)"),1.0)</f>
        <v>1</v>
      </c>
      <c r="D8" s="9">
        <f>IFERROR(__xludf.DUMMYFUNCTION("IF(A8="""","""", 
  IFERROR(
    ROWS(
      UNIQUE(
        FILTER(
          Raw!A:A,
          Raw!J:J = A8,
          Raw!I:I = ""loss"",
          Raw!F:F = ""3v3""
        )
      )
    ),
    0
  )
)"),0.0)</f>
        <v>0</v>
      </c>
      <c r="E8" s="4">
        <v>1.0</v>
      </c>
      <c r="F8" s="5">
        <f>IFERROR(__xludf.DUMMYFUNCTION("IF(A8="""","""", 
  IFERROR(
    AVERAGE(
      UNIQUE(
        FILTER(
          Raw!N:N,
          Raw!J:J = A8,
          Raw!F:F = ""3v3""
        )
      )
    ),
    0
  )
)"),10.0)</f>
        <v>10</v>
      </c>
      <c r="G8" s="5">
        <f>IFERROR(__xludf.DUMMYFUNCTION("IF(A8="""","""", 
  IFERROR(
    AVERAGE(
      UNIQUE(
        FILTER(
          Raw!R:R,
          Raw!J:J = A8,
          Raw!F:F = ""3v3""
        )
      )
    ),
    0
  )
)"),389.0)</f>
        <v>389</v>
      </c>
      <c r="I8" s="5"/>
      <c r="K8" s="5"/>
      <c r="M8" s="5"/>
      <c r="N8" s="5"/>
    </row>
    <row r="9">
      <c r="A9" s="11" t="str">
        <f>IFERROR(__xludf.DUMMYFUNCTION("""COMPUTED_VALUE"""),"Aferdita + Nebus. + ZeroO")</f>
        <v>Aferdita + Nebus. + ZeroO</v>
      </c>
      <c r="B9" s="3">
        <f>IFERROR(__xludf.DUMMYFUNCTION("IF(A9="""","""", 
  IFERROR(
    ROWS(
      UNIQUE(
        FILTER(
          Raw!A:A,
          Raw!J:J = A9,
          Raw!F:F = ""3v3""
        )
      )
    ),
    0
  )
)"),3.0)</f>
        <v>3</v>
      </c>
      <c r="C9" s="9">
        <f>IFERROR(__xludf.DUMMYFUNCTION("IF(A9="""","""", 
  IFERROR(
    ROWS(
      UNIQUE(
        FILTER(
          Raw!A:A,
          Raw!J:J = A9,
          Raw!I:I = ""win"",
          Raw!F:F = ""3v3""
        )
      )
    ),
    0
  )
)"),3.0)</f>
        <v>3</v>
      </c>
      <c r="D9" s="9">
        <f>IFERROR(__xludf.DUMMYFUNCTION("IF(A9="""","""", 
  IFERROR(
    ROWS(
      UNIQUE(
        FILTER(
          Raw!A:A,
          Raw!J:J = A9,
          Raw!I:I = ""loss"",
          Raw!F:F = ""3v3""
        )
      )
    ),
    0
  )
)"),0.0)</f>
        <v>0</v>
      </c>
      <c r="E9" s="4">
        <v>1.0</v>
      </c>
      <c r="F9" s="5">
        <f>IFERROR(__xludf.DUMMYFUNCTION("IF(A9="""","""", 
  IFERROR(
    AVERAGE(
      UNIQUE(
        FILTER(
          Raw!N:N,
          Raw!J:J = A9,
          Raw!F:F = ""3v3""
        )
      )
    ),
    0
  )
)"),10.0)</f>
        <v>10</v>
      </c>
      <c r="G9" s="5">
        <f>IFERROR(__xludf.DUMMYFUNCTION("IF(A9="""","""", 
  IFERROR(
    AVERAGE(
      UNIQUE(
        FILTER(
          Raw!R:R,
          Raw!J:J = A9,
          Raw!F:F = ""3v3""
        )
      )
    ),
    0
  )
)"),465.6666666666667)</f>
        <v>465.6666667</v>
      </c>
      <c r="I9" s="5"/>
      <c r="K9" s="5"/>
      <c r="M9" s="5"/>
      <c r="N9" s="5"/>
    </row>
    <row r="10">
      <c r="A10" s="11" t="str">
        <f>IFERROR(__xludf.DUMMYFUNCTION("""COMPUTED_VALUE"""),"Anbuu + Aferdita + Malena")</f>
        <v>Anbuu + Aferdita + Malena</v>
      </c>
      <c r="B10" s="3">
        <f>IFERROR(__xludf.DUMMYFUNCTION("IF(A10="""","""", 
  IFERROR(
    ROWS(
      UNIQUE(
        FILTER(
          Raw!A:A,
          Raw!J:J = A10,
          Raw!F:F = ""3v3""
        )
      )
    ),
    0
  )
)"),1.0)</f>
        <v>1</v>
      </c>
      <c r="C10" s="9">
        <f>IFERROR(__xludf.DUMMYFUNCTION("IF(A10="""","""", 
  IFERROR(
    ROWS(
      UNIQUE(
        FILTER(
          Raw!A:A,
          Raw!J:J = A10,
          Raw!I:I = ""win"",
          Raw!F:F = ""3v3""
        )
      )
    ),
    0
  )
)"),1.0)</f>
        <v>1</v>
      </c>
      <c r="D10" s="9">
        <f>IFERROR(__xludf.DUMMYFUNCTION("IF(A10="""","""", 
  IFERROR(
    ROWS(
      UNIQUE(
        FILTER(
          Raw!A:A,
          Raw!J:J = A10,
          Raw!I:I = ""loss"",
          Raw!F:F = ""3v3""
        )
      )
    ),
    0
  )
)"),0.0)</f>
        <v>0</v>
      </c>
      <c r="E10" s="4">
        <v>1.0</v>
      </c>
      <c r="F10" s="5">
        <f>IFERROR(__xludf.DUMMYFUNCTION("IF(A10="""","""", 
  IFERROR(
    AVERAGE(
      UNIQUE(
        FILTER(
          Raw!N:N,
          Raw!J:J = A10,
          Raw!F:F = ""3v3""
        )
      )
    ),
    0
  )
)"),9.0)</f>
        <v>9</v>
      </c>
      <c r="G10" s="5">
        <f>IFERROR(__xludf.DUMMYFUNCTION("IF(A10="""","""", 
  IFERROR(
    AVERAGE(
      UNIQUE(
        FILTER(
          Raw!R:R,
          Raw!J:J = A10,
          Raw!F:F = ""3v3""
        )
      )
    ),
    0
  )
)"),649.0)</f>
        <v>649</v>
      </c>
      <c r="I10" s="5"/>
      <c r="K10" s="5"/>
      <c r="M10" s="5"/>
      <c r="N10" s="5"/>
    </row>
    <row r="11">
      <c r="A11" s="11" t="str">
        <f>IFERROR(__xludf.DUMMYFUNCTION("""COMPUTED_VALUE"""),"Anbuu + Kesny + Malena")</f>
        <v>Anbuu + Kesny + Malena</v>
      </c>
      <c r="B11" s="3">
        <f>IFERROR(__xludf.DUMMYFUNCTION("IF(A11="""","""", 
  IFERROR(
    ROWS(
      UNIQUE(
        FILTER(
          Raw!A:A,
          Raw!J:J = A11,
          Raw!F:F = ""3v3""
        )
      )
    ),
    0
  )
)"),2.0)</f>
        <v>2</v>
      </c>
      <c r="C11" s="9">
        <f>IFERROR(__xludf.DUMMYFUNCTION("IF(A11="""","""", 
  IFERROR(
    ROWS(
      UNIQUE(
        FILTER(
          Raw!A:A,
          Raw!J:J = A11,
          Raw!I:I = ""win"",
          Raw!F:F = ""3v3""
        )
      )
    ),
    0
  )
)"),1.0)</f>
        <v>1</v>
      </c>
      <c r="D11" s="9">
        <f>IFERROR(__xludf.DUMMYFUNCTION("IF(A11="""","""", 
  IFERROR(
    ROWS(
      UNIQUE(
        FILTER(
          Raw!A:A,
          Raw!J:J = A11,
          Raw!I:I = ""loss"",
          Raw!F:F = ""3v3""
        )
      )
    ),
    0
  )
)"),1.0)</f>
        <v>1</v>
      </c>
      <c r="E11" s="4">
        <v>0.5</v>
      </c>
      <c r="F11" s="5">
        <f>IFERROR(__xludf.DUMMYFUNCTION("IF(A11="""","""", 
  IFERROR(
    AVERAGE(
      UNIQUE(
        FILTER(
          Raw!N:N,
          Raw!J:J = A11,
          Raw!F:F = ""3v3""
        )
      )
    ),
    0
  )
)"),9.0)</f>
        <v>9</v>
      </c>
      <c r="G11" s="5">
        <f>IFERROR(__xludf.DUMMYFUNCTION("IF(A11="""","""", 
  IFERROR(
    AVERAGE(
      UNIQUE(
        FILTER(
          Raw!R:R,
          Raw!J:J = A11,
          Raw!F:F = ""3v3""
        )
      )
    ),
    0
  )
)"),707.0)</f>
        <v>707</v>
      </c>
      <c r="I11" s="5"/>
      <c r="K11" s="5"/>
      <c r="M11" s="5"/>
      <c r="N11" s="5"/>
    </row>
    <row r="12">
      <c r="A12" s="11" t="str">
        <f>IFERROR(__xludf.DUMMYFUNCTION("""COMPUTED_VALUE"""),"Anbuu + Kesny + Tess1509")</f>
        <v>Anbuu + Kesny + Tess1509</v>
      </c>
      <c r="B12" s="3">
        <f>IFERROR(__xludf.DUMMYFUNCTION("IF(A12="""","""", 
  IFERROR(
    ROWS(
      UNIQUE(
        FILTER(
          Raw!A:A,
          Raw!J:J = A12,
          Raw!F:F = ""3v3""
        )
      )
    ),
    0
  )
)"),1.0)</f>
        <v>1</v>
      </c>
      <c r="C12" s="9">
        <f>IFERROR(__xludf.DUMMYFUNCTION("IF(A12="""","""", 
  IFERROR(
    ROWS(
      UNIQUE(
        FILTER(
          Raw!A:A,
          Raw!J:J = A12,
          Raw!I:I = ""win"",
          Raw!F:F = ""3v3""
        )
      )
    ),
    0
  )
)"),0.0)</f>
        <v>0</v>
      </c>
      <c r="D12" s="9">
        <f>IFERROR(__xludf.DUMMYFUNCTION("IF(A12="""","""", 
  IFERROR(
    ROWS(
      UNIQUE(
        FILTER(
          Raw!A:A,
          Raw!J:J = A12,
          Raw!I:I = ""loss"",
          Raw!F:F = ""3v3""
        )
      )
    ),
    0
  )
)"),1.0)</f>
        <v>1</v>
      </c>
      <c r="E12" s="4">
        <v>0.0</v>
      </c>
      <c r="F12" s="5">
        <f>IFERROR(__xludf.DUMMYFUNCTION("IF(A12="""","""", 
  IFERROR(
    AVERAGE(
      UNIQUE(
        FILTER(
          Raw!N:N,
          Raw!J:J = A12,
          Raw!F:F = ""3v3""
        )
      )
    ),
    0
  )
)"),5.0)</f>
        <v>5</v>
      </c>
      <c r="G12" s="5">
        <f>IFERROR(__xludf.DUMMYFUNCTION("IF(A12="""","""", 
  IFERROR(
    AVERAGE(
      UNIQUE(
        FILTER(
          Raw!R:R,
          Raw!J:J = A12,
          Raw!F:F = ""3v3""
        )
      )
    ),
    0
  )
)"),356.0)</f>
        <v>356</v>
      </c>
      <c r="I12" s="5"/>
      <c r="K12" s="5"/>
      <c r="M12" s="5"/>
      <c r="N12" s="5"/>
    </row>
    <row r="13">
      <c r="A13" s="11" t="str">
        <f>IFERROR(__xludf.DUMMYFUNCTION("""COMPUTED_VALUE"""),"Anbuu + Kesny + ZeroO")</f>
        <v>Anbuu + Kesny + ZeroO</v>
      </c>
      <c r="B13" s="3">
        <f>IFERROR(__xludf.DUMMYFUNCTION("IF(A13="""","""", 
  IFERROR(
    ROWS(
      UNIQUE(
        FILTER(
          Raw!A:A,
          Raw!J:J = A13,
          Raw!F:F = ""3v3""
        )
      )
    ),
    0
  )
)"),1.0)</f>
        <v>1</v>
      </c>
      <c r="C13" s="9">
        <f>IFERROR(__xludf.DUMMYFUNCTION("IF(A13="""","""", 
  IFERROR(
    ROWS(
      UNIQUE(
        FILTER(
          Raw!A:A,
          Raw!J:J = A13,
          Raw!I:I = ""win"",
          Raw!F:F = ""3v3""
        )
      )
    ),
    0
  )
)"),1.0)</f>
        <v>1</v>
      </c>
      <c r="D13" s="9">
        <f>IFERROR(__xludf.DUMMYFUNCTION("IF(A13="""","""", 
  IFERROR(
    ROWS(
      UNIQUE(
        FILTER(
          Raw!A:A,
          Raw!J:J = A13,
          Raw!I:I = ""loss"",
          Raw!F:F = ""3v3""
        )
      )
    ),
    0
  )
)"),0.0)</f>
        <v>0</v>
      </c>
      <c r="E13" s="4">
        <v>1.0</v>
      </c>
      <c r="F13" s="5">
        <f>IFERROR(__xludf.DUMMYFUNCTION("IF(A13="""","""", 
  IFERROR(
    AVERAGE(
      UNIQUE(
        FILTER(
          Raw!N:N,
          Raw!J:J = A13,
          Raw!F:F = ""3v3""
        )
      )
    ),
    0
  )
)"),10.0)</f>
        <v>10</v>
      </c>
      <c r="G13" s="5">
        <f>IFERROR(__xludf.DUMMYFUNCTION("IF(A13="""","""", 
  IFERROR(
    AVERAGE(
      UNIQUE(
        FILTER(
          Raw!R:R,
          Raw!J:J = A13,
          Raw!F:F = ""3v3""
        )
      )
    ),
    0
  )
)"),427.0)</f>
        <v>427</v>
      </c>
      <c r="I13" s="5"/>
      <c r="K13" s="5"/>
      <c r="M13" s="5"/>
      <c r="N13" s="5"/>
    </row>
    <row r="14">
      <c r="A14" s="11" t="str">
        <f>IFERROR(__xludf.DUMMYFUNCTION("""COMPUTED_VALUE"""),"Anbuu + Malena + Nebus.")</f>
        <v>Anbuu + Malena + Nebus.</v>
      </c>
      <c r="B14" s="3">
        <f>IFERROR(__xludf.DUMMYFUNCTION("IF(A14="""","""", 
  IFERROR(
    ROWS(
      UNIQUE(
        FILTER(
          Raw!A:A,
          Raw!J:J = A14,
          Raw!F:F = ""3v3""
        )
      )
    ),
    0
  )
)"),2.0)</f>
        <v>2</v>
      </c>
      <c r="C14" s="9">
        <f>IFERROR(__xludf.DUMMYFUNCTION("IF(A14="""","""", 
  IFERROR(
    ROWS(
      UNIQUE(
        FILTER(
          Raw!A:A,
          Raw!J:J = A14,
          Raw!I:I = ""win"",
          Raw!F:F = ""3v3""
        )
      )
    ),
    0
  )
)"),2.0)</f>
        <v>2</v>
      </c>
      <c r="D14" s="9">
        <f>IFERROR(__xludf.DUMMYFUNCTION("IF(A14="""","""", 
  IFERROR(
    ROWS(
      UNIQUE(
        FILTER(
          Raw!A:A,
          Raw!J:J = A14,
          Raw!I:I = ""loss"",
          Raw!F:F = ""3v3""
        )
      )
    ),
    0
  )
)"),0.0)</f>
        <v>0</v>
      </c>
      <c r="E14" s="4">
        <v>1.0</v>
      </c>
      <c r="F14" s="5">
        <f>IFERROR(__xludf.DUMMYFUNCTION("IF(A14="""","""", 
  IFERROR(
    AVERAGE(
      UNIQUE(
        FILTER(
          Raw!N:N,
          Raw!J:J = A14,
          Raw!F:F = ""3v3""
        )
      )
    ),
    0
  )
)"),10.0)</f>
        <v>10</v>
      </c>
      <c r="G14" s="5">
        <f>IFERROR(__xludf.DUMMYFUNCTION("IF(A14="""","""", 
  IFERROR(
    AVERAGE(
      UNIQUE(
        FILTER(
          Raw!R:R,
          Raw!J:J = A14,
          Raw!F:F = ""3v3""
        )
      )
    ),
    0
  )
)"),415.5)</f>
        <v>415.5</v>
      </c>
      <c r="H14" s="5"/>
      <c r="I14" s="5"/>
      <c r="K14" s="5"/>
      <c r="M14" s="5"/>
      <c r="N14" s="5"/>
    </row>
    <row r="15">
      <c r="A15" s="11" t="str">
        <f>IFERROR(__xludf.DUMMYFUNCTION("""COMPUTED_VALUE"""),"Anbuu + Malena + ZeroO")</f>
        <v>Anbuu + Malena + ZeroO</v>
      </c>
      <c r="B15" s="3">
        <f>IFERROR(__xludf.DUMMYFUNCTION("IF(A15="""","""", 
  IFERROR(
    ROWS(
      UNIQUE(
        FILTER(
          Raw!A:A,
          Raw!J:J = A15,
          Raw!F:F = ""3v3""
        )
      )
    ),
    0
  )
)"),1.0)</f>
        <v>1</v>
      </c>
      <c r="C15" s="9">
        <f>IFERROR(__xludf.DUMMYFUNCTION("IF(A15="""","""", 
  IFERROR(
    ROWS(
      UNIQUE(
        FILTER(
          Raw!A:A,
          Raw!J:J = A15,
          Raw!I:I = ""win"",
          Raw!F:F = ""3v3""
        )
      )
    ),
    0
  )
)"),1.0)</f>
        <v>1</v>
      </c>
      <c r="D15" s="9">
        <f>IFERROR(__xludf.DUMMYFUNCTION("IF(A15="""","""", 
  IFERROR(
    ROWS(
      UNIQUE(
        FILTER(
          Raw!A:A,
          Raw!J:J = A15,
          Raw!I:I = ""loss"",
          Raw!F:F = ""3v3""
        )
      )
    ),
    0
  )
)"),0.0)</f>
        <v>0</v>
      </c>
      <c r="E15" s="4">
        <v>1.0</v>
      </c>
      <c r="F15" s="5">
        <f>IFERROR(__xludf.DUMMYFUNCTION("IF(A15="""","""", 
  IFERROR(
    AVERAGE(
      UNIQUE(
        FILTER(
          Raw!N:N,
          Raw!J:J = A15,
          Raw!F:F = ""3v3""
        )
      )
    ),
    0
  )
)"),10.0)</f>
        <v>10</v>
      </c>
      <c r="G15" s="5">
        <f>IFERROR(__xludf.DUMMYFUNCTION("IF(A15="""","""", 
  IFERROR(
    AVERAGE(
      UNIQUE(
        FILTER(
          Raw!R:R,
          Raw!J:J = A15,
          Raw!F:F = ""3v3""
        )
      )
    ),
    0
  )
)"),370.0)</f>
        <v>370</v>
      </c>
      <c r="H15" s="5"/>
      <c r="I15" s="5"/>
      <c r="K15" s="5"/>
      <c r="M15" s="5"/>
      <c r="N15" s="5"/>
    </row>
    <row r="16">
      <c r="A16" s="11" t="str">
        <f>IFERROR(__xludf.DUMMYFUNCTION("""COMPUTED_VALUE"""),"Anbuu + Nebus. + ZeroO")</f>
        <v>Anbuu + Nebus. + ZeroO</v>
      </c>
      <c r="B16" s="3">
        <f>IFERROR(__xludf.DUMMYFUNCTION("IF(A16="""","""", 
  IFERROR(
    ROWS(
      UNIQUE(
        FILTER(
          Raw!A:A,
          Raw!J:J = A16,
          Raw!F:F = ""3v3""
        )
      )
    ),
    0
  )
)"),1.0)</f>
        <v>1</v>
      </c>
      <c r="C16" s="9">
        <f>IFERROR(__xludf.DUMMYFUNCTION("IF(A16="""","""", 
  IFERROR(
    ROWS(
      UNIQUE(
        FILTER(
          Raw!A:A,
          Raw!J:J = A16,
          Raw!I:I = ""win"",
          Raw!F:F = ""3v3""
        )
      )
    ),
    0
  )
)"),1.0)</f>
        <v>1</v>
      </c>
      <c r="D16" s="9">
        <f>IFERROR(__xludf.DUMMYFUNCTION("IF(A16="""","""", 
  IFERROR(
    ROWS(
      UNIQUE(
        FILTER(
          Raw!A:A,
          Raw!J:J = A16,
          Raw!I:I = ""loss"",
          Raw!F:F = ""3v3""
        )
      )
    ),
    0
  )
)"),0.0)</f>
        <v>0</v>
      </c>
      <c r="E16" s="4">
        <v>1.0</v>
      </c>
      <c r="F16" s="5">
        <f>IFERROR(__xludf.DUMMYFUNCTION("IF(A16="""","""", 
  IFERROR(
    AVERAGE(
      UNIQUE(
        FILTER(
          Raw!N:N,
          Raw!J:J = A16,
          Raw!F:F = ""3v3""
        )
      )
    ),
    0
  )
)"),10.0)</f>
        <v>10</v>
      </c>
      <c r="G16" s="5">
        <f>IFERROR(__xludf.DUMMYFUNCTION("IF(A16="""","""", 
  IFERROR(
    AVERAGE(
      UNIQUE(
        FILTER(
          Raw!R:R,
          Raw!J:J = A16,
          Raw!F:F = ""3v3""
        )
      )
    ),
    0
  )
)"),401.0)</f>
        <v>401</v>
      </c>
      <c r="H16" s="5"/>
      <c r="I16" s="5"/>
      <c r="K16" s="5"/>
      <c r="M16" s="5"/>
      <c r="N16" s="5"/>
    </row>
    <row r="17">
      <c r="A17" s="11" t="str">
        <f>IFERROR(__xludf.DUMMYFUNCTION("""COMPUTED_VALUE"""),"Anbuu + Troniix + ZeroO")</f>
        <v>Anbuu + Troniix + ZeroO</v>
      </c>
      <c r="B17" s="3">
        <f>IFERROR(__xludf.DUMMYFUNCTION("IF(A17="""","""", 
  IFERROR(
    ROWS(
      UNIQUE(
        FILTER(
          Raw!A:A,
          Raw!J:J = A17,
          Raw!F:F = ""3v3""
        )
      )
    ),
    0
  )
)"),1.0)</f>
        <v>1</v>
      </c>
      <c r="C17" s="9">
        <f>IFERROR(__xludf.DUMMYFUNCTION("IF(A17="""","""", 
  IFERROR(
    ROWS(
      UNIQUE(
        FILTER(
          Raw!A:A,
          Raw!J:J = A17,
          Raw!I:I = ""win"",
          Raw!F:F = ""3v3""
        )
      )
    ),
    0
  )
)"),0.0)</f>
        <v>0</v>
      </c>
      <c r="D17" s="9">
        <f>IFERROR(__xludf.DUMMYFUNCTION("IF(A17="""","""", 
  IFERROR(
    ROWS(
      UNIQUE(
        FILTER(
          Raw!A:A,
          Raw!J:J = A17,
          Raw!I:I = ""loss"",
          Raw!F:F = ""3v3""
        )
      )
    ),
    0
  )
)"),1.0)</f>
        <v>1</v>
      </c>
      <c r="E17" s="4">
        <v>0.0</v>
      </c>
      <c r="F17" s="5">
        <f>IFERROR(__xludf.DUMMYFUNCTION("IF(A17="""","""", 
  IFERROR(
    AVERAGE(
      UNIQUE(
        FILTER(
          Raw!N:N,
          Raw!J:J = A17,
          Raw!F:F = ""3v3""
        )
      )
    ),
    0
  )
)"),4.0)</f>
        <v>4</v>
      </c>
      <c r="G17" s="5">
        <f>IFERROR(__xludf.DUMMYFUNCTION("IF(A17="""","""", 
  IFERROR(
    AVERAGE(
      UNIQUE(
        FILTER(
          Raw!R:R,
          Raw!J:J = A17,
          Raw!F:F = ""3v3""
        )
      )
    ),
    0
  )
)"),450.0)</f>
        <v>450</v>
      </c>
      <c r="H17" s="5"/>
      <c r="I17" s="5"/>
      <c r="K17" s="5"/>
      <c r="M17" s="5"/>
      <c r="N17" s="5"/>
    </row>
    <row r="18">
      <c r="A18" s="11" t="str">
        <f>IFERROR(__xludf.DUMMYFUNCTION("""COMPUTED_VALUE"""),"Kesny + Malena + Nebus.")</f>
        <v>Kesny + Malena + Nebus.</v>
      </c>
      <c r="B18" s="3">
        <f>IFERROR(__xludf.DUMMYFUNCTION("IF(A18="""","""", 
  IFERROR(
    ROWS(
      UNIQUE(
        FILTER(
          Raw!A:A,
          Raw!J:J = A18,
          Raw!F:F = ""3v3""
        )
      )
    ),
    0
  )
)"),3.0)</f>
        <v>3</v>
      </c>
      <c r="C18" s="9">
        <f>IFERROR(__xludf.DUMMYFUNCTION("IF(A18="""","""", 
  IFERROR(
    ROWS(
      UNIQUE(
        FILTER(
          Raw!A:A,
          Raw!J:J = A18,
          Raw!I:I = ""win"",
          Raw!F:F = ""3v3""
        )
      )
    ),
    0
  )
)"),2.0)</f>
        <v>2</v>
      </c>
      <c r="D18" s="9">
        <f>IFERROR(__xludf.DUMMYFUNCTION("IF(A18="""","""", 
  IFERROR(
    ROWS(
      UNIQUE(
        FILTER(
          Raw!A:A,
          Raw!J:J = A18,
          Raw!I:I = ""loss"",
          Raw!F:F = ""3v3""
        )
      )
    ),
    0
  )
)"),1.0)</f>
        <v>1</v>
      </c>
      <c r="E18" s="4">
        <v>0.6666666666666666</v>
      </c>
      <c r="F18" s="5">
        <f>IFERROR(__xludf.DUMMYFUNCTION("IF(A18="""","""", 
  IFERROR(
    AVERAGE(
      UNIQUE(
        FILTER(
          Raw!N:N,
          Raw!J:J = A18,
          Raw!F:F = ""3v3""
        )
      )
    ),
    0
  )
)"),9.5)</f>
        <v>9.5</v>
      </c>
      <c r="G18" s="5">
        <f>IFERROR(__xludf.DUMMYFUNCTION("IF(A18="""","""", 
  IFERROR(
    AVERAGE(
      UNIQUE(
        FILTER(
          Raw!R:R,
          Raw!J:J = A18,
          Raw!F:F = ""3v3""
        )
      )
    ),
    0
  )
)"),445.0)</f>
        <v>445</v>
      </c>
      <c r="H18" s="5"/>
      <c r="I18" s="5"/>
      <c r="K18" s="5"/>
      <c r="M18" s="5"/>
      <c r="N18" s="5"/>
    </row>
    <row r="19">
      <c r="A19" s="11" t="str">
        <f>IFERROR(__xludf.DUMMYFUNCTION("""COMPUTED_VALUE"""),"Kesny + Malena + Tess1509")</f>
        <v>Kesny + Malena + Tess1509</v>
      </c>
      <c r="B19" s="3">
        <f>IFERROR(__xludf.DUMMYFUNCTION("IF(A19="""","""", 
  IFERROR(
    ROWS(
      UNIQUE(
        FILTER(
          Raw!A:A,
          Raw!J:J = A19,
          Raw!F:F = ""3v3""
        )
      )
    ),
    0
  )
)"),4.0)</f>
        <v>4</v>
      </c>
      <c r="C19" s="9">
        <f>IFERROR(__xludf.DUMMYFUNCTION("IF(A19="""","""", 
  IFERROR(
    ROWS(
      UNIQUE(
        FILTER(
          Raw!A:A,
          Raw!J:J = A19,
          Raw!I:I = ""win"",
          Raw!F:F = ""3v3""
        )
      )
    ),
    0
  )
)"),0.0)</f>
        <v>0</v>
      </c>
      <c r="D19" s="9">
        <f>IFERROR(__xludf.DUMMYFUNCTION("IF(A19="""","""", 
  IFERROR(
    ROWS(
      UNIQUE(
        FILTER(
          Raw!A:A,
          Raw!J:J = A19,
          Raw!I:I = ""loss"",
          Raw!F:F = ""3v3""
        )
      )
    ),
    0
  )
)"),4.0)</f>
        <v>4</v>
      </c>
      <c r="E19" s="4">
        <v>0.0</v>
      </c>
      <c r="F19" s="5">
        <f>IFERROR(__xludf.DUMMYFUNCTION("IF(A19="""","""", 
  IFERROR(
    AVERAGE(
      UNIQUE(
        FILTER(
          Raw!N:N,
          Raw!J:J = A19,
          Raw!F:F = ""3v3""
        )
      )
    ),
    0
  )
)"),7.5)</f>
        <v>7.5</v>
      </c>
      <c r="G19" s="5">
        <f>IFERROR(__xludf.DUMMYFUNCTION("IF(A19="""","""", 
  IFERROR(
    AVERAGE(
      UNIQUE(
        FILTER(
          Raw!R:R,
          Raw!J:J = A19,
          Raw!F:F = ""3v3""
        )
      )
    ),
    0
  )
)"),429.5)</f>
        <v>429.5</v>
      </c>
      <c r="H19" s="5"/>
      <c r="I19" s="5"/>
      <c r="K19" s="5"/>
      <c r="M19" s="5"/>
      <c r="N19" s="5"/>
    </row>
    <row r="20">
      <c r="A20" s="11" t="str">
        <f>IFERROR(__xludf.DUMMYFUNCTION("""COMPUTED_VALUE"""),"Kesny + Nebus. + Tess1509")</f>
        <v>Kesny + Nebus. + Tess1509</v>
      </c>
      <c r="B20" s="3">
        <f>IFERROR(__xludf.DUMMYFUNCTION("IF(A20="""","""", 
  IFERROR(
    ROWS(
      UNIQUE(
        FILTER(
          Raw!A:A,
          Raw!J:J = A20,
          Raw!F:F = ""3v3""
        )
      )
    ),
    0
  )
)"),1.0)</f>
        <v>1</v>
      </c>
      <c r="C20" s="9">
        <f>IFERROR(__xludf.DUMMYFUNCTION("IF(A20="""","""", 
  IFERROR(
    ROWS(
      UNIQUE(
        FILTER(
          Raw!A:A,
          Raw!J:J = A20,
          Raw!I:I = ""win"",
          Raw!F:F = ""3v3""
        )
      )
    ),
    0
  )
)"),0.0)</f>
        <v>0</v>
      </c>
      <c r="D20" s="9">
        <f>IFERROR(__xludf.DUMMYFUNCTION("IF(A20="""","""", 
  IFERROR(
    ROWS(
      UNIQUE(
        FILTER(
          Raw!A:A,
          Raw!J:J = A20,
          Raw!I:I = ""loss"",
          Raw!F:F = ""3v3""
        )
      )
    ),
    0
  )
)"),1.0)</f>
        <v>1</v>
      </c>
      <c r="E20" s="4">
        <v>0.0</v>
      </c>
      <c r="F20" s="5">
        <f>IFERROR(__xludf.DUMMYFUNCTION("IF(A20="""","""", 
  IFERROR(
    AVERAGE(
      UNIQUE(
        FILTER(
          Raw!N:N,
          Raw!J:J = A20,
          Raw!F:F = ""3v3""
        )
      )
    ),
    0
  )
)"),5.0)</f>
        <v>5</v>
      </c>
      <c r="G20" s="5">
        <f>IFERROR(__xludf.DUMMYFUNCTION("IF(A20="""","""", 
  IFERROR(
    AVERAGE(
      UNIQUE(
        FILTER(
          Raw!R:R,
          Raw!J:J = A20,
          Raw!F:F = ""3v3""
        )
      )
    ),
    0
  )
)"),283.0)</f>
        <v>283</v>
      </c>
      <c r="H20" s="5"/>
      <c r="I20" s="5"/>
      <c r="K20" s="5"/>
      <c r="M20" s="5"/>
      <c r="N20" s="5"/>
    </row>
    <row r="21">
      <c r="A21" s="11" t="str">
        <f>IFERROR(__xludf.DUMMYFUNCTION("""COMPUTED_VALUE"""),"Kesny + Nebus. + Troniix")</f>
        <v>Kesny + Nebus. + Troniix</v>
      </c>
      <c r="B21" s="3">
        <f>IFERROR(__xludf.DUMMYFUNCTION("IF(A21="""","""", 
  IFERROR(
    ROWS(
      UNIQUE(
        FILTER(
          Raw!A:A,
          Raw!J:J = A21,
          Raw!F:F = ""3v3""
        )
      )
    ),
    0
  )
)"),1.0)</f>
        <v>1</v>
      </c>
      <c r="C21" s="9">
        <f>IFERROR(__xludf.DUMMYFUNCTION("IF(A21="""","""", 
  IFERROR(
    ROWS(
      UNIQUE(
        FILTER(
          Raw!A:A,
          Raw!J:J = A21,
          Raw!I:I = ""win"",
          Raw!F:F = ""3v3""
        )
      )
    ),
    0
  )
)"),0.0)</f>
        <v>0</v>
      </c>
      <c r="D21" s="9">
        <f>IFERROR(__xludf.DUMMYFUNCTION("IF(A21="""","""", 
  IFERROR(
    ROWS(
      UNIQUE(
        FILTER(
          Raw!A:A,
          Raw!J:J = A21,
          Raw!I:I = ""loss"",
          Raw!F:F = ""3v3""
        )
      )
    ),
    0
  )
)"),1.0)</f>
        <v>1</v>
      </c>
      <c r="E21" s="4">
        <v>0.0</v>
      </c>
      <c r="F21" s="5">
        <f>IFERROR(__xludf.DUMMYFUNCTION("IF(A21="""","""", 
  IFERROR(
    AVERAGE(
      UNIQUE(
        FILTER(
          Raw!N:N,
          Raw!J:J = A21,
          Raw!F:F = ""3v3""
        )
      )
    ),
    0
  )
)"),2.0)</f>
        <v>2</v>
      </c>
      <c r="G21" s="5">
        <f>IFERROR(__xludf.DUMMYFUNCTION("IF(A21="""","""", 
  IFERROR(
    AVERAGE(
      UNIQUE(
        FILTER(
          Raw!R:R,
          Raw!J:J = A21,
          Raw!F:F = ""3v3""
        )
      )
    ),
    0
  )
)"),244.0)</f>
        <v>244</v>
      </c>
      <c r="H21" s="5"/>
      <c r="I21" s="5"/>
      <c r="K21" s="5"/>
      <c r="M21" s="5"/>
      <c r="N21" s="5"/>
    </row>
    <row r="22">
      <c r="A22" s="11" t="str">
        <f>IFERROR(__xludf.DUMMYFUNCTION("""COMPUTED_VALUE"""),"Kesny + Nebus. + ZeroO")</f>
        <v>Kesny + Nebus. + ZeroO</v>
      </c>
      <c r="B22" s="3">
        <f>IFERROR(__xludf.DUMMYFUNCTION("IF(A22="""","""", 
  IFERROR(
    ROWS(
      UNIQUE(
        FILTER(
          Raw!A:A,
          Raw!J:J = A22,
          Raw!F:F = ""3v3""
        )
      )
    ),
    0
  )
)"),6.0)</f>
        <v>6</v>
      </c>
      <c r="C22" s="9">
        <f>IFERROR(__xludf.DUMMYFUNCTION("IF(A22="""","""", 
  IFERROR(
    ROWS(
      UNIQUE(
        FILTER(
          Raw!A:A,
          Raw!J:J = A22,
          Raw!I:I = ""win"",
          Raw!F:F = ""3v3""
        )
      )
    ),
    0
  )
)"),5.0)</f>
        <v>5</v>
      </c>
      <c r="D22" s="9">
        <f>IFERROR(__xludf.DUMMYFUNCTION("IF(A22="""","""", 
  IFERROR(
    ROWS(
      UNIQUE(
        FILTER(
          Raw!A:A,
          Raw!J:J = A22,
          Raw!I:I = ""loss"",
          Raw!F:F = ""3v3""
        )
      )
    ),
    0
  )
)"),1.0)</f>
        <v>1</v>
      </c>
      <c r="E22" s="4">
        <v>0.8333333333333334</v>
      </c>
      <c r="F22" s="5">
        <f>IFERROR(__xludf.DUMMYFUNCTION("IF(A22="""","""", 
  IFERROR(
    AVERAGE(
      UNIQUE(
        FILTER(
          Raw!N:N,
          Raw!J:J = A22,
          Raw!F:F = ""3v3""
        )
      )
    ),
    0
  )
)"),9.5)</f>
        <v>9.5</v>
      </c>
      <c r="G22" s="5">
        <f>IFERROR(__xludf.DUMMYFUNCTION("IF(A22="""","""", 
  IFERROR(
    AVERAGE(
      UNIQUE(
        FILTER(
          Raw!R:R,
          Raw!J:J = A22,
          Raw!F:F = ""3v3""
        )
      )
    ),
    0
  )
)"),414.5)</f>
        <v>414.5</v>
      </c>
      <c r="H22" s="5"/>
      <c r="I22" s="5"/>
      <c r="K22" s="5"/>
      <c r="M22" s="5"/>
      <c r="N22" s="5"/>
    </row>
    <row r="23">
      <c r="A23" s="11" t="str">
        <f>IFERROR(__xludf.DUMMYFUNCTION("""COMPUTED_VALUE"""),"Kesny + Tess1509 + ZeroO")</f>
        <v>Kesny + Tess1509 + ZeroO</v>
      </c>
      <c r="B23" s="3">
        <f>IFERROR(__xludf.DUMMYFUNCTION("IF(A23="""","""", 
  IFERROR(
    ROWS(
      UNIQUE(
        FILTER(
          Raw!A:A,
          Raw!J:J = A23,
          Raw!F:F = ""3v3""
        )
      )
    ),
    0
  )
)"),1.0)</f>
        <v>1</v>
      </c>
      <c r="C23" s="9">
        <f>IFERROR(__xludf.DUMMYFUNCTION("IF(A23="""","""", 
  IFERROR(
    ROWS(
      UNIQUE(
        FILTER(
          Raw!A:A,
          Raw!J:J = A23,
          Raw!I:I = ""win"",
          Raw!F:F = ""3v3""
        )
      )
    ),
    0
  )
)"),0.0)</f>
        <v>0</v>
      </c>
      <c r="D23" s="9">
        <f>IFERROR(__xludf.DUMMYFUNCTION("IF(A23="""","""", 
  IFERROR(
    ROWS(
      UNIQUE(
        FILTER(
          Raw!A:A,
          Raw!J:J = A23,
          Raw!I:I = ""loss"",
          Raw!F:F = ""3v3""
        )
      )
    ),
    0
  )
)"),1.0)</f>
        <v>1</v>
      </c>
      <c r="E23" s="4">
        <v>0.0</v>
      </c>
      <c r="F23" s="5">
        <f>IFERROR(__xludf.DUMMYFUNCTION("IF(A23="""","""", 
  IFERROR(
    AVERAGE(
      UNIQUE(
        FILTER(
          Raw!N:N,
          Raw!J:J = A23,
          Raw!F:F = ""3v3""
        )
      )
    ),
    0
  )
)"),8.0)</f>
        <v>8</v>
      </c>
      <c r="G23" s="5">
        <f>IFERROR(__xludf.DUMMYFUNCTION("IF(A23="""","""", 
  IFERROR(
    AVERAGE(
      UNIQUE(
        FILTER(
          Raw!R:R,
          Raw!J:J = A23,
          Raw!F:F = ""3v3""
        )
      )
    ),
    0
  )
)"),577.0)</f>
        <v>577</v>
      </c>
      <c r="H23" s="5"/>
      <c r="I23" s="5"/>
      <c r="K23" s="5"/>
      <c r="M23" s="5"/>
      <c r="N23" s="5"/>
    </row>
    <row r="24">
      <c r="A24" s="11" t="str">
        <f>IFERROR(__xludf.DUMMYFUNCTION("""COMPUTED_VALUE"""),"Kesny + Troniix + ZeroO")</f>
        <v>Kesny + Troniix + ZeroO</v>
      </c>
      <c r="B24" s="3">
        <f>IFERROR(__xludf.DUMMYFUNCTION("IF(A24="""","""", 
  IFERROR(
    ROWS(
      UNIQUE(
        FILTER(
          Raw!A:A,
          Raw!J:J = A24,
          Raw!F:F = ""3v3""
        )
      )
    ),
    0
  )
)"),2.0)</f>
        <v>2</v>
      </c>
      <c r="C24" s="9">
        <f>IFERROR(__xludf.DUMMYFUNCTION("IF(A24="""","""", 
  IFERROR(
    ROWS(
      UNIQUE(
        FILTER(
          Raw!A:A,
          Raw!J:J = A24,
          Raw!I:I = ""win"",
          Raw!F:F = ""3v3""
        )
      )
    ),
    0
  )
)"),0.0)</f>
        <v>0</v>
      </c>
      <c r="D24" s="9">
        <f>IFERROR(__xludf.DUMMYFUNCTION("IF(A24="""","""", 
  IFERROR(
    ROWS(
      UNIQUE(
        FILTER(
          Raw!A:A,
          Raw!J:J = A24,
          Raw!I:I = ""loss"",
          Raw!F:F = ""3v3""
        )
      )
    ),
    0
  )
)"),2.0)</f>
        <v>2</v>
      </c>
      <c r="E24" s="4">
        <v>0.0</v>
      </c>
      <c r="F24" s="5">
        <f>IFERROR(__xludf.DUMMYFUNCTION("IF(A24="""","""", 
  IFERROR(
    AVERAGE(
      UNIQUE(
        FILTER(
          Raw!N:N,
          Raw!J:J = A24,
          Raw!F:F = ""3v3""
        )
      )
    ),
    0
  )
)"),4.0)</f>
        <v>4</v>
      </c>
      <c r="G24" s="5">
        <f>IFERROR(__xludf.DUMMYFUNCTION("IF(A24="""","""", 
  IFERROR(
    AVERAGE(
      UNIQUE(
        FILTER(
          Raw!R:R,
          Raw!J:J = A24,
          Raw!F:F = ""3v3""
        )
      )
    ),
    0
  )
)"),263.0)</f>
        <v>263</v>
      </c>
      <c r="H24" s="5"/>
      <c r="I24" s="5"/>
      <c r="K24" s="5"/>
      <c r="M24" s="5"/>
      <c r="N24" s="5"/>
    </row>
    <row r="25">
      <c r="A25" s="11" t="str">
        <f>IFERROR(__xludf.DUMMYFUNCTION("""COMPUTED_VALUE"""),"Malena + Nebus. + Tess1509")</f>
        <v>Malena + Nebus. + Tess1509</v>
      </c>
      <c r="B25" s="3">
        <f>IFERROR(__xludf.DUMMYFUNCTION("IF(A25="""","""", 
  IFERROR(
    ROWS(
      UNIQUE(
        FILTER(
          Raw!A:A,
          Raw!J:J = A25,
          Raw!F:F = ""3v3""
        )
      )
    ),
    0
  )
)"),5.0)</f>
        <v>5</v>
      </c>
      <c r="C25" s="9">
        <f>IFERROR(__xludf.DUMMYFUNCTION("IF(A25="""","""", 
  IFERROR(
    ROWS(
      UNIQUE(
        FILTER(
          Raw!A:A,
          Raw!J:J = A25,
          Raw!I:I = ""win"",
          Raw!F:F = ""3v3""
        )
      )
    ),
    0
  )
)"),3.0)</f>
        <v>3</v>
      </c>
      <c r="D25" s="9">
        <f>IFERROR(__xludf.DUMMYFUNCTION("IF(A25="""","""", 
  IFERROR(
    ROWS(
      UNIQUE(
        FILTER(
          Raw!A:A,
          Raw!J:J = A25,
          Raw!I:I = ""loss"",
          Raw!F:F = ""3v3""
        )
      )
    ),
    0
  )
)"),2.0)</f>
        <v>2</v>
      </c>
      <c r="E25" s="4">
        <v>0.6</v>
      </c>
      <c r="F25" s="5">
        <f>IFERROR(__xludf.DUMMYFUNCTION("IF(A25="""","""", 
  IFERROR(
    AVERAGE(
      UNIQUE(
        FILTER(
          Raw!N:N,
          Raw!J:J = A25,
          Raw!F:F = ""3v3""
        )
      )
    ),
    0
  )
)"),9.0)</f>
        <v>9</v>
      </c>
      <c r="G25" s="5">
        <f>IFERROR(__xludf.DUMMYFUNCTION("IF(A25="""","""", 
  IFERROR(
    AVERAGE(
      UNIQUE(
        FILTER(
          Raw!R:R,
          Raw!J:J = A25,
          Raw!F:F = ""3v3""
        )
      )
    ),
    0
  )
)"),519.0)</f>
        <v>519</v>
      </c>
      <c r="H25" s="5"/>
      <c r="I25" s="5"/>
      <c r="K25" s="5"/>
      <c r="M25" s="5"/>
      <c r="N25" s="5"/>
    </row>
    <row r="26">
      <c r="A26" s="11" t="str">
        <f>IFERROR(__xludf.DUMMYFUNCTION("""COMPUTED_VALUE"""),"Malena + Nebus. + Troniix")</f>
        <v>Malena + Nebus. + Troniix</v>
      </c>
      <c r="B26" s="3">
        <f>IFERROR(__xludf.DUMMYFUNCTION("IF(A26="""","""", 
  IFERROR(
    ROWS(
      UNIQUE(
        FILTER(
          Raw!A:A,
          Raw!J:J = A26,
          Raw!F:F = ""3v3""
        )
      )
    ),
    0
  )
)"),1.0)</f>
        <v>1</v>
      </c>
      <c r="C26" s="9">
        <f>IFERROR(__xludf.DUMMYFUNCTION("IF(A26="""","""", 
  IFERROR(
    ROWS(
      UNIQUE(
        FILTER(
          Raw!A:A,
          Raw!J:J = A26,
          Raw!I:I = ""win"",
          Raw!F:F = ""3v3""
        )
      )
    ),
    0
  )
)"),0.0)</f>
        <v>0</v>
      </c>
      <c r="D26" s="9">
        <f>IFERROR(__xludf.DUMMYFUNCTION("IF(A26="""","""", 
  IFERROR(
    ROWS(
      UNIQUE(
        FILTER(
          Raw!A:A,
          Raw!J:J = A26,
          Raw!I:I = ""loss"",
          Raw!F:F = ""3v3""
        )
      )
    ),
    0
  )
)"),1.0)</f>
        <v>1</v>
      </c>
      <c r="E26" s="4">
        <v>0.0</v>
      </c>
      <c r="F26" s="5">
        <f>IFERROR(__xludf.DUMMYFUNCTION("IF(A26="""","""", 
  IFERROR(
    AVERAGE(
      UNIQUE(
        FILTER(
          Raw!N:N,
          Raw!J:J = A26,
          Raw!F:F = ""3v3""
        )
      )
    ),
    0
  )
)"),3.0)</f>
        <v>3</v>
      </c>
      <c r="G26" s="5">
        <f>IFERROR(__xludf.DUMMYFUNCTION("IF(A26="""","""", 
  IFERROR(
    AVERAGE(
      UNIQUE(
        FILTER(
          Raw!R:R,
          Raw!J:J = A26,
          Raw!F:F = ""3v3""
        )
      )
    ),
    0
  )
)"),330.0)</f>
        <v>330</v>
      </c>
      <c r="H26" s="5"/>
      <c r="I26" s="5"/>
      <c r="K26" s="5"/>
      <c r="M26" s="5"/>
      <c r="N26" s="5"/>
    </row>
    <row r="27">
      <c r="A27" s="11" t="str">
        <f>IFERROR(__xludf.DUMMYFUNCTION("""COMPUTED_VALUE"""),"Malena + Nebus. + ZeroO")</f>
        <v>Malena + Nebus. + ZeroO</v>
      </c>
      <c r="B27" s="3">
        <f>IFERROR(__xludf.DUMMYFUNCTION("IF(A27="""","""", 
  IFERROR(
    ROWS(
      UNIQUE(
        FILTER(
          Raw!A:A,
          Raw!J:J = A27,
          Raw!F:F = ""3v3""
        )
      )
    ),
    0
  )
)"),1.0)</f>
        <v>1</v>
      </c>
      <c r="C27" s="9">
        <f>IFERROR(__xludf.DUMMYFUNCTION("IF(A27="""","""", 
  IFERROR(
    ROWS(
      UNIQUE(
        FILTER(
          Raw!A:A,
          Raw!J:J = A27,
          Raw!I:I = ""win"",
          Raw!F:F = ""3v3""
        )
      )
    ),
    0
  )
)"),1.0)</f>
        <v>1</v>
      </c>
      <c r="D27" s="9">
        <f>IFERROR(__xludf.DUMMYFUNCTION("IF(A27="""","""", 
  IFERROR(
    ROWS(
      UNIQUE(
        FILTER(
          Raw!A:A,
          Raw!J:J = A27,
          Raw!I:I = ""loss"",
          Raw!F:F = ""3v3""
        )
      )
    ),
    0
  )
)"),0.0)</f>
        <v>0</v>
      </c>
      <c r="E27" s="4">
        <v>1.0</v>
      </c>
      <c r="F27" s="5">
        <f>IFERROR(__xludf.DUMMYFUNCTION("IF(A27="""","""", 
  IFERROR(
    AVERAGE(
      UNIQUE(
        FILTER(
          Raw!N:N,
          Raw!J:J = A27,
          Raw!F:F = ""3v3""
        )
      )
    ),
    0
  )
)"),10.0)</f>
        <v>10</v>
      </c>
      <c r="G27" s="5">
        <f>IFERROR(__xludf.DUMMYFUNCTION("IF(A27="""","""", 
  IFERROR(
    AVERAGE(
      UNIQUE(
        FILTER(
          Raw!R:R,
          Raw!J:J = A27,
          Raw!F:F = ""3v3""
        )
      )
    ),
    0
  )
)"),409.0)</f>
        <v>409</v>
      </c>
      <c r="H27" s="5"/>
      <c r="I27" s="5"/>
      <c r="K27" s="5"/>
      <c r="M27" s="5"/>
      <c r="N27" s="5"/>
    </row>
    <row r="28">
      <c r="A28" s="11" t="str">
        <f>IFERROR(__xludf.DUMMYFUNCTION("""COMPUTED_VALUE"""),"Malena + Tess1509 + ZeroO")</f>
        <v>Malena + Tess1509 + ZeroO</v>
      </c>
      <c r="B28" s="3">
        <f>IFERROR(__xludf.DUMMYFUNCTION("IF(A28="""","""", 
  IFERROR(
    ROWS(
      UNIQUE(
        FILTER(
          Raw!A:A,
          Raw!J:J = A28,
          Raw!F:F = ""3v3""
        )
      )
    ),
    0
  )
)"),1.0)</f>
        <v>1</v>
      </c>
      <c r="C28" s="9">
        <f>IFERROR(__xludf.DUMMYFUNCTION("IF(A28="""","""", 
  IFERROR(
    ROWS(
      UNIQUE(
        FILTER(
          Raw!A:A,
          Raw!J:J = A28,
          Raw!I:I = ""win"",
          Raw!F:F = ""3v3""
        )
      )
    ),
    0
  )
)"),0.0)</f>
        <v>0</v>
      </c>
      <c r="D28" s="9">
        <f>IFERROR(__xludf.DUMMYFUNCTION("IF(A28="""","""", 
  IFERROR(
    ROWS(
      UNIQUE(
        FILTER(
          Raw!A:A,
          Raw!J:J = A28,
          Raw!I:I = ""loss"",
          Raw!F:F = ""3v3""
        )
      )
    ),
    0
  )
)"),1.0)</f>
        <v>1</v>
      </c>
      <c r="E28" s="4">
        <v>0.0</v>
      </c>
      <c r="F28" s="5">
        <f>IFERROR(__xludf.DUMMYFUNCTION("IF(A28="""","""", 
  IFERROR(
    AVERAGE(
      UNIQUE(
        FILTER(
          Raw!N:N,
          Raw!J:J = A28,
          Raw!F:F = ""3v3""
        )
      )
    ),
    0
  )
)"),9.0)</f>
        <v>9</v>
      </c>
      <c r="G28" s="5">
        <f>IFERROR(__xludf.DUMMYFUNCTION("IF(A28="""","""", 
  IFERROR(
    AVERAGE(
      UNIQUE(
        FILTER(
          Raw!R:R,
          Raw!J:J = A28,
          Raw!F:F = ""3v3""
        )
      )
    ),
    0
  )
)"),423.0)</f>
        <v>423</v>
      </c>
      <c r="H28" s="5"/>
      <c r="I28" s="5"/>
      <c r="K28" s="5"/>
      <c r="M28" s="5"/>
      <c r="N28" s="5"/>
    </row>
    <row r="29">
      <c r="A29" s="11" t="str">
        <f>IFERROR(__xludf.DUMMYFUNCTION("""COMPUTED_VALUE"""),"Nebus. + Tess1509 + ZeroO")</f>
        <v>Nebus. + Tess1509 + ZeroO</v>
      </c>
      <c r="B29" s="3">
        <f>IFERROR(__xludf.DUMMYFUNCTION("IF(A29="""","""", 
  IFERROR(
    ROWS(
      UNIQUE(
        FILTER(
          Raw!A:A,
          Raw!J:J = A29,
          Raw!F:F = ""3v3""
        )
      )
    ),
    0
  )
)"),4.0)</f>
        <v>4</v>
      </c>
      <c r="C29" s="9">
        <f>IFERROR(__xludf.DUMMYFUNCTION("IF(A29="""","""", 
  IFERROR(
    ROWS(
      UNIQUE(
        FILTER(
          Raw!A:A,
          Raw!J:J = A29,
          Raw!I:I = ""win"",
          Raw!F:F = ""3v3""
        )
      )
    ),
    0
  )
)"),3.0)</f>
        <v>3</v>
      </c>
      <c r="D29" s="9">
        <f>IFERROR(__xludf.DUMMYFUNCTION("IF(A29="""","""", 
  IFERROR(
    ROWS(
      UNIQUE(
        FILTER(
          Raw!A:A,
          Raw!J:J = A29,
          Raw!I:I = ""loss"",
          Raw!F:F = ""3v3""
        )
      )
    ),
    0
  )
)"),1.0)</f>
        <v>1</v>
      </c>
      <c r="E29" s="4">
        <v>0.75</v>
      </c>
      <c r="F29" s="5">
        <f>IFERROR(__xludf.DUMMYFUNCTION("IF(A29="""","""", 
  IFERROR(
    AVERAGE(
      UNIQUE(
        FILTER(
          Raw!N:N,
          Raw!J:J = A29,
          Raw!F:F = ""3v3""
        )
      )
    ),
    0
  )
)"),9.0)</f>
        <v>9</v>
      </c>
      <c r="G29" s="5">
        <f>IFERROR(__xludf.DUMMYFUNCTION("IF(A29="""","""", 
  IFERROR(
    AVERAGE(
      UNIQUE(
        FILTER(
          Raw!R:R,
          Raw!J:J = A29,
          Raw!F:F = ""3v3""
        )
      )
    ),
    0
  )
)"),566.25)</f>
        <v>566.25</v>
      </c>
      <c r="H29" s="5"/>
      <c r="I29" s="5"/>
      <c r="K29" s="5"/>
      <c r="M29" s="5"/>
      <c r="N29" s="5"/>
    </row>
    <row r="30">
      <c r="A30" s="12"/>
      <c r="B30" s="3" t="str">
        <f>IFERROR(__xludf.DUMMYFUNCTION("IF(A30="""","""", 
  IFERROR(
    ROWS(
      UNIQUE(
        FILTER(
          Raw!A:A,
          Raw!J:J = A30,
          Raw!F:F = ""3v3""
        )
      )
    ),
    0
  )
)"),"")</f>
        <v/>
      </c>
      <c r="C30" s="9" t="str">
        <f>IFERROR(__xludf.DUMMYFUNCTION("IF(A30="""","""", 
  IFERROR(
    ROWS(
      UNIQUE(
        FILTER(
          Raw!A:A,
          Raw!J:J = A30,
          Raw!I:I = ""win"",
          Raw!F:F = ""3v3""
        )
      )
    ),
    0
  )
)"),"")</f>
        <v/>
      </c>
      <c r="D30" s="9" t="str">
        <f>IFERROR(__xludf.DUMMYFUNCTION("IF(A30="""","""", 
  IFERROR(
    ROWS(
      UNIQUE(
        FILTER(
          Raw!A:A,
          Raw!J:J = A30,
          Raw!I:I = ""loss"",
          Raw!F:F = ""3v3""
        )
      )
    ),
    0
  )
)"),"")</f>
        <v/>
      </c>
      <c r="E30" s="4"/>
      <c r="F30" s="5" t="str">
        <f>IFERROR(__xludf.DUMMYFUNCTION("IF(A30="""","""", 
  IFERROR(
    AVERAGE(
      UNIQUE(
        FILTER(
          Raw!N:N,
          Raw!J:J = A30,
          Raw!F:F = ""3v3""
        )
      )
    ),
    0
  )
)"),"")</f>
        <v/>
      </c>
      <c r="G30" s="5" t="str">
        <f>IFERROR(__xludf.DUMMYFUNCTION("IF(A30="""","""", 
  IFERROR(
    AVERAGE(
      UNIQUE(
        FILTER(
          Raw!R:R,
          Raw!J:J = A30,
          Raw!F:F = ""3v3""
        )
      )
    ),
    0
  )
)"),"")</f>
        <v/>
      </c>
      <c r="H30" s="5"/>
      <c r="I30" s="5"/>
      <c r="K30" s="5"/>
      <c r="M30" s="5"/>
      <c r="N30" s="5"/>
    </row>
    <row r="31">
      <c r="A31" s="12"/>
      <c r="B31" s="3" t="str">
        <f>IFERROR(__xludf.DUMMYFUNCTION("IF(A31="""","""", 
  IFERROR(
    ROWS(
      UNIQUE(
        FILTER(
          Raw!A:A,
          Raw!J:J = A31,
          Raw!F:F = ""3v3""
        )
      )
    ),
    0
  )
)"),"")</f>
        <v/>
      </c>
      <c r="C31" s="9" t="str">
        <f>IFERROR(__xludf.DUMMYFUNCTION("IF(A31="""","""", 
  IFERROR(
    ROWS(
      UNIQUE(
        FILTER(
          Raw!A:A,
          Raw!J:J = A31,
          Raw!I:I = ""win"",
          Raw!F:F = ""3v3""
        )
      )
    ),
    0
  )
)"),"")</f>
        <v/>
      </c>
      <c r="D31" s="9" t="str">
        <f>IFERROR(__xludf.DUMMYFUNCTION("IF(A31="""","""", 
  IFERROR(
    ROWS(
      UNIQUE(
        FILTER(
          Raw!A:A,
          Raw!J:J = A31,
          Raw!I:I = ""loss"",
          Raw!F:F = ""3v3""
        )
      )
    ),
    0
  )
)"),"")</f>
        <v/>
      </c>
      <c r="E31" s="4"/>
      <c r="F31" s="5" t="str">
        <f>IFERROR(__xludf.DUMMYFUNCTION("IF(A31="""","""", 
  IFERROR(
    AVERAGE(
      UNIQUE(
        FILTER(
          Raw!N:N,
          Raw!J:J = A31,
          Raw!F:F = ""3v3""
        )
      )
    ),
    0
  )
)"),"")</f>
        <v/>
      </c>
      <c r="G31" s="5" t="str">
        <f>IFERROR(__xludf.DUMMYFUNCTION("IF(A31="""","""", 
  IFERROR(
    AVERAGE(
      UNIQUE(
        FILTER(
          Raw!R:R,
          Raw!J:J = A31,
          Raw!F:F = ""3v3""
        )
      )
    ),
    0
  )
)"),"")</f>
        <v/>
      </c>
      <c r="H31" s="5"/>
      <c r="I31" s="5"/>
      <c r="K31" s="5"/>
      <c r="M31" s="5"/>
      <c r="N31" s="5"/>
    </row>
    <row r="32">
      <c r="A32" s="12"/>
      <c r="B32" s="3" t="str">
        <f>IFERROR(__xludf.DUMMYFUNCTION("IF(A32="""","""", 
  IFERROR(
    ROWS(
      UNIQUE(
        FILTER(
          Raw!A:A,
          Raw!J:J = A32,
          Raw!F:F = ""3v3""
        )
      )
    ),
    0
  )
)"),"")</f>
        <v/>
      </c>
      <c r="C32" s="9" t="str">
        <f>IFERROR(__xludf.DUMMYFUNCTION("IF(A32="""","""", 
  IFERROR(
    ROWS(
      UNIQUE(
        FILTER(
          Raw!A:A,
          Raw!J:J = A32,
          Raw!I:I = ""win"",
          Raw!F:F = ""3v3""
        )
      )
    ),
    0
  )
)"),"")</f>
        <v/>
      </c>
      <c r="D32" s="9" t="str">
        <f>IFERROR(__xludf.DUMMYFUNCTION("IF(A32="""","""", 
  IFERROR(
    ROWS(
      UNIQUE(
        FILTER(
          Raw!A:A,
          Raw!J:J = A32,
          Raw!I:I = ""loss"",
          Raw!F:F = ""3v3""
        )
      )
    ),
    0
  )
)"),"")</f>
        <v/>
      </c>
      <c r="E32" s="4"/>
      <c r="F32" s="5" t="str">
        <f>IFERROR(__xludf.DUMMYFUNCTION("IF(A32="""","""", 
  IFERROR(
    AVERAGE(
      UNIQUE(
        FILTER(
          Raw!N:N,
          Raw!J:J = A32,
          Raw!F:F = ""3v3""
        )
      )
    ),
    0
  )
)"),"")</f>
        <v/>
      </c>
      <c r="G32" s="5" t="str">
        <f>IFERROR(__xludf.DUMMYFUNCTION("IF(A32="""","""", 
  IFERROR(
    AVERAGE(
      UNIQUE(
        FILTER(
          Raw!R:R,
          Raw!J:J = A32,
          Raw!F:F = ""3v3""
        )
      )
    ),
    0
  )
)"),"")</f>
        <v/>
      </c>
      <c r="H32" s="5"/>
      <c r="I32" s="5"/>
      <c r="K32" s="5"/>
      <c r="M32" s="5"/>
      <c r="N32" s="5"/>
    </row>
    <row r="33">
      <c r="A33" s="12"/>
      <c r="B33" s="3" t="str">
        <f>IFERROR(__xludf.DUMMYFUNCTION("IF(A33="""","""", 
  IFERROR(
    ROWS(
      UNIQUE(
        FILTER(
          Raw!A:A,
          Raw!J:J = A33,
          Raw!F:F = ""3v3""
        )
      )
    ),
    0
  )
)"),"")</f>
        <v/>
      </c>
      <c r="C33" s="9" t="str">
        <f>IFERROR(__xludf.DUMMYFUNCTION("IF(A33="""","""", 
  IFERROR(
    ROWS(
      UNIQUE(
        FILTER(
          Raw!A:A,
          Raw!J:J = A33,
          Raw!I:I = ""win"",
          Raw!F:F = ""3v3""
        )
      )
    ),
    0
  )
)"),"")</f>
        <v/>
      </c>
      <c r="D33" s="9" t="str">
        <f>IFERROR(__xludf.DUMMYFUNCTION("IF(A33="""","""", 
  IFERROR(
    ROWS(
      UNIQUE(
        FILTER(
          Raw!A:A,
          Raw!J:J = A33,
          Raw!I:I = ""loss"",
          Raw!F:F = ""3v3""
        )
      )
    ),
    0
  )
)"),"")</f>
        <v/>
      </c>
      <c r="E33" s="4"/>
      <c r="F33" s="5" t="str">
        <f>IFERROR(__xludf.DUMMYFUNCTION("IF(A33="""","""", 
  IFERROR(
    AVERAGE(
      UNIQUE(
        FILTER(
          Raw!N:N,
          Raw!J:J = A33,
          Raw!F:F = ""3v3""
        )
      )
    ),
    0
  )
)"),"")</f>
        <v/>
      </c>
      <c r="G33" s="5" t="str">
        <f>IFERROR(__xludf.DUMMYFUNCTION("IF(A33="""","""", 
  IFERROR(
    AVERAGE(
      UNIQUE(
        FILTER(
          Raw!R:R,
          Raw!J:J = A33,
          Raw!F:F = ""3v3""
        )
      )
    ),
    0
  )
)"),"")</f>
        <v/>
      </c>
      <c r="H33" s="5"/>
      <c r="I33" s="5"/>
      <c r="K33" s="5"/>
      <c r="M33" s="5"/>
      <c r="N33" s="5"/>
    </row>
    <row r="34">
      <c r="A34" s="12"/>
      <c r="B34" s="3" t="str">
        <f>IFERROR(__xludf.DUMMYFUNCTION("IF(A34="""","""", 
  IFERROR(
    ROWS(
      UNIQUE(
        FILTER(
          Raw!A:A,
          Raw!J:J = A34,
          Raw!F:F = ""3v3""
        )
      )
    ),
    0
  )
)"),"")</f>
        <v/>
      </c>
      <c r="C34" s="9" t="str">
        <f>IFERROR(__xludf.DUMMYFUNCTION("IF(A34="""","""", 
  IFERROR(
    ROWS(
      UNIQUE(
        FILTER(
          Raw!A:A,
          Raw!J:J = A34,
          Raw!I:I = ""win"",
          Raw!F:F = ""3v3""
        )
      )
    ),
    0
  )
)"),"")</f>
        <v/>
      </c>
      <c r="D34" s="9" t="str">
        <f>IFERROR(__xludf.DUMMYFUNCTION("IF(A34="""","""", 
  IFERROR(
    ROWS(
      UNIQUE(
        FILTER(
          Raw!A:A,
          Raw!J:J = A34,
          Raw!I:I = ""loss"",
          Raw!F:F = ""3v3""
        )
      )
    ),
    0
  )
)"),"")</f>
        <v/>
      </c>
      <c r="E34" s="4"/>
      <c r="F34" s="5" t="str">
        <f>IFERROR(__xludf.DUMMYFUNCTION("IF(A34="""","""", 
  IFERROR(
    AVERAGE(
      UNIQUE(
        FILTER(
          Raw!N:N,
          Raw!J:J = A34,
          Raw!F:F = ""3v3""
        )
      )
    ),
    0
  )
)"),"")</f>
        <v/>
      </c>
      <c r="G34" s="5" t="str">
        <f>IFERROR(__xludf.DUMMYFUNCTION("IF(A34="""","""", 
  IFERROR(
    AVERAGE(
      UNIQUE(
        FILTER(
          Raw!R:R,
          Raw!J:J = A34,
          Raw!F:F = ""3v3""
        )
      )
    ),
    0
  )
)"),"")</f>
        <v/>
      </c>
      <c r="H34" s="5"/>
      <c r="I34" s="5"/>
      <c r="K34" s="5"/>
      <c r="M34" s="5"/>
      <c r="N34" s="5"/>
    </row>
    <row r="35">
      <c r="A35" s="12"/>
      <c r="B35" s="3" t="str">
        <f>IFERROR(__xludf.DUMMYFUNCTION("IF(A35="""","""", 
  IFERROR(
    ROWS(
      UNIQUE(
        FILTER(
          Raw!A:A,
          Raw!J:J = A35,
          Raw!F:F = ""3v3""
        )
      )
    ),
    0
  )
)"),"")</f>
        <v/>
      </c>
      <c r="C35" s="9" t="str">
        <f>IFERROR(__xludf.DUMMYFUNCTION("IF(A35="""","""", 
  IFERROR(
    ROWS(
      UNIQUE(
        FILTER(
          Raw!A:A,
          Raw!J:J = A35,
          Raw!I:I = ""win"",
          Raw!F:F = ""3v3""
        )
      )
    ),
    0
  )
)"),"")</f>
        <v/>
      </c>
      <c r="D35" s="9" t="str">
        <f>IFERROR(__xludf.DUMMYFUNCTION("IF(A35="""","""", 
  IFERROR(
    ROWS(
      UNIQUE(
        FILTER(
          Raw!A:A,
          Raw!J:J = A35,
          Raw!I:I = ""loss"",
          Raw!F:F = ""3v3""
        )
      )
    ),
    0
  )
)"),"")</f>
        <v/>
      </c>
      <c r="E35" s="4"/>
      <c r="F35" s="5" t="str">
        <f>IFERROR(__xludf.DUMMYFUNCTION("IF(A35="""","""", 
  IFERROR(
    AVERAGE(
      UNIQUE(
        FILTER(
          Raw!N:N,
          Raw!J:J = A35,
          Raw!F:F = ""3v3""
        )
      )
    ),
    0
  )
)"),"")</f>
        <v/>
      </c>
      <c r="G35" s="5" t="str">
        <f>IFERROR(__xludf.DUMMYFUNCTION("IF(A35="""","""", 
  IFERROR(
    AVERAGE(
      UNIQUE(
        FILTER(
          Raw!R:R,
          Raw!J:J = A35,
          Raw!F:F = ""3v3""
        )
      )
    ),
    0
  )
)"),"")</f>
        <v/>
      </c>
      <c r="H35" s="5"/>
      <c r="I35" s="5"/>
      <c r="K35" s="5"/>
      <c r="M35" s="5"/>
      <c r="N35" s="5"/>
    </row>
    <row r="36">
      <c r="A36" s="12"/>
      <c r="B36" s="3" t="str">
        <f>IFERROR(__xludf.DUMMYFUNCTION("IF(A36="""","""", 
  IFERROR(
    ROWS(
      UNIQUE(
        FILTER(
          Raw!A:A,
          Raw!J:J = A36,
          Raw!F:F = ""3v3""
        )
      )
    ),
    0
  )
)"),"")</f>
        <v/>
      </c>
      <c r="C36" s="9" t="str">
        <f>IFERROR(__xludf.DUMMYFUNCTION("IF(A36="""","""", 
  IFERROR(
    ROWS(
      UNIQUE(
        FILTER(
          Raw!A:A,
          Raw!J:J = A36,
          Raw!I:I = ""win"",
          Raw!F:F = ""3v3""
        )
      )
    ),
    0
  )
)"),"")</f>
        <v/>
      </c>
      <c r="D36" s="9" t="str">
        <f>IFERROR(__xludf.DUMMYFUNCTION("IF(A36="""","""", 
  IFERROR(
    ROWS(
      UNIQUE(
        FILTER(
          Raw!A:A,
          Raw!J:J = A36,
          Raw!I:I = ""loss"",
          Raw!F:F = ""3v3""
        )
      )
    ),
    0
  )
)"),"")</f>
        <v/>
      </c>
      <c r="E36" s="4"/>
      <c r="F36" s="5" t="str">
        <f>IFERROR(__xludf.DUMMYFUNCTION("IF(A36="""","""", 
  IFERROR(
    AVERAGE(
      UNIQUE(
        FILTER(
          Raw!N:N,
          Raw!J:J = A36,
          Raw!F:F = ""3v3""
        )
      )
    ),
    0
  )
)"),"")</f>
        <v/>
      </c>
      <c r="G36" s="5" t="str">
        <f>IFERROR(__xludf.DUMMYFUNCTION("IF(A36="""","""", 
  IFERROR(
    AVERAGE(
      UNIQUE(
        FILTER(
          Raw!R:R,
          Raw!J:J = A36,
          Raw!F:F = ""3v3""
        )
      )
    ),
    0
  )
)"),"")</f>
        <v/>
      </c>
      <c r="H36" s="5"/>
      <c r="I36" s="5"/>
      <c r="K36" s="5"/>
      <c r="M36" s="5"/>
      <c r="N36" s="5"/>
    </row>
    <row r="37">
      <c r="A37" s="12"/>
      <c r="B37" s="3" t="str">
        <f>IFERROR(__xludf.DUMMYFUNCTION("IF(A37="""","""", 
  IFERROR(
    ROWS(
      UNIQUE(
        FILTER(
          Raw!A:A,
          Raw!J:J = A37,
          Raw!F:F = ""3v3""
        )
      )
    ),
    0
  )
)"),"")</f>
        <v/>
      </c>
      <c r="C37" s="9" t="str">
        <f>IFERROR(__xludf.DUMMYFUNCTION("IF(A37="""","""", 
  IFERROR(
    ROWS(
      UNIQUE(
        FILTER(
          Raw!A:A,
          Raw!J:J = A37,
          Raw!I:I = ""win"",
          Raw!F:F = ""3v3""
        )
      )
    ),
    0
  )
)"),"")</f>
        <v/>
      </c>
      <c r="D37" s="9" t="str">
        <f>IFERROR(__xludf.DUMMYFUNCTION("IF(A37="""","""", 
  IFERROR(
    ROWS(
      UNIQUE(
        FILTER(
          Raw!A:A,
          Raw!J:J = A37,
          Raw!I:I = ""loss"",
          Raw!F:F = ""3v3""
        )
      )
    ),
    0
  )
)"),"")</f>
        <v/>
      </c>
      <c r="E37" s="4"/>
      <c r="F37" s="5" t="str">
        <f>IFERROR(__xludf.DUMMYFUNCTION("IF(A37="""","""", 
  IFERROR(
    AVERAGE(
      UNIQUE(
        FILTER(
          Raw!N:N,
          Raw!J:J = A37,
          Raw!F:F = ""3v3""
        )
      )
    ),
    0
  )
)"),"")</f>
        <v/>
      </c>
      <c r="G37" s="5" t="str">
        <f>IFERROR(__xludf.DUMMYFUNCTION("IF(A37="""","""", 
  IFERROR(
    AVERAGE(
      UNIQUE(
        FILTER(
          Raw!R:R,
          Raw!J:J = A37,
          Raw!F:F = ""3v3""
        )
      )
    ),
    0
  )
)"),"")</f>
        <v/>
      </c>
      <c r="H37" s="5"/>
      <c r="I37" s="5"/>
      <c r="K37" s="5"/>
      <c r="M37" s="5"/>
      <c r="N37" s="5"/>
    </row>
    <row r="38">
      <c r="A38" s="12"/>
      <c r="B38" s="3" t="str">
        <f>IFERROR(__xludf.DUMMYFUNCTION("IF(A38="""","""", 
  IFERROR(
    ROWS(
      UNIQUE(
        FILTER(
          Raw!A:A,
          Raw!J:J = A38,
          Raw!F:F = ""3v3""
        )
      )
    ),
    0
  )
)"),"")</f>
        <v/>
      </c>
      <c r="C38" s="9" t="str">
        <f>IFERROR(__xludf.DUMMYFUNCTION("IF(A38="""","""", 
  IFERROR(
    ROWS(
      UNIQUE(
        FILTER(
          Raw!A:A,
          Raw!J:J = A38,
          Raw!I:I = ""win"",
          Raw!F:F = ""3v3""
        )
      )
    ),
    0
  )
)"),"")</f>
        <v/>
      </c>
      <c r="D38" s="9" t="str">
        <f>IFERROR(__xludf.DUMMYFUNCTION("IF(A38="""","""", 
  IFERROR(
    ROWS(
      UNIQUE(
        FILTER(
          Raw!A:A,
          Raw!J:J = A38,
          Raw!I:I = ""loss"",
          Raw!F:F = ""3v3""
        )
      )
    ),
    0
  )
)"),"")</f>
        <v/>
      </c>
      <c r="E38" s="4"/>
      <c r="F38" s="5" t="str">
        <f>IFERROR(__xludf.DUMMYFUNCTION("IF(A38="""","""", 
  IFERROR(
    AVERAGE(
      UNIQUE(
        FILTER(
          Raw!N:N,
          Raw!J:J = A38,
          Raw!F:F = ""3v3""
        )
      )
    ),
    0
  )
)"),"")</f>
        <v/>
      </c>
      <c r="G38" s="5" t="str">
        <f>IFERROR(__xludf.DUMMYFUNCTION("IF(A38="""","""", 
  IFERROR(
    AVERAGE(
      UNIQUE(
        FILTER(
          Raw!R:R,
          Raw!J:J = A38,
          Raw!F:F = ""3v3""
        )
      )
    ),
    0
  )
)"),"")</f>
        <v/>
      </c>
      <c r="H38" s="5"/>
      <c r="I38" s="5"/>
      <c r="K38" s="5"/>
      <c r="M38" s="5"/>
      <c r="N38" s="5"/>
    </row>
    <row r="39">
      <c r="A39" s="12"/>
      <c r="B39" s="3" t="str">
        <f>IFERROR(__xludf.DUMMYFUNCTION("IF(A39="""","""", 
  IFERROR(
    ROWS(
      UNIQUE(
        FILTER(
          Raw!A:A,
          Raw!J:J = A39,
          Raw!F:F = ""3v3""
        )
      )
    ),
    0
  )
)"),"")</f>
        <v/>
      </c>
      <c r="C39" s="9" t="str">
        <f>IFERROR(__xludf.DUMMYFUNCTION("IF(A39="""","""", 
  IFERROR(
    ROWS(
      UNIQUE(
        FILTER(
          Raw!A:A,
          Raw!J:J = A39,
          Raw!I:I = ""win"",
          Raw!F:F = ""3v3""
        )
      )
    ),
    0
  )
)"),"")</f>
        <v/>
      </c>
      <c r="D39" s="9" t="str">
        <f>IFERROR(__xludf.DUMMYFUNCTION("IF(A39="""","""", 
  IFERROR(
    ROWS(
      UNIQUE(
        FILTER(
          Raw!A:A,
          Raw!J:J = A39,
          Raw!I:I = ""loss"",
          Raw!F:F = ""3v3""
        )
      )
    ),
    0
  )
)"),"")</f>
        <v/>
      </c>
      <c r="E39" s="4"/>
      <c r="F39" s="5" t="str">
        <f>IFERROR(__xludf.DUMMYFUNCTION("IF(A39="""","""", 
  IFERROR(
    AVERAGE(
      UNIQUE(
        FILTER(
          Raw!N:N,
          Raw!J:J = A39,
          Raw!F:F = ""3v3""
        )
      )
    ),
    0
  )
)"),"")</f>
        <v/>
      </c>
      <c r="G39" s="5" t="str">
        <f>IFERROR(__xludf.DUMMYFUNCTION("IF(A39="""","""", 
  IFERROR(
    AVERAGE(
      UNIQUE(
        FILTER(
          Raw!R:R,
          Raw!J:J = A39,
          Raw!F:F = ""3v3""
        )
      )
    ),
    0
  )
)"),"")</f>
        <v/>
      </c>
      <c r="H39" s="5"/>
      <c r="I39" s="5"/>
      <c r="K39" s="5"/>
      <c r="M39" s="5"/>
      <c r="N39" s="5"/>
    </row>
    <row r="40">
      <c r="A40" s="12"/>
      <c r="B40" s="3" t="str">
        <f>IFERROR(__xludf.DUMMYFUNCTION("IF(A40="""","""", 
  IFERROR(
    ROWS(
      UNIQUE(
        FILTER(
          Raw!A:A,
          Raw!J:J = A40,
          Raw!F:F = ""3v3""
        )
      )
    ),
    0
  )
)"),"")</f>
        <v/>
      </c>
      <c r="C40" s="9" t="str">
        <f>IFERROR(__xludf.DUMMYFUNCTION("IF(A40="""","""", 
  IFERROR(
    ROWS(
      UNIQUE(
        FILTER(
          Raw!A:A,
          Raw!J:J = A40,
          Raw!I:I = ""win"",
          Raw!F:F = ""3v3""
        )
      )
    ),
    0
  )
)"),"")</f>
        <v/>
      </c>
      <c r="D40" s="9" t="str">
        <f>IFERROR(__xludf.DUMMYFUNCTION("IF(A40="""","""", 
  IFERROR(
    ROWS(
      UNIQUE(
        FILTER(
          Raw!A:A,
          Raw!J:J = A40,
          Raw!I:I = ""loss"",
          Raw!F:F = ""3v3""
        )
      )
    ),
    0
  )
)"),"")</f>
        <v/>
      </c>
      <c r="E40" s="4"/>
      <c r="F40" s="5" t="str">
        <f>IFERROR(__xludf.DUMMYFUNCTION("IF(A40="""","""", 
  IFERROR(
    AVERAGE(
      UNIQUE(
        FILTER(
          Raw!N:N,
          Raw!J:J = A40,
          Raw!F:F = ""3v3""
        )
      )
    ),
    0
  )
)"),"")</f>
        <v/>
      </c>
      <c r="G40" s="5" t="str">
        <f>IFERROR(__xludf.DUMMYFUNCTION("IF(A40="""","""", 
  IFERROR(
    AVERAGE(
      UNIQUE(
        FILTER(
          Raw!R:R,
          Raw!J:J = A40,
          Raw!F:F = ""3v3""
        )
      )
    ),
    0
  )
)"),"")</f>
        <v/>
      </c>
      <c r="H40" s="5"/>
      <c r="I40" s="5"/>
      <c r="K40" s="5"/>
      <c r="M40" s="5"/>
      <c r="N40" s="5"/>
    </row>
    <row r="41">
      <c r="A41" s="12"/>
      <c r="B41" s="3" t="str">
        <f>IFERROR(__xludf.DUMMYFUNCTION("IF(A41="""","""", 
  IFERROR(
    ROWS(
      UNIQUE(
        FILTER(
          Raw!A:A,
          Raw!J:J = A41,
          Raw!F:F = ""3v3""
        )
      )
    ),
    0
  )
)"),"")</f>
        <v/>
      </c>
      <c r="C41" s="9" t="str">
        <f>IFERROR(__xludf.DUMMYFUNCTION("IF(A41="""","""", 
  IFERROR(
    ROWS(
      UNIQUE(
        FILTER(
          Raw!A:A,
          Raw!J:J = A41,
          Raw!I:I = ""win"",
          Raw!F:F = ""3v3""
        )
      )
    ),
    0
  )
)"),"")</f>
        <v/>
      </c>
      <c r="D41" s="9" t="str">
        <f>IFERROR(__xludf.DUMMYFUNCTION("IF(A41="""","""", 
  IFERROR(
    ROWS(
      UNIQUE(
        FILTER(
          Raw!A:A,
          Raw!J:J = A41,
          Raw!I:I = ""loss"",
          Raw!F:F = ""3v3""
        )
      )
    ),
    0
  )
)"),"")</f>
        <v/>
      </c>
      <c r="E41" s="4"/>
      <c r="F41" s="5" t="str">
        <f>IFERROR(__xludf.DUMMYFUNCTION("IF(A41="""","""", 
  IFERROR(
    AVERAGE(
      UNIQUE(
        FILTER(
          Raw!N:N,
          Raw!J:J = A41,
          Raw!F:F = ""3v3""
        )
      )
    ),
    0
  )
)"),"")</f>
        <v/>
      </c>
      <c r="G41" s="5" t="str">
        <f>IFERROR(__xludf.DUMMYFUNCTION("IF(A41="""","""", 
  IFERROR(
    AVERAGE(
      UNIQUE(
        FILTER(
          Raw!R:R,
          Raw!J:J = A41,
          Raw!F:F = ""3v3""
        )
      )
    ),
    0
  )
)"),"")</f>
        <v/>
      </c>
      <c r="H41" s="5"/>
      <c r="I41" s="5"/>
      <c r="K41" s="5"/>
      <c r="M41" s="5"/>
      <c r="N41" s="5"/>
    </row>
    <row r="42">
      <c r="B42" s="3" t="str">
        <f>IFERROR(__xludf.DUMMYFUNCTION("IF(A42="""","""", 
  IFERROR(
    ROWS(
      UNIQUE(
        FILTER(
          Raw!A:A,
          Raw!J:J = A42,
          Raw!F:F = ""3v3""
        )
      )
    ),
    0
  )
)"),"")</f>
        <v/>
      </c>
      <c r="C42" s="9" t="str">
        <f>IFERROR(__xludf.DUMMYFUNCTION("IF(A42="""","""", 
  IFERROR(
    ROWS(
      UNIQUE(
        FILTER(
          Raw!A:A,
          Raw!J:J = A42,
          Raw!I:I = ""win"",
          Raw!F:F = ""3v3""
        )
      )
    ),
    0
  )
)"),"")</f>
        <v/>
      </c>
      <c r="D42" s="9" t="str">
        <f>IFERROR(__xludf.DUMMYFUNCTION("IF(A42="""","""", 
  IFERROR(
    ROWS(
      UNIQUE(
        FILTER(
          Raw!A:A,
          Raw!J:J = A42,
          Raw!I:I = ""loss"",
          Raw!F:F = ""3v3""
        )
      )
    ),
    0
  )
)"),"")</f>
        <v/>
      </c>
      <c r="E42" s="4"/>
      <c r="F42" s="5" t="str">
        <f>IFERROR(__xludf.DUMMYFUNCTION("IF(A42="""","""", 
  IFERROR(
    AVERAGE(
      UNIQUE(
        FILTER(
          Raw!N:N,
          Raw!J:J = A42,
          Raw!F:F = ""3v3""
        )
      )
    ),
    0
  )
)"),"")</f>
        <v/>
      </c>
      <c r="G42" s="5" t="str">
        <f>IFERROR(__xludf.DUMMYFUNCTION("IF(A42="""","""", 
  IFERROR(
    AVERAGE(
      UNIQUE(
        FILTER(
          Raw!R:R,
          Raw!J:J = A42,
          Raw!F:F = ""3v3""
        )
      )
    ),
    0
  )
)"),"")</f>
        <v/>
      </c>
      <c r="H42" s="5"/>
      <c r="I42" s="5"/>
      <c r="K42" s="5"/>
      <c r="M42" s="5"/>
      <c r="N42" s="5"/>
    </row>
    <row r="43">
      <c r="B43" s="3" t="str">
        <f>IFERROR(__xludf.DUMMYFUNCTION("IF(A43="""","""", 
  IFERROR(
    ROWS(
      UNIQUE(
        FILTER(
          Raw!A:A,
          Raw!J:J = A43,
          Raw!F:F = ""3v3""
        )
      )
    ),
    0
  )
)"),"")</f>
        <v/>
      </c>
      <c r="C43" s="9" t="str">
        <f>IFERROR(__xludf.DUMMYFUNCTION("IF(A43="""","""", 
  IFERROR(
    ROWS(
      UNIQUE(
        FILTER(
          Raw!A:A,
          Raw!J:J = A43,
          Raw!I:I = ""win"",
          Raw!F:F = ""3v3""
        )
      )
    ),
    0
  )
)"),"")</f>
        <v/>
      </c>
      <c r="D43" s="9" t="str">
        <f>IFERROR(__xludf.DUMMYFUNCTION("IF(A43="""","""", 
  IFERROR(
    ROWS(
      UNIQUE(
        FILTER(
          Raw!A:A,
          Raw!J:J = A43,
          Raw!I:I = ""loss"",
          Raw!F:F = ""3v3""
        )
      )
    ),
    0
  )
)"),"")</f>
        <v/>
      </c>
      <c r="E43" s="4"/>
      <c r="F43" s="5" t="str">
        <f>IFERROR(__xludf.DUMMYFUNCTION("IF(A43="""","""", 
  IFERROR(
    AVERAGE(
      UNIQUE(
        FILTER(
          Raw!N:N,
          Raw!J:J = A43,
          Raw!F:F = ""3v3""
        )
      )
    ),
    0
  )
)"),"")</f>
        <v/>
      </c>
      <c r="G43" s="5" t="str">
        <f>IFERROR(__xludf.DUMMYFUNCTION("IF(A43="""","""", 
  IFERROR(
    AVERAGE(
      UNIQUE(
        FILTER(
          Raw!R:R,
          Raw!J:J = A43,
          Raw!F:F = ""3v3""
        )
      )
    ),
    0
  )
)"),"")</f>
        <v/>
      </c>
      <c r="H43" s="5"/>
      <c r="I43" s="5"/>
      <c r="K43" s="5"/>
      <c r="M43" s="5"/>
      <c r="N43" s="5"/>
    </row>
    <row r="44">
      <c r="B44" s="3" t="str">
        <f>IFERROR(__xludf.DUMMYFUNCTION("IF(A44="""","""", 
  IFERROR(
    ROWS(
      UNIQUE(
        FILTER(
          Raw!A:A,
          Raw!J:J = A44,
          Raw!F:F = ""3v3""
        )
      )
    ),
    0
  )
)"),"")</f>
        <v/>
      </c>
      <c r="C44" s="9" t="str">
        <f>IFERROR(__xludf.DUMMYFUNCTION("IF(A44="""","""", 
  IFERROR(
    ROWS(
      UNIQUE(
        FILTER(
          Raw!A:A,
          Raw!J:J = A44,
          Raw!I:I = ""win"",
          Raw!F:F = ""3v3""
        )
      )
    ),
    0
  )
)"),"")</f>
        <v/>
      </c>
      <c r="D44" s="9" t="str">
        <f>IFERROR(__xludf.DUMMYFUNCTION("IF(A44="""","""", 
  IFERROR(
    ROWS(
      UNIQUE(
        FILTER(
          Raw!A:A,
          Raw!J:J = A44,
          Raw!I:I = ""loss"",
          Raw!F:F = ""3v3""
        )
      )
    ),
    0
  )
)"),"")</f>
        <v/>
      </c>
      <c r="E44" s="4"/>
      <c r="F44" s="5" t="str">
        <f>IFERROR(__xludf.DUMMYFUNCTION("IF(A44="""","""", 
  IFERROR(
    AVERAGE(
      UNIQUE(
        FILTER(
          Raw!N:N,
          Raw!J:J = A44,
          Raw!F:F = ""3v3""
        )
      )
    ),
    0
  )
)"),"")</f>
        <v/>
      </c>
      <c r="G44" s="5" t="str">
        <f>IFERROR(__xludf.DUMMYFUNCTION("IF(A44="""","""", 
  IFERROR(
    AVERAGE(
      UNIQUE(
        FILTER(
          Raw!R:R,
          Raw!J:J = A44,
          Raw!F:F = ""3v3""
        )
      )
    ),
    0
  )
)"),"")</f>
        <v/>
      </c>
      <c r="H44" s="5"/>
      <c r="I44" s="5"/>
      <c r="K44" s="5"/>
      <c r="M44" s="5"/>
      <c r="N44" s="5"/>
    </row>
    <row r="45">
      <c r="B45" s="3" t="str">
        <f>IFERROR(__xludf.DUMMYFUNCTION("IF(A45="""","""", 
  IFERROR(
    ROWS(
      UNIQUE(
        FILTER(
          Raw!A:A,
          Raw!J:J = A45,
          Raw!F:F = ""3v3""
        )
      )
    ),
    0
  )
)"),"")</f>
        <v/>
      </c>
      <c r="C45" s="9" t="str">
        <f>IFERROR(__xludf.DUMMYFUNCTION("IF(A45="""","""", 
  IFERROR(
    ROWS(
      UNIQUE(
        FILTER(
          Raw!A:A,
          Raw!J:J = A45,
          Raw!I:I = ""win"",
          Raw!F:F = ""3v3""
        )
      )
    ),
    0
  )
)"),"")</f>
        <v/>
      </c>
      <c r="D45" s="9" t="str">
        <f>IFERROR(__xludf.DUMMYFUNCTION("IF(A45="""","""", 
  IFERROR(
    ROWS(
      UNIQUE(
        FILTER(
          Raw!A:A,
          Raw!J:J = A45,
          Raw!I:I = ""loss"",
          Raw!F:F = ""3v3""
        )
      )
    ),
    0
  )
)"),"")</f>
        <v/>
      </c>
      <c r="E45" s="4"/>
      <c r="F45" s="5" t="str">
        <f>IFERROR(__xludf.DUMMYFUNCTION("IF(A45="""","""", 
  IFERROR(
    AVERAGE(
      UNIQUE(
        FILTER(
          Raw!N:N,
          Raw!J:J = A45,
          Raw!F:F = ""3v3""
        )
      )
    ),
    0
  )
)"),"")</f>
        <v/>
      </c>
      <c r="G45" s="5" t="str">
        <f>IFERROR(__xludf.DUMMYFUNCTION("IF(A45="""","""", 
  IFERROR(
    AVERAGE(
      UNIQUE(
        FILTER(
          Raw!R:R,
          Raw!J:J = A45,
          Raw!F:F = ""3v3""
        )
      )
    ),
    0
  )
)"),"")</f>
        <v/>
      </c>
      <c r="H45" s="5"/>
      <c r="I45" s="5"/>
      <c r="K45" s="5"/>
      <c r="M45" s="5"/>
      <c r="N45" s="5"/>
    </row>
    <row r="46">
      <c r="B46" s="3" t="str">
        <f>IFERROR(__xludf.DUMMYFUNCTION("IF(A46="""","""", 
  IFERROR(
    ROWS(
      UNIQUE(
        FILTER(
          Raw!A:A,
          Raw!J:J = A46,
          Raw!F:F = ""3v3""
        )
      )
    ),
    0
  )
)"),"")</f>
        <v/>
      </c>
      <c r="C46" s="9" t="str">
        <f>IFERROR(__xludf.DUMMYFUNCTION("IF(A46="""","""", 
  IFERROR(
    ROWS(
      UNIQUE(
        FILTER(
          Raw!A:A,
          Raw!J:J = A46,
          Raw!I:I = ""win"",
          Raw!F:F = ""3v3""
        )
      )
    ),
    0
  )
)"),"")</f>
        <v/>
      </c>
      <c r="D46" s="9" t="str">
        <f>IFERROR(__xludf.DUMMYFUNCTION("IF(A46="""","""", 
  IFERROR(
    ROWS(
      UNIQUE(
        FILTER(
          Raw!A:A,
          Raw!J:J = A46,
          Raw!I:I = ""loss"",
          Raw!F:F = ""3v3""
        )
      )
    ),
    0
  )
)"),"")</f>
        <v/>
      </c>
      <c r="E46" s="4"/>
      <c r="F46" s="5" t="str">
        <f>IFERROR(__xludf.DUMMYFUNCTION("IF(A46="""","""", 
  IFERROR(
    AVERAGE(
      UNIQUE(
        FILTER(
          Raw!N:N,
          Raw!J:J = A46,
          Raw!F:F = ""3v3""
        )
      )
    ),
    0
  )
)"),"")</f>
        <v/>
      </c>
      <c r="G46" s="5" t="str">
        <f>IFERROR(__xludf.DUMMYFUNCTION("IF(A46="""","""", 
  IFERROR(
    AVERAGE(
      UNIQUE(
        FILTER(
          Raw!R:R,
          Raw!J:J = A46,
          Raw!F:F = ""3v3""
        )
      )
    ),
    0
  )
)"),"")</f>
        <v/>
      </c>
      <c r="H46" s="5"/>
      <c r="I46" s="5"/>
      <c r="K46" s="5"/>
      <c r="M46" s="5"/>
      <c r="N46" s="5"/>
    </row>
    <row r="47">
      <c r="B47" s="3" t="str">
        <f>IFERROR(__xludf.DUMMYFUNCTION("IF(A47="""","""", 
  IFERROR(
    ROWS(
      UNIQUE(
        FILTER(
          Raw!A:A,
          Raw!J:J = A47,
          Raw!F:F = ""3v3""
        )
      )
    ),
    0
  )
)"),"")</f>
        <v/>
      </c>
      <c r="C47" s="9" t="str">
        <f>IFERROR(__xludf.DUMMYFUNCTION("IF(A47="""","""", 
  IFERROR(
    ROWS(
      UNIQUE(
        FILTER(
          Raw!A:A,
          Raw!J:J = A47,
          Raw!I:I = ""win"",
          Raw!F:F = ""3v3""
        )
      )
    ),
    0
  )
)"),"")</f>
        <v/>
      </c>
      <c r="D47" s="9" t="str">
        <f>IFERROR(__xludf.DUMMYFUNCTION("IF(A47="""","""", 
  IFERROR(
    ROWS(
      UNIQUE(
        FILTER(
          Raw!A:A,
          Raw!J:J = A47,
          Raw!I:I = ""loss"",
          Raw!F:F = ""3v3""
        )
      )
    ),
    0
  )
)"),"")</f>
        <v/>
      </c>
      <c r="E47" s="4"/>
      <c r="F47" s="5" t="str">
        <f>IFERROR(__xludf.DUMMYFUNCTION("IF(A47="""","""", 
  IFERROR(
    AVERAGE(
      UNIQUE(
        FILTER(
          Raw!N:N,
          Raw!J:J = A47,
          Raw!F:F = ""3v3""
        )
      )
    ),
    0
  )
)"),"")</f>
        <v/>
      </c>
      <c r="G47" s="5" t="str">
        <f>IFERROR(__xludf.DUMMYFUNCTION("IF(A47="""","""", 
  IFERROR(
    AVERAGE(
      UNIQUE(
        FILTER(
          Raw!R:R,
          Raw!J:J = A47,
          Raw!F:F = ""3v3""
        )
      )
    ),
    0
  )
)"),"")</f>
        <v/>
      </c>
      <c r="H47" s="5"/>
      <c r="I47" s="5"/>
      <c r="K47" s="5"/>
      <c r="M47" s="5"/>
      <c r="N47" s="5"/>
    </row>
    <row r="48">
      <c r="B48" s="3" t="str">
        <f>IFERROR(__xludf.DUMMYFUNCTION("IF(A48="""","""", 
  IFERROR(
    ROWS(
      UNIQUE(
        FILTER(
          Raw!A:A,
          Raw!J:J = A48,
          Raw!F:F = ""3v3""
        )
      )
    ),
    0
  )
)"),"")</f>
        <v/>
      </c>
      <c r="C48" s="9" t="str">
        <f>IFERROR(__xludf.DUMMYFUNCTION("IF(A48="""","""", 
  IFERROR(
    ROWS(
      UNIQUE(
        FILTER(
          Raw!A:A,
          Raw!J:J = A48,
          Raw!I:I = ""win"",
          Raw!F:F = ""3v3""
        )
      )
    ),
    0
  )
)"),"")</f>
        <v/>
      </c>
      <c r="D48" s="9" t="str">
        <f>IFERROR(__xludf.DUMMYFUNCTION("IF(A48="""","""", 
  IFERROR(
    ROWS(
      UNIQUE(
        FILTER(
          Raw!A:A,
          Raw!J:J = A48,
          Raw!I:I = ""loss"",
          Raw!F:F = ""3v3""
        )
      )
    ),
    0
  )
)"),"")</f>
        <v/>
      </c>
      <c r="E48" s="4"/>
      <c r="F48" s="5" t="str">
        <f>IFERROR(__xludf.DUMMYFUNCTION("IF(A48="""","""", 
  IFERROR(
    AVERAGE(
      UNIQUE(
        FILTER(
          Raw!N:N,
          Raw!J:J = A48,
          Raw!F:F = ""3v3""
        )
      )
    ),
    0
  )
)"),"")</f>
        <v/>
      </c>
      <c r="G48" s="5" t="str">
        <f>IFERROR(__xludf.DUMMYFUNCTION("IF(A48="""","""", 
  IFERROR(
    AVERAGE(
      UNIQUE(
        FILTER(
          Raw!R:R,
          Raw!J:J = A48,
          Raw!F:F = ""3v3""
        )
      )
    ),
    0
  )
)"),"")</f>
        <v/>
      </c>
      <c r="H48" s="5"/>
      <c r="I48" s="5"/>
      <c r="K48" s="5"/>
      <c r="M48" s="5"/>
      <c r="N48" s="5"/>
    </row>
    <row r="49">
      <c r="B49" s="3" t="str">
        <f>IFERROR(__xludf.DUMMYFUNCTION("IF(A49="""","""", 
  IFERROR(
    ROWS(
      UNIQUE(
        FILTER(
          Raw!A:A,
          Raw!J:J = A49,
          Raw!F:F = ""3v3""
        )
      )
    ),
    0
  )
)"),"")</f>
        <v/>
      </c>
      <c r="C49" s="9" t="str">
        <f>IFERROR(__xludf.DUMMYFUNCTION("IF(A49="""","""", 
  IFERROR(
    ROWS(
      UNIQUE(
        FILTER(
          Raw!A:A,
          Raw!J:J = A49,
          Raw!I:I = ""win"",
          Raw!F:F = ""3v3""
        )
      )
    ),
    0
  )
)"),"")</f>
        <v/>
      </c>
      <c r="D49" s="9" t="str">
        <f>IFERROR(__xludf.DUMMYFUNCTION("IF(A49="""","""", 
  IFERROR(
    ROWS(
      UNIQUE(
        FILTER(
          Raw!A:A,
          Raw!J:J = A49,
          Raw!I:I = ""loss"",
          Raw!F:F = ""3v3""
        )
      )
    ),
    0
  )
)"),"")</f>
        <v/>
      </c>
      <c r="E49" s="4"/>
      <c r="F49" s="5" t="str">
        <f>IFERROR(__xludf.DUMMYFUNCTION("IF(A49="""","""", 
  IFERROR(
    AVERAGE(
      UNIQUE(
        FILTER(
          Raw!N:N,
          Raw!J:J = A49,
          Raw!F:F = ""3v3""
        )
      )
    ),
    0
  )
)"),"")</f>
        <v/>
      </c>
      <c r="G49" s="5" t="str">
        <f>IFERROR(__xludf.DUMMYFUNCTION("IF(A49="""","""", 
  IFERROR(
    AVERAGE(
      UNIQUE(
        FILTER(
          Raw!R:R,
          Raw!J:J = A49,
          Raw!F:F = ""3v3""
        )
      )
    ),
    0
  )
)"),"")</f>
        <v/>
      </c>
      <c r="H49" s="5"/>
      <c r="I49" s="5"/>
      <c r="K49" s="5"/>
      <c r="M49" s="5"/>
      <c r="N49" s="5"/>
    </row>
    <row r="50">
      <c r="B50" s="3" t="str">
        <f>IFERROR(__xludf.DUMMYFUNCTION("IF(A50="""","""", 
  IFERROR(
    ROWS(
      UNIQUE(
        FILTER(
          Raw!A:A,
          Raw!J:J = A50,
          Raw!F:F = ""3v3""
        )
      )
    ),
    0
  )
)"),"")</f>
        <v/>
      </c>
      <c r="C50" s="9" t="str">
        <f>IFERROR(__xludf.DUMMYFUNCTION("IF(A50="""","""", 
  IFERROR(
    ROWS(
      UNIQUE(
        FILTER(
          Raw!A:A,
          Raw!J:J = A50,
          Raw!I:I = ""win"",
          Raw!F:F = ""3v3""
        )
      )
    ),
    0
  )
)"),"")</f>
        <v/>
      </c>
      <c r="D50" s="9" t="str">
        <f>IFERROR(__xludf.DUMMYFUNCTION("IF(A50="""","""", 
  IFERROR(
    ROWS(
      UNIQUE(
        FILTER(
          Raw!A:A,
          Raw!J:J = A50,
          Raw!I:I = ""loss"",
          Raw!F:F = ""3v3""
        )
      )
    ),
    0
  )
)"),"")</f>
        <v/>
      </c>
      <c r="E50" s="4"/>
      <c r="F50" s="5" t="str">
        <f>IFERROR(__xludf.DUMMYFUNCTION("IF(A50="""","""", 
  IFERROR(
    AVERAGE(
      UNIQUE(
        FILTER(
          Raw!N:N,
          Raw!J:J = A50,
          Raw!F:F = ""3v3""
        )
      )
    ),
    0
  )
)"),"")</f>
        <v/>
      </c>
      <c r="G50" s="5" t="str">
        <f>IFERROR(__xludf.DUMMYFUNCTION("IF(A50="""","""", 
  IFERROR(
    AVERAGE(
      UNIQUE(
        FILTER(
          Raw!R:R,
          Raw!J:J = A50,
          Raw!F:F = ""3v3""
        )
      )
    ),
    0
  )
)"),"")</f>
        <v/>
      </c>
      <c r="H50" s="5"/>
      <c r="I50" s="5"/>
      <c r="K50" s="5"/>
      <c r="M50" s="5"/>
      <c r="N50" s="5"/>
    </row>
    <row r="51">
      <c r="B51" s="3" t="str">
        <f>IFERROR(__xludf.DUMMYFUNCTION("IF(A51="""","""", 
  IFERROR(
    ROWS(
      UNIQUE(
        FILTER(
          Raw!A:A,
          Raw!J:J = A51,
          Raw!F:F = ""3v3""
        )
      )
    ),
    0
  )
)"),"")</f>
        <v/>
      </c>
      <c r="C51" s="9" t="str">
        <f>IFERROR(__xludf.DUMMYFUNCTION("IF(A51="""","""", 
  IFERROR(
    ROWS(
      UNIQUE(
        FILTER(
          Raw!A:A,
          Raw!J:J = A51,
          Raw!I:I = ""win"",
          Raw!F:F = ""3v3""
        )
      )
    ),
    0
  )
)"),"")</f>
        <v/>
      </c>
      <c r="D51" s="9" t="str">
        <f>IFERROR(__xludf.DUMMYFUNCTION("IF(A51="""","""", 
  IFERROR(
    ROWS(
      UNIQUE(
        FILTER(
          Raw!A:A,
          Raw!J:J = A51,
          Raw!I:I = ""loss"",
          Raw!F:F = ""3v3""
        )
      )
    ),
    0
  )
)"),"")</f>
        <v/>
      </c>
      <c r="E51" s="4"/>
      <c r="F51" s="5" t="str">
        <f>IFERROR(__xludf.DUMMYFUNCTION("IF(A51="""","""", 
  IFERROR(
    AVERAGE(
      UNIQUE(
        FILTER(
          Raw!N:N,
          Raw!J:J = A51,
          Raw!F:F = ""3v3""
        )
      )
    ),
    0
  )
)"),"")</f>
        <v/>
      </c>
      <c r="G51" s="5" t="str">
        <f>IFERROR(__xludf.DUMMYFUNCTION("IF(A51="""","""", 
  IFERROR(
    AVERAGE(
      UNIQUE(
        FILTER(
          Raw!R:R,
          Raw!J:J = A51,
          Raw!F:F = ""3v3""
        )
      )
    ),
    0
  )
)"),"")</f>
        <v/>
      </c>
      <c r="H51" s="5"/>
      <c r="I51" s="5"/>
      <c r="K51" s="5"/>
      <c r="M51" s="5"/>
      <c r="N51" s="5"/>
    </row>
    <row r="52">
      <c r="B52" s="3" t="str">
        <f>IFERROR(__xludf.DUMMYFUNCTION("IF(A52="""","""", 
  IFERROR(
    ROWS(
      UNIQUE(
        FILTER(
          Raw!A:A,
          Raw!J:J = A52,
          Raw!F:F = ""3v3""
        )
      )
    ),
    0
  )
)"),"")</f>
        <v/>
      </c>
      <c r="C52" s="9" t="str">
        <f>IFERROR(__xludf.DUMMYFUNCTION("IF(A52="""","""", 
  IFERROR(
    ROWS(
      UNIQUE(
        FILTER(
          Raw!A:A,
          Raw!J:J = A52,
          Raw!I:I = ""win"",
          Raw!F:F = ""3v3""
        )
      )
    ),
    0
  )
)"),"")</f>
        <v/>
      </c>
      <c r="D52" s="9" t="str">
        <f>IFERROR(__xludf.DUMMYFUNCTION("IF(A52="""","""", 
  IFERROR(
    ROWS(
      UNIQUE(
        FILTER(
          Raw!A:A,
          Raw!J:J = A52,
          Raw!I:I = ""loss"",
          Raw!F:F = ""3v3""
        )
      )
    ),
    0
  )
)"),"")</f>
        <v/>
      </c>
      <c r="E52" s="4"/>
      <c r="G52" s="5" t="str">
        <f>IFERROR(__xludf.DUMMYFUNCTION("IF(A52="""","""", 
  IFERROR(
    AVERAGE(
      UNIQUE(
        FILTER(
          Raw!R:R,
          Raw!J:J = A52,
          Raw!F:F = ""3v3""
        )
      )
    ),
    0
  )
)"),"")</f>
        <v/>
      </c>
      <c r="H52" s="5"/>
      <c r="I52" s="5"/>
      <c r="K52" s="5"/>
      <c r="M52" s="5"/>
      <c r="N52" s="5"/>
    </row>
    <row r="53">
      <c r="B53" s="3" t="str">
        <f>IFERROR(__xludf.DUMMYFUNCTION("IF(A53="""","""", 
  IFERROR(
    ROWS(
      UNIQUE(
        FILTER(
          Raw!A:A,
          Raw!J:J = A53,
          Raw!F:F = ""3v3""
        )
      )
    ),
    0
  )
)"),"")</f>
        <v/>
      </c>
      <c r="E53" s="4"/>
      <c r="G53" s="5" t="str">
        <f>IFERROR(__xludf.DUMMYFUNCTION("IF(A53="""","""", 
  IFERROR(
    AVERAGE(
      UNIQUE(
        FILTER(
          Raw!R:R,
          Raw!J:J = A53,
          Raw!F:F = ""3v3""
        )
      )
    ),
    0
  )
)"),"")</f>
        <v/>
      </c>
      <c r="H53" s="5"/>
      <c r="I53" s="5"/>
      <c r="K53" s="5"/>
      <c r="M53" s="5"/>
      <c r="N53" s="5"/>
    </row>
    <row r="54">
      <c r="B54" s="3" t="str">
        <f>IFERROR(__xludf.DUMMYFUNCTION("IF(A54="""","""", 
  IFERROR(
    ROWS(
      UNIQUE(
        FILTER(
          Raw!A:A,
          Raw!J:J = A54,
          Raw!F:F = ""3v3""
        )
      )
    ),
    0
  )
)"),"")</f>
        <v/>
      </c>
      <c r="E54" s="4"/>
      <c r="G54" s="5" t="str">
        <f>IFERROR(__xludf.DUMMYFUNCTION("IF(A54="""","""", 
  IFERROR(
    AVERAGE(
      UNIQUE(
        FILTER(
          Raw!R:R,
          Raw!J:J = A54,
          Raw!F:F = ""3v3""
        )
      )
    ),
    0
  )
)"),"")</f>
        <v/>
      </c>
      <c r="H54" s="5"/>
      <c r="I54" s="5"/>
      <c r="K54" s="5"/>
      <c r="M54" s="5"/>
      <c r="N54" s="5"/>
    </row>
    <row r="55">
      <c r="B55" s="3" t="str">
        <f>IFERROR(__xludf.DUMMYFUNCTION("IF(A55="""","""", 
  IFERROR(
    ROWS(
      UNIQUE(
        FILTER(
          Raw!A:A,
          Raw!J:J = A55,
          Raw!F:F = ""3v3""
        )
      )
    ),
    0
  )
)"),"")</f>
        <v/>
      </c>
      <c r="E55" s="4"/>
      <c r="G55" s="5" t="str">
        <f>IFERROR(__xludf.DUMMYFUNCTION("IF(A55="""","""", 
  IFERROR(
    AVERAGE(
      UNIQUE(
        FILTER(
          Raw!R:R,
          Raw!J:J = A55,
          Raw!F:F = ""3v3""
        )
      )
    ),
    0
  )
)"),"")</f>
        <v/>
      </c>
      <c r="H55" s="5"/>
      <c r="I55" s="5"/>
      <c r="K55" s="5"/>
      <c r="M55" s="5"/>
      <c r="N55" s="5"/>
    </row>
    <row r="56">
      <c r="B56" s="3" t="str">
        <f>IFERROR(__xludf.DUMMYFUNCTION("IF(A56="""","""", 
  IFERROR(
    ROWS(
      UNIQUE(
        FILTER(
          Raw!A:A,
          Raw!J:J = A56,
          Raw!F:F = ""3v3""
        )
      )
    ),
    0
  )
)"),"")</f>
        <v/>
      </c>
      <c r="E56" s="4"/>
      <c r="G56" s="5" t="str">
        <f>IFERROR(__xludf.DUMMYFUNCTION("IF(A56="""","""", 
  IFERROR(
    AVERAGE(
      UNIQUE(
        FILTER(
          Raw!R:R,
          Raw!J:J = A56,
          Raw!F:F = ""3v3""
        )
      )
    ),
    0
  )
)"),"")</f>
        <v/>
      </c>
      <c r="H56" s="5"/>
      <c r="I56" s="5"/>
      <c r="K56" s="5"/>
      <c r="M56" s="5"/>
      <c r="N56" s="5"/>
    </row>
    <row r="57">
      <c r="B57" s="3" t="str">
        <f>IFERROR(__xludf.DUMMYFUNCTION("IF(A57="""","""", 
  IFERROR(
    ROWS(
      UNIQUE(
        FILTER(
          Raw!A:A,
          Raw!J:J = A57,
          Raw!F:F = ""3v3""
        )
      )
    ),
    0
  )
)"),"")</f>
        <v/>
      </c>
      <c r="E57" s="4"/>
      <c r="G57" s="5" t="str">
        <f>IFERROR(__xludf.DUMMYFUNCTION("IF(A57="""","""", 
  IFERROR(
    AVERAGE(
      UNIQUE(
        FILTER(
          Raw!R:R,
          Raw!J:J = A57,
          Raw!F:F = ""3v3""
        )
      )
    ),
    0
  )
)"),"")</f>
        <v/>
      </c>
      <c r="H57" s="5"/>
      <c r="I57" s="5"/>
      <c r="K57" s="5"/>
      <c r="M57" s="5"/>
      <c r="N57" s="5"/>
    </row>
    <row r="58">
      <c r="E58" s="4"/>
      <c r="G58" s="5" t="str">
        <f>IFERROR(__xludf.DUMMYFUNCTION("IF(A58="""","""", 
  IFERROR(
    AVERAGE(
      UNIQUE(
        FILTER(
          Raw!R:R,
          Raw!J:J = A58,
          Raw!F:F = ""3v3""
        )
      )
    ),
    0
  )
)"),"")</f>
        <v/>
      </c>
      <c r="H58" s="5"/>
      <c r="I58" s="5"/>
      <c r="K58" s="5"/>
      <c r="M58" s="5"/>
      <c r="N58" s="5"/>
    </row>
    <row r="59">
      <c r="E59" s="4"/>
      <c r="G59" s="5"/>
      <c r="H59" s="5"/>
      <c r="I59" s="5"/>
      <c r="K59" s="5"/>
      <c r="M59" s="5"/>
      <c r="N59" s="5"/>
    </row>
    <row r="60">
      <c r="E60" s="4"/>
      <c r="G60" s="5"/>
      <c r="H60" s="5"/>
      <c r="I60" s="5"/>
      <c r="K60" s="5"/>
      <c r="M60" s="5"/>
      <c r="N60" s="5"/>
    </row>
    <row r="61">
      <c r="E61" s="4"/>
      <c r="G61" s="5"/>
      <c r="H61" s="5"/>
      <c r="I61" s="5"/>
      <c r="K61" s="5"/>
      <c r="M61" s="5"/>
      <c r="N61" s="5"/>
    </row>
    <row r="62">
      <c r="E62" s="4"/>
      <c r="G62" s="5"/>
      <c r="H62" s="5"/>
      <c r="I62" s="5"/>
      <c r="K62" s="5"/>
      <c r="M62" s="5"/>
      <c r="N62" s="5"/>
    </row>
    <row r="63">
      <c r="E63" s="4"/>
      <c r="G63" s="5"/>
      <c r="H63" s="5"/>
      <c r="I63" s="5"/>
      <c r="K63" s="5"/>
      <c r="M63" s="5"/>
      <c r="N63" s="5"/>
    </row>
    <row r="64">
      <c r="E64" s="4"/>
      <c r="G64" s="5"/>
      <c r="H64" s="5"/>
      <c r="I64" s="5"/>
      <c r="K64" s="5"/>
      <c r="M64" s="5"/>
      <c r="N64" s="5"/>
    </row>
    <row r="65">
      <c r="E65" s="4"/>
      <c r="G65" s="5"/>
      <c r="H65" s="5"/>
      <c r="I65" s="5"/>
      <c r="K65" s="5"/>
      <c r="M65" s="5"/>
      <c r="N65" s="5"/>
    </row>
    <row r="66">
      <c r="E66" s="4"/>
      <c r="G66" s="5"/>
      <c r="H66" s="5"/>
      <c r="I66" s="5"/>
      <c r="K66" s="5"/>
      <c r="M66" s="5"/>
      <c r="N66" s="5"/>
    </row>
    <row r="67">
      <c r="E67" s="4"/>
      <c r="G67" s="5"/>
      <c r="H67" s="5"/>
      <c r="I67" s="5"/>
      <c r="K67" s="5"/>
      <c r="M67" s="5"/>
      <c r="N67" s="5"/>
    </row>
    <row r="68">
      <c r="E68" s="4"/>
      <c r="G68" s="5"/>
      <c r="H68" s="5"/>
      <c r="I68" s="5"/>
      <c r="K68" s="5"/>
      <c r="M68" s="5"/>
      <c r="N68" s="5"/>
    </row>
    <row r="69">
      <c r="E69" s="4"/>
      <c r="G69" s="5"/>
      <c r="H69" s="5"/>
      <c r="I69" s="5"/>
      <c r="K69" s="5"/>
      <c r="M69" s="5"/>
      <c r="N69" s="5"/>
    </row>
    <row r="70">
      <c r="E70" s="4"/>
      <c r="G70" s="5"/>
      <c r="H70" s="5"/>
      <c r="I70" s="5"/>
      <c r="K70" s="5"/>
      <c r="M70" s="5"/>
      <c r="N70" s="5"/>
    </row>
    <row r="71">
      <c r="E71" s="4"/>
      <c r="G71" s="5"/>
      <c r="H71" s="5"/>
      <c r="I71" s="5"/>
      <c r="K71" s="5"/>
      <c r="M71" s="5"/>
      <c r="N71" s="5"/>
    </row>
    <row r="72">
      <c r="E72" s="4"/>
      <c r="G72" s="5"/>
      <c r="H72" s="5"/>
      <c r="I72" s="5"/>
      <c r="K72" s="5"/>
      <c r="M72" s="5"/>
      <c r="N72" s="5"/>
    </row>
    <row r="73">
      <c r="E73" s="4"/>
      <c r="G73" s="5"/>
      <c r="H73" s="5"/>
      <c r="I73" s="5"/>
      <c r="K73" s="5"/>
      <c r="M73" s="5"/>
      <c r="N73" s="5"/>
    </row>
    <row r="74">
      <c r="E74" s="4"/>
      <c r="G74" s="5"/>
      <c r="H74" s="5"/>
      <c r="I74" s="5"/>
      <c r="K74" s="5"/>
      <c r="M74" s="5"/>
      <c r="N74" s="5"/>
    </row>
    <row r="75">
      <c r="E75" s="4"/>
      <c r="G75" s="5"/>
      <c r="H75" s="5"/>
      <c r="I75" s="5"/>
      <c r="K75" s="5"/>
      <c r="M75" s="5"/>
      <c r="N75" s="5"/>
    </row>
    <row r="76">
      <c r="E76" s="4"/>
      <c r="G76" s="5"/>
      <c r="H76" s="5"/>
      <c r="I76" s="5"/>
      <c r="K76" s="5"/>
      <c r="M76" s="5"/>
      <c r="N76" s="5"/>
    </row>
    <row r="77">
      <c r="E77" s="4"/>
      <c r="G77" s="5"/>
      <c r="H77" s="5"/>
      <c r="I77" s="5"/>
      <c r="K77" s="5"/>
      <c r="M77" s="5"/>
      <c r="N77" s="5"/>
    </row>
    <row r="78">
      <c r="E78" s="4"/>
      <c r="G78" s="5"/>
      <c r="H78" s="5"/>
      <c r="I78" s="5"/>
      <c r="K78" s="5"/>
      <c r="M78" s="5"/>
      <c r="N78" s="5"/>
    </row>
    <row r="79">
      <c r="E79" s="4"/>
      <c r="G79" s="5"/>
      <c r="H79" s="5"/>
      <c r="I79" s="5"/>
      <c r="K79" s="5"/>
      <c r="M79" s="5"/>
      <c r="N79" s="5"/>
    </row>
    <row r="80">
      <c r="E80" s="4"/>
      <c r="G80" s="5"/>
      <c r="H80" s="5"/>
      <c r="I80" s="5"/>
      <c r="K80" s="5"/>
      <c r="M80" s="5"/>
      <c r="N80" s="5"/>
    </row>
    <row r="81">
      <c r="E81" s="4"/>
      <c r="G81" s="5"/>
      <c r="H81" s="5"/>
      <c r="I81" s="5"/>
      <c r="K81" s="5"/>
      <c r="M81" s="5"/>
      <c r="N81" s="5"/>
    </row>
    <row r="82">
      <c r="E82" s="4"/>
      <c r="G82" s="5"/>
      <c r="H82" s="5"/>
      <c r="I82" s="5"/>
      <c r="K82" s="5"/>
      <c r="M82" s="5"/>
      <c r="N82" s="5"/>
    </row>
    <row r="83">
      <c r="E83" s="4"/>
      <c r="G83" s="5"/>
      <c r="H83" s="5"/>
      <c r="I83" s="5"/>
      <c r="K83" s="5"/>
      <c r="M83" s="5"/>
      <c r="N83" s="5"/>
    </row>
    <row r="84">
      <c r="E84" s="4"/>
      <c r="G84" s="5"/>
      <c r="H84" s="5"/>
      <c r="I84" s="5"/>
      <c r="K84" s="5"/>
      <c r="M84" s="5"/>
      <c r="N84" s="5"/>
    </row>
    <row r="85">
      <c r="E85" s="4"/>
      <c r="G85" s="5"/>
      <c r="H85" s="5"/>
      <c r="I85" s="5"/>
      <c r="K85" s="5"/>
      <c r="M85" s="5"/>
      <c r="N85" s="5"/>
    </row>
    <row r="86">
      <c r="E86" s="4"/>
      <c r="G86" s="5"/>
      <c r="H86" s="5"/>
      <c r="I86" s="5"/>
      <c r="K86" s="5"/>
      <c r="M86" s="5"/>
      <c r="N86" s="5"/>
    </row>
    <row r="87">
      <c r="E87" s="4"/>
      <c r="G87" s="5"/>
      <c r="H87" s="5"/>
      <c r="I87" s="5"/>
      <c r="K87" s="5"/>
      <c r="M87" s="5"/>
      <c r="N87" s="5"/>
    </row>
    <row r="88">
      <c r="E88" s="4"/>
      <c r="G88" s="5"/>
      <c r="H88" s="5"/>
      <c r="I88" s="5"/>
      <c r="K88" s="5"/>
      <c r="M88" s="5"/>
      <c r="N88" s="5"/>
    </row>
    <row r="89">
      <c r="E89" s="4"/>
      <c r="G89" s="5"/>
      <c r="H89" s="5"/>
      <c r="I89" s="5"/>
      <c r="K89" s="5"/>
      <c r="M89" s="5"/>
      <c r="N89" s="5"/>
    </row>
    <row r="90">
      <c r="E90" s="4"/>
      <c r="G90" s="5"/>
      <c r="H90" s="5"/>
      <c r="I90" s="5"/>
      <c r="K90" s="5"/>
      <c r="M90" s="5"/>
      <c r="N90" s="5"/>
    </row>
    <row r="91">
      <c r="E91" s="4"/>
      <c r="G91" s="5"/>
      <c r="H91" s="5"/>
      <c r="I91" s="5"/>
      <c r="K91" s="5"/>
      <c r="M91" s="5"/>
      <c r="N91" s="5"/>
    </row>
    <row r="92">
      <c r="E92" s="4"/>
      <c r="G92" s="5"/>
      <c r="H92" s="5"/>
      <c r="I92" s="5"/>
      <c r="K92" s="5"/>
      <c r="M92" s="5"/>
      <c r="N92" s="5"/>
    </row>
    <row r="93">
      <c r="E93" s="4"/>
      <c r="G93" s="5"/>
      <c r="H93" s="5"/>
      <c r="I93" s="5"/>
      <c r="K93" s="5"/>
      <c r="M93" s="5"/>
      <c r="N93" s="5"/>
    </row>
    <row r="94">
      <c r="E94" s="4"/>
      <c r="G94" s="5"/>
      <c r="H94" s="5"/>
      <c r="I94" s="5"/>
      <c r="K94" s="5"/>
      <c r="M94" s="5"/>
      <c r="N94" s="5"/>
    </row>
    <row r="95">
      <c r="E95" s="4"/>
      <c r="G95" s="5"/>
      <c r="H95" s="5"/>
      <c r="I95" s="5"/>
      <c r="K95" s="5"/>
      <c r="M95" s="5"/>
      <c r="N95" s="5"/>
    </row>
    <row r="96">
      <c r="E96" s="4"/>
      <c r="G96" s="5"/>
      <c r="H96" s="5"/>
      <c r="I96" s="5"/>
      <c r="K96" s="5"/>
      <c r="M96" s="5"/>
      <c r="N96" s="5"/>
    </row>
    <row r="97">
      <c r="E97" s="4"/>
      <c r="G97" s="5"/>
      <c r="H97" s="5"/>
      <c r="I97" s="5"/>
      <c r="K97" s="5"/>
      <c r="M97" s="5"/>
      <c r="N97" s="5"/>
    </row>
    <row r="98">
      <c r="E98" s="4"/>
      <c r="G98" s="5"/>
      <c r="H98" s="5"/>
      <c r="I98" s="5"/>
      <c r="K98" s="5"/>
      <c r="M98" s="5"/>
      <c r="N98" s="5"/>
    </row>
    <row r="99">
      <c r="E99" s="4"/>
      <c r="G99" s="5"/>
      <c r="H99" s="5"/>
      <c r="I99" s="5"/>
      <c r="K99" s="5"/>
      <c r="M99" s="5"/>
      <c r="N99" s="5"/>
    </row>
    <row r="100">
      <c r="E100" s="4"/>
      <c r="G100" s="5"/>
      <c r="H100" s="5"/>
      <c r="I100" s="5"/>
      <c r="K100" s="5"/>
      <c r="M100" s="5"/>
      <c r="N100" s="5"/>
    </row>
    <row r="101">
      <c r="E101" s="4"/>
      <c r="G101" s="5"/>
      <c r="H101" s="5"/>
      <c r="I101" s="5"/>
      <c r="K101" s="5"/>
      <c r="M101" s="5"/>
      <c r="N101" s="5"/>
    </row>
    <row r="102">
      <c r="E102" s="4"/>
      <c r="G102" s="5"/>
      <c r="H102" s="5"/>
      <c r="I102" s="5"/>
      <c r="K102" s="5"/>
      <c r="M102" s="5"/>
      <c r="N102" s="5"/>
    </row>
    <row r="103">
      <c r="E103" s="4"/>
      <c r="G103" s="5"/>
      <c r="H103" s="5"/>
      <c r="I103" s="5"/>
      <c r="K103" s="5"/>
      <c r="M103" s="5"/>
      <c r="N103" s="5"/>
    </row>
    <row r="104">
      <c r="E104" s="4"/>
      <c r="G104" s="5"/>
      <c r="H104" s="5"/>
      <c r="I104" s="5"/>
      <c r="K104" s="5"/>
      <c r="M104" s="5"/>
      <c r="N104" s="5"/>
    </row>
    <row r="105">
      <c r="E105" s="4"/>
      <c r="G105" s="5"/>
      <c r="H105" s="5"/>
      <c r="I105" s="5"/>
      <c r="K105" s="5"/>
      <c r="M105" s="5"/>
      <c r="N105" s="5"/>
    </row>
    <row r="106">
      <c r="E106" s="4"/>
      <c r="G106" s="5"/>
      <c r="H106" s="5"/>
      <c r="I106" s="5"/>
      <c r="K106" s="5"/>
      <c r="M106" s="5"/>
      <c r="N106" s="5"/>
    </row>
    <row r="107">
      <c r="E107" s="4"/>
      <c r="G107" s="5"/>
      <c r="H107" s="5"/>
      <c r="I107" s="5"/>
      <c r="K107" s="5"/>
      <c r="M107" s="5"/>
      <c r="N107" s="5"/>
    </row>
    <row r="108">
      <c r="E108" s="4"/>
      <c r="G108" s="5"/>
      <c r="H108" s="5"/>
      <c r="I108" s="5"/>
      <c r="K108" s="5"/>
      <c r="M108" s="5"/>
      <c r="N108" s="5"/>
    </row>
    <row r="109">
      <c r="E109" s="4"/>
      <c r="G109" s="5"/>
      <c r="H109" s="5"/>
      <c r="I109" s="5"/>
      <c r="K109" s="5"/>
      <c r="M109" s="5"/>
      <c r="N109" s="5"/>
    </row>
    <row r="110">
      <c r="E110" s="4"/>
      <c r="G110" s="5"/>
      <c r="H110" s="5"/>
      <c r="I110" s="5"/>
      <c r="K110" s="5"/>
      <c r="M110" s="5"/>
      <c r="N110" s="5"/>
    </row>
    <row r="111">
      <c r="E111" s="4"/>
      <c r="G111" s="5"/>
      <c r="H111" s="5"/>
      <c r="I111" s="5"/>
      <c r="K111" s="5"/>
      <c r="M111" s="5"/>
      <c r="N111" s="5"/>
    </row>
    <row r="112">
      <c r="E112" s="4"/>
      <c r="G112" s="5"/>
      <c r="H112" s="5"/>
      <c r="I112" s="5"/>
      <c r="K112" s="5"/>
      <c r="M112" s="5"/>
      <c r="N112" s="5"/>
    </row>
    <row r="113">
      <c r="E113" s="4"/>
      <c r="G113" s="5"/>
      <c r="H113" s="5"/>
      <c r="I113" s="5"/>
      <c r="K113" s="5"/>
      <c r="M113" s="5"/>
      <c r="N113" s="5"/>
    </row>
    <row r="114">
      <c r="E114" s="4"/>
      <c r="G114" s="5"/>
      <c r="H114" s="5"/>
      <c r="I114" s="5"/>
      <c r="K114" s="5"/>
      <c r="M114" s="5"/>
      <c r="N114" s="5"/>
    </row>
    <row r="115">
      <c r="E115" s="4"/>
      <c r="G115" s="5"/>
      <c r="H115" s="5"/>
      <c r="I115" s="5"/>
      <c r="K115" s="5"/>
      <c r="M115" s="5"/>
      <c r="N115" s="5"/>
    </row>
    <row r="116">
      <c r="E116" s="4"/>
      <c r="G116" s="5"/>
      <c r="H116" s="5"/>
      <c r="I116" s="5"/>
      <c r="K116" s="5"/>
      <c r="M116" s="5"/>
      <c r="N116" s="5"/>
    </row>
    <row r="117">
      <c r="E117" s="4"/>
      <c r="G117" s="5"/>
      <c r="H117" s="5"/>
      <c r="I117" s="5"/>
      <c r="K117" s="5"/>
      <c r="M117" s="5"/>
      <c r="N117" s="5"/>
    </row>
    <row r="118">
      <c r="E118" s="4"/>
      <c r="G118" s="5"/>
      <c r="H118" s="5"/>
      <c r="I118" s="5"/>
      <c r="K118" s="5"/>
      <c r="M118" s="5"/>
      <c r="N118" s="5"/>
    </row>
    <row r="119">
      <c r="E119" s="4"/>
      <c r="G119" s="5"/>
      <c r="H119" s="5"/>
      <c r="I119" s="5"/>
      <c r="K119" s="5"/>
      <c r="M119" s="5"/>
      <c r="N119" s="5"/>
    </row>
    <row r="120">
      <c r="E120" s="4"/>
      <c r="G120" s="5"/>
      <c r="H120" s="5"/>
      <c r="I120" s="5"/>
      <c r="K120" s="5"/>
      <c r="M120" s="5"/>
      <c r="N120" s="5"/>
    </row>
    <row r="121">
      <c r="E121" s="4"/>
      <c r="G121" s="5"/>
      <c r="H121" s="5"/>
      <c r="I121" s="5"/>
      <c r="K121" s="5"/>
      <c r="M121" s="5"/>
      <c r="N121" s="5"/>
    </row>
    <row r="122">
      <c r="E122" s="4"/>
      <c r="G122" s="5"/>
      <c r="H122" s="5"/>
      <c r="I122" s="5"/>
      <c r="K122" s="5"/>
      <c r="M122" s="5"/>
      <c r="N122" s="5"/>
    </row>
    <row r="123">
      <c r="E123" s="4"/>
      <c r="G123" s="5"/>
      <c r="H123" s="5"/>
      <c r="I123" s="5"/>
      <c r="K123" s="5"/>
      <c r="M123" s="5"/>
      <c r="N123" s="5"/>
    </row>
    <row r="124">
      <c r="E124" s="4"/>
      <c r="G124" s="5"/>
      <c r="H124" s="5"/>
      <c r="I124" s="5"/>
      <c r="K124" s="5"/>
      <c r="M124" s="5"/>
      <c r="N124" s="5"/>
    </row>
    <row r="125">
      <c r="E125" s="4"/>
      <c r="G125" s="5"/>
      <c r="H125" s="5"/>
      <c r="I125" s="5"/>
      <c r="K125" s="5"/>
      <c r="M125" s="5"/>
      <c r="N125" s="5"/>
    </row>
    <row r="126">
      <c r="E126" s="4"/>
      <c r="G126" s="5"/>
      <c r="H126" s="5"/>
      <c r="I126" s="5"/>
      <c r="K126" s="5"/>
      <c r="M126" s="5"/>
      <c r="N126" s="5"/>
    </row>
    <row r="127">
      <c r="E127" s="4"/>
      <c r="G127" s="5"/>
      <c r="H127" s="5"/>
      <c r="I127" s="5"/>
      <c r="K127" s="5"/>
      <c r="M127" s="5"/>
      <c r="N127" s="5"/>
    </row>
    <row r="128">
      <c r="E128" s="4"/>
      <c r="G128" s="5"/>
      <c r="H128" s="5"/>
      <c r="I128" s="5"/>
      <c r="K128" s="5"/>
      <c r="M128" s="5"/>
      <c r="N128" s="5"/>
    </row>
    <row r="129">
      <c r="E129" s="4"/>
      <c r="G129" s="5"/>
      <c r="H129" s="5"/>
      <c r="I129" s="5"/>
      <c r="K129" s="5"/>
      <c r="M129" s="5"/>
      <c r="N129" s="5"/>
    </row>
    <row r="130">
      <c r="E130" s="4"/>
      <c r="G130" s="5"/>
      <c r="H130" s="5"/>
      <c r="I130" s="5"/>
      <c r="K130" s="5"/>
      <c r="M130" s="5"/>
      <c r="N130" s="5"/>
    </row>
    <row r="131">
      <c r="E131" s="4"/>
      <c r="G131" s="5"/>
      <c r="H131" s="5"/>
      <c r="I131" s="5"/>
      <c r="K131" s="5"/>
      <c r="M131" s="5"/>
      <c r="N131" s="5"/>
    </row>
    <row r="132">
      <c r="E132" s="4"/>
      <c r="G132" s="5"/>
      <c r="H132" s="5"/>
      <c r="I132" s="5"/>
      <c r="K132" s="5"/>
      <c r="M132" s="5"/>
      <c r="N132" s="5"/>
    </row>
    <row r="133">
      <c r="E133" s="4"/>
      <c r="G133" s="5"/>
      <c r="H133" s="5"/>
      <c r="I133" s="5"/>
      <c r="K133" s="5"/>
      <c r="M133" s="5"/>
      <c r="N133" s="5"/>
    </row>
    <row r="134">
      <c r="E134" s="4"/>
      <c r="G134" s="5"/>
      <c r="H134" s="5"/>
      <c r="I134" s="5"/>
      <c r="K134" s="5"/>
      <c r="M134" s="5"/>
      <c r="N134" s="5"/>
    </row>
    <row r="135">
      <c r="E135" s="4"/>
      <c r="G135" s="5"/>
      <c r="H135" s="5"/>
      <c r="I135" s="5"/>
      <c r="K135" s="5"/>
      <c r="M135" s="5"/>
      <c r="N135" s="5"/>
    </row>
    <row r="136">
      <c r="E136" s="4"/>
      <c r="G136" s="5"/>
      <c r="H136" s="5"/>
      <c r="I136" s="5"/>
      <c r="K136" s="5"/>
      <c r="M136" s="5"/>
      <c r="N136" s="5"/>
    </row>
    <row r="137">
      <c r="E137" s="4"/>
      <c r="G137" s="5"/>
      <c r="H137" s="5"/>
      <c r="I137" s="5"/>
      <c r="K137" s="5"/>
      <c r="M137" s="5"/>
      <c r="N137" s="5"/>
    </row>
    <row r="138">
      <c r="E138" s="4"/>
      <c r="G138" s="5"/>
      <c r="H138" s="5"/>
      <c r="I138" s="5"/>
      <c r="K138" s="5"/>
      <c r="M138" s="5"/>
      <c r="N138" s="5"/>
    </row>
    <row r="139">
      <c r="E139" s="4"/>
      <c r="G139" s="5"/>
      <c r="H139" s="5"/>
      <c r="I139" s="5"/>
      <c r="K139" s="5"/>
      <c r="M139" s="5"/>
      <c r="N139" s="5"/>
    </row>
    <row r="140">
      <c r="E140" s="4"/>
      <c r="G140" s="5"/>
      <c r="H140" s="5"/>
      <c r="I140" s="5"/>
      <c r="K140" s="5"/>
      <c r="M140" s="5"/>
      <c r="N140" s="5"/>
    </row>
    <row r="141">
      <c r="E141" s="4"/>
      <c r="G141" s="5"/>
      <c r="H141" s="5"/>
      <c r="I141" s="5"/>
      <c r="K141" s="5"/>
      <c r="M141" s="5"/>
      <c r="N141" s="5"/>
    </row>
    <row r="142">
      <c r="E142" s="4"/>
      <c r="G142" s="5"/>
      <c r="H142" s="5"/>
      <c r="I142" s="5"/>
      <c r="K142" s="5"/>
      <c r="M142" s="5"/>
      <c r="N142" s="5"/>
    </row>
    <row r="143">
      <c r="E143" s="4"/>
      <c r="G143" s="5"/>
      <c r="H143" s="5"/>
      <c r="I143" s="5"/>
      <c r="K143" s="5"/>
      <c r="M143" s="5"/>
      <c r="N143" s="5"/>
    </row>
    <row r="144">
      <c r="E144" s="4"/>
      <c r="G144" s="5"/>
      <c r="H144" s="5"/>
      <c r="I144" s="5"/>
      <c r="K144" s="5"/>
      <c r="M144" s="5"/>
      <c r="N144" s="5"/>
    </row>
    <row r="145">
      <c r="E145" s="4"/>
      <c r="G145" s="5"/>
      <c r="H145" s="5"/>
      <c r="I145" s="5"/>
      <c r="K145" s="5"/>
      <c r="M145" s="5"/>
      <c r="N145" s="5"/>
    </row>
    <row r="146">
      <c r="E146" s="4"/>
      <c r="G146" s="5"/>
      <c r="H146" s="5"/>
      <c r="I146" s="5"/>
      <c r="K146" s="5"/>
      <c r="M146" s="5"/>
      <c r="N146" s="5"/>
    </row>
    <row r="147">
      <c r="E147" s="4"/>
      <c r="G147" s="5"/>
      <c r="H147" s="5"/>
      <c r="I147" s="5"/>
      <c r="K147" s="5"/>
      <c r="M147" s="5"/>
      <c r="N147" s="5"/>
    </row>
    <row r="148">
      <c r="E148" s="4"/>
      <c r="G148" s="5"/>
      <c r="H148" s="5"/>
      <c r="I148" s="5"/>
      <c r="K148" s="5"/>
      <c r="M148" s="5"/>
      <c r="N148" s="5"/>
    </row>
    <row r="149">
      <c r="E149" s="4"/>
      <c r="G149" s="5"/>
      <c r="H149" s="5"/>
      <c r="I149" s="5"/>
      <c r="K149" s="5"/>
      <c r="M149" s="5"/>
      <c r="N149" s="5"/>
    </row>
    <row r="150">
      <c r="E150" s="4"/>
      <c r="G150" s="5"/>
      <c r="H150" s="5"/>
      <c r="I150" s="5"/>
      <c r="K150" s="5"/>
      <c r="M150" s="5"/>
      <c r="N150" s="5"/>
    </row>
    <row r="151">
      <c r="E151" s="4"/>
      <c r="G151" s="5"/>
      <c r="H151" s="5"/>
      <c r="I151" s="5"/>
      <c r="K151" s="5"/>
      <c r="M151" s="5"/>
      <c r="N151" s="5"/>
    </row>
    <row r="152">
      <c r="E152" s="4"/>
      <c r="G152" s="5"/>
      <c r="H152" s="5"/>
      <c r="I152" s="5"/>
      <c r="K152" s="5"/>
      <c r="M152" s="5"/>
      <c r="N152" s="5"/>
    </row>
    <row r="153">
      <c r="E153" s="4"/>
      <c r="G153" s="5"/>
      <c r="H153" s="5"/>
      <c r="I153" s="5"/>
      <c r="K153" s="5"/>
      <c r="M153" s="5"/>
      <c r="N153" s="5"/>
    </row>
    <row r="154">
      <c r="E154" s="4"/>
      <c r="G154" s="5"/>
      <c r="H154" s="5"/>
      <c r="I154" s="5"/>
      <c r="K154" s="5"/>
      <c r="M154" s="5"/>
      <c r="N154" s="5"/>
    </row>
    <row r="155">
      <c r="E155" s="4"/>
      <c r="G155" s="5"/>
      <c r="H155" s="5"/>
      <c r="I155" s="5"/>
      <c r="K155" s="5"/>
      <c r="M155" s="5"/>
      <c r="N155" s="5"/>
    </row>
    <row r="156">
      <c r="E156" s="4"/>
      <c r="G156" s="5"/>
      <c r="H156" s="5"/>
      <c r="I156" s="5"/>
      <c r="K156" s="5"/>
      <c r="M156" s="5"/>
      <c r="N156" s="5"/>
    </row>
    <row r="157">
      <c r="E157" s="4"/>
      <c r="G157" s="5"/>
      <c r="H157" s="5"/>
      <c r="I157" s="5"/>
      <c r="K157" s="5"/>
      <c r="M157" s="5"/>
      <c r="N157" s="5"/>
    </row>
    <row r="158">
      <c r="E158" s="4"/>
      <c r="G158" s="5"/>
      <c r="H158" s="5"/>
      <c r="I158" s="5"/>
      <c r="K158" s="5"/>
      <c r="M158" s="5"/>
      <c r="N158" s="5"/>
    </row>
    <row r="159">
      <c r="E159" s="4"/>
      <c r="G159" s="5"/>
      <c r="H159" s="5"/>
      <c r="I159" s="5"/>
      <c r="K159" s="5"/>
      <c r="M159" s="5"/>
      <c r="N159" s="5"/>
    </row>
    <row r="160">
      <c r="E160" s="4"/>
      <c r="G160" s="5"/>
      <c r="H160" s="5"/>
      <c r="I160" s="5"/>
      <c r="K160" s="5"/>
      <c r="M160" s="5"/>
      <c r="N160" s="5"/>
    </row>
    <row r="161">
      <c r="E161" s="4"/>
      <c r="G161" s="5"/>
      <c r="H161" s="5"/>
      <c r="I161" s="5"/>
      <c r="K161" s="5"/>
      <c r="M161" s="5"/>
      <c r="N161" s="5"/>
    </row>
    <row r="162">
      <c r="E162" s="4"/>
      <c r="G162" s="5"/>
      <c r="H162" s="5"/>
      <c r="I162" s="5"/>
      <c r="K162" s="5"/>
      <c r="M162" s="5"/>
      <c r="N162" s="5"/>
    </row>
    <row r="163">
      <c r="E163" s="4"/>
      <c r="G163" s="5"/>
      <c r="H163" s="5"/>
      <c r="I163" s="5"/>
      <c r="K163" s="5"/>
      <c r="M163" s="5"/>
      <c r="N163" s="5"/>
    </row>
    <row r="164">
      <c r="E164" s="4"/>
      <c r="G164" s="5"/>
      <c r="H164" s="5"/>
      <c r="I164" s="5"/>
      <c r="K164" s="5"/>
      <c r="M164" s="5"/>
      <c r="N164" s="5"/>
    </row>
    <row r="165">
      <c r="E165" s="4"/>
      <c r="G165" s="5"/>
      <c r="H165" s="5"/>
      <c r="I165" s="5"/>
      <c r="K165" s="5"/>
      <c r="M165" s="5"/>
      <c r="N165" s="5"/>
    </row>
    <row r="166">
      <c r="E166" s="4"/>
      <c r="G166" s="5"/>
      <c r="H166" s="5"/>
      <c r="I166" s="5"/>
      <c r="K166" s="5"/>
      <c r="M166" s="5"/>
      <c r="N166" s="5"/>
    </row>
    <row r="167">
      <c r="E167" s="4"/>
      <c r="G167" s="5"/>
      <c r="H167" s="5"/>
      <c r="I167" s="5"/>
      <c r="K167" s="5"/>
      <c r="M167" s="5"/>
      <c r="N167" s="5"/>
    </row>
    <row r="168">
      <c r="E168" s="4"/>
      <c r="G168" s="5"/>
      <c r="H168" s="5"/>
      <c r="I168" s="5"/>
      <c r="K168" s="5"/>
      <c r="M168" s="5"/>
      <c r="N168" s="5"/>
    </row>
    <row r="169">
      <c r="E169" s="4"/>
      <c r="G169" s="5"/>
      <c r="H169" s="5"/>
      <c r="I169" s="5"/>
      <c r="K169" s="5"/>
      <c r="M169" s="5"/>
      <c r="N169" s="5"/>
    </row>
    <row r="170">
      <c r="E170" s="4"/>
      <c r="G170" s="5"/>
      <c r="H170" s="5"/>
      <c r="I170" s="5"/>
      <c r="K170" s="5"/>
      <c r="M170" s="5"/>
      <c r="N170" s="5"/>
    </row>
    <row r="171">
      <c r="E171" s="4"/>
      <c r="G171" s="5"/>
      <c r="H171" s="5"/>
      <c r="I171" s="5"/>
      <c r="K171" s="5"/>
      <c r="M171" s="5"/>
      <c r="N171" s="5"/>
    </row>
    <row r="172">
      <c r="E172" s="4"/>
      <c r="G172" s="5"/>
      <c r="H172" s="5"/>
      <c r="I172" s="5"/>
      <c r="K172" s="5"/>
      <c r="M172" s="5"/>
      <c r="N172" s="5"/>
    </row>
    <row r="173">
      <c r="E173" s="4"/>
      <c r="G173" s="5"/>
      <c r="H173" s="5"/>
      <c r="I173" s="5"/>
      <c r="K173" s="5"/>
      <c r="M173" s="5"/>
      <c r="N173" s="5"/>
    </row>
    <row r="174">
      <c r="E174" s="4"/>
      <c r="G174" s="5"/>
      <c r="H174" s="5"/>
      <c r="I174" s="5"/>
      <c r="K174" s="5"/>
      <c r="M174" s="5"/>
      <c r="N174" s="5"/>
    </row>
    <row r="175">
      <c r="E175" s="4"/>
      <c r="G175" s="5"/>
      <c r="H175" s="5"/>
      <c r="I175" s="5"/>
      <c r="K175" s="5"/>
      <c r="M175" s="5"/>
      <c r="N175" s="5"/>
    </row>
    <row r="176">
      <c r="E176" s="4"/>
      <c r="G176" s="5"/>
      <c r="H176" s="5"/>
      <c r="I176" s="5"/>
      <c r="K176" s="5"/>
      <c r="M176" s="5"/>
      <c r="N176" s="5"/>
    </row>
    <row r="177">
      <c r="E177" s="4"/>
      <c r="G177" s="5"/>
      <c r="H177" s="5"/>
      <c r="I177" s="5"/>
      <c r="K177" s="5"/>
      <c r="M177" s="5"/>
      <c r="N177" s="5"/>
    </row>
    <row r="178">
      <c r="E178" s="4"/>
      <c r="G178" s="5"/>
      <c r="H178" s="5"/>
      <c r="I178" s="5"/>
      <c r="K178" s="5"/>
      <c r="M178" s="5"/>
      <c r="N178" s="5"/>
    </row>
    <row r="179">
      <c r="E179" s="4"/>
      <c r="G179" s="5"/>
      <c r="H179" s="5"/>
      <c r="I179" s="5"/>
      <c r="K179" s="5"/>
      <c r="M179" s="5"/>
      <c r="N179" s="5"/>
    </row>
    <row r="180">
      <c r="E180" s="4"/>
      <c r="G180" s="5"/>
      <c r="H180" s="5"/>
      <c r="I180" s="5"/>
      <c r="K180" s="5"/>
      <c r="M180" s="5"/>
      <c r="N180" s="5"/>
    </row>
    <row r="181">
      <c r="E181" s="4"/>
      <c r="G181" s="5"/>
      <c r="H181" s="5"/>
      <c r="I181" s="5"/>
      <c r="K181" s="5"/>
      <c r="M181" s="5"/>
      <c r="N181" s="5"/>
    </row>
    <row r="182">
      <c r="E182" s="4"/>
      <c r="G182" s="5"/>
      <c r="H182" s="5"/>
      <c r="I182" s="5"/>
      <c r="K182" s="5"/>
      <c r="M182" s="5"/>
      <c r="N182" s="5"/>
    </row>
    <row r="183">
      <c r="E183" s="4"/>
      <c r="G183" s="5"/>
      <c r="H183" s="5"/>
      <c r="I183" s="5"/>
      <c r="K183" s="5"/>
      <c r="M183" s="5"/>
      <c r="N183" s="5"/>
    </row>
    <row r="184">
      <c r="E184" s="4"/>
      <c r="G184" s="5"/>
      <c r="H184" s="5"/>
      <c r="I184" s="5"/>
      <c r="K184" s="5"/>
      <c r="M184" s="5"/>
      <c r="N184" s="5"/>
    </row>
    <row r="185">
      <c r="E185" s="4"/>
      <c r="G185" s="5"/>
      <c r="H185" s="5"/>
      <c r="I185" s="5"/>
      <c r="K185" s="5"/>
      <c r="M185" s="5"/>
      <c r="N185" s="5"/>
    </row>
    <row r="186">
      <c r="E186" s="4"/>
      <c r="G186" s="5"/>
      <c r="H186" s="5"/>
      <c r="I186" s="5"/>
      <c r="K186" s="5"/>
      <c r="M186" s="5"/>
      <c r="N186" s="5"/>
    </row>
    <row r="187">
      <c r="E187" s="4"/>
      <c r="G187" s="5"/>
      <c r="H187" s="5"/>
      <c r="I187" s="5"/>
      <c r="K187" s="5"/>
      <c r="M187" s="5"/>
      <c r="N187" s="5"/>
    </row>
    <row r="188">
      <c r="E188" s="4"/>
      <c r="G188" s="5"/>
      <c r="H188" s="5"/>
      <c r="I188" s="5"/>
      <c r="K188" s="5"/>
      <c r="M188" s="5"/>
      <c r="N188" s="5"/>
    </row>
    <row r="189">
      <c r="E189" s="4"/>
      <c r="G189" s="5"/>
      <c r="H189" s="5"/>
      <c r="I189" s="5"/>
      <c r="K189" s="5"/>
      <c r="M189" s="5"/>
      <c r="N189" s="5"/>
    </row>
    <row r="190">
      <c r="E190" s="4"/>
      <c r="G190" s="5"/>
      <c r="H190" s="5"/>
      <c r="I190" s="5"/>
      <c r="K190" s="5"/>
      <c r="M190" s="5"/>
      <c r="N190" s="5"/>
    </row>
    <row r="191">
      <c r="E191" s="4"/>
      <c r="G191" s="5"/>
      <c r="H191" s="5"/>
      <c r="I191" s="5"/>
      <c r="K191" s="5"/>
      <c r="M191" s="5"/>
      <c r="N191" s="5"/>
    </row>
    <row r="192">
      <c r="E192" s="4"/>
      <c r="G192" s="5"/>
      <c r="H192" s="5"/>
      <c r="I192" s="5"/>
      <c r="K192" s="5"/>
      <c r="M192" s="5"/>
      <c r="N192" s="5"/>
    </row>
    <row r="193">
      <c r="E193" s="4"/>
      <c r="G193" s="5"/>
      <c r="H193" s="5"/>
      <c r="I193" s="5"/>
      <c r="K193" s="5"/>
      <c r="M193" s="5"/>
      <c r="N193" s="5"/>
    </row>
    <row r="194">
      <c r="E194" s="4"/>
      <c r="G194" s="5"/>
      <c r="H194" s="5"/>
      <c r="I194" s="5"/>
      <c r="K194" s="5"/>
      <c r="M194" s="5"/>
      <c r="N194" s="5"/>
    </row>
    <row r="195">
      <c r="E195" s="4"/>
      <c r="G195" s="5"/>
      <c r="H195" s="5"/>
      <c r="I195" s="5"/>
      <c r="K195" s="5"/>
      <c r="M195" s="5"/>
      <c r="N195" s="5"/>
    </row>
    <row r="196">
      <c r="E196" s="4"/>
      <c r="G196" s="5"/>
      <c r="H196" s="5"/>
      <c r="I196" s="5"/>
      <c r="K196" s="5"/>
      <c r="M196" s="5"/>
      <c r="N196" s="5"/>
    </row>
    <row r="197">
      <c r="E197" s="4"/>
      <c r="G197" s="5"/>
      <c r="H197" s="5"/>
      <c r="I197" s="5"/>
      <c r="K197" s="5"/>
      <c r="M197" s="5"/>
      <c r="N197" s="5"/>
    </row>
    <row r="198">
      <c r="E198" s="4"/>
      <c r="G198" s="5"/>
      <c r="H198" s="5"/>
      <c r="I198" s="5"/>
      <c r="K198" s="5"/>
      <c r="M198" s="5"/>
      <c r="N198" s="5"/>
    </row>
    <row r="199">
      <c r="E199" s="4"/>
      <c r="G199" s="5"/>
      <c r="H199" s="5"/>
      <c r="I199" s="5"/>
      <c r="K199" s="5"/>
      <c r="M199" s="5"/>
      <c r="N199" s="5"/>
    </row>
    <row r="200">
      <c r="E200" s="4"/>
      <c r="G200" s="5"/>
      <c r="H200" s="5"/>
      <c r="I200" s="5"/>
      <c r="K200" s="5"/>
      <c r="M200" s="5"/>
      <c r="N200" s="5"/>
    </row>
    <row r="201">
      <c r="E201" s="4"/>
      <c r="G201" s="5"/>
      <c r="H201" s="5"/>
      <c r="I201" s="5"/>
      <c r="K201" s="5"/>
      <c r="M201" s="5"/>
      <c r="N201" s="5"/>
    </row>
    <row r="202">
      <c r="E202" s="4"/>
      <c r="G202" s="5"/>
      <c r="H202" s="5"/>
      <c r="I202" s="5"/>
      <c r="K202" s="5"/>
      <c r="M202" s="5"/>
      <c r="N202" s="5"/>
    </row>
    <row r="203">
      <c r="E203" s="4"/>
      <c r="G203" s="5"/>
      <c r="H203" s="5"/>
      <c r="I203" s="5"/>
      <c r="K203" s="5"/>
      <c r="M203" s="5"/>
      <c r="N203" s="5"/>
    </row>
    <row r="204">
      <c r="E204" s="4"/>
      <c r="G204" s="5"/>
      <c r="H204" s="5"/>
      <c r="I204" s="5"/>
      <c r="K204" s="5"/>
      <c r="M204" s="5"/>
      <c r="N204" s="5"/>
    </row>
    <row r="205">
      <c r="E205" s="4"/>
      <c r="G205" s="5"/>
      <c r="H205" s="5"/>
      <c r="I205" s="5"/>
      <c r="K205" s="5"/>
      <c r="M205" s="5"/>
      <c r="N205" s="5"/>
    </row>
    <row r="206">
      <c r="E206" s="4"/>
      <c r="G206" s="5"/>
      <c r="H206" s="5"/>
      <c r="I206" s="5"/>
      <c r="K206" s="5"/>
      <c r="M206" s="5"/>
      <c r="N206" s="5"/>
    </row>
    <row r="207">
      <c r="E207" s="4"/>
      <c r="G207" s="5"/>
      <c r="H207" s="5"/>
      <c r="I207" s="5"/>
      <c r="K207" s="5"/>
      <c r="M207" s="5"/>
      <c r="N207" s="5"/>
    </row>
    <row r="208">
      <c r="E208" s="4"/>
      <c r="G208" s="5"/>
      <c r="H208" s="5"/>
      <c r="I208" s="5"/>
      <c r="K208" s="5"/>
      <c r="M208" s="5"/>
      <c r="N208" s="5"/>
    </row>
    <row r="209">
      <c r="E209" s="4"/>
      <c r="G209" s="5"/>
      <c r="H209" s="5"/>
      <c r="I209" s="5"/>
      <c r="K209" s="5"/>
      <c r="M209" s="5"/>
      <c r="N209" s="5"/>
    </row>
    <row r="210">
      <c r="E210" s="4"/>
      <c r="G210" s="5"/>
      <c r="H210" s="5"/>
      <c r="I210" s="5"/>
      <c r="K210" s="5"/>
      <c r="M210" s="5"/>
      <c r="N210" s="5"/>
    </row>
    <row r="211">
      <c r="E211" s="4"/>
      <c r="G211" s="5"/>
      <c r="H211" s="5"/>
      <c r="I211" s="5"/>
      <c r="K211" s="5"/>
      <c r="M211" s="5"/>
      <c r="N211" s="5"/>
    </row>
    <row r="212">
      <c r="E212" s="4"/>
      <c r="G212" s="5"/>
      <c r="H212" s="5"/>
      <c r="I212" s="5"/>
      <c r="K212" s="5"/>
      <c r="M212" s="5"/>
      <c r="N212" s="5"/>
    </row>
    <row r="213">
      <c r="E213" s="4"/>
      <c r="G213" s="5"/>
      <c r="H213" s="5"/>
      <c r="I213" s="5"/>
      <c r="K213" s="5"/>
      <c r="M213" s="5"/>
      <c r="N213" s="5"/>
    </row>
    <row r="214">
      <c r="E214" s="4"/>
      <c r="G214" s="5"/>
      <c r="H214" s="5"/>
      <c r="I214" s="5"/>
      <c r="K214" s="5"/>
      <c r="M214" s="5"/>
      <c r="N214" s="5"/>
    </row>
    <row r="215">
      <c r="E215" s="4"/>
      <c r="G215" s="5"/>
      <c r="H215" s="5"/>
      <c r="I215" s="5"/>
      <c r="K215" s="5"/>
      <c r="M215" s="5"/>
      <c r="N215" s="5"/>
    </row>
    <row r="216">
      <c r="E216" s="4"/>
      <c r="G216" s="5"/>
      <c r="H216" s="5"/>
      <c r="I216" s="5"/>
      <c r="K216" s="5"/>
      <c r="M216" s="5"/>
      <c r="N216" s="5"/>
    </row>
    <row r="217">
      <c r="E217" s="4"/>
      <c r="G217" s="5"/>
      <c r="H217" s="5"/>
      <c r="I217" s="5"/>
      <c r="K217" s="5"/>
      <c r="M217" s="5"/>
      <c r="N217" s="5"/>
    </row>
    <row r="218">
      <c r="E218" s="4"/>
      <c r="G218" s="5"/>
      <c r="H218" s="5"/>
      <c r="I218" s="5"/>
      <c r="K218" s="5"/>
      <c r="M218" s="5"/>
      <c r="N218" s="5"/>
    </row>
    <row r="219">
      <c r="E219" s="4"/>
      <c r="G219" s="5"/>
      <c r="H219" s="5"/>
      <c r="I219" s="5"/>
      <c r="K219" s="5"/>
      <c r="M219" s="5"/>
      <c r="N219" s="5"/>
    </row>
    <row r="220">
      <c r="E220" s="4"/>
      <c r="G220" s="5"/>
      <c r="H220" s="5"/>
      <c r="I220" s="5"/>
      <c r="K220" s="5"/>
      <c r="M220" s="5"/>
      <c r="N220" s="5"/>
    </row>
    <row r="221">
      <c r="E221" s="4"/>
      <c r="G221" s="5"/>
      <c r="H221" s="5"/>
      <c r="I221" s="5"/>
      <c r="K221" s="5"/>
      <c r="M221" s="5"/>
      <c r="N221" s="5"/>
    </row>
    <row r="222">
      <c r="E222" s="4"/>
      <c r="G222" s="5"/>
      <c r="H222" s="5"/>
      <c r="I222" s="5"/>
      <c r="K222" s="5"/>
      <c r="M222" s="5"/>
      <c r="N222" s="5"/>
    </row>
    <row r="223">
      <c r="E223" s="4"/>
      <c r="G223" s="5"/>
      <c r="H223" s="5"/>
      <c r="I223" s="5"/>
      <c r="K223" s="5"/>
      <c r="M223" s="5"/>
      <c r="N223" s="5"/>
    </row>
    <row r="224">
      <c r="E224" s="4"/>
      <c r="G224" s="5"/>
      <c r="H224" s="5"/>
      <c r="I224" s="5"/>
      <c r="K224" s="5"/>
      <c r="M224" s="5"/>
      <c r="N224" s="5"/>
    </row>
    <row r="225">
      <c r="E225" s="4"/>
      <c r="G225" s="5"/>
      <c r="H225" s="5"/>
      <c r="I225" s="5"/>
      <c r="K225" s="5"/>
      <c r="M225" s="5"/>
      <c r="N225" s="5"/>
    </row>
    <row r="226">
      <c r="E226" s="4"/>
      <c r="G226" s="5"/>
      <c r="H226" s="5"/>
      <c r="I226" s="5"/>
      <c r="K226" s="5"/>
      <c r="M226" s="5"/>
      <c r="N226" s="5"/>
    </row>
    <row r="227">
      <c r="E227" s="4"/>
      <c r="G227" s="5"/>
      <c r="H227" s="5"/>
      <c r="I227" s="5"/>
      <c r="K227" s="5"/>
      <c r="M227" s="5"/>
      <c r="N227" s="5"/>
    </row>
    <row r="228">
      <c r="E228" s="4"/>
      <c r="G228" s="5"/>
      <c r="H228" s="5"/>
      <c r="I228" s="5"/>
      <c r="K228" s="5"/>
      <c r="M228" s="5"/>
      <c r="N228" s="5"/>
    </row>
    <row r="229">
      <c r="E229" s="4"/>
      <c r="G229" s="5"/>
      <c r="H229" s="5"/>
      <c r="I229" s="5"/>
      <c r="K229" s="5"/>
      <c r="M229" s="5"/>
      <c r="N229" s="5"/>
    </row>
    <row r="230">
      <c r="E230" s="4"/>
      <c r="G230" s="5"/>
      <c r="H230" s="5"/>
      <c r="I230" s="5"/>
      <c r="K230" s="5"/>
      <c r="M230" s="5"/>
      <c r="N230" s="5"/>
    </row>
    <row r="231">
      <c r="E231" s="4"/>
      <c r="G231" s="5"/>
      <c r="H231" s="5"/>
      <c r="I231" s="5"/>
      <c r="K231" s="5"/>
      <c r="M231" s="5"/>
      <c r="N231" s="5"/>
    </row>
    <row r="232">
      <c r="E232" s="4"/>
      <c r="G232" s="5"/>
      <c r="H232" s="5"/>
      <c r="I232" s="5"/>
      <c r="K232" s="5"/>
      <c r="M232" s="5"/>
      <c r="N232" s="5"/>
    </row>
    <row r="233">
      <c r="E233" s="4"/>
      <c r="G233" s="5"/>
      <c r="H233" s="5"/>
      <c r="I233" s="5"/>
      <c r="K233" s="5"/>
      <c r="M233" s="5"/>
      <c r="N233" s="5"/>
    </row>
    <row r="234">
      <c r="E234" s="4"/>
      <c r="G234" s="5"/>
      <c r="H234" s="5"/>
      <c r="I234" s="5"/>
      <c r="K234" s="5"/>
      <c r="M234" s="5"/>
      <c r="N234" s="5"/>
    </row>
    <row r="235">
      <c r="E235" s="4"/>
      <c r="G235" s="5"/>
      <c r="H235" s="5"/>
      <c r="I235" s="5"/>
      <c r="K235" s="5"/>
      <c r="M235" s="5"/>
      <c r="N235" s="5"/>
    </row>
    <row r="236">
      <c r="E236" s="4"/>
      <c r="G236" s="5"/>
      <c r="H236" s="5"/>
      <c r="I236" s="5"/>
      <c r="K236" s="5"/>
      <c r="M236" s="5"/>
      <c r="N236" s="5"/>
    </row>
    <row r="237">
      <c r="E237" s="4"/>
      <c r="G237" s="5"/>
      <c r="H237" s="5"/>
      <c r="I237" s="5"/>
      <c r="K237" s="5"/>
      <c r="M237" s="5"/>
      <c r="N237" s="5"/>
    </row>
    <row r="238">
      <c r="E238" s="4"/>
      <c r="G238" s="5"/>
      <c r="H238" s="5"/>
      <c r="I238" s="5"/>
      <c r="K238" s="5"/>
      <c r="M238" s="5"/>
      <c r="N238" s="5"/>
    </row>
    <row r="239">
      <c r="E239" s="4"/>
      <c r="G239" s="5"/>
      <c r="H239" s="5"/>
      <c r="I239" s="5"/>
      <c r="K239" s="5"/>
      <c r="M239" s="5"/>
      <c r="N239" s="5"/>
    </row>
    <row r="240">
      <c r="E240" s="4"/>
      <c r="G240" s="5"/>
      <c r="H240" s="5"/>
      <c r="I240" s="5"/>
      <c r="K240" s="5"/>
      <c r="M240" s="5"/>
      <c r="N240" s="5"/>
    </row>
    <row r="241">
      <c r="E241" s="4"/>
      <c r="G241" s="5"/>
      <c r="H241" s="5"/>
      <c r="I241" s="5"/>
      <c r="K241" s="5"/>
      <c r="M241" s="5"/>
      <c r="N241" s="5"/>
    </row>
    <row r="242">
      <c r="E242" s="4"/>
      <c r="G242" s="5"/>
      <c r="H242" s="5"/>
      <c r="I242" s="5"/>
      <c r="K242" s="5"/>
      <c r="M242" s="5"/>
      <c r="N242" s="5"/>
    </row>
    <row r="243">
      <c r="E243" s="4"/>
      <c r="G243" s="5"/>
      <c r="H243" s="5"/>
      <c r="I243" s="5"/>
      <c r="K243" s="5"/>
      <c r="M243" s="5"/>
      <c r="N243" s="5"/>
    </row>
    <row r="244">
      <c r="E244" s="4"/>
      <c r="G244" s="5"/>
      <c r="H244" s="5"/>
      <c r="I244" s="5"/>
      <c r="K244" s="5"/>
      <c r="M244" s="5"/>
      <c r="N244" s="5"/>
    </row>
    <row r="245">
      <c r="E245" s="4"/>
      <c r="G245" s="5"/>
      <c r="H245" s="5"/>
      <c r="I245" s="5"/>
      <c r="K245" s="5"/>
      <c r="M245" s="5"/>
      <c r="N245" s="5"/>
    </row>
    <row r="246">
      <c r="E246" s="4"/>
      <c r="G246" s="5"/>
      <c r="H246" s="5"/>
      <c r="I246" s="5"/>
      <c r="K246" s="5"/>
      <c r="M246" s="5"/>
      <c r="N246" s="5"/>
    </row>
    <row r="247">
      <c r="E247" s="4"/>
      <c r="G247" s="5"/>
      <c r="H247" s="5"/>
      <c r="I247" s="5"/>
      <c r="K247" s="5"/>
      <c r="M247" s="5"/>
      <c r="N247" s="5"/>
    </row>
    <row r="248">
      <c r="E248" s="4"/>
      <c r="G248" s="5"/>
      <c r="H248" s="5"/>
      <c r="I248" s="5"/>
      <c r="K248" s="5"/>
      <c r="M248" s="5"/>
      <c r="N248" s="5"/>
    </row>
    <row r="249">
      <c r="E249" s="4"/>
      <c r="G249" s="5"/>
      <c r="H249" s="5"/>
      <c r="I249" s="5"/>
      <c r="K249" s="5"/>
      <c r="M249" s="5"/>
      <c r="N249" s="5"/>
    </row>
    <row r="250">
      <c r="E250" s="4"/>
      <c r="G250" s="5"/>
      <c r="H250" s="5"/>
      <c r="I250" s="5"/>
      <c r="K250" s="5"/>
      <c r="M250" s="5"/>
      <c r="N250" s="5"/>
    </row>
    <row r="251">
      <c r="E251" s="4"/>
      <c r="G251" s="5"/>
      <c r="H251" s="5"/>
      <c r="I251" s="5"/>
      <c r="K251" s="5"/>
      <c r="M251" s="5"/>
      <c r="N251" s="5"/>
    </row>
    <row r="252">
      <c r="E252" s="4"/>
      <c r="G252" s="5"/>
      <c r="H252" s="5"/>
      <c r="I252" s="5"/>
      <c r="K252" s="5"/>
      <c r="M252" s="5"/>
      <c r="N252" s="5"/>
    </row>
    <row r="253">
      <c r="E253" s="4"/>
      <c r="G253" s="5"/>
      <c r="H253" s="5"/>
      <c r="I253" s="5"/>
      <c r="K253" s="5"/>
      <c r="M253" s="5"/>
      <c r="N253" s="5"/>
    </row>
    <row r="254">
      <c r="E254" s="4"/>
      <c r="G254" s="5"/>
      <c r="H254" s="5"/>
      <c r="I254" s="5"/>
      <c r="K254" s="5"/>
      <c r="M254" s="5"/>
      <c r="N254" s="5"/>
    </row>
    <row r="255">
      <c r="E255" s="4"/>
      <c r="G255" s="5"/>
      <c r="H255" s="5"/>
      <c r="I255" s="5"/>
      <c r="K255" s="5"/>
      <c r="M255" s="5"/>
      <c r="N255" s="5"/>
    </row>
    <row r="256">
      <c r="E256" s="4"/>
      <c r="G256" s="5"/>
      <c r="H256" s="5"/>
      <c r="I256" s="5"/>
      <c r="K256" s="5"/>
      <c r="M256" s="5"/>
      <c r="N256" s="5"/>
    </row>
    <row r="257">
      <c r="E257" s="4"/>
      <c r="G257" s="5"/>
      <c r="H257" s="5"/>
      <c r="I257" s="5"/>
      <c r="K257" s="5"/>
      <c r="M257" s="5"/>
      <c r="N257" s="5"/>
    </row>
    <row r="258">
      <c r="E258" s="4"/>
      <c r="G258" s="5"/>
      <c r="H258" s="5"/>
      <c r="I258" s="5"/>
      <c r="K258" s="5"/>
      <c r="M258" s="5"/>
      <c r="N258" s="5"/>
    </row>
    <row r="259">
      <c r="E259" s="4"/>
      <c r="G259" s="5"/>
      <c r="H259" s="5"/>
      <c r="I259" s="5"/>
      <c r="K259" s="5"/>
      <c r="M259" s="5"/>
      <c r="N259" s="5"/>
    </row>
    <row r="260">
      <c r="E260" s="4"/>
      <c r="G260" s="5"/>
      <c r="H260" s="5"/>
      <c r="I260" s="5"/>
      <c r="K260" s="5"/>
      <c r="M260" s="5"/>
      <c r="N260" s="5"/>
    </row>
    <row r="261">
      <c r="E261" s="4"/>
      <c r="G261" s="5"/>
      <c r="H261" s="5"/>
      <c r="I261" s="5"/>
      <c r="K261" s="5"/>
      <c r="M261" s="5"/>
      <c r="N261" s="5"/>
    </row>
    <row r="262">
      <c r="E262" s="4"/>
      <c r="G262" s="5"/>
      <c r="H262" s="5"/>
      <c r="I262" s="5"/>
      <c r="K262" s="5"/>
      <c r="M262" s="5"/>
      <c r="N262" s="5"/>
    </row>
    <row r="263">
      <c r="E263" s="4"/>
      <c r="G263" s="5"/>
      <c r="H263" s="5"/>
      <c r="I263" s="5"/>
      <c r="K263" s="5"/>
      <c r="M263" s="5"/>
      <c r="N263" s="5"/>
    </row>
    <row r="264">
      <c r="E264" s="4"/>
      <c r="G264" s="5"/>
      <c r="H264" s="5"/>
      <c r="I264" s="5"/>
      <c r="K264" s="5"/>
      <c r="M264" s="5"/>
      <c r="N264" s="5"/>
    </row>
    <row r="265">
      <c r="E265" s="4"/>
      <c r="G265" s="5"/>
      <c r="H265" s="5"/>
      <c r="I265" s="5"/>
      <c r="K265" s="5"/>
      <c r="M265" s="5"/>
      <c r="N265" s="5"/>
    </row>
    <row r="266">
      <c r="E266" s="4"/>
      <c r="G266" s="5"/>
      <c r="H266" s="5"/>
      <c r="I266" s="5"/>
      <c r="K266" s="5"/>
      <c r="M266" s="5"/>
      <c r="N266" s="5"/>
    </row>
    <row r="267">
      <c r="E267" s="4"/>
      <c r="G267" s="5"/>
      <c r="H267" s="5"/>
      <c r="I267" s="5"/>
      <c r="K267" s="5"/>
      <c r="M267" s="5"/>
      <c r="N267" s="5"/>
    </row>
    <row r="268">
      <c r="E268" s="4"/>
      <c r="G268" s="5"/>
      <c r="H268" s="5"/>
      <c r="I268" s="5"/>
      <c r="K268" s="5"/>
      <c r="M268" s="5"/>
      <c r="N268" s="5"/>
    </row>
    <row r="269">
      <c r="E269" s="4"/>
      <c r="G269" s="5"/>
      <c r="H269" s="5"/>
      <c r="I269" s="5"/>
      <c r="K269" s="5"/>
      <c r="M269" s="5"/>
      <c r="N269" s="5"/>
    </row>
    <row r="270">
      <c r="E270" s="4"/>
      <c r="G270" s="5"/>
      <c r="H270" s="5"/>
      <c r="I270" s="5"/>
      <c r="K270" s="5"/>
      <c r="M270" s="5"/>
      <c r="N270" s="5"/>
    </row>
    <row r="271">
      <c r="E271" s="4"/>
      <c r="G271" s="5"/>
      <c r="H271" s="5"/>
      <c r="I271" s="5"/>
      <c r="K271" s="5"/>
      <c r="M271" s="5"/>
      <c r="N271" s="5"/>
    </row>
    <row r="272">
      <c r="E272" s="4"/>
      <c r="G272" s="5"/>
      <c r="H272" s="5"/>
      <c r="I272" s="5"/>
      <c r="K272" s="5"/>
      <c r="M272" s="5"/>
      <c r="N272" s="5"/>
    </row>
    <row r="273">
      <c r="E273" s="4"/>
      <c r="G273" s="5"/>
      <c r="H273" s="5"/>
      <c r="I273" s="5"/>
      <c r="K273" s="5"/>
      <c r="M273" s="5"/>
      <c r="N273" s="5"/>
    </row>
    <row r="274">
      <c r="E274" s="4"/>
      <c r="G274" s="5"/>
      <c r="H274" s="5"/>
      <c r="I274" s="5"/>
      <c r="K274" s="5"/>
      <c r="M274" s="5"/>
      <c r="N274" s="5"/>
    </row>
    <row r="275">
      <c r="E275" s="4"/>
      <c r="G275" s="5"/>
      <c r="H275" s="5"/>
      <c r="I275" s="5"/>
      <c r="K275" s="5"/>
      <c r="M275" s="5"/>
      <c r="N275" s="5"/>
    </row>
    <row r="276">
      <c r="E276" s="4"/>
      <c r="G276" s="5"/>
      <c r="H276" s="5"/>
      <c r="I276" s="5"/>
      <c r="K276" s="5"/>
      <c r="M276" s="5"/>
      <c r="N276" s="5"/>
    </row>
    <row r="277">
      <c r="E277" s="4"/>
      <c r="G277" s="5"/>
      <c r="H277" s="5"/>
      <c r="I277" s="5"/>
      <c r="K277" s="5"/>
      <c r="M277" s="5"/>
      <c r="N277" s="5"/>
    </row>
    <row r="278">
      <c r="E278" s="4"/>
      <c r="G278" s="5"/>
      <c r="H278" s="5"/>
      <c r="I278" s="5"/>
      <c r="K278" s="5"/>
      <c r="M278" s="5"/>
      <c r="N278" s="5"/>
    </row>
    <row r="279">
      <c r="E279" s="4"/>
      <c r="G279" s="5"/>
      <c r="H279" s="5"/>
      <c r="I279" s="5"/>
      <c r="K279" s="5"/>
      <c r="M279" s="5"/>
      <c r="N279" s="5"/>
    </row>
    <row r="280">
      <c r="E280" s="4"/>
      <c r="G280" s="5"/>
      <c r="H280" s="5"/>
      <c r="I280" s="5"/>
      <c r="K280" s="5"/>
      <c r="M280" s="5"/>
      <c r="N280" s="5"/>
    </row>
    <row r="281">
      <c r="E281" s="4"/>
      <c r="G281" s="5"/>
      <c r="H281" s="5"/>
      <c r="I281" s="5"/>
      <c r="K281" s="5"/>
      <c r="M281" s="5"/>
      <c r="N281" s="5"/>
    </row>
    <row r="282">
      <c r="E282" s="4"/>
      <c r="G282" s="5"/>
      <c r="H282" s="5"/>
      <c r="I282" s="5"/>
      <c r="K282" s="5"/>
      <c r="M282" s="5"/>
      <c r="N282" s="5"/>
    </row>
    <row r="283">
      <c r="E283" s="4"/>
      <c r="G283" s="5"/>
      <c r="H283" s="5"/>
      <c r="I283" s="5"/>
      <c r="K283" s="5"/>
      <c r="M283" s="5"/>
      <c r="N283" s="5"/>
    </row>
    <row r="284">
      <c r="E284" s="4"/>
      <c r="G284" s="5"/>
      <c r="H284" s="5"/>
      <c r="I284" s="5"/>
      <c r="K284" s="5"/>
      <c r="M284" s="5"/>
      <c r="N284" s="5"/>
    </row>
    <row r="285">
      <c r="E285" s="4"/>
      <c r="G285" s="5"/>
      <c r="H285" s="5"/>
      <c r="I285" s="5"/>
      <c r="K285" s="5"/>
      <c r="M285" s="5"/>
      <c r="N285" s="5"/>
    </row>
    <row r="286">
      <c r="E286" s="4"/>
      <c r="G286" s="5"/>
      <c r="H286" s="5"/>
      <c r="I286" s="5"/>
      <c r="K286" s="5"/>
      <c r="M286" s="5"/>
      <c r="N286" s="5"/>
    </row>
    <row r="287">
      <c r="E287" s="4"/>
      <c r="G287" s="5"/>
      <c r="H287" s="5"/>
      <c r="I287" s="5"/>
      <c r="K287" s="5"/>
      <c r="M287" s="5"/>
      <c r="N287" s="5"/>
    </row>
    <row r="288">
      <c r="E288" s="4"/>
      <c r="G288" s="5"/>
      <c r="H288" s="5"/>
      <c r="I288" s="5"/>
      <c r="K288" s="5"/>
      <c r="M288" s="5"/>
      <c r="N288" s="5"/>
    </row>
    <row r="289">
      <c r="E289" s="4"/>
      <c r="G289" s="5"/>
      <c r="H289" s="5"/>
      <c r="I289" s="5"/>
      <c r="K289" s="5"/>
      <c r="M289" s="5"/>
      <c r="N289" s="5"/>
    </row>
    <row r="290">
      <c r="E290" s="4"/>
      <c r="G290" s="5"/>
      <c r="H290" s="5"/>
      <c r="I290" s="5"/>
      <c r="K290" s="5"/>
      <c r="M290" s="5"/>
      <c r="N290" s="5"/>
    </row>
    <row r="291">
      <c r="E291" s="4"/>
      <c r="G291" s="5"/>
      <c r="H291" s="5"/>
      <c r="I291" s="5"/>
      <c r="K291" s="5"/>
      <c r="M291" s="5"/>
      <c r="N291" s="5"/>
    </row>
    <row r="292">
      <c r="E292" s="4"/>
      <c r="G292" s="5"/>
      <c r="H292" s="5"/>
      <c r="I292" s="5"/>
      <c r="K292" s="5"/>
      <c r="M292" s="5"/>
      <c r="N292" s="5"/>
    </row>
    <row r="293">
      <c r="E293" s="4"/>
      <c r="G293" s="5"/>
      <c r="H293" s="5"/>
      <c r="I293" s="5"/>
      <c r="K293" s="5"/>
      <c r="M293" s="5"/>
      <c r="N293" s="5"/>
    </row>
    <row r="294">
      <c r="E294" s="4"/>
      <c r="G294" s="5"/>
      <c r="H294" s="5"/>
      <c r="I294" s="5"/>
      <c r="K294" s="5"/>
      <c r="M294" s="5"/>
      <c r="N294" s="5"/>
    </row>
    <row r="295">
      <c r="E295" s="4"/>
      <c r="G295" s="5"/>
      <c r="H295" s="5"/>
      <c r="I295" s="5"/>
      <c r="K295" s="5"/>
      <c r="M295" s="5"/>
      <c r="N295" s="5"/>
    </row>
    <row r="296">
      <c r="E296" s="4"/>
      <c r="G296" s="5"/>
      <c r="H296" s="5"/>
      <c r="I296" s="5"/>
      <c r="K296" s="5"/>
      <c r="M296" s="5"/>
      <c r="N296" s="5"/>
    </row>
    <row r="297">
      <c r="E297" s="4"/>
      <c r="G297" s="5"/>
      <c r="H297" s="5"/>
      <c r="I297" s="5"/>
      <c r="K297" s="5"/>
      <c r="M297" s="5"/>
      <c r="N297" s="5"/>
    </row>
    <row r="298">
      <c r="E298" s="4"/>
      <c r="G298" s="5"/>
      <c r="H298" s="5"/>
      <c r="I298" s="5"/>
      <c r="K298" s="5"/>
      <c r="M298" s="5"/>
      <c r="N298" s="5"/>
    </row>
    <row r="299">
      <c r="E299" s="4"/>
      <c r="G299" s="5"/>
      <c r="H299" s="5"/>
      <c r="I299" s="5"/>
      <c r="K299" s="5"/>
      <c r="M299" s="5"/>
      <c r="N299" s="5"/>
    </row>
    <row r="300">
      <c r="E300" s="4"/>
      <c r="G300" s="5"/>
      <c r="H300" s="5"/>
      <c r="I300" s="5"/>
      <c r="K300" s="5"/>
      <c r="M300" s="5"/>
      <c r="N300" s="5"/>
    </row>
    <row r="301">
      <c r="E301" s="4"/>
      <c r="G301" s="5"/>
      <c r="H301" s="5"/>
      <c r="I301" s="5"/>
      <c r="K301" s="5"/>
      <c r="M301" s="5"/>
      <c r="N301" s="5"/>
    </row>
    <row r="302">
      <c r="E302" s="4"/>
      <c r="G302" s="5"/>
      <c r="H302" s="5"/>
      <c r="I302" s="5"/>
      <c r="K302" s="5"/>
      <c r="M302" s="5"/>
      <c r="N302" s="5"/>
    </row>
    <row r="303">
      <c r="E303" s="4"/>
      <c r="G303" s="5"/>
      <c r="H303" s="5"/>
      <c r="I303" s="5"/>
      <c r="K303" s="5"/>
      <c r="M303" s="5"/>
      <c r="N303" s="5"/>
    </row>
    <row r="304">
      <c r="E304" s="4"/>
      <c r="G304" s="5"/>
      <c r="H304" s="5"/>
      <c r="I304" s="5"/>
      <c r="K304" s="5"/>
      <c r="M304" s="5"/>
      <c r="N304" s="5"/>
    </row>
    <row r="305">
      <c r="E305" s="4"/>
      <c r="G305" s="5"/>
      <c r="H305" s="5"/>
      <c r="I305" s="5"/>
      <c r="K305" s="5"/>
      <c r="M305" s="5"/>
      <c r="N305" s="5"/>
    </row>
    <row r="306">
      <c r="E306" s="4"/>
      <c r="G306" s="5"/>
      <c r="H306" s="5"/>
      <c r="I306" s="5"/>
      <c r="K306" s="5"/>
      <c r="M306" s="5"/>
      <c r="N306" s="5"/>
    </row>
    <row r="307">
      <c r="E307" s="4"/>
      <c r="G307" s="5"/>
      <c r="H307" s="5"/>
      <c r="I307" s="5"/>
      <c r="K307" s="5"/>
      <c r="M307" s="5"/>
      <c r="N307" s="5"/>
    </row>
    <row r="308">
      <c r="E308" s="4"/>
      <c r="G308" s="5"/>
      <c r="H308" s="5"/>
      <c r="I308" s="5"/>
      <c r="K308" s="5"/>
      <c r="M308" s="5"/>
      <c r="N308" s="5"/>
    </row>
    <row r="309">
      <c r="E309" s="4"/>
      <c r="G309" s="5"/>
      <c r="H309" s="5"/>
      <c r="I309" s="5"/>
      <c r="K309" s="5"/>
      <c r="M309" s="5"/>
      <c r="N309" s="5"/>
    </row>
    <row r="310">
      <c r="E310" s="4"/>
      <c r="G310" s="5"/>
      <c r="H310" s="5"/>
      <c r="I310" s="5"/>
      <c r="K310" s="5"/>
      <c r="M310" s="5"/>
      <c r="N310" s="5"/>
    </row>
    <row r="311">
      <c r="E311" s="4"/>
      <c r="G311" s="5"/>
      <c r="H311" s="5"/>
      <c r="I311" s="5"/>
      <c r="K311" s="5"/>
      <c r="M311" s="5"/>
      <c r="N311" s="5"/>
    </row>
    <row r="312">
      <c r="E312" s="4"/>
      <c r="G312" s="5"/>
      <c r="H312" s="5"/>
      <c r="I312" s="5"/>
      <c r="K312" s="5"/>
      <c r="M312" s="5"/>
      <c r="N312" s="5"/>
    </row>
    <row r="313">
      <c r="E313" s="4"/>
      <c r="G313" s="5"/>
      <c r="H313" s="5"/>
      <c r="I313" s="5"/>
      <c r="K313" s="5"/>
      <c r="M313" s="5"/>
      <c r="N313" s="5"/>
    </row>
    <row r="314">
      <c r="E314" s="4"/>
      <c r="G314" s="5"/>
      <c r="H314" s="5"/>
      <c r="I314" s="5"/>
      <c r="K314" s="5"/>
      <c r="M314" s="5"/>
      <c r="N314" s="5"/>
    </row>
    <row r="315">
      <c r="E315" s="4"/>
      <c r="G315" s="5"/>
      <c r="H315" s="5"/>
      <c r="I315" s="5"/>
      <c r="K315" s="5"/>
      <c r="M315" s="5"/>
      <c r="N315" s="5"/>
    </row>
    <row r="316">
      <c r="E316" s="4"/>
      <c r="G316" s="5"/>
      <c r="H316" s="5"/>
      <c r="I316" s="5"/>
      <c r="K316" s="5"/>
      <c r="M316" s="5"/>
      <c r="N316" s="5"/>
    </row>
    <row r="317">
      <c r="E317" s="4"/>
      <c r="G317" s="5"/>
      <c r="H317" s="5"/>
      <c r="I317" s="5"/>
      <c r="K317" s="5"/>
      <c r="M317" s="5"/>
      <c r="N317" s="5"/>
    </row>
    <row r="318">
      <c r="E318" s="4"/>
      <c r="G318" s="5"/>
      <c r="H318" s="5"/>
      <c r="I318" s="5"/>
      <c r="K318" s="5"/>
      <c r="M318" s="5"/>
      <c r="N318" s="5"/>
    </row>
    <row r="319">
      <c r="E319" s="4"/>
      <c r="G319" s="5"/>
      <c r="H319" s="5"/>
      <c r="I319" s="5"/>
      <c r="K319" s="5"/>
      <c r="M319" s="5"/>
      <c r="N319" s="5"/>
    </row>
    <row r="320">
      <c r="E320" s="4"/>
      <c r="G320" s="5"/>
      <c r="H320" s="5"/>
      <c r="I320" s="5"/>
      <c r="K320" s="5"/>
      <c r="M320" s="5"/>
      <c r="N320" s="5"/>
    </row>
    <row r="321">
      <c r="E321" s="4"/>
      <c r="G321" s="5"/>
      <c r="H321" s="5"/>
      <c r="I321" s="5"/>
      <c r="K321" s="5"/>
      <c r="M321" s="5"/>
      <c r="N321" s="5"/>
    </row>
    <row r="322">
      <c r="E322" s="4"/>
      <c r="G322" s="5"/>
      <c r="H322" s="5"/>
      <c r="I322" s="5"/>
      <c r="K322" s="5"/>
      <c r="M322" s="5"/>
      <c r="N322" s="5"/>
    </row>
    <row r="323">
      <c r="E323" s="4"/>
      <c r="G323" s="5"/>
      <c r="H323" s="5"/>
      <c r="I323" s="5"/>
      <c r="K323" s="5"/>
      <c r="M323" s="5"/>
      <c r="N323" s="5"/>
    </row>
    <row r="324">
      <c r="E324" s="4"/>
      <c r="G324" s="5"/>
      <c r="H324" s="5"/>
      <c r="I324" s="5"/>
      <c r="K324" s="5"/>
      <c r="M324" s="5"/>
      <c r="N324" s="5"/>
    </row>
    <row r="325">
      <c r="E325" s="4"/>
      <c r="G325" s="5"/>
      <c r="H325" s="5"/>
      <c r="I325" s="5"/>
      <c r="K325" s="5"/>
      <c r="M325" s="5"/>
      <c r="N325" s="5"/>
    </row>
    <row r="326">
      <c r="E326" s="4"/>
      <c r="G326" s="5"/>
      <c r="H326" s="5"/>
      <c r="I326" s="5"/>
      <c r="K326" s="5"/>
      <c r="M326" s="5"/>
      <c r="N326" s="5"/>
    </row>
    <row r="327">
      <c r="E327" s="4"/>
      <c r="G327" s="5"/>
      <c r="H327" s="5"/>
      <c r="I327" s="5"/>
      <c r="K327" s="5"/>
      <c r="M327" s="5"/>
      <c r="N327" s="5"/>
    </row>
    <row r="328">
      <c r="E328" s="4"/>
      <c r="G328" s="5"/>
      <c r="H328" s="5"/>
      <c r="I328" s="5"/>
      <c r="K328" s="5"/>
      <c r="M328" s="5"/>
      <c r="N328" s="5"/>
    </row>
    <row r="329">
      <c r="E329" s="4"/>
      <c r="G329" s="5"/>
      <c r="H329" s="5"/>
      <c r="I329" s="5"/>
      <c r="K329" s="5"/>
      <c r="M329" s="5"/>
      <c r="N329" s="5"/>
    </row>
    <row r="330">
      <c r="E330" s="4"/>
      <c r="G330" s="5"/>
      <c r="H330" s="5"/>
      <c r="I330" s="5"/>
      <c r="K330" s="5"/>
      <c r="M330" s="5"/>
      <c r="N330" s="5"/>
    </row>
    <row r="331">
      <c r="E331" s="4"/>
      <c r="G331" s="5"/>
      <c r="H331" s="5"/>
      <c r="I331" s="5"/>
      <c r="K331" s="5"/>
      <c r="M331" s="5"/>
      <c r="N331" s="5"/>
    </row>
    <row r="332">
      <c r="E332" s="4"/>
      <c r="G332" s="5"/>
      <c r="H332" s="5"/>
      <c r="I332" s="5"/>
      <c r="K332" s="5"/>
      <c r="M332" s="5"/>
      <c r="N332" s="5"/>
    </row>
    <row r="333">
      <c r="E333" s="4"/>
      <c r="G333" s="5"/>
      <c r="H333" s="5"/>
      <c r="I333" s="5"/>
      <c r="K333" s="5"/>
      <c r="M333" s="5"/>
      <c r="N333" s="5"/>
    </row>
    <row r="334">
      <c r="E334" s="4"/>
      <c r="G334" s="5"/>
      <c r="H334" s="5"/>
      <c r="I334" s="5"/>
      <c r="K334" s="5"/>
      <c r="M334" s="5"/>
      <c r="N334" s="5"/>
    </row>
    <row r="335">
      <c r="E335" s="4"/>
      <c r="G335" s="5"/>
      <c r="H335" s="5"/>
      <c r="I335" s="5"/>
      <c r="K335" s="5"/>
      <c r="M335" s="5"/>
      <c r="N335" s="5"/>
    </row>
    <row r="336">
      <c r="E336" s="4"/>
      <c r="G336" s="5"/>
      <c r="H336" s="5"/>
      <c r="I336" s="5"/>
      <c r="K336" s="5"/>
      <c r="M336" s="5"/>
      <c r="N336" s="5"/>
    </row>
    <row r="337">
      <c r="E337" s="4"/>
      <c r="G337" s="5"/>
      <c r="H337" s="5"/>
      <c r="I337" s="5"/>
      <c r="K337" s="5"/>
      <c r="M337" s="5"/>
      <c r="N337" s="5"/>
    </row>
    <row r="338">
      <c r="E338" s="4"/>
      <c r="G338" s="5"/>
      <c r="H338" s="5"/>
      <c r="I338" s="5"/>
      <c r="K338" s="5"/>
      <c r="M338" s="5"/>
      <c r="N338" s="5"/>
    </row>
    <row r="339">
      <c r="E339" s="4"/>
      <c r="G339" s="5"/>
      <c r="H339" s="5"/>
      <c r="I339" s="5"/>
      <c r="K339" s="5"/>
      <c r="M339" s="5"/>
      <c r="N339" s="5"/>
    </row>
    <row r="340">
      <c r="E340" s="4"/>
      <c r="G340" s="5"/>
      <c r="H340" s="5"/>
      <c r="I340" s="5"/>
      <c r="K340" s="5"/>
      <c r="M340" s="5"/>
      <c r="N340" s="5"/>
    </row>
    <row r="341">
      <c r="E341" s="4"/>
      <c r="G341" s="5"/>
      <c r="H341" s="5"/>
      <c r="I341" s="5"/>
      <c r="K341" s="5"/>
      <c r="M341" s="5"/>
      <c r="N341" s="5"/>
    </row>
    <row r="342">
      <c r="E342" s="4"/>
      <c r="G342" s="5"/>
      <c r="H342" s="5"/>
      <c r="I342" s="5"/>
      <c r="K342" s="5"/>
      <c r="M342" s="5"/>
      <c r="N342" s="5"/>
    </row>
    <row r="343">
      <c r="E343" s="4"/>
      <c r="G343" s="5"/>
      <c r="H343" s="5"/>
      <c r="I343" s="5"/>
      <c r="K343" s="5"/>
      <c r="M343" s="5"/>
      <c r="N343" s="5"/>
    </row>
    <row r="344">
      <c r="E344" s="4"/>
      <c r="G344" s="5"/>
      <c r="H344" s="5"/>
      <c r="I344" s="5"/>
      <c r="K344" s="5"/>
      <c r="M344" s="5"/>
      <c r="N344" s="5"/>
    </row>
    <row r="345">
      <c r="E345" s="4"/>
      <c r="G345" s="5"/>
      <c r="H345" s="5"/>
      <c r="I345" s="5"/>
      <c r="K345" s="5"/>
      <c r="M345" s="5"/>
      <c r="N345" s="5"/>
    </row>
    <row r="346">
      <c r="E346" s="4"/>
      <c r="G346" s="5"/>
      <c r="H346" s="5"/>
      <c r="I346" s="5"/>
      <c r="K346" s="5"/>
      <c r="M346" s="5"/>
      <c r="N346" s="5"/>
    </row>
    <row r="347">
      <c r="E347" s="4"/>
      <c r="G347" s="5"/>
      <c r="H347" s="5"/>
      <c r="I347" s="5"/>
      <c r="K347" s="5"/>
      <c r="M347" s="5"/>
      <c r="N347" s="5"/>
    </row>
    <row r="348">
      <c r="E348" s="4"/>
      <c r="G348" s="5"/>
      <c r="H348" s="5"/>
      <c r="I348" s="5"/>
      <c r="K348" s="5"/>
      <c r="M348" s="5"/>
      <c r="N348" s="5"/>
    </row>
    <row r="349">
      <c r="E349" s="4"/>
      <c r="G349" s="5"/>
      <c r="H349" s="5"/>
      <c r="I349" s="5"/>
      <c r="K349" s="5"/>
      <c r="M349" s="5"/>
      <c r="N349" s="5"/>
    </row>
    <row r="350">
      <c r="E350" s="4"/>
      <c r="G350" s="5"/>
      <c r="H350" s="5"/>
      <c r="I350" s="5"/>
      <c r="K350" s="5"/>
      <c r="M350" s="5"/>
      <c r="N350" s="5"/>
    </row>
    <row r="351">
      <c r="E351" s="4"/>
      <c r="G351" s="5"/>
      <c r="H351" s="5"/>
      <c r="I351" s="5"/>
      <c r="K351" s="5"/>
      <c r="M351" s="5"/>
      <c r="N351" s="5"/>
    </row>
    <row r="352">
      <c r="E352" s="4"/>
      <c r="G352" s="5"/>
      <c r="H352" s="5"/>
      <c r="I352" s="5"/>
      <c r="K352" s="5"/>
      <c r="M352" s="5"/>
      <c r="N352" s="5"/>
    </row>
    <row r="353">
      <c r="E353" s="4"/>
      <c r="G353" s="5"/>
      <c r="H353" s="5"/>
      <c r="I353" s="5"/>
      <c r="K353" s="5"/>
      <c r="M353" s="5"/>
      <c r="N353" s="5"/>
    </row>
    <row r="354">
      <c r="E354" s="4"/>
      <c r="G354" s="5"/>
      <c r="H354" s="5"/>
      <c r="I354" s="5"/>
      <c r="K354" s="5"/>
      <c r="M354" s="5"/>
      <c r="N354" s="5"/>
    </row>
    <row r="355">
      <c r="E355" s="4"/>
      <c r="G355" s="5"/>
      <c r="H355" s="5"/>
      <c r="I355" s="5"/>
      <c r="K355" s="5"/>
      <c r="M355" s="5"/>
      <c r="N355" s="5"/>
    </row>
    <row r="356">
      <c r="E356" s="4"/>
      <c r="G356" s="5"/>
      <c r="H356" s="5"/>
      <c r="I356" s="5"/>
      <c r="K356" s="5"/>
      <c r="M356" s="5"/>
      <c r="N356" s="5"/>
    </row>
    <row r="357">
      <c r="E357" s="4"/>
      <c r="G357" s="5"/>
      <c r="H357" s="5"/>
      <c r="I357" s="5"/>
      <c r="K357" s="5"/>
      <c r="M357" s="5"/>
      <c r="N357" s="5"/>
    </row>
    <row r="358">
      <c r="E358" s="4"/>
      <c r="G358" s="5"/>
      <c r="H358" s="5"/>
      <c r="I358" s="5"/>
      <c r="K358" s="5"/>
      <c r="M358" s="5"/>
      <c r="N358" s="5"/>
    </row>
    <row r="359">
      <c r="E359" s="4"/>
      <c r="G359" s="5"/>
      <c r="H359" s="5"/>
      <c r="I359" s="5"/>
      <c r="K359" s="5"/>
      <c r="M359" s="5"/>
      <c r="N359" s="5"/>
    </row>
    <row r="360">
      <c r="E360" s="4"/>
      <c r="G360" s="5"/>
      <c r="H360" s="5"/>
      <c r="I360" s="5"/>
      <c r="K360" s="5"/>
      <c r="M360" s="5"/>
      <c r="N360" s="5"/>
    </row>
    <row r="361">
      <c r="E361" s="4"/>
      <c r="G361" s="5"/>
      <c r="H361" s="5"/>
      <c r="I361" s="5"/>
      <c r="K361" s="5"/>
      <c r="M361" s="5"/>
      <c r="N361" s="5"/>
    </row>
    <row r="362">
      <c r="E362" s="4"/>
      <c r="G362" s="5"/>
      <c r="H362" s="5"/>
      <c r="I362" s="5"/>
      <c r="K362" s="5"/>
      <c r="M362" s="5"/>
      <c r="N362" s="5"/>
    </row>
    <row r="363">
      <c r="E363" s="4"/>
      <c r="G363" s="5"/>
      <c r="H363" s="5"/>
      <c r="I363" s="5"/>
      <c r="K363" s="5"/>
      <c r="M363" s="5"/>
      <c r="N363" s="5"/>
    </row>
    <row r="364">
      <c r="E364" s="4"/>
      <c r="G364" s="5"/>
      <c r="H364" s="5"/>
      <c r="I364" s="5"/>
      <c r="K364" s="5"/>
      <c r="M364" s="5"/>
      <c r="N364" s="5"/>
    </row>
    <row r="365">
      <c r="E365" s="4"/>
      <c r="G365" s="5"/>
      <c r="H365" s="5"/>
      <c r="I365" s="5"/>
      <c r="K365" s="5"/>
      <c r="M365" s="5"/>
      <c r="N365" s="5"/>
    </row>
    <row r="366">
      <c r="E366" s="4"/>
      <c r="G366" s="5"/>
      <c r="H366" s="5"/>
      <c r="I366" s="5"/>
      <c r="K366" s="5"/>
      <c r="M366" s="5"/>
      <c r="N366" s="5"/>
    </row>
    <row r="367">
      <c r="E367" s="4"/>
      <c r="G367" s="5"/>
      <c r="H367" s="5"/>
      <c r="I367" s="5"/>
      <c r="K367" s="5"/>
      <c r="M367" s="5"/>
      <c r="N367" s="5"/>
    </row>
    <row r="368">
      <c r="E368" s="4"/>
      <c r="G368" s="5"/>
      <c r="H368" s="5"/>
      <c r="I368" s="5"/>
      <c r="K368" s="5"/>
      <c r="M368" s="5"/>
      <c r="N368" s="5"/>
    </row>
    <row r="369">
      <c r="E369" s="4"/>
      <c r="G369" s="5"/>
      <c r="H369" s="5"/>
      <c r="I369" s="5"/>
      <c r="K369" s="5"/>
      <c r="M369" s="5"/>
      <c r="N369" s="5"/>
    </row>
    <row r="370">
      <c r="E370" s="4"/>
      <c r="G370" s="5"/>
      <c r="H370" s="5"/>
      <c r="I370" s="5"/>
      <c r="K370" s="5"/>
      <c r="M370" s="5"/>
      <c r="N370" s="5"/>
    </row>
    <row r="371">
      <c r="E371" s="4"/>
      <c r="G371" s="5"/>
      <c r="H371" s="5"/>
      <c r="I371" s="5"/>
      <c r="K371" s="5"/>
      <c r="M371" s="5"/>
      <c r="N371" s="5"/>
    </row>
    <row r="372">
      <c r="E372" s="4"/>
      <c r="G372" s="5"/>
      <c r="H372" s="5"/>
      <c r="I372" s="5"/>
      <c r="K372" s="5"/>
      <c r="M372" s="5"/>
      <c r="N372" s="5"/>
    </row>
    <row r="373">
      <c r="E373" s="4"/>
      <c r="G373" s="5"/>
      <c r="H373" s="5"/>
      <c r="I373" s="5"/>
      <c r="K373" s="5"/>
      <c r="M373" s="5"/>
      <c r="N373" s="5"/>
    </row>
    <row r="374">
      <c r="E374" s="4"/>
      <c r="G374" s="5"/>
      <c r="H374" s="5"/>
      <c r="I374" s="5"/>
      <c r="K374" s="5"/>
      <c r="M374" s="5"/>
      <c r="N374" s="5"/>
    </row>
    <row r="375">
      <c r="E375" s="4"/>
      <c r="G375" s="5"/>
      <c r="H375" s="5"/>
      <c r="I375" s="5"/>
      <c r="K375" s="5"/>
      <c r="M375" s="5"/>
      <c r="N375" s="5"/>
    </row>
    <row r="376">
      <c r="E376" s="4"/>
      <c r="G376" s="5"/>
      <c r="H376" s="5"/>
      <c r="I376" s="5"/>
      <c r="K376" s="5"/>
      <c r="M376" s="5"/>
      <c r="N376" s="5"/>
    </row>
    <row r="377">
      <c r="E377" s="4"/>
      <c r="G377" s="5"/>
      <c r="H377" s="5"/>
      <c r="I377" s="5"/>
      <c r="K377" s="5"/>
      <c r="M377" s="5"/>
      <c r="N377" s="5"/>
    </row>
    <row r="378">
      <c r="E378" s="4"/>
      <c r="G378" s="5"/>
      <c r="H378" s="5"/>
      <c r="I378" s="5"/>
      <c r="K378" s="5"/>
      <c r="M378" s="5"/>
      <c r="N378" s="5"/>
    </row>
    <row r="379">
      <c r="E379" s="4"/>
      <c r="G379" s="5"/>
      <c r="H379" s="5"/>
      <c r="I379" s="5"/>
      <c r="K379" s="5"/>
      <c r="M379" s="5"/>
      <c r="N379" s="5"/>
    </row>
    <row r="380">
      <c r="E380" s="4"/>
      <c r="G380" s="5"/>
      <c r="H380" s="5"/>
      <c r="I380" s="5"/>
      <c r="K380" s="5"/>
      <c r="M380" s="5"/>
      <c r="N380" s="5"/>
    </row>
    <row r="381">
      <c r="E381" s="4"/>
      <c r="G381" s="5"/>
      <c r="H381" s="5"/>
      <c r="I381" s="5"/>
      <c r="K381" s="5"/>
      <c r="M381" s="5"/>
      <c r="N381" s="5"/>
    </row>
    <row r="382">
      <c r="E382" s="4"/>
      <c r="G382" s="5"/>
      <c r="H382" s="5"/>
      <c r="I382" s="5"/>
      <c r="K382" s="5"/>
      <c r="M382" s="5"/>
      <c r="N382" s="5"/>
    </row>
    <row r="383">
      <c r="E383" s="4"/>
      <c r="G383" s="5"/>
      <c r="H383" s="5"/>
      <c r="I383" s="5"/>
      <c r="K383" s="5"/>
      <c r="M383" s="5"/>
      <c r="N383" s="5"/>
    </row>
    <row r="384">
      <c r="E384" s="4"/>
      <c r="G384" s="5"/>
      <c r="H384" s="5"/>
      <c r="I384" s="5"/>
      <c r="K384" s="5"/>
      <c r="M384" s="5"/>
      <c r="N384" s="5"/>
    </row>
    <row r="385">
      <c r="E385" s="4"/>
      <c r="G385" s="5"/>
      <c r="H385" s="5"/>
      <c r="I385" s="5"/>
      <c r="K385" s="5"/>
      <c r="M385" s="5"/>
      <c r="N385" s="5"/>
    </row>
    <row r="386">
      <c r="E386" s="4"/>
      <c r="G386" s="5"/>
      <c r="H386" s="5"/>
      <c r="I386" s="5"/>
      <c r="K386" s="5"/>
      <c r="M386" s="5"/>
      <c r="N386" s="5"/>
    </row>
    <row r="387">
      <c r="E387" s="4"/>
      <c r="G387" s="5"/>
      <c r="H387" s="5"/>
      <c r="I387" s="5"/>
      <c r="K387" s="5"/>
      <c r="M387" s="5"/>
      <c r="N387" s="5"/>
    </row>
    <row r="388">
      <c r="E388" s="4"/>
      <c r="G388" s="5"/>
      <c r="H388" s="5"/>
      <c r="I388" s="5"/>
      <c r="K388" s="5"/>
      <c r="M388" s="5"/>
      <c r="N388" s="5"/>
    </row>
    <row r="389">
      <c r="E389" s="4"/>
      <c r="G389" s="5"/>
      <c r="H389" s="5"/>
      <c r="I389" s="5"/>
      <c r="K389" s="5"/>
      <c r="M389" s="5"/>
      <c r="N389" s="5"/>
    </row>
    <row r="390">
      <c r="E390" s="4"/>
      <c r="G390" s="5"/>
      <c r="H390" s="5"/>
      <c r="I390" s="5"/>
      <c r="K390" s="5"/>
      <c r="M390" s="5"/>
      <c r="N390" s="5"/>
    </row>
    <row r="391">
      <c r="E391" s="4"/>
      <c r="G391" s="5"/>
      <c r="H391" s="5"/>
      <c r="I391" s="5"/>
      <c r="K391" s="5"/>
      <c r="M391" s="5"/>
      <c r="N391" s="5"/>
    </row>
    <row r="392">
      <c r="E392" s="4"/>
      <c r="G392" s="5"/>
      <c r="H392" s="5"/>
      <c r="I392" s="5"/>
      <c r="K392" s="5"/>
      <c r="M392" s="5"/>
      <c r="N392" s="5"/>
    </row>
    <row r="393">
      <c r="E393" s="4"/>
      <c r="G393" s="5"/>
      <c r="H393" s="5"/>
      <c r="I393" s="5"/>
      <c r="K393" s="5"/>
      <c r="M393" s="5"/>
      <c r="N393" s="5"/>
    </row>
    <row r="394">
      <c r="E394" s="4"/>
      <c r="G394" s="5"/>
      <c r="H394" s="5"/>
      <c r="I394" s="5"/>
      <c r="K394" s="5"/>
      <c r="M394" s="5"/>
      <c r="N394" s="5"/>
    </row>
    <row r="395">
      <c r="E395" s="4"/>
      <c r="G395" s="5"/>
      <c r="H395" s="5"/>
      <c r="I395" s="5"/>
      <c r="K395" s="5"/>
      <c r="M395" s="5"/>
      <c r="N395" s="5"/>
    </row>
    <row r="396">
      <c r="E396" s="4"/>
      <c r="G396" s="5"/>
      <c r="H396" s="5"/>
      <c r="I396" s="5"/>
      <c r="K396" s="5"/>
      <c r="M396" s="5"/>
      <c r="N396" s="5"/>
    </row>
    <row r="397">
      <c r="E397" s="4"/>
      <c r="G397" s="5"/>
      <c r="H397" s="5"/>
      <c r="I397" s="5"/>
      <c r="K397" s="5"/>
      <c r="M397" s="5"/>
      <c r="N397" s="5"/>
    </row>
    <row r="398">
      <c r="E398" s="4"/>
      <c r="G398" s="5"/>
      <c r="H398" s="5"/>
      <c r="I398" s="5"/>
      <c r="K398" s="5"/>
      <c r="M398" s="5"/>
      <c r="N398" s="5"/>
    </row>
    <row r="399">
      <c r="E399" s="4"/>
      <c r="G399" s="5"/>
      <c r="H399" s="5"/>
      <c r="I399" s="5"/>
      <c r="K399" s="5"/>
      <c r="M399" s="5"/>
      <c r="N399" s="5"/>
    </row>
    <row r="400">
      <c r="E400" s="4"/>
      <c r="G400" s="5"/>
      <c r="H400" s="5"/>
      <c r="I400" s="5"/>
      <c r="K400" s="5"/>
      <c r="M400" s="5"/>
      <c r="N400" s="5"/>
    </row>
    <row r="401">
      <c r="E401" s="4"/>
      <c r="G401" s="5"/>
      <c r="H401" s="5"/>
      <c r="I401" s="5"/>
      <c r="K401" s="5"/>
      <c r="M401" s="5"/>
      <c r="N401" s="5"/>
    </row>
    <row r="402">
      <c r="E402" s="4"/>
      <c r="G402" s="5"/>
      <c r="H402" s="5"/>
      <c r="I402" s="5"/>
      <c r="K402" s="5"/>
      <c r="M402" s="5"/>
      <c r="N402" s="5"/>
    </row>
    <row r="403">
      <c r="E403" s="4"/>
      <c r="G403" s="5"/>
      <c r="H403" s="5"/>
      <c r="I403" s="5"/>
      <c r="K403" s="5"/>
      <c r="M403" s="5"/>
      <c r="N403" s="5"/>
    </row>
    <row r="404">
      <c r="E404" s="4"/>
      <c r="G404" s="5"/>
      <c r="H404" s="5"/>
      <c r="I404" s="5"/>
      <c r="K404" s="5"/>
      <c r="M404" s="5"/>
      <c r="N404" s="5"/>
    </row>
    <row r="405">
      <c r="E405" s="4"/>
      <c r="G405" s="5"/>
      <c r="H405" s="5"/>
      <c r="I405" s="5"/>
      <c r="K405" s="5"/>
      <c r="M405" s="5"/>
      <c r="N405" s="5"/>
    </row>
    <row r="406">
      <c r="E406" s="4"/>
      <c r="G406" s="5"/>
      <c r="H406" s="5"/>
      <c r="I406" s="5"/>
      <c r="K406" s="5"/>
      <c r="M406" s="5"/>
      <c r="N406" s="5"/>
    </row>
    <row r="407">
      <c r="E407" s="4"/>
      <c r="G407" s="5"/>
      <c r="H407" s="5"/>
      <c r="I407" s="5"/>
      <c r="K407" s="5"/>
      <c r="M407" s="5"/>
      <c r="N407" s="5"/>
    </row>
    <row r="408">
      <c r="E408" s="4"/>
      <c r="G408" s="5"/>
      <c r="H408" s="5"/>
      <c r="I408" s="5"/>
      <c r="K408" s="5"/>
      <c r="M408" s="5"/>
      <c r="N408" s="5"/>
    </row>
    <row r="409">
      <c r="E409" s="4"/>
      <c r="G409" s="5"/>
      <c r="H409" s="5"/>
      <c r="I409" s="5"/>
      <c r="K409" s="5"/>
      <c r="M409" s="5"/>
      <c r="N409" s="5"/>
    </row>
    <row r="410">
      <c r="E410" s="4"/>
      <c r="G410" s="5"/>
      <c r="H410" s="5"/>
      <c r="I410" s="5"/>
      <c r="K410" s="5"/>
      <c r="M410" s="5"/>
      <c r="N410" s="5"/>
    </row>
    <row r="411">
      <c r="E411" s="4"/>
      <c r="G411" s="5"/>
      <c r="H411" s="5"/>
      <c r="I411" s="5"/>
      <c r="K411" s="5"/>
      <c r="M411" s="5"/>
      <c r="N411" s="5"/>
    </row>
    <row r="412">
      <c r="E412" s="4"/>
      <c r="G412" s="5"/>
      <c r="H412" s="5"/>
      <c r="I412" s="5"/>
      <c r="K412" s="5"/>
      <c r="M412" s="5"/>
      <c r="N412" s="5"/>
    </row>
    <row r="413">
      <c r="E413" s="4"/>
      <c r="G413" s="5"/>
      <c r="H413" s="5"/>
      <c r="I413" s="5"/>
      <c r="K413" s="5"/>
      <c r="M413" s="5"/>
      <c r="N413" s="5"/>
    </row>
    <row r="414">
      <c r="E414" s="4"/>
      <c r="G414" s="5"/>
      <c r="H414" s="5"/>
      <c r="I414" s="5"/>
      <c r="K414" s="5"/>
      <c r="M414" s="5"/>
      <c r="N414" s="5"/>
    </row>
    <row r="415">
      <c r="E415" s="4"/>
      <c r="G415" s="5"/>
      <c r="H415" s="5"/>
      <c r="I415" s="5"/>
      <c r="K415" s="5"/>
      <c r="M415" s="5"/>
      <c r="N415" s="5"/>
    </row>
    <row r="416">
      <c r="E416" s="4"/>
      <c r="G416" s="5"/>
      <c r="H416" s="5"/>
      <c r="I416" s="5"/>
      <c r="K416" s="5"/>
      <c r="M416" s="5"/>
      <c r="N416" s="5"/>
    </row>
    <row r="417">
      <c r="E417" s="4"/>
      <c r="G417" s="5"/>
      <c r="H417" s="5"/>
      <c r="I417" s="5"/>
      <c r="K417" s="5"/>
      <c r="M417" s="5"/>
      <c r="N417" s="5"/>
    </row>
    <row r="418">
      <c r="E418" s="4"/>
      <c r="G418" s="5"/>
      <c r="H418" s="5"/>
      <c r="I418" s="5"/>
      <c r="K418" s="5"/>
      <c r="M418" s="5"/>
      <c r="N418" s="5"/>
    </row>
    <row r="419">
      <c r="E419" s="4"/>
      <c r="G419" s="5"/>
      <c r="H419" s="5"/>
      <c r="I419" s="5"/>
      <c r="K419" s="5"/>
      <c r="M419" s="5"/>
      <c r="N419" s="5"/>
    </row>
    <row r="420">
      <c r="E420" s="4"/>
      <c r="G420" s="5"/>
      <c r="H420" s="5"/>
      <c r="I420" s="5"/>
      <c r="K420" s="5"/>
      <c r="M420" s="5"/>
      <c r="N420" s="5"/>
    </row>
    <row r="421">
      <c r="E421" s="4"/>
      <c r="G421" s="5"/>
      <c r="H421" s="5"/>
      <c r="I421" s="5"/>
      <c r="K421" s="5"/>
      <c r="M421" s="5"/>
      <c r="N421" s="5"/>
    </row>
    <row r="422">
      <c r="E422" s="4"/>
      <c r="G422" s="5"/>
      <c r="H422" s="5"/>
      <c r="I422" s="5"/>
      <c r="K422" s="5"/>
      <c r="M422" s="5"/>
      <c r="N422" s="5"/>
    </row>
    <row r="423">
      <c r="E423" s="4"/>
      <c r="G423" s="5"/>
      <c r="H423" s="5"/>
      <c r="I423" s="5"/>
      <c r="K423" s="5"/>
      <c r="M423" s="5"/>
      <c r="N423" s="5"/>
    </row>
    <row r="424">
      <c r="E424" s="4"/>
      <c r="G424" s="5"/>
      <c r="H424" s="5"/>
      <c r="I424" s="5"/>
      <c r="K424" s="5"/>
      <c r="M424" s="5"/>
      <c r="N424" s="5"/>
    </row>
    <row r="425">
      <c r="E425" s="4"/>
      <c r="G425" s="5"/>
      <c r="H425" s="5"/>
      <c r="I425" s="5"/>
      <c r="K425" s="5"/>
      <c r="M425" s="5"/>
      <c r="N425" s="5"/>
    </row>
    <row r="426">
      <c r="E426" s="4"/>
      <c r="G426" s="5"/>
      <c r="H426" s="5"/>
      <c r="I426" s="5"/>
      <c r="K426" s="5"/>
      <c r="M426" s="5"/>
      <c r="N426" s="5"/>
    </row>
    <row r="427">
      <c r="E427" s="4"/>
      <c r="G427" s="5"/>
      <c r="H427" s="5"/>
      <c r="I427" s="5"/>
      <c r="K427" s="5"/>
      <c r="M427" s="5"/>
      <c r="N427" s="5"/>
    </row>
    <row r="428">
      <c r="E428" s="4"/>
      <c r="G428" s="5"/>
      <c r="H428" s="5"/>
      <c r="I428" s="5"/>
      <c r="K428" s="5"/>
      <c r="M428" s="5"/>
      <c r="N428" s="5"/>
    </row>
    <row r="429">
      <c r="E429" s="4"/>
      <c r="G429" s="5"/>
      <c r="H429" s="5"/>
      <c r="I429" s="5"/>
      <c r="K429" s="5"/>
      <c r="M429" s="5"/>
      <c r="N429" s="5"/>
    </row>
    <row r="430">
      <c r="E430" s="4"/>
      <c r="G430" s="5"/>
      <c r="H430" s="5"/>
      <c r="I430" s="5"/>
      <c r="K430" s="5"/>
      <c r="M430" s="5"/>
      <c r="N430" s="5"/>
    </row>
    <row r="431">
      <c r="E431" s="4"/>
      <c r="G431" s="5"/>
      <c r="H431" s="5"/>
      <c r="I431" s="5"/>
      <c r="K431" s="5"/>
      <c r="M431" s="5"/>
      <c r="N431" s="5"/>
    </row>
    <row r="432">
      <c r="E432" s="4"/>
      <c r="G432" s="5"/>
      <c r="H432" s="5"/>
      <c r="I432" s="5"/>
      <c r="K432" s="5"/>
      <c r="M432" s="5"/>
      <c r="N432" s="5"/>
    </row>
    <row r="433">
      <c r="E433" s="4"/>
      <c r="G433" s="5"/>
      <c r="H433" s="5"/>
      <c r="I433" s="5"/>
      <c r="K433" s="5"/>
      <c r="M433" s="5"/>
      <c r="N433" s="5"/>
    </row>
    <row r="434">
      <c r="E434" s="4"/>
      <c r="G434" s="5"/>
      <c r="H434" s="5"/>
      <c r="I434" s="5"/>
      <c r="K434" s="5"/>
      <c r="M434" s="5"/>
      <c r="N434" s="5"/>
    </row>
    <row r="435">
      <c r="E435" s="4"/>
      <c r="G435" s="5"/>
      <c r="H435" s="5"/>
      <c r="I435" s="5"/>
      <c r="K435" s="5"/>
      <c r="M435" s="5"/>
      <c r="N435" s="5"/>
    </row>
    <row r="436">
      <c r="E436" s="4"/>
      <c r="G436" s="5"/>
      <c r="H436" s="5"/>
      <c r="I436" s="5"/>
      <c r="K436" s="5"/>
      <c r="M436" s="5"/>
      <c r="N436" s="5"/>
    </row>
    <row r="437">
      <c r="E437" s="4"/>
      <c r="G437" s="5"/>
      <c r="H437" s="5"/>
      <c r="I437" s="5"/>
      <c r="K437" s="5"/>
      <c r="M437" s="5"/>
      <c r="N437" s="5"/>
    </row>
    <row r="438">
      <c r="E438" s="4"/>
      <c r="G438" s="5"/>
      <c r="H438" s="5"/>
      <c r="I438" s="5"/>
      <c r="K438" s="5"/>
      <c r="M438" s="5"/>
      <c r="N438" s="5"/>
    </row>
    <row r="439">
      <c r="E439" s="4"/>
      <c r="G439" s="5"/>
      <c r="H439" s="5"/>
      <c r="I439" s="5"/>
      <c r="K439" s="5"/>
      <c r="M439" s="5"/>
      <c r="N439" s="5"/>
    </row>
    <row r="440">
      <c r="E440" s="4"/>
      <c r="G440" s="5"/>
      <c r="H440" s="5"/>
      <c r="I440" s="5"/>
      <c r="K440" s="5"/>
      <c r="M440" s="5"/>
      <c r="N440" s="5"/>
    </row>
    <row r="441">
      <c r="E441" s="4"/>
      <c r="G441" s="5"/>
      <c r="H441" s="5"/>
      <c r="I441" s="5"/>
      <c r="K441" s="5"/>
      <c r="M441" s="5"/>
      <c r="N441" s="5"/>
    </row>
    <row r="442">
      <c r="E442" s="4"/>
      <c r="G442" s="5"/>
      <c r="H442" s="5"/>
      <c r="I442" s="5"/>
      <c r="K442" s="5"/>
      <c r="M442" s="5"/>
      <c r="N442" s="5"/>
    </row>
    <row r="443">
      <c r="E443" s="4"/>
      <c r="G443" s="5"/>
      <c r="H443" s="5"/>
      <c r="I443" s="5"/>
      <c r="K443" s="5"/>
      <c r="M443" s="5"/>
      <c r="N443" s="5"/>
    </row>
    <row r="444">
      <c r="E444" s="4"/>
      <c r="G444" s="5"/>
      <c r="H444" s="5"/>
      <c r="I444" s="5"/>
      <c r="K444" s="5"/>
      <c r="M444" s="5"/>
      <c r="N444" s="5"/>
    </row>
    <row r="445">
      <c r="E445" s="4"/>
      <c r="G445" s="5"/>
      <c r="H445" s="5"/>
      <c r="I445" s="5"/>
      <c r="K445" s="5"/>
      <c r="M445" s="5"/>
      <c r="N445" s="5"/>
    </row>
    <row r="446">
      <c r="E446" s="4"/>
      <c r="G446" s="5"/>
      <c r="H446" s="5"/>
      <c r="I446" s="5"/>
      <c r="K446" s="5"/>
      <c r="M446" s="5"/>
      <c r="N446" s="5"/>
    </row>
    <row r="447">
      <c r="E447" s="4"/>
      <c r="G447" s="5"/>
      <c r="H447" s="5"/>
      <c r="I447" s="5"/>
      <c r="K447" s="5"/>
      <c r="M447" s="5"/>
      <c r="N447" s="5"/>
    </row>
    <row r="448">
      <c r="E448" s="4"/>
      <c r="G448" s="5"/>
      <c r="H448" s="5"/>
      <c r="I448" s="5"/>
      <c r="K448" s="5"/>
      <c r="M448" s="5"/>
      <c r="N448" s="5"/>
    </row>
    <row r="449">
      <c r="E449" s="4"/>
      <c r="G449" s="5"/>
      <c r="H449" s="5"/>
      <c r="I449" s="5"/>
      <c r="K449" s="5"/>
      <c r="M449" s="5"/>
      <c r="N449" s="5"/>
    </row>
    <row r="450">
      <c r="E450" s="4"/>
      <c r="G450" s="5"/>
      <c r="H450" s="5"/>
      <c r="I450" s="5"/>
      <c r="K450" s="5"/>
      <c r="M450" s="5"/>
      <c r="N450" s="5"/>
    </row>
    <row r="451">
      <c r="E451" s="4"/>
      <c r="G451" s="5"/>
      <c r="H451" s="5"/>
      <c r="I451" s="5"/>
      <c r="K451" s="5"/>
      <c r="M451" s="5"/>
      <c r="N451" s="5"/>
    </row>
    <row r="452">
      <c r="E452" s="4"/>
      <c r="G452" s="5"/>
      <c r="H452" s="5"/>
      <c r="I452" s="5"/>
      <c r="K452" s="5"/>
      <c r="M452" s="5"/>
      <c r="N452" s="5"/>
    </row>
    <row r="453">
      <c r="E453" s="4"/>
      <c r="G453" s="5"/>
      <c r="H453" s="5"/>
      <c r="I453" s="5"/>
      <c r="K453" s="5"/>
      <c r="M453" s="5"/>
      <c r="N453" s="5"/>
    </row>
    <row r="454">
      <c r="E454" s="4"/>
      <c r="G454" s="5"/>
      <c r="H454" s="5"/>
      <c r="I454" s="5"/>
      <c r="K454" s="5"/>
      <c r="M454" s="5"/>
      <c r="N454" s="5"/>
    </row>
    <row r="455">
      <c r="E455" s="4"/>
      <c r="G455" s="5"/>
      <c r="H455" s="5"/>
      <c r="I455" s="5"/>
      <c r="K455" s="5"/>
      <c r="M455" s="5"/>
      <c r="N455" s="5"/>
    </row>
    <row r="456">
      <c r="E456" s="4"/>
      <c r="G456" s="5"/>
      <c r="H456" s="5"/>
      <c r="I456" s="5"/>
      <c r="K456" s="5"/>
      <c r="M456" s="5"/>
      <c r="N456" s="5"/>
    </row>
    <row r="457">
      <c r="E457" s="4"/>
      <c r="G457" s="5"/>
      <c r="H457" s="5"/>
      <c r="I457" s="5"/>
      <c r="K457" s="5"/>
      <c r="M457" s="5"/>
      <c r="N457" s="5"/>
    </row>
    <row r="458">
      <c r="E458" s="4"/>
      <c r="G458" s="5"/>
      <c r="H458" s="5"/>
      <c r="I458" s="5"/>
      <c r="K458" s="5"/>
      <c r="M458" s="5"/>
      <c r="N458" s="5"/>
    </row>
    <row r="459">
      <c r="E459" s="4"/>
      <c r="G459" s="5"/>
      <c r="H459" s="5"/>
      <c r="I459" s="5"/>
      <c r="K459" s="5"/>
      <c r="M459" s="5"/>
      <c r="N459" s="5"/>
    </row>
    <row r="460">
      <c r="E460" s="4"/>
      <c r="G460" s="5"/>
      <c r="H460" s="5"/>
      <c r="I460" s="5"/>
      <c r="K460" s="5"/>
      <c r="M460" s="5"/>
      <c r="N460" s="5"/>
    </row>
    <row r="461">
      <c r="E461" s="4"/>
      <c r="G461" s="5"/>
      <c r="H461" s="5"/>
      <c r="I461" s="5"/>
      <c r="K461" s="5"/>
      <c r="M461" s="5"/>
      <c r="N461" s="5"/>
    </row>
    <row r="462">
      <c r="E462" s="4"/>
      <c r="G462" s="5"/>
      <c r="H462" s="5"/>
      <c r="I462" s="5"/>
      <c r="K462" s="5"/>
      <c r="M462" s="5"/>
      <c r="N462" s="5"/>
    </row>
    <row r="463">
      <c r="E463" s="4"/>
      <c r="G463" s="5"/>
      <c r="H463" s="5"/>
      <c r="I463" s="5"/>
      <c r="K463" s="5"/>
      <c r="M463" s="5"/>
      <c r="N463" s="5"/>
    </row>
    <row r="464">
      <c r="E464" s="4"/>
      <c r="G464" s="5"/>
      <c r="H464" s="5"/>
      <c r="I464" s="5"/>
      <c r="K464" s="5"/>
      <c r="M464" s="5"/>
      <c r="N464" s="5"/>
    </row>
    <row r="465">
      <c r="E465" s="4"/>
      <c r="G465" s="5"/>
      <c r="H465" s="5"/>
      <c r="I465" s="5"/>
      <c r="K465" s="5"/>
      <c r="M465" s="5"/>
      <c r="N465" s="5"/>
    </row>
    <row r="466">
      <c r="E466" s="4"/>
      <c r="G466" s="5"/>
      <c r="H466" s="5"/>
      <c r="I466" s="5"/>
      <c r="K466" s="5"/>
      <c r="M466" s="5"/>
      <c r="N466" s="5"/>
    </row>
    <row r="467">
      <c r="E467" s="4"/>
      <c r="G467" s="5"/>
      <c r="H467" s="5"/>
      <c r="I467" s="5"/>
      <c r="K467" s="5"/>
      <c r="M467" s="5"/>
      <c r="N467" s="5"/>
    </row>
    <row r="468">
      <c r="E468" s="4"/>
      <c r="G468" s="5"/>
      <c r="H468" s="5"/>
      <c r="I468" s="5"/>
      <c r="K468" s="5"/>
      <c r="M468" s="5"/>
      <c r="N468" s="5"/>
    </row>
    <row r="469">
      <c r="E469" s="4"/>
      <c r="G469" s="5"/>
      <c r="H469" s="5"/>
      <c r="I469" s="5"/>
      <c r="K469" s="5"/>
      <c r="M469" s="5"/>
      <c r="N469" s="5"/>
    </row>
    <row r="470">
      <c r="E470" s="4"/>
      <c r="G470" s="5"/>
      <c r="H470" s="5"/>
      <c r="I470" s="5"/>
      <c r="K470" s="5"/>
      <c r="M470" s="5"/>
      <c r="N470" s="5"/>
    </row>
    <row r="471">
      <c r="E471" s="4"/>
      <c r="G471" s="5"/>
      <c r="H471" s="5"/>
      <c r="I471" s="5"/>
      <c r="K471" s="5"/>
      <c r="M471" s="5"/>
      <c r="N471" s="5"/>
    </row>
    <row r="472">
      <c r="E472" s="4"/>
      <c r="G472" s="5"/>
      <c r="H472" s="5"/>
      <c r="I472" s="5"/>
      <c r="K472" s="5"/>
      <c r="M472" s="5"/>
      <c r="N472" s="5"/>
    </row>
    <row r="473">
      <c r="E473" s="4"/>
      <c r="G473" s="5"/>
      <c r="H473" s="5"/>
      <c r="I473" s="5"/>
      <c r="K473" s="5"/>
      <c r="M473" s="5"/>
      <c r="N473" s="5"/>
    </row>
    <row r="474">
      <c r="E474" s="4"/>
      <c r="G474" s="5"/>
      <c r="H474" s="5"/>
      <c r="I474" s="5"/>
      <c r="K474" s="5"/>
      <c r="M474" s="5"/>
      <c r="N474" s="5"/>
    </row>
    <row r="475">
      <c r="E475" s="4"/>
      <c r="G475" s="5"/>
      <c r="H475" s="5"/>
      <c r="I475" s="5"/>
      <c r="K475" s="5"/>
      <c r="M475" s="5"/>
      <c r="N475" s="5"/>
    </row>
    <row r="476">
      <c r="E476" s="4"/>
      <c r="G476" s="5"/>
      <c r="H476" s="5"/>
      <c r="I476" s="5"/>
      <c r="K476" s="5"/>
      <c r="M476" s="5"/>
      <c r="N476" s="5"/>
    </row>
    <row r="477">
      <c r="E477" s="4"/>
      <c r="G477" s="5"/>
      <c r="H477" s="5"/>
      <c r="I477" s="5"/>
      <c r="K477" s="5"/>
      <c r="M477" s="5"/>
      <c r="N477" s="5"/>
    </row>
    <row r="478">
      <c r="E478" s="4"/>
      <c r="G478" s="5"/>
      <c r="H478" s="5"/>
      <c r="I478" s="5"/>
      <c r="K478" s="5"/>
      <c r="M478" s="5"/>
      <c r="N478" s="5"/>
    </row>
    <row r="479">
      <c r="E479" s="4"/>
      <c r="G479" s="5"/>
      <c r="H479" s="5"/>
      <c r="I479" s="5"/>
      <c r="K479" s="5"/>
      <c r="M479" s="5"/>
      <c r="N479" s="5"/>
    </row>
    <row r="480">
      <c r="E480" s="4"/>
      <c r="G480" s="5"/>
      <c r="H480" s="5"/>
      <c r="I480" s="5"/>
      <c r="K480" s="5"/>
      <c r="M480" s="5"/>
      <c r="N480" s="5"/>
    </row>
    <row r="481">
      <c r="E481" s="4"/>
      <c r="G481" s="5"/>
      <c r="H481" s="5"/>
      <c r="I481" s="5"/>
      <c r="K481" s="5"/>
      <c r="M481" s="5"/>
      <c r="N481" s="5"/>
    </row>
    <row r="482">
      <c r="E482" s="4"/>
      <c r="G482" s="5"/>
      <c r="H482" s="5"/>
      <c r="I482" s="5"/>
      <c r="K482" s="5"/>
      <c r="M482" s="5"/>
      <c r="N482" s="5"/>
    </row>
    <row r="483">
      <c r="E483" s="4"/>
      <c r="G483" s="5"/>
      <c r="H483" s="5"/>
      <c r="I483" s="5"/>
      <c r="K483" s="5"/>
      <c r="M483" s="5"/>
      <c r="N483" s="5"/>
    </row>
    <row r="484">
      <c r="E484" s="4"/>
      <c r="G484" s="5"/>
      <c r="H484" s="5"/>
      <c r="I484" s="5"/>
      <c r="K484" s="5"/>
      <c r="M484" s="5"/>
      <c r="N484" s="5"/>
    </row>
    <row r="485">
      <c r="E485" s="4"/>
      <c r="G485" s="5"/>
      <c r="H485" s="5"/>
      <c r="I485" s="5"/>
      <c r="K485" s="5"/>
      <c r="M485" s="5"/>
      <c r="N485" s="5"/>
    </row>
    <row r="486">
      <c r="E486" s="4"/>
      <c r="G486" s="5"/>
      <c r="H486" s="5"/>
      <c r="I486" s="5"/>
      <c r="K486" s="5"/>
      <c r="M486" s="5"/>
      <c r="N486" s="5"/>
    </row>
    <row r="487">
      <c r="E487" s="4"/>
      <c r="G487" s="5"/>
      <c r="H487" s="5"/>
      <c r="I487" s="5"/>
      <c r="K487" s="5"/>
      <c r="M487" s="5"/>
      <c r="N487" s="5"/>
    </row>
    <row r="488">
      <c r="E488" s="4"/>
      <c r="G488" s="5"/>
      <c r="H488" s="5"/>
      <c r="I488" s="5"/>
      <c r="K488" s="5"/>
      <c r="M488" s="5"/>
      <c r="N488" s="5"/>
    </row>
    <row r="489">
      <c r="E489" s="4"/>
      <c r="G489" s="5"/>
      <c r="H489" s="5"/>
      <c r="I489" s="5"/>
      <c r="K489" s="5"/>
      <c r="M489" s="5"/>
      <c r="N489" s="5"/>
    </row>
    <row r="490">
      <c r="E490" s="4"/>
      <c r="G490" s="5"/>
      <c r="H490" s="5"/>
      <c r="I490" s="5"/>
      <c r="K490" s="5"/>
      <c r="M490" s="5"/>
      <c r="N490" s="5"/>
    </row>
    <row r="491">
      <c r="E491" s="4"/>
      <c r="G491" s="5"/>
      <c r="H491" s="5"/>
      <c r="I491" s="5"/>
      <c r="K491" s="5"/>
      <c r="M491" s="5"/>
      <c r="N491" s="5"/>
    </row>
    <row r="492">
      <c r="E492" s="4"/>
      <c r="G492" s="5"/>
      <c r="H492" s="5"/>
      <c r="I492" s="5"/>
      <c r="K492" s="5"/>
      <c r="M492" s="5"/>
      <c r="N492" s="5"/>
    </row>
    <row r="493">
      <c r="E493" s="4"/>
      <c r="G493" s="5"/>
      <c r="H493" s="5"/>
      <c r="I493" s="5"/>
      <c r="K493" s="5"/>
      <c r="M493" s="5"/>
      <c r="N493" s="5"/>
    </row>
    <row r="494">
      <c r="E494" s="4"/>
      <c r="G494" s="5"/>
      <c r="H494" s="5"/>
      <c r="I494" s="5"/>
      <c r="K494" s="5"/>
      <c r="M494" s="5"/>
      <c r="N494" s="5"/>
    </row>
    <row r="495">
      <c r="E495" s="4"/>
      <c r="G495" s="5"/>
      <c r="H495" s="5"/>
      <c r="I495" s="5"/>
      <c r="K495" s="5"/>
      <c r="M495" s="5"/>
      <c r="N495" s="5"/>
    </row>
    <row r="496">
      <c r="E496" s="4"/>
      <c r="G496" s="5"/>
      <c r="H496" s="5"/>
      <c r="I496" s="5"/>
      <c r="K496" s="5"/>
      <c r="M496" s="5"/>
      <c r="N496" s="5"/>
    </row>
    <row r="497">
      <c r="E497" s="4"/>
      <c r="G497" s="5"/>
      <c r="H497" s="5"/>
      <c r="I497" s="5"/>
      <c r="K497" s="5"/>
      <c r="M497" s="5"/>
      <c r="N497" s="5"/>
    </row>
    <row r="498">
      <c r="E498" s="4"/>
      <c r="G498" s="5"/>
      <c r="H498" s="5"/>
      <c r="I498" s="5"/>
      <c r="K498" s="5"/>
      <c r="M498" s="5"/>
      <c r="N498" s="5"/>
    </row>
    <row r="499">
      <c r="E499" s="4"/>
      <c r="G499" s="5"/>
      <c r="H499" s="5"/>
      <c r="I499" s="5"/>
      <c r="K499" s="5"/>
      <c r="M499" s="5"/>
      <c r="N499" s="5"/>
    </row>
    <row r="500">
      <c r="E500" s="4"/>
      <c r="G500" s="5"/>
      <c r="H500" s="5"/>
      <c r="I500" s="5"/>
      <c r="K500" s="5"/>
      <c r="M500" s="5"/>
      <c r="N500" s="5"/>
    </row>
    <row r="501">
      <c r="E501" s="4"/>
      <c r="G501" s="5"/>
      <c r="H501" s="5"/>
      <c r="I501" s="5"/>
      <c r="K501" s="5"/>
      <c r="M501" s="5"/>
      <c r="N501" s="5"/>
    </row>
    <row r="502">
      <c r="E502" s="4"/>
      <c r="G502" s="5"/>
      <c r="H502" s="5"/>
      <c r="I502" s="5"/>
      <c r="K502" s="5"/>
      <c r="M502" s="5"/>
      <c r="N502" s="5"/>
    </row>
    <row r="503">
      <c r="E503" s="4"/>
      <c r="G503" s="5"/>
      <c r="H503" s="5"/>
      <c r="I503" s="5"/>
      <c r="K503" s="5"/>
      <c r="M503" s="5"/>
      <c r="N503" s="5"/>
    </row>
    <row r="504">
      <c r="E504" s="4"/>
      <c r="G504" s="5"/>
      <c r="H504" s="5"/>
      <c r="I504" s="5"/>
      <c r="K504" s="5"/>
      <c r="M504" s="5"/>
      <c r="N504" s="5"/>
    </row>
    <row r="505">
      <c r="E505" s="4"/>
      <c r="G505" s="5"/>
      <c r="H505" s="5"/>
      <c r="I505" s="5"/>
      <c r="K505" s="5"/>
      <c r="M505" s="5"/>
      <c r="N505" s="5"/>
    </row>
    <row r="506">
      <c r="E506" s="4"/>
      <c r="G506" s="5"/>
      <c r="H506" s="5"/>
      <c r="I506" s="5"/>
      <c r="K506" s="5"/>
      <c r="M506" s="5"/>
      <c r="N506" s="5"/>
    </row>
    <row r="507">
      <c r="E507" s="4"/>
      <c r="G507" s="5"/>
      <c r="H507" s="5"/>
      <c r="I507" s="5"/>
      <c r="K507" s="5"/>
      <c r="M507" s="5"/>
      <c r="N507" s="5"/>
    </row>
    <row r="508">
      <c r="E508" s="4"/>
      <c r="G508" s="5"/>
      <c r="H508" s="5"/>
      <c r="I508" s="5"/>
      <c r="K508" s="5"/>
      <c r="M508" s="5"/>
      <c r="N508" s="5"/>
    </row>
    <row r="509">
      <c r="E509" s="4"/>
      <c r="G509" s="5"/>
      <c r="H509" s="5"/>
      <c r="I509" s="5"/>
      <c r="K509" s="5"/>
      <c r="M509" s="5"/>
      <c r="N509" s="5"/>
    </row>
    <row r="510">
      <c r="E510" s="4"/>
      <c r="G510" s="5"/>
      <c r="H510" s="5"/>
      <c r="I510" s="5"/>
      <c r="K510" s="5"/>
      <c r="M510" s="5"/>
      <c r="N510" s="5"/>
    </row>
    <row r="511">
      <c r="E511" s="4"/>
      <c r="G511" s="5"/>
      <c r="H511" s="5"/>
      <c r="I511" s="5"/>
      <c r="K511" s="5"/>
      <c r="M511" s="5"/>
      <c r="N511" s="5"/>
    </row>
    <row r="512">
      <c r="E512" s="4"/>
      <c r="G512" s="5"/>
      <c r="H512" s="5"/>
      <c r="I512" s="5"/>
      <c r="K512" s="5"/>
      <c r="M512" s="5"/>
      <c r="N512" s="5"/>
    </row>
    <row r="513">
      <c r="E513" s="4"/>
      <c r="G513" s="5"/>
      <c r="H513" s="5"/>
      <c r="I513" s="5"/>
      <c r="K513" s="5"/>
      <c r="M513" s="5"/>
      <c r="N513" s="5"/>
    </row>
    <row r="514">
      <c r="E514" s="4"/>
      <c r="G514" s="5"/>
      <c r="H514" s="5"/>
      <c r="I514" s="5"/>
      <c r="K514" s="5"/>
      <c r="M514" s="5"/>
      <c r="N514" s="5"/>
    </row>
    <row r="515">
      <c r="E515" s="4"/>
      <c r="G515" s="5"/>
      <c r="H515" s="5"/>
      <c r="I515" s="5"/>
      <c r="K515" s="5"/>
      <c r="M515" s="5"/>
      <c r="N515" s="5"/>
    </row>
    <row r="516">
      <c r="E516" s="4"/>
      <c r="G516" s="5"/>
      <c r="H516" s="5"/>
      <c r="I516" s="5"/>
      <c r="K516" s="5"/>
      <c r="M516" s="5"/>
      <c r="N516" s="5"/>
    </row>
    <row r="517">
      <c r="E517" s="4"/>
      <c r="G517" s="5"/>
      <c r="H517" s="5"/>
      <c r="I517" s="5"/>
      <c r="K517" s="5"/>
      <c r="M517" s="5"/>
      <c r="N517" s="5"/>
    </row>
    <row r="518">
      <c r="E518" s="4"/>
      <c r="G518" s="5"/>
      <c r="H518" s="5"/>
      <c r="I518" s="5"/>
      <c r="K518" s="5"/>
      <c r="M518" s="5"/>
      <c r="N518" s="5"/>
    </row>
    <row r="519">
      <c r="E519" s="4"/>
      <c r="G519" s="5"/>
      <c r="H519" s="5"/>
      <c r="I519" s="5"/>
      <c r="K519" s="5"/>
      <c r="M519" s="5"/>
      <c r="N519" s="5"/>
    </row>
    <row r="520">
      <c r="E520" s="4"/>
      <c r="G520" s="5"/>
      <c r="H520" s="5"/>
      <c r="I520" s="5"/>
      <c r="K520" s="5"/>
      <c r="M520" s="5"/>
      <c r="N520" s="5"/>
    </row>
    <row r="521">
      <c r="E521" s="4"/>
      <c r="G521" s="5"/>
      <c r="H521" s="5"/>
      <c r="I521" s="5"/>
      <c r="K521" s="5"/>
      <c r="M521" s="5"/>
      <c r="N521" s="5"/>
    </row>
    <row r="522">
      <c r="E522" s="4"/>
      <c r="G522" s="5"/>
      <c r="H522" s="5"/>
      <c r="I522" s="5"/>
      <c r="K522" s="5"/>
      <c r="M522" s="5"/>
      <c r="N522" s="5"/>
    </row>
    <row r="523">
      <c r="E523" s="4"/>
      <c r="G523" s="5"/>
      <c r="H523" s="5"/>
      <c r="I523" s="5"/>
      <c r="K523" s="5"/>
      <c r="M523" s="5"/>
      <c r="N523" s="5"/>
    </row>
    <row r="524">
      <c r="E524" s="4"/>
      <c r="G524" s="5"/>
      <c r="H524" s="5"/>
      <c r="I524" s="5"/>
      <c r="K524" s="5"/>
      <c r="M524" s="5"/>
      <c r="N524" s="5"/>
    </row>
    <row r="525">
      <c r="E525" s="4"/>
      <c r="G525" s="5"/>
      <c r="H525" s="5"/>
      <c r="I525" s="5"/>
      <c r="K525" s="5"/>
      <c r="M525" s="5"/>
      <c r="N525" s="5"/>
    </row>
    <row r="526">
      <c r="E526" s="4"/>
      <c r="G526" s="5"/>
      <c r="H526" s="5"/>
      <c r="I526" s="5"/>
      <c r="K526" s="5"/>
      <c r="M526" s="5"/>
      <c r="N526" s="5"/>
    </row>
    <row r="527">
      <c r="E527" s="4"/>
      <c r="G527" s="5"/>
      <c r="H527" s="5"/>
      <c r="I527" s="5"/>
      <c r="K527" s="5"/>
      <c r="M527" s="5"/>
      <c r="N527" s="5"/>
    </row>
    <row r="528">
      <c r="E528" s="4"/>
      <c r="G528" s="5"/>
      <c r="H528" s="5"/>
      <c r="I528" s="5"/>
      <c r="K528" s="5"/>
      <c r="M528" s="5"/>
      <c r="N528" s="5"/>
    </row>
    <row r="529">
      <c r="E529" s="4"/>
      <c r="G529" s="5"/>
      <c r="H529" s="5"/>
      <c r="I529" s="5"/>
      <c r="K529" s="5"/>
      <c r="M529" s="5"/>
      <c r="N529" s="5"/>
    </row>
    <row r="530">
      <c r="E530" s="4"/>
      <c r="G530" s="5"/>
      <c r="H530" s="5"/>
      <c r="I530" s="5"/>
      <c r="K530" s="5"/>
      <c r="M530" s="5"/>
      <c r="N530" s="5"/>
    </row>
    <row r="531">
      <c r="E531" s="4"/>
      <c r="G531" s="5"/>
      <c r="H531" s="5"/>
      <c r="I531" s="5"/>
      <c r="K531" s="5"/>
      <c r="M531" s="5"/>
      <c r="N531" s="5"/>
    </row>
    <row r="532">
      <c r="E532" s="4"/>
      <c r="G532" s="5"/>
      <c r="H532" s="5"/>
      <c r="I532" s="5"/>
      <c r="K532" s="5"/>
      <c r="M532" s="5"/>
      <c r="N532" s="5"/>
    </row>
    <row r="533">
      <c r="E533" s="4"/>
      <c r="G533" s="5"/>
      <c r="H533" s="5"/>
      <c r="I533" s="5"/>
      <c r="K533" s="5"/>
      <c r="M533" s="5"/>
      <c r="N533" s="5"/>
    </row>
    <row r="534">
      <c r="E534" s="4"/>
      <c r="G534" s="5"/>
      <c r="H534" s="5"/>
      <c r="I534" s="5"/>
      <c r="K534" s="5"/>
      <c r="M534" s="5"/>
      <c r="N534" s="5"/>
    </row>
    <row r="535">
      <c r="E535" s="4"/>
      <c r="G535" s="5"/>
      <c r="H535" s="5"/>
      <c r="I535" s="5"/>
      <c r="K535" s="5"/>
      <c r="M535" s="5"/>
      <c r="N535" s="5"/>
    </row>
    <row r="536">
      <c r="E536" s="4"/>
      <c r="G536" s="5"/>
      <c r="H536" s="5"/>
      <c r="I536" s="5"/>
      <c r="K536" s="5"/>
      <c r="M536" s="5"/>
      <c r="N536" s="5"/>
    </row>
    <row r="537">
      <c r="E537" s="4"/>
      <c r="G537" s="5"/>
      <c r="H537" s="5"/>
      <c r="I537" s="5"/>
      <c r="K537" s="5"/>
      <c r="M537" s="5"/>
      <c r="N537" s="5"/>
    </row>
    <row r="538">
      <c r="E538" s="4"/>
      <c r="G538" s="5"/>
      <c r="H538" s="5"/>
      <c r="I538" s="5"/>
      <c r="K538" s="5"/>
      <c r="M538" s="5"/>
      <c r="N538" s="5"/>
    </row>
    <row r="539">
      <c r="E539" s="4"/>
      <c r="G539" s="5"/>
      <c r="H539" s="5"/>
      <c r="I539" s="5"/>
      <c r="K539" s="5"/>
      <c r="M539" s="5"/>
      <c r="N539" s="5"/>
    </row>
    <row r="540">
      <c r="E540" s="4"/>
      <c r="G540" s="5"/>
      <c r="H540" s="5"/>
      <c r="I540" s="5"/>
      <c r="K540" s="5"/>
      <c r="M540" s="5"/>
      <c r="N540" s="5"/>
    </row>
    <row r="541">
      <c r="E541" s="4"/>
      <c r="G541" s="5"/>
      <c r="H541" s="5"/>
      <c r="I541" s="5"/>
      <c r="K541" s="5"/>
      <c r="M541" s="5"/>
      <c r="N541" s="5"/>
    </row>
    <row r="542">
      <c r="E542" s="4"/>
      <c r="G542" s="5"/>
      <c r="H542" s="5"/>
      <c r="I542" s="5"/>
      <c r="K542" s="5"/>
      <c r="M542" s="5"/>
      <c r="N542" s="5"/>
    </row>
    <row r="543">
      <c r="E543" s="4"/>
      <c r="G543" s="5"/>
      <c r="H543" s="5"/>
      <c r="I543" s="5"/>
      <c r="K543" s="5"/>
      <c r="M543" s="5"/>
      <c r="N543" s="5"/>
    </row>
    <row r="544">
      <c r="E544" s="4"/>
      <c r="G544" s="5"/>
      <c r="H544" s="5"/>
      <c r="I544" s="5"/>
      <c r="K544" s="5"/>
      <c r="M544" s="5"/>
      <c r="N544" s="5"/>
    </row>
    <row r="545">
      <c r="E545" s="4"/>
      <c r="G545" s="5"/>
      <c r="H545" s="5"/>
      <c r="I545" s="5"/>
      <c r="K545" s="5"/>
      <c r="M545" s="5"/>
      <c r="N545" s="5"/>
    </row>
    <row r="546">
      <c r="E546" s="4"/>
      <c r="G546" s="5"/>
      <c r="H546" s="5"/>
      <c r="I546" s="5"/>
      <c r="K546" s="5"/>
      <c r="M546" s="5"/>
      <c r="N546" s="5"/>
    </row>
    <row r="547">
      <c r="E547" s="4"/>
      <c r="G547" s="5"/>
      <c r="H547" s="5"/>
      <c r="I547" s="5"/>
      <c r="K547" s="5"/>
      <c r="M547" s="5"/>
      <c r="N547" s="5"/>
    </row>
    <row r="548">
      <c r="E548" s="4"/>
      <c r="G548" s="5"/>
      <c r="H548" s="5"/>
      <c r="I548" s="5"/>
      <c r="K548" s="5"/>
      <c r="M548" s="5"/>
      <c r="N548" s="5"/>
    </row>
    <row r="549">
      <c r="E549" s="4"/>
      <c r="G549" s="5"/>
      <c r="H549" s="5"/>
      <c r="I549" s="5"/>
      <c r="K549" s="5"/>
      <c r="M549" s="5"/>
      <c r="N549" s="5"/>
    </row>
    <row r="550">
      <c r="E550" s="4"/>
      <c r="G550" s="5"/>
      <c r="H550" s="5"/>
      <c r="I550" s="5"/>
      <c r="K550" s="5"/>
      <c r="M550" s="5"/>
      <c r="N550" s="5"/>
    </row>
    <row r="551">
      <c r="E551" s="4"/>
      <c r="G551" s="5"/>
      <c r="H551" s="5"/>
      <c r="I551" s="5"/>
      <c r="K551" s="5"/>
      <c r="M551" s="5"/>
      <c r="N551" s="5"/>
    </row>
    <row r="552">
      <c r="E552" s="4"/>
      <c r="G552" s="5"/>
      <c r="H552" s="5"/>
      <c r="I552" s="5"/>
      <c r="K552" s="5"/>
      <c r="M552" s="5"/>
      <c r="N552" s="5"/>
    </row>
    <row r="553">
      <c r="E553" s="4"/>
      <c r="G553" s="5"/>
      <c r="H553" s="5"/>
      <c r="I553" s="5"/>
      <c r="K553" s="5"/>
      <c r="M553" s="5"/>
      <c r="N553" s="5"/>
    </row>
    <row r="554">
      <c r="E554" s="4"/>
      <c r="G554" s="5"/>
      <c r="H554" s="5"/>
      <c r="I554" s="5"/>
      <c r="K554" s="5"/>
      <c r="M554" s="5"/>
      <c r="N554" s="5"/>
    </row>
    <row r="555">
      <c r="E555" s="4"/>
      <c r="G555" s="5"/>
      <c r="H555" s="5"/>
      <c r="I555" s="5"/>
      <c r="K555" s="5"/>
      <c r="M555" s="5"/>
      <c r="N555" s="5"/>
    </row>
    <row r="556">
      <c r="E556" s="4"/>
      <c r="G556" s="5"/>
      <c r="H556" s="5"/>
      <c r="I556" s="5"/>
      <c r="K556" s="5"/>
      <c r="M556" s="5"/>
      <c r="N556" s="5"/>
    </row>
    <row r="557">
      <c r="E557" s="4"/>
      <c r="G557" s="5"/>
      <c r="H557" s="5"/>
      <c r="I557" s="5"/>
      <c r="K557" s="5"/>
      <c r="M557" s="5"/>
      <c r="N557" s="5"/>
    </row>
    <row r="558">
      <c r="E558" s="4"/>
      <c r="G558" s="5"/>
      <c r="H558" s="5"/>
      <c r="I558" s="5"/>
      <c r="K558" s="5"/>
      <c r="M558" s="5"/>
      <c r="N558" s="5"/>
    </row>
    <row r="559">
      <c r="E559" s="4"/>
      <c r="G559" s="5"/>
      <c r="H559" s="5"/>
      <c r="I559" s="5"/>
      <c r="K559" s="5"/>
      <c r="M559" s="5"/>
      <c r="N559" s="5"/>
    </row>
    <row r="560">
      <c r="E560" s="4"/>
      <c r="G560" s="5"/>
      <c r="H560" s="5"/>
      <c r="I560" s="5"/>
      <c r="K560" s="5"/>
      <c r="M560" s="5"/>
      <c r="N560" s="5"/>
    </row>
    <row r="561">
      <c r="E561" s="4"/>
      <c r="G561" s="5"/>
      <c r="H561" s="5"/>
      <c r="I561" s="5"/>
      <c r="K561" s="5"/>
      <c r="M561" s="5"/>
      <c r="N561" s="5"/>
    </row>
    <row r="562">
      <c r="E562" s="4"/>
      <c r="G562" s="5"/>
      <c r="H562" s="5"/>
      <c r="I562" s="5"/>
      <c r="K562" s="5"/>
      <c r="M562" s="5"/>
      <c r="N562" s="5"/>
    </row>
    <row r="563">
      <c r="E563" s="4"/>
      <c r="G563" s="5"/>
      <c r="H563" s="5"/>
      <c r="I563" s="5"/>
      <c r="K563" s="5"/>
      <c r="M563" s="5"/>
      <c r="N563" s="5"/>
    </row>
    <row r="564">
      <c r="E564" s="4"/>
      <c r="G564" s="5"/>
      <c r="H564" s="5"/>
      <c r="I564" s="5"/>
      <c r="K564" s="5"/>
      <c r="M564" s="5"/>
      <c r="N564" s="5"/>
    </row>
    <row r="565">
      <c r="E565" s="4"/>
      <c r="G565" s="5"/>
      <c r="H565" s="5"/>
      <c r="I565" s="5"/>
      <c r="K565" s="5"/>
      <c r="M565" s="5"/>
      <c r="N565" s="5"/>
    </row>
    <row r="566">
      <c r="E566" s="4"/>
      <c r="G566" s="5"/>
      <c r="H566" s="5"/>
      <c r="I566" s="5"/>
      <c r="K566" s="5"/>
      <c r="M566" s="5"/>
      <c r="N566" s="5"/>
    </row>
    <row r="567">
      <c r="E567" s="4"/>
      <c r="G567" s="5"/>
      <c r="H567" s="5"/>
      <c r="I567" s="5"/>
      <c r="K567" s="5"/>
      <c r="M567" s="5"/>
      <c r="N567" s="5"/>
    </row>
    <row r="568">
      <c r="E568" s="4"/>
      <c r="G568" s="5"/>
      <c r="H568" s="5"/>
      <c r="I568" s="5"/>
      <c r="K568" s="5"/>
      <c r="M568" s="5"/>
      <c r="N568" s="5"/>
    </row>
    <row r="569">
      <c r="E569" s="4"/>
      <c r="G569" s="5"/>
      <c r="H569" s="5"/>
      <c r="I569" s="5"/>
      <c r="K569" s="5"/>
      <c r="M569" s="5"/>
      <c r="N569" s="5"/>
    </row>
    <row r="570">
      <c r="E570" s="4"/>
      <c r="G570" s="5"/>
      <c r="H570" s="5"/>
      <c r="I570" s="5"/>
      <c r="K570" s="5"/>
      <c r="M570" s="5"/>
      <c r="N570" s="5"/>
    </row>
    <row r="571">
      <c r="E571" s="4"/>
      <c r="G571" s="5"/>
      <c r="H571" s="5"/>
      <c r="I571" s="5"/>
      <c r="K571" s="5"/>
      <c r="M571" s="5"/>
      <c r="N571" s="5"/>
    </row>
    <row r="572">
      <c r="E572" s="4"/>
      <c r="G572" s="5"/>
      <c r="H572" s="5"/>
      <c r="I572" s="5"/>
      <c r="K572" s="5"/>
      <c r="M572" s="5"/>
      <c r="N572" s="5"/>
    </row>
    <row r="573">
      <c r="E573" s="4"/>
      <c r="G573" s="5"/>
      <c r="H573" s="5"/>
      <c r="I573" s="5"/>
      <c r="K573" s="5"/>
      <c r="M573" s="5"/>
      <c r="N573" s="5"/>
    </row>
    <row r="574">
      <c r="E574" s="4"/>
      <c r="G574" s="5"/>
      <c r="H574" s="5"/>
      <c r="I574" s="5"/>
      <c r="K574" s="5"/>
      <c r="M574" s="5"/>
      <c r="N574" s="5"/>
    </row>
    <row r="575">
      <c r="E575" s="4"/>
      <c r="G575" s="5"/>
      <c r="H575" s="5"/>
      <c r="I575" s="5"/>
      <c r="K575" s="5"/>
      <c r="M575" s="5"/>
      <c r="N575" s="5"/>
    </row>
    <row r="576">
      <c r="E576" s="4"/>
      <c r="G576" s="5"/>
      <c r="H576" s="5"/>
      <c r="I576" s="5"/>
      <c r="K576" s="5"/>
      <c r="M576" s="5"/>
      <c r="N576" s="5"/>
    </row>
    <row r="577">
      <c r="E577" s="4"/>
      <c r="G577" s="5"/>
      <c r="H577" s="5"/>
      <c r="I577" s="5"/>
      <c r="K577" s="5"/>
      <c r="M577" s="5"/>
      <c r="N577" s="5"/>
    </row>
    <row r="578">
      <c r="E578" s="4"/>
      <c r="G578" s="5"/>
      <c r="H578" s="5"/>
      <c r="I578" s="5"/>
      <c r="K578" s="5"/>
      <c r="M578" s="5"/>
      <c r="N578" s="5"/>
    </row>
    <row r="579">
      <c r="E579" s="4"/>
      <c r="G579" s="5"/>
      <c r="H579" s="5"/>
      <c r="I579" s="5"/>
      <c r="K579" s="5"/>
      <c r="M579" s="5"/>
      <c r="N579" s="5"/>
    </row>
    <row r="580">
      <c r="E580" s="4"/>
      <c r="G580" s="5"/>
      <c r="H580" s="5"/>
      <c r="I580" s="5"/>
      <c r="K580" s="5"/>
      <c r="M580" s="5"/>
      <c r="N580" s="5"/>
    </row>
    <row r="581">
      <c r="E581" s="4"/>
      <c r="G581" s="5"/>
      <c r="H581" s="5"/>
      <c r="I581" s="5"/>
      <c r="K581" s="5"/>
      <c r="M581" s="5"/>
      <c r="N581" s="5"/>
    </row>
    <row r="582">
      <c r="E582" s="4"/>
      <c r="G582" s="5"/>
      <c r="H582" s="5"/>
      <c r="I582" s="5"/>
      <c r="K582" s="5"/>
      <c r="M582" s="5"/>
      <c r="N582" s="5"/>
    </row>
    <row r="583">
      <c r="E583" s="4"/>
      <c r="G583" s="5"/>
      <c r="H583" s="5"/>
      <c r="I583" s="5"/>
      <c r="K583" s="5"/>
      <c r="M583" s="5"/>
      <c r="N583" s="5"/>
    </row>
    <row r="584">
      <c r="E584" s="4"/>
      <c r="G584" s="5"/>
      <c r="H584" s="5"/>
      <c r="I584" s="5"/>
      <c r="K584" s="5"/>
      <c r="M584" s="5"/>
      <c r="N584" s="5"/>
    </row>
    <row r="585">
      <c r="E585" s="4"/>
      <c r="G585" s="5"/>
      <c r="H585" s="5"/>
      <c r="I585" s="5"/>
      <c r="K585" s="5"/>
      <c r="M585" s="5"/>
      <c r="N585" s="5"/>
    </row>
    <row r="586">
      <c r="E586" s="4"/>
      <c r="G586" s="5"/>
      <c r="H586" s="5"/>
      <c r="I586" s="5"/>
      <c r="K586" s="5"/>
      <c r="M586" s="5"/>
      <c r="N586" s="5"/>
    </row>
    <row r="587">
      <c r="E587" s="4"/>
      <c r="G587" s="5"/>
      <c r="H587" s="5"/>
      <c r="I587" s="5"/>
      <c r="K587" s="5"/>
      <c r="M587" s="5"/>
      <c r="N587" s="5"/>
    </row>
    <row r="588">
      <c r="E588" s="4"/>
      <c r="G588" s="5"/>
      <c r="H588" s="5"/>
      <c r="I588" s="5"/>
      <c r="K588" s="5"/>
      <c r="M588" s="5"/>
      <c r="N588" s="5"/>
    </row>
    <row r="589">
      <c r="E589" s="4"/>
      <c r="G589" s="5"/>
      <c r="H589" s="5"/>
      <c r="I589" s="5"/>
      <c r="K589" s="5"/>
      <c r="M589" s="5"/>
      <c r="N589" s="5"/>
    </row>
    <row r="590">
      <c r="E590" s="4"/>
      <c r="G590" s="5"/>
      <c r="H590" s="5"/>
      <c r="I590" s="5"/>
      <c r="K590" s="5"/>
      <c r="M590" s="5"/>
      <c r="N590" s="5"/>
    </row>
    <row r="591">
      <c r="E591" s="4"/>
      <c r="G591" s="5"/>
      <c r="H591" s="5"/>
      <c r="I591" s="5"/>
      <c r="K591" s="5"/>
      <c r="M591" s="5"/>
      <c r="N591" s="5"/>
    </row>
    <row r="592">
      <c r="E592" s="4"/>
      <c r="G592" s="5"/>
      <c r="H592" s="5"/>
      <c r="I592" s="5"/>
      <c r="K592" s="5"/>
      <c r="M592" s="5"/>
      <c r="N592" s="5"/>
    </row>
    <row r="593">
      <c r="E593" s="4"/>
      <c r="G593" s="5"/>
      <c r="H593" s="5"/>
      <c r="I593" s="5"/>
      <c r="K593" s="5"/>
      <c r="M593" s="5"/>
      <c r="N593" s="5"/>
    </row>
    <row r="594">
      <c r="E594" s="4"/>
      <c r="G594" s="5"/>
      <c r="H594" s="5"/>
      <c r="I594" s="5"/>
      <c r="K594" s="5"/>
      <c r="M594" s="5"/>
      <c r="N594" s="5"/>
    </row>
    <row r="595">
      <c r="E595" s="4"/>
      <c r="G595" s="5"/>
      <c r="H595" s="5"/>
      <c r="I595" s="5"/>
      <c r="K595" s="5"/>
      <c r="M595" s="5"/>
      <c r="N595" s="5"/>
    </row>
    <row r="596">
      <c r="E596" s="4"/>
      <c r="G596" s="5"/>
      <c r="H596" s="5"/>
      <c r="I596" s="5"/>
      <c r="K596" s="5"/>
      <c r="M596" s="5"/>
      <c r="N596" s="5"/>
    </row>
    <row r="597">
      <c r="E597" s="4"/>
      <c r="G597" s="5"/>
      <c r="H597" s="5"/>
      <c r="I597" s="5"/>
      <c r="K597" s="5"/>
      <c r="M597" s="5"/>
      <c r="N597" s="5"/>
    </row>
    <row r="598">
      <c r="E598" s="4"/>
      <c r="G598" s="5"/>
      <c r="H598" s="5"/>
      <c r="I598" s="5"/>
      <c r="K598" s="5"/>
      <c r="M598" s="5"/>
      <c r="N598" s="5"/>
    </row>
    <row r="599">
      <c r="E599" s="4"/>
      <c r="G599" s="5"/>
      <c r="H599" s="5"/>
      <c r="I599" s="5"/>
      <c r="K599" s="5"/>
      <c r="M599" s="5"/>
      <c r="N599" s="5"/>
    </row>
    <row r="600">
      <c r="E600" s="4"/>
      <c r="G600" s="5"/>
      <c r="H600" s="5"/>
      <c r="I600" s="5"/>
      <c r="K600" s="5"/>
      <c r="M600" s="5"/>
      <c r="N600" s="5"/>
    </row>
    <row r="601">
      <c r="E601" s="4"/>
      <c r="G601" s="5"/>
      <c r="H601" s="5"/>
      <c r="I601" s="5"/>
      <c r="K601" s="5"/>
      <c r="M601" s="5"/>
      <c r="N601" s="5"/>
    </row>
    <row r="602">
      <c r="E602" s="4"/>
      <c r="G602" s="5"/>
      <c r="H602" s="5"/>
      <c r="I602" s="5"/>
      <c r="K602" s="5"/>
      <c r="M602" s="5"/>
      <c r="N602" s="5"/>
    </row>
    <row r="603">
      <c r="E603" s="4"/>
      <c r="G603" s="5"/>
      <c r="H603" s="5"/>
      <c r="I603" s="5"/>
      <c r="K603" s="5"/>
      <c r="M603" s="5"/>
      <c r="N603" s="5"/>
    </row>
    <row r="604">
      <c r="E604" s="4"/>
      <c r="G604" s="5"/>
      <c r="H604" s="5"/>
      <c r="I604" s="5"/>
      <c r="K604" s="5"/>
      <c r="M604" s="5"/>
      <c r="N604" s="5"/>
    </row>
    <row r="605">
      <c r="E605" s="4"/>
      <c r="G605" s="5"/>
      <c r="H605" s="5"/>
      <c r="I605" s="5"/>
      <c r="K605" s="5"/>
      <c r="M605" s="5"/>
      <c r="N605" s="5"/>
    </row>
    <row r="606">
      <c r="E606" s="4"/>
      <c r="G606" s="5"/>
      <c r="H606" s="5"/>
      <c r="I606" s="5"/>
      <c r="K606" s="5"/>
      <c r="M606" s="5"/>
      <c r="N606" s="5"/>
    </row>
    <row r="607">
      <c r="E607" s="4"/>
      <c r="G607" s="5"/>
      <c r="H607" s="5"/>
      <c r="I607" s="5"/>
      <c r="K607" s="5"/>
      <c r="M607" s="5"/>
      <c r="N607" s="5"/>
    </row>
    <row r="608">
      <c r="E608" s="4"/>
      <c r="G608" s="5"/>
      <c r="H608" s="5"/>
      <c r="I608" s="5"/>
      <c r="K608" s="5"/>
      <c r="M608" s="5"/>
      <c r="N608" s="5"/>
    </row>
    <row r="609">
      <c r="E609" s="4"/>
      <c r="G609" s="5"/>
      <c r="H609" s="5"/>
      <c r="I609" s="5"/>
      <c r="K609" s="5"/>
      <c r="M609" s="5"/>
      <c r="N609" s="5"/>
    </row>
    <row r="610">
      <c r="E610" s="4"/>
      <c r="G610" s="5"/>
      <c r="H610" s="5"/>
      <c r="I610" s="5"/>
      <c r="K610" s="5"/>
      <c r="M610" s="5"/>
      <c r="N610" s="5"/>
    </row>
    <row r="611">
      <c r="E611" s="4"/>
      <c r="G611" s="5"/>
      <c r="H611" s="5"/>
      <c r="I611" s="5"/>
      <c r="K611" s="5"/>
      <c r="M611" s="5"/>
      <c r="N611" s="5"/>
    </row>
    <row r="612">
      <c r="E612" s="4"/>
      <c r="G612" s="5"/>
      <c r="H612" s="5"/>
      <c r="I612" s="5"/>
      <c r="K612" s="5"/>
      <c r="M612" s="5"/>
      <c r="N612" s="5"/>
    </row>
    <row r="613">
      <c r="E613" s="4"/>
      <c r="G613" s="5"/>
      <c r="H613" s="5"/>
      <c r="I613" s="5"/>
      <c r="K613" s="5"/>
      <c r="M613" s="5"/>
      <c r="N613" s="5"/>
    </row>
    <row r="614">
      <c r="E614" s="4"/>
      <c r="G614" s="5"/>
      <c r="H614" s="5"/>
      <c r="I614" s="5"/>
      <c r="K614" s="5"/>
      <c r="M614" s="5"/>
      <c r="N614" s="5"/>
    </row>
    <row r="615">
      <c r="E615" s="4"/>
      <c r="G615" s="5"/>
      <c r="H615" s="5"/>
      <c r="I615" s="5"/>
      <c r="K615" s="5"/>
      <c r="M615" s="5"/>
      <c r="N615" s="5"/>
    </row>
    <row r="616">
      <c r="E616" s="4"/>
      <c r="G616" s="5"/>
      <c r="H616" s="5"/>
      <c r="I616" s="5"/>
      <c r="K616" s="5"/>
      <c r="M616" s="5"/>
      <c r="N616" s="5"/>
    </row>
    <row r="617">
      <c r="E617" s="4"/>
      <c r="G617" s="5"/>
      <c r="H617" s="5"/>
      <c r="I617" s="5"/>
      <c r="K617" s="5"/>
      <c r="M617" s="5"/>
      <c r="N617" s="5"/>
    </row>
    <row r="618">
      <c r="E618" s="4"/>
      <c r="G618" s="5"/>
      <c r="H618" s="5"/>
      <c r="I618" s="5"/>
      <c r="K618" s="5"/>
      <c r="M618" s="5"/>
      <c r="N618" s="5"/>
    </row>
    <row r="619">
      <c r="E619" s="4"/>
      <c r="G619" s="5"/>
      <c r="H619" s="5"/>
      <c r="I619" s="5"/>
      <c r="K619" s="5"/>
      <c r="M619" s="5"/>
      <c r="N619" s="5"/>
    </row>
    <row r="620">
      <c r="E620" s="4"/>
      <c r="G620" s="5"/>
      <c r="H620" s="5"/>
      <c r="I620" s="5"/>
      <c r="K620" s="5"/>
      <c r="M620" s="5"/>
      <c r="N620" s="5"/>
    </row>
    <row r="621">
      <c r="E621" s="4"/>
      <c r="G621" s="5"/>
      <c r="H621" s="5"/>
      <c r="I621" s="5"/>
      <c r="K621" s="5"/>
      <c r="M621" s="5"/>
      <c r="N621" s="5"/>
    </row>
    <row r="622">
      <c r="E622" s="4"/>
      <c r="G622" s="5"/>
      <c r="H622" s="5"/>
      <c r="I622" s="5"/>
      <c r="K622" s="5"/>
      <c r="M622" s="5"/>
      <c r="N622" s="5"/>
    </row>
    <row r="623">
      <c r="E623" s="4"/>
      <c r="G623" s="5"/>
      <c r="H623" s="5"/>
      <c r="I623" s="5"/>
      <c r="K623" s="5"/>
      <c r="M623" s="5"/>
      <c r="N623" s="5"/>
    </row>
    <row r="624">
      <c r="E624" s="4"/>
      <c r="G624" s="5"/>
      <c r="H624" s="5"/>
      <c r="I624" s="5"/>
      <c r="K624" s="5"/>
      <c r="M624" s="5"/>
      <c r="N624" s="5"/>
    </row>
    <row r="625">
      <c r="E625" s="4"/>
      <c r="G625" s="5"/>
      <c r="H625" s="5"/>
      <c r="I625" s="5"/>
      <c r="K625" s="5"/>
      <c r="M625" s="5"/>
      <c r="N625" s="5"/>
    </row>
    <row r="626">
      <c r="E626" s="4"/>
      <c r="G626" s="5"/>
      <c r="H626" s="5"/>
      <c r="I626" s="5"/>
      <c r="K626" s="5"/>
      <c r="M626" s="5"/>
      <c r="N626" s="5"/>
    </row>
    <row r="627">
      <c r="E627" s="4"/>
      <c r="G627" s="5"/>
      <c r="H627" s="5"/>
      <c r="I627" s="5"/>
      <c r="K627" s="5"/>
      <c r="M627" s="5"/>
      <c r="N627" s="5"/>
    </row>
    <row r="628">
      <c r="E628" s="4"/>
      <c r="G628" s="5"/>
      <c r="H628" s="5"/>
      <c r="I628" s="5"/>
      <c r="K628" s="5"/>
      <c r="M628" s="5"/>
      <c r="N628" s="5"/>
    </row>
    <row r="629">
      <c r="E629" s="4"/>
      <c r="G629" s="5"/>
      <c r="H629" s="5"/>
      <c r="I629" s="5"/>
      <c r="K629" s="5"/>
      <c r="M629" s="5"/>
      <c r="N629" s="5"/>
    </row>
    <row r="630">
      <c r="E630" s="4"/>
      <c r="G630" s="5"/>
      <c r="H630" s="5"/>
      <c r="I630" s="5"/>
      <c r="K630" s="5"/>
      <c r="M630" s="5"/>
      <c r="N630" s="5"/>
    </row>
    <row r="631">
      <c r="E631" s="4"/>
      <c r="G631" s="5"/>
      <c r="H631" s="5"/>
      <c r="I631" s="5"/>
      <c r="K631" s="5"/>
      <c r="M631" s="5"/>
      <c r="N631" s="5"/>
    </row>
    <row r="632">
      <c r="E632" s="4"/>
      <c r="G632" s="5"/>
      <c r="H632" s="5"/>
      <c r="I632" s="5"/>
      <c r="K632" s="5"/>
      <c r="M632" s="5"/>
      <c r="N632" s="5"/>
    </row>
    <row r="633">
      <c r="E633" s="4"/>
      <c r="G633" s="5"/>
      <c r="H633" s="5"/>
      <c r="I633" s="5"/>
      <c r="K633" s="5"/>
      <c r="M633" s="5"/>
      <c r="N633" s="5"/>
    </row>
    <row r="634">
      <c r="E634" s="4"/>
      <c r="G634" s="5"/>
      <c r="H634" s="5"/>
      <c r="I634" s="5"/>
      <c r="K634" s="5"/>
      <c r="M634" s="5"/>
      <c r="N634" s="5"/>
    </row>
    <row r="635">
      <c r="E635" s="4"/>
      <c r="G635" s="5"/>
      <c r="H635" s="5"/>
      <c r="I635" s="5"/>
      <c r="K635" s="5"/>
      <c r="M635" s="5"/>
      <c r="N635" s="5"/>
    </row>
    <row r="636">
      <c r="E636" s="4"/>
      <c r="G636" s="5"/>
      <c r="H636" s="5"/>
      <c r="I636" s="5"/>
      <c r="K636" s="5"/>
      <c r="M636" s="5"/>
      <c r="N636" s="5"/>
    </row>
    <row r="637">
      <c r="E637" s="4"/>
      <c r="G637" s="5"/>
      <c r="H637" s="5"/>
      <c r="I637" s="5"/>
      <c r="K637" s="5"/>
      <c r="M637" s="5"/>
      <c r="N637" s="5"/>
    </row>
    <row r="638">
      <c r="E638" s="4"/>
      <c r="G638" s="5"/>
      <c r="H638" s="5"/>
      <c r="I638" s="5"/>
      <c r="K638" s="5"/>
      <c r="M638" s="5"/>
      <c r="N638" s="5"/>
    </row>
    <row r="639">
      <c r="E639" s="4"/>
      <c r="G639" s="5"/>
      <c r="H639" s="5"/>
      <c r="I639" s="5"/>
      <c r="K639" s="5"/>
      <c r="M639" s="5"/>
      <c r="N639" s="5"/>
    </row>
    <row r="640">
      <c r="E640" s="4"/>
      <c r="G640" s="5"/>
      <c r="H640" s="5"/>
      <c r="I640" s="5"/>
      <c r="K640" s="5"/>
      <c r="M640" s="5"/>
      <c r="N640" s="5"/>
    </row>
    <row r="641">
      <c r="E641" s="4"/>
      <c r="G641" s="5"/>
      <c r="H641" s="5"/>
      <c r="I641" s="5"/>
      <c r="K641" s="5"/>
      <c r="M641" s="5"/>
      <c r="N641" s="5"/>
    </row>
    <row r="642">
      <c r="E642" s="4"/>
      <c r="G642" s="5"/>
      <c r="H642" s="5"/>
      <c r="I642" s="5"/>
      <c r="K642" s="5"/>
      <c r="M642" s="5"/>
      <c r="N642" s="5"/>
    </row>
    <row r="643">
      <c r="E643" s="4"/>
      <c r="G643" s="5"/>
      <c r="H643" s="5"/>
      <c r="I643" s="5"/>
      <c r="K643" s="5"/>
      <c r="M643" s="5"/>
      <c r="N643" s="5"/>
    </row>
    <row r="644">
      <c r="E644" s="4"/>
      <c r="G644" s="5"/>
      <c r="H644" s="5"/>
      <c r="I644" s="5"/>
      <c r="K644" s="5"/>
      <c r="M644" s="5"/>
      <c r="N644" s="5"/>
    </row>
    <row r="645">
      <c r="E645" s="4"/>
      <c r="G645" s="5"/>
      <c r="H645" s="5"/>
      <c r="I645" s="5"/>
      <c r="K645" s="5"/>
      <c r="M645" s="5"/>
      <c r="N645" s="5"/>
    </row>
    <row r="646">
      <c r="E646" s="4"/>
      <c r="G646" s="5"/>
      <c r="H646" s="5"/>
      <c r="I646" s="5"/>
      <c r="K646" s="5"/>
      <c r="M646" s="5"/>
      <c r="N646" s="5"/>
    </row>
    <row r="647">
      <c r="E647" s="4"/>
      <c r="G647" s="5"/>
      <c r="H647" s="5"/>
      <c r="I647" s="5"/>
      <c r="K647" s="5"/>
      <c r="M647" s="5"/>
      <c r="N647" s="5"/>
    </row>
    <row r="648">
      <c r="E648" s="4"/>
      <c r="G648" s="5"/>
      <c r="H648" s="5"/>
      <c r="I648" s="5"/>
      <c r="K648" s="5"/>
      <c r="M648" s="5"/>
      <c r="N648" s="5"/>
    </row>
    <row r="649">
      <c r="E649" s="4"/>
      <c r="G649" s="5"/>
      <c r="H649" s="5"/>
      <c r="I649" s="5"/>
      <c r="K649" s="5"/>
      <c r="M649" s="5"/>
      <c r="N649" s="5"/>
    </row>
    <row r="650">
      <c r="E650" s="4"/>
      <c r="G650" s="5"/>
      <c r="H650" s="5"/>
      <c r="I650" s="5"/>
      <c r="K650" s="5"/>
      <c r="M650" s="5"/>
      <c r="N650" s="5"/>
    </row>
    <row r="651">
      <c r="E651" s="4"/>
      <c r="G651" s="5"/>
      <c r="H651" s="5"/>
      <c r="I651" s="5"/>
      <c r="K651" s="5"/>
      <c r="M651" s="5"/>
      <c r="N651" s="5"/>
    </row>
    <row r="652">
      <c r="E652" s="4"/>
      <c r="G652" s="5"/>
      <c r="H652" s="5"/>
      <c r="I652" s="5"/>
      <c r="K652" s="5"/>
      <c r="M652" s="5"/>
      <c r="N652" s="5"/>
    </row>
    <row r="653">
      <c r="E653" s="4"/>
      <c r="G653" s="5"/>
      <c r="H653" s="5"/>
      <c r="I653" s="5"/>
      <c r="K653" s="5"/>
      <c r="M653" s="5"/>
      <c r="N653" s="5"/>
    </row>
    <row r="654">
      <c r="E654" s="4"/>
      <c r="G654" s="5"/>
      <c r="H654" s="5"/>
      <c r="I654" s="5"/>
      <c r="K654" s="5"/>
      <c r="M654" s="5"/>
      <c r="N654" s="5"/>
    </row>
    <row r="655">
      <c r="E655" s="4"/>
      <c r="G655" s="5"/>
      <c r="H655" s="5"/>
      <c r="I655" s="5"/>
      <c r="K655" s="5"/>
      <c r="M655" s="5"/>
      <c r="N655" s="5"/>
    </row>
    <row r="656">
      <c r="E656" s="4"/>
      <c r="G656" s="5"/>
      <c r="H656" s="5"/>
      <c r="I656" s="5"/>
      <c r="K656" s="5"/>
      <c r="M656" s="5"/>
      <c r="N656" s="5"/>
    </row>
    <row r="657">
      <c r="E657" s="4"/>
      <c r="G657" s="5"/>
      <c r="H657" s="5"/>
      <c r="I657" s="5"/>
      <c r="K657" s="5"/>
      <c r="M657" s="5"/>
      <c r="N657" s="5"/>
    </row>
    <row r="658">
      <c r="E658" s="4"/>
      <c r="G658" s="5"/>
      <c r="H658" s="5"/>
      <c r="I658" s="5"/>
      <c r="K658" s="5"/>
      <c r="M658" s="5"/>
      <c r="N658" s="5"/>
    </row>
    <row r="659">
      <c r="E659" s="4"/>
      <c r="G659" s="5"/>
      <c r="H659" s="5"/>
      <c r="I659" s="5"/>
      <c r="K659" s="5"/>
      <c r="M659" s="5"/>
      <c r="N659" s="5"/>
    </row>
    <row r="660">
      <c r="E660" s="4"/>
      <c r="G660" s="5"/>
      <c r="H660" s="5"/>
      <c r="I660" s="5"/>
      <c r="K660" s="5"/>
      <c r="M660" s="5"/>
      <c r="N660" s="5"/>
    </row>
    <row r="661">
      <c r="E661" s="4"/>
      <c r="G661" s="5"/>
      <c r="H661" s="5"/>
      <c r="I661" s="5"/>
      <c r="K661" s="5"/>
      <c r="M661" s="5"/>
      <c r="N661" s="5"/>
    </row>
    <row r="662">
      <c r="E662" s="4"/>
      <c r="G662" s="5"/>
      <c r="H662" s="5"/>
      <c r="I662" s="5"/>
      <c r="K662" s="5"/>
      <c r="M662" s="5"/>
      <c r="N662" s="5"/>
    </row>
    <row r="663">
      <c r="E663" s="4"/>
      <c r="G663" s="5"/>
      <c r="H663" s="5"/>
      <c r="I663" s="5"/>
      <c r="K663" s="5"/>
      <c r="M663" s="5"/>
      <c r="N663" s="5"/>
    </row>
    <row r="664">
      <c r="E664" s="4"/>
      <c r="G664" s="5"/>
      <c r="H664" s="5"/>
      <c r="I664" s="5"/>
      <c r="K664" s="5"/>
      <c r="M664" s="5"/>
      <c r="N664" s="5"/>
    </row>
    <row r="665">
      <c r="E665" s="4"/>
      <c r="G665" s="5"/>
      <c r="H665" s="5"/>
      <c r="I665" s="5"/>
      <c r="K665" s="5"/>
      <c r="M665" s="5"/>
      <c r="N665" s="5"/>
    </row>
    <row r="666">
      <c r="E666" s="4"/>
      <c r="G666" s="5"/>
      <c r="H666" s="5"/>
      <c r="I666" s="5"/>
      <c r="K666" s="5"/>
      <c r="M666" s="5"/>
      <c r="N666" s="5"/>
    </row>
    <row r="667">
      <c r="E667" s="4"/>
      <c r="G667" s="5"/>
      <c r="H667" s="5"/>
      <c r="I667" s="5"/>
      <c r="K667" s="5"/>
      <c r="M667" s="5"/>
      <c r="N667" s="5"/>
    </row>
    <row r="668">
      <c r="E668" s="4"/>
      <c r="G668" s="5"/>
      <c r="H668" s="5"/>
      <c r="I668" s="5"/>
      <c r="K668" s="5"/>
      <c r="M668" s="5"/>
      <c r="N668" s="5"/>
    </row>
    <row r="669">
      <c r="E669" s="4"/>
      <c r="G669" s="5"/>
      <c r="H669" s="5"/>
      <c r="I669" s="5"/>
      <c r="K669" s="5"/>
      <c r="M669" s="5"/>
      <c r="N669" s="5"/>
    </row>
    <row r="670">
      <c r="E670" s="4"/>
      <c r="G670" s="5"/>
      <c r="H670" s="5"/>
      <c r="I670" s="5"/>
      <c r="K670" s="5"/>
      <c r="M670" s="5"/>
      <c r="N670" s="5"/>
    </row>
    <row r="671">
      <c r="E671" s="4"/>
      <c r="G671" s="5"/>
      <c r="H671" s="5"/>
      <c r="I671" s="5"/>
      <c r="K671" s="5"/>
      <c r="M671" s="5"/>
      <c r="N671" s="5"/>
    </row>
    <row r="672">
      <c r="E672" s="4"/>
      <c r="G672" s="5"/>
      <c r="H672" s="5"/>
      <c r="I672" s="5"/>
      <c r="K672" s="5"/>
      <c r="M672" s="5"/>
      <c r="N672" s="5"/>
    </row>
    <row r="673">
      <c r="E673" s="4"/>
      <c r="G673" s="5"/>
      <c r="H673" s="5"/>
      <c r="I673" s="5"/>
      <c r="K673" s="5"/>
      <c r="M673" s="5"/>
      <c r="N673" s="5"/>
    </row>
    <row r="674">
      <c r="E674" s="4"/>
      <c r="G674" s="5"/>
      <c r="H674" s="5"/>
      <c r="I674" s="5"/>
      <c r="K674" s="5"/>
      <c r="M674" s="5"/>
      <c r="N674" s="5"/>
    </row>
    <row r="675">
      <c r="E675" s="4"/>
      <c r="G675" s="5"/>
      <c r="H675" s="5"/>
      <c r="I675" s="5"/>
      <c r="K675" s="5"/>
      <c r="M675" s="5"/>
      <c r="N675" s="5"/>
    </row>
    <row r="676">
      <c r="E676" s="4"/>
      <c r="G676" s="5"/>
      <c r="H676" s="5"/>
      <c r="I676" s="5"/>
      <c r="K676" s="5"/>
      <c r="M676" s="5"/>
      <c r="N676" s="5"/>
    </row>
    <row r="677">
      <c r="E677" s="4"/>
      <c r="G677" s="5"/>
      <c r="H677" s="5"/>
      <c r="I677" s="5"/>
      <c r="K677" s="5"/>
      <c r="M677" s="5"/>
      <c r="N677" s="5"/>
    </row>
    <row r="678">
      <c r="E678" s="4"/>
      <c r="G678" s="5"/>
      <c r="H678" s="5"/>
      <c r="I678" s="5"/>
      <c r="K678" s="5"/>
      <c r="M678" s="5"/>
      <c r="N678" s="5"/>
    </row>
    <row r="679">
      <c r="E679" s="4"/>
      <c r="G679" s="5"/>
      <c r="H679" s="5"/>
      <c r="I679" s="5"/>
      <c r="K679" s="5"/>
      <c r="M679" s="5"/>
      <c r="N679" s="5"/>
    </row>
    <row r="680">
      <c r="E680" s="4"/>
      <c r="G680" s="5"/>
      <c r="H680" s="5"/>
      <c r="I680" s="5"/>
      <c r="K680" s="5"/>
      <c r="M680" s="5"/>
      <c r="N680" s="5"/>
    </row>
    <row r="681">
      <c r="E681" s="4"/>
      <c r="G681" s="5"/>
      <c r="H681" s="5"/>
      <c r="I681" s="5"/>
      <c r="K681" s="5"/>
      <c r="M681" s="5"/>
      <c r="N681" s="5"/>
    </row>
    <row r="682">
      <c r="E682" s="4"/>
      <c r="G682" s="5"/>
      <c r="H682" s="5"/>
      <c r="I682" s="5"/>
      <c r="K682" s="5"/>
      <c r="M682" s="5"/>
      <c r="N682" s="5"/>
    </row>
    <row r="683">
      <c r="E683" s="4"/>
      <c r="G683" s="5"/>
      <c r="H683" s="5"/>
      <c r="I683" s="5"/>
      <c r="K683" s="5"/>
      <c r="M683" s="5"/>
      <c r="N683" s="5"/>
    </row>
    <row r="684">
      <c r="E684" s="4"/>
      <c r="G684" s="5"/>
      <c r="H684" s="5"/>
      <c r="I684" s="5"/>
      <c r="K684" s="5"/>
      <c r="M684" s="5"/>
      <c r="N684" s="5"/>
    </row>
    <row r="685">
      <c r="E685" s="4"/>
      <c r="G685" s="5"/>
      <c r="H685" s="5"/>
      <c r="I685" s="5"/>
      <c r="K685" s="5"/>
      <c r="M685" s="5"/>
      <c r="N685" s="5"/>
    </row>
    <row r="686">
      <c r="E686" s="4"/>
      <c r="G686" s="5"/>
      <c r="H686" s="5"/>
      <c r="I686" s="5"/>
      <c r="K686" s="5"/>
      <c r="M686" s="5"/>
      <c r="N686" s="5"/>
    </row>
    <row r="687">
      <c r="E687" s="4"/>
      <c r="G687" s="5"/>
      <c r="H687" s="5"/>
      <c r="I687" s="5"/>
      <c r="K687" s="5"/>
      <c r="M687" s="5"/>
      <c r="N687" s="5"/>
    </row>
    <row r="688">
      <c r="E688" s="4"/>
      <c r="G688" s="5"/>
      <c r="H688" s="5"/>
      <c r="I688" s="5"/>
      <c r="K688" s="5"/>
      <c r="M688" s="5"/>
      <c r="N688" s="5"/>
    </row>
    <row r="689">
      <c r="E689" s="4"/>
      <c r="G689" s="5"/>
      <c r="H689" s="5"/>
      <c r="I689" s="5"/>
      <c r="K689" s="5"/>
      <c r="M689" s="5"/>
      <c r="N689" s="5"/>
    </row>
    <row r="690">
      <c r="E690" s="4"/>
      <c r="G690" s="5"/>
      <c r="H690" s="5"/>
      <c r="I690" s="5"/>
      <c r="K690" s="5"/>
      <c r="M690" s="5"/>
      <c r="N690" s="5"/>
    </row>
    <row r="691">
      <c r="E691" s="4"/>
      <c r="G691" s="5"/>
      <c r="H691" s="5"/>
      <c r="I691" s="5"/>
      <c r="K691" s="5"/>
      <c r="M691" s="5"/>
      <c r="N691" s="5"/>
    </row>
    <row r="692">
      <c r="E692" s="4"/>
      <c r="G692" s="5"/>
      <c r="H692" s="5"/>
      <c r="I692" s="5"/>
      <c r="K692" s="5"/>
      <c r="M692" s="5"/>
      <c r="N692" s="5"/>
    </row>
    <row r="693">
      <c r="E693" s="4"/>
      <c r="G693" s="5"/>
      <c r="H693" s="5"/>
      <c r="I693" s="5"/>
      <c r="K693" s="5"/>
      <c r="M693" s="5"/>
      <c r="N693" s="5"/>
    </row>
    <row r="694">
      <c r="E694" s="4"/>
      <c r="G694" s="5"/>
      <c r="H694" s="5"/>
      <c r="I694" s="5"/>
      <c r="K694" s="5"/>
      <c r="M694" s="5"/>
      <c r="N694" s="5"/>
    </row>
    <row r="695">
      <c r="E695" s="4"/>
      <c r="G695" s="5"/>
      <c r="H695" s="5"/>
      <c r="I695" s="5"/>
      <c r="K695" s="5"/>
      <c r="M695" s="5"/>
      <c r="N695" s="5"/>
    </row>
    <row r="696">
      <c r="E696" s="4"/>
      <c r="G696" s="5"/>
      <c r="H696" s="5"/>
      <c r="I696" s="5"/>
      <c r="K696" s="5"/>
      <c r="M696" s="5"/>
      <c r="N696" s="5"/>
    </row>
    <row r="697">
      <c r="E697" s="4"/>
      <c r="G697" s="5"/>
      <c r="H697" s="5"/>
      <c r="I697" s="5"/>
      <c r="K697" s="5"/>
      <c r="M697" s="5"/>
      <c r="N697" s="5"/>
    </row>
    <row r="698">
      <c r="E698" s="4"/>
      <c r="G698" s="5"/>
      <c r="H698" s="5"/>
      <c r="I698" s="5"/>
      <c r="K698" s="5"/>
      <c r="M698" s="5"/>
      <c r="N698" s="5"/>
    </row>
    <row r="699">
      <c r="E699" s="4"/>
      <c r="G699" s="5"/>
      <c r="H699" s="5"/>
      <c r="I699" s="5"/>
      <c r="K699" s="5"/>
      <c r="M699" s="5"/>
      <c r="N699" s="5"/>
    </row>
    <row r="700">
      <c r="E700" s="4"/>
      <c r="G700" s="5"/>
      <c r="H700" s="5"/>
      <c r="I700" s="5"/>
      <c r="K700" s="5"/>
      <c r="M700" s="5"/>
      <c r="N700" s="5"/>
    </row>
    <row r="701">
      <c r="E701" s="4"/>
      <c r="G701" s="5"/>
      <c r="H701" s="5"/>
      <c r="I701" s="5"/>
      <c r="K701" s="5"/>
      <c r="M701" s="5"/>
      <c r="N701" s="5"/>
    </row>
    <row r="702">
      <c r="E702" s="4"/>
      <c r="G702" s="5"/>
      <c r="H702" s="5"/>
      <c r="I702" s="5"/>
      <c r="K702" s="5"/>
      <c r="M702" s="5"/>
      <c r="N702" s="5"/>
    </row>
    <row r="703">
      <c r="E703" s="4"/>
      <c r="G703" s="5"/>
      <c r="H703" s="5"/>
      <c r="I703" s="5"/>
      <c r="K703" s="5"/>
      <c r="M703" s="5"/>
      <c r="N703" s="5"/>
    </row>
    <row r="704">
      <c r="E704" s="4"/>
      <c r="G704" s="5"/>
      <c r="H704" s="5"/>
      <c r="I704" s="5"/>
      <c r="K704" s="5"/>
      <c r="M704" s="5"/>
      <c r="N704" s="5"/>
    </row>
    <row r="705">
      <c r="E705" s="4"/>
      <c r="G705" s="5"/>
      <c r="H705" s="5"/>
      <c r="I705" s="5"/>
      <c r="K705" s="5"/>
      <c r="M705" s="5"/>
      <c r="N705" s="5"/>
    </row>
    <row r="706">
      <c r="E706" s="4"/>
      <c r="G706" s="5"/>
      <c r="H706" s="5"/>
      <c r="I706" s="5"/>
      <c r="K706" s="5"/>
      <c r="M706" s="5"/>
      <c r="N706" s="5"/>
    </row>
    <row r="707">
      <c r="E707" s="4"/>
      <c r="G707" s="5"/>
      <c r="H707" s="5"/>
      <c r="I707" s="5"/>
      <c r="K707" s="5"/>
      <c r="M707" s="5"/>
      <c r="N707" s="5"/>
    </row>
    <row r="708">
      <c r="E708" s="4"/>
      <c r="G708" s="5"/>
      <c r="H708" s="5"/>
      <c r="I708" s="5"/>
      <c r="K708" s="5"/>
      <c r="M708" s="5"/>
      <c r="N708" s="5"/>
    </row>
    <row r="709">
      <c r="E709" s="4"/>
      <c r="G709" s="5"/>
      <c r="H709" s="5"/>
      <c r="I709" s="5"/>
      <c r="K709" s="5"/>
      <c r="M709" s="5"/>
      <c r="N709" s="5"/>
    </row>
    <row r="710">
      <c r="E710" s="4"/>
      <c r="G710" s="5"/>
      <c r="H710" s="5"/>
      <c r="I710" s="5"/>
      <c r="K710" s="5"/>
      <c r="M710" s="5"/>
      <c r="N710" s="5"/>
    </row>
    <row r="711">
      <c r="E711" s="4"/>
      <c r="G711" s="5"/>
      <c r="H711" s="5"/>
      <c r="I711" s="5"/>
      <c r="K711" s="5"/>
      <c r="M711" s="5"/>
      <c r="N711" s="5"/>
    </row>
    <row r="712">
      <c r="E712" s="4"/>
      <c r="G712" s="5"/>
      <c r="H712" s="5"/>
      <c r="I712" s="5"/>
      <c r="K712" s="5"/>
      <c r="M712" s="5"/>
      <c r="N712" s="5"/>
    </row>
    <row r="713">
      <c r="E713" s="4"/>
      <c r="G713" s="5"/>
      <c r="H713" s="5"/>
      <c r="I713" s="5"/>
      <c r="K713" s="5"/>
      <c r="M713" s="5"/>
      <c r="N713" s="5"/>
    </row>
    <row r="714">
      <c r="E714" s="4"/>
      <c r="G714" s="5"/>
      <c r="H714" s="5"/>
      <c r="I714" s="5"/>
      <c r="K714" s="5"/>
      <c r="M714" s="5"/>
      <c r="N714" s="5"/>
    </row>
    <row r="715">
      <c r="E715" s="4"/>
      <c r="G715" s="5"/>
      <c r="H715" s="5"/>
      <c r="I715" s="5"/>
      <c r="K715" s="5"/>
      <c r="M715" s="5"/>
      <c r="N715" s="5"/>
    </row>
    <row r="716">
      <c r="E716" s="4"/>
      <c r="G716" s="5"/>
      <c r="H716" s="5"/>
      <c r="I716" s="5"/>
      <c r="K716" s="5"/>
      <c r="M716" s="5"/>
      <c r="N716" s="5"/>
    </row>
    <row r="717">
      <c r="E717" s="4"/>
      <c r="G717" s="5"/>
      <c r="H717" s="5"/>
      <c r="I717" s="5"/>
      <c r="K717" s="5"/>
      <c r="M717" s="5"/>
      <c r="N717" s="5"/>
    </row>
    <row r="718">
      <c r="E718" s="4"/>
      <c r="G718" s="5"/>
      <c r="H718" s="5"/>
      <c r="I718" s="5"/>
      <c r="K718" s="5"/>
      <c r="M718" s="5"/>
      <c r="N718" s="5"/>
    </row>
    <row r="719">
      <c r="E719" s="4"/>
      <c r="G719" s="5"/>
      <c r="H719" s="5"/>
      <c r="I719" s="5"/>
      <c r="K719" s="5"/>
      <c r="M719" s="5"/>
      <c r="N719" s="5"/>
    </row>
    <row r="720">
      <c r="E720" s="4"/>
      <c r="G720" s="5"/>
      <c r="H720" s="5"/>
      <c r="I720" s="5"/>
      <c r="K720" s="5"/>
      <c r="M720" s="5"/>
      <c r="N720" s="5"/>
    </row>
    <row r="721">
      <c r="E721" s="4"/>
      <c r="G721" s="5"/>
      <c r="H721" s="5"/>
      <c r="I721" s="5"/>
      <c r="K721" s="5"/>
      <c r="M721" s="5"/>
      <c r="N721" s="5"/>
    </row>
    <row r="722">
      <c r="E722" s="4"/>
      <c r="G722" s="5"/>
      <c r="H722" s="5"/>
      <c r="I722" s="5"/>
      <c r="K722" s="5"/>
      <c r="M722" s="5"/>
      <c r="N722" s="5"/>
    </row>
    <row r="723">
      <c r="E723" s="4"/>
      <c r="G723" s="5"/>
      <c r="H723" s="5"/>
      <c r="I723" s="5"/>
      <c r="K723" s="5"/>
      <c r="M723" s="5"/>
      <c r="N723" s="5"/>
    </row>
    <row r="724">
      <c r="E724" s="4"/>
      <c r="G724" s="5"/>
      <c r="H724" s="5"/>
      <c r="I724" s="5"/>
      <c r="K724" s="5"/>
      <c r="M724" s="5"/>
      <c r="N724" s="5"/>
    </row>
    <row r="725">
      <c r="E725" s="4"/>
      <c r="G725" s="5"/>
      <c r="H725" s="5"/>
      <c r="I725" s="5"/>
      <c r="K725" s="5"/>
      <c r="M725" s="5"/>
      <c r="N725" s="5"/>
    </row>
    <row r="726">
      <c r="E726" s="4"/>
      <c r="G726" s="5"/>
      <c r="H726" s="5"/>
      <c r="I726" s="5"/>
      <c r="K726" s="5"/>
      <c r="M726" s="5"/>
      <c r="N726" s="5"/>
    </row>
    <row r="727">
      <c r="E727" s="4"/>
      <c r="G727" s="5"/>
      <c r="H727" s="5"/>
      <c r="I727" s="5"/>
      <c r="K727" s="5"/>
      <c r="M727" s="5"/>
      <c r="N727" s="5"/>
    </row>
    <row r="728">
      <c r="E728" s="4"/>
      <c r="G728" s="5"/>
      <c r="H728" s="5"/>
      <c r="I728" s="5"/>
      <c r="K728" s="5"/>
      <c r="M728" s="5"/>
      <c r="N728" s="5"/>
    </row>
    <row r="729">
      <c r="E729" s="4"/>
      <c r="G729" s="5"/>
      <c r="H729" s="5"/>
      <c r="I729" s="5"/>
      <c r="K729" s="5"/>
      <c r="M729" s="5"/>
      <c r="N729" s="5"/>
    </row>
    <row r="730">
      <c r="E730" s="4"/>
      <c r="G730" s="5"/>
      <c r="H730" s="5"/>
      <c r="I730" s="5"/>
      <c r="K730" s="5"/>
      <c r="M730" s="5"/>
      <c r="N730" s="5"/>
    </row>
    <row r="731">
      <c r="E731" s="4"/>
      <c r="G731" s="5"/>
      <c r="H731" s="5"/>
      <c r="I731" s="5"/>
      <c r="K731" s="5"/>
      <c r="M731" s="5"/>
      <c r="N731" s="5"/>
    </row>
    <row r="732">
      <c r="E732" s="4"/>
      <c r="G732" s="5"/>
      <c r="H732" s="5"/>
      <c r="I732" s="5"/>
      <c r="K732" s="5"/>
      <c r="M732" s="5"/>
      <c r="N732" s="5"/>
    </row>
    <row r="733">
      <c r="E733" s="4"/>
      <c r="G733" s="5"/>
      <c r="H733" s="5"/>
      <c r="I733" s="5"/>
      <c r="K733" s="5"/>
      <c r="M733" s="5"/>
      <c r="N733" s="5"/>
    </row>
    <row r="734">
      <c r="E734" s="4"/>
      <c r="G734" s="5"/>
      <c r="H734" s="5"/>
      <c r="I734" s="5"/>
      <c r="K734" s="5"/>
      <c r="M734" s="5"/>
      <c r="N734" s="5"/>
    </row>
    <row r="735">
      <c r="E735" s="4"/>
      <c r="G735" s="5"/>
      <c r="H735" s="5"/>
      <c r="I735" s="5"/>
      <c r="K735" s="5"/>
      <c r="M735" s="5"/>
      <c r="N735" s="5"/>
    </row>
    <row r="736">
      <c r="E736" s="4"/>
      <c r="G736" s="5"/>
      <c r="H736" s="5"/>
      <c r="I736" s="5"/>
      <c r="K736" s="5"/>
      <c r="M736" s="5"/>
      <c r="N736" s="5"/>
    </row>
    <row r="737">
      <c r="E737" s="4"/>
      <c r="G737" s="5"/>
      <c r="H737" s="5"/>
      <c r="I737" s="5"/>
      <c r="K737" s="5"/>
      <c r="M737" s="5"/>
      <c r="N737" s="5"/>
    </row>
    <row r="738">
      <c r="E738" s="4"/>
      <c r="G738" s="5"/>
      <c r="H738" s="5"/>
      <c r="I738" s="5"/>
      <c r="K738" s="5"/>
      <c r="M738" s="5"/>
      <c r="N738" s="5"/>
    </row>
    <row r="739">
      <c r="E739" s="4"/>
      <c r="G739" s="5"/>
      <c r="H739" s="5"/>
      <c r="I739" s="5"/>
      <c r="K739" s="5"/>
      <c r="M739" s="5"/>
      <c r="N739" s="5"/>
    </row>
    <row r="740">
      <c r="E740" s="4"/>
      <c r="G740" s="5"/>
      <c r="H740" s="5"/>
      <c r="I740" s="5"/>
      <c r="K740" s="5"/>
      <c r="M740" s="5"/>
      <c r="N740" s="5"/>
    </row>
    <row r="741">
      <c r="E741" s="4"/>
      <c r="G741" s="5"/>
      <c r="H741" s="5"/>
      <c r="I741" s="5"/>
      <c r="K741" s="5"/>
      <c r="M741" s="5"/>
      <c r="N741" s="5"/>
    </row>
    <row r="742">
      <c r="E742" s="4"/>
      <c r="G742" s="5"/>
      <c r="H742" s="5"/>
      <c r="I742" s="5"/>
      <c r="K742" s="5"/>
      <c r="M742" s="5"/>
      <c r="N742" s="5"/>
    </row>
    <row r="743">
      <c r="E743" s="4"/>
      <c r="G743" s="5"/>
      <c r="H743" s="5"/>
      <c r="I743" s="5"/>
      <c r="K743" s="5"/>
      <c r="M743" s="5"/>
      <c r="N743" s="5"/>
    </row>
    <row r="744">
      <c r="E744" s="4"/>
      <c r="G744" s="5"/>
      <c r="H744" s="5"/>
      <c r="I744" s="5"/>
      <c r="K744" s="5"/>
      <c r="M744" s="5"/>
      <c r="N744" s="5"/>
    </row>
    <row r="745">
      <c r="E745" s="4"/>
      <c r="G745" s="5"/>
      <c r="H745" s="5"/>
      <c r="I745" s="5"/>
      <c r="K745" s="5"/>
      <c r="M745" s="5"/>
      <c r="N745" s="5"/>
    </row>
    <row r="746">
      <c r="E746" s="4"/>
      <c r="G746" s="5"/>
      <c r="H746" s="5"/>
      <c r="I746" s="5"/>
      <c r="K746" s="5"/>
      <c r="M746" s="5"/>
      <c r="N746" s="5"/>
    </row>
    <row r="747">
      <c r="E747" s="4"/>
      <c r="G747" s="5"/>
      <c r="H747" s="5"/>
      <c r="I747" s="5"/>
      <c r="K747" s="5"/>
      <c r="M747" s="5"/>
      <c r="N747" s="5"/>
    </row>
    <row r="748">
      <c r="E748" s="4"/>
      <c r="G748" s="5"/>
      <c r="H748" s="5"/>
      <c r="I748" s="5"/>
      <c r="K748" s="5"/>
      <c r="M748" s="5"/>
      <c r="N748" s="5"/>
    </row>
    <row r="749">
      <c r="E749" s="4"/>
      <c r="G749" s="5"/>
      <c r="H749" s="5"/>
      <c r="I749" s="5"/>
      <c r="K749" s="5"/>
      <c r="M749" s="5"/>
      <c r="N749" s="5"/>
    </row>
    <row r="750">
      <c r="E750" s="4"/>
      <c r="G750" s="5"/>
      <c r="H750" s="5"/>
      <c r="I750" s="5"/>
      <c r="K750" s="5"/>
      <c r="M750" s="5"/>
      <c r="N750" s="5"/>
    </row>
    <row r="751">
      <c r="E751" s="4"/>
      <c r="G751" s="5"/>
      <c r="H751" s="5"/>
      <c r="I751" s="5"/>
      <c r="K751" s="5"/>
      <c r="M751" s="5"/>
      <c r="N751" s="5"/>
    </row>
    <row r="752">
      <c r="E752" s="4"/>
      <c r="G752" s="5"/>
      <c r="H752" s="5"/>
      <c r="I752" s="5"/>
      <c r="K752" s="5"/>
      <c r="M752" s="5"/>
      <c r="N752" s="5"/>
    </row>
    <row r="753">
      <c r="E753" s="4"/>
      <c r="G753" s="5"/>
      <c r="H753" s="5"/>
      <c r="I753" s="5"/>
      <c r="K753" s="5"/>
      <c r="M753" s="5"/>
      <c r="N753" s="5"/>
    </row>
    <row r="754">
      <c r="E754" s="4"/>
      <c r="G754" s="5"/>
      <c r="H754" s="5"/>
      <c r="I754" s="5"/>
      <c r="K754" s="5"/>
      <c r="M754" s="5"/>
      <c r="N754" s="5"/>
    </row>
    <row r="755">
      <c r="E755" s="4"/>
      <c r="G755" s="5"/>
      <c r="H755" s="5"/>
      <c r="I755" s="5"/>
      <c r="K755" s="5"/>
      <c r="M755" s="5"/>
      <c r="N755" s="5"/>
    </row>
    <row r="756">
      <c r="E756" s="4"/>
      <c r="G756" s="5"/>
      <c r="H756" s="5"/>
      <c r="I756" s="5"/>
      <c r="K756" s="5"/>
      <c r="M756" s="5"/>
      <c r="N756" s="5"/>
    </row>
    <row r="757">
      <c r="E757" s="4"/>
      <c r="G757" s="5"/>
      <c r="H757" s="5"/>
      <c r="I757" s="5"/>
      <c r="K757" s="5"/>
      <c r="M757" s="5"/>
      <c r="N757" s="5"/>
    </row>
    <row r="758">
      <c r="E758" s="4"/>
      <c r="G758" s="5"/>
      <c r="H758" s="5"/>
      <c r="I758" s="5"/>
      <c r="K758" s="5"/>
      <c r="M758" s="5"/>
      <c r="N758" s="5"/>
    </row>
    <row r="759">
      <c r="E759" s="4"/>
      <c r="G759" s="5"/>
      <c r="H759" s="5"/>
      <c r="I759" s="5"/>
      <c r="K759" s="5"/>
      <c r="M759" s="5"/>
      <c r="N759" s="5"/>
    </row>
    <row r="760">
      <c r="E760" s="4"/>
      <c r="G760" s="5"/>
      <c r="H760" s="5"/>
      <c r="I760" s="5"/>
      <c r="K760" s="5"/>
      <c r="M760" s="5"/>
      <c r="N760" s="5"/>
    </row>
    <row r="761">
      <c r="E761" s="4"/>
      <c r="G761" s="5"/>
      <c r="H761" s="5"/>
      <c r="I761" s="5"/>
      <c r="K761" s="5"/>
      <c r="M761" s="5"/>
      <c r="N761" s="5"/>
    </row>
    <row r="762">
      <c r="E762" s="4"/>
      <c r="G762" s="5"/>
      <c r="H762" s="5"/>
      <c r="I762" s="5"/>
      <c r="K762" s="5"/>
      <c r="M762" s="5"/>
      <c r="N762" s="5"/>
    </row>
    <row r="763">
      <c r="E763" s="4"/>
      <c r="G763" s="5"/>
      <c r="H763" s="5"/>
      <c r="I763" s="5"/>
      <c r="K763" s="5"/>
      <c r="M763" s="5"/>
      <c r="N763" s="5"/>
    </row>
    <row r="764">
      <c r="E764" s="4"/>
      <c r="G764" s="5"/>
      <c r="H764" s="5"/>
      <c r="I764" s="5"/>
      <c r="K764" s="5"/>
      <c r="M764" s="5"/>
      <c r="N764" s="5"/>
    </row>
    <row r="765">
      <c r="E765" s="4"/>
      <c r="G765" s="5"/>
      <c r="H765" s="5"/>
      <c r="I765" s="5"/>
      <c r="K765" s="5"/>
      <c r="M765" s="5"/>
      <c r="N765" s="5"/>
    </row>
    <row r="766">
      <c r="E766" s="4"/>
      <c r="G766" s="5"/>
      <c r="H766" s="5"/>
      <c r="I766" s="5"/>
      <c r="K766" s="5"/>
      <c r="M766" s="5"/>
      <c r="N766" s="5"/>
    </row>
    <row r="767">
      <c r="E767" s="4"/>
      <c r="G767" s="5"/>
      <c r="H767" s="5"/>
      <c r="I767" s="5"/>
      <c r="K767" s="5"/>
      <c r="M767" s="5"/>
      <c r="N767" s="5"/>
    </row>
    <row r="768">
      <c r="E768" s="4"/>
      <c r="G768" s="5"/>
      <c r="H768" s="5"/>
      <c r="I768" s="5"/>
      <c r="K768" s="5"/>
      <c r="M768" s="5"/>
      <c r="N768" s="5"/>
    </row>
    <row r="769">
      <c r="E769" s="4"/>
      <c r="G769" s="5"/>
      <c r="H769" s="5"/>
      <c r="I769" s="5"/>
      <c r="K769" s="5"/>
      <c r="M769" s="5"/>
      <c r="N769" s="5"/>
    </row>
    <row r="770">
      <c r="E770" s="4"/>
      <c r="G770" s="5"/>
      <c r="H770" s="5"/>
      <c r="I770" s="5"/>
      <c r="K770" s="5"/>
      <c r="M770" s="5"/>
      <c r="N770" s="5"/>
    </row>
    <row r="771">
      <c r="E771" s="4"/>
      <c r="G771" s="5"/>
      <c r="H771" s="5"/>
      <c r="I771" s="5"/>
      <c r="K771" s="5"/>
      <c r="M771" s="5"/>
      <c r="N771" s="5"/>
    </row>
    <row r="772">
      <c r="E772" s="4"/>
      <c r="G772" s="5"/>
      <c r="H772" s="5"/>
      <c r="I772" s="5"/>
      <c r="K772" s="5"/>
      <c r="M772" s="5"/>
      <c r="N772" s="5"/>
    </row>
    <row r="773">
      <c r="E773" s="4"/>
      <c r="G773" s="5"/>
      <c r="H773" s="5"/>
      <c r="I773" s="5"/>
      <c r="K773" s="5"/>
      <c r="M773" s="5"/>
      <c r="N773" s="5"/>
    </row>
    <row r="774">
      <c r="E774" s="4"/>
      <c r="G774" s="5"/>
      <c r="H774" s="5"/>
      <c r="I774" s="5"/>
      <c r="K774" s="5"/>
      <c r="M774" s="5"/>
      <c r="N774" s="5"/>
    </row>
    <row r="775">
      <c r="E775" s="4"/>
      <c r="G775" s="5"/>
      <c r="H775" s="5"/>
      <c r="I775" s="5"/>
      <c r="K775" s="5"/>
      <c r="M775" s="5"/>
      <c r="N775" s="5"/>
    </row>
    <row r="776">
      <c r="E776" s="4"/>
      <c r="G776" s="5"/>
      <c r="H776" s="5"/>
      <c r="I776" s="5"/>
      <c r="K776" s="5"/>
      <c r="M776" s="5"/>
      <c r="N776" s="5"/>
    </row>
    <row r="777">
      <c r="E777" s="4"/>
      <c r="G777" s="5"/>
      <c r="H777" s="5"/>
      <c r="I777" s="5"/>
      <c r="K777" s="5"/>
      <c r="M777" s="5"/>
      <c r="N777" s="5"/>
    </row>
    <row r="778">
      <c r="E778" s="4"/>
      <c r="G778" s="5"/>
      <c r="H778" s="5"/>
      <c r="I778" s="5"/>
      <c r="K778" s="5"/>
      <c r="M778" s="5"/>
      <c r="N778" s="5"/>
    </row>
    <row r="779">
      <c r="E779" s="4"/>
      <c r="G779" s="5"/>
      <c r="H779" s="5"/>
      <c r="I779" s="5"/>
      <c r="K779" s="5"/>
      <c r="M779" s="5"/>
      <c r="N779" s="5"/>
    </row>
    <row r="780">
      <c r="E780" s="4"/>
      <c r="G780" s="5"/>
      <c r="H780" s="5"/>
      <c r="I780" s="5"/>
      <c r="K780" s="5"/>
      <c r="M780" s="5"/>
      <c r="N780" s="5"/>
    </row>
    <row r="781">
      <c r="E781" s="4"/>
      <c r="G781" s="5"/>
      <c r="H781" s="5"/>
      <c r="I781" s="5"/>
      <c r="K781" s="5"/>
      <c r="M781" s="5"/>
      <c r="N781" s="5"/>
    </row>
    <row r="782">
      <c r="E782" s="4"/>
      <c r="G782" s="5"/>
      <c r="H782" s="5"/>
      <c r="I782" s="5"/>
      <c r="K782" s="5"/>
      <c r="M782" s="5"/>
      <c r="N782" s="5"/>
    </row>
    <row r="783">
      <c r="E783" s="4"/>
      <c r="G783" s="5"/>
      <c r="H783" s="5"/>
      <c r="I783" s="5"/>
      <c r="K783" s="5"/>
      <c r="M783" s="5"/>
      <c r="N783" s="5"/>
    </row>
    <row r="784">
      <c r="E784" s="4"/>
      <c r="G784" s="5"/>
      <c r="H784" s="5"/>
      <c r="I784" s="5"/>
      <c r="K784" s="5"/>
      <c r="M784" s="5"/>
      <c r="N784" s="5"/>
    </row>
    <row r="785">
      <c r="E785" s="4"/>
      <c r="G785" s="5"/>
      <c r="H785" s="5"/>
      <c r="I785" s="5"/>
      <c r="K785" s="5"/>
      <c r="M785" s="5"/>
      <c r="N785" s="5"/>
    </row>
    <row r="786">
      <c r="E786" s="4"/>
      <c r="G786" s="5"/>
      <c r="H786" s="5"/>
      <c r="I786" s="5"/>
      <c r="K786" s="5"/>
      <c r="M786" s="5"/>
      <c r="N786" s="5"/>
    </row>
    <row r="787">
      <c r="E787" s="4"/>
      <c r="G787" s="5"/>
      <c r="H787" s="5"/>
      <c r="I787" s="5"/>
      <c r="K787" s="5"/>
      <c r="M787" s="5"/>
      <c r="N787" s="5"/>
    </row>
    <row r="788">
      <c r="E788" s="4"/>
      <c r="G788" s="5"/>
      <c r="H788" s="5"/>
      <c r="I788" s="5"/>
      <c r="K788" s="5"/>
      <c r="M788" s="5"/>
      <c r="N788" s="5"/>
    </row>
    <row r="789">
      <c r="E789" s="4"/>
      <c r="G789" s="5"/>
      <c r="H789" s="5"/>
      <c r="I789" s="5"/>
      <c r="K789" s="5"/>
      <c r="M789" s="5"/>
      <c r="N789" s="5"/>
    </row>
    <row r="790">
      <c r="E790" s="4"/>
      <c r="G790" s="5"/>
      <c r="H790" s="5"/>
      <c r="I790" s="5"/>
      <c r="K790" s="5"/>
      <c r="M790" s="5"/>
      <c r="N790" s="5"/>
    </row>
    <row r="791">
      <c r="E791" s="4"/>
      <c r="G791" s="5"/>
      <c r="H791" s="5"/>
      <c r="I791" s="5"/>
      <c r="K791" s="5"/>
      <c r="M791" s="5"/>
      <c r="N791" s="5"/>
    </row>
    <row r="792">
      <c r="E792" s="4"/>
      <c r="G792" s="5"/>
      <c r="H792" s="5"/>
      <c r="I792" s="5"/>
      <c r="K792" s="5"/>
      <c r="M792" s="5"/>
      <c r="N792" s="5"/>
    </row>
    <row r="793">
      <c r="E793" s="4"/>
      <c r="G793" s="5"/>
      <c r="H793" s="5"/>
      <c r="I793" s="5"/>
      <c r="K793" s="5"/>
      <c r="M793" s="5"/>
      <c r="N793" s="5"/>
    </row>
    <row r="794">
      <c r="E794" s="4"/>
      <c r="G794" s="5"/>
      <c r="H794" s="5"/>
      <c r="I794" s="5"/>
      <c r="K794" s="5"/>
      <c r="M794" s="5"/>
      <c r="N794" s="5"/>
    </row>
    <row r="795">
      <c r="E795" s="4"/>
      <c r="G795" s="5"/>
      <c r="H795" s="5"/>
      <c r="I795" s="5"/>
      <c r="K795" s="5"/>
      <c r="M795" s="5"/>
      <c r="N795" s="5"/>
    </row>
    <row r="796">
      <c r="E796" s="4"/>
      <c r="G796" s="5"/>
      <c r="H796" s="5"/>
      <c r="I796" s="5"/>
      <c r="K796" s="5"/>
      <c r="M796" s="5"/>
      <c r="N796" s="5"/>
    </row>
    <row r="797">
      <c r="E797" s="4"/>
      <c r="G797" s="5"/>
      <c r="H797" s="5"/>
      <c r="I797" s="5"/>
      <c r="K797" s="5"/>
      <c r="M797" s="5"/>
      <c r="N797" s="5"/>
    </row>
    <row r="798">
      <c r="E798" s="4"/>
      <c r="G798" s="5"/>
      <c r="H798" s="5"/>
      <c r="I798" s="5"/>
      <c r="K798" s="5"/>
      <c r="M798" s="5"/>
      <c r="N798" s="5"/>
    </row>
    <row r="799">
      <c r="E799" s="4"/>
      <c r="G799" s="5"/>
      <c r="H799" s="5"/>
      <c r="I799" s="5"/>
      <c r="K799" s="5"/>
      <c r="M799" s="5"/>
      <c r="N799" s="5"/>
    </row>
    <row r="800">
      <c r="E800" s="4"/>
      <c r="G800" s="5"/>
      <c r="H800" s="5"/>
      <c r="I800" s="5"/>
      <c r="K800" s="5"/>
      <c r="M800" s="5"/>
      <c r="N800" s="5"/>
    </row>
    <row r="801">
      <c r="E801" s="4"/>
      <c r="G801" s="5"/>
      <c r="H801" s="5"/>
      <c r="I801" s="5"/>
      <c r="K801" s="5"/>
      <c r="M801" s="5"/>
      <c r="N801" s="5"/>
    </row>
    <row r="802">
      <c r="E802" s="4"/>
      <c r="G802" s="5"/>
      <c r="H802" s="5"/>
      <c r="I802" s="5"/>
      <c r="K802" s="5"/>
      <c r="M802" s="5"/>
      <c r="N802" s="5"/>
    </row>
    <row r="803">
      <c r="E803" s="4"/>
      <c r="G803" s="5"/>
      <c r="H803" s="5"/>
      <c r="I803" s="5"/>
      <c r="K803" s="5"/>
      <c r="M803" s="5"/>
      <c r="N803" s="5"/>
    </row>
    <row r="804">
      <c r="E804" s="4"/>
      <c r="G804" s="5"/>
      <c r="H804" s="5"/>
      <c r="I804" s="5"/>
      <c r="K804" s="5"/>
      <c r="M804" s="5"/>
      <c r="N804" s="5"/>
    </row>
    <row r="805">
      <c r="E805" s="4"/>
      <c r="G805" s="5"/>
      <c r="H805" s="5"/>
      <c r="I805" s="5"/>
      <c r="K805" s="5"/>
      <c r="M805" s="5"/>
      <c r="N805" s="5"/>
    </row>
    <row r="806">
      <c r="E806" s="4"/>
      <c r="G806" s="5"/>
      <c r="H806" s="5"/>
      <c r="I806" s="5"/>
      <c r="K806" s="5"/>
      <c r="M806" s="5"/>
      <c r="N806" s="5"/>
    </row>
    <row r="807">
      <c r="E807" s="4"/>
      <c r="G807" s="5"/>
      <c r="H807" s="5"/>
      <c r="I807" s="5"/>
      <c r="K807" s="5"/>
      <c r="M807" s="5"/>
      <c r="N807" s="5"/>
    </row>
    <row r="808">
      <c r="E808" s="4"/>
      <c r="G808" s="5"/>
      <c r="H808" s="5"/>
      <c r="I808" s="5"/>
      <c r="K808" s="5"/>
      <c r="M808" s="5"/>
      <c r="N808" s="5"/>
    </row>
    <row r="809">
      <c r="E809" s="4"/>
      <c r="G809" s="5"/>
      <c r="H809" s="5"/>
      <c r="I809" s="5"/>
      <c r="K809" s="5"/>
      <c r="M809" s="5"/>
      <c r="N809" s="5"/>
    </row>
    <row r="810">
      <c r="E810" s="4"/>
      <c r="G810" s="5"/>
      <c r="H810" s="5"/>
      <c r="I810" s="5"/>
      <c r="K810" s="5"/>
      <c r="M810" s="5"/>
      <c r="N810" s="5"/>
    </row>
    <row r="811">
      <c r="E811" s="4"/>
      <c r="G811" s="5"/>
      <c r="H811" s="5"/>
      <c r="I811" s="5"/>
      <c r="K811" s="5"/>
      <c r="M811" s="5"/>
      <c r="N811" s="5"/>
    </row>
    <row r="812">
      <c r="E812" s="4"/>
      <c r="G812" s="5"/>
      <c r="H812" s="5"/>
      <c r="I812" s="5"/>
      <c r="K812" s="5"/>
      <c r="M812" s="5"/>
      <c r="N812" s="5"/>
    </row>
    <row r="813">
      <c r="E813" s="4"/>
      <c r="G813" s="5"/>
      <c r="H813" s="5"/>
      <c r="I813" s="5"/>
      <c r="K813" s="5"/>
      <c r="M813" s="5"/>
      <c r="N813" s="5"/>
    </row>
    <row r="814">
      <c r="E814" s="4"/>
      <c r="G814" s="5"/>
      <c r="H814" s="5"/>
      <c r="I814" s="5"/>
      <c r="K814" s="5"/>
      <c r="M814" s="5"/>
      <c r="N814" s="5"/>
    </row>
    <row r="815">
      <c r="E815" s="4"/>
      <c r="G815" s="5"/>
      <c r="H815" s="5"/>
      <c r="I815" s="5"/>
      <c r="K815" s="5"/>
      <c r="M815" s="5"/>
      <c r="N815" s="5"/>
    </row>
    <row r="816">
      <c r="E816" s="4"/>
      <c r="G816" s="5"/>
      <c r="H816" s="5"/>
      <c r="I816" s="5"/>
      <c r="K816" s="5"/>
      <c r="M816" s="5"/>
      <c r="N816" s="5"/>
    </row>
    <row r="817">
      <c r="E817" s="4"/>
      <c r="G817" s="5"/>
      <c r="H817" s="5"/>
      <c r="I817" s="5"/>
      <c r="K817" s="5"/>
      <c r="M817" s="5"/>
      <c r="N817" s="5"/>
    </row>
    <row r="818">
      <c r="E818" s="4"/>
      <c r="G818" s="5"/>
      <c r="H818" s="5"/>
      <c r="I818" s="5"/>
      <c r="K818" s="5"/>
      <c r="M818" s="5"/>
      <c r="N818" s="5"/>
    </row>
    <row r="819">
      <c r="E819" s="4"/>
      <c r="G819" s="5"/>
      <c r="H819" s="5"/>
      <c r="I819" s="5"/>
      <c r="K819" s="5"/>
      <c r="M819" s="5"/>
      <c r="N819" s="5"/>
    </row>
    <row r="820">
      <c r="E820" s="4"/>
      <c r="G820" s="5"/>
      <c r="H820" s="5"/>
      <c r="I820" s="5"/>
      <c r="K820" s="5"/>
      <c r="M820" s="5"/>
      <c r="N820" s="5"/>
    </row>
    <row r="821">
      <c r="E821" s="4"/>
      <c r="G821" s="5"/>
      <c r="H821" s="5"/>
      <c r="I821" s="5"/>
      <c r="K821" s="5"/>
      <c r="M821" s="5"/>
      <c r="N821" s="5"/>
    </row>
    <row r="822">
      <c r="E822" s="4"/>
      <c r="G822" s="5"/>
      <c r="H822" s="5"/>
      <c r="I822" s="5"/>
      <c r="K822" s="5"/>
      <c r="M822" s="5"/>
      <c r="N822" s="5"/>
    </row>
    <row r="823">
      <c r="E823" s="4"/>
      <c r="G823" s="5"/>
      <c r="H823" s="5"/>
      <c r="I823" s="5"/>
      <c r="K823" s="5"/>
      <c r="M823" s="5"/>
      <c r="N823" s="5"/>
    </row>
    <row r="824">
      <c r="E824" s="4"/>
      <c r="G824" s="5"/>
      <c r="H824" s="5"/>
      <c r="I824" s="5"/>
      <c r="K824" s="5"/>
      <c r="M824" s="5"/>
      <c r="N824" s="5"/>
    </row>
    <row r="825">
      <c r="E825" s="4"/>
      <c r="G825" s="5"/>
      <c r="H825" s="5"/>
      <c r="I825" s="5"/>
      <c r="K825" s="5"/>
      <c r="M825" s="5"/>
      <c r="N825" s="5"/>
    </row>
    <row r="826">
      <c r="E826" s="4"/>
      <c r="G826" s="5"/>
      <c r="H826" s="5"/>
      <c r="I826" s="5"/>
      <c r="K826" s="5"/>
      <c r="M826" s="5"/>
      <c r="N826" s="5"/>
    </row>
    <row r="827">
      <c r="E827" s="4"/>
      <c r="G827" s="5"/>
      <c r="H827" s="5"/>
      <c r="I827" s="5"/>
      <c r="K827" s="5"/>
      <c r="M827" s="5"/>
      <c r="N827" s="5"/>
    </row>
    <row r="828">
      <c r="E828" s="4"/>
      <c r="G828" s="5"/>
      <c r="H828" s="5"/>
      <c r="I828" s="5"/>
      <c r="K828" s="5"/>
      <c r="M828" s="5"/>
      <c r="N828" s="5"/>
    </row>
    <row r="829">
      <c r="E829" s="4"/>
      <c r="G829" s="5"/>
      <c r="H829" s="5"/>
      <c r="I829" s="5"/>
      <c r="K829" s="5"/>
      <c r="M829" s="5"/>
      <c r="N829" s="5"/>
    </row>
    <row r="830">
      <c r="E830" s="4"/>
      <c r="G830" s="5"/>
      <c r="H830" s="5"/>
      <c r="I830" s="5"/>
      <c r="K830" s="5"/>
      <c r="M830" s="5"/>
      <c r="N830" s="5"/>
    </row>
    <row r="831">
      <c r="E831" s="4"/>
      <c r="G831" s="5"/>
      <c r="H831" s="5"/>
      <c r="I831" s="5"/>
      <c r="K831" s="5"/>
      <c r="M831" s="5"/>
      <c r="N831" s="5"/>
    </row>
    <row r="832">
      <c r="E832" s="4"/>
      <c r="G832" s="5"/>
      <c r="H832" s="5"/>
      <c r="I832" s="5"/>
      <c r="K832" s="5"/>
      <c r="M832" s="5"/>
      <c r="N832" s="5"/>
    </row>
    <row r="833">
      <c r="E833" s="4"/>
      <c r="G833" s="5"/>
      <c r="H833" s="5"/>
      <c r="I833" s="5"/>
      <c r="K833" s="5"/>
      <c r="M833" s="5"/>
      <c r="N833" s="5"/>
    </row>
    <row r="834">
      <c r="E834" s="4"/>
      <c r="G834" s="5"/>
      <c r="H834" s="5"/>
      <c r="I834" s="5"/>
      <c r="K834" s="5"/>
      <c r="M834" s="5"/>
      <c r="N834" s="5"/>
    </row>
    <row r="835">
      <c r="E835" s="4"/>
      <c r="G835" s="5"/>
      <c r="H835" s="5"/>
      <c r="I835" s="5"/>
      <c r="K835" s="5"/>
      <c r="M835" s="5"/>
      <c r="N835" s="5"/>
    </row>
    <row r="836">
      <c r="E836" s="4"/>
      <c r="G836" s="5"/>
      <c r="H836" s="5"/>
      <c r="I836" s="5"/>
      <c r="K836" s="5"/>
      <c r="M836" s="5"/>
      <c r="N836" s="5"/>
    </row>
    <row r="837">
      <c r="E837" s="4"/>
      <c r="G837" s="5"/>
      <c r="H837" s="5"/>
      <c r="I837" s="5"/>
      <c r="K837" s="5"/>
      <c r="M837" s="5"/>
      <c r="N837" s="5"/>
    </row>
    <row r="838">
      <c r="E838" s="4"/>
      <c r="G838" s="5"/>
      <c r="H838" s="5"/>
      <c r="I838" s="5"/>
      <c r="K838" s="5"/>
      <c r="M838" s="5"/>
      <c r="N838" s="5"/>
    </row>
    <row r="839">
      <c r="E839" s="4"/>
      <c r="G839" s="5"/>
      <c r="H839" s="5"/>
      <c r="I839" s="5"/>
      <c r="K839" s="5"/>
      <c r="M839" s="5"/>
      <c r="N839" s="5"/>
    </row>
    <row r="840">
      <c r="E840" s="4"/>
      <c r="G840" s="5"/>
      <c r="H840" s="5"/>
      <c r="I840" s="5"/>
      <c r="K840" s="5"/>
      <c r="M840" s="5"/>
      <c r="N840" s="5"/>
    </row>
    <row r="841">
      <c r="E841" s="4"/>
      <c r="G841" s="5"/>
      <c r="H841" s="5"/>
      <c r="I841" s="5"/>
      <c r="K841" s="5"/>
      <c r="M841" s="5"/>
      <c r="N841" s="5"/>
    </row>
    <row r="842">
      <c r="E842" s="4"/>
      <c r="G842" s="5"/>
      <c r="H842" s="5"/>
      <c r="I842" s="5"/>
      <c r="K842" s="5"/>
      <c r="M842" s="5"/>
      <c r="N842" s="5"/>
    </row>
    <row r="843">
      <c r="E843" s="4"/>
      <c r="G843" s="5"/>
      <c r="H843" s="5"/>
      <c r="I843" s="5"/>
      <c r="K843" s="5"/>
      <c r="M843" s="5"/>
      <c r="N843" s="5"/>
    </row>
    <row r="844">
      <c r="E844" s="4"/>
      <c r="G844" s="5"/>
      <c r="H844" s="5"/>
      <c r="I844" s="5"/>
      <c r="K844" s="5"/>
      <c r="M844" s="5"/>
      <c r="N844" s="5"/>
    </row>
    <row r="845">
      <c r="E845" s="4"/>
      <c r="G845" s="5"/>
      <c r="H845" s="5"/>
      <c r="I845" s="5"/>
      <c r="K845" s="5"/>
      <c r="M845" s="5"/>
      <c r="N845" s="5"/>
    </row>
    <row r="846">
      <c r="E846" s="4"/>
      <c r="G846" s="5"/>
      <c r="H846" s="5"/>
      <c r="I846" s="5"/>
      <c r="K846" s="5"/>
      <c r="M846" s="5"/>
      <c r="N846" s="5"/>
    </row>
    <row r="847">
      <c r="E847" s="4"/>
      <c r="G847" s="5"/>
      <c r="H847" s="5"/>
      <c r="I847" s="5"/>
      <c r="K847" s="5"/>
      <c r="M847" s="5"/>
      <c r="N847" s="5"/>
    </row>
    <row r="848">
      <c r="E848" s="4"/>
      <c r="G848" s="5"/>
      <c r="H848" s="5"/>
      <c r="I848" s="5"/>
      <c r="K848" s="5"/>
      <c r="M848" s="5"/>
      <c r="N848" s="5"/>
    </row>
    <row r="849">
      <c r="E849" s="4"/>
      <c r="G849" s="5"/>
      <c r="H849" s="5"/>
      <c r="I849" s="5"/>
      <c r="K849" s="5"/>
      <c r="M849" s="5"/>
      <c r="N849" s="5"/>
    </row>
    <row r="850">
      <c r="E850" s="4"/>
      <c r="G850" s="5"/>
      <c r="H850" s="5"/>
      <c r="I850" s="5"/>
      <c r="K850" s="5"/>
      <c r="M850" s="5"/>
      <c r="N850" s="5"/>
    </row>
    <row r="851">
      <c r="E851" s="4"/>
      <c r="G851" s="5"/>
      <c r="H851" s="5"/>
      <c r="I851" s="5"/>
      <c r="K851" s="5"/>
      <c r="M851" s="5"/>
      <c r="N851" s="5"/>
    </row>
    <row r="852">
      <c r="E852" s="4"/>
      <c r="G852" s="5"/>
      <c r="H852" s="5"/>
      <c r="I852" s="5"/>
      <c r="K852" s="5"/>
      <c r="M852" s="5"/>
      <c r="N852" s="5"/>
    </row>
    <row r="853">
      <c r="E853" s="4"/>
      <c r="G853" s="5"/>
      <c r="H853" s="5"/>
      <c r="I853" s="5"/>
      <c r="K853" s="5"/>
      <c r="M853" s="5"/>
      <c r="N853" s="5"/>
    </row>
    <row r="854">
      <c r="E854" s="4"/>
      <c r="G854" s="5"/>
      <c r="H854" s="5"/>
      <c r="I854" s="5"/>
      <c r="K854" s="5"/>
      <c r="M854" s="5"/>
      <c r="N854" s="5"/>
    </row>
    <row r="855">
      <c r="E855" s="4"/>
      <c r="G855" s="5"/>
      <c r="H855" s="5"/>
      <c r="I855" s="5"/>
      <c r="K855" s="5"/>
      <c r="M855" s="5"/>
      <c r="N855" s="5"/>
    </row>
    <row r="856">
      <c r="E856" s="4"/>
      <c r="G856" s="5"/>
      <c r="H856" s="5"/>
      <c r="I856" s="5"/>
      <c r="K856" s="5"/>
      <c r="M856" s="5"/>
      <c r="N856" s="5"/>
    </row>
    <row r="857">
      <c r="E857" s="4"/>
      <c r="G857" s="5"/>
      <c r="H857" s="5"/>
      <c r="I857" s="5"/>
      <c r="K857" s="5"/>
      <c r="M857" s="5"/>
      <c r="N857" s="5"/>
    </row>
    <row r="858">
      <c r="E858" s="4"/>
      <c r="G858" s="5"/>
      <c r="H858" s="5"/>
      <c r="I858" s="5"/>
      <c r="K858" s="5"/>
      <c r="M858" s="5"/>
      <c r="N858" s="5"/>
    </row>
    <row r="859">
      <c r="E859" s="4"/>
      <c r="G859" s="5"/>
      <c r="H859" s="5"/>
      <c r="I859" s="5"/>
      <c r="K859" s="5"/>
      <c r="M859" s="5"/>
      <c r="N859" s="5"/>
    </row>
    <row r="860">
      <c r="E860" s="4"/>
      <c r="G860" s="5"/>
      <c r="H860" s="5"/>
      <c r="I860" s="5"/>
      <c r="K860" s="5"/>
      <c r="M860" s="5"/>
      <c r="N860" s="5"/>
    </row>
    <row r="861">
      <c r="E861" s="4"/>
      <c r="G861" s="5"/>
      <c r="H861" s="5"/>
      <c r="I861" s="5"/>
      <c r="K861" s="5"/>
      <c r="M861" s="5"/>
      <c r="N861" s="5"/>
    </row>
    <row r="862">
      <c r="E862" s="4"/>
      <c r="G862" s="5"/>
      <c r="H862" s="5"/>
      <c r="I862" s="5"/>
      <c r="K862" s="5"/>
      <c r="M862" s="5"/>
      <c r="N862" s="5"/>
    </row>
    <row r="863">
      <c r="E863" s="4"/>
      <c r="G863" s="5"/>
      <c r="H863" s="5"/>
      <c r="I863" s="5"/>
      <c r="K863" s="5"/>
      <c r="M863" s="5"/>
      <c r="N863" s="5"/>
    </row>
    <row r="864">
      <c r="E864" s="4"/>
      <c r="G864" s="5"/>
      <c r="H864" s="5"/>
      <c r="I864" s="5"/>
      <c r="K864" s="5"/>
      <c r="M864" s="5"/>
      <c r="N864" s="5"/>
    </row>
    <row r="865">
      <c r="E865" s="4"/>
      <c r="G865" s="5"/>
      <c r="H865" s="5"/>
      <c r="I865" s="5"/>
      <c r="K865" s="5"/>
      <c r="M865" s="5"/>
      <c r="N865" s="5"/>
    </row>
    <row r="866">
      <c r="E866" s="4"/>
      <c r="G866" s="5"/>
      <c r="H866" s="5"/>
      <c r="I866" s="5"/>
      <c r="K866" s="5"/>
      <c r="M866" s="5"/>
      <c r="N866" s="5"/>
    </row>
    <row r="867">
      <c r="E867" s="4"/>
      <c r="G867" s="5"/>
      <c r="H867" s="5"/>
      <c r="I867" s="5"/>
      <c r="K867" s="5"/>
      <c r="M867" s="5"/>
      <c r="N867" s="5"/>
    </row>
    <row r="868">
      <c r="E868" s="4"/>
      <c r="G868" s="5"/>
      <c r="H868" s="5"/>
      <c r="I868" s="5"/>
      <c r="K868" s="5"/>
      <c r="M868" s="5"/>
      <c r="N868" s="5"/>
    </row>
    <row r="869">
      <c r="E869" s="4"/>
      <c r="G869" s="5"/>
      <c r="H869" s="5"/>
      <c r="I869" s="5"/>
      <c r="K869" s="5"/>
      <c r="M869" s="5"/>
      <c r="N869" s="5"/>
    </row>
    <row r="870">
      <c r="E870" s="4"/>
      <c r="G870" s="5"/>
      <c r="H870" s="5"/>
      <c r="I870" s="5"/>
      <c r="K870" s="5"/>
      <c r="M870" s="5"/>
      <c r="N870" s="5"/>
    </row>
    <row r="871">
      <c r="E871" s="4"/>
      <c r="G871" s="5"/>
      <c r="H871" s="5"/>
      <c r="I871" s="5"/>
      <c r="K871" s="5"/>
      <c r="M871" s="5"/>
      <c r="N871" s="5"/>
    </row>
    <row r="872">
      <c r="E872" s="4"/>
      <c r="G872" s="5"/>
      <c r="H872" s="5"/>
      <c r="I872" s="5"/>
      <c r="K872" s="5"/>
      <c r="M872" s="5"/>
      <c r="N872" s="5"/>
    </row>
    <row r="873">
      <c r="E873" s="4"/>
      <c r="G873" s="5"/>
      <c r="H873" s="5"/>
      <c r="I873" s="5"/>
      <c r="K873" s="5"/>
      <c r="M873" s="5"/>
      <c r="N873" s="5"/>
    </row>
    <row r="874">
      <c r="E874" s="4"/>
      <c r="G874" s="5"/>
      <c r="H874" s="5"/>
      <c r="I874" s="5"/>
      <c r="K874" s="5"/>
      <c r="M874" s="5"/>
      <c r="N874" s="5"/>
    </row>
    <row r="875">
      <c r="E875" s="4"/>
      <c r="G875" s="5"/>
      <c r="H875" s="5"/>
      <c r="I875" s="5"/>
      <c r="K875" s="5"/>
      <c r="M875" s="5"/>
      <c r="N875" s="5"/>
    </row>
    <row r="876">
      <c r="E876" s="4"/>
      <c r="G876" s="5"/>
      <c r="H876" s="5"/>
      <c r="I876" s="5"/>
      <c r="K876" s="5"/>
      <c r="M876" s="5"/>
      <c r="N876" s="5"/>
    </row>
    <row r="877">
      <c r="E877" s="4"/>
      <c r="G877" s="5"/>
      <c r="H877" s="5"/>
      <c r="I877" s="5"/>
      <c r="K877" s="5"/>
      <c r="M877" s="5"/>
      <c r="N877" s="5"/>
    </row>
    <row r="878">
      <c r="E878" s="4"/>
      <c r="G878" s="5"/>
      <c r="H878" s="5"/>
      <c r="I878" s="5"/>
      <c r="K878" s="5"/>
      <c r="M878" s="5"/>
      <c r="N878" s="5"/>
    </row>
    <row r="879">
      <c r="E879" s="4"/>
      <c r="G879" s="5"/>
      <c r="H879" s="5"/>
      <c r="I879" s="5"/>
      <c r="K879" s="5"/>
      <c r="M879" s="5"/>
      <c r="N879" s="5"/>
    </row>
    <row r="880">
      <c r="E880" s="4"/>
      <c r="G880" s="5"/>
      <c r="H880" s="5"/>
      <c r="I880" s="5"/>
      <c r="K880" s="5"/>
      <c r="M880" s="5"/>
      <c r="N880" s="5"/>
    </row>
    <row r="881">
      <c r="E881" s="4"/>
      <c r="G881" s="5"/>
      <c r="H881" s="5"/>
      <c r="I881" s="5"/>
      <c r="K881" s="5"/>
      <c r="M881" s="5"/>
      <c r="N881" s="5"/>
    </row>
    <row r="882">
      <c r="E882" s="4"/>
      <c r="G882" s="5"/>
      <c r="H882" s="5"/>
      <c r="I882" s="5"/>
      <c r="K882" s="5"/>
      <c r="M882" s="5"/>
      <c r="N882" s="5"/>
    </row>
    <row r="883">
      <c r="E883" s="4"/>
      <c r="G883" s="5"/>
      <c r="H883" s="5"/>
      <c r="I883" s="5"/>
      <c r="K883" s="5"/>
      <c r="M883" s="5"/>
      <c r="N883" s="5"/>
    </row>
    <row r="884">
      <c r="E884" s="4"/>
      <c r="G884" s="5"/>
      <c r="H884" s="5"/>
      <c r="I884" s="5"/>
      <c r="K884" s="5"/>
      <c r="M884" s="5"/>
      <c r="N884" s="5"/>
    </row>
    <row r="885">
      <c r="E885" s="4"/>
      <c r="G885" s="5"/>
      <c r="H885" s="5"/>
      <c r="I885" s="5"/>
      <c r="K885" s="5"/>
      <c r="M885" s="5"/>
      <c r="N885" s="5"/>
    </row>
    <row r="886">
      <c r="E886" s="4"/>
      <c r="G886" s="5"/>
      <c r="H886" s="5"/>
      <c r="I886" s="5"/>
      <c r="K886" s="5"/>
      <c r="M886" s="5"/>
      <c r="N886" s="5"/>
    </row>
    <row r="887">
      <c r="E887" s="4"/>
      <c r="G887" s="5"/>
      <c r="H887" s="5"/>
      <c r="I887" s="5"/>
      <c r="K887" s="5"/>
      <c r="M887" s="5"/>
      <c r="N887" s="5"/>
    </row>
    <row r="888">
      <c r="E888" s="4"/>
      <c r="G888" s="5"/>
      <c r="H888" s="5"/>
      <c r="I888" s="5"/>
      <c r="K888" s="5"/>
      <c r="M888" s="5"/>
      <c r="N888" s="5"/>
    </row>
    <row r="889">
      <c r="E889" s="4"/>
      <c r="G889" s="5"/>
      <c r="H889" s="5"/>
      <c r="I889" s="5"/>
      <c r="K889" s="5"/>
      <c r="M889" s="5"/>
      <c r="N889" s="5"/>
    </row>
    <row r="890">
      <c r="E890" s="4"/>
      <c r="G890" s="5"/>
      <c r="H890" s="5"/>
      <c r="I890" s="5"/>
      <c r="K890" s="5"/>
      <c r="M890" s="5"/>
      <c r="N890" s="5"/>
    </row>
    <row r="891">
      <c r="E891" s="4"/>
      <c r="G891" s="5"/>
      <c r="H891" s="5"/>
      <c r="I891" s="5"/>
      <c r="K891" s="5"/>
      <c r="M891" s="5"/>
      <c r="N891" s="5"/>
    </row>
    <row r="892">
      <c r="E892" s="4"/>
      <c r="G892" s="5"/>
      <c r="H892" s="5"/>
      <c r="I892" s="5"/>
      <c r="K892" s="5"/>
      <c r="M892" s="5"/>
      <c r="N892" s="5"/>
    </row>
    <row r="893">
      <c r="E893" s="4"/>
      <c r="G893" s="5"/>
      <c r="H893" s="5"/>
      <c r="I893" s="5"/>
      <c r="K893" s="5"/>
      <c r="M893" s="5"/>
      <c r="N893" s="5"/>
    </row>
    <row r="894">
      <c r="E894" s="4"/>
      <c r="G894" s="5"/>
      <c r="H894" s="5"/>
      <c r="I894" s="5"/>
      <c r="K894" s="5"/>
      <c r="M894" s="5"/>
      <c r="N894" s="5"/>
    </row>
    <row r="895">
      <c r="E895" s="4"/>
      <c r="G895" s="5"/>
      <c r="H895" s="5"/>
      <c r="I895" s="5"/>
      <c r="K895" s="5"/>
      <c r="M895" s="5"/>
      <c r="N895" s="5"/>
    </row>
    <row r="896">
      <c r="E896" s="4"/>
      <c r="G896" s="5"/>
      <c r="H896" s="5"/>
      <c r="I896" s="5"/>
      <c r="K896" s="5"/>
      <c r="M896" s="5"/>
      <c r="N896" s="5"/>
    </row>
    <row r="897">
      <c r="E897" s="4"/>
      <c r="G897" s="5"/>
      <c r="H897" s="5"/>
      <c r="I897" s="5"/>
      <c r="K897" s="5"/>
      <c r="M897" s="5"/>
      <c r="N897" s="5"/>
    </row>
    <row r="898">
      <c r="E898" s="4"/>
      <c r="G898" s="5"/>
      <c r="H898" s="5"/>
      <c r="I898" s="5"/>
      <c r="K898" s="5"/>
      <c r="M898" s="5"/>
      <c r="N898" s="5"/>
    </row>
    <row r="899">
      <c r="E899" s="4"/>
      <c r="G899" s="5"/>
      <c r="H899" s="5"/>
      <c r="I899" s="5"/>
      <c r="K899" s="5"/>
      <c r="M899" s="5"/>
      <c r="N899" s="5"/>
    </row>
    <row r="900">
      <c r="E900" s="4"/>
      <c r="G900" s="5"/>
      <c r="H900" s="5"/>
      <c r="I900" s="5"/>
      <c r="K900" s="5"/>
      <c r="M900" s="5"/>
      <c r="N900" s="5"/>
    </row>
    <row r="901">
      <c r="E901" s="4"/>
      <c r="G901" s="5"/>
      <c r="H901" s="5"/>
      <c r="I901" s="5"/>
      <c r="K901" s="5"/>
      <c r="M901" s="5"/>
      <c r="N901" s="5"/>
    </row>
    <row r="902">
      <c r="E902" s="4"/>
      <c r="G902" s="5"/>
      <c r="H902" s="5"/>
      <c r="I902" s="5"/>
      <c r="K902" s="5"/>
      <c r="M902" s="5"/>
      <c r="N902" s="5"/>
    </row>
    <row r="903">
      <c r="E903" s="4"/>
      <c r="G903" s="5"/>
      <c r="H903" s="5"/>
      <c r="I903" s="5"/>
      <c r="K903" s="5"/>
      <c r="M903" s="5"/>
      <c r="N903" s="5"/>
    </row>
    <row r="904">
      <c r="E904" s="4"/>
      <c r="G904" s="5"/>
      <c r="H904" s="5"/>
      <c r="I904" s="5"/>
      <c r="K904" s="5"/>
      <c r="M904" s="5"/>
      <c r="N904" s="5"/>
    </row>
    <row r="905">
      <c r="E905" s="4"/>
      <c r="G905" s="5"/>
      <c r="H905" s="5"/>
      <c r="I905" s="5"/>
      <c r="K905" s="5"/>
      <c r="M905" s="5"/>
      <c r="N905" s="5"/>
    </row>
    <row r="906">
      <c r="E906" s="4"/>
      <c r="G906" s="5"/>
      <c r="H906" s="5"/>
      <c r="I906" s="5"/>
      <c r="K906" s="5"/>
      <c r="M906" s="5"/>
      <c r="N906" s="5"/>
    </row>
    <row r="907">
      <c r="E907" s="4"/>
      <c r="G907" s="5"/>
      <c r="H907" s="5"/>
      <c r="I907" s="5"/>
      <c r="K907" s="5"/>
      <c r="M907" s="5"/>
      <c r="N907" s="5"/>
    </row>
    <row r="908">
      <c r="E908" s="4"/>
      <c r="G908" s="5"/>
      <c r="H908" s="5"/>
      <c r="I908" s="5"/>
      <c r="K908" s="5"/>
      <c r="M908" s="5"/>
      <c r="N908" s="5"/>
    </row>
    <row r="909">
      <c r="E909" s="4"/>
      <c r="G909" s="5"/>
      <c r="H909" s="5"/>
      <c r="I909" s="5"/>
      <c r="K909" s="5"/>
      <c r="M909" s="5"/>
      <c r="N909" s="5"/>
    </row>
    <row r="910">
      <c r="E910" s="4"/>
      <c r="G910" s="5"/>
      <c r="H910" s="5"/>
      <c r="I910" s="5"/>
      <c r="K910" s="5"/>
      <c r="M910" s="5"/>
      <c r="N910" s="5"/>
    </row>
    <row r="911">
      <c r="E911" s="4"/>
      <c r="G911" s="5"/>
      <c r="H911" s="5"/>
      <c r="I911" s="5"/>
      <c r="K911" s="5"/>
      <c r="M911" s="5"/>
      <c r="N911" s="5"/>
    </row>
    <row r="912">
      <c r="E912" s="4"/>
      <c r="G912" s="5"/>
      <c r="H912" s="5"/>
      <c r="I912" s="5"/>
      <c r="K912" s="5"/>
      <c r="M912" s="5"/>
      <c r="N912" s="5"/>
    </row>
    <row r="913">
      <c r="E913" s="4"/>
      <c r="G913" s="5"/>
      <c r="H913" s="5"/>
      <c r="I913" s="5"/>
      <c r="K913" s="5"/>
      <c r="M913" s="5"/>
      <c r="N913" s="5"/>
    </row>
    <row r="914">
      <c r="E914" s="4"/>
      <c r="G914" s="5"/>
      <c r="H914" s="5"/>
      <c r="I914" s="5"/>
      <c r="K914" s="5"/>
      <c r="M914" s="5"/>
      <c r="N914" s="5"/>
    </row>
    <row r="915">
      <c r="E915" s="4"/>
      <c r="G915" s="5"/>
      <c r="H915" s="5"/>
      <c r="I915" s="5"/>
      <c r="K915" s="5"/>
      <c r="M915" s="5"/>
      <c r="N915" s="5"/>
    </row>
    <row r="916">
      <c r="E916" s="4"/>
      <c r="G916" s="5"/>
      <c r="H916" s="5"/>
      <c r="I916" s="5"/>
      <c r="K916" s="5"/>
      <c r="M916" s="5"/>
      <c r="N916" s="5"/>
    </row>
    <row r="917">
      <c r="E917" s="4"/>
      <c r="G917" s="5"/>
      <c r="H917" s="5"/>
      <c r="I917" s="5"/>
      <c r="K917" s="5"/>
      <c r="M917" s="5"/>
      <c r="N917" s="5"/>
    </row>
    <row r="918">
      <c r="E918" s="4"/>
      <c r="G918" s="5"/>
      <c r="H918" s="5"/>
      <c r="I918" s="5"/>
      <c r="K918" s="5"/>
      <c r="M918" s="5"/>
      <c r="N918" s="5"/>
    </row>
    <row r="919">
      <c r="E919" s="4"/>
      <c r="G919" s="5"/>
      <c r="H919" s="5"/>
      <c r="I919" s="5"/>
      <c r="K919" s="5"/>
      <c r="M919" s="5"/>
      <c r="N919" s="5"/>
    </row>
    <row r="920">
      <c r="E920" s="4"/>
      <c r="G920" s="5"/>
      <c r="H920" s="5"/>
      <c r="I920" s="5"/>
      <c r="K920" s="5"/>
      <c r="M920" s="5"/>
      <c r="N920" s="5"/>
    </row>
    <row r="921">
      <c r="E921" s="4"/>
      <c r="G921" s="5"/>
      <c r="H921" s="5"/>
      <c r="I921" s="5"/>
      <c r="K921" s="5"/>
      <c r="M921" s="5"/>
      <c r="N921" s="5"/>
    </row>
    <row r="922">
      <c r="E922" s="4"/>
      <c r="G922" s="5"/>
      <c r="H922" s="5"/>
      <c r="I922" s="5"/>
      <c r="K922" s="5"/>
      <c r="M922" s="5"/>
      <c r="N922" s="5"/>
    </row>
    <row r="923">
      <c r="E923" s="4"/>
      <c r="G923" s="5"/>
      <c r="H923" s="5"/>
      <c r="I923" s="5"/>
      <c r="K923" s="5"/>
      <c r="M923" s="5"/>
      <c r="N923" s="5"/>
    </row>
    <row r="924">
      <c r="E924" s="4"/>
      <c r="G924" s="5"/>
      <c r="H924" s="5"/>
      <c r="I924" s="5"/>
      <c r="K924" s="5"/>
      <c r="M924" s="5"/>
      <c r="N924" s="5"/>
    </row>
    <row r="925">
      <c r="E925" s="4"/>
      <c r="G925" s="5"/>
      <c r="H925" s="5"/>
      <c r="I925" s="5"/>
      <c r="K925" s="5"/>
      <c r="M925" s="5"/>
      <c r="N925" s="5"/>
    </row>
    <row r="926">
      <c r="E926" s="4"/>
      <c r="G926" s="5"/>
      <c r="H926" s="5"/>
      <c r="I926" s="5"/>
      <c r="K926" s="5"/>
      <c r="M926" s="5"/>
      <c r="N926" s="5"/>
    </row>
    <row r="927">
      <c r="E927" s="4"/>
      <c r="G927" s="5"/>
      <c r="H927" s="5"/>
      <c r="I927" s="5"/>
      <c r="K927" s="5"/>
      <c r="M927" s="5"/>
      <c r="N927" s="5"/>
    </row>
    <row r="928">
      <c r="E928" s="4"/>
      <c r="G928" s="5"/>
      <c r="H928" s="5"/>
      <c r="I928" s="5"/>
      <c r="K928" s="5"/>
      <c r="M928" s="5"/>
      <c r="N928" s="5"/>
    </row>
    <row r="929">
      <c r="E929" s="4"/>
      <c r="G929" s="5"/>
      <c r="H929" s="5"/>
      <c r="I929" s="5"/>
      <c r="K929" s="5"/>
      <c r="M929" s="5"/>
      <c r="N929" s="5"/>
    </row>
    <row r="930">
      <c r="E930" s="4"/>
      <c r="G930" s="5"/>
      <c r="H930" s="5"/>
      <c r="I930" s="5"/>
      <c r="K930" s="5"/>
      <c r="M930" s="5"/>
      <c r="N930" s="5"/>
    </row>
    <row r="931">
      <c r="E931" s="4"/>
      <c r="G931" s="5"/>
      <c r="H931" s="5"/>
      <c r="I931" s="5"/>
      <c r="K931" s="5"/>
      <c r="M931" s="5"/>
      <c r="N931" s="5"/>
    </row>
    <row r="932">
      <c r="E932" s="4"/>
      <c r="G932" s="5"/>
      <c r="H932" s="5"/>
      <c r="I932" s="5"/>
      <c r="K932" s="5"/>
      <c r="M932" s="5"/>
      <c r="N932" s="5"/>
    </row>
    <row r="933">
      <c r="E933" s="4"/>
      <c r="G933" s="5"/>
      <c r="H933" s="5"/>
      <c r="I933" s="5"/>
      <c r="K933" s="5"/>
      <c r="M933" s="5"/>
      <c r="N933" s="5"/>
    </row>
    <row r="934">
      <c r="E934" s="4"/>
      <c r="G934" s="5"/>
      <c r="H934" s="5"/>
      <c r="I934" s="5"/>
      <c r="K934" s="5"/>
      <c r="M934" s="5"/>
      <c r="N934" s="5"/>
    </row>
    <row r="935">
      <c r="E935" s="4"/>
      <c r="G935" s="5"/>
      <c r="H935" s="5"/>
      <c r="I935" s="5"/>
      <c r="K935" s="5"/>
      <c r="M935" s="5"/>
      <c r="N935" s="5"/>
    </row>
    <row r="936">
      <c r="E936" s="4"/>
      <c r="G936" s="5"/>
      <c r="H936" s="5"/>
      <c r="I936" s="5"/>
      <c r="K936" s="5"/>
      <c r="M936" s="5"/>
      <c r="N936" s="5"/>
    </row>
    <row r="937">
      <c r="E937" s="4"/>
      <c r="G937" s="5"/>
      <c r="H937" s="5"/>
      <c r="I937" s="5"/>
      <c r="K937" s="5"/>
      <c r="M937" s="5"/>
      <c r="N937" s="5"/>
    </row>
    <row r="938">
      <c r="E938" s="4"/>
      <c r="G938" s="5"/>
      <c r="H938" s="5"/>
      <c r="I938" s="5"/>
      <c r="K938" s="5"/>
      <c r="M938" s="5"/>
      <c r="N938" s="5"/>
    </row>
    <row r="939">
      <c r="E939" s="4"/>
      <c r="G939" s="5"/>
      <c r="H939" s="5"/>
      <c r="I939" s="5"/>
      <c r="K939" s="5"/>
      <c r="M939" s="5"/>
      <c r="N939" s="5"/>
    </row>
    <row r="940">
      <c r="E940" s="4"/>
      <c r="G940" s="5"/>
      <c r="H940" s="5"/>
      <c r="I940" s="5"/>
      <c r="K940" s="5"/>
      <c r="M940" s="5"/>
      <c r="N940" s="5"/>
    </row>
    <row r="941">
      <c r="E941" s="4"/>
      <c r="G941" s="5"/>
      <c r="H941" s="5"/>
      <c r="I941" s="5"/>
      <c r="K941" s="5"/>
      <c r="M941" s="5"/>
      <c r="N941" s="5"/>
    </row>
    <row r="942">
      <c r="E942" s="4"/>
      <c r="G942" s="5"/>
      <c r="H942" s="5"/>
      <c r="I942" s="5"/>
      <c r="K942" s="5"/>
      <c r="M942" s="5"/>
      <c r="N942" s="5"/>
    </row>
    <row r="943">
      <c r="E943" s="4"/>
      <c r="G943" s="5"/>
      <c r="H943" s="5"/>
      <c r="I943" s="5"/>
      <c r="K943" s="5"/>
      <c r="M943" s="5"/>
      <c r="N943" s="5"/>
    </row>
    <row r="944">
      <c r="E944" s="4"/>
      <c r="G944" s="5"/>
      <c r="H944" s="5"/>
      <c r="I944" s="5"/>
      <c r="K944" s="5"/>
      <c r="M944" s="5"/>
      <c r="N944" s="5"/>
    </row>
    <row r="945">
      <c r="E945" s="4"/>
      <c r="G945" s="5"/>
      <c r="H945" s="5"/>
      <c r="I945" s="5"/>
      <c r="K945" s="5"/>
      <c r="M945" s="5"/>
      <c r="N945" s="5"/>
    </row>
    <row r="946">
      <c r="E946" s="4"/>
      <c r="G946" s="5"/>
      <c r="H946" s="5"/>
      <c r="I946" s="5"/>
      <c r="K946" s="5"/>
      <c r="M946" s="5"/>
      <c r="N946" s="5"/>
    </row>
    <row r="947">
      <c r="E947" s="4"/>
      <c r="G947" s="5"/>
      <c r="H947" s="5"/>
      <c r="I947" s="5"/>
      <c r="K947" s="5"/>
      <c r="M947" s="5"/>
      <c r="N947" s="5"/>
    </row>
    <row r="948">
      <c r="E948" s="4"/>
      <c r="G948" s="5"/>
      <c r="H948" s="5"/>
      <c r="I948" s="5"/>
      <c r="K948" s="5"/>
      <c r="M948" s="5"/>
      <c r="N948" s="5"/>
    </row>
    <row r="949">
      <c r="E949" s="4"/>
      <c r="G949" s="5"/>
      <c r="H949" s="5"/>
      <c r="I949" s="5"/>
      <c r="K949" s="5"/>
      <c r="M949" s="5"/>
      <c r="N949" s="5"/>
    </row>
    <row r="950">
      <c r="E950" s="4"/>
      <c r="G950" s="5"/>
      <c r="H950" s="5"/>
      <c r="I950" s="5"/>
      <c r="K950" s="5"/>
      <c r="M950" s="5"/>
      <c r="N950" s="5"/>
    </row>
    <row r="951">
      <c r="E951" s="4"/>
      <c r="G951" s="5"/>
      <c r="H951" s="5"/>
      <c r="I951" s="5"/>
      <c r="K951" s="5"/>
      <c r="M951" s="5"/>
      <c r="N951" s="5"/>
    </row>
    <row r="952">
      <c r="E952" s="4"/>
      <c r="G952" s="5"/>
      <c r="H952" s="5"/>
      <c r="I952" s="5"/>
      <c r="K952" s="5"/>
      <c r="M952" s="5"/>
      <c r="N952" s="5"/>
    </row>
    <row r="953">
      <c r="E953" s="4"/>
      <c r="G953" s="5"/>
      <c r="H953" s="5"/>
      <c r="I953" s="5"/>
      <c r="K953" s="5"/>
      <c r="M953" s="5"/>
      <c r="N953" s="5"/>
    </row>
    <row r="954">
      <c r="E954" s="4"/>
      <c r="G954" s="5"/>
      <c r="H954" s="5"/>
      <c r="I954" s="5"/>
      <c r="K954" s="5"/>
      <c r="M954" s="5"/>
      <c r="N954" s="5"/>
    </row>
    <row r="955">
      <c r="E955" s="4"/>
      <c r="G955" s="5"/>
      <c r="H955" s="5"/>
      <c r="I955" s="5"/>
      <c r="K955" s="5"/>
      <c r="M955" s="5"/>
      <c r="N955" s="5"/>
    </row>
    <row r="956">
      <c r="E956" s="4"/>
      <c r="G956" s="5"/>
      <c r="H956" s="5"/>
      <c r="I956" s="5"/>
      <c r="K956" s="5"/>
      <c r="M956" s="5"/>
      <c r="N956" s="5"/>
    </row>
    <row r="957">
      <c r="E957" s="4"/>
      <c r="G957" s="5"/>
      <c r="H957" s="5"/>
      <c r="I957" s="5"/>
      <c r="K957" s="5"/>
      <c r="M957" s="5"/>
      <c r="N957" s="5"/>
    </row>
    <row r="958">
      <c r="E958" s="4"/>
      <c r="G958" s="5"/>
      <c r="H958" s="5"/>
      <c r="I958" s="5"/>
      <c r="K958" s="5"/>
      <c r="M958" s="5"/>
      <c r="N958" s="5"/>
    </row>
    <row r="959">
      <c r="E959" s="4"/>
      <c r="G959" s="5"/>
      <c r="H959" s="5"/>
      <c r="I959" s="5"/>
      <c r="K959" s="5"/>
      <c r="M959" s="5"/>
      <c r="N959" s="5"/>
    </row>
    <row r="960">
      <c r="E960" s="4"/>
      <c r="G960" s="5"/>
      <c r="H960" s="5"/>
      <c r="I960" s="5"/>
      <c r="K960" s="5"/>
      <c r="M960" s="5"/>
      <c r="N960" s="5"/>
    </row>
    <row r="961">
      <c r="E961" s="4"/>
      <c r="G961" s="5"/>
      <c r="H961" s="5"/>
      <c r="I961" s="5"/>
      <c r="K961" s="5"/>
      <c r="M961" s="5"/>
      <c r="N961" s="5"/>
    </row>
    <row r="962">
      <c r="E962" s="4"/>
      <c r="G962" s="5"/>
      <c r="H962" s="5"/>
      <c r="I962" s="5"/>
      <c r="K962" s="5"/>
      <c r="M962" s="5"/>
      <c r="N962" s="5"/>
    </row>
    <row r="963">
      <c r="E963" s="4"/>
      <c r="G963" s="5"/>
      <c r="H963" s="5"/>
      <c r="I963" s="5"/>
      <c r="K963" s="5"/>
      <c r="M963" s="5"/>
      <c r="N963" s="5"/>
    </row>
    <row r="964">
      <c r="E964" s="4"/>
      <c r="G964" s="5"/>
      <c r="H964" s="5"/>
      <c r="I964" s="5"/>
      <c r="K964" s="5"/>
      <c r="M964" s="5"/>
      <c r="N964" s="5"/>
    </row>
    <row r="965">
      <c r="E965" s="4"/>
      <c r="G965" s="5"/>
      <c r="H965" s="5"/>
      <c r="I965" s="5"/>
      <c r="K965" s="5"/>
      <c r="M965" s="5"/>
      <c r="N965" s="5"/>
    </row>
    <row r="966">
      <c r="E966" s="4"/>
      <c r="G966" s="5"/>
      <c r="H966" s="5"/>
      <c r="I966" s="5"/>
      <c r="K966" s="5"/>
      <c r="M966" s="5"/>
      <c r="N966" s="5"/>
    </row>
    <row r="967">
      <c r="E967" s="4"/>
      <c r="G967" s="5"/>
      <c r="H967" s="5"/>
      <c r="I967" s="5"/>
      <c r="K967" s="5"/>
      <c r="M967" s="5"/>
      <c r="N967" s="5"/>
    </row>
    <row r="968">
      <c r="E968" s="4"/>
      <c r="G968" s="5"/>
      <c r="H968" s="5"/>
      <c r="I968" s="5"/>
      <c r="K968" s="5"/>
      <c r="M968" s="5"/>
      <c r="N968" s="5"/>
    </row>
    <row r="969">
      <c r="E969" s="4"/>
      <c r="G969" s="5"/>
      <c r="H969" s="5"/>
      <c r="I969" s="5"/>
      <c r="K969" s="5"/>
      <c r="M969" s="5"/>
      <c r="N969" s="5"/>
    </row>
    <row r="970">
      <c r="E970" s="4"/>
      <c r="G970" s="5"/>
      <c r="H970" s="5"/>
      <c r="I970" s="5"/>
      <c r="K970" s="5"/>
      <c r="M970" s="5"/>
      <c r="N970" s="5"/>
    </row>
    <row r="971">
      <c r="E971" s="4"/>
      <c r="G971" s="5"/>
      <c r="H971" s="5"/>
      <c r="I971" s="5"/>
      <c r="K971" s="5"/>
      <c r="M971" s="5"/>
      <c r="N971" s="5"/>
    </row>
    <row r="972">
      <c r="E972" s="4"/>
      <c r="G972" s="5"/>
      <c r="H972" s="5"/>
      <c r="I972" s="5"/>
      <c r="K972" s="5"/>
      <c r="M972" s="5"/>
      <c r="N972" s="5"/>
    </row>
    <row r="973">
      <c r="E973" s="4"/>
      <c r="G973" s="5"/>
      <c r="H973" s="5"/>
      <c r="I973" s="5"/>
      <c r="K973" s="5"/>
      <c r="M973" s="5"/>
      <c r="N973" s="5"/>
    </row>
    <row r="974">
      <c r="E974" s="4"/>
      <c r="G974" s="5"/>
      <c r="H974" s="5"/>
      <c r="I974" s="5"/>
      <c r="K974" s="5"/>
      <c r="M974" s="5"/>
      <c r="N974" s="5"/>
    </row>
    <row r="975">
      <c r="E975" s="4"/>
      <c r="G975" s="5"/>
      <c r="H975" s="5"/>
      <c r="I975" s="5"/>
      <c r="K975" s="5"/>
      <c r="M975" s="5"/>
      <c r="N975" s="5"/>
    </row>
    <row r="976">
      <c r="E976" s="4"/>
      <c r="G976" s="5"/>
      <c r="H976" s="5"/>
      <c r="I976" s="5"/>
      <c r="K976" s="5"/>
      <c r="M976" s="5"/>
      <c r="N976" s="5"/>
    </row>
    <row r="977">
      <c r="E977" s="4"/>
      <c r="G977" s="5"/>
      <c r="H977" s="5"/>
      <c r="I977" s="5"/>
      <c r="K977" s="5"/>
      <c r="M977" s="5"/>
      <c r="N977" s="5"/>
    </row>
    <row r="978">
      <c r="E978" s="4"/>
      <c r="G978" s="5"/>
      <c r="H978" s="5"/>
      <c r="I978" s="5"/>
      <c r="K978" s="5"/>
      <c r="M978" s="5"/>
      <c r="N978" s="5"/>
    </row>
    <row r="979">
      <c r="E979" s="4"/>
      <c r="G979" s="5"/>
      <c r="H979" s="5"/>
      <c r="I979" s="5"/>
      <c r="K979" s="5"/>
      <c r="M979" s="5"/>
      <c r="N979" s="5"/>
    </row>
    <row r="980">
      <c r="E980" s="4"/>
      <c r="G980" s="5"/>
      <c r="H980" s="5"/>
      <c r="I980" s="5"/>
      <c r="K980" s="5"/>
      <c r="M980" s="5"/>
      <c r="N980" s="5"/>
    </row>
    <row r="981">
      <c r="E981" s="4"/>
      <c r="G981" s="5"/>
      <c r="H981" s="5"/>
      <c r="I981" s="5"/>
      <c r="K981" s="5"/>
      <c r="M981" s="5"/>
      <c r="N981" s="5"/>
    </row>
    <row r="982">
      <c r="E982" s="4"/>
      <c r="G982" s="5"/>
      <c r="H982" s="5"/>
      <c r="I982" s="5"/>
      <c r="K982" s="5"/>
      <c r="M982" s="5"/>
      <c r="N982" s="5"/>
    </row>
    <row r="983">
      <c r="E983" s="4"/>
      <c r="G983" s="5"/>
      <c r="H983" s="5"/>
      <c r="I983" s="5"/>
      <c r="K983" s="5"/>
      <c r="M983" s="5"/>
      <c r="N983" s="5"/>
    </row>
    <row r="984">
      <c r="E984" s="4"/>
      <c r="G984" s="5"/>
      <c r="H984" s="5"/>
      <c r="I984" s="5"/>
      <c r="K984" s="5"/>
      <c r="M984" s="5"/>
      <c r="N984" s="5"/>
    </row>
    <row r="985">
      <c r="E985" s="4"/>
      <c r="G985" s="5"/>
      <c r="H985" s="5"/>
      <c r="I985" s="5"/>
      <c r="K985" s="5"/>
      <c r="M985" s="5"/>
      <c r="N985" s="5"/>
    </row>
    <row r="986">
      <c r="E986" s="4"/>
      <c r="G986" s="5"/>
      <c r="H986" s="5"/>
      <c r="I986" s="5"/>
      <c r="K986" s="5"/>
      <c r="M986" s="5"/>
      <c r="N986" s="5"/>
    </row>
    <row r="987">
      <c r="E987" s="4"/>
      <c r="G987" s="5"/>
      <c r="H987" s="5"/>
      <c r="I987" s="5"/>
      <c r="K987" s="5"/>
      <c r="M987" s="5"/>
      <c r="N987" s="5"/>
    </row>
    <row r="988">
      <c r="E988" s="4"/>
      <c r="G988" s="5"/>
      <c r="H988" s="5"/>
      <c r="I988" s="5"/>
      <c r="K988" s="5"/>
      <c r="M988" s="5"/>
      <c r="N988" s="5"/>
    </row>
    <row r="989">
      <c r="E989" s="4"/>
      <c r="G989" s="5"/>
      <c r="H989" s="5"/>
      <c r="I989" s="5"/>
      <c r="K989" s="5"/>
      <c r="M989" s="5"/>
      <c r="N989" s="5"/>
    </row>
    <row r="990">
      <c r="E990" s="4"/>
      <c r="G990" s="5"/>
      <c r="H990" s="5"/>
      <c r="I990" s="5"/>
      <c r="K990" s="5"/>
      <c r="M990" s="5"/>
      <c r="N990" s="5"/>
    </row>
    <row r="991">
      <c r="E991" s="4"/>
      <c r="G991" s="5"/>
      <c r="H991" s="5"/>
      <c r="I991" s="5"/>
      <c r="K991" s="5"/>
      <c r="M991" s="5"/>
      <c r="N991" s="5"/>
    </row>
    <row r="992">
      <c r="E992" s="4"/>
      <c r="G992" s="5"/>
      <c r="H992" s="5"/>
      <c r="I992" s="5"/>
      <c r="K992" s="5"/>
      <c r="M992" s="5"/>
      <c r="N992" s="5"/>
    </row>
    <row r="993">
      <c r="E993" s="4"/>
      <c r="G993" s="5"/>
      <c r="H993" s="5"/>
      <c r="I993" s="5"/>
      <c r="K993" s="5"/>
      <c r="M993" s="5"/>
      <c r="N993" s="5"/>
    </row>
    <row r="994">
      <c r="E994" s="4"/>
      <c r="G994" s="5"/>
      <c r="H994" s="5"/>
      <c r="I994" s="5"/>
      <c r="K994" s="5"/>
      <c r="M994" s="5"/>
      <c r="N994" s="5"/>
    </row>
    <row r="995">
      <c r="E995" s="4"/>
      <c r="G995" s="5"/>
      <c r="H995" s="5"/>
      <c r="I995" s="5"/>
      <c r="K995" s="5"/>
      <c r="M995" s="5"/>
      <c r="N995" s="5"/>
    </row>
    <row r="996">
      <c r="E996" s="4"/>
      <c r="G996" s="5"/>
      <c r="H996" s="5"/>
      <c r="I996" s="5"/>
      <c r="K996" s="5"/>
      <c r="M996" s="5"/>
      <c r="N996" s="5"/>
    </row>
    <row r="997">
      <c r="E997" s="4"/>
      <c r="G997" s="5"/>
      <c r="H997" s="5"/>
      <c r="I997" s="5"/>
      <c r="K997" s="5"/>
      <c r="M997" s="5"/>
      <c r="N997" s="5"/>
    </row>
    <row r="998">
      <c r="E998" s="4"/>
      <c r="G998" s="5"/>
      <c r="H998" s="5"/>
      <c r="I998" s="5"/>
      <c r="K998" s="5"/>
      <c r="M998" s="5"/>
      <c r="N998" s="5"/>
    </row>
    <row r="999">
      <c r="E999" s="4"/>
      <c r="G999" s="5"/>
      <c r="H999" s="5"/>
      <c r="I999" s="5"/>
      <c r="K999" s="5"/>
      <c r="M999" s="5"/>
      <c r="N999" s="5"/>
    </row>
    <row r="1000">
      <c r="E1000" s="4"/>
      <c r="G1000" s="5"/>
      <c r="H1000" s="5"/>
      <c r="I1000" s="5"/>
      <c r="K1000" s="5"/>
      <c r="M1000" s="5"/>
      <c r="N1000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13"/>
    <col customWidth="1" min="9" max="9" width="15.63"/>
    <col customWidth="1" min="10" max="10" width="16.0"/>
    <col customWidth="1" min="14" max="14" width="17.38"/>
    <col customWidth="1" min="15" max="15" width="18.5"/>
    <col customWidth="1" min="17" max="17" width="23.75"/>
  </cols>
  <sheetData>
    <row r="1">
      <c r="A1" s="9" t="s">
        <v>20</v>
      </c>
      <c r="B1" s="9" t="s">
        <v>21</v>
      </c>
      <c r="C1" s="9" t="s">
        <v>0</v>
      </c>
      <c r="D1" s="9" t="s">
        <v>17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28</v>
      </c>
      <c r="L1" s="9" t="s">
        <v>29</v>
      </c>
      <c r="M1" s="9" t="s">
        <v>30</v>
      </c>
      <c r="N1" s="9" t="s">
        <v>31</v>
      </c>
      <c r="O1" s="9" t="s">
        <v>32</v>
      </c>
      <c r="P1" s="9" t="s">
        <v>33</v>
      </c>
      <c r="Q1" s="9" t="s">
        <v>34</v>
      </c>
    </row>
    <row r="2">
      <c r="A2" s="3" t="str">
        <f>IFERROR(__xludf.DUMMYFUNCTION("FILTER(
  {Raw!A2:A11000, Raw!B2:B11000, Raw!L2:L11000, Raw!J2:J11000, Raw!K2:K11000, Raw!I2:I11000, Raw!F2:F11000},
  Raw!A2:A11000&lt;&gt;""""
)"),"1Ox0HuDmkOY5o4pZSVVvwXh5hMzsxAnye")</f>
        <v>1Ox0HuDmkOY5o4pZSVVvwXh5hMzsxAnye</v>
      </c>
      <c r="B2" s="13">
        <f>IFERROR(__xludf.DUMMYFUNCTION("""COMPUTED_VALUE"""),45976.0)</f>
        <v>45976</v>
      </c>
      <c r="C2" s="3" t="str">
        <f>IFERROR(__xludf.DUMMYFUNCTION("""COMPUTED_VALUE"""),"Malena")</f>
        <v>Malena</v>
      </c>
      <c r="D2" s="3" t="str">
        <f>IFERROR(__xludf.DUMMYFUNCTION("""COMPUTED_VALUE"""),"Kesny + Malena")</f>
        <v>Kesny + Malena</v>
      </c>
      <c r="E2" s="3" t="str">
        <f>IFERROR(__xludf.DUMMYFUNCTION("""COMPUTED_VALUE"""),"Nebus. + ZeroO")</f>
        <v>Nebus. + ZeroO</v>
      </c>
      <c r="F2" s="3" t="str">
        <f>IFERROR(__xludf.DUMMYFUNCTION("""COMPUTED_VALUE"""),"win")</f>
        <v>win</v>
      </c>
      <c r="G2" s="3" t="str">
        <f>IFERROR(__xludf.DUMMYFUNCTION("""COMPUTED_VALUE"""),"2v2")</f>
        <v>2v2</v>
      </c>
      <c r="H2" s="3" t="str">
        <f>IFERROR(__xludf.DUMMYFUNCTION("IFERROR(TRIM(INDEX(SPLIT(E2,"" + ""),1)),"""")"),"Nebus.")</f>
        <v>Nebus.</v>
      </c>
      <c r="I2" s="3" t="str">
        <f>IFERROR(__xludf.DUMMYFUNCTION("IFERROR(TRIM(INDEX(SPLIT(E2,"" + ""),2)),"""")"),"ZeroO")</f>
        <v>ZeroO</v>
      </c>
      <c r="J2" s="5" t="str">
        <f>IFERROR(__xludf.DUMMYFUNCTION("IFERROR(TRIM(INDEX(SPLIT(E2,"" + ""),3)),"""")"),"")</f>
        <v/>
      </c>
      <c r="K2" s="3">
        <f>IFERROR(__xludf.DUMMYFUNCTION("IFERROR(IF(H2="""",0,INDEX(FILTER($Q1:Q$2,$C1:C$2=H2,$G1:G$2=G2),ROWS(FILTER($Q1:Q$2,$C1:C$2=H2,$G1:G$2=G2)),1)),1500)"),1500.0)</f>
        <v>1500</v>
      </c>
      <c r="L2" s="3">
        <f>IFERROR(__xludf.DUMMYFUNCTION("IFERROR(IF(I2="""",0,INDEX(FILTER($Q1:Q$2,$C1:C$2=I2,$G1:G$2=G2),ROWS(FILTER($Q1:Q$2,$C1:C$2=I2,$G1:G$2=G2)),1)),1500)"),1500.0)</f>
        <v>1500</v>
      </c>
      <c r="M2" s="3">
        <f>IFERROR(__xludf.DUMMYFUNCTION("IFERROR(IF(J2="""",0,INDEX(FILTER($Q1:Q$2,$C1:C$2=J2,$G1:G$2=G2),ROWS(FILTER($Q1:Q$2,$C1:C$2=J2,$G1:G$2=G2)),1)),1500)"),0.0)</f>
        <v>0</v>
      </c>
      <c r="N2" s="9">
        <v>1500.0</v>
      </c>
      <c r="O2" s="9">
        <v>1500.0</v>
      </c>
      <c r="P2" s="9">
        <f t="shared" ref="P2:P1000" si="1">ROUND(32*(IF(F2="win",1,0)-1/(1+10^((O2-N2)/400))),0)</f>
        <v>16</v>
      </c>
      <c r="Q2" s="5">
        <f t="shared" ref="Q2:Q1000" si="2">N2+P2</f>
        <v>1516</v>
      </c>
    </row>
    <row r="3">
      <c r="A3" s="3" t="str">
        <f>IFERROR(__xludf.DUMMYFUNCTION("""COMPUTED_VALUE"""),"1Ox0HuDmkOY5o4pZSVVvwXh5hMzsxAnye")</f>
        <v>1Ox0HuDmkOY5o4pZSVVvwXh5hMzsxAnye</v>
      </c>
      <c r="B3" s="13">
        <f>IFERROR(__xludf.DUMMYFUNCTION("""COMPUTED_VALUE"""),45976.0)</f>
        <v>45976</v>
      </c>
      <c r="C3" s="3" t="str">
        <f>IFERROR(__xludf.DUMMYFUNCTION("""COMPUTED_VALUE"""),"Kesny")</f>
        <v>Kesny</v>
      </c>
      <c r="D3" s="3" t="str">
        <f>IFERROR(__xludf.DUMMYFUNCTION("""COMPUTED_VALUE"""),"Kesny + Malena")</f>
        <v>Kesny + Malena</v>
      </c>
      <c r="E3" s="3" t="str">
        <f>IFERROR(__xludf.DUMMYFUNCTION("""COMPUTED_VALUE"""),"Nebus. + ZeroO")</f>
        <v>Nebus. + ZeroO</v>
      </c>
      <c r="F3" s="3" t="str">
        <f>IFERROR(__xludf.DUMMYFUNCTION("""COMPUTED_VALUE"""),"win")</f>
        <v>win</v>
      </c>
      <c r="G3" s="3" t="str">
        <f>IFERROR(__xludf.DUMMYFUNCTION("""COMPUTED_VALUE"""),"2v2")</f>
        <v>2v2</v>
      </c>
      <c r="H3" s="3" t="str">
        <f>IFERROR(__xludf.DUMMYFUNCTION("IFERROR(TRIM(INDEX(SPLIT(E3,"" + ""),1)),"""")"),"Nebus.")</f>
        <v>Nebus.</v>
      </c>
      <c r="I3" s="3" t="str">
        <f>IFERROR(__xludf.DUMMYFUNCTION("IFERROR(TRIM(INDEX(SPLIT(E3,"" + ""),2)),"""")"),"ZeroO")</f>
        <v>ZeroO</v>
      </c>
      <c r="J3" s="5" t="str">
        <f>IFERROR(__xludf.DUMMYFUNCTION("IFERROR(TRIM(INDEX(SPLIT(E3,"" + ""),3)),"""")"),"")</f>
        <v/>
      </c>
      <c r="K3" s="3">
        <f>IFERROR(__xludf.DUMMYFUNCTION("IFERROR(IF(H3="""",0,INDEX(FILTER($Q2:Q$2,$C2:C$2=H3,$G2:G$2=G3),ROWS(FILTER($Q2:Q$2,$C2:C$2=H3,$G2:G$2=G3)),1)),1500)"),1500.0)</f>
        <v>1500</v>
      </c>
      <c r="L3" s="3">
        <f>IFERROR(__xludf.DUMMYFUNCTION("IFERROR(IF(I3="""",0,INDEX(FILTER($Q2:Q$2,$C2:C$2=I3,$G2:G$2=G3),ROWS(FILTER($Q2:Q$2,$C2:C$2=I3,$G2:G$2=G3)),1)),1500)"),1500.0)</f>
        <v>1500</v>
      </c>
      <c r="M3" s="3">
        <f>IFERROR(__xludf.DUMMYFUNCTION("IFERROR(IF(J3="""",0,INDEX(FILTER($Q2:Q$2,$C2:C$2=J3,$G2:G$2=G3),ROWS(FILTER($Q2:Q$2,$C2:C$2=J3,$G2:G$2=G3)),1)),1500)"),0.0)</f>
        <v>0</v>
      </c>
      <c r="N3" s="3">
        <f>IFERROR(__xludf.DUMMYFUNCTION("IFERROR(INDEX(FILTER($Q$2:Q2,$C$2:C2=C3,$G$2:G2=G3),ROWS(FILTER($Q$2:Q2,$C$2:C2=C3,$G$2:G2=G3)),1),1500)"),1500.0)</f>
        <v>1500</v>
      </c>
      <c r="O3" s="3">
        <f t="shared" ref="O3:O1000" si="3">IF(M3&gt;0,(K3+L3+M3)/3,IF(L3&gt;0,(K3+L3)/2,K3))</f>
        <v>1500</v>
      </c>
      <c r="P3" s="9">
        <f t="shared" si="1"/>
        <v>16</v>
      </c>
      <c r="Q3" s="5">
        <f t="shared" si="2"/>
        <v>1516</v>
      </c>
    </row>
    <row r="4">
      <c r="A4" s="3" t="str">
        <f>IFERROR(__xludf.DUMMYFUNCTION("""COMPUTED_VALUE"""),"1Ox0HuDmkOY5o4pZSVVvwXh5hMzsxAnye")</f>
        <v>1Ox0HuDmkOY5o4pZSVVvwXh5hMzsxAnye</v>
      </c>
      <c r="B4" s="13">
        <f>IFERROR(__xludf.DUMMYFUNCTION("""COMPUTED_VALUE"""),45976.0)</f>
        <v>45976</v>
      </c>
      <c r="C4" s="3" t="str">
        <f>IFERROR(__xludf.DUMMYFUNCTION("""COMPUTED_VALUE"""),"Nebus.")</f>
        <v>Nebus.</v>
      </c>
      <c r="D4" s="3" t="str">
        <f>IFERROR(__xludf.DUMMYFUNCTION("""COMPUTED_VALUE"""),"Nebus. + ZeroO")</f>
        <v>Nebus. + ZeroO</v>
      </c>
      <c r="E4" s="3" t="str">
        <f>IFERROR(__xludf.DUMMYFUNCTION("""COMPUTED_VALUE"""),"Kesny + Malena")</f>
        <v>Kesny + Malena</v>
      </c>
      <c r="F4" s="3" t="str">
        <f>IFERROR(__xludf.DUMMYFUNCTION("""COMPUTED_VALUE"""),"loss")</f>
        <v>loss</v>
      </c>
      <c r="G4" s="3" t="str">
        <f>IFERROR(__xludf.DUMMYFUNCTION("""COMPUTED_VALUE"""),"2v2")</f>
        <v>2v2</v>
      </c>
      <c r="H4" s="3" t="str">
        <f>IFERROR(__xludf.DUMMYFUNCTION("IFERROR(TRIM(INDEX(SPLIT(E4,"" + ""),1)),"""")"),"Kesny")</f>
        <v>Kesny</v>
      </c>
      <c r="I4" s="3" t="str">
        <f>IFERROR(__xludf.DUMMYFUNCTION("IFERROR(TRIM(INDEX(SPLIT(E4,"" + ""),2)),"""")"),"Malena")</f>
        <v>Malena</v>
      </c>
      <c r="J4" s="5" t="str">
        <f>IFERROR(__xludf.DUMMYFUNCTION("IFERROR(TRIM(INDEX(SPLIT(E4,"" + ""),3)),"""")"),"")</f>
        <v/>
      </c>
      <c r="K4" s="3">
        <f>IFERROR(__xludf.DUMMYFUNCTION("IFERROR(IF(H4="""",0,INDEX(FILTER($Q$2:Q3,$C$2:C3=H4,$G$2:G3=G4),ROWS(FILTER($Q$2:Q3,$C$2:C3=H4,$G$2:G3=G4)),1)),1500)"),1516.0)</f>
        <v>1516</v>
      </c>
      <c r="L4" s="3">
        <f>IFERROR(__xludf.DUMMYFUNCTION("IFERROR(IF(I4="""",0,INDEX(FILTER($Q$2:Q3,$C$2:C3=I4,$G$2:G3=G4),ROWS(FILTER($Q$2:Q3,$C$2:C3=I4,$G$2:G3=G4)),1)),1500)"),1516.0)</f>
        <v>1516</v>
      </c>
      <c r="M4" s="3">
        <f>IFERROR(__xludf.DUMMYFUNCTION("IFERROR(IF(J4="""",0,INDEX(FILTER($Q$2:Q3,$C$2:C3=J4,$G$2:G3=G4),ROWS(FILTER($Q$2:Q3,$C$2:C3=J4,$G$2:G3=G4)),1)),1500)"),0.0)</f>
        <v>0</v>
      </c>
      <c r="N4" s="3">
        <f>IFERROR(__xludf.DUMMYFUNCTION("IFERROR(INDEX(FILTER($Q$2:Q3,$C$2:C3=C4,$G$2:G3=G4),ROWS(FILTER($Q$2:Q3,$C$2:C3=C4,$G$2:G3=G4)),1),1500)"),1500.0)</f>
        <v>1500</v>
      </c>
      <c r="O4" s="3">
        <f t="shared" si="3"/>
        <v>1516</v>
      </c>
      <c r="P4" s="9">
        <f t="shared" si="1"/>
        <v>-15</v>
      </c>
      <c r="Q4" s="5">
        <f t="shared" si="2"/>
        <v>1485</v>
      </c>
    </row>
    <row r="5">
      <c r="A5" s="3" t="str">
        <f>IFERROR(__xludf.DUMMYFUNCTION("""COMPUTED_VALUE"""),"1Ox0HuDmkOY5o4pZSVVvwXh5hMzsxAnye")</f>
        <v>1Ox0HuDmkOY5o4pZSVVvwXh5hMzsxAnye</v>
      </c>
      <c r="B5" s="13">
        <f>IFERROR(__xludf.DUMMYFUNCTION("""COMPUTED_VALUE"""),45976.0)</f>
        <v>45976</v>
      </c>
      <c r="C5" s="3" t="str">
        <f>IFERROR(__xludf.DUMMYFUNCTION("""COMPUTED_VALUE"""),"ZeroO")</f>
        <v>ZeroO</v>
      </c>
      <c r="D5" s="3" t="str">
        <f>IFERROR(__xludf.DUMMYFUNCTION("""COMPUTED_VALUE"""),"Nebus. + ZeroO")</f>
        <v>Nebus. + ZeroO</v>
      </c>
      <c r="E5" s="3" t="str">
        <f>IFERROR(__xludf.DUMMYFUNCTION("""COMPUTED_VALUE"""),"Kesny + Malena")</f>
        <v>Kesny + Malena</v>
      </c>
      <c r="F5" s="3" t="str">
        <f>IFERROR(__xludf.DUMMYFUNCTION("""COMPUTED_VALUE"""),"loss")</f>
        <v>loss</v>
      </c>
      <c r="G5" s="3" t="str">
        <f>IFERROR(__xludf.DUMMYFUNCTION("""COMPUTED_VALUE"""),"2v2")</f>
        <v>2v2</v>
      </c>
      <c r="H5" s="3" t="str">
        <f>IFERROR(__xludf.DUMMYFUNCTION("IFERROR(TRIM(INDEX(SPLIT(E5,"" + ""),1)),"""")"),"Kesny")</f>
        <v>Kesny</v>
      </c>
      <c r="I5" s="3" t="str">
        <f>IFERROR(__xludf.DUMMYFUNCTION("IFERROR(TRIM(INDEX(SPLIT(E5,"" + ""),2)),"""")"),"Malena")</f>
        <v>Malena</v>
      </c>
      <c r="J5" s="5" t="str">
        <f>IFERROR(__xludf.DUMMYFUNCTION("IFERROR(TRIM(INDEX(SPLIT(E5,"" + ""),3)),"""")"),"")</f>
        <v/>
      </c>
      <c r="K5" s="3">
        <f>IFERROR(__xludf.DUMMYFUNCTION("IFERROR(IF(H5="""",0,INDEX(FILTER($Q$2:Q4,$C$2:C4=H5,$G$2:G4=G5),ROWS(FILTER($Q$2:Q4,$C$2:C4=H5,$G$2:G4=G5)),1)),1500)"),1516.0)</f>
        <v>1516</v>
      </c>
      <c r="L5" s="3">
        <f>IFERROR(__xludf.DUMMYFUNCTION("IFERROR(IF(I5="""",0,INDEX(FILTER($Q$2:Q4,$C$2:C4=I5,$G$2:G4=G5),ROWS(FILTER($Q$2:Q4,$C$2:C4=I5,$G$2:G4=G5)),1)),1500)"),1516.0)</f>
        <v>1516</v>
      </c>
      <c r="M5" s="3">
        <f>IFERROR(__xludf.DUMMYFUNCTION("IFERROR(IF(J5="""",0,INDEX(FILTER($Q$2:Q4,$C$2:C4=J5,$G$2:G4=G5),ROWS(FILTER($Q$2:Q4,$C$2:C4=J5,$G$2:G4=G5)),1)),1500)"),0.0)</f>
        <v>0</v>
      </c>
      <c r="N5" s="3">
        <f>IFERROR(__xludf.DUMMYFUNCTION("IFERROR(INDEX(FILTER($Q$2:Q4,$C$2:C4=C5,$G$2:G4=G5),ROWS(FILTER($Q$2:Q4,$C$2:C4=C5,$G$2:G4=G5)),1),1500)"),1500.0)</f>
        <v>1500</v>
      </c>
      <c r="O5" s="3">
        <f t="shared" si="3"/>
        <v>1516</v>
      </c>
      <c r="P5" s="9">
        <f t="shared" si="1"/>
        <v>-15</v>
      </c>
      <c r="Q5" s="5">
        <f t="shared" si="2"/>
        <v>1485</v>
      </c>
    </row>
    <row r="6">
      <c r="A6" s="3" t="str">
        <f>IFERROR(__xludf.DUMMYFUNCTION("""COMPUTED_VALUE"""),"1NJa30Ghn91d9GVsm99NjFnW5TNyJJPKv")</f>
        <v>1NJa30Ghn91d9GVsm99NjFnW5TNyJJPKv</v>
      </c>
      <c r="B6" s="13">
        <f>IFERROR(__xludf.DUMMYFUNCTION("""COMPUTED_VALUE"""),45976.0)</f>
        <v>45976</v>
      </c>
      <c r="C6" s="3" t="str">
        <f>IFERROR(__xludf.DUMMYFUNCTION("""COMPUTED_VALUE"""),"Malena")</f>
        <v>Malena</v>
      </c>
      <c r="D6" s="3" t="str">
        <f>IFERROR(__xludf.DUMMYFUNCTION("""COMPUTED_VALUE"""),"Kesny + Malena")</f>
        <v>Kesny + Malena</v>
      </c>
      <c r="E6" s="3" t="str">
        <f>IFERROR(__xludf.DUMMYFUNCTION("""COMPUTED_VALUE"""),"Nebus. + ZeroO")</f>
        <v>Nebus. + ZeroO</v>
      </c>
      <c r="F6" s="3" t="str">
        <f>IFERROR(__xludf.DUMMYFUNCTION("""COMPUTED_VALUE"""),"loss")</f>
        <v>loss</v>
      </c>
      <c r="G6" s="3" t="str">
        <f>IFERROR(__xludf.DUMMYFUNCTION("""COMPUTED_VALUE"""),"2v2")</f>
        <v>2v2</v>
      </c>
      <c r="H6" s="3" t="str">
        <f>IFERROR(__xludf.DUMMYFUNCTION("IFERROR(TRIM(INDEX(SPLIT(E6,"" + ""),1)),"""")"),"Nebus.")</f>
        <v>Nebus.</v>
      </c>
      <c r="I6" s="3" t="str">
        <f>IFERROR(__xludf.DUMMYFUNCTION("IFERROR(TRIM(INDEX(SPLIT(E6,"" + ""),2)),"""")"),"ZeroO")</f>
        <v>ZeroO</v>
      </c>
      <c r="J6" s="5" t="str">
        <f>IFERROR(__xludf.DUMMYFUNCTION("IFERROR(TRIM(INDEX(SPLIT(E6,"" + ""),3)),"""")"),"")</f>
        <v/>
      </c>
      <c r="K6" s="3">
        <f>IFERROR(__xludf.DUMMYFUNCTION("IFERROR(IF(H6="""",0,INDEX(FILTER($Q$2:Q5,$C$2:C5=H6,$G$2:G5=G6),ROWS(FILTER($Q$2:Q5,$C$2:C5=H6,$G$2:G5=G6)),1)),1500)"),1485.0)</f>
        <v>1485</v>
      </c>
      <c r="L6" s="3">
        <f>IFERROR(__xludf.DUMMYFUNCTION("IFERROR(IF(I6="""",0,INDEX(FILTER($Q$2:Q5,$C$2:C5=I6,$G$2:G5=G6),ROWS(FILTER($Q$2:Q5,$C$2:C5=I6,$G$2:G5=G6)),1)),1500)"),1485.0)</f>
        <v>1485</v>
      </c>
      <c r="M6" s="3">
        <f>IFERROR(__xludf.DUMMYFUNCTION("IFERROR(IF(J6="""",0,INDEX(FILTER($Q$2:Q5,$C$2:C5=J6,$G$2:G5=G6),ROWS(FILTER($Q$2:Q5,$C$2:C5=J6,$G$2:G5=G6)),1)),1500)"),0.0)</f>
        <v>0</v>
      </c>
      <c r="N6" s="3">
        <f>IFERROR(__xludf.DUMMYFUNCTION("IFERROR(INDEX(FILTER($Q$2:Q5,$C$2:C5=C6,$G$2:G5=G6),ROWS(FILTER($Q$2:Q5,$C$2:C5=C6,$G$2:G5=G6)),1),1500)"),1516.0)</f>
        <v>1516</v>
      </c>
      <c r="O6" s="3">
        <f t="shared" si="3"/>
        <v>1485</v>
      </c>
      <c r="P6" s="9">
        <f t="shared" si="1"/>
        <v>-17</v>
      </c>
      <c r="Q6" s="5">
        <f t="shared" si="2"/>
        <v>1499</v>
      </c>
    </row>
    <row r="7">
      <c r="A7" s="3" t="str">
        <f>IFERROR(__xludf.DUMMYFUNCTION("""COMPUTED_VALUE"""),"1NJa30Ghn91d9GVsm99NjFnW5TNyJJPKv")</f>
        <v>1NJa30Ghn91d9GVsm99NjFnW5TNyJJPKv</v>
      </c>
      <c r="B7" s="13">
        <f>IFERROR(__xludf.DUMMYFUNCTION("""COMPUTED_VALUE"""),45976.0)</f>
        <v>45976</v>
      </c>
      <c r="C7" s="3" t="str">
        <f>IFERROR(__xludf.DUMMYFUNCTION("""COMPUTED_VALUE"""),"Kesny")</f>
        <v>Kesny</v>
      </c>
      <c r="D7" s="3" t="str">
        <f>IFERROR(__xludf.DUMMYFUNCTION("""COMPUTED_VALUE"""),"Kesny + Malena")</f>
        <v>Kesny + Malena</v>
      </c>
      <c r="E7" s="3" t="str">
        <f>IFERROR(__xludf.DUMMYFUNCTION("""COMPUTED_VALUE"""),"Nebus. + ZeroO")</f>
        <v>Nebus. + ZeroO</v>
      </c>
      <c r="F7" s="3" t="str">
        <f>IFERROR(__xludf.DUMMYFUNCTION("""COMPUTED_VALUE"""),"loss")</f>
        <v>loss</v>
      </c>
      <c r="G7" s="3" t="str">
        <f>IFERROR(__xludf.DUMMYFUNCTION("""COMPUTED_VALUE"""),"2v2")</f>
        <v>2v2</v>
      </c>
      <c r="H7" s="3" t="str">
        <f>IFERROR(__xludf.DUMMYFUNCTION("IFERROR(TRIM(INDEX(SPLIT(E7,"" + ""),1)),"""")"),"Nebus.")</f>
        <v>Nebus.</v>
      </c>
      <c r="I7" s="3" t="str">
        <f>IFERROR(__xludf.DUMMYFUNCTION("IFERROR(TRIM(INDEX(SPLIT(E7,"" + ""),2)),"""")"),"ZeroO")</f>
        <v>ZeroO</v>
      </c>
      <c r="J7" s="5" t="str">
        <f>IFERROR(__xludf.DUMMYFUNCTION("IFERROR(TRIM(INDEX(SPLIT(E7,"" + ""),3)),"""")"),"")</f>
        <v/>
      </c>
      <c r="K7" s="3">
        <f>IFERROR(__xludf.DUMMYFUNCTION("IFERROR(IF(H7="""",0,INDEX(FILTER($Q$2:Q6,$C$2:C6=H7,$G$2:G6=G7),ROWS(FILTER($Q$2:Q6,$C$2:C6=H7,$G$2:G6=G7)),1)),1500)"),1485.0)</f>
        <v>1485</v>
      </c>
      <c r="L7" s="3">
        <f>IFERROR(__xludf.DUMMYFUNCTION("IFERROR(IF(I7="""",0,INDEX(FILTER($Q$2:Q6,$C$2:C6=I7,$G$2:G6=G7),ROWS(FILTER($Q$2:Q6,$C$2:C6=I7,$G$2:G6=G7)),1)),1500)"),1485.0)</f>
        <v>1485</v>
      </c>
      <c r="M7" s="3">
        <f>IFERROR(__xludf.DUMMYFUNCTION("IFERROR(IF(J7="""",0,INDEX(FILTER($Q$2:Q6,$C$2:C6=J7,$G$2:G6=G7),ROWS(FILTER($Q$2:Q6,$C$2:C6=J7,$G$2:G6=G7)),1)),1500)"),0.0)</f>
        <v>0</v>
      </c>
      <c r="N7" s="3">
        <f>IFERROR(__xludf.DUMMYFUNCTION("IFERROR(INDEX(FILTER($Q$2:Q6,$C$2:C6=C7,$G$2:G6=G7),ROWS(FILTER($Q$2:Q6,$C$2:C6=C7,$G$2:G6=G7)),1),1500)"),1516.0)</f>
        <v>1516</v>
      </c>
      <c r="O7" s="3">
        <f t="shared" si="3"/>
        <v>1485</v>
      </c>
      <c r="P7" s="9">
        <f t="shared" si="1"/>
        <v>-17</v>
      </c>
      <c r="Q7" s="5">
        <f t="shared" si="2"/>
        <v>1499</v>
      </c>
    </row>
    <row r="8">
      <c r="A8" s="3" t="str">
        <f>IFERROR(__xludf.DUMMYFUNCTION("""COMPUTED_VALUE"""),"1NJa30Ghn91d9GVsm99NjFnW5TNyJJPKv")</f>
        <v>1NJa30Ghn91d9GVsm99NjFnW5TNyJJPKv</v>
      </c>
      <c r="B8" s="13">
        <f>IFERROR(__xludf.DUMMYFUNCTION("""COMPUTED_VALUE"""),45976.0)</f>
        <v>45976</v>
      </c>
      <c r="C8" s="3" t="str">
        <f>IFERROR(__xludf.DUMMYFUNCTION("""COMPUTED_VALUE"""),"ZeroO")</f>
        <v>ZeroO</v>
      </c>
      <c r="D8" s="3" t="str">
        <f>IFERROR(__xludf.DUMMYFUNCTION("""COMPUTED_VALUE"""),"Nebus. + ZeroO")</f>
        <v>Nebus. + ZeroO</v>
      </c>
      <c r="E8" s="3" t="str">
        <f>IFERROR(__xludf.DUMMYFUNCTION("""COMPUTED_VALUE"""),"Kesny + Malena")</f>
        <v>Kesny + Malena</v>
      </c>
      <c r="F8" s="3" t="str">
        <f>IFERROR(__xludf.DUMMYFUNCTION("""COMPUTED_VALUE"""),"win")</f>
        <v>win</v>
      </c>
      <c r="G8" s="3" t="str">
        <f>IFERROR(__xludf.DUMMYFUNCTION("""COMPUTED_VALUE"""),"2v2")</f>
        <v>2v2</v>
      </c>
      <c r="H8" s="3" t="str">
        <f>IFERROR(__xludf.DUMMYFUNCTION("IFERROR(TRIM(INDEX(SPLIT(E8,"" + ""),1)),"""")"),"Kesny")</f>
        <v>Kesny</v>
      </c>
      <c r="I8" s="3" t="str">
        <f>IFERROR(__xludf.DUMMYFUNCTION("IFERROR(TRIM(INDEX(SPLIT(E8,"" + ""),2)),"""")"),"Malena")</f>
        <v>Malena</v>
      </c>
      <c r="J8" s="5" t="str">
        <f>IFERROR(__xludf.DUMMYFUNCTION("IFERROR(TRIM(INDEX(SPLIT(E8,"" + ""),3)),"""")"),"")</f>
        <v/>
      </c>
      <c r="K8" s="3">
        <f>IFERROR(__xludf.DUMMYFUNCTION("IFERROR(IF(H8="""",0,INDEX(FILTER($Q$2:Q7,$C$2:C7=H8,$G$2:G7=G8),ROWS(FILTER($Q$2:Q7,$C$2:C7=H8,$G$2:G7=G8)),1)),1500)"),1499.0)</f>
        <v>1499</v>
      </c>
      <c r="L8" s="3">
        <f>IFERROR(__xludf.DUMMYFUNCTION("IFERROR(IF(I8="""",0,INDEX(FILTER($Q$2:Q7,$C$2:C7=I8,$G$2:G7=G8),ROWS(FILTER($Q$2:Q7,$C$2:C7=I8,$G$2:G7=G8)),1)),1500)"),1499.0)</f>
        <v>1499</v>
      </c>
      <c r="M8" s="3">
        <f>IFERROR(__xludf.DUMMYFUNCTION("IFERROR(IF(J8="""",0,INDEX(FILTER($Q$2:Q7,$C$2:C7=J8,$G$2:G7=G8),ROWS(FILTER($Q$2:Q7,$C$2:C7=J8,$G$2:G7=G8)),1)),1500)"),0.0)</f>
        <v>0</v>
      </c>
      <c r="N8" s="3">
        <f>IFERROR(__xludf.DUMMYFUNCTION("IFERROR(INDEX(FILTER($Q$2:Q7,$C$2:C7=C8,$G$2:G7=G8),ROWS(FILTER($Q$2:Q7,$C$2:C7=C8,$G$2:G7=G8)),1),1500)"),1485.0)</f>
        <v>1485</v>
      </c>
      <c r="O8" s="3">
        <f t="shared" si="3"/>
        <v>1499</v>
      </c>
      <c r="P8" s="9">
        <f t="shared" si="1"/>
        <v>17</v>
      </c>
      <c r="Q8" s="5">
        <f t="shared" si="2"/>
        <v>1502</v>
      </c>
    </row>
    <row r="9">
      <c r="A9" s="3" t="str">
        <f>IFERROR(__xludf.DUMMYFUNCTION("""COMPUTED_VALUE"""),"1NJa30Ghn91d9GVsm99NjFnW5TNyJJPKv")</f>
        <v>1NJa30Ghn91d9GVsm99NjFnW5TNyJJPKv</v>
      </c>
      <c r="B9" s="13">
        <f>IFERROR(__xludf.DUMMYFUNCTION("""COMPUTED_VALUE"""),45976.0)</f>
        <v>45976</v>
      </c>
      <c r="C9" s="3" t="str">
        <f>IFERROR(__xludf.DUMMYFUNCTION("""COMPUTED_VALUE"""),"Nebus.")</f>
        <v>Nebus.</v>
      </c>
      <c r="D9" s="3" t="str">
        <f>IFERROR(__xludf.DUMMYFUNCTION("""COMPUTED_VALUE"""),"Nebus. + ZeroO")</f>
        <v>Nebus. + ZeroO</v>
      </c>
      <c r="E9" s="3" t="str">
        <f>IFERROR(__xludf.DUMMYFUNCTION("""COMPUTED_VALUE"""),"Kesny + Malena")</f>
        <v>Kesny + Malena</v>
      </c>
      <c r="F9" s="3" t="str">
        <f>IFERROR(__xludf.DUMMYFUNCTION("""COMPUTED_VALUE"""),"win")</f>
        <v>win</v>
      </c>
      <c r="G9" s="3" t="str">
        <f>IFERROR(__xludf.DUMMYFUNCTION("""COMPUTED_VALUE"""),"2v2")</f>
        <v>2v2</v>
      </c>
      <c r="H9" s="3" t="str">
        <f>IFERROR(__xludf.DUMMYFUNCTION("IFERROR(TRIM(INDEX(SPLIT(E9,"" + ""),1)),"""")"),"Kesny")</f>
        <v>Kesny</v>
      </c>
      <c r="I9" s="3" t="str">
        <f>IFERROR(__xludf.DUMMYFUNCTION("IFERROR(TRIM(INDEX(SPLIT(E9,"" + ""),2)),"""")"),"Malena")</f>
        <v>Malena</v>
      </c>
      <c r="J9" s="5" t="str">
        <f>IFERROR(__xludf.DUMMYFUNCTION("IFERROR(TRIM(INDEX(SPLIT(E9,"" + ""),3)),"""")"),"")</f>
        <v/>
      </c>
      <c r="K9" s="3">
        <f>IFERROR(__xludf.DUMMYFUNCTION("IFERROR(IF(H9="""",0,INDEX(FILTER($Q$2:Q8,$C$2:C8=H9,$G$2:G8=G9),ROWS(FILTER($Q$2:Q8,$C$2:C8=H9,$G$2:G8=G9)),1)),1500)"),1499.0)</f>
        <v>1499</v>
      </c>
      <c r="L9" s="3">
        <f>IFERROR(__xludf.DUMMYFUNCTION("IFERROR(IF(I9="""",0,INDEX(FILTER($Q$2:Q8,$C$2:C8=I9,$G$2:G8=G9),ROWS(FILTER($Q$2:Q8,$C$2:C8=I9,$G$2:G8=G9)),1)),1500)"),1499.0)</f>
        <v>1499</v>
      </c>
      <c r="M9" s="3">
        <f>IFERROR(__xludf.DUMMYFUNCTION("IFERROR(IF(J9="""",0,INDEX(FILTER($Q$2:Q8,$C$2:C8=J9,$G$2:G8=G9),ROWS(FILTER($Q$2:Q8,$C$2:C8=J9,$G$2:G8=G9)),1)),1500)"),0.0)</f>
        <v>0</v>
      </c>
      <c r="N9" s="3">
        <f>IFERROR(__xludf.DUMMYFUNCTION("IFERROR(INDEX(FILTER($Q$2:Q8,$C$2:C8=C9,$G$2:G8=G9),ROWS(FILTER($Q$2:Q8,$C$2:C8=C9,$G$2:G8=G9)),1),1500)"),1485.0)</f>
        <v>1485</v>
      </c>
      <c r="O9" s="3">
        <f t="shared" si="3"/>
        <v>1499</v>
      </c>
      <c r="P9" s="9">
        <f t="shared" si="1"/>
        <v>17</v>
      </c>
      <c r="Q9" s="5">
        <f t="shared" si="2"/>
        <v>1502</v>
      </c>
    </row>
    <row r="10">
      <c r="A10" s="3" t="str">
        <f>IFERROR(__xludf.DUMMYFUNCTION("""COMPUTED_VALUE"""),"18IowcNI-5amD-S7qC_av0hwoq_c6EQyB")</f>
        <v>18IowcNI-5amD-S7qC_av0hwoq_c6EQyB</v>
      </c>
      <c r="B10" s="13">
        <f>IFERROR(__xludf.DUMMYFUNCTION("""COMPUTED_VALUE"""),45976.0)</f>
        <v>45976</v>
      </c>
      <c r="C10" s="3" t="str">
        <f>IFERROR(__xludf.DUMMYFUNCTION("""COMPUTED_VALUE"""),"Malena")</f>
        <v>Malena</v>
      </c>
      <c r="D10" s="3" t="str">
        <f>IFERROR(__xludf.DUMMYFUNCTION("""COMPUTED_VALUE"""),"Kesny + Malena")</f>
        <v>Kesny + Malena</v>
      </c>
      <c r="E10" s="3" t="str">
        <f>IFERROR(__xludf.DUMMYFUNCTION("""COMPUTED_VALUE"""),"Nebus. + ZeroO")</f>
        <v>Nebus. + ZeroO</v>
      </c>
      <c r="F10" s="3" t="str">
        <f>IFERROR(__xludf.DUMMYFUNCTION("""COMPUTED_VALUE"""),"loss")</f>
        <v>loss</v>
      </c>
      <c r="G10" s="3" t="str">
        <f>IFERROR(__xludf.DUMMYFUNCTION("""COMPUTED_VALUE"""),"2v2")</f>
        <v>2v2</v>
      </c>
      <c r="H10" s="3" t="str">
        <f>IFERROR(__xludf.DUMMYFUNCTION("IFERROR(TRIM(INDEX(SPLIT(E10,"" + ""),1)),"""")"),"Nebus.")</f>
        <v>Nebus.</v>
      </c>
      <c r="I10" s="3" t="str">
        <f>IFERROR(__xludf.DUMMYFUNCTION("IFERROR(TRIM(INDEX(SPLIT(E10,"" + ""),2)),"""")"),"ZeroO")</f>
        <v>ZeroO</v>
      </c>
      <c r="J10" s="5" t="str">
        <f>IFERROR(__xludf.DUMMYFUNCTION("IFERROR(TRIM(INDEX(SPLIT(E10,"" + ""),3)),"""")"),"")</f>
        <v/>
      </c>
      <c r="K10" s="3">
        <f>IFERROR(__xludf.DUMMYFUNCTION("IFERROR(IF(H10="""",0,INDEX(FILTER($Q$2:Q9,$C$2:C9=H10,$G$2:G9=G10),ROWS(FILTER($Q$2:Q9,$C$2:C9=H10,$G$2:G9=G10)),1)),1500)"),1502.0)</f>
        <v>1502</v>
      </c>
      <c r="L10" s="3">
        <f>IFERROR(__xludf.DUMMYFUNCTION("IFERROR(IF(I10="""",0,INDEX(FILTER($Q$2:Q9,$C$2:C9=I10,$G$2:G9=G10),ROWS(FILTER($Q$2:Q9,$C$2:C9=I10,$G$2:G9=G10)),1)),1500)"),1502.0)</f>
        <v>1502</v>
      </c>
      <c r="M10" s="3">
        <f>IFERROR(__xludf.DUMMYFUNCTION("IFERROR(IF(J10="""",0,INDEX(FILTER($Q$2:Q9,$C$2:C9=J10,$G$2:G9=G10),ROWS(FILTER($Q$2:Q9,$C$2:C9=J10,$G$2:G9=G10)),1)),1500)"),0.0)</f>
        <v>0</v>
      </c>
      <c r="N10" s="3">
        <f>IFERROR(__xludf.DUMMYFUNCTION("IFERROR(INDEX(FILTER($Q$2:Q9,$C$2:C9=C10,$G$2:G9=G10),ROWS(FILTER($Q$2:Q9,$C$2:C9=C10,$G$2:G9=G10)),1),1500)"),1499.0)</f>
        <v>1499</v>
      </c>
      <c r="O10" s="3">
        <f t="shared" si="3"/>
        <v>1502</v>
      </c>
      <c r="P10" s="9">
        <f t="shared" si="1"/>
        <v>-16</v>
      </c>
      <c r="Q10" s="5">
        <f t="shared" si="2"/>
        <v>1483</v>
      </c>
    </row>
    <row r="11">
      <c r="A11" s="3" t="str">
        <f>IFERROR(__xludf.DUMMYFUNCTION("""COMPUTED_VALUE"""),"18IowcNI-5amD-S7qC_av0hwoq_c6EQyB")</f>
        <v>18IowcNI-5amD-S7qC_av0hwoq_c6EQyB</v>
      </c>
      <c r="B11" s="13">
        <f>IFERROR(__xludf.DUMMYFUNCTION("""COMPUTED_VALUE"""),45976.0)</f>
        <v>45976</v>
      </c>
      <c r="C11" s="3" t="str">
        <f>IFERROR(__xludf.DUMMYFUNCTION("""COMPUTED_VALUE"""),"Kesny")</f>
        <v>Kesny</v>
      </c>
      <c r="D11" s="3" t="str">
        <f>IFERROR(__xludf.DUMMYFUNCTION("""COMPUTED_VALUE"""),"Kesny + Malena")</f>
        <v>Kesny + Malena</v>
      </c>
      <c r="E11" s="3" t="str">
        <f>IFERROR(__xludf.DUMMYFUNCTION("""COMPUTED_VALUE"""),"Nebus. + ZeroO")</f>
        <v>Nebus. + ZeroO</v>
      </c>
      <c r="F11" s="3" t="str">
        <f>IFERROR(__xludf.DUMMYFUNCTION("""COMPUTED_VALUE"""),"loss")</f>
        <v>loss</v>
      </c>
      <c r="G11" s="3" t="str">
        <f>IFERROR(__xludf.DUMMYFUNCTION("""COMPUTED_VALUE"""),"2v2")</f>
        <v>2v2</v>
      </c>
      <c r="H11" s="3" t="str">
        <f>IFERROR(__xludf.DUMMYFUNCTION("IFERROR(TRIM(INDEX(SPLIT(E11,"" + ""),1)),"""")"),"Nebus.")</f>
        <v>Nebus.</v>
      </c>
      <c r="I11" s="3" t="str">
        <f>IFERROR(__xludf.DUMMYFUNCTION("IFERROR(TRIM(INDEX(SPLIT(E11,"" + ""),2)),"""")"),"ZeroO")</f>
        <v>ZeroO</v>
      </c>
      <c r="J11" s="5" t="str">
        <f>IFERROR(__xludf.DUMMYFUNCTION("IFERROR(TRIM(INDEX(SPLIT(E11,"" + ""),3)),"""")"),"")</f>
        <v/>
      </c>
      <c r="K11" s="3">
        <f>IFERROR(__xludf.DUMMYFUNCTION("IFERROR(IF(H11="""",0,INDEX(FILTER($Q$2:Q10,$C$2:C10=H11,$G$2:G10=G11),ROWS(FILTER($Q$2:Q10,$C$2:C10=H11,$G$2:G10=G11)),1)),1500)"),1502.0)</f>
        <v>1502</v>
      </c>
      <c r="L11" s="3">
        <f>IFERROR(__xludf.DUMMYFUNCTION("IFERROR(IF(I11="""",0,INDEX(FILTER($Q$2:Q10,$C$2:C10=I11,$G$2:G10=G11),ROWS(FILTER($Q$2:Q10,$C$2:C10=I11,$G$2:G10=G11)),1)),1500)"),1502.0)</f>
        <v>1502</v>
      </c>
      <c r="M11" s="3">
        <f>IFERROR(__xludf.DUMMYFUNCTION("IFERROR(IF(J11="""",0,INDEX(FILTER($Q$2:Q10,$C$2:C10=J11,$G$2:G10=G11),ROWS(FILTER($Q$2:Q10,$C$2:C10=J11,$G$2:G10=G11)),1)),1500)"),0.0)</f>
        <v>0</v>
      </c>
      <c r="N11" s="3">
        <f>IFERROR(__xludf.DUMMYFUNCTION("IFERROR(INDEX(FILTER($Q$2:Q10,$C$2:C10=C11,$G$2:G10=G11),ROWS(FILTER($Q$2:Q10,$C$2:C10=C11,$G$2:G10=G11)),1),1500)"),1499.0)</f>
        <v>1499</v>
      </c>
      <c r="O11" s="3">
        <f t="shared" si="3"/>
        <v>1502</v>
      </c>
      <c r="P11" s="9">
        <f t="shared" si="1"/>
        <v>-16</v>
      </c>
      <c r="Q11" s="5">
        <f t="shared" si="2"/>
        <v>1483</v>
      </c>
    </row>
    <row r="12">
      <c r="A12" s="3" t="str">
        <f>IFERROR(__xludf.DUMMYFUNCTION("""COMPUTED_VALUE"""),"18IowcNI-5amD-S7qC_av0hwoq_c6EQyB")</f>
        <v>18IowcNI-5amD-S7qC_av0hwoq_c6EQyB</v>
      </c>
      <c r="B12" s="13">
        <f>IFERROR(__xludf.DUMMYFUNCTION("""COMPUTED_VALUE"""),45976.0)</f>
        <v>45976</v>
      </c>
      <c r="C12" s="3" t="str">
        <f>IFERROR(__xludf.DUMMYFUNCTION("""COMPUTED_VALUE"""),"ZeroO")</f>
        <v>ZeroO</v>
      </c>
      <c r="D12" s="3" t="str">
        <f>IFERROR(__xludf.DUMMYFUNCTION("""COMPUTED_VALUE"""),"Nebus. + ZeroO")</f>
        <v>Nebus. + ZeroO</v>
      </c>
      <c r="E12" s="3" t="str">
        <f>IFERROR(__xludf.DUMMYFUNCTION("""COMPUTED_VALUE"""),"Kesny + Malena")</f>
        <v>Kesny + Malena</v>
      </c>
      <c r="F12" s="3" t="str">
        <f>IFERROR(__xludf.DUMMYFUNCTION("""COMPUTED_VALUE"""),"win")</f>
        <v>win</v>
      </c>
      <c r="G12" s="3" t="str">
        <f>IFERROR(__xludf.DUMMYFUNCTION("""COMPUTED_VALUE"""),"2v2")</f>
        <v>2v2</v>
      </c>
      <c r="H12" s="3" t="str">
        <f>IFERROR(__xludf.DUMMYFUNCTION("IFERROR(TRIM(INDEX(SPLIT(E12,"" + ""),1)),"""")"),"Kesny")</f>
        <v>Kesny</v>
      </c>
      <c r="I12" s="3" t="str">
        <f>IFERROR(__xludf.DUMMYFUNCTION("IFERROR(TRIM(INDEX(SPLIT(E12,"" + ""),2)),"""")"),"Malena")</f>
        <v>Malena</v>
      </c>
      <c r="J12" s="5" t="str">
        <f>IFERROR(__xludf.DUMMYFUNCTION("IFERROR(TRIM(INDEX(SPLIT(E12,"" + ""),3)),"""")"),"")</f>
        <v/>
      </c>
      <c r="K12" s="3">
        <f>IFERROR(__xludf.DUMMYFUNCTION("IFERROR(IF(H12="""",0,INDEX(FILTER($Q$2:Q11,$C$2:C11=H12,$G$2:G11=G12),ROWS(FILTER($Q$2:Q11,$C$2:C11=H12,$G$2:G11=G12)),1)),1500)"),1483.0)</f>
        <v>1483</v>
      </c>
      <c r="L12" s="3">
        <f>IFERROR(__xludf.DUMMYFUNCTION("IFERROR(IF(I12="""",0,INDEX(FILTER($Q$2:Q11,$C$2:C11=I12,$G$2:G11=G12),ROWS(FILTER($Q$2:Q11,$C$2:C11=I12,$G$2:G11=G12)),1)),1500)"),1483.0)</f>
        <v>1483</v>
      </c>
      <c r="M12" s="3">
        <f>IFERROR(__xludf.DUMMYFUNCTION("IFERROR(IF(J12="""",0,INDEX(FILTER($Q$2:Q11,$C$2:C11=J12,$G$2:G11=G12),ROWS(FILTER($Q$2:Q11,$C$2:C11=J12,$G$2:G11=G12)),1)),1500)"),0.0)</f>
        <v>0</v>
      </c>
      <c r="N12" s="3">
        <f>IFERROR(__xludf.DUMMYFUNCTION("IFERROR(INDEX(FILTER($Q$2:Q11,$C$2:C11=C12,$G$2:G11=G12),ROWS(FILTER($Q$2:Q11,$C$2:C11=C12,$G$2:G11=G12)),1),1500)"),1502.0)</f>
        <v>1502</v>
      </c>
      <c r="O12" s="3">
        <f t="shared" si="3"/>
        <v>1483</v>
      </c>
      <c r="P12" s="9">
        <f t="shared" si="1"/>
        <v>15</v>
      </c>
      <c r="Q12" s="5">
        <f t="shared" si="2"/>
        <v>1517</v>
      </c>
    </row>
    <row r="13">
      <c r="A13" s="3" t="str">
        <f>IFERROR(__xludf.DUMMYFUNCTION("""COMPUTED_VALUE"""),"18IowcNI-5amD-S7qC_av0hwoq_c6EQyB")</f>
        <v>18IowcNI-5amD-S7qC_av0hwoq_c6EQyB</v>
      </c>
      <c r="B13" s="13">
        <f>IFERROR(__xludf.DUMMYFUNCTION("""COMPUTED_VALUE"""),45976.0)</f>
        <v>45976</v>
      </c>
      <c r="C13" s="3" t="str">
        <f>IFERROR(__xludf.DUMMYFUNCTION("""COMPUTED_VALUE"""),"Nebus.")</f>
        <v>Nebus.</v>
      </c>
      <c r="D13" s="3" t="str">
        <f>IFERROR(__xludf.DUMMYFUNCTION("""COMPUTED_VALUE"""),"Nebus. + ZeroO")</f>
        <v>Nebus. + ZeroO</v>
      </c>
      <c r="E13" s="3" t="str">
        <f>IFERROR(__xludf.DUMMYFUNCTION("""COMPUTED_VALUE"""),"Kesny + Malena")</f>
        <v>Kesny + Malena</v>
      </c>
      <c r="F13" s="3" t="str">
        <f>IFERROR(__xludf.DUMMYFUNCTION("""COMPUTED_VALUE"""),"win")</f>
        <v>win</v>
      </c>
      <c r="G13" s="3" t="str">
        <f>IFERROR(__xludf.DUMMYFUNCTION("""COMPUTED_VALUE"""),"2v2")</f>
        <v>2v2</v>
      </c>
      <c r="H13" s="3" t="str">
        <f>IFERROR(__xludf.DUMMYFUNCTION("IFERROR(TRIM(INDEX(SPLIT(E13,"" + ""),1)),"""")"),"Kesny")</f>
        <v>Kesny</v>
      </c>
      <c r="I13" s="3" t="str">
        <f>IFERROR(__xludf.DUMMYFUNCTION("IFERROR(TRIM(INDEX(SPLIT(E13,"" + ""),2)),"""")"),"Malena")</f>
        <v>Malena</v>
      </c>
      <c r="J13" s="5" t="str">
        <f>IFERROR(__xludf.DUMMYFUNCTION("IFERROR(TRIM(INDEX(SPLIT(E13,"" + ""),3)),"""")"),"")</f>
        <v/>
      </c>
      <c r="K13" s="3">
        <f>IFERROR(__xludf.DUMMYFUNCTION("IFERROR(IF(H13="""",0,INDEX(FILTER($Q$2:Q12,$C$2:C12=H13,$G$2:G12=G13),ROWS(FILTER($Q$2:Q12,$C$2:C12=H13,$G$2:G12=G13)),1)),1500)"),1483.0)</f>
        <v>1483</v>
      </c>
      <c r="L13" s="3">
        <f>IFERROR(__xludf.DUMMYFUNCTION("IFERROR(IF(I13="""",0,INDEX(FILTER($Q$2:Q12,$C$2:C12=I13,$G$2:G12=G13),ROWS(FILTER($Q$2:Q12,$C$2:C12=I13,$G$2:G12=G13)),1)),1500)"),1483.0)</f>
        <v>1483</v>
      </c>
      <c r="M13" s="3">
        <f>IFERROR(__xludf.DUMMYFUNCTION("IFERROR(IF(J13="""",0,INDEX(FILTER($Q$2:Q12,$C$2:C12=J13,$G$2:G12=G13),ROWS(FILTER($Q$2:Q12,$C$2:C12=J13,$G$2:G12=G13)),1)),1500)"),0.0)</f>
        <v>0</v>
      </c>
      <c r="N13" s="3">
        <f>IFERROR(__xludf.DUMMYFUNCTION("IFERROR(INDEX(FILTER($Q$2:Q12,$C$2:C12=C13,$G$2:G12=G13),ROWS(FILTER($Q$2:Q12,$C$2:C12=C13,$G$2:G12=G13)),1),1500)"),1502.0)</f>
        <v>1502</v>
      </c>
      <c r="O13" s="3">
        <f t="shared" si="3"/>
        <v>1483</v>
      </c>
      <c r="P13" s="9">
        <f t="shared" si="1"/>
        <v>15</v>
      </c>
      <c r="Q13" s="5">
        <f t="shared" si="2"/>
        <v>1517</v>
      </c>
    </row>
    <row r="14">
      <c r="A14" s="3" t="str">
        <f>IFERROR(__xludf.DUMMYFUNCTION("""COMPUTED_VALUE"""),"1D-sEyHaHbPxuKve7zodNkjp0qyQS_8Ft")</f>
        <v>1D-sEyHaHbPxuKve7zodNkjp0qyQS_8Ft</v>
      </c>
      <c r="B14" s="13">
        <f>IFERROR(__xludf.DUMMYFUNCTION("""COMPUTED_VALUE"""),45976.0)</f>
        <v>45976</v>
      </c>
      <c r="C14" s="3" t="str">
        <f>IFERROR(__xludf.DUMMYFUNCTION("""COMPUTED_VALUE"""),"Malena")</f>
        <v>Malena</v>
      </c>
      <c r="D14" s="3" t="str">
        <f>IFERROR(__xludf.DUMMYFUNCTION("""COMPUTED_VALUE"""),"Kesny + Malena")</f>
        <v>Kesny + Malena</v>
      </c>
      <c r="E14" s="3" t="str">
        <f>IFERROR(__xludf.DUMMYFUNCTION("""COMPUTED_VALUE"""),"Nebus. + ZeroO")</f>
        <v>Nebus. + ZeroO</v>
      </c>
      <c r="F14" s="3" t="str">
        <f>IFERROR(__xludf.DUMMYFUNCTION("""COMPUTED_VALUE"""),"loss")</f>
        <v>loss</v>
      </c>
      <c r="G14" s="3" t="str">
        <f>IFERROR(__xludf.DUMMYFUNCTION("""COMPUTED_VALUE"""),"2v2")</f>
        <v>2v2</v>
      </c>
      <c r="H14" s="3" t="str">
        <f>IFERROR(__xludf.DUMMYFUNCTION("IFERROR(TRIM(INDEX(SPLIT(E14,"" + ""),1)),"""")"),"Nebus.")</f>
        <v>Nebus.</v>
      </c>
      <c r="I14" s="3" t="str">
        <f>IFERROR(__xludf.DUMMYFUNCTION("IFERROR(TRIM(INDEX(SPLIT(E14,"" + ""),2)),"""")"),"ZeroO")</f>
        <v>ZeroO</v>
      </c>
      <c r="J14" s="5" t="str">
        <f>IFERROR(__xludf.DUMMYFUNCTION("IFERROR(TRIM(INDEX(SPLIT(E14,"" + ""),3)),"""")"),"")</f>
        <v/>
      </c>
      <c r="K14" s="3">
        <f>IFERROR(__xludf.DUMMYFUNCTION("IFERROR(IF(H14="""",0,INDEX(FILTER($Q$2:Q13,$C$2:C13=H14,$G$2:G13=G14),ROWS(FILTER($Q$2:Q13,$C$2:C13=H14,$G$2:G13=G14)),1)),1500)"),1517.0)</f>
        <v>1517</v>
      </c>
      <c r="L14" s="3">
        <f>IFERROR(__xludf.DUMMYFUNCTION("IFERROR(IF(I14="""",0,INDEX(FILTER($Q$2:Q13,$C$2:C13=I14,$G$2:G13=G14),ROWS(FILTER($Q$2:Q13,$C$2:C13=I14,$G$2:G13=G14)),1)),1500)"),1517.0)</f>
        <v>1517</v>
      </c>
      <c r="M14" s="3">
        <f>IFERROR(__xludf.DUMMYFUNCTION("IFERROR(IF(J14="""",0,INDEX(FILTER($Q$2:Q13,$C$2:C13=J14,$G$2:G13=G14),ROWS(FILTER($Q$2:Q13,$C$2:C13=J14,$G$2:G13=G14)),1)),1500)"),0.0)</f>
        <v>0</v>
      </c>
      <c r="N14" s="3">
        <f>IFERROR(__xludf.DUMMYFUNCTION("IFERROR(INDEX(FILTER($Q$2:Q13,$C$2:C13=C14,$G$2:G13=G14),ROWS(FILTER($Q$2:Q13,$C$2:C13=C14,$G$2:G13=G14)),1),1500)"),1483.0)</f>
        <v>1483</v>
      </c>
      <c r="O14" s="3">
        <f t="shared" si="3"/>
        <v>1517</v>
      </c>
      <c r="P14" s="9">
        <f t="shared" si="1"/>
        <v>-14</v>
      </c>
      <c r="Q14" s="5">
        <f t="shared" si="2"/>
        <v>1469</v>
      </c>
    </row>
    <row r="15">
      <c r="A15" s="3" t="str">
        <f>IFERROR(__xludf.DUMMYFUNCTION("""COMPUTED_VALUE"""),"1D-sEyHaHbPxuKve7zodNkjp0qyQS_8Ft")</f>
        <v>1D-sEyHaHbPxuKve7zodNkjp0qyQS_8Ft</v>
      </c>
      <c r="B15" s="13">
        <f>IFERROR(__xludf.DUMMYFUNCTION("""COMPUTED_VALUE"""),45976.0)</f>
        <v>45976</v>
      </c>
      <c r="C15" s="3" t="str">
        <f>IFERROR(__xludf.DUMMYFUNCTION("""COMPUTED_VALUE"""),"Kesny")</f>
        <v>Kesny</v>
      </c>
      <c r="D15" s="3" t="str">
        <f>IFERROR(__xludf.DUMMYFUNCTION("""COMPUTED_VALUE"""),"Kesny + Malena")</f>
        <v>Kesny + Malena</v>
      </c>
      <c r="E15" s="3" t="str">
        <f>IFERROR(__xludf.DUMMYFUNCTION("""COMPUTED_VALUE"""),"Nebus. + ZeroO")</f>
        <v>Nebus. + ZeroO</v>
      </c>
      <c r="F15" s="3" t="str">
        <f>IFERROR(__xludf.DUMMYFUNCTION("""COMPUTED_VALUE"""),"loss")</f>
        <v>loss</v>
      </c>
      <c r="G15" s="3" t="str">
        <f>IFERROR(__xludf.DUMMYFUNCTION("""COMPUTED_VALUE"""),"2v2")</f>
        <v>2v2</v>
      </c>
      <c r="H15" s="3" t="str">
        <f>IFERROR(__xludf.DUMMYFUNCTION("IFERROR(TRIM(INDEX(SPLIT(E15,"" + ""),1)),"""")"),"Nebus.")</f>
        <v>Nebus.</v>
      </c>
      <c r="I15" s="3" t="str">
        <f>IFERROR(__xludf.DUMMYFUNCTION("IFERROR(TRIM(INDEX(SPLIT(E15,"" + ""),2)),"""")"),"ZeroO")</f>
        <v>ZeroO</v>
      </c>
      <c r="J15" s="5" t="str">
        <f>IFERROR(__xludf.DUMMYFUNCTION("IFERROR(TRIM(INDEX(SPLIT(E15,"" + ""),3)),"""")"),"")</f>
        <v/>
      </c>
      <c r="K15" s="3">
        <f>IFERROR(__xludf.DUMMYFUNCTION("IFERROR(IF(H15="""",0,INDEX(FILTER($Q$2:Q14,$C$2:C14=H15,$G$2:G14=G15),ROWS(FILTER($Q$2:Q14,$C$2:C14=H15,$G$2:G14=G15)),1)),1500)"),1517.0)</f>
        <v>1517</v>
      </c>
      <c r="L15" s="3">
        <f>IFERROR(__xludf.DUMMYFUNCTION("IFERROR(IF(I15="""",0,INDEX(FILTER($Q$2:Q14,$C$2:C14=I15,$G$2:G14=G15),ROWS(FILTER($Q$2:Q14,$C$2:C14=I15,$G$2:G14=G15)),1)),1500)"),1517.0)</f>
        <v>1517</v>
      </c>
      <c r="M15" s="3">
        <f>IFERROR(__xludf.DUMMYFUNCTION("IFERROR(IF(J15="""",0,INDEX(FILTER($Q$2:Q14,$C$2:C14=J15,$G$2:G14=G15),ROWS(FILTER($Q$2:Q14,$C$2:C14=J15,$G$2:G14=G15)),1)),1500)"),0.0)</f>
        <v>0</v>
      </c>
      <c r="N15" s="3">
        <f>IFERROR(__xludf.DUMMYFUNCTION("IFERROR(INDEX(FILTER($Q$2:Q14,$C$2:C14=C15,$G$2:G14=G15),ROWS(FILTER($Q$2:Q14,$C$2:C14=C15,$G$2:G14=G15)),1),1500)"),1483.0)</f>
        <v>1483</v>
      </c>
      <c r="O15" s="3">
        <f t="shared" si="3"/>
        <v>1517</v>
      </c>
      <c r="P15" s="9">
        <f t="shared" si="1"/>
        <v>-14</v>
      </c>
      <c r="Q15" s="5">
        <f t="shared" si="2"/>
        <v>1469</v>
      </c>
    </row>
    <row r="16">
      <c r="A16" s="3" t="str">
        <f>IFERROR(__xludf.DUMMYFUNCTION("""COMPUTED_VALUE"""),"1D-sEyHaHbPxuKve7zodNkjp0qyQS_8Ft")</f>
        <v>1D-sEyHaHbPxuKve7zodNkjp0qyQS_8Ft</v>
      </c>
      <c r="B16" s="13">
        <f>IFERROR(__xludf.DUMMYFUNCTION("""COMPUTED_VALUE"""),45976.0)</f>
        <v>45976</v>
      </c>
      <c r="C16" s="3" t="str">
        <f>IFERROR(__xludf.DUMMYFUNCTION("""COMPUTED_VALUE"""),"ZeroO")</f>
        <v>ZeroO</v>
      </c>
      <c r="D16" s="3" t="str">
        <f>IFERROR(__xludf.DUMMYFUNCTION("""COMPUTED_VALUE"""),"Nebus. + ZeroO")</f>
        <v>Nebus. + ZeroO</v>
      </c>
      <c r="E16" s="3" t="str">
        <f>IFERROR(__xludf.DUMMYFUNCTION("""COMPUTED_VALUE"""),"Kesny + Malena")</f>
        <v>Kesny + Malena</v>
      </c>
      <c r="F16" s="3" t="str">
        <f>IFERROR(__xludf.DUMMYFUNCTION("""COMPUTED_VALUE"""),"win")</f>
        <v>win</v>
      </c>
      <c r="G16" s="3" t="str">
        <f>IFERROR(__xludf.DUMMYFUNCTION("""COMPUTED_VALUE"""),"2v2")</f>
        <v>2v2</v>
      </c>
      <c r="H16" s="3" t="str">
        <f>IFERROR(__xludf.DUMMYFUNCTION("IFERROR(TRIM(INDEX(SPLIT(E16,"" + ""),1)),"""")"),"Kesny")</f>
        <v>Kesny</v>
      </c>
      <c r="I16" s="3" t="str">
        <f>IFERROR(__xludf.DUMMYFUNCTION("IFERROR(TRIM(INDEX(SPLIT(E16,"" + ""),2)),"""")"),"Malena")</f>
        <v>Malena</v>
      </c>
      <c r="J16" s="5" t="str">
        <f>IFERROR(__xludf.DUMMYFUNCTION("IFERROR(TRIM(INDEX(SPLIT(E16,"" + ""),3)),"""")"),"")</f>
        <v/>
      </c>
      <c r="K16" s="3">
        <f>IFERROR(__xludf.DUMMYFUNCTION("IFERROR(IF(H16="""",0,INDEX(FILTER($Q$2:Q15,$C$2:C15=H16,$G$2:G15=G16),ROWS(FILTER($Q$2:Q15,$C$2:C15=H16,$G$2:G15=G16)),1)),1500)"),1469.0)</f>
        <v>1469</v>
      </c>
      <c r="L16" s="3">
        <f>IFERROR(__xludf.DUMMYFUNCTION("IFERROR(IF(I16="""",0,INDEX(FILTER($Q$2:Q15,$C$2:C15=I16,$G$2:G15=G16),ROWS(FILTER($Q$2:Q15,$C$2:C15=I16,$G$2:G15=G16)),1)),1500)"),1469.0)</f>
        <v>1469</v>
      </c>
      <c r="M16" s="3">
        <f>IFERROR(__xludf.DUMMYFUNCTION("IFERROR(IF(J16="""",0,INDEX(FILTER($Q$2:Q15,$C$2:C15=J16,$G$2:G15=G16),ROWS(FILTER($Q$2:Q15,$C$2:C15=J16,$G$2:G15=G16)),1)),1500)"),0.0)</f>
        <v>0</v>
      </c>
      <c r="N16" s="3">
        <f>IFERROR(__xludf.DUMMYFUNCTION("IFERROR(INDEX(FILTER($Q$2:Q15,$C$2:C15=C16,$G$2:G15=G16),ROWS(FILTER($Q$2:Q15,$C$2:C15=C16,$G$2:G15=G16)),1),1500)"),1517.0)</f>
        <v>1517</v>
      </c>
      <c r="O16" s="3">
        <f t="shared" si="3"/>
        <v>1469</v>
      </c>
      <c r="P16" s="9">
        <f t="shared" si="1"/>
        <v>14</v>
      </c>
      <c r="Q16" s="5">
        <f t="shared" si="2"/>
        <v>1531</v>
      </c>
    </row>
    <row r="17">
      <c r="A17" s="3" t="str">
        <f>IFERROR(__xludf.DUMMYFUNCTION("""COMPUTED_VALUE"""),"1D-sEyHaHbPxuKve7zodNkjp0qyQS_8Ft")</f>
        <v>1D-sEyHaHbPxuKve7zodNkjp0qyQS_8Ft</v>
      </c>
      <c r="B17" s="13">
        <f>IFERROR(__xludf.DUMMYFUNCTION("""COMPUTED_VALUE"""),45976.0)</f>
        <v>45976</v>
      </c>
      <c r="C17" s="3" t="str">
        <f>IFERROR(__xludf.DUMMYFUNCTION("""COMPUTED_VALUE"""),"Nebus.")</f>
        <v>Nebus.</v>
      </c>
      <c r="D17" s="3" t="str">
        <f>IFERROR(__xludf.DUMMYFUNCTION("""COMPUTED_VALUE"""),"Nebus. + ZeroO")</f>
        <v>Nebus. + ZeroO</v>
      </c>
      <c r="E17" s="3" t="str">
        <f>IFERROR(__xludf.DUMMYFUNCTION("""COMPUTED_VALUE"""),"Kesny + Malena")</f>
        <v>Kesny + Malena</v>
      </c>
      <c r="F17" s="3" t="str">
        <f>IFERROR(__xludf.DUMMYFUNCTION("""COMPUTED_VALUE"""),"win")</f>
        <v>win</v>
      </c>
      <c r="G17" s="3" t="str">
        <f>IFERROR(__xludf.DUMMYFUNCTION("""COMPUTED_VALUE"""),"2v2")</f>
        <v>2v2</v>
      </c>
      <c r="H17" s="3" t="str">
        <f>IFERROR(__xludf.DUMMYFUNCTION("IFERROR(TRIM(INDEX(SPLIT(E17,"" + ""),1)),"""")"),"Kesny")</f>
        <v>Kesny</v>
      </c>
      <c r="I17" s="3" t="str">
        <f>IFERROR(__xludf.DUMMYFUNCTION("IFERROR(TRIM(INDEX(SPLIT(E17,"" + ""),2)),"""")"),"Malena")</f>
        <v>Malena</v>
      </c>
      <c r="J17" s="5" t="str">
        <f>IFERROR(__xludf.DUMMYFUNCTION("IFERROR(TRIM(INDEX(SPLIT(E17,"" + ""),3)),"""")"),"")</f>
        <v/>
      </c>
      <c r="K17" s="3">
        <f>IFERROR(__xludf.DUMMYFUNCTION("IFERROR(IF(H17="""",0,INDEX(FILTER($Q$2:Q16,$C$2:C16=H17,$G$2:G16=G17),ROWS(FILTER($Q$2:Q16,$C$2:C16=H17,$G$2:G16=G17)),1)),1500)"),1469.0)</f>
        <v>1469</v>
      </c>
      <c r="L17" s="3">
        <f>IFERROR(__xludf.DUMMYFUNCTION("IFERROR(IF(I17="""",0,INDEX(FILTER($Q$2:Q16,$C$2:C16=I17,$G$2:G16=G17),ROWS(FILTER($Q$2:Q16,$C$2:C16=I17,$G$2:G16=G17)),1)),1500)"),1469.0)</f>
        <v>1469</v>
      </c>
      <c r="M17" s="3">
        <f>IFERROR(__xludf.DUMMYFUNCTION("IFERROR(IF(J17="""",0,INDEX(FILTER($Q$2:Q16,$C$2:C16=J17,$G$2:G16=G17),ROWS(FILTER($Q$2:Q16,$C$2:C16=J17,$G$2:G16=G17)),1)),1500)"),0.0)</f>
        <v>0</v>
      </c>
      <c r="N17" s="3">
        <f>IFERROR(__xludf.DUMMYFUNCTION("IFERROR(INDEX(FILTER($Q$2:Q16,$C$2:C16=C17,$G$2:G16=G17),ROWS(FILTER($Q$2:Q16,$C$2:C16=C17,$G$2:G16=G17)),1),1500)"),1517.0)</f>
        <v>1517</v>
      </c>
      <c r="O17" s="3">
        <f t="shared" si="3"/>
        <v>1469</v>
      </c>
      <c r="P17" s="9">
        <f t="shared" si="1"/>
        <v>14</v>
      </c>
      <c r="Q17" s="5">
        <f t="shared" si="2"/>
        <v>1531</v>
      </c>
    </row>
    <row r="18">
      <c r="A18" s="3" t="str">
        <f>IFERROR(__xludf.DUMMYFUNCTION("""COMPUTED_VALUE"""),"1v2C8p7sbgHIhu36PJV1BHt_a3hhLiFXR")</f>
        <v>1v2C8p7sbgHIhu36PJV1BHt_a3hhLiFXR</v>
      </c>
      <c r="B18" s="13">
        <f>IFERROR(__xludf.DUMMYFUNCTION("""COMPUTED_VALUE"""),45976.0)</f>
        <v>45976</v>
      </c>
      <c r="C18" s="3" t="str">
        <f>IFERROR(__xludf.DUMMYFUNCTION("""COMPUTED_VALUE"""),"Nebus.")</f>
        <v>Nebus.</v>
      </c>
      <c r="D18" s="3" t="str">
        <f>IFERROR(__xludf.DUMMYFUNCTION("""COMPUTED_VALUE"""),"Malena + Nebus.")</f>
        <v>Malena + Nebus.</v>
      </c>
      <c r="E18" s="3" t="str">
        <f>IFERROR(__xludf.DUMMYFUNCTION("""COMPUTED_VALUE"""),"Kesny + ZeroO")</f>
        <v>Kesny + ZeroO</v>
      </c>
      <c r="F18" s="3" t="str">
        <f>IFERROR(__xludf.DUMMYFUNCTION("""COMPUTED_VALUE"""),"loss")</f>
        <v>loss</v>
      </c>
      <c r="G18" s="3" t="str">
        <f>IFERROR(__xludf.DUMMYFUNCTION("""COMPUTED_VALUE"""),"2v2")</f>
        <v>2v2</v>
      </c>
      <c r="H18" s="3" t="str">
        <f>IFERROR(__xludf.DUMMYFUNCTION("IFERROR(TRIM(INDEX(SPLIT(E18,"" + ""),1)),"""")"),"Kesny")</f>
        <v>Kesny</v>
      </c>
      <c r="I18" s="3" t="str">
        <f>IFERROR(__xludf.DUMMYFUNCTION("IFERROR(TRIM(INDEX(SPLIT(E18,"" + ""),2)),"""")"),"ZeroO")</f>
        <v>ZeroO</v>
      </c>
      <c r="J18" s="5" t="str">
        <f>IFERROR(__xludf.DUMMYFUNCTION("IFERROR(TRIM(INDEX(SPLIT(E18,"" + ""),3)),"""")"),"")</f>
        <v/>
      </c>
      <c r="K18" s="3">
        <f>IFERROR(__xludf.DUMMYFUNCTION("IFERROR(IF(H18="""",0,INDEX(FILTER($Q$2:Q17,$C$2:C17=H18,$G$2:G17=G18),ROWS(FILTER($Q$2:Q17,$C$2:C17=H18,$G$2:G17=G18)),1)),1500)"),1469.0)</f>
        <v>1469</v>
      </c>
      <c r="L18" s="3">
        <f>IFERROR(__xludf.DUMMYFUNCTION("IFERROR(IF(I18="""",0,INDEX(FILTER($Q$2:Q17,$C$2:C17=I18,$G$2:G17=G18),ROWS(FILTER($Q$2:Q17,$C$2:C17=I18,$G$2:G17=G18)),1)),1500)"),1531.0)</f>
        <v>1531</v>
      </c>
      <c r="M18" s="3">
        <f>IFERROR(__xludf.DUMMYFUNCTION("IFERROR(IF(J18="""",0,INDEX(FILTER($Q$2:Q17,$C$2:C17=J18,$G$2:G17=G18),ROWS(FILTER($Q$2:Q17,$C$2:C17=J18,$G$2:G17=G18)),1)),1500)"),0.0)</f>
        <v>0</v>
      </c>
      <c r="N18" s="3">
        <f>IFERROR(__xludf.DUMMYFUNCTION("IFERROR(INDEX(FILTER($Q$2:Q17,$C$2:C17=C18,$G$2:G17=G18),ROWS(FILTER($Q$2:Q17,$C$2:C17=C18,$G$2:G17=G18)),1),1500)"),1531.0)</f>
        <v>1531</v>
      </c>
      <c r="O18" s="3">
        <f t="shared" si="3"/>
        <v>1500</v>
      </c>
      <c r="P18" s="9">
        <f t="shared" si="1"/>
        <v>-17</v>
      </c>
      <c r="Q18" s="5">
        <f t="shared" si="2"/>
        <v>1514</v>
      </c>
    </row>
    <row r="19">
      <c r="A19" s="3" t="str">
        <f>IFERROR(__xludf.DUMMYFUNCTION("""COMPUTED_VALUE"""),"1v2C8p7sbgHIhu36PJV1BHt_a3hhLiFXR")</f>
        <v>1v2C8p7sbgHIhu36PJV1BHt_a3hhLiFXR</v>
      </c>
      <c r="B19" s="13">
        <f>IFERROR(__xludf.DUMMYFUNCTION("""COMPUTED_VALUE"""),45976.0)</f>
        <v>45976</v>
      </c>
      <c r="C19" s="3" t="str">
        <f>IFERROR(__xludf.DUMMYFUNCTION("""COMPUTED_VALUE"""),"Malena")</f>
        <v>Malena</v>
      </c>
      <c r="D19" s="3" t="str">
        <f>IFERROR(__xludf.DUMMYFUNCTION("""COMPUTED_VALUE"""),"Malena + Nebus.")</f>
        <v>Malena + Nebus.</v>
      </c>
      <c r="E19" s="3" t="str">
        <f>IFERROR(__xludf.DUMMYFUNCTION("""COMPUTED_VALUE"""),"Kesny + ZeroO")</f>
        <v>Kesny + ZeroO</v>
      </c>
      <c r="F19" s="3" t="str">
        <f>IFERROR(__xludf.DUMMYFUNCTION("""COMPUTED_VALUE"""),"loss")</f>
        <v>loss</v>
      </c>
      <c r="G19" s="3" t="str">
        <f>IFERROR(__xludf.DUMMYFUNCTION("""COMPUTED_VALUE"""),"2v2")</f>
        <v>2v2</v>
      </c>
      <c r="H19" s="3" t="str">
        <f>IFERROR(__xludf.DUMMYFUNCTION("IFERROR(TRIM(INDEX(SPLIT(E19,"" + ""),1)),"""")"),"Kesny")</f>
        <v>Kesny</v>
      </c>
      <c r="I19" s="3" t="str">
        <f>IFERROR(__xludf.DUMMYFUNCTION("IFERROR(TRIM(INDEX(SPLIT(E19,"" + ""),2)),"""")"),"ZeroO")</f>
        <v>ZeroO</v>
      </c>
      <c r="J19" s="5" t="str">
        <f>IFERROR(__xludf.DUMMYFUNCTION("IFERROR(TRIM(INDEX(SPLIT(E19,"" + ""),3)),"""")"),"")</f>
        <v/>
      </c>
      <c r="K19" s="3">
        <f>IFERROR(__xludf.DUMMYFUNCTION("IFERROR(IF(H19="""",0,INDEX(FILTER($Q$2:Q18,$C$2:C18=H19,$G$2:G18=G19),ROWS(FILTER($Q$2:Q18,$C$2:C18=H19,$G$2:G18=G19)),1)),1500)"),1469.0)</f>
        <v>1469</v>
      </c>
      <c r="L19" s="3">
        <f>IFERROR(__xludf.DUMMYFUNCTION("IFERROR(IF(I19="""",0,INDEX(FILTER($Q$2:Q18,$C$2:C18=I19,$G$2:G18=G19),ROWS(FILTER($Q$2:Q18,$C$2:C18=I19,$G$2:G18=G19)),1)),1500)"),1531.0)</f>
        <v>1531</v>
      </c>
      <c r="M19" s="3">
        <f>IFERROR(__xludf.DUMMYFUNCTION("IFERROR(IF(J19="""",0,INDEX(FILTER($Q$2:Q18,$C$2:C18=J19,$G$2:G18=G19),ROWS(FILTER($Q$2:Q18,$C$2:C18=J19,$G$2:G18=G19)),1)),1500)"),0.0)</f>
        <v>0</v>
      </c>
      <c r="N19" s="3">
        <f>IFERROR(__xludf.DUMMYFUNCTION("IFERROR(INDEX(FILTER($Q$2:Q18,$C$2:C18=C19,$G$2:G18=G19),ROWS(FILTER($Q$2:Q18,$C$2:C18=C19,$G$2:G18=G19)),1),1500)"),1469.0)</f>
        <v>1469</v>
      </c>
      <c r="O19" s="3">
        <f t="shared" si="3"/>
        <v>1500</v>
      </c>
      <c r="P19" s="9">
        <f t="shared" si="1"/>
        <v>-15</v>
      </c>
      <c r="Q19" s="5">
        <f t="shared" si="2"/>
        <v>1454</v>
      </c>
    </row>
    <row r="20">
      <c r="A20" s="3" t="str">
        <f>IFERROR(__xludf.DUMMYFUNCTION("""COMPUTED_VALUE"""),"1v2C8p7sbgHIhu36PJV1BHt_a3hhLiFXR")</f>
        <v>1v2C8p7sbgHIhu36PJV1BHt_a3hhLiFXR</v>
      </c>
      <c r="B20" s="13">
        <f>IFERROR(__xludf.DUMMYFUNCTION("""COMPUTED_VALUE"""),45976.0)</f>
        <v>45976</v>
      </c>
      <c r="C20" s="3" t="str">
        <f>IFERROR(__xludf.DUMMYFUNCTION("""COMPUTED_VALUE"""),"Kesny")</f>
        <v>Kesny</v>
      </c>
      <c r="D20" s="3" t="str">
        <f>IFERROR(__xludf.DUMMYFUNCTION("""COMPUTED_VALUE"""),"Kesny + ZeroO")</f>
        <v>Kesny + ZeroO</v>
      </c>
      <c r="E20" s="3" t="str">
        <f>IFERROR(__xludf.DUMMYFUNCTION("""COMPUTED_VALUE"""),"Malena + Nebus.")</f>
        <v>Malena + Nebus.</v>
      </c>
      <c r="F20" s="3" t="str">
        <f>IFERROR(__xludf.DUMMYFUNCTION("""COMPUTED_VALUE"""),"win")</f>
        <v>win</v>
      </c>
      <c r="G20" s="3" t="str">
        <f>IFERROR(__xludf.DUMMYFUNCTION("""COMPUTED_VALUE"""),"2v2")</f>
        <v>2v2</v>
      </c>
      <c r="H20" s="3" t="str">
        <f>IFERROR(__xludf.DUMMYFUNCTION("IFERROR(TRIM(INDEX(SPLIT(E20,"" + ""),1)),"""")"),"Malena")</f>
        <v>Malena</v>
      </c>
      <c r="I20" s="3" t="str">
        <f>IFERROR(__xludf.DUMMYFUNCTION("IFERROR(TRIM(INDEX(SPLIT(E20,"" + ""),2)),"""")"),"Nebus.")</f>
        <v>Nebus.</v>
      </c>
      <c r="J20" s="5" t="str">
        <f>IFERROR(__xludf.DUMMYFUNCTION("IFERROR(TRIM(INDEX(SPLIT(E20,"" + ""),3)),"""")"),"")</f>
        <v/>
      </c>
      <c r="K20" s="3">
        <f>IFERROR(__xludf.DUMMYFUNCTION("IFERROR(IF(H20="""",0,INDEX(FILTER($Q$2:Q19,$C$2:C19=H20,$G$2:G19=G20),ROWS(FILTER($Q$2:Q19,$C$2:C19=H20,$G$2:G19=G20)),1)),1500)"),1454.0)</f>
        <v>1454</v>
      </c>
      <c r="L20" s="3">
        <f>IFERROR(__xludf.DUMMYFUNCTION("IFERROR(IF(I20="""",0,INDEX(FILTER($Q$2:Q19,$C$2:C19=I20,$G$2:G19=G20),ROWS(FILTER($Q$2:Q19,$C$2:C19=I20,$G$2:G19=G20)),1)),1500)"),1514.0)</f>
        <v>1514</v>
      </c>
      <c r="M20" s="3">
        <f>IFERROR(__xludf.DUMMYFUNCTION("IFERROR(IF(J20="""",0,INDEX(FILTER($Q$2:Q19,$C$2:C19=J20,$G$2:G19=G20),ROWS(FILTER($Q$2:Q19,$C$2:C19=J20,$G$2:G19=G20)),1)),1500)"),0.0)</f>
        <v>0</v>
      </c>
      <c r="N20" s="3">
        <f>IFERROR(__xludf.DUMMYFUNCTION("IFERROR(INDEX(FILTER($Q$2:Q19,$C$2:C19=C20,$G$2:G19=G20),ROWS(FILTER($Q$2:Q19,$C$2:C19=C20,$G$2:G19=G20)),1),1500)"),1469.0)</f>
        <v>1469</v>
      </c>
      <c r="O20" s="3">
        <f t="shared" si="3"/>
        <v>1484</v>
      </c>
      <c r="P20" s="9">
        <f t="shared" si="1"/>
        <v>17</v>
      </c>
      <c r="Q20" s="5">
        <f t="shared" si="2"/>
        <v>1486</v>
      </c>
    </row>
    <row r="21">
      <c r="A21" s="3" t="str">
        <f>IFERROR(__xludf.DUMMYFUNCTION("""COMPUTED_VALUE"""),"1v2C8p7sbgHIhu36PJV1BHt_a3hhLiFXR")</f>
        <v>1v2C8p7sbgHIhu36PJV1BHt_a3hhLiFXR</v>
      </c>
      <c r="B21" s="13">
        <f>IFERROR(__xludf.DUMMYFUNCTION("""COMPUTED_VALUE"""),45976.0)</f>
        <v>45976</v>
      </c>
      <c r="C21" s="3" t="str">
        <f>IFERROR(__xludf.DUMMYFUNCTION("""COMPUTED_VALUE"""),"ZeroO")</f>
        <v>ZeroO</v>
      </c>
      <c r="D21" s="3" t="str">
        <f>IFERROR(__xludf.DUMMYFUNCTION("""COMPUTED_VALUE"""),"Kesny + ZeroO")</f>
        <v>Kesny + ZeroO</v>
      </c>
      <c r="E21" s="3" t="str">
        <f>IFERROR(__xludf.DUMMYFUNCTION("""COMPUTED_VALUE"""),"Malena + Nebus.")</f>
        <v>Malena + Nebus.</v>
      </c>
      <c r="F21" s="3" t="str">
        <f>IFERROR(__xludf.DUMMYFUNCTION("""COMPUTED_VALUE"""),"win")</f>
        <v>win</v>
      </c>
      <c r="G21" s="3" t="str">
        <f>IFERROR(__xludf.DUMMYFUNCTION("""COMPUTED_VALUE"""),"2v2")</f>
        <v>2v2</v>
      </c>
      <c r="H21" s="3" t="str">
        <f>IFERROR(__xludf.DUMMYFUNCTION("IFERROR(TRIM(INDEX(SPLIT(E21,"" + ""),1)),"""")"),"Malena")</f>
        <v>Malena</v>
      </c>
      <c r="I21" s="3" t="str">
        <f>IFERROR(__xludf.DUMMYFUNCTION("IFERROR(TRIM(INDEX(SPLIT(E21,"" + ""),2)),"""")"),"Nebus.")</f>
        <v>Nebus.</v>
      </c>
      <c r="J21" s="5" t="str">
        <f>IFERROR(__xludf.DUMMYFUNCTION("IFERROR(TRIM(INDEX(SPLIT(E21,"" + ""),3)),"""")"),"")</f>
        <v/>
      </c>
      <c r="K21" s="3">
        <f>IFERROR(__xludf.DUMMYFUNCTION("IFERROR(IF(H21="""",0,INDEX(FILTER($Q$2:Q20,$C$2:C20=H21,$G$2:G20=G21),ROWS(FILTER($Q$2:Q20,$C$2:C20=H21,$G$2:G20=G21)),1)),1500)"),1454.0)</f>
        <v>1454</v>
      </c>
      <c r="L21" s="3">
        <f>IFERROR(__xludf.DUMMYFUNCTION("IFERROR(IF(I21="""",0,INDEX(FILTER($Q$2:Q20,$C$2:C20=I21,$G$2:G20=G21),ROWS(FILTER($Q$2:Q20,$C$2:C20=I21,$G$2:G20=G21)),1)),1500)"),1514.0)</f>
        <v>1514</v>
      </c>
      <c r="M21" s="3">
        <f>IFERROR(__xludf.DUMMYFUNCTION("IFERROR(IF(J21="""",0,INDEX(FILTER($Q$2:Q20,$C$2:C20=J21,$G$2:G20=G21),ROWS(FILTER($Q$2:Q20,$C$2:C20=J21,$G$2:G20=G21)),1)),1500)"),0.0)</f>
        <v>0</v>
      </c>
      <c r="N21" s="3">
        <f>IFERROR(__xludf.DUMMYFUNCTION("IFERROR(INDEX(FILTER($Q$2:Q20,$C$2:C20=C21,$G$2:G20=G21),ROWS(FILTER($Q$2:Q20,$C$2:C20=C21,$G$2:G20=G21)),1),1500)"),1531.0)</f>
        <v>1531</v>
      </c>
      <c r="O21" s="3">
        <f t="shared" si="3"/>
        <v>1484</v>
      </c>
      <c r="P21" s="9">
        <f t="shared" si="1"/>
        <v>14</v>
      </c>
      <c r="Q21" s="5">
        <f t="shared" si="2"/>
        <v>1545</v>
      </c>
    </row>
    <row r="22">
      <c r="A22" s="3" t="str">
        <f>IFERROR(__xludf.DUMMYFUNCTION("""COMPUTED_VALUE"""),"1As2GAOMVmHmrfefGtl6MVT-1QggnVRCq")</f>
        <v>1As2GAOMVmHmrfefGtl6MVT-1QggnVRCq</v>
      </c>
      <c r="B22" s="13">
        <f>IFERROR(__xludf.DUMMYFUNCTION("""COMPUTED_VALUE"""),45976.0)</f>
        <v>45976</v>
      </c>
      <c r="C22" s="3" t="str">
        <f>IFERROR(__xludf.DUMMYFUNCTION("""COMPUTED_VALUE"""),"Nebus.")</f>
        <v>Nebus.</v>
      </c>
      <c r="D22" s="3" t="str">
        <f>IFERROR(__xludf.DUMMYFUNCTION("""COMPUTED_VALUE"""),"Malena + Nebus.")</f>
        <v>Malena + Nebus.</v>
      </c>
      <c r="E22" s="3" t="str">
        <f>IFERROR(__xludf.DUMMYFUNCTION("""COMPUTED_VALUE"""),"Kesny + ZeroO")</f>
        <v>Kesny + ZeroO</v>
      </c>
      <c r="F22" s="3" t="str">
        <f>IFERROR(__xludf.DUMMYFUNCTION("""COMPUTED_VALUE"""),"loss")</f>
        <v>loss</v>
      </c>
      <c r="G22" s="3" t="str">
        <f>IFERROR(__xludf.DUMMYFUNCTION("""COMPUTED_VALUE"""),"2v2")</f>
        <v>2v2</v>
      </c>
      <c r="H22" s="3" t="str">
        <f>IFERROR(__xludf.DUMMYFUNCTION("IFERROR(TRIM(INDEX(SPLIT(E22,"" + ""),1)),"""")"),"Kesny")</f>
        <v>Kesny</v>
      </c>
      <c r="I22" s="3" t="str">
        <f>IFERROR(__xludf.DUMMYFUNCTION("IFERROR(TRIM(INDEX(SPLIT(E22,"" + ""),2)),"""")"),"ZeroO")</f>
        <v>ZeroO</v>
      </c>
      <c r="J22" s="5" t="str">
        <f>IFERROR(__xludf.DUMMYFUNCTION("IFERROR(TRIM(INDEX(SPLIT(E22,"" + ""),3)),"""")"),"")</f>
        <v/>
      </c>
      <c r="K22" s="3">
        <f>IFERROR(__xludf.DUMMYFUNCTION("IFERROR(IF(H22="""",0,INDEX(FILTER($Q$2:Q21,$C$2:C21=H22,$G$2:G21=G22),ROWS(FILTER($Q$2:Q21,$C$2:C21=H22,$G$2:G21=G22)),1)),1500)"),1486.0)</f>
        <v>1486</v>
      </c>
      <c r="L22" s="3">
        <f>IFERROR(__xludf.DUMMYFUNCTION("IFERROR(IF(I22="""",0,INDEX(FILTER($Q$2:Q21,$C$2:C21=I22,$G$2:G21=G22),ROWS(FILTER($Q$2:Q21,$C$2:C21=I22,$G$2:G21=G22)),1)),1500)"),1545.0)</f>
        <v>1545</v>
      </c>
      <c r="M22" s="3">
        <f>IFERROR(__xludf.DUMMYFUNCTION("IFERROR(IF(J22="""",0,INDEX(FILTER($Q$2:Q21,$C$2:C21=J22,$G$2:G21=G22),ROWS(FILTER($Q$2:Q21,$C$2:C21=J22,$G$2:G21=G22)),1)),1500)"),0.0)</f>
        <v>0</v>
      </c>
      <c r="N22" s="3">
        <f>IFERROR(__xludf.DUMMYFUNCTION("IFERROR(INDEX(FILTER($Q$2:Q21,$C$2:C21=C22,$G$2:G21=G22),ROWS(FILTER($Q$2:Q21,$C$2:C21=C22,$G$2:G21=G22)),1),1500)"),1514.0)</f>
        <v>1514</v>
      </c>
      <c r="O22" s="3">
        <f t="shared" si="3"/>
        <v>1515.5</v>
      </c>
      <c r="P22" s="9">
        <f t="shared" si="1"/>
        <v>-16</v>
      </c>
      <c r="Q22" s="5">
        <f t="shared" si="2"/>
        <v>1498</v>
      </c>
    </row>
    <row r="23">
      <c r="A23" s="3" t="str">
        <f>IFERROR(__xludf.DUMMYFUNCTION("""COMPUTED_VALUE"""),"1As2GAOMVmHmrfefGtl6MVT-1QggnVRCq")</f>
        <v>1As2GAOMVmHmrfefGtl6MVT-1QggnVRCq</v>
      </c>
      <c r="B23" s="13">
        <f>IFERROR(__xludf.DUMMYFUNCTION("""COMPUTED_VALUE"""),45976.0)</f>
        <v>45976</v>
      </c>
      <c r="C23" s="3" t="str">
        <f>IFERROR(__xludf.DUMMYFUNCTION("""COMPUTED_VALUE"""),"Malena")</f>
        <v>Malena</v>
      </c>
      <c r="D23" s="3" t="str">
        <f>IFERROR(__xludf.DUMMYFUNCTION("""COMPUTED_VALUE"""),"Malena + Nebus.")</f>
        <v>Malena + Nebus.</v>
      </c>
      <c r="E23" s="3" t="str">
        <f>IFERROR(__xludf.DUMMYFUNCTION("""COMPUTED_VALUE"""),"Kesny + ZeroO")</f>
        <v>Kesny + ZeroO</v>
      </c>
      <c r="F23" s="3" t="str">
        <f>IFERROR(__xludf.DUMMYFUNCTION("""COMPUTED_VALUE"""),"loss")</f>
        <v>loss</v>
      </c>
      <c r="G23" s="3" t="str">
        <f>IFERROR(__xludf.DUMMYFUNCTION("""COMPUTED_VALUE"""),"2v2")</f>
        <v>2v2</v>
      </c>
      <c r="H23" s="3" t="str">
        <f>IFERROR(__xludf.DUMMYFUNCTION("IFERROR(TRIM(INDEX(SPLIT(E23,"" + ""),1)),"""")"),"Kesny")</f>
        <v>Kesny</v>
      </c>
      <c r="I23" s="3" t="str">
        <f>IFERROR(__xludf.DUMMYFUNCTION("IFERROR(TRIM(INDEX(SPLIT(E23,"" + ""),2)),"""")"),"ZeroO")</f>
        <v>ZeroO</v>
      </c>
      <c r="J23" s="5" t="str">
        <f>IFERROR(__xludf.DUMMYFUNCTION("IFERROR(TRIM(INDEX(SPLIT(E23,"" + ""),3)),"""")"),"")</f>
        <v/>
      </c>
      <c r="K23" s="3">
        <f>IFERROR(__xludf.DUMMYFUNCTION("IFERROR(IF(H23="""",0,INDEX(FILTER($Q$2:Q22,$C$2:C22=H23,$G$2:G22=G23),ROWS(FILTER($Q$2:Q22,$C$2:C22=H23,$G$2:G22=G23)),1)),1500)"),1486.0)</f>
        <v>1486</v>
      </c>
      <c r="L23" s="3">
        <f>IFERROR(__xludf.DUMMYFUNCTION("IFERROR(IF(I23="""",0,INDEX(FILTER($Q$2:Q22,$C$2:C22=I23,$G$2:G22=G23),ROWS(FILTER($Q$2:Q22,$C$2:C22=I23,$G$2:G22=G23)),1)),1500)"),1545.0)</f>
        <v>1545</v>
      </c>
      <c r="M23" s="3">
        <f>IFERROR(__xludf.DUMMYFUNCTION("IFERROR(IF(J23="""",0,INDEX(FILTER($Q$2:Q22,$C$2:C22=J23,$G$2:G22=G23),ROWS(FILTER($Q$2:Q22,$C$2:C22=J23,$G$2:G22=G23)),1)),1500)"),0.0)</f>
        <v>0</v>
      </c>
      <c r="N23" s="3">
        <f>IFERROR(__xludf.DUMMYFUNCTION("IFERROR(INDEX(FILTER($Q$2:Q22,$C$2:C22=C23,$G$2:G22=G23),ROWS(FILTER($Q$2:Q22,$C$2:C22=C23,$G$2:G22=G23)),1),1500)"),1454.0)</f>
        <v>1454</v>
      </c>
      <c r="O23" s="3">
        <f t="shared" si="3"/>
        <v>1515.5</v>
      </c>
      <c r="P23" s="9">
        <f t="shared" si="1"/>
        <v>-13</v>
      </c>
      <c r="Q23" s="5">
        <f t="shared" si="2"/>
        <v>1441</v>
      </c>
    </row>
    <row r="24">
      <c r="A24" s="3" t="str">
        <f>IFERROR(__xludf.DUMMYFUNCTION("""COMPUTED_VALUE"""),"1As2GAOMVmHmrfefGtl6MVT-1QggnVRCq")</f>
        <v>1As2GAOMVmHmrfefGtl6MVT-1QggnVRCq</v>
      </c>
      <c r="B24" s="13">
        <f>IFERROR(__xludf.DUMMYFUNCTION("""COMPUTED_VALUE"""),45976.0)</f>
        <v>45976</v>
      </c>
      <c r="C24" s="3" t="str">
        <f>IFERROR(__xludf.DUMMYFUNCTION("""COMPUTED_VALUE"""),"Kesny")</f>
        <v>Kesny</v>
      </c>
      <c r="D24" s="3" t="str">
        <f>IFERROR(__xludf.DUMMYFUNCTION("""COMPUTED_VALUE"""),"Kesny + ZeroO")</f>
        <v>Kesny + ZeroO</v>
      </c>
      <c r="E24" s="3" t="str">
        <f>IFERROR(__xludf.DUMMYFUNCTION("""COMPUTED_VALUE"""),"Malena + Nebus.")</f>
        <v>Malena + Nebus.</v>
      </c>
      <c r="F24" s="3" t="str">
        <f>IFERROR(__xludf.DUMMYFUNCTION("""COMPUTED_VALUE"""),"win")</f>
        <v>win</v>
      </c>
      <c r="G24" s="3" t="str">
        <f>IFERROR(__xludf.DUMMYFUNCTION("""COMPUTED_VALUE"""),"2v2")</f>
        <v>2v2</v>
      </c>
      <c r="H24" s="3" t="str">
        <f>IFERROR(__xludf.DUMMYFUNCTION("IFERROR(TRIM(INDEX(SPLIT(E24,"" + ""),1)),"""")"),"Malena")</f>
        <v>Malena</v>
      </c>
      <c r="I24" s="3" t="str">
        <f>IFERROR(__xludf.DUMMYFUNCTION("IFERROR(TRIM(INDEX(SPLIT(E24,"" + ""),2)),"""")"),"Nebus.")</f>
        <v>Nebus.</v>
      </c>
      <c r="J24" s="5" t="str">
        <f>IFERROR(__xludf.DUMMYFUNCTION("IFERROR(TRIM(INDEX(SPLIT(E24,"" + ""),3)),"""")"),"")</f>
        <v/>
      </c>
      <c r="K24" s="3">
        <f>IFERROR(__xludf.DUMMYFUNCTION("IFERROR(IF(H24="""",0,INDEX(FILTER($Q$2:Q23,$C$2:C23=H24,$G$2:G23=G24),ROWS(FILTER($Q$2:Q23,$C$2:C23=H24,$G$2:G23=G24)),1)),1500)"),1441.0)</f>
        <v>1441</v>
      </c>
      <c r="L24" s="3">
        <f>IFERROR(__xludf.DUMMYFUNCTION("IFERROR(IF(I24="""",0,INDEX(FILTER($Q$2:Q23,$C$2:C23=I24,$G$2:G23=G24),ROWS(FILTER($Q$2:Q23,$C$2:C23=I24,$G$2:G23=G24)),1)),1500)"),1498.0)</f>
        <v>1498</v>
      </c>
      <c r="M24" s="3">
        <f>IFERROR(__xludf.DUMMYFUNCTION("IFERROR(IF(J24="""",0,INDEX(FILTER($Q$2:Q23,$C$2:C23=J24,$G$2:G23=G24),ROWS(FILTER($Q$2:Q23,$C$2:C23=J24,$G$2:G23=G24)),1)),1500)"),0.0)</f>
        <v>0</v>
      </c>
      <c r="N24" s="3">
        <f>IFERROR(__xludf.DUMMYFUNCTION("IFERROR(INDEX(FILTER($Q$2:Q23,$C$2:C23=C24,$G$2:G23=G24),ROWS(FILTER($Q$2:Q23,$C$2:C23=C24,$G$2:G23=G24)),1),1500)"),1486.0)</f>
        <v>1486</v>
      </c>
      <c r="O24" s="3">
        <f t="shared" si="3"/>
        <v>1469.5</v>
      </c>
      <c r="P24" s="9">
        <f t="shared" si="1"/>
        <v>15</v>
      </c>
      <c r="Q24" s="5">
        <f t="shared" si="2"/>
        <v>1501</v>
      </c>
    </row>
    <row r="25">
      <c r="A25" s="3" t="str">
        <f>IFERROR(__xludf.DUMMYFUNCTION("""COMPUTED_VALUE"""),"1As2GAOMVmHmrfefGtl6MVT-1QggnVRCq")</f>
        <v>1As2GAOMVmHmrfefGtl6MVT-1QggnVRCq</v>
      </c>
      <c r="B25" s="13">
        <f>IFERROR(__xludf.DUMMYFUNCTION("""COMPUTED_VALUE"""),45976.0)</f>
        <v>45976</v>
      </c>
      <c r="C25" s="3" t="str">
        <f>IFERROR(__xludf.DUMMYFUNCTION("""COMPUTED_VALUE"""),"ZeroO")</f>
        <v>ZeroO</v>
      </c>
      <c r="D25" s="3" t="str">
        <f>IFERROR(__xludf.DUMMYFUNCTION("""COMPUTED_VALUE"""),"Kesny + ZeroO")</f>
        <v>Kesny + ZeroO</v>
      </c>
      <c r="E25" s="3" t="str">
        <f>IFERROR(__xludf.DUMMYFUNCTION("""COMPUTED_VALUE"""),"Malena + Nebus.")</f>
        <v>Malena + Nebus.</v>
      </c>
      <c r="F25" s="3" t="str">
        <f>IFERROR(__xludf.DUMMYFUNCTION("""COMPUTED_VALUE"""),"win")</f>
        <v>win</v>
      </c>
      <c r="G25" s="3" t="str">
        <f>IFERROR(__xludf.DUMMYFUNCTION("""COMPUTED_VALUE"""),"2v2")</f>
        <v>2v2</v>
      </c>
      <c r="H25" s="3" t="str">
        <f>IFERROR(__xludf.DUMMYFUNCTION("IFERROR(TRIM(INDEX(SPLIT(E25,"" + ""),1)),"""")"),"Malena")</f>
        <v>Malena</v>
      </c>
      <c r="I25" s="3" t="str">
        <f>IFERROR(__xludf.DUMMYFUNCTION("IFERROR(TRIM(INDEX(SPLIT(E25,"" + ""),2)),"""")"),"Nebus.")</f>
        <v>Nebus.</v>
      </c>
      <c r="J25" s="5" t="str">
        <f>IFERROR(__xludf.DUMMYFUNCTION("IFERROR(TRIM(INDEX(SPLIT(E25,"" + ""),3)),"""")"),"")</f>
        <v/>
      </c>
      <c r="K25" s="3">
        <f>IFERROR(__xludf.DUMMYFUNCTION("IFERROR(IF(H25="""",0,INDEX(FILTER($Q$2:Q24,$C$2:C24=H25,$G$2:G24=G25),ROWS(FILTER($Q$2:Q24,$C$2:C24=H25,$G$2:G24=G25)),1)),1500)"),1441.0)</f>
        <v>1441</v>
      </c>
      <c r="L25" s="3">
        <f>IFERROR(__xludf.DUMMYFUNCTION("IFERROR(IF(I25="""",0,INDEX(FILTER($Q$2:Q24,$C$2:C24=I25,$G$2:G24=G25),ROWS(FILTER($Q$2:Q24,$C$2:C24=I25,$G$2:G24=G25)),1)),1500)"),1498.0)</f>
        <v>1498</v>
      </c>
      <c r="M25" s="3">
        <f>IFERROR(__xludf.DUMMYFUNCTION("IFERROR(IF(J25="""",0,INDEX(FILTER($Q$2:Q24,$C$2:C24=J25,$G$2:G24=G25),ROWS(FILTER($Q$2:Q24,$C$2:C24=J25,$G$2:G24=G25)),1)),1500)"),0.0)</f>
        <v>0</v>
      </c>
      <c r="N25" s="3">
        <f>IFERROR(__xludf.DUMMYFUNCTION("IFERROR(INDEX(FILTER($Q$2:Q24,$C$2:C24=C25,$G$2:G24=G25),ROWS(FILTER($Q$2:Q24,$C$2:C24=C25,$G$2:G24=G25)),1),1500)"),1545.0)</f>
        <v>1545</v>
      </c>
      <c r="O25" s="3">
        <f t="shared" si="3"/>
        <v>1469.5</v>
      </c>
      <c r="P25" s="9">
        <f t="shared" si="1"/>
        <v>13</v>
      </c>
      <c r="Q25" s="5">
        <f t="shared" si="2"/>
        <v>1558</v>
      </c>
    </row>
    <row r="26">
      <c r="A26" s="3" t="str">
        <f>IFERROR(__xludf.DUMMYFUNCTION("""COMPUTED_VALUE"""),"1rz8-Icsok4sE9EtZYW3DoWFskZJYNl_w")</f>
        <v>1rz8-Icsok4sE9EtZYW3DoWFskZJYNl_w</v>
      </c>
      <c r="B26" s="13">
        <f>IFERROR(__xludf.DUMMYFUNCTION("""COMPUTED_VALUE"""),45976.0)</f>
        <v>45976</v>
      </c>
      <c r="C26" s="3" t="str">
        <f>IFERROR(__xludf.DUMMYFUNCTION("""COMPUTED_VALUE"""),"Malena")</f>
        <v>Malena</v>
      </c>
      <c r="D26" s="3" t="str">
        <f>IFERROR(__xludf.DUMMYFUNCTION("""COMPUTED_VALUE"""),"Malena + Tess1509")</f>
        <v>Malena + Tess1509</v>
      </c>
      <c r="E26" s="3" t="str">
        <f>IFERROR(__xludf.DUMMYFUNCTION("""COMPUTED_VALUE"""),"Nebus. + ZeroO")</f>
        <v>Nebus. + ZeroO</v>
      </c>
      <c r="F26" s="3" t="str">
        <f>IFERROR(__xludf.DUMMYFUNCTION("""COMPUTED_VALUE"""),"loss")</f>
        <v>loss</v>
      </c>
      <c r="G26" s="3" t="str">
        <f>IFERROR(__xludf.DUMMYFUNCTION("""COMPUTED_VALUE"""),"2v2")</f>
        <v>2v2</v>
      </c>
      <c r="H26" s="3" t="str">
        <f>IFERROR(__xludf.DUMMYFUNCTION("IFERROR(TRIM(INDEX(SPLIT(E26,"" + ""),1)),"""")"),"Nebus.")</f>
        <v>Nebus.</v>
      </c>
      <c r="I26" s="3" t="str">
        <f>IFERROR(__xludf.DUMMYFUNCTION("IFERROR(TRIM(INDEX(SPLIT(E26,"" + ""),2)),"""")"),"ZeroO")</f>
        <v>ZeroO</v>
      </c>
      <c r="J26" s="5" t="str">
        <f>IFERROR(__xludf.DUMMYFUNCTION("IFERROR(TRIM(INDEX(SPLIT(E26,"" + ""),3)),"""")"),"")</f>
        <v/>
      </c>
      <c r="K26" s="3">
        <f>IFERROR(__xludf.DUMMYFUNCTION("IFERROR(IF(H26="""",0,INDEX(FILTER($Q$2:Q25,$C$2:C25=H26,$G$2:G25=G26),ROWS(FILTER($Q$2:Q25,$C$2:C25=H26,$G$2:G25=G26)),1)),1500)"),1498.0)</f>
        <v>1498</v>
      </c>
      <c r="L26" s="3">
        <f>IFERROR(__xludf.DUMMYFUNCTION("IFERROR(IF(I26="""",0,INDEX(FILTER($Q$2:Q25,$C$2:C25=I26,$G$2:G25=G26),ROWS(FILTER($Q$2:Q25,$C$2:C25=I26,$G$2:G25=G26)),1)),1500)"),1558.0)</f>
        <v>1558</v>
      </c>
      <c r="M26" s="3">
        <f>IFERROR(__xludf.DUMMYFUNCTION("IFERROR(IF(J26="""",0,INDEX(FILTER($Q$2:Q25,$C$2:C25=J26,$G$2:G25=G26),ROWS(FILTER($Q$2:Q25,$C$2:C25=J26,$G$2:G25=G26)),1)),1500)"),0.0)</f>
        <v>0</v>
      </c>
      <c r="N26" s="3">
        <f>IFERROR(__xludf.DUMMYFUNCTION("IFERROR(INDEX(FILTER($Q$2:Q25,$C$2:C25=C26,$G$2:G25=G26),ROWS(FILTER($Q$2:Q25,$C$2:C25=C26,$G$2:G25=G26)),1),1500)"),1441.0)</f>
        <v>1441</v>
      </c>
      <c r="O26" s="3">
        <f t="shared" si="3"/>
        <v>1528</v>
      </c>
      <c r="P26" s="9">
        <f t="shared" si="1"/>
        <v>-12</v>
      </c>
      <c r="Q26" s="5">
        <f t="shared" si="2"/>
        <v>1429</v>
      </c>
    </row>
    <row r="27">
      <c r="A27" s="3" t="str">
        <f>IFERROR(__xludf.DUMMYFUNCTION("""COMPUTED_VALUE"""),"1rz8-Icsok4sE9EtZYW3DoWFskZJYNl_w")</f>
        <v>1rz8-Icsok4sE9EtZYW3DoWFskZJYNl_w</v>
      </c>
      <c r="B27" s="13">
        <f>IFERROR(__xludf.DUMMYFUNCTION("""COMPUTED_VALUE"""),45976.0)</f>
        <v>45976</v>
      </c>
      <c r="C27" s="3" t="str">
        <f>IFERROR(__xludf.DUMMYFUNCTION("""COMPUTED_VALUE"""),"Tess1509")</f>
        <v>Tess1509</v>
      </c>
      <c r="D27" s="3" t="str">
        <f>IFERROR(__xludf.DUMMYFUNCTION("""COMPUTED_VALUE"""),"Malena + Tess1509")</f>
        <v>Malena + Tess1509</v>
      </c>
      <c r="E27" s="3" t="str">
        <f>IFERROR(__xludf.DUMMYFUNCTION("""COMPUTED_VALUE"""),"Nebus. + ZeroO")</f>
        <v>Nebus. + ZeroO</v>
      </c>
      <c r="F27" s="3" t="str">
        <f>IFERROR(__xludf.DUMMYFUNCTION("""COMPUTED_VALUE"""),"loss")</f>
        <v>loss</v>
      </c>
      <c r="G27" s="3" t="str">
        <f>IFERROR(__xludf.DUMMYFUNCTION("""COMPUTED_VALUE"""),"2v2")</f>
        <v>2v2</v>
      </c>
      <c r="H27" s="3" t="str">
        <f>IFERROR(__xludf.DUMMYFUNCTION("IFERROR(TRIM(INDEX(SPLIT(E27,"" + ""),1)),"""")"),"Nebus.")</f>
        <v>Nebus.</v>
      </c>
      <c r="I27" s="3" t="str">
        <f>IFERROR(__xludf.DUMMYFUNCTION("IFERROR(TRIM(INDEX(SPLIT(E27,"" + ""),2)),"""")"),"ZeroO")</f>
        <v>ZeroO</v>
      </c>
      <c r="J27" s="5" t="str">
        <f>IFERROR(__xludf.DUMMYFUNCTION("IFERROR(TRIM(INDEX(SPLIT(E27,"" + ""),3)),"""")"),"")</f>
        <v/>
      </c>
      <c r="K27" s="3">
        <f>IFERROR(__xludf.DUMMYFUNCTION("IFERROR(IF(H27="""",0,INDEX(FILTER($Q$2:Q26,$C$2:C26=H27,$G$2:G26=G27),ROWS(FILTER($Q$2:Q26,$C$2:C26=H27,$G$2:G26=G27)),1)),1500)"),1498.0)</f>
        <v>1498</v>
      </c>
      <c r="L27" s="3">
        <f>IFERROR(__xludf.DUMMYFUNCTION("IFERROR(IF(I27="""",0,INDEX(FILTER($Q$2:Q26,$C$2:C26=I27,$G$2:G26=G27),ROWS(FILTER($Q$2:Q26,$C$2:C26=I27,$G$2:G26=G27)),1)),1500)"),1558.0)</f>
        <v>1558</v>
      </c>
      <c r="M27" s="3">
        <f>IFERROR(__xludf.DUMMYFUNCTION("IFERROR(IF(J27="""",0,INDEX(FILTER($Q$2:Q26,$C$2:C26=J27,$G$2:G26=G27),ROWS(FILTER($Q$2:Q26,$C$2:C26=J27,$G$2:G26=G27)),1)),1500)"),0.0)</f>
        <v>0</v>
      </c>
      <c r="N27" s="3">
        <f>IFERROR(__xludf.DUMMYFUNCTION("IFERROR(INDEX(FILTER($Q$2:Q26,$C$2:C26=C27,$G$2:G26=G27),ROWS(FILTER($Q$2:Q26,$C$2:C26=C27,$G$2:G26=G27)),1),1500)"),1500.0)</f>
        <v>1500</v>
      </c>
      <c r="O27" s="3">
        <f t="shared" si="3"/>
        <v>1528</v>
      </c>
      <c r="P27" s="9">
        <f t="shared" si="1"/>
        <v>-15</v>
      </c>
      <c r="Q27" s="5">
        <f t="shared" si="2"/>
        <v>1485</v>
      </c>
    </row>
    <row r="28">
      <c r="A28" s="3" t="str">
        <f>IFERROR(__xludf.DUMMYFUNCTION("""COMPUTED_VALUE"""),"1rz8-Icsok4sE9EtZYW3DoWFskZJYNl_w")</f>
        <v>1rz8-Icsok4sE9EtZYW3DoWFskZJYNl_w</v>
      </c>
      <c r="B28" s="13">
        <f>IFERROR(__xludf.DUMMYFUNCTION("""COMPUTED_VALUE"""),45976.0)</f>
        <v>45976</v>
      </c>
      <c r="C28" s="3" t="str">
        <f>IFERROR(__xludf.DUMMYFUNCTION("""COMPUTED_VALUE"""),"ZeroO")</f>
        <v>ZeroO</v>
      </c>
      <c r="D28" s="3" t="str">
        <f>IFERROR(__xludf.DUMMYFUNCTION("""COMPUTED_VALUE"""),"Nebus. + ZeroO")</f>
        <v>Nebus. + ZeroO</v>
      </c>
      <c r="E28" s="3" t="str">
        <f>IFERROR(__xludf.DUMMYFUNCTION("""COMPUTED_VALUE"""),"Malena + Tess1509")</f>
        <v>Malena + Tess1509</v>
      </c>
      <c r="F28" s="3" t="str">
        <f>IFERROR(__xludf.DUMMYFUNCTION("""COMPUTED_VALUE"""),"win")</f>
        <v>win</v>
      </c>
      <c r="G28" s="3" t="str">
        <f>IFERROR(__xludf.DUMMYFUNCTION("""COMPUTED_VALUE"""),"2v2")</f>
        <v>2v2</v>
      </c>
      <c r="H28" s="3" t="str">
        <f>IFERROR(__xludf.DUMMYFUNCTION("IFERROR(TRIM(INDEX(SPLIT(E28,"" + ""),1)),"""")"),"Malena")</f>
        <v>Malena</v>
      </c>
      <c r="I28" s="3" t="str">
        <f>IFERROR(__xludf.DUMMYFUNCTION("IFERROR(TRIM(INDEX(SPLIT(E28,"" + ""),2)),"""")"),"Tess1509")</f>
        <v>Tess1509</v>
      </c>
      <c r="J28" s="5" t="str">
        <f>IFERROR(__xludf.DUMMYFUNCTION("IFERROR(TRIM(INDEX(SPLIT(E28,"" + ""),3)),"""")"),"")</f>
        <v/>
      </c>
      <c r="K28" s="3">
        <f>IFERROR(__xludf.DUMMYFUNCTION("IFERROR(IF(H28="""",0,INDEX(FILTER($Q$2:Q27,$C$2:C27=H28,$G$2:G27=G28),ROWS(FILTER($Q$2:Q27,$C$2:C27=H28,$G$2:G27=G28)),1)),1500)"),1429.0)</f>
        <v>1429</v>
      </c>
      <c r="L28" s="3">
        <f>IFERROR(__xludf.DUMMYFUNCTION("IFERROR(IF(I28="""",0,INDEX(FILTER($Q$2:Q27,$C$2:C27=I28,$G$2:G27=G28),ROWS(FILTER($Q$2:Q27,$C$2:C27=I28,$G$2:G27=G28)),1)),1500)"),1485.0)</f>
        <v>1485</v>
      </c>
      <c r="M28" s="3">
        <f>IFERROR(__xludf.DUMMYFUNCTION("IFERROR(IF(J28="""",0,INDEX(FILTER($Q$2:Q27,$C$2:C27=J28,$G$2:G27=G28),ROWS(FILTER($Q$2:Q27,$C$2:C27=J28,$G$2:G27=G28)),1)),1500)"),0.0)</f>
        <v>0</v>
      </c>
      <c r="N28" s="3">
        <f>IFERROR(__xludf.DUMMYFUNCTION("IFERROR(INDEX(FILTER($Q$2:Q27,$C$2:C27=C28,$G$2:G27=G28),ROWS(FILTER($Q$2:Q27,$C$2:C27=C28,$G$2:G27=G28)),1),1500)"),1558.0)</f>
        <v>1558</v>
      </c>
      <c r="O28" s="3">
        <f t="shared" si="3"/>
        <v>1457</v>
      </c>
      <c r="P28" s="9">
        <f t="shared" si="1"/>
        <v>11</v>
      </c>
      <c r="Q28" s="5">
        <f t="shared" si="2"/>
        <v>1569</v>
      </c>
    </row>
    <row r="29">
      <c r="A29" s="3" t="str">
        <f>IFERROR(__xludf.DUMMYFUNCTION("""COMPUTED_VALUE"""),"1rz8-Icsok4sE9EtZYW3DoWFskZJYNl_w")</f>
        <v>1rz8-Icsok4sE9EtZYW3DoWFskZJYNl_w</v>
      </c>
      <c r="B29" s="13">
        <f>IFERROR(__xludf.DUMMYFUNCTION("""COMPUTED_VALUE"""),45976.0)</f>
        <v>45976</v>
      </c>
      <c r="C29" s="3" t="str">
        <f>IFERROR(__xludf.DUMMYFUNCTION("""COMPUTED_VALUE"""),"Nebus.")</f>
        <v>Nebus.</v>
      </c>
      <c r="D29" s="3" t="str">
        <f>IFERROR(__xludf.DUMMYFUNCTION("""COMPUTED_VALUE"""),"Nebus. + ZeroO")</f>
        <v>Nebus. + ZeroO</v>
      </c>
      <c r="E29" s="3" t="str">
        <f>IFERROR(__xludf.DUMMYFUNCTION("""COMPUTED_VALUE"""),"Malena + Tess1509")</f>
        <v>Malena + Tess1509</v>
      </c>
      <c r="F29" s="3" t="str">
        <f>IFERROR(__xludf.DUMMYFUNCTION("""COMPUTED_VALUE"""),"win")</f>
        <v>win</v>
      </c>
      <c r="G29" s="3" t="str">
        <f>IFERROR(__xludf.DUMMYFUNCTION("""COMPUTED_VALUE"""),"2v2")</f>
        <v>2v2</v>
      </c>
      <c r="H29" s="3" t="str">
        <f>IFERROR(__xludf.DUMMYFUNCTION("IFERROR(TRIM(INDEX(SPLIT(E29,"" + ""),1)),"""")"),"Malena")</f>
        <v>Malena</v>
      </c>
      <c r="I29" s="3" t="str">
        <f>IFERROR(__xludf.DUMMYFUNCTION("IFERROR(TRIM(INDEX(SPLIT(E29,"" + ""),2)),"""")"),"Tess1509")</f>
        <v>Tess1509</v>
      </c>
      <c r="J29" s="5" t="str">
        <f>IFERROR(__xludf.DUMMYFUNCTION("IFERROR(TRIM(INDEX(SPLIT(E29,"" + ""),3)),"""")"),"")</f>
        <v/>
      </c>
      <c r="K29" s="3">
        <f>IFERROR(__xludf.DUMMYFUNCTION("IFERROR(IF(H29="""",0,INDEX(FILTER($Q$2:Q28,$C$2:C28=H29,$G$2:G28=G29),ROWS(FILTER($Q$2:Q28,$C$2:C28=H29,$G$2:G28=G29)),1)),1500)"),1429.0)</f>
        <v>1429</v>
      </c>
      <c r="L29" s="3">
        <f>IFERROR(__xludf.DUMMYFUNCTION("IFERROR(IF(I29="""",0,INDEX(FILTER($Q$2:Q28,$C$2:C28=I29,$G$2:G28=G29),ROWS(FILTER($Q$2:Q28,$C$2:C28=I29,$G$2:G28=G29)),1)),1500)"),1485.0)</f>
        <v>1485</v>
      </c>
      <c r="M29" s="3">
        <f>IFERROR(__xludf.DUMMYFUNCTION("IFERROR(IF(J29="""",0,INDEX(FILTER($Q$2:Q28,$C$2:C28=J29,$G$2:G28=G29),ROWS(FILTER($Q$2:Q28,$C$2:C28=J29,$G$2:G28=G29)),1)),1500)"),0.0)</f>
        <v>0</v>
      </c>
      <c r="N29" s="3">
        <f>IFERROR(__xludf.DUMMYFUNCTION("IFERROR(INDEX(FILTER($Q$2:Q28,$C$2:C28=C29,$G$2:G28=G29),ROWS(FILTER($Q$2:Q28,$C$2:C28=C29,$G$2:G28=G29)),1),1500)"),1498.0)</f>
        <v>1498</v>
      </c>
      <c r="O29" s="3">
        <f t="shared" si="3"/>
        <v>1457</v>
      </c>
      <c r="P29" s="9">
        <f t="shared" si="1"/>
        <v>14</v>
      </c>
      <c r="Q29" s="5">
        <f t="shared" si="2"/>
        <v>1512</v>
      </c>
    </row>
    <row r="30">
      <c r="A30" s="3" t="str">
        <f>IFERROR(__xludf.DUMMYFUNCTION("""COMPUTED_VALUE"""),"11GjTLSEnjOXnVNOhoLXoySUIaFij8ygz")</f>
        <v>11GjTLSEnjOXnVNOhoLXoySUIaFij8ygz</v>
      </c>
      <c r="B30" s="13">
        <f>IFERROR(__xludf.DUMMYFUNCTION("""COMPUTED_VALUE"""),45976.0)</f>
        <v>45976</v>
      </c>
      <c r="C30" s="3" t="str">
        <f>IFERROR(__xludf.DUMMYFUNCTION("""COMPUTED_VALUE"""),"Malena")</f>
        <v>Malena</v>
      </c>
      <c r="D30" s="3" t="str">
        <f>IFERROR(__xludf.DUMMYFUNCTION("""COMPUTED_VALUE"""),"Malena + Tess1509")</f>
        <v>Malena + Tess1509</v>
      </c>
      <c r="E30" s="3" t="str">
        <f>IFERROR(__xludf.DUMMYFUNCTION("""COMPUTED_VALUE"""),"Nebus. + ZeroO")</f>
        <v>Nebus. + ZeroO</v>
      </c>
      <c r="F30" s="3" t="str">
        <f>IFERROR(__xludf.DUMMYFUNCTION("""COMPUTED_VALUE"""),"loss")</f>
        <v>loss</v>
      </c>
      <c r="G30" s="3" t="str">
        <f>IFERROR(__xludf.DUMMYFUNCTION("""COMPUTED_VALUE"""),"2v2")</f>
        <v>2v2</v>
      </c>
      <c r="H30" s="3" t="str">
        <f>IFERROR(__xludf.DUMMYFUNCTION("IFERROR(TRIM(INDEX(SPLIT(E30,"" + ""),1)),"""")"),"Nebus.")</f>
        <v>Nebus.</v>
      </c>
      <c r="I30" s="3" t="str">
        <f>IFERROR(__xludf.DUMMYFUNCTION("IFERROR(TRIM(INDEX(SPLIT(E30,"" + ""),2)),"""")"),"ZeroO")</f>
        <v>ZeroO</v>
      </c>
      <c r="J30" s="5" t="str">
        <f>IFERROR(__xludf.DUMMYFUNCTION("IFERROR(TRIM(INDEX(SPLIT(E30,"" + ""),3)),"""")"),"")</f>
        <v/>
      </c>
      <c r="K30" s="3">
        <f>IFERROR(__xludf.DUMMYFUNCTION("IFERROR(IF(H30="""",0,INDEX(FILTER($Q$2:Q29,$C$2:C29=H30,$G$2:G29=G30),ROWS(FILTER($Q$2:Q29,$C$2:C29=H30,$G$2:G29=G30)),1)),1500)"),1512.0)</f>
        <v>1512</v>
      </c>
      <c r="L30" s="3">
        <f>IFERROR(__xludf.DUMMYFUNCTION("IFERROR(IF(I30="""",0,INDEX(FILTER($Q$2:Q29,$C$2:C29=I30,$G$2:G29=G30),ROWS(FILTER($Q$2:Q29,$C$2:C29=I30,$G$2:G29=G30)),1)),1500)"),1569.0)</f>
        <v>1569</v>
      </c>
      <c r="M30" s="3">
        <f>IFERROR(__xludf.DUMMYFUNCTION("IFERROR(IF(J30="""",0,INDEX(FILTER($Q$2:Q29,$C$2:C29=J30,$G$2:G29=G30),ROWS(FILTER($Q$2:Q29,$C$2:C29=J30,$G$2:G29=G30)),1)),1500)"),0.0)</f>
        <v>0</v>
      </c>
      <c r="N30" s="3">
        <f>IFERROR(__xludf.DUMMYFUNCTION("IFERROR(INDEX(FILTER($Q$2:Q29,$C$2:C29=C30,$G$2:G29=G30),ROWS(FILTER($Q$2:Q29,$C$2:C29=C30,$G$2:G29=G30)),1),1500)"),1429.0)</f>
        <v>1429</v>
      </c>
      <c r="O30" s="3">
        <f t="shared" si="3"/>
        <v>1540.5</v>
      </c>
      <c r="P30" s="9">
        <f t="shared" si="1"/>
        <v>-11</v>
      </c>
      <c r="Q30" s="5">
        <f t="shared" si="2"/>
        <v>1418</v>
      </c>
    </row>
    <row r="31">
      <c r="A31" s="3" t="str">
        <f>IFERROR(__xludf.DUMMYFUNCTION("""COMPUTED_VALUE"""),"11GjTLSEnjOXnVNOhoLXoySUIaFij8ygz")</f>
        <v>11GjTLSEnjOXnVNOhoLXoySUIaFij8ygz</v>
      </c>
      <c r="B31" s="13">
        <f>IFERROR(__xludf.DUMMYFUNCTION("""COMPUTED_VALUE"""),45976.0)</f>
        <v>45976</v>
      </c>
      <c r="C31" s="3" t="str">
        <f>IFERROR(__xludf.DUMMYFUNCTION("""COMPUTED_VALUE"""),"Tess1509")</f>
        <v>Tess1509</v>
      </c>
      <c r="D31" s="3" t="str">
        <f>IFERROR(__xludf.DUMMYFUNCTION("""COMPUTED_VALUE"""),"Malena + Tess1509")</f>
        <v>Malena + Tess1509</v>
      </c>
      <c r="E31" s="3" t="str">
        <f>IFERROR(__xludf.DUMMYFUNCTION("""COMPUTED_VALUE"""),"Nebus. + ZeroO")</f>
        <v>Nebus. + ZeroO</v>
      </c>
      <c r="F31" s="3" t="str">
        <f>IFERROR(__xludf.DUMMYFUNCTION("""COMPUTED_VALUE"""),"loss")</f>
        <v>loss</v>
      </c>
      <c r="G31" s="3" t="str">
        <f>IFERROR(__xludf.DUMMYFUNCTION("""COMPUTED_VALUE"""),"2v2")</f>
        <v>2v2</v>
      </c>
      <c r="H31" s="3" t="str">
        <f>IFERROR(__xludf.DUMMYFUNCTION("IFERROR(TRIM(INDEX(SPLIT(E31,"" + ""),1)),"""")"),"Nebus.")</f>
        <v>Nebus.</v>
      </c>
      <c r="I31" s="3" t="str">
        <f>IFERROR(__xludf.DUMMYFUNCTION("IFERROR(TRIM(INDEX(SPLIT(E31,"" + ""),2)),"""")"),"ZeroO")</f>
        <v>ZeroO</v>
      </c>
      <c r="J31" s="5" t="str">
        <f>IFERROR(__xludf.DUMMYFUNCTION("IFERROR(TRIM(INDEX(SPLIT(E31,"" + ""),3)),"""")"),"")</f>
        <v/>
      </c>
      <c r="K31" s="3">
        <f>IFERROR(__xludf.DUMMYFUNCTION("IFERROR(IF(H31="""",0,INDEX(FILTER($Q$2:Q30,$C$2:C30=H31,$G$2:G30=G31),ROWS(FILTER($Q$2:Q30,$C$2:C30=H31,$G$2:G30=G31)),1)),1500)"),1512.0)</f>
        <v>1512</v>
      </c>
      <c r="L31" s="3">
        <f>IFERROR(__xludf.DUMMYFUNCTION("IFERROR(IF(I31="""",0,INDEX(FILTER($Q$2:Q30,$C$2:C30=I31,$G$2:G30=G31),ROWS(FILTER($Q$2:Q30,$C$2:C30=I31,$G$2:G30=G31)),1)),1500)"),1569.0)</f>
        <v>1569</v>
      </c>
      <c r="M31" s="3">
        <f>IFERROR(__xludf.DUMMYFUNCTION("IFERROR(IF(J31="""",0,INDEX(FILTER($Q$2:Q30,$C$2:C30=J31,$G$2:G30=G31),ROWS(FILTER($Q$2:Q30,$C$2:C30=J31,$G$2:G30=G31)),1)),1500)"),0.0)</f>
        <v>0</v>
      </c>
      <c r="N31" s="3">
        <f>IFERROR(__xludf.DUMMYFUNCTION("IFERROR(INDEX(FILTER($Q$2:Q30,$C$2:C30=C31,$G$2:G30=G31),ROWS(FILTER($Q$2:Q30,$C$2:C30=C31,$G$2:G30=G31)),1),1500)"),1485.0)</f>
        <v>1485</v>
      </c>
      <c r="O31" s="3">
        <f t="shared" si="3"/>
        <v>1540.5</v>
      </c>
      <c r="P31" s="9">
        <f t="shared" si="1"/>
        <v>-13</v>
      </c>
      <c r="Q31" s="5">
        <f t="shared" si="2"/>
        <v>1472</v>
      </c>
    </row>
    <row r="32">
      <c r="A32" s="3" t="str">
        <f>IFERROR(__xludf.DUMMYFUNCTION("""COMPUTED_VALUE"""),"11GjTLSEnjOXnVNOhoLXoySUIaFij8ygz")</f>
        <v>11GjTLSEnjOXnVNOhoLXoySUIaFij8ygz</v>
      </c>
      <c r="B32" s="13">
        <f>IFERROR(__xludf.DUMMYFUNCTION("""COMPUTED_VALUE"""),45976.0)</f>
        <v>45976</v>
      </c>
      <c r="C32" s="3" t="str">
        <f>IFERROR(__xludf.DUMMYFUNCTION("""COMPUTED_VALUE"""),"ZeroO")</f>
        <v>ZeroO</v>
      </c>
      <c r="D32" s="3" t="str">
        <f>IFERROR(__xludf.DUMMYFUNCTION("""COMPUTED_VALUE"""),"Nebus. + ZeroO")</f>
        <v>Nebus. + ZeroO</v>
      </c>
      <c r="E32" s="3" t="str">
        <f>IFERROR(__xludf.DUMMYFUNCTION("""COMPUTED_VALUE"""),"Malena + Tess1509")</f>
        <v>Malena + Tess1509</v>
      </c>
      <c r="F32" s="3" t="str">
        <f>IFERROR(__xludf.DUMMYFUNCTION("""COMPUTED_VALUE"""),"win")</f>
        <v>win</v>
      </c>
      <c r="G32" s="3" t="str">
        <f>IFERROR(__xludf.DUMMYFUNCTION("""COMPUTED_VALUE"""),"2v2")</f>
        <v>2v2</v>
      </c>
      <c r="H32" s="3" t="str">
        <f>IFERROR(__xludf.DUMMYFUNCTION("IFERROR(TRIM(INDEX(SPLIT(E32,"" + ""),1)),"""")"),"Malena")</f>
        <v>Malena</v>
      </c>
      <c r="I32" s="3" t="str">
        <f>IFERROR(__xludf.DUMMYFUNCTION("IFERROR(TRIM(INDEX(SPLIT(E32,"" + ""),2)),"""")"),"Tess1509")</f>
        <v>Tess1509</v>
      </c>
      <c r="J32" s="5" t="str">
        <f>IFERROR(__xludf.DUMMYFUNCTION("IFERROR(TRIM(INDEX(SPLIT(E32,"" + ""),3)),"""")"),"")</f>
        <v/>
      </c>
      <c r="K32" s="3">
        <f>IFERROR(__xludf.DUMMYFUNCTION("IFERROR(IF(H32="""",0,INDEX(FILTER($Q$2:Q31,$C$2:C31=H32,$G$2:G31=G32),ROWS(FILTER($Q$2:Q31,$C$2:C31=H32,$G$2:G31=G32)),1)),1500)"),1418.0)</f>
        <v>1418</v>
      </c>
      <c r="L32" s="3">
        <f>IFERROR(__xludf.DUMMYFUNCTION("IFERROR(IF(I32="""",0,INDEX(FILTER($Q$2:Q31,$C$2:C31=I32,$G$2:G31=G32),ROWS(FILTER($Q$2:Q31,$C$2:C31=I32,$G$2:G31=G32)),1)),1500)"),1472.0)</f>
        <v>1472</v>
      </c>
      <c r="M32" s="3">
        <f>IFERROR(__xludf.DUMMYFUNCTION("IFERROR(IF(J32="""",0,INDEX(FILTER($Q$2:Q31,$C$2:C31=J32,$G$2:G31=G32),ROWS(FILTER($Q$2:Q31,$C$2:C31=J32,$G$2:G31=G32)),1)),1500)"),0.0)</f>
        <v>0</v>
      </c>
      <c r="N32" s="3">
        <f>IFERROR(__xludf.DUMMYFUNCTION("IFERROR(INDEX(FILTER($Q$2:Q31,$C$2:C31=C32,$G$2:G31=G32),ROWS(FILTER($Q$2:Q31,$C$2:C31=C32,$G$2:G31=G32)),1),1500)"),1569.0)</f>
        <v>1569</v>
      </c>
      <c r="O32" s="3">
        <f t="shared" si="3"/>
        <v>1445</v>
      </c>
      <c r="P32" s="9">
        <f t="shared" si="1"/>
        <v>11</v>
      </c>
      <c r="Q32" s="5">
        <f t="shared" si="2"/>
        <v>1580</v>
      </c>
    </row>
    <row r="33">
      <c r="A33" s="3" t="str">
        <f>IFERROR(__xludf.DUMMYFUNCTION("""COMPUTED_VALUE"""),"11GjTLSEnjOXnVNOhoLXoySUIaFij8ygz")</f>
        <v>11GjTLSEnjOXnVNOhoLXoySUIaFij8ygz</v>
      </c>
      <c r="B33" s="13">
        <f>IFERROR(__xludf.DUMMYFUNCTION("""COMPUTED_VALUE"""),45976.0)</f>
        <v>45976</v>
      </c>
      <c r="C33" s="3" t="str">
        <f>IFERROR(__xludf.DUMMYFUNCTION("""COMPUTED_VALUE"""),"Nebus.")</f>
        <v>Nebus.</v>
      </c>
      <c r="D33" s="3" t="str">
        <f>IFERROR(__xludf.DUMMYFUNCTION("""COMPUTED_VALUE"""),"Nebus. + ZeroO")</f>
        <v>Nebus. + ZeroO</v>
      </c>
      <c r="E33" s="3" t="str">
        <f>IFERROR(__xludf.DUMMYFUNCTION("""COMPUTED_VALUE"""),"Malena + Tess1509")</f>
        <v>Malena + Tess1509</v>
      </c>
      <c r="F33" s="3" t="str">
        <f>IFERROR(__xludf.DUMMYFUNCTION("""COMPUTED_VALUE"""),"win")</f>
        <v>win</v>
      </c>
      <c r="G33" s="3" t="str">
        <f>IFERROR(__xludf.DUMMYFUNCTION("""COMPUTED_VALUE"""),"2v2")</f>
        <v>2v2</v>
      </c>
      <c r="H33" s="3" t="str">
        <f>IFERROR(__xludf.DUMMYFUNCTION("IFERROR(TRIM(INDEX(SPLIT(E33,"" + ""),1)),"""")"),"Malena")</f>
        <v>Malena</v>
      </c>
      <c r="I33" s="3" t="str">
        <f>IFERROR(__xludf.DUMMYFUNCTION("IFERROR(TRIM(INDEX(SPLIT(E33,"" + ""),2)),"""")"),"Tess1509")</f>
        <v>Tess1509</v>
      </c>
      <c r="J33" s="5" t="str">
        <f>IFERROR(__xludf.DUMMYFUNCTION("IFERROR(TRIM(INDEX(SPLIT(E33,"" + ""),3)),"""")"),"")</f>
        <v/>
      </c>
      <c r="K33" s="3">
        <f>IFERROR(__xludf.DUMMYFUNCTION("IFERROR(IF(H33="""",0,INDEX(FILTER($Q$2:Q32,$C$2:C32=H33,$G$2:G32=G33),ROWS(FILTER($Q$2:Q32,$C$2:C32=H33,$G$2:G32=G33)),1)),1500)"),1418.0)</f>
        <v>1418</v>
      </c>
      <c r="L33" s="3">
        <f>IFERROR(__xludf.DUMMYFUNCTION("IFERROR(IF(I33="""",0,INDEX(FILTER($Q$2:Q32,$C$2:C32=I33,$G$2:G32=G33),ROWS(FILTER($Q$2:Q32,$C$2:C32=I33,$G$2:G32=G33)),1)),1500)"),1472.0)</f>
        <v>1472</v>
      </c>
      <c r="M33" s="3">
        <f>IFERROR(__xludf.DUMMYFUNCTION("IFERROR(IF(J33="""",0,INDEX(FILTER($Q$2:Q32,$C$2:C32=J33,$G$2:G32=G33),ROWS(FILTER($Q$2:Q32,$C$2:C32=J33,$G$2:G32=G33)),1)),1500)"),0.0)</f>
        <v>0</v>
      </c>
      <c r="N33" s="3">
        <f>IFERROR(__xludf.DUMMYFUNCTION("IFERROR(INDEX(FILTER($Q$2:Q32,$C$2:C32=C33,$G$2:G32=G33),ROWS(FILTER($Q$2:Q32,$C$2:C32=C33,$G$2:G32=G33)),1),1500)"),1512.0)</f>
        <v>1512</v>
      </c>
      <c r="O33" s="3">
        <f t="shared" si="3"/>
        <v>1445</v>
      </c>
      <c r="P33" s="9">
        <f t="shared" si="1"/>
        <v>13</v>
      </c>
      <c r="Q33" s="5">
        <f t="shared" si="2"/>
        <v>1525</v>
      </c>
    </row>
    <row r="34">
      <c r="A34" s="3" t="str">
        <f>IFERROR(__xludf.DUMMYFUNCTION("""COMPUTED_VALUE"""),"1bor8YmM5OgMvOjWzukVqToJWDOXhDsQ4")</f>
        <v>1bor8YmM5OgMvOjWzukVqToJWDOXhDsQ4</v>
      </c>
      <c r="B34" s="13">
        <f>IFERROR(__xludf.DUMMYFUNCTION("""COMPUTED_VALUE"""),45976.0)</f>
        <v>45976</v>
      </c>
      <c r="C34" s="3" t="str">
        <f>IFERROR(__xludf.DUMMYFUNCTION("""COMPUTED_VALUE"""),"Nebus.")</f>
        <v>Nebus.</v>
      </c>
      <c r="D34" s="3" t="str">
        <f>IFERROR(__xludf.DUMMYFUNCTION("""COMPUTED_VALUE"""),"Nebus. + Tess1509")</f>
        <v>Nebus. + Tess1509</v>
      </c>
      <c r="E34" s="3" t="str">
        <f>IFERROR(__xludf.DUMMYFUNCTION("""COMPUTED_VALUE"""),"Malena + ZeroO")</f>
        <v>Malena + ZeroO</v>
      </c>
      <c r="F34" s="3" t="str">
        <f>IFERROR(__xludf.DUMMYFUNCTION("""COMPUTED_VALUE"""),"loss")</f>
        <v>loss</v>
      </c>
      <c r="G34" s="3" t="str">
        <f>IFERROR(__xludf.DUMMYFUNCTION("""COMPUTED_VALUE"""),"2v2")</f>
        <v>2v2</v>
      </c>
      <c r="H34" s="3" t="str">
        <f>IFERROR(__xludf.DUMMYFUNCTION("IFERROR(TRIM(INDEX(SPLIT(E34,"" + ""),1)),"""")"),"Malena")</f>
        <v>Malena</v>
      </c>
      <c r="I34" s="3" t="str">
        <f>IFERROR(__xludf.DUMMYFUNCTION("IFERROR(TRIM(INDEX(SPLIT(E34,"" + ""),2)),"""")"),"ZeroO")</f>
        <v>ZeroO</v>
      </c>
      <c r="J34" s="5" t="str">
        <f>IFERROR(__xludf.DUMMYFUNCTION("IFERROR(TRIM(INDEX(SPLIT(E34,"" + ""),3)),"""")"),"")</f>
        <v/>
      </c>
      <c r="K34" s="3">
        <f>IFERROR(__xludf.DUMMYFUNCTION("IFERROR(IF(H34="""",0,INDEX(FILTER($Q$2:Q33,$C$2:C33=H34,$G$2:G33=G34),ROWS(FILTER($Q$2:Q33,$C$2:C33=H34,$G$2:G33=G34)),1)),1500)"),1418.0)</f>
        <v>1418</v>
      </c>
      <c r="L34" s="3">
        <f>IFERROR(__xludf.DUMMYFUNCTION("IFERROR(IF(I34="""",0,INDEX(FILTER($Q$2:Q33,$C$2:C33=I34,$G$2:G33=G34),ROWS(FILTER($Q$2:Q33,$C$2:C33=I34,$G$2:G33=G34)),1)),1500)"),1580.0)</f>
        <v>1580</v>
      </c>
      <c r="M34" s="3">
        <f>IFERROR(__xludf.DUMMYFUNCTION("IFERROR(IF(J34="""",0,INDEX(FILTER($Q$2:Q33,$C$2:C33=J34,$G$2:G33=G34),ROWS(FILTER($Q$2:Q33,$C$2:C33=J34,$G$2:G33=G34)),1)),1500)"),0.0)</f>
        <v>0</v>
      </c>
      <c r="N34" s="3">
        <f>IFERROR(__xludf.DUMMYFUNCTION("IFERROR(INDEX(FILTER($Q$2:Q33,$C$2:C33=C34,$G$2:G33=G34),ROWS(FILTER($Q$2:Q33,$C$2:C33=C34,$G$2:G33=G34)),1),1500)"),1525.0)</f>
        <v>1525</v>
      </c>
      <c r="O34" s="3">
        <f t="shared" si="3"/>
        <v>1499</v>
      </c>
      <c r="P34" s="9">
        <f t="shared" si="1"/>
        <v>-17</v>
      </c>
      <c r="Q34" s="5">
        <f t="shared" si="2"/>
        <v>1508</v>
      </c>
    </row>
    <row r="35">
      <c r="A35" s="3" t="str">
        <f>IFERROR(__xludf.DUMMYFUNCTION("""COMPUTED_VALUE"""),"1bor8YmM5OgMvOjWzukVqToJWDOXhDsQ4")</f>
        <v>1bor8YmM5OgMvOjWzukVqToJWDOXhDsQ4</v>
      </c>
      <c r="B35" s="13">
        <f>IFERROR(__xludf.DUMMYFUNCTION("""COMPUTED_VALUE"""),45976.0)</f>
        <v>45976</v>
      </c>
      <c r="C35" s="3" t="str">
        <f>IFERROR(__xludf.DUMMYFUNCTION("""COMPUTED_VALUE"""),"Tess1509")</f>
        <v>Tess1509</v>
      </c>
      <c r="D35" s="3" t="str">
        <f>IFERROR(__xludf.DUMMYFUNCTION("""COMPUTED_VALUE"""),"Nebus. + Tess1509")</f>
        <v>Nebus. + Tess1509</v>
      </c>
      <c r="E35" s="3" t="str">
        <f>IFERROR(__xludf.DUMMYFUNCTION("""COMPUTED_VALUE"""),"Malena + ZeroO")</f>
        <v>Malena + ZeroO</v>
      </c>
      <c r="F35" s="3" t="str">
        <f>IFERROR(__xludf.DUMMYFUNCTION("""COMPUTED_VALUE"""),"loss")</f>
        <v>loss</v>
      </c>
      <c r="G35" s="3" t="str">
        <f>IFERROR(__xludf.DUMMYFUNCTION("""COMPUTED_VALUE"""),"2v2")</f>
        <v>2v2</v>
      </c>
      <c r="H35" s="3" t="str">
        <f>IFERROR(__xludf.DUMMYFUNCTION("IFERROR(TRIM(INDEX(SPLIT(E35,"" + ""),1)),"""")"),"Malena")</f>
        <v>Malena</v>
      </c>
      <c r="I35" s="3" t="str">
        <f>IFERROR(__xludf.DUMMYFUNCTION("IFERROR(TRIM(INDEX(SPLIT(E35,"" + ""),2)),"""")"),"ZeroO")</f>
        <v>ZeroO</v>
      </c>
      <c r="J35" s="5" t="str">
        <f>IFERROR(__xludf.DUMMYFUNCTION("IFERROR(TRIM(INDEX(SPLIT(E35,"" + ""),3)),"""")"),"")</f>
        <v/>
      </c>
      <c r="K35" s="3">
        <f>IFERROR(__xludf.DUMMYFUNCTION("IFERROR(IF(H35="""",0,INDEX(FILTER($Q$2:Q34,$C$2:C34=H35,$G$2:G34=G35),ROWS(FILTER($Q$2:Q34,$C$2:C34=H35,$G$2:G34=G35)),1)),1500)"),1418.0)</f>
        <v>1418</v>
      </c>
      <c r="L35" s="3">
        <f>IFERROR(__xludf.DUMMYFUNCTION("IFERROR(IF(I35="""",0,INDEX(FILTER($Q$2:Q34,$C$2:C34=I35,$G$2:G34=G35),ROWS(FILTER($Q$2:Q34,$C$2:C34=I35,$G$2:G34=G35)),1)),1500)"),1580.0)</f>
        <v>1580</v>
      </c>
      <c r="M35" s="3">
        <f>IFERROR(__xludf.DUMMYFUNCTION("IFERROR(IF(J35="""",0,INDEX(FILTER($Q$2:Q34,$C$2:C34=J35,$G$2:G34=G35),ROWS(FILTER($Q$2:Q34,$C$2:C34=J35,$G$2:G34=G35)),1)),1500)"),0.0)</f>
        <v>0</v>
      </c>
      <c r="N35" s="3">
        <f>IFERROR(__xludf.DUMMYFUNCTION("IFERROR(INDEX(FILTER($Q$2:Q34,$C$2:C34=C35,$G$2:G34=G35),ROWS(FILTER($Q$2:Q34,$C$2:C34=C35,$G$2:G34=G35)),1),1500)"),1472.0)</f>
        <v>1472</v>
      </c>
      <c r="O35" s="3">
        <f t="shared" si="3"/>
        <v>1499</v>
      </c>
      <c r="P35" s="9">
        <f t="shared" si="1"/>
        <v>-15</v>
      </c>
      <c r="Q35" s="5">
        <f t="shared" si="2"/>
        <v>1457</v>
      </c>
    </row>
    <row r="36">
      <c r="A36" s="3" t="str">
        <f>IFERROR(__xludf.DUMMYFUNCTION("""COMPUTED_VALUE"""),"1bor8YmM5OgMvOjWzukVqToJWDOXhDsQ4")</f>
        <v>1bor8YmM5OgMvOjWzukVqToJWDOXhDsQ4</v>
      </c>
      <c r="B36" s="13">
        <f>IFERROR(__xludf.DUMMYFUNCTION("""COMPUTED_VALUE"""),45976.0)</f>
        <v>45976</v>
      </c>
      <c r="C36" s="3" t="str">
        <f>IFERROR(__xludf.DUMMYFUNCTION("""COMPUTED_VALUE"""),"Malena")</f>
        <v>Malena</v>
      </c>
      <c r="D36" s="3" t="str">
        <f>IFERROR(__xludf.DUMMYFUNCTION("""COMPUTED_VALUE"""),"Malena + ZeroO")</f>
        <v>Malena + ZeroO</v>
      </c>
      <c r="E36" s="3" t="str">
        <f>IFERROR(__xludf.DUMMYFUNCTION("""COMPUTED_VALUE"""),"Nebus. + Tess1509")</f>
        <v>Nebus. + Tess1509</v>
      </c>
      <c r="F36" s="3" t="str">
        <f>IFERROR(__xludf.DUMMYFUNCTION("""COMPUTED_VALUE"""),"win")</f>
        <v>win</v>
      </c>
      <c r="G36" s="3" t="str">
        <f>IFERROR(__xludf.DUMMYFUNCTION("""COMPUTED_VALUE"""),"2v2")</f>
        <v>2v2</v>
      </c>
      <c r="H36" s="3" t="str">
        <f>IFERROR(__xludf.DUMMYFUNCTION("IFERROR(TRIM(INDEX(SPLIT(E36,"" + ""),1)),"""")"),"Nebus.")</f>
        <v>Nebus.</v>
      </c>
      <c r="I36" s="3" t="str">
        <f>IFERROR(__xludf.DUMMYFUNCTION("IFERROR(TRIM(INDEX(SPLIT(E36,"" + ""),2)),"""")"),"Tess1509")</f>
        <v>Tess1509</v>
      </c>
      <c r="J36" s="5" t="str">
        <f>IFERROR(__xludf.DUMMYFUNCTION("IFERROR(TRIM(INDEX(SPLIT(E36,"" + ""),3)),"""")"),"")</f>
        <v/>
      </c>
      <c r="K36" s="3">
        <f>IFERROR(__xludf.DUMMYFUNCTION("IFERROR(IF(H36="""",0,INDEX(FILTER($Q$2:Q35,$C$2:C35=H36,$G$2:G35=G36),ROWS(FILTER($Q$2:Q35,$C$2:C35=H36,$G$2:G35=G36)),1)),1500)"),1508.0)</f>
        <v>1508</v>
      </c>
      <c r="L36" s="3">
        <f>IFERROR(__xludf.DUMMYFUNCTION("IFERROR(IF(I36="""",0,INDEX(FILTER($Q$2:Q35,$C$2:C35=I36,$G$2:G35=G36),ROWS(FILTER($Q$2:Q35,$C$2:C35=I36,$G$2:G35=G36)),1)),1500)"),1457.0)</f>
        <v>1457</v>
      </c>
      <c r="M36" s="3">
        <f>IFERROR(__xludf.DUMMYFUNCTION("IFERROR(IF(J36="""",0,INDEX(FILTER($Q$2:Q35,$C$2:C35=J36,$G$2:G35=G36),ROWS(FILTER($Q$2:Q35,$C$2:C35=J36,$G$2:G35=G36)),1)),1500)"),0.0)</f>
        <v>0</v>
      </c>
      <c r="N36" s="3">
        <f>IFERROR(__xludf.DUMMYFUNCTION("IFERROR(INDEX(FILTER($Q$2:Q35,$C$2:C35=C36,$G$2:G35=G36),ROWS(FILTER($Q$2:Q35,$C$2:C35=C36,$G$2:G35=G36)),1),1500)"),1418.0)</f>
        <v>1418</v>
      </c>
      <c r="O36" s="3">
        <f t="shared" si="3"/>
        <v>1482.5</v>
      </c>
      <c r="P36" s="9">
        <f t="shared" si="1"/>
        <v>19</v>
      </c>
      <c r="Q36" s="5">
        <f t="shared" si="2"/>
        <v>1437</v>
      </c>
    </row>
    <row r="37">
      <c r="A37" s="3" t="str">
        <f>IFERROR(__xludf.DUMMYFUNCTION("""COMPUTED_VALUE"""),"1bor8YmM5OgMvOjWzukVqToJWDOXhDsQ4")</f>
        <v>1bor8YmM5OgMvOjWzukVqToJWDOXhDsQ4</v>
      </c>
      <c r="B37" s="13">
        <f>IFERROR(__xludf.DUMMYFUNCTION("""COMPUTED_VALUE"""),45976.0)</f>
        <v>45976</v>
      </c>
      <c r="C37" s="3" t="str">
        <f>IFERROR(__xludf.DUMMYFUNCTION("""COMPUTED_VALUE"""),"ZeroO")</f>
        <v>ZeroO</v>
      </c>
      <c r="D37" s="3" t="str">
        <f>IFERROR(__xludf.DUMMYFUNCTION("""COMPUTED_VALUE"""),"Malena + ZeroO")</f>
        <v>Malena + ZeroO</v>
      </c>
      <c r="E37" s="3" t="str">
        <f>IFERROR(__xludf.DUMMYFUNCTION("""COMPUTED_VALUE"""),"Nebus. + Tess1509")</f>
        <v>Nebus. + Tess1509</v>
      </c>
      <c r="F37" s="3" t="str">
        <f>IFERROR(__xludf.DUMMYFUNCTION("""COMPUTED_VALUE"""),"win")</f>
        <v>win</v>
      </c>
      <c r="G37" s="3" t="str">
        <f>IFERROR(__xludf.DUMMYFUNCTION("""COMPUTED_VALUE"""),"2v2")</f>
        <v>2v2</v>
      </c>
      <c r="H37" s="3" t="str">
        <f>IFERROR(__xludf.DUMMYFUNCTION("IFERROR(TRIM(INDEX(SPLIT(E37,"" + ""),1)),"""")"),"Nebus.")</f>
        <v>Nebus.</v>
      </c>
      <c r="I37" s="3" t="str">
        <f>IFERROR(__xludf.DUMMYFUNCTION("IFERROR(TRIM(INDEX(SPLIT(E37,"" + ""),2)),"""")"),"Tess1509")</f>
        <v>Tess1509</v>
      </c>
      <c r="J37" s="5" t="str">
        <f>IFERROR(__xludf.DUMMYFUNCTION("IFERROR(TRIM(INDEX(SPLIT(E37,"" + ""),3)),"""")"),"")</f>
        <v/>
      </c>
      <c r="K37" s="3">
        <f>IFERROR(__xludf.DUMMYFUNCTION("IFERROR(IF(H37="""",0,INDEX(FILTER($Q$2:Q36,$C$2:C36=H37,$G$2:G36=G37),ROWS(FILTER($Q$2:Q36,$C$2:C36=H37,$G$2:G36=G37)),1)),1500)"),1508.0)</f>
        <v>1508</v>
      </c>
      <c r="L37" s="3">
        <f>IFERROR(__xludf.DUMMYFUNCTION("IFERROR(IF(I37="""",0,INDEX(FILTER($Q$2:Q36,$C$2:C36=I37,$G$2:G36=G37),ROWS(FILTER($Q$2:Q36,$C$2:C36=I37,$G$2:G36=G37)),1)),1500)"),1457.0)</f>
        <v>1457</v>
      </c>
      <c r="M37" s="3">
        <f>IFERROR(__xludf.DUMMYFUNCTION("IFERROR(IF(J37="""",0,INDEX(FILTER($Q$2:Q36,$C$2:C36=J37,$G$2:G36=G37),ROWS(FILTER($Q$2:Q36,$C$2:C36=J37,$G$2:G36=G37)),1)),1500)"),0.0)</f>
        <v>0</v>
      </c>
      <c r="N37" s="3">
        <f>IFERROR(__xludf.DUMMYFUNCTION("IFERROR(INDEX(FILTER($Q$2:Q36,$C$2:C36=C37,$G$2:G36=G37),ROWS(FILTER($Q$2:Q36,$C$2:C36=C37,$G$2:G36=G37)),1),1500)"),1580.0)</f>
        <v>1580</v>
      </c>
      <c r="O37" s="3">
        <f t="shared" si="3"/>
        <v>1482.5</v>
      </c>
      <c r="P37" s="9">
        <f t="shared" si="1"/>
        <v>12</v>
      </c>
      <c r="Q37" s="5">
        <f t="shared" si="2"/>
        <v>1592</v>
      </c>
    </row>
    <row r="38">
      <c r="A38" s="3" t="str">
        <f>IFERROR(__xludf.DUMMYFUNCTION("""COMPUTED_VALUE"""),"1qPrp2vxvYLuS70ioiwER6z4uhCClab-n")</f>
        <v>1qPrp2vxvYLuS70ioiwER6z4uhCClab-n</v>
      </c>
      <c r="B38" s="13">
        <f>IFERROR(__xludf.DUMMYFUNCTION("""COMPUTED_VALUE"""),45976.0)</f>
        <v>45976</v>
      </c>
      <c r="C38" s="3" t="str">
        <f>IFERROR(__xludf.DUMMYFUNCTION("""COMPUTED_VALUE"""),"Tess1509")</f>
        <v>Tess1509</v>
      </c>
      <c r="D38" s="3" t="str">
        <f>IFERROR(__xludf.DUMMYFUNCTION("""COMPUTED_VALUE"""),"Nebus. + Tess1509")</f>
        <v>Nebus. + Tess1509</v>
      </c>
      <c r="E38" s="3" t="str">
        <f>IFERROR(__xludf.DUMMYFUNCTION("""COMPUTED_VALUE"""),"Malena + ZeroO")</f>
        <v>Malena + ZeroO</v>
      </c>
      <c r="F38" s="3" t="str">
        <f>IFERROR(__xludf.DUMMYFUNCTION("""COMPUTED_VALUE"""),"loss")</f>
        <v>loss</v>
      </c>
      <c r="G38" s="3" t="str">
        <f>IFERROR(__xludf.DUMMYFUNCTION("""COMPUTED_VALUE"""),"2v2")</f>
        <v>2v2</v>
      </c>
      <c r="H38" s="3" t="str">
        <f>IFERROR(__xludf.DUMMYFUNCTION("IFERROR(TRIM(INDEX(SPLIT(E38,"" + ""),1)),"""")"),"Malena")</f>
        <v>Malena</v>
      </c>
      <c r="I38" s="3" t="str">
        <f>IFERROR(__xludf.DUMMYFUNCTION("IFERROR(TRIM(INDEX(SPLIT(E38,"" + ""),2)),"""")"),"ZeroO")</f>
        <v>ZeroO</v>
      </c>
      <c r="J38" s="5" t="str">
        <f>IFERROR(__xludf.DUMMYFUNCTION("IFERROR(TRIM(INDEX(SPLIT(E38,"" + ""),3)),"""")"),"")</f>
        <v/>
      </c>
      <c r="K38" s="3">
        <f>IFERROR(__xludf.DUMMYFUNCTION("IFERROR(IF(H38="""",0,INDEX(FILTER($Q$2:Q37,$C$2:C37=H38,$G$2:G37=G38),ROWS(FILTER($Q$2:Q37,$C$2:C37=H38,$G$2:G37=G38)),1)),1500)"),1437.0)</f>
        <v>1437</v>
      </c>
      <c r="L38" s="3">
        <f>IFERROR(__xludf.DUMMYFUNCTION("IFERROR(IF(I38="""",0,INDEX(FILTER($Q$2:Q37,$C$2:C37=I38,$G$2:G37=G38),ROWS(FILTER($Q$2:Q37,$C$2:C37=I38,$G$2:G37=G38)),1)),1500)"),1592.0)</f>
        <v>1592</v>
      </c>
      <c r="M38" s="3">
        <f>IFERROR(__xludf.DUMMYFUNCTION("IFERROR(IF(J38="""",0,INDEX(FILTER($Q$2:Q37,$C$2:C37=J38,$G$2:G37=G38),ROWS(FILTER($Q$2:Q37,$C$2:C37=J38,$G$2:G37=G38)),1)),1500)"),0.0)</f>
        <v>0</v>
      </c>
      <c r="N38" s="3">
        <f>IFERROR(__xludf.DUMMYFUNCTION("IFERROR(INDEX(FILTER($Q$2:Q37,$C$2:C37=C38,$G$2:G37=G38),ROWS(FILTER($Q$2:Q37,$C$2:C37=C38,$G$2:G37=G38)),1),1500)"),1457.0)</f>
        <v>1457</v>
      </c>
      <c r="O38" s="3">
        <f t="shared" si="3"/>
        <v>1514.5</v>
      </c>
      <c r="P38" s="9">
        <f t="shared" si="1"/>
        <v>-13</v>
      </c>
      <c r="Q38" s="5">
        <f t="shared" si="2"/>
        <v>1444</v>
      </c>
    </row>
    <row r="39">
      <c r="A39" s="3" t="str">
        <f>IFERROR(__xludf.DUMMYFUNCTION("""COMPUTED_VALUE"""),"1qPrp2vxvYLuS70ioiwER6z4uhCClab-n")</f>
        <v>1qPrp2vxvYLuS70ioiwER6z4uhCClab-n</v>
      </c>
      <c r="B39" s="13">
        <f>IFERROR(__xludf.DUMMYFUNCTION("""COMPUTED_VALUE"""),45976.0)</f>
        <v>45976</v>
      </c>
      <c r="C39" s="3" t="str">
        <f>IFERROR(__xludf.DUMMYFUNCTION("""COMPUTED_VALUE"""),"Nebus.")</f>
        <v>Nebus.</v>
      </c>
      <c r="D39" s="3" t="str">
        <f>IFERROR(__xludf.DUMMYFUNCTION("""COMPUTED_VALUE"""),"Nebus. + Tess1509")</f>
        <v>Nebus. + Tess1509</v>
      </c>
      <c r="E39" s="3" t="str">
        <f>IFERROR(__xludf.DUMMYFUNCTION("""COMPUTED_VALUE"""),"Malena + ZeroO")</f>
        <v>Malena + ZeroO</v>
      </c>
      <c r="F39" s="3" t="str">
        <f>IFERROR(__xludf.DUMMYFUNCTION("""COMPUTED_VALUE"""),"loss")</f>
        <v>loss</v>
      </c>
      <c r="G39" s="3" t="str">
        <f>IFERROR(__xludf.DUMMYFUNCTION("""COMPUTED_VALUE"""),"2v2")</f>
        <v>2v2</v>
      </c>
      <c r="H39" s="3" t="str">
        <f>IFERROR(__xludf.DUMMYFUNCTION("IFERROR(TRIM(INDEX(SPLIT(E39,"" + ""),1)),"""")"),"Malena")</f>
        <v>Malena</v>
      </c>
      <c r="I39" s="3" t="str">
        <f>IFERROR(__xludf.DUMMYFUNCTION("IFERROR(TRIM(INDEX(SPLIT(E39,"" + ""),2)),"""")"),"ZeroO")</f>
        <v>ZeroO</v>
      </c>
      <c r="J39" s="5" t="str">
        <f>IFERROR(__xludf.DUMMYFUNCTION("IFERROR(TRIM(INDEX(SPLIT(E39,"" + ""),3)),"""")"),"")</f>
        <v/>
      </c>
      <c r="K39" s="3">
        <f>IFERROR(__xludf.DUMMYFUNCTION("IFERROR(IF(H39="""",0,INDEX(FILTER($Q$2:Q38,$C$2:C38=H39,$G$2:G38=G39),ROWS(FILTER($Q$2:Q38,$C$2:C38=H39,$G$2:G38=G39)),1)),1500)"),1437.0)</f>
        <v>1437</v>
      </c>
      <c r="L39" s="3">
        <f>IFERROR(__xludf.DUMMYFUNCTION("IFERROR(IF(I39="""",0,INDEX(FILTER($Q$2:Q38,$C$2:C38=I39,$G$2:G38=G39),ROWS(FILTER($Q$2:Q38,$C$2:C38=I39,$G$2:G38=G39)),1)),1500)"),1592.0)</f>
        <v>1592</v>
      </c>
      <c r="M39" s="3">
        <f>IFERROR(__xludf.DUMMYFUNCTION("IFERROR(IF(J39="""",0,INDEX(FILTER($Q$2:Q38,$C$2:C38=J39,$G$2:G38=G39),ROWS(FILTER($Q$2:Q38,$C$2:C38=J39,$G$2:G38=G39)),1)),1500)"),0.0)</f>
        <v>0</v>
      </c>
      <c r="N39" s="3">
        <f>IFERROR(__xludf.DUMMYFUNCTION("IFERROR(INDEX(FILTER($Q$2:Q38,$C$2:C38=C39,$G$2:G38=G39),ROWS(FILTER($Q$2:Q38,$C$2:C38=C39,$G$2:G38=G39)),1),1500)"),1508.0)</f>
        <v>1508</v>
      </c>
      <c r="O39" s="3">
        <f t="shared" si="3"/>
        <v>1514.5</v>
      </c>
      <c r="P39" s="9">
        <f t="shared" si="1"/>
        <v>-16</v>
      </c>
      <c r="Q39" s="5">
        <f t="shared" si="2"/>
        <v>1492</v>
      </c>
    </row>
    <row r="40">
      <c r="A40" s="3" t="str">
        <f>IFERROR(__xludf.DUMMYFUNCTION("""COMPUTED_VALUE"""),"1qPrp2vxvYLuS70ioiwER6z4uhCClab-n")</f>
        <v>1qPrp2vxvYLuS70ioiwER6z4uhCClab-n</v>
      </c>
      <c r="B40" s="13">
        <f>IFERROR(__xludf.DUMMYFUNCTION("""COMPUTED_VALUE"""),45976.0)</f>
        <v>45976</v>
      </c>
      <c r="C40" s="3" t="str">
        <f>IFERROR(__xludf.DUMMYFUNCTION("""COMPUTED_VALUE"""),"ZeroO")</f>
        <v>ZeroO</v>
      </c>
      <c r="D40" s="3" t="str">
        <f>IFERROR(__xludf.DUMMYFUNCTION("""COMPUTED_VALUE"""),"Malena + ZeroO")</f>
        <v>Malena + ZeroO</v>
      </c>
      <c r="E40" s="3" t="str">
        <f>IFERROR(__xludf.DUMMYFUNCTION("""COMPUTED_VALUE"""),"Nebus. + Tess1509")</f>
        <v>Nebus. + Tess1509</v>
      </c>
      <c r="F40" s="3" t="str">
        <f>IFERROR(__xludf.DUMMYFUNCTION("""COMPUTED_VALUE"""),"win")</f>
        <v>win</v>
      </c>
      <c r="G40" s="3" t="str">
        <f>IFERROR(__xludf.DUMMYFUNCTION("""COMPUTED_VALUE"""),"2v2")</f>
        <v>2v2</v>
      </c>
      <c r="H40" s="3" t="str">
        <f>IFERROR(__xludf.DUMMYFUNCTION("IFERROR(TRIM(INDEX(SPLIT(E40,"" + ""),1)),"""")"),"Nebus.")</f>
        <v>Nebus.</v>
      </c>
      <c r="I40" s="3" t="str">
        <f>IFERROR(__xludf.DUMMYFUNCTION("IFERROR(TRIM(INDEX(SPLIT(E40,"" + ""),2)),"""")"),"Tess1509")</f>
        <v>Tess1509</v>
      </c>
      <c r="J40" s="5" t="str">
        <f>IFERROR(__xludf.DUMMYFUNCTION("IFERROR(TRIM(INDEX(SPLIT(E40,"" + ""),3)),"""")"),"")</f>
        <v/>
      </c>
      <c r="K40" s="3">
        <f>IFERROR(__xludf.DUMMYFUNCTION("IFERROR(IF(H40="""",0,INDEX(FILTER($Q$2:Q39,$C$2:C39=H40,$G$2:G39=G40),ROWS(FILTER($Q$2:Q39,$C$2:C39=H40,$G$2:G39=G40)),1)),1500)"),1492.0)</f>
        <v>1492</v>
      </c>
      <c r="L40" s="3">
        <f>IFERROR(__xludf.DUMMYFUNCTION("IFERROR(IF(I40="""",0,INDEX(FILTER($Q$2:Q39,$C$2:C39=I40,$G$2:G39=G40),ROWS(FILTER($Q$2:Q39,$C$2:C39=I40,$G$2:G39=G40)),1)),1500)"),1444.0)</f>
        <v>1444</v>
      </c>
      <c r="M40" s="3">
        <f>IFERROR(__xludf.DUMMYFUNCTION("IFERROR(IF(J40="""",0,INDEX(FILTER($Q$2:Q39,$C$2:C39=J40,$G$2:G39=G40),ROWS(FILTER($Q$2:Q39,$C$2:C39=J40,$G$2:G39=G40)),1)),1500)"),0.0)</f>
        <v>0</v>
      </c>
      <c r="N40" s="3">
        <f>IFERROR(__xludf.DUMMYFUNCTION("IFERROR(INDEX(FILTER($Q$2:Q39,$C$2:C39=C40,$G$2:G39=G40),ROWS(FILTER($Q$2:Q39,$C$2:C39=C40,$G$2:G39=G40)),1),1500)"),1592.0)</f>
        <v>1592</v>
      </c>
      <c r="O40" s="3">
        <f t="shared" si="3"/>
        <v>1468</v>
      </c>
      <c r="P40" s="9">
        <f t="shared" si="1"/>
        <v>11</v>
      </c>
      <c r="Q40" s="5">
        <f t="shared" si="2"/>
        <v>1603</v>
      </c>
    </row>
    <row r="41">
      <c r="A41" s="3" t="str">
        <f>IFERROR(__xludf.DUMMYFUNCTION("""COMPUTED_VALUE"""),"1qPrp2vxvYLuS70ioiwER6z4uhCClab-n")</f>
        <v>1qPrp2vxvYLuS70ioiwER6z4uhCClab-n</v>
      </c>
      <c r="B41" s="13">
        <f>IFERROR(__xludf.DUMMYFUNCTION("""COMPUTED_VALUE"""),45976.0)</f>
        <v>45976</v>
      </c>
      <c r="C41" s="3" t="str">
        <f>IFERROR(__xludf.DUMMYFUNCTION("""COMPUTED_VALUE"""),"Malena")</f>
        <v>Malena</v>
      </c>
      <c r="D41" s="3" t="str">
        <f>IFERROR(__xludf.DUMMYFUNCTION("""COMPUTED_VALUE"""),"Malena + ZeroO")</f>
        <v>Malena + ZeroO</v>
      </c>
      <c r="E41" s="3" t="str">
        <f>IFERROR(__xludf.DUMMYFUNCTION("""COMPUTED_VALUE"""),"Nebus. + Tess1509")</f>
        <v>Nebus. + Tess1509</v>
      </c>
      <c r="F41" s="3" t="str">
        <f>IFERROR(__xludf.DUMMYFUNCTION("""COMPUTED_VALUE"""),"win")</f>
        <v>win</v>
      </c>
      <c r="G41" s="3" t="str">
        <f>IFERROR(__xludf.DUMMYFUNCTION("""COMPUTED_VALUE"""),"2v2")</f>
        <v>2v2</v>
      </c>
      <c r="H41" s="3" t="str">
        <f>IFERROR(__xludf.DUMMYFUNCTION("IFERROR(TRIM(INDEX(SPLIT(E41,"" + ""),1)),"""")"),"Nebus.")</f>
        <v>Nebus.</v>
      </c>
      <c r="I41" s="3" t="str">
        <f>IFERROR(__xludf.DUMMYFUNCTION("IFERROR(TRIM(INDEX(SPLIT(E41,"" + ""),2)),"""")"),"Tess1509")</f>
        <v>Tess1509</v>
      </c>
      <c r="J41" s="5" t="str">
        <f>IFERROR(__xludf.DUMMYFUNCTION("IFERROR(TRIM(INDEX(SPLIT(E41,"" + ""),3)),"""")"),"")</f>
        <v/>
      </c>
      <c r="K41" s="3">
        <f>IFERROR(__xludf.DUMMYFUNCTION("IFERROR(IF(H41="""",0,INDEX(FILTER($Q$2:Q40,$C$2:C40=H41,$G$2:G40=G41),ROWS(FILTER($Q$2:Q40,$C$2:C40=H41,$G$2:G40=G41)),1)),1500)"),1492.0)</f>
        <v>1492</v>
      </c>
      <c r="L41" s="3">
        <f>IFERROR(__xludf.DUMMYFUNCTION("IFERROR(IF(I41="""",0,INDEX(FILTER($Q$2:Q40,$C$2:C40=I41,$G$2:G40=G41),ROWS(FILTER($Q$2:Q40,$C$2:C40=I41,$G$2:G40=G41)),1)),1500)"),1444.0)</f>
        <v>1444</v>
      </c>
      <c r="M41" s="3">
        <f>IFERROR(__xludf.DUMMYFUNCTION("IFERROR(IF(J41="""",0,INDEX(FILTER($Q$2:Q40,$C$2:C40=J41,$G$2:G40=G41),ROWS(FILTER($Q$2:Q40,$C$2:C40=J41,$G$2:G40=G41)),1)),1500)"),0.0)</f>
        <v>0</v>
      </c>
      <c r="N41" s="3">
        <f>IFERROR(__xludf.DUMMYFUNCTION("IFERROR(INDEX(FILTER($Q$2:Q40,$C$2:C40=C41,$G$2:G40=G41),ROWS(FILTER($Q$2:Q40,$C$2:C40=C41,$G$2:G40=G41)),1),1500)"),1437.0)</f>
        <v>1437</v>
      </c>
      <c r="O41" s="3">
        <f t="shared" si="3"/>
        <v>1468</v>
      </c>
      <c r="P41" s="9">
        <f t="shared" si="1"/>
        <v>17</v>
      </c>
      <c r="Q41" s="5">
        <f t="shared" si="2"/>
        <v>1454</v>
      </c>
    </row>
    <row r="42">
      <c r="A42" s="3" t="str">
        <f>IFERROR(__xludf.DUMMYFUNCTION("""COMPUTED_VALUE"""),"1dErWQEoV6GqN0Os9gTKoyN46mSynbwp9")</f>
        <v>1dErWQEoV6GqN0Os9gTKoyN46mSynbwp9</v>
      </c>
      <c r="B42" s="13">
        <f>IFERROR(__xludf.DUMMYFUNCTION("""COMPUTED_VALUE"""),45976.0)</f>
        <v>45976</v>
      </c>
      <c r="C42" s="3" t="str">
        <f>IFERROR(__xludf.DUMMYFUNCTION("""COMPUTED_VALUE"""),"Nebus.")</f>
        <v>Nebus.</v>
      </c>
      <c r="D42" s="3" t="str">
        <f>IFERROR(__xludf.DUMMYFUNCTION("""COMPUTED_VALUE"""),"Malena + Nebus.")</f>
        <v>Malena + Nebus.</v>
      </c>
      <c r="E42" s="3" t="str">
        <f>IFERROR(__xludf.DUMMYFUNCTION("""COMPUTED_VALUE"""),"Tess1509 + ZeroO")</f>
        <v>Tess1509 + ZeroO</v>
      </c>
      <c r="F42" s="3" t="str">
        <f>IFERROR(__xludf.DUMMYFUNCTION("""COMPUTED_VALUE"""),"win")</f>
        <v>win</v>
      </c>
      <c r="G42" s="3" t="str">
        <f>IFERROR(__xludf.DUMMYFUNCTION("""COMPUTED_VALUE"""),"2v2")</f>
        <v>2v2</v>
      </c>
      <c r="H42" s="3" t="str">
        <f>IFERROR(__xludf.DUMMYFUNCTION("IFERROR(TRIM(INDEX(SPLIT(E42,"" + ""),1)),"""")"),"Tess1509")</f>
        <v>Tess1509</v>
      </c>
      <c r="I42" s="3" t="str">
        <f>IFERROR(__xludf.DUMMYFUNCTION("IFERROR(TRIM(INDEX(SPLIT(E42,"" + ""),2)),"""")"),"ZeroO")</f>
        <v>ZeroO</v>
      </c>
      <c r="J42" s="5" t="str">
        <f>IFERROR(__xludf.DUMMYFUNCTION("IFERROR(TRIM(INDEX(SPLIT(E42,"" + ""),3)),"""")"),"")</f>
        <v/>
      </c>
      <c r="K42" s="3">
        <f>IFERROR(__xludf.DUMMYFUNCTION("IFERROR(IF(H42="""",0,INDEX(FILTER($Q$2:Q41,$C$2:C41=H42,$G$2:G41=G42),ROWS(FILTER($Q$2:Q41,$C$2:C41=H42,$G$2:G41=G42)),1)),1500)"),1444.0)</f>
        <v>1444</v>
      </c>
      <c r="L42" s="3">
        <f>IFERROR(__xludf.DUMMYFUNCTION("IFERROR(IF(I42="""",0,INDEX(FILTER($Q$2:Q41,$C$2:C41=I42,$G$2:G41=G42),ROWS(FILTER($Q$2:Q41,$C$2:C41=I42,$G$2:G41=G42)),1)),1500)"),1603.0)</f>
        <v>1603</v>
      </c>
      <c r="M42" s="3">
        <f>IFERROR(__xludf.DUMMYFUNCTION("IFERROR(IF(J42="""",0,INDEX(FILTER($Q$2:Q41,$C$2:C41=J42,$G$2:G41=G42),ROWS(FILTER($Q$2:Q41,$C$2:C41=J42,$G$2:G41=G42)),1)),1500)"),0.0)</f>
        <v>0</v>
      </c>
      <c r="N42" s="3">
        <f>IFERROR(__xludf.DUMMYFUNCTION("IFERROR(INDEX(FILTER($Q$2:Q41,$C$2:C41=C42,$G$2:G41=G42),ROWS(FILTER($Q$2:Q41,$C$2:C41=C42,$G$2:G41=G42)),1),1500)"),1492.0)</f>
        <v>1492</v>
      </c>
      <c r="O42" s="3">
        <f t="shared" si="3"/>
        <v>1523.5</v>
      </c>
      <c r="P42" s="9">
        <f t="shared" si="1"/>
        <v>17</v>
      </c>
      <c r="Q42" s="5">
        <f t="shared" si="2"/>
        <v>1509</v>
      </c>
    </row>
    <row r="43">
      <c r="A43" s="3" t="str">
        <f>IFERROR(__xludf.DUMMYFUNCTION("""COMPUTED_VALUE"""),"1dErWQEoV6GqN0Os9gTKoyN46mSynbwp9")</f>
        <v>1dErWQEoV6GqN0Os9gTKoyN46mSynbwp9</v>
      </c>
      <c r="B43" s="13">
        <f>IFERROR(__xludf.DUMMYFUNCTION("""COMPUTED_VALUE"""),45976.0)</f>
        <v>45976</v>
      </c>
      <c r="C43" s="3" t="str">
        <f>IFERROR(__xludf.DUMMYFUNCTION("""COMPUTED_VALUE"""),"Malena")</f>
        <v>Malena</v>
      </c>
      <c r="D43" s="3" t="str">
        <f>IFERROR(__xludf.DUMMYFUNCTION("""COMPUTED_VALUE"""),"Malena + Nebus.")</f>
        <v>Malena + Nebus.</v>
      </c>
      <c r="E43" s="3" t="str">
        <f>IFERROR(__xludf.DUMMYFUNCTION("""COMPUTED_VALUE"""),"Tess1509 + ZeroO")</f>
        <v>Tess1509 + ZeroO</v>
      </c>
      <c r="F43" s="3" t="str">
        <f>IFERROR(__xludf.DUMMYFUNCTION("""COMPUTED_VALUE"""),"win")</f>
        <v>win</v>
      </c>
      <c r="G43" s="3" t="str">
        <f>IFERROR(__xludf.DUMMYFUNCTION("""COMPUTED_VALUE"""),"2v2")</f>
        <v>2v2</v>
      </c>
      <c r="H43" s="3" t="str">
        <f>IFERROR(__xludf.DUMMYFUNCTION("IFERROR(TRIM(INDEX(SPLIT(E43,"" + ""),1)),"""")"),"Tess1509")</f>
        <v>Tess1509</v>
      </c>
      <c r="I43" s="3" t="str">
        <f>IFERROR(__xludf.DUMMYFUNCTION("IFERROR(TRIM(INDEX(SPLIT(E43,"" + ""),2)),"""")"),"ZeroO")</f>
        <v>ZeroO</v>
      </c>
      <c r="J43" s="5" t="str">
        <f>IFERROR(__xludf.DUMMYFUNCTION("IFERROR(TRIM(INDEX(SPLIT(E43,"" + ""),3)),"""")"),"")</f>
        <v/>
      </c>
      <c r="K43" s="3">
        <f>IFERROR(__xludf.DUMMYFUNCTION("IFERROR(IF(H43="""",0,INDEX(FILTER($Q$2:Q42,$C$2:C42=H43,$G$2:G42=G43),ROWS(FILTER($Q$2:Q42,$C$2:C42=H43,$G$2:G42=G43)),1)),1500)"),1444.0)</f>
        <v>1444</v>
      </c>
      <c r="L43" s="3">
        <f>IFERROR(__xludf.DUMMYFUNCTION("IFERROR(IF(I43="""",0,INDEX(FILTER($Q$2:Q42,$C$2:C42=I43,$G$2:G42=G43),ROWS(FILTER($Q$2:Q42,$C$2:C42=I43,$G$2:G42=G43)),1)),1500)"),1603.0)</f>
        <v>1603</v>
      </c>
      <c r="M43" s="3">
        <f>IFERROR(__xludf.DUMMYFUNCTION("IFERROR(IF(J43="""",0,INDEX(FILTER($Q$2:Q42,$C$2:C42=J43,$G$2:G42=G43),ROWS(FILTER($Q$2:Q42,$C$2:C42=J43,$G$2:G42=G43)),1)),1500)"),0.0)</f>
        <v>0</v>
      </c>
      <c r="N43" s="3">
        <f>IFERROR(__xludf.DUMMYFUNCTION("IFERROR(INDEX(FILTER($Q$2:Q42,$C$2:C42=C43,$G$2:G42=G43),ROWS(FILTER($Q$2:Q42,$C$2:C42=C43,$G$2:G42=G43)),1),1500)"),1454.0)</f>
        <v>1454</v>
      </c>
      <c r="O43" s="3">
        <f t="shared" si="3"/>
        <v>1523.5</v>
      </c>
      <c r="P43" s="9">
        <f t="shared" si="1"/>
        <v>19</v>
      </c>
      <c r="Q43" s="5">
        <f t="shared" si="2"/>
        <v>1473</v>
      </c>
    </row>
    <row r="44">
      <c r="A44" s="3" t="str">
        <f>IFERROR(__xludf.DUMMYFUNCTION("""COMPUTED_VALUE"""),"1dErWQEoV6GqN0Os9gTKoyN46mSynbwp9")</f>
        <v>1dErWQEoV6GqN0Os9gTKoyN46mSynbwp9</v>
      </c>
      <c r="B44" s="13">
        <f>IFERROR(__xludf.DUMMYFUNCTION("""COMPUTED_VALUE"""),45976.0)</f>
        <v>45976</v>
      </c>
      <c r="C44" s="3" t="str">
        <f>IFERROR(__xludf.DUMMYFUNCTION("""COMPUTED_VALUE"""),"ZeroO")</f>
        <v>ZeroO</v>
      </c>
      <c r="D44" s="3" t="str">
        <f>IFERROR(__xludf.DUMMYFUNCTION("""COMPUTED_VALUE"""),"Tess1509 + ZeroO")</f>
        <v>Tess1509 + ZeroO</v>
      </c>
      <c r="E44" s="3" t="str">
        <f>IFERROR(__xludf.DUMMYFUNCTION("""COMPUTED_VALUE"""),"Malena + Nebus.")</f>
        <v>Malena + Nebus.</v>
      </c>
      <c r="F44" s="3" t="str">
        <f>IFERROR(__xludf.DUMMYFUNCTION("""COMPUTED_VALUE"""),"loss")</f>
        <v>loss</v>
      </c>
      <c r="G44" s="3" t="str">
        <f>IFERROR(__xludf.DUMMYFUNCTION("""COMPUTED_VALUE"""),"2v2")</f>
        <v>2v2</v>
      </c>
      <c r="H44" s="3" t="str">
        <f>IFERROR(__xludf.DUMMYFUNCTION("IFERROR(TRIM(INDEX(SPLIT(E44,"" + ""),1)),"""")"),"Malena")</f>
        <v>Malena</v>
      </c>
      <c r="I44" s="3" t="str">
        <f>IFERROR(__xludf.DUMMYFUNCTION("IFERROR(TRIM(INDEX(SPLIT(E44,"" + ""),2)),"""")"),"Nebus.")</f>
        <v>Nebus.</v>
      </c>
      <c r="J44" s="5" t="str">
        <f>IFERROR(__xludf.DUMMYFUNCTION("IFERROR(TRIM(INDEX(SPLIT(E44,"" + ""),3)),"""")"),"")</f>
        <v/>
      </c>
      <c r="K44" s="3">
        <f>IFERROR(__xludf.DUMMYFUNCTION("IFERROR(IF(H44="""",0,INDEX(FILTER($Q$2:Q43,$C$2:C43=H44,$G$2:G43=G44),ROWS(FILTER($Q$2:Q43,$C$2:C43=H44,$G$2:G43=G44)),1)),1500)"),1473.0)</f>
        <v>1473</v>
      </c>
      <c r="L44" s="3">
        <f>IFERROR(__xludf.DUMMYFUNCTION("IFERROR(IF(I44="""",0,INDEX(FILTER($Q$2:Q43,$C$2:C43=I44,$G$2:G43=G44),ROWS(FILTER($Q$2:Q43,$C$2:C43=I44,$G$2:G43=G44)),1)),1500)"),1509.0)</f>
        <v>1509</v>
      </c>
      <c r="M44" s="3">
        <f>IFERROR(__xludf.DUMMYFUNCTION("IFERROR(IF(J44="""",0,INDEX(FILTER($Q$2:Q43,$C$2:C43=J44,$G$2:G43=G44),ROWS(FILTER($Q$2:Q43,$C$2:C43=J44,$G$2:G43=G44)),1)),1500)"),0.0)</f>
        <v>0</v>
      </c>
      <c r="N44" s="3">
        <f>IFERROR(__xludf.DUMMYFUNCTION("IFERROR(INDEX(FILTER($Q$2:Q43,$C$2:C43=C44,$G$2:G43=G44),ROWS(FILTER($Q$2:Q43,$C$2:C43=C44,$G$2:G43=G44)),1),1500)"),1603.0)</f>
        <v>1603</v>
      </c>
      <c r="O44" s="3">
        <f t="shared" si="3"/>
        <v>1491</v>
      </c>
      <c r="P44" s="9">
        <f t="shared" si="1"/>
        <v>-21</v>
      </c>
      <c r="Q44" s="5">
        <f t="shared" si="2"/>
        <v>1582</v>
      </c>
    </row>
    <row r="45">
      <c r="A45" s="3" t="str">
        <f>IFERROR(__xludf.DUMMYFUNCTION("""COMPUTED_VALUE"""),"1dErWQEoV6GqN0Os9gTKoyN46mSynbwp9")</f>
        <v>1dErWQEoV6GqN0Os9gTKoyN46mSynbwp9</v>
      </c>
      <c r="B45" s="13">
        <f>IFERROR(__xludf.DUMMYFUNCTION("""COMPUTED_VALUE"""),45976.0)</f>
        <v>45976</v>
      </c>
      <c r="C45" s="3" t="str">
        <f>IFERROR(__xludf.DUMMYFUNCTION("""COMPUTED_VALUE"""),"Tess1509")</f>
        <v>Tess1509</v>
      </c>
      <c r="D45" s="3" t="str">
        <f>IFERROR(__xludf.DUMMYFUNCTION("""COMPUTED_VALUE"""),"Tess1509 + ZeroO")</f>
        <v>Tess1509 + ZeroO</v>
      </c>
      <c r="E45" s="3" t="str">
        <f>IFERROR(__xludf.DUMMYFUNCTION("""COMPUTED_VALUE"""),"Malena + Nebus.")</f>
        <v>Malena + Nebus.</v>
      </c>
      <c r="F45" s="3" t="str">
        <f>IFERROR(__xludf.DUMMYFUNCTION("""COMPUTED_VALUE"""),"loss")</f>
        <v>loss</v>
      </c>
      <c r="G45" s="3" t="str">
        <f>IFERROR(__xludf.DUMMYFUNCTION("""COMPUTED_VALUE"""),"2v2")</f>
        <v>2v2</v>
      </c>
      <c r="H45" s="3" t="str">
        <f>IFERROR(__xludf.DUMMYFUNCTION("IFERROR(TRIM(INDEX(SPLIT(E45,"" + ""),1)),"""")"),"Malena")</f>
        <v>Malena</v>
      </c>
      <c r="I45" s="3" t="str">
        <f>IFERROR(__xludf.DUMMYFUNCTION("IFERROR(TRIM(INDEX(SPLIT(E45,"" + ""),2)),"""")"),"Nebus.")</f>
        <v>Nebus.</v>
      </c>
      <c r="J45" s="5" t="str">
        <f>IFERROR(__xludf.DUMMYFUNCTION("IFERROR(TRIM(INDEX(SPLIT(E45,"" + ""),3)),"""")"),"")</f>
        <v/>
      </c>
      <c r="K45" s="3">
        <f>IFERROR(__xludf.DUMMYFUNCTION("IFERROR(IF(H45="""",0,INDEX(FILTER($Q$2:Q44,$C$2:C44=H45,$G$2:G44=G45),ROWS(FILTER($Q$2:Q44,$C$2:C44=H45,$G$2:G44=G45)),1)),1500)"),1473.0)</f>
        <v>1473</v>
      </c>
      <c r="L45" s="3">
        <f>IFERROR(__xludf.DUMMYFUNCTION("IFERROR(IF(I45="""",0,INDEX(FILTER($Q$2:Q44,$C$2:C44=I45,$G$2:G44=G45),ROWS(FILTER($Q$2:Q44,$C$2:C44=I45,$G$2:G44=G45)),1)),1500)"),1509.0)</f>
        <v>1509</v>
      </c>
      <c r="M45" s="3">
        <f>IFERROR(__xludf.DUMMYFUNCTION("IFERROR(IF(J45="""",0,INDEX(FILTER($Q$2:Q44,$C$2:C44=J45,$G$2:G44=G45),ROWS(FILTER($Q$2:Q44,$C$2:C44=J45,$G$2:G44=G45)),1)),1500)"),0.0)</f>
        <v>0</v>
      </c>
      <c r="N45" s="3">
        <f>IFERROR(__xludf.DUMMYFUNCTION("IFERROR(INDEX(FILTER($Q$2:Q44,$C$2:C44=C45,$G$2:G44=G45),ROWS(FILTER($Q$2:Q44,$C$2:C44=C45,$G$2:G44=G45)),1),1500)"),1444.0)</f>
        <v>1444</v>
      </c>
      <c r="O45" s="3">
        <f t="shared" si="3"/>
        <v>1491</v>
      </c>
      <c r="P45" s="9">
        <f t="shared" si="1"/>
        <v>-14</v>
      </c>
      <c r="Q45" s="5">
        <f t="shared" si="2"/>
        <v>1430</v>
      </c>
    </row>
    <row r="46">
      <c r="A46" s="3" t="str">
        <f>IFERROR(__xludf.DUMMYFUNCTION("""COMPUTED_VALUE"""),"1GckaUjRqIb-0h9A2al2wH-CRVp9TgGbv")</f>
        <v>1GckaUjRqIb-0h9A2al2wH-CRVp9TgGbv</v>
      </c>
      <c r="B46" s="13">
        <f>IFERROR(__xludf.DUMMYFUNCTION("""COMPUTED_VALUE"""),45976.0)</f>
        <v>45976</v>
      </c>
      <c r="C46" s="3" t="str">
        <f>IFERROR(__xludf.DUMMYFUNCTION("""COMPUTED_VALUE"""),"Nebus.")</f>
        <v>Nebus.</v>
      </c>
      <c r="D46" s="3" t="str">
        <f>IFERROR(__xludf.DUMMYFUNCTION("""COMPUTED_VALUE"""),"Malena + Nebus.")</f>
        <v>Malena + Nebus.</v>
      </c>
      <c r="E46" s="3" t="str">
        <f>IFERROR(__xludf.DUMMYFUNCTION("""COMPUTED_VALUE"""),"Tess1509 + ZeroO")</f>
        <v>Tess1509 + ZeroO</v>
      </c>
      <c r="F46" s="3" t="str">
        <f>IFERROR(__xludf.DUMMYFUNCTION("""COMPUTED_VALUE"""),"win")</f>
        <v>win</v>
      </c>
      <c r="G46" s="3" t="str">
        <f>IFERROR(__xludf.DUMMYFUNCTION("""COMPUTED_VALUE"""),"2v2")</f>
        <v>2v2</v>
      </c>
      <c r="H46" s="3" t="str">
        <f>IFERROR(__xludf.DUMMYFUNCTION("IFERROR(TRIM(INDEX(SPLIT(E46,"" + ""),1)),"""")"),"Tess1509")</f>
        <v>Tess1509</v>
      </c>
      <c r="I46" s="3" t="str">
        <f>IFERROR(__xludf.DUMMYFUNCTION("IFERROR(TRIM(INDEX(SPLIT(E46,"" + ""),2)),"""")"),"ZeroO")</f>
        <v>ZeroO</v>
      </c>
      <c r="J46" s="5" t="str">
        <f>IFERROR(__xludf.DUMMYFUNCTION("IFERROR(TRIM(INDEX(SPLIT(E46,"" + ""),3)),"""")"),"")</f>
        <v/>
      </c>
      <c r="K46" s="3">
        <f>IFERROR(__xludf.DUMMYFUNCTION("IFERROR(IF(H46="""",0,INDEX(FILTER($Q$2:Q45,$C$2:C45=H46,$G$2:G45=G46),ROWS(FILTER($Q$2:Q45,$C$2:C45=H46,$G$2:G45=G46)),1)),1500)"),1430.0)</f>
        <v>1430</v>
      </c>
      <c r="L46" s="3">
        <f>IFERROR(__xludf.DUMMYFUNCTION("IFERROR(IF(I46="""",0,INDEX(FILTER($Q$2:Q45,$C$2:C45=I46,$G$2:G45=G46),ROWS(FILTER($Q$2:Q45,$C$2:C45=I46,$G$2:G45=G46)),1)),1500)"),1582.0)</f>
        <v>1582</v>
      </c>
      <c r="M46" s="3">
        <f>IFERROR(__xludf.DUMMYFUNCTION("IFERROR(IF(J46="""",0,INDEX(FILTER($Q$2:Q45,$C$2:C45=J46,$G$2:G45=G46),ROWS(FILTER($Q$2:Q45,$C$2:C45=J46,$G$2:G45=G46)),1)),1500)"),0.0)</f>
        <v>0</v>
      </c>
      <c r="N46" s="3">
        <f>IFERROR(__xludf.DUMMYFUNCTION("IFERROR(INDEX(FILTER($Q$2:Q45,$C$2:C45=C46,$G$2:G45=G46),ROWS(FILTER($Q$2:Q45,$C$2:C45=C46,$G$2:G45=G46)),1),1500)"),1509.0)</f>
        <v>1509</v>
      </c>
      <c r="O46" s="3">
        <f t="shared" si="3"/>
        <v>1506</v>
      </c>
      <c r="P46" s="9">
        <f t="shared" si="1"/>
        <v>16</v>
      </c>
      <c r="Q46" s="5">
        <f t="shared" si="2"/>
        <v>1525</v>
      </c>
    </row>
    <row r="47">
      <c r="A47" s="3" t="str">
        <f>IFERROR(__xludf.DUMMYFUNCTION("""COMPUTED_VALUE"""),"1GckaUjRqIb-0h9A2al2wH-CRVp9TgGbv")</f>
        <v>1GckaUjRqIb-0h9A2al2wH-CRVp9TgGbv</v>
      </c>
      <c r="B47" s="13">
        <f>IFERROR(__xludf.DUMMYFUNCTION("""COMPUTED_VALUE"""),45976.0)</f>
        <v>45976</v>
      </c>
      <c r="C47" s="3" t="str">
        <f>IFERROR(__xludf.DUMMYFUNCTION("""COMPUTED_VALUE"""),"Malena")</f>
        <v>Malena</v>
      </c>
      <c r="D47" s="3" t="str">
        <f>IFERROR(__xludf.DUMMYFUNCTION("""COMPUTED_VALUE"""),"Malena + Nebus.")</f>
        <v>Malena + Nebus.</v>
      </c>
      <c r="E47" s="3" t="str">
        <f>IFERROR(__xludf.DUMMYFUNCTION("""COMPUTED_VALUE"""),"Tess1509 + ZeroO")</f>
        <v>Tess1509 + ZeroO</v>
      </c>
      <c r="F47" s="3" t="str">
        <f>IFERROR(__xludf.DUMMYFUNCTION("""COMPUTED_VALUE"""),"win")</f>
        <v>win</v>
      </c>
      <c r="G47" s="3" t="str">
        <f>IFERROR(__xludf.DUMMYFUNCTION("""COMPUTED_VALUE"""),"2v2")</f>
        <v>2v2</v>
      </c>
      <c r="H47" s="3" t="str">
        <f>IFERROR(__xludf.DUMMYFUNCTION("IFERROR(TRIM(INDEX(SPLIT(E47,"" + ""),1)),"""")"),"Tess1509")</f>
        <v>Tess1509</v>
      </c>
      <c r="I47" s="3" t="str">
        <f>IFERROR(__xludf.DUMMYFUNCTION("IFERROR(TRIM(INDEX(SPLIT(E47,"" + ""),2)),"""")"),"ZeroO")</f>
        <v>ZeroO</v>
      </c>
      <c r="J47" s="5" t="str">
        <f>IFERROR(__xludf.DUMMYFUNCTION("IFERROR(TRIM(INDEX(SPLIT(E47,"" + ""),3)),"""")"),"")</f>
        <v/>
      </c>
      <c r="K47" s="3">
        <f>IFERROR(__xludf.DUMMYFUNCTION("IFERROR(IF(H47="""",0,INDEX(FILTER($Q$2:Q46,$C$2:C46=H47,$G$2:G46=G47),ROWS(FILTER($Q$2:Q46,$C$2:C46=H47,$G$2:G46=G47)),1)),1500)"),1430.0)</f>
        <v>1430</v>
      </c>
      <c r="L47" s="3">
        <f>IFERROR(__xludf.DUMMYFUNCTION("IFERROR(IF(I47="""",0,INDEX(FILTER($Q$2:Q46,$C$2:C46=I47,$G$2:G46=G47),ROWS(FILTER($Q$2:Q46,$C$2:C46=I47,$G$2:G46=G47)),1)),1500)"),1582.0)</f>
        <v>1582</v>
      </c>
      <c r="M47" s="3">
        <f>IFERROR(__xludf.DUMMYFUNCTION("IFERROR(IF(J47="""",0,INDEX(FILTER($Q$2:Q46,$C$2:C46=J47,$G$2:G46=G47),ROWS(FILTER($Q$2:Q46,$C$2:C46=J47,$G$2:G46=G47)),1)),1500)"),0.0)</f>
        <v>0</v>
      </c>
      <c r="N47" s="3">
        <f>IFERROR(__xludf.DUMMYFUNCTION("IFERROR(INDEX(FILTER($Q$2:Q46,$C$2:C46=C47,$G$2:G46=G47),ROWS(FILTER($Q$2:Q46,$C$2:C46=C47,$G$2:G46=G47)),1),1500)"),1473.0)</f>
        <v>1473</v>
      </c>
      <c r="O47" s="3">
        <f t="shared" si="3"/>
        <v>1506</v>
      </c>
      <c r="P47" s="9">
        <f t="shared" si="1"/>
        <v>18</v>
      </c>
      <c r="Q47" s="5">
        <f t="shared" si="2"/>
        <v>1491</v>
      </c>
    </row>
    <row r="48">
      <c r="A48" s="3" t="str">
        <f>IFERROR(__xludf.DUMMYFUNCTION("""COMPUTED_VALUE"""),"1GckaUjRqIb-0h9A2al2wH-CRVp9TgGbv")</f>
        <v>1GckaUjRqIb-0h9A2al2wH-CRVp9TgGbv</v>
      </c>
      <c r="B48" s="13">
        <f>IFERROR(__xludf.DUMMYFUNCTION("""COMPUTED_VALUE"""),45976.0)</f>
        <v>45976</v>
      </c>
      <c r="C48" s="3" t="str">
        <f>IFERROR(__xludf.DUMMYFUNCTION("""COMPUTED_VALUE"""),"ZeroO")</f>
        <v>ZeroO</v>
      </c>
      <c r="D48" s="3" t="str">
        <f>IFERROR(__xludf.DUMMYFUNCTION("""COMPUTED_VALUE"""),"Tess1509 + ZeroO")</f>
        <v>Tess1509 + ZeroO</v>
      </c>
      <c r="E48" s="3" t="str">
        <f>IFERROR(__xludf.DUMMYFUNCTION("""COMPUTED_VALUE"""),"Malena + Nebus.")</f>
        <v>Malena + Nebus.</v>
      </c>
      <c r="F48" s="3" t="str">
        <f>IFERROR(__xludf.DUMMYFUNCTION("""COMPUTED_VALUE"""),"loss")</f>
        <v>loss</v>
      </c>
      <c r="G48" s="3" t="str">
        <f>IFERROR(__xludf.DUMMYFUNCTION("""COMPUTED_VALUE"""),"2v2")</f>
        <v>2v2</v>
      </c>
      <c r="H48" s="3" t="str">
        <f>IFERROR(__xludf.DUMMYFUNCTION("IFERROR(TRIM(INDEX(SPLIT(E48,"" + ""),1)),"""")"),"Malena")</f>
        <v>Malena</v>
      </c>
      <c r="I48" s="3" t="str">
        <f>IFERROR(__xludf.DUMMYFUNCTION("IFERROR(TRIM(INDEX(SPLIT(E48,"" + ""),2)),"""")"),"Nebus.")</f>
        <v>Nebus.</v>
      </c>
      <c r="J48" s="5" t="str">
        <f>IFERROR(__xludf.DUMMYFUNCTION("IFERROR(TRIM(INDEX(SPLIT(E48,"" + ""),3)),"""")"),"")</f>
        <v/>
      </c>
      <c r="K48" s="3">
        <f>IFERROR(__xludf.DUMMYFUNCTION("IFERROR(IF(H48="""",0,INDEX(FILTER($Q$2:Q47,$C$2:C47=H48,$G$2:G47=G48),ROWS(FILTER($Q$2:Q47,$C$2:C47=H48,$G$2:G47=G48)),1)),1500)"),1491.0)</f>
        <v>1491</v>
      </c>
      <c r="L48" s="3">
        <f>IFERROR(__xludf.DUMMYFUNCTION("IFERROR(IF(I48="""",0,INDEX(FILTER($Q$2:Q47,$C$2:C47=I48,$G$2:G47=G48),ROWS(FILTER($Q$2:Q47,$C$2:C47=I48,$G$2:G47=G48)),1)),1500)"),1525.0)</f>
        <v>1525</v>
      </c>
      <c r="M48" s="3">
        <f>IFERROR(__xludf.DUMMYFUNCTION("IFERROR(IF(J48="""",0,INDEX(FILTER($Q$2:Q47,$C$2:C47=J48,$G$2:G47=G48),ROWS(FILTER($Q$2:Q47,$C$2:C47=J48,$G$2:G47=G48)),1)),1500)"),0.0)</f>
        <v>0</v>
      </c>
      <c r="N48" s="3">
        <f>IFERROR(__xludf.DUMMYFUNCTION("IFERROR(INDEX(FILTER($Q$2:Q47,$C$2:C47=C48,$G$2:G47=G48),ROWS(FILTER($Q$2:Q47,$C$2:C47=C48,$G$2:G47=G48)),1),1500)"),1582.0)</f>
        <v>1582</v>
      </c>
      <c r="O48" s="3">
        <f t="shared" si="3"/>
        <v>1508</v>
      </c>
      <c r="P48" s="9">
        <f t="shared" si="1"/>
        <v>-19</v>
      </c>
      <c r="Q48" s="5">
        <f t="shared" si="2"/>
        <v>1563</v>
      </c>
    </row>
    <row r="49">
      <c r="A49" s="3" t="str">
        <f>IFERROR(__xludf.DUMMYFUNCTION("""COMPUTED_VALUE"""),"1GckaUjRqIb-0h9A2al2wH-CRVp9TgGbv")</f>
        <v>1GckaUjRqIb-0h9A2al2wH-CRVp9TgGbv</v>
      </c>
      <c r="B49" s="13">
        <f>IFERROR(__xludf.DUMMYFUNCTION("""COMPUTED_VALUE"""),45976.0)</f>
        <v>45976</v>
      </c>
      <c r="C49" s="3" t="str">
        <f>IFERROR(__xludf.DUMMYFUNCTION("""COMPUTED_VALUE"""),"Tess1509")</f>
        <v>Tess1509</v>
      </c>
      <c r="D49" s="3" t="str">
        <f>IFERROR(__xludf.DUMMYFUNCTION("""COMPUTED_VALUE"""),"Tess1509 + ZeroO")</f>
        <v>Tess1509 + ZeroO</v>
      </c>
      <c r="E49" s="3" t="str">
        <f>IFERROR(__xludf.DUMMYFUNCTION("""COMPUTED_VALUE"""),"Malena + Nebus.")</f>
        <v>Malena + Nebus.</v>
      </c>
      <c r="F49" s="3" t="str">
        <f>IFERROR(__xludf.DUMMYFUNCTION("""COMPUTED_VALUE"""),"loss")</f>
        <v>loss</v>
      </c>
      <c r="G49" s="3" t="str">
        <f>IFERROR(__xludf.DUMMYFUNCTION("""COMPUTED_VALUE"""),"2v2")</f>
        <v>2v2</v>
      </c>
      <c r="H49" s="3" t="str">
        <f>IFERROR(__xludf.DUMMYFUNCTION("IFERROR(TRIM(INDEX(SPLIT(E49,"" + ""),1)),"""")"),"Malena")</f>
        <v>Malena</v>
      </c>
      <c r="I49" s="3" t="str">
        <f>IFERROR(__xludf.DUMMYFUNCTION("IFERROR(TRIM(INDEX(SPLIT(E49,"" + ""),2)),"""")"),"Nebus.")</f>
        <v>Nebus.</v>
      </c>
      <c r="J49" s="5" t="str">
        <f>IFERROR(__xludf.DUMMYFUNCTION("IFERROR(TRIM(INDEX(SPLIT(E49,"" + ""),3)),"""")"),"")</f>
        <v/>
      </c>
      <c r="K49" s="3">
        <f>IFERROR(__xludf.DUMMYFUNCTION("IFERROR(IF(H49="""",0,INDEX(FILTER($Q$2:Q48,$C$2:C48=H49,$G$2:G48=G49),ROWS(FILTER($Q$2:Q48,$C$2:C48=H49,$G$2:G48=G49)),1)),1500)"),1491.0)</f>
        <v>1491</v>
      </c>
      <c r="L49" s="3">
        <f>IFERROR(__xludf.DUMMYFUNCTION("IFERROR(IF(I49="""",0,INDEX(FILTER($Q$2:Q48,$C$2:C48=I49,$G$2:G48=G49),ROWS(FILTER($Q$2:Q48,$C$2:C48=I49,$G$2:G48=G49)),1)),1500)"),1525.0)</f>
        <v>1525</v>
      </c>
      <c r="M49" s="3">
        <f>IFERROR(__xludf.DUMMYFUNCTION("IFERROR(IF(J49="""",0,INDEX(FILTER($Q$2:Q48,$C$2:C48=J49,$G$2:G48=G49),ROWS(FILTER($Q$2:Q48,$C$2:C48=J49,$G$2:G48=G49)),1)),1500)"),0.0)</f>
        <v>0</v>
      </c>
      <c r="N49" s="3">
        <f>IFERROR(__xludf.DUMMYFUNCTION("IFERROR(INDEX(FILTER($Q$2:Q48,$C$2:C48=C49,$G$2:G48=G49),ROWS(FILTER($Q$2:Q48,$C$2:C48=C49,$G$2:G48=G49)),1),1500)"),1430.0)</f>
        <v>1430</v>
      </c>
      <c r="O49" s="3">
        <f t="shared" si="3"/>
        <v>1508</v>
      </c>
      <c r="P49" s="9">
        <f t="shared" si="1"/>
        <v>-12</v>
      </c>
      <c r="Q49" s="5">
        <f t="shared" si="2"/>
        <v>1418</v>
      </c>
    </row>
    <row r="50">
      <c r="A50" s="3" t="str">
        <f>IFERROR(__xludf.DUMMYFUNCTION("""COMPUTED_VALUE"""),"1eXovgQyU5iyUgu7zrEp1CEvMYjcBFuVY")</f>
        <v>1eXovgQyU5iyUgu7zrEp1CEvMYjcBFuVY</v>
      </c>
      <c r="B50" s="13">
        <f>IFERROR(__xludf.DUMMYFUNCTION("""COMPUTED_VALUE"""),45976.0)</f>
        <v>45976</v>
      </c>
      <c r="C50" s="3" t="str">
        <f>IFERROR(__xludf.DUMMYFUNCTION("""COMPUTED_VALUE"""),"Malena")</f>
        <v>Malena</v>
      </c>
      <c r="D50" s="3" t="str">
        <f>IFERROR(__xludf.DUMMYFUNCTION("""COMPUTED_VALUE"""),"Malena + Nebus.")</f>
        <v>Malena + Nebus.</v>
      </c>
      <c r="E50" s="3" t="str">
        <f>IFERROR(__xludf.DUMMYFUNCTION("""COMPUTED_VALUE"""),"Tess1509 + ZeroO")</f>
        <v>Tess1509 + ZeroO</v>
      </c>
      <c r="F50" s="3" t="str">
        <f>IFERROR(__xludf.DUMMYFUNCTION("""COMPUTED_VALUE"""),"win")</f>
        <v>win</v>
      </c>
      <c r="G50" s="3" t="str">
        <f>IFERROR(__xludf.DUMMYFUNCTION("""COMPUTED_VALUE"""),"2v2")</f>
        <v>2v2</v>
      </c>
      <c r="H50" s="3" t="str">
        <f>IFERROR(__xludf.DUMMYFUNCTION("IFERROR(TRIM(INDEX(SPLIT(E50,"" + ""),1)),"""")"),"Tess1509")</f>
        <v>Tess1509</v>
      </c>
      <c r="I50" s="3" t="str">
        <f>IFERROR(__xludf.DUMMYFUNCTION("IFERROR(TRIM(INDEX(SPLIT(E50,"" + ""),2)),"""")"),"ZeroO")</f>
        <v>ZeroO</v>
      </c>
      <c r="J50" s="5" t="str">
        <f>IFERROR(__xludf.DUMMYFUNCTION("IFERROR(TRIM(INDEX(SPLIT(E50,"" + ""),3)),"""")"),"")</f>
        <v/>
      </c>
      <c r="K50" s="3">
        <f>IFERROR(__xludf.DUMMYFUNCTION("IFERROR(IF(H50="""",0,INDEX(FILTER($Q$2:Q49,$C$2:C49=H50,$G$2:G49=G50),ROWS(FILTER($Q$2:Q49,$C$2:C49=H50,$G$2:G49=G50)),1)),1500)"),1418.0)</f>
        <v>1418</v>
      </c>
      <c r="L50" s="3">
        <f>IFERROR(__xludf.DUMMYFUNCTION("IFERROR(IF(I50="""",0,INDEX(FILTER($Q$2:Q49,$C$2:C49=I50,$G$2:G49=G50),ROWS(FILTER($Q$2:Q49,$C$2:C49=I50,$G$2:G49=G50)),1)),1500)"),1563.0)</f>
        <v>1563</v>
      </c>
      <c r="M50" s="3">
        <f>IFERROR(__xludf.DUMMYFUNCTION("IFERROR(IF(J50="""",0,INDEX(FILTER($Q$2:Q49,$C$2:C49=J50,$G$2:G49=G50),ROWS(FILTER($Q$2:Q49,$C$2:C49=J50,$G$2:G49=G50)),1)),1500)"),0.0)</f>
        <v>0</v>
      </c>
      <c r="N50" s="3">
        <f>IFERROR(__xludf.DUMMYFUNCTION("IFERROR(INDEX(FILTER($Q$2:Q49,$C$2:C49=C50,$G$2:G49=G50),ROWS(FILTER($Q$2:Q49,$C$2:C49=C50,$G$2:G49=G50)),1),1500)"),1491.0)</f>
        <v>1491</v>
      </c>
      <c r="O50" s="3">
        <f t="shared" si="3"/>
        <v>1490.5</v>
      </c>
      <c r="P50" s="9">
        <f t="shared" si="1"/>
        <v>16</v>
      </c>
      <c r="Q50" s="5">
        <f t="shared" si="2"/>
        <v>1507</v>
      </c>
    </row>
    <row r="51">
      <c r="A51" s="3" t="str">
        <f>IFERROR(__xludf.DUMMYFUNCTION("""COMPUTED_VALUE"""),"1eXovgQyU5iyUgu7zrEp1CEvMYjcBFuVY")</f>
        <v>1eXovgQyU5iyUgu7zrEp1CEvMYjcBFuVY</v>
      </c>
      <c r="B51" s="13">
        <f>IFERROR(__xludf.DUMMYFUNCTION("""COMPUTED_VALUE"""),45976.0)</f>
        <v>45976</v>
      </c>
      <c r="C51" s="3" t="str">
        <f>IFERROR(__xludf.DUMMYFUNCTION("""COMPUTED_VALUE"""),"Nebus.")</f>
        <v>Nebus.</v>
      </c>
      <c r="D51" s="3" t="str">
        <f>IFERROR(__xludf.DUMMYFUNCTION("""COMPUTED_VALUE"""),"Malena + Nebus.")</f>
        <v>Malena + Nebus.</v>
      </c>
      <c r="E51" s="3" t="str">
        <f>IFERROR(__xludf.DUMMYFUNCTION("""COMPUTED_VALUE"""),"Tess1509 + ZeroO")</f>
        <v>Tess1509 + ZeroO</v>
      </c>
      <c r="F51" s="3" t="str">
        <f>IFERROR(__xludf.DUMMYFUNCTION("""COMPUTED_VALUE"""),"win")</f>
        <v>win</v>
      </c>
      <c r="G51" s="3" t="str">
        <f>IFERROR(__xludf.DUMMYFUNCTION("""COMPUTED_VALUE"""),"2v2")</f>
        <v>2v2</v>
      </c>
      <c r="H51" s="3" t="str">
        <f>IFERROR(__xludf.DUMMYFUNCTION("IFERROR(TRIM(INDEX(SPLIT(E51,"" + ""),1)),"""")"),"Tess1509")</f>
        <v>Tess1509</v>
      </c>
      <c r="I51" s="3" t="str">
        <f>IFERROR(__xludf.DUMMYFUNCTION("IFERROR(TRIM(INDEX(SPLIT(E51,"" + ""),2)),"""")"),"ZeroO")</f>
        <v>ZeroO</v>
      </c>
      <c r="J51" s="5" t="str">
        <f>IFERROR(__xludf.DUMMYFUNCTION("IFERROR(TRIM(INDEX(SPLIT(E51,"" + ""),3)),"""")"),"")</f>
        <v/>
      </c>
      <c r="K51" s="3">
        <f>IFERROR(__xludf.DUMMYFUNCTION("IFERROR(IF(H51="""",0,INDEX(FILTER($Q$2:Q50,$C$2:C50=H51,$G$2:G50=G51),ROWS(FILTER($Q$2:Q50,$C$2:C50=H51,$G$2:G50=G51)),1)),1500)"),1418.0)</f>
        <v>1418</v>
      </c>
      <c r="L51" s="3">
        <f>IFERROR(__xludf.DUMMYFUNCTION("IFERROR(IF(I51="""",0,INDEX(FILTER($Q$2:Q50,$C$2:C50=I51,$G$2:G50=G51),ROWS(FILTER($Q$2:Q50,$C$2:C50=I51,$G$2:G50=G51)),1)),1500)"),1563.0)</f>
        <v>1563</v>
      </c>
      <c r="M51" s="3">
        <f>IFERROR(__xludf.DUMMYFUNCTION("IFERROR(IF(J51="""",0,INDEX(FILTER($Q$2:Q50,$C$2:C50=J51,$G$2:G50=G51),ROWS(FILTER($Q$2:Q50,$C$2:C50=J51,$G$2:G50=G51)),1)),1500)"),0.0)</f>
        <v>0</v>
      </c>
      <c r="N51" s="3">
        <f>IFERROR(__xludf.DUMMYFUNCTION("IFERROR(INDEX(FILTER($Q$2:Q50,$C$2:C50=C51,$G$2:G50=G51),ROWS(FILTER($Q$2:Q50,$C$2:C50=C51,$G$2:G50=G51)),1),1500)"),1525.0)</f>
        <v>1525</v>
      </c>
      <c r="O51" s="3">
        <f t="shared" si="3"/>
        <v>1490.5</v>
      </c>
      <c r="P51" s="9">
        <f t="shared" si="1"/>
        <v>14</v>
      </c>
      <c r="Q51" s="5">
        <f t="shared" si="2"/>
        <v>1539</v>
      </c>
    </row>
    <row r="52">
      <c r="A52" s="3" t="str">
        <f>IFERROR(__xludf.DUMMYFUNCTION("""COMPUTED_VALUE"""),"1eXovgQyU5iyUgu7zrEp1CEvMYjcBFuVY")</f>
        <v>1eXovgQyU5iyUgu7zrEp1CEvMYjcBFuVY</v>
      </c>
      <c r="B52" s="13">
        <f>IFERROR(__xludf.DUMMYFUNCTION("""COMPUTED_VALUE"""),45976.0)</f>
        <v>45976</v>
      </c>
      <c r="C52" s="3" t="str">
        <f>IFERROR(__xludf.DUMMYFUNCTION("""COMPUTED_VALUE"""),"ZeroO")</f>
        <v>ZeroO</v>
      </c>
      <c r="D52" s="3" t="str">
        <f>IFERROR(__xludf.DUMMYFUNCTION("""COMPUTED_VALUE"""),"Tess1509 + ZeroO")</f>
        <v>Tess1509 + ZeroO</v>
      </c>
      <c r="E52" s="3" t="str">
        <f>IFERROR(__xludf.DUMMYFUNCTION("""COMPUTED_VALUE"""),"Malena + Nebus.")</f>
        <v>Malena + Nebus.</v>
      </c>
      <c r="F52" s="3" t="str">
        <f>IFERROR(__xludf.DUMMYFUNCTION("""COMPUTED_VALUE"""),"loss")</f>
        <v>loss</v>
      </c>
      <c r="G52" s="3" t="str">
        <f>IFERROR(__xludf.DUMMYFUNCTION("""COMPUTED_VALUE"""),"2v2")</f>
        <v>2v2</v>
      </c>
      <c r="H52" s="3" t="str">
        <f>IFERROR(__xludf.DUMMYFUNCTION("IFERROR(TRIM(INDEX(SPLIT(E52,"" + ""),1)),"""")"),"Malena")</f>
        <v>Malena</v>
      </c>
      <c r="I52" s="3" t="str">
        <f>IFERROR(__xludf.DUMMYFUNCTION("IFERROR(TRIM(INDEX(SPLIT(E52,"" + ""),2)),"""")"),"Nebus.")</f>
        <v>Nebus.</v>
      </c>
      <c r="J52" s="5" t="str">
        <f>IFERROR(__xludf.DUMMYFUNCTION("IFERROR(TRIM(INDEX(SPLIT(E52,"" + ""),3)),"""")"),"")</f>
        <v/>
      </c>
      <c r="K52" s="3">
        <f>IFERROR(__xludf.DUMMYFUNCTION("IFERROR(IF(H52="""",0,INDEX(FILTER($Q$2:Q51,$C$2:C51=H52,$G$2:G51=G52),ROWS(FILTER($Q$2:Q51,$C$2:C51=H52,$G$2:G51=G52)),1)),1500)"),1507.0)</f>
        <v>1507</v>
      </c>
      <c r="L52" s="3">
        <f>IFERROR(__xludf.DUMMYFUNCTION("IFERROR(IF(I52="""",0,INDEX(FILTER($Q$2:Q51,$C$2:C51=I52,$G$2:G51=G52),ROWS(FILTER($Q$2:Q51,$C$2:C51=I52,$G$2:G51=G52)),1)),1500)"),1539.0)</f>
        <v>1539</v>
      </c>
      <c r="M52" s="3">
        <f>IFERROR(__xludf.DUMMYFUNCTION("IFERROR(IF(J52="""",0,INDEX(FILTER($Q$2:Q51,$C$2:C51=J52,$G$2:G51=G52),ROWS(FILTER($Q$2:Q51,$C$2:C51=J52,$G$2:G51=G52)),1)),1500)"),0.0)</f>
        <v>0</v>
      </c>
      <c r="N52" s="3">
        <f>IFERROR(__xludf.DUMMYFUNCTION("IFERROR(INDEX(FILTER($Q$2:Q51,$C$2:C51=C52,$G$2:G51=G52),ROWS(FILTER($Q$2:Q51,$C$2:C51=C52,$G$2:G51=G52)),1),1500)"),1563.0)</f>
        <v>1563</v>
      </c>
      <c r="O52" s="3">
        <f t="shared" si="3"/>
        <v>1523</v>
      </c>
      <c r="P52" s="9">
        <f t="shared" si="1"/>
        <v>-18</v>
      </c>
      <c r="Q52" s="5">
        <f t="shared" si="2"/>
        <v>1545</v>
      </c>
    </row>
    <row r="53">
      <c r="A53" s="3" t="str">
        <f>IFERROR(__xludf.DUMMYFUNCTION("""COMPUTED_VALUE"""),"1eXovgQyU5iyUgu7zrEp1CEvMYjcBFuVY")</f>
        <v>1eXovgQyU5iyUgu7zrEp1CEvMYjcBFuVY</v>
      </c>
      <c r="B53" s="13">
        <f>IFERROR(__xludf.DUMMYFUNCTION("""COMPUTED_VALUE"""),45976.0)</f>
        <v>45976</v>
      </c>
      <c r="C53" s="3" t="str">
        <f>IFERROR(__xludf.DUMMYFUNCTION("""COMPUTED_VALUE"""),"Tess1509")</f>
        <v>Tess1509</v>
      </c>
      <c r="D53" s="3" t="str">
        <f>IFERROR(__xludf.DUMMYFUNCTION("""COMPUTED_VALUE"""),"Tess1509 + ZeroO")</f>
        <v>Tess1509 + ZeroO</v>
      </c>
      <c r="E53" s="3" t="str">
        <f>IFERROR(__xludf.DUMMYFUNCTION("""COMPUTED_VALUE"""),"Malena + Nebus.")</f>
        <v>Malena + Nebus.</v>
      </c>
      <c r="F53" s="3" t="str">
        <f>IFERROR(__xludf.DUMMYFUNCTION("""COMPUTED_VALUE"""),"loss")</f>
        <v>loss</v>
      </c>
      <c r="G53" s="3" t="str">
        <f>IFERROR(__xludf.DUMMYFUNCTION("""COMPUTED_VALUE"""),"2v2")</f>
        <v>2v2</v>
      </c>
      <c r="H53" s="3" t="str">
        <f>IFERROR(__xludf.DUMMYFUNCTION("IFERROR(TRIM(INDEX(SPLIT(E53,"" + ""),1)),"""")"),"Malena")</f>
        <v>Malena</v>
      </c>
      <c r="I53" s="3" t="str">
        <f>IFERROR(__xludf.DUMMYFUNCTION("IFERROR(TRIM(INDEX(SPLIT(E53,"" + ""),2)),"""")"),"Nebus.")</f>
        <v>Nebus.</v>
      </c>
      <c r="J53" s="5" t="str">
        <f>IFERROR(__xludf.DUMMYFUNCTION("IFERROR(TRIM(INDEX(SPLIT(E53,"" + ""),3)),"""")"),"")</f>
        <v/>
      </c>
      <c r="K53" s="3">
        <f>IFERROR(__xludf.DUMMYFUNCTION("IFERROR(IF(H53="""",0,INDEX(FILTER($Q$2:Q52,$C$2:C52=H53,$G$2:G52=G53),ROWS(FILTER($Q$2:Q52,$C$2:C52=H53,$G$2:G52=G53)),1)),1500)"),1507.0)</f>
        <v>1507</v>
      </c>
      <c r="L53" s="3">
        <f>IFERROR(__xludf.DUMMYFUNCTION("IFERROR(IF(I53="""",0,INDEX(FILTER($Q$2:Q52,$C$2:C52=I53,$G$2:G52=G53),ROWS(FILTER($Q$2:Q52,$C$2:C52=I53,$G$2:G52=G53)),1)),1500)"),1539.0)</f>
        <v>1539</v>
      </c>
      <c r="M53" s="3">
        <f>IFERROR(__xludf.DUMMYFUNCTION("IFERROR(IF(J53="""",0,INDEX(FILTER($Q$2:Q52,$C$2:C52=J53,$G$2:G52=G53),ROWS(FILTER($Q$2:Q52,$C$2:C52=J53,$G$2:G52=G53)),1)),1500)"),0.0)</f>
        <v>0</v>
      </c>
      <c r="N53" s="3">
        <f>IFERROR(__xludf.DUMMYFUNCTION("IFERROR(INDEX(FILTER($Q$2:Q52,$C$2:C52=C53,$G$2:G52=G53),ROWS(FILTER($Q$2:Q52,$C$2:C52=C53,$G$2:G52=G53)),1),1500)"),1418.0)</f>
        <v>1418</v>
      </c>
      <c r="O53" s="3">
        <f t="shared" si="3"/>
        <v>1523</v>
      </c>
      <c r="P53" s="9">
        <f t="shared" si="1"/>
        <v>-11</v>
      </c>
      <c r="Q53" s="5">
        <f t="shared" si="2"/>
        <v>1407</v>
      </c>
    </row>
    <row r="54">
      <c r="A54" s="3" t="str">
        <f>IFERROR(__xludf.DUMMYFUNCTION("""COMPUTED_VALUE"""),"13fhHv2_ODuMNPOtCpWr9yvD1HSaNkXvu")</f>
        <v>13fhHv2_ODuMNPOtCpWr9yvD1HSaNkXvu</v>
      </c>
      <c r="B54" s="13">
        <f>IFERROR(__xludf.DUMMYFUNCTION("""COMPUTED_VALUE"""),45976.0)</f>
        <v>45976</v>
      </c>
      <c r="C54" s="3" t="str">
        <f>IFERROR(__xludf.DUMMYFUNCTION("""COMPUTED_VALUE"""),"Nebus.")</f>
        <v>Nebus.</v>
      </c>
      <c r="D54" s="3" t="str">
        <f>IFERROR(__xludf.DUMMYFUNCTION("""COMPUTED_VALUE"""),"Nebus. + Tess1509")</f>
        <v>Nebus. + Tess1509</v>
      </c>
      <c r="E54" s="3" t="str">
        <f>IFERROR(__xludf.DUMMYFUNCTION("""COMPUTED_VALUE"""),"Malena + ZeroO")</f>
        <v>Malena + ZeroO</v>
      </c>
      <c r="F54" s="3" t="str">
        <f>IFERROR(__xludf.DUMMYFUNCTION("""COMPUTED_VALUE"""),"loss")</f>
        <v>loss</v>
      </c>
      <c r="G54" s="3" t="str">
        <f>IFERROR(__xludf.DUMMYFUNCTION("""COMPUTED_VALUE"""),"2v2")</f>
        <v>2v2</v>
      </c>
      <c r="H54" s="3" t="str">
        <f>IFERROR(__xludf.DUMMYFUNCTION("IFERROR(TRIM(INDEX(SPLIT(E54,"" + ""),1)),"""")"),"Malena")</f>
        <v>Malena</v>
      </c>
      <c r="I54" s="3" t="str">
        <f>IFERROR(__xludf.DUMMYFUNCTION("IFERROR(TRIM(INDEX(SPLIT(E54,"" + ""),2)),"""")"),"ZeroO")</f>
        <v>ZeroO</v>
      </c>
      <c r="J54" s="5" t="str">
        <f>IFERROR(__xludf.DUMMYFUNCTION("IFERROR(TRIM(INDEX(SPLIT(E54,"" + ""),3)),"""")"),"")</f>
        <v/>
      </c>
      <c r="K54" s="3">
        <f>IFERROR(__xludf.DUMMYFUNCTION("IFERROR(IF(H54="""",0,INDEX(FILTER($Q$2:Q53,$C$2:C53=H54,$G$2:G53=G54),ROWS(FILTER($Q$2:Q53,$C$2:C53=H54,$G$2:G53=G54)),1)),1500)"),1507.0)</f>
        <v>1507</v>
      </c>
      <c r="L54" s="3">
        <f>IFERROR(__xludf.DUMMYFUNCTION("IFERROR(IF(I54="""",0,INDEX(FILTER($Q$2:Q53,$C$2:C53=I54,$G$2:G53=G54),ROWS(FILTER($Q$2:Q53,$C$2:C53=I54,$G$2:G53=G54)),1)),1500)"),1545.0)</f>
        <v>1545</v>
      </c>
      <c r="M54" s="3">
        <f>IFERROR(__xludf.DUMMYFUNCTION("IFERROR(IF(J54="""",0,INDEX(FILTER($Q$2:Q53,$C$2:C53=J54,$G$2:G53=G54),ROWS(FILTER($Q$2:Q53,$C$2:C53=J54,$G$2:G53=G54)),1)),1500)"),0.0)</f>
        <v>0</v>
      </c>
      <c r="N54" s="3">
        <f>IFERROR(__xludf.DUMMYFUNCTION("IFERROR(INDEX(FILTER($Q$2:Q53,$C$2:C53=C54,$G$2:G53=G54),ROWS(FILTER($Q$2:Q53,$C$2:C53=C54,$G$2:G53=G54)),1),1500)"),1539.0)</f>
        <v>1539</v>
      </c>
      <c r="O54" s="3">
        <f t="shared" si="3"/>
        <v>1526</v>
      </c>
      <c r="P54" s="9">
        <f t="shared" si="1"/>
        <v>-17</v>
      </c>
      <c r="Q54" s="5">
        <f t="shared" si="2"/>
        <v>1522</v>
      </c>
    </row>
    <row r="55">
      <c r="A55" s="3" t="str">
        <f>IFERROR(__xludf.DUMMYFUNCTION("""COMPUTED_VALUE"""),"13fhHv2_ODuMNPOtCpWr9yvD1HSaNkXvu")</f>
        <v>13fhHv2_ODuMNPOtCpWr9yvD1HSaNkXvu</v>
      </c>
      <c r="B55" s="13">
        <f>IFERROR(__xludf.DUMMYFUNCTION("""COMPUTED_VALUE"""),45976.0)</f>
        <v>45976</v>
      </c>
      <c r="C55" s="3" t="str">
        <f>IFERROR(__xludf.DUMMYFUNCTION("""COMPUTED_VALUE"""),"Tess1509")</f>
        <v>Tess1509</v>
      </c>
      <c r="D55" s="3" t="str">
        <f>IFERROR(__xludf.DUMMYFUNCTION("""COMPUTED_VALUE"""),"Nebus. + Tess1509")</f>
        <v>Nebus. + Tess1509</v>
      </c>
      <c r="E55" s="3" t="str">
        <f>IFERROR(__xludf.DUMMYFUNCTION("""COMPUTED_VALUE"""),"Malena + ZeroO")</f>
        <v>Malena + ZeroO</v>
      </c>
      <c r="F55" s="3" t="str">
        <f>IFERROR(__xludf.DUMMYFUNCTION("""COMPUTED_VALUE"""),"loss")</f>
        <v>loss</v>
      </c>
      <c r="G55" s="3" t="str">
        <f>IFERROR(__xludf.DUMMYFUNCTION("""COMPUTED_VALUE"""),"2v2")</f>
        <v>2v2</v>
      </c>
      <c r="H55" s="3" t="str">
        <f>IFERROR(__xludf.DUMMYFUNCTION("IFERROR(TRIM(INDEX(SPLIT(E55,"" + ""),1)),"""")"),"Malena")</f>
        <v>Malena</v>
      </c>
      <c r="I55" s="3" t="str">
        <f>IFERROR(__xludf.DUMMYFUNCTION("IFERROR(TRIM(INDEX(SPLIT(E55,"" + ""),2)),"""")"),"ZeroO")</f>
        <v>ZeroO</v>
      </c>
      <c r="J55" s="5" t="str">
        <f>IFERROR(__xludf.DUMMYFUNCTION("IFERROR(TRIM(INDEX(SPLIT(E55,"" + ""),3)),"""")"),"")</f>
        <v/>
      </c>
      <c r="K55" s="3">
        <f>IFERROR(__xludf.DUMMYFUNCTION("IFERROR(IF(H55="""",0,INDEX(FILTER($Q$2:Q54,$C$2:C54=H55,$G$2:G54=G55),ROWS(FILTER($Q$2:Q54,$C$2:C54=H55,$G$2:G54=G55)),1)),1500)"),1507.0)</f>
        <v>1507</v>
      </c>
      <c r="L55" s="3">
        <f>IFERROR(__xludf.DUMMYFUNCTION("IFERROR(IF(I55="""",0,INDEX(FILTER($Q$2:Q54,$C$2:C54=I55,$G$2:G54=G55),ROWS(FILTER($Q$2:Q54,$C$2:C54=I55,$G$2:G54=G55)),1)),1500)"),1545.0)</f>
        <v>1545</v>
      </c>
      <c r="M55" s="3">
        <f>IFERROR(__xludf.DUMMYFUNCTION("IFERROR(IF(J55="""",0,INDEX(FILTER($Q$2:Q54,$C$2:C54=J55,$G$2:G54=G55),ROWS(FILTER($Q$2:Q54,$C$2:C54=J55,$G$2:G54=G55)),1)),1500)"),0.0)</f>
        <v>0</v>
      </c>
      <c r="N55" s="3">
        <f>IFERROR(__xludf.DUMMYFUNCTION("IFERROR(INDEX(FILTER($Q$2:Q54,$C$2:C54=C55,$G$2:G54=G55),ROWS(FILTER($Q$2:Q54,$C$2:C54=C55,$G$2:G54=G55)),1),1500)"),1407.0)</f>
        <v>1407</v>
      </c>
      <c r="O55" s="3">
        <f t="shared" si="3"/>
        <v>1526</v>
      </c>
      <c r="P55" s="9">
        <f t="shared" si="1"/>
        <v>-11</v>
      </c>
      <c r="Q55" s="5">
        <f t="shared" si="2"/>
        <v>1396</v>
      </c>
    </row>
    <row r="56">
      <c r="A56" s="3" t="str">
        <f>IFERROR(__xludf.DUMMYFUNCTION("""COMPUTED_VALUE"""),"13fhHv2_ODuMNPOtCpWr9yvD1HSaNkXvu")</f>
        <v>13fhHv2_ODuMNPOtCpWr9yvD1HSaNkXvu</v>
      </c>
      <c r="B56" s="13">
        <f>IFERROR(__xludf.DUMMYFUNCTION("""COMPUTED_VALUE"""),45976.0)</f>
        <v>45976</v>
      </c>
      <c r="C56" s="3" t="str">
        <f>IFERROR(__xludf.DUMMYFUNCTION("""COMPUTED_VALUE"""),"ZeroO")</f>
        <v>ZeroO</v>
      </c>
      <c r="D56" s="3" t="str">
        <f>IFERROR(__xludf.DUMMYFUNCTION("""COMPUTED_VALUE"""),"Malena + ZeroO")</f>
        <v>Malena + ZeroO</v>
      </c>
      <c r="E56" s="3" t="str">
        <f>IFERROR(__xludf.DUMMYFUNCTION("""COMPUTED_VALUE"""),"Nebus. + Tess1509")</f>
        <v>Nebus. + Tess1509</v>
      </c>
      <c r="F56" s="3" t="str">
        <f>IFERROR(__xludf.DUMMYFUNCTION("""COMPUTED_VALUE"""),"win")</f>
        <v>win</v>
      </c>
      <c r="G56" s="3" t="str">
        <f>IFERROR(__xludf.DUMMYFUNCTION("""COMPUTED_VALUE"""),"2v2")</f>
        <v>2v2</v>
      </c>
      <c r="H56" s="3" t="str">
        <f>IFERROR(__xludf.DUMMYFUNCTION("IFERROR(TRIM(INDEX(SPLIT(E56,"" + ""),1)),"""")"),"Nebus.")</f>
        <v>Nebus.</v>
      </c>
      <c r="I56" s="3" t="str">
        <f>IFERROR(__xludf.DUMMYFUNCTION("IFERROR(TRIM(INDEX(SPLIT(E56,"" + ""),2)),"""")"),"Tess1509")</f>
        <v>Tess1509</v>
      </c>
      <c r="J56" s="5" t="str">
        <f>IFERROR(__xludf.DUMMYFUNCTION("IFERROR(TRIM(INDEX(SPLIT(E56,"" + ""),3)),"""")"),"")</f>
        <v/>
      </c>
      <c r="K56" s="3">
        <f>IFERROR(__xludf.DUMMYFUNCTION("IFERROR(IF(H56="""",0,INDEX(FILTER($Q$2:Q55,$C$2:C55=H56,$G$2:G55=G56),ROWS(FILTER($Q$2:Q55,$C$2:C55=H56,$G$2:G55=G56)),1)),1500)"),1522.0)</f>
        <v>1522</v>
      </c>
      <c r="L56" s="3">
        <f>IFERROR(__xludf.DUMMYFUNCTION("IFERROR(IF(I56="""",0,INDEX(FILTER($Q$2:Q55,$C$2:C55=I56,$G$2:G55=G56),ROWS(FILTER($Q$2:Q55,$C$2:C55=I56,$G$2:G55=G56)),1)),1500)"),1396.0)</f>
        <v>1396</v>
      </c>
      <c r="M56" s="3">
        <f>IFERROR(__xludf.DUMMYFUNCTION("IFERROR(IF(J56="""",0,INDEX(FILTER($Q$2:Q55,$C$2:C55=J56,$G$2:G55=G56),ROWS(FILTER($Q$2:Q55,$C$2:C55=J56,$G$2:G55=G56)),1)),1500)"),0.0)</f>
        <v>0</v>
      </c>
      <c r="N56" s="3">
        <f>IFERROR(__xludf.DUMMYFUNCTION("IFERROR(INDEX(FILTER($Q$2:Q55,$C$2:C55=C56,$G$2:G55=G56),ROWS(FILTER($Q$2:Q55,$C$2:C55=C56,$G$2:G55=G56)),1),1500)"),1545.0)</f>
        <v>1545</v>
      </c>
      <c r="O56" s="3">
        <f t="shared" si="3"/>
        <v>1459</v>
      </c>
      <c r="P56" s="9">
        <f t="shared" si="1"/>
        <v>12</v>
      </c>
      <c r="Q56" s="5">
        <f t="shared" si="2"/>
        <v>1557</v>
      </c>
    </row>
    <row r="57">
      <c r="A57" s="3" t="str">
        <f>IFERROR(__xludf.DUMMYFUNCTION("""COMPUTED_VALUE"""),"13fhHv2_ODuMNPOtCpWr9yvD1HSaNkXvu")</f>
        <v>13fhHv2_ODuMNPOtCpWr9yvD1HSaNkXvu</v>
      </c>
      <c r="B57" s="13">
        <f>IFERROR(__xludf.DUMMYFUNCTION("""COMPUTED_VALUE"""),45976.0)</f>
        <v>45976</v>
      </c>
      <c r="C57" s="3" t="str">
        <f>IFERROR(__xludf.DUMMYFUNCTION("""COMPUTED_VALUE"""),"Malena")</f>
        <v>Malena</v>
      </c>
      <c r="D57" s="3" t="str">
        <f>IFERROR(__xludf.DUMMYFUNCTION("""COMPUTED_VALUE"""),"Malena + ZeroO")</f>
        <v>Malena + ZeroO</v>
      </c>
      <c r="E57" s="3" t="str">
        <f>IFERROR(__xludf.DUMMYFUNCTION("""COMPUTED_VALUE"""),"Nebus. + Tess1509")</f>
        <v>Nebus. + Tess1509</v>
      </c>
      <c r="F57" s="3" t="str">
        <f>IFERROR(__xludf.DUMMYFUNCTION("""COMPUTED_VALUE"""),"win")</f>
        <v>win</v>
      </c>
      <c r="G57" s="3" t="str">
        <f>IFERROR(__xludf.DUMMYFUNCTION("""COMPUTED_VALUE"""),"2v2")</f>
        <v>2v2</v>
      </c>
      <c r="H57" s="3" t="str">
        <f>IFERROR(__xludf.DUMMYFUNCTION("IFERROR(TRIM(INDEX(SPLIT(E57,"" + ""),1)),"""")"),"Nebus.")</f>
        <v>Nebus.</v>
      </c>
      <c r="I57" s="3" t="str">
        <f>IFERROR(__xludf.DUMMYFUNCTION("IFERROR(TRIM(INDEX(SPLIT(E57,"" + ""),2)),"""")"),"Tess1509")</f>
        <v>Tess1509</v>
      </c>
      <c r="J57" s="5" t="str">
        <f>IFERROR(__xludf.DUMMYFUNCTION("IFERROR(TRIM(INDEX(SPLIT(E57,"" + ""),3)),"""")"),"")</f>
        <v/>
      </c>
      <c r="K57" s="3">
        <f>IFERROR(__xludf.DUMMYFUNCTION("IFERROR(IF(H57="""",0,INDEX(FILTER($Q$2:Q56,$C$2:C56=H57,$G$2:G56=G57),ROWS(FILTER($Q$2:Q56,$C$2:C56=H57,$G$2:G56=G57)),1)),1500)"),1522.0)</f>
        <v>1522</v>
      </c>
      <c r="L57" s="3">
        <f>IFERROR(__xludf.DUMMYFUNCTION("IFERROR(IF(I57="""",0,INDEX(FILTER($Q$2:Q56,$C$2:C56=I57,$G$2:G56=G57),ROWS(FILTER($Q$2:Q56,$C$2:C56=I57,$G$2:G56=G57)),1)),1500)"),1396.0)</f>
        <v>1396</v>
      </c>
      <c r="M57" s="3">
        <f>IFERROR(__xludf.DUMMYFUNCTION("IFERROR(IF(J57="""",0,INDEX(FILTER($Q$2:Q56,$C$2:C56=J57,$G$2:G56=G57),ROWS(FILTER($Q$2:Q56,$C$2:C56=J57,$G$2:G56=G57)),1)),1500)"),0.0)</f>
        <v>0</v>
      </c>
      <c r="N57" s="3">
        <f>IFERROR(__xludf.DUMMYFUNCTION("IFERROR(INDEX(FILTER($Q$2:Q56,$C$2:C56=C57,$G$2:G56=G57),ROWS(FILTER($Q$2:Q56,$C$2:C56=C57,$G$2:G56=G57)),1),1500)"),1507.0)</f>
        <v>1507</v>
      </c>
      <c r="O57" s="3">
        <f t="shared" si="3"/>
        <v>1459</v>
      </c>
      <c r="P57" s="9">
        <f t="shared" si="1"/>
        <v>14</v>
      </c>
      <c r="Q57" s="5">
        <f t="shared" si="2"/>
        <v>1521</v>
      </c>
    </row>
    <row r="58">
      <c r="A58" s="3" t="str">
        <f>IFERROR(__xludf.DUMMYFUNCTION("""COMPUTED_VALUE"""),"1HKkP0PpJ7-6uG-bE1m3_Kwmjr4f0vGyU")</f>
        <v>1HKkP0PpJ7-6uG-bE1m3_Kwmjr4f0vGyU</v>
      </c>
      <c r="B58" s="13">
        <f>IFERROR(__xludf.DUMMYFUNCTION("""COMPUTED_VALUE"""),45976.0)</f>
        <v>45976</v>
      </c>
      <c r="C58" s="3" t="str">
        <f>IFERROR(__xludf.DUMMYFUNCTION("""COMPUTED_VALUE"""),"Malena")</f>
        <v>Malena</v>
      </c>
      <c r="D58" s="3" t="str">
        <f>IFERROR(__xludf.DUMMYFUNCTION("""COMPUTED_VALUE"""),"Malena + Nebus. + Tess1509")</f>
        <v>Malena + Nebus. + Tess1509</v>
      </c>
      <c r="E58" s="3" t="str">
        <f>IFERROR(__xludf.DUMMYFUNCTION("""COMPUTED_VALUE"""),"Aferdita + Kesny + ZeroO")</f>
        <v>Aferdita + Kesny + ZeroO</v>
      </c>
      <c r="F58" s="3" t="str">
        <f>IFERROR(__xludf.DUMMYFUNCTION("""COMPUTED_VALUE"""),"loss")</f>
        <v>loss</v>
      </c>
      <c r="G58" s="3" t="str">
        <f>IFERROR(__xludf.DUMMYFUNCTION("""COMPUTED_VALUE"""),"3v3")</f>
        <v>3v3</v>
      </c>
      <c r="H58" s="3" t="str">
        <f>IFERROR(__xludf.DUMMYFUNCTION("IFERROR(TRIM(INDEX(SPLIT(E58,"" + ""),1)),"""")"),"Aferdita")</f>
        <v>Aferdita</v>
      </c>
      <c r="I58" s="3" t="str">
        <f>IFERROR(__xludf.DUMMYFUNCTION("IFERROR(TRIM(INDEX(SPLIT(E58,"" + ""),2)),"""")"),"Kesny")</f>
        <v>Kesny</v>
      </c>
      <c r="J58" s="5" t="str">
        <f>IFERROR(__xludf.DUMMYFUNCTION("IFERROR(TRIM(INDEX(SPLIT(E58,"" + ""),3)),"""")"),"ZeroO")</f>
        <v>ZeroO</v>
      </c>
      <c r="K58" s="3">
        <f>IFERROR(__xludf.DUMMYFUNCTION("IFERROR(IF(H58="""",0,INDEX(FILTER($Q$2:Q57,$C$2:C57=H58,$G$2:G57=G58),ROWS(FILTER($Q$2:Q57,$C$2:C57=H58,$G$2:G57=G58)),1)),1500)"),1500.0)</f>
        <v>1500</v>
      </c>
      <c r="L58" s="3">
        <f>IFERROR(__xludf.DUMMYFUNCTION("IFERROR(IF(I58="""",0,INDEX(FILTER($Q$2:Q57,$C$2:C57=I58,$G$2:G57=G58),ROWS(FILTER($Q$2:Q57,$C$2:C57=I58,$G$2:G57=G58)),1)),1500)"),1500.0)</f>
        <v>1500</v>
      </c>
      <c r="M58" s="3">
        <f>IFERROR(__xludf.DUMMYFUNCTION("IFERROR(IF(J58="""",0,INDEX(FILTER($Q$2:Q57,$C$2:C57=J58,$G$2:G57=G58),ROWS(FILTER($Q$2:Q57,$C$2:C57=J58,$G$2:G57=G58)),1)),1500)"),1500.0)</f>
        <v>1500</v>
      </c>
      <c r="N58" s="3">
        <f>IFERROR(__xludf.DUMMYFUNCTION("IFERROR(INDEX(FILTER($Q$2:Q57,$C$2:C57=C58,$G$2:G57=G58),ROWS(FILTER($Q$2:Q57,$C$2:C57=C58,$G$2:G57=G58)),1),1500)"),1500.0)</f>
        <v>1500</v>
      </c>
      <c r="O58" s="3">
        <f t="shared" si="3"/>
        <v>1500</v>
      </c>
      <c r="P58" s="9">
        <f t="shared" si="1"/>
        <v>-16</v>
      </c>
      <c r="Q58" s="5">
        <f t="shared" si="2"/>
        <v>1484</v>
      </c>
    </row>
    <row r="59">
      <c r="A59" s="3" t="str">
        <f>IFERROR(__xludf.DUMMYFUNCTION("""COMPUTED_VALUE"""),"1HKkP0PpJ7-6uG-bE1m3_Kwmjr4f0vGyU")</f>
        <v>1HKkP0PpJ7-6uG-bE1m3_Kwmjr4f0vGyU</v>
      </c>
      <c r="B59" s="13">
        <f>IFERROR(__xludf.DUMMYFUNCTION("""COMPUTED_VALUE"""),45976.0)</f>
        <v>45976</v>
      </c>
      <c r="C59" s="3" t="str">
        <f>IFERROR(__xludf.DUMMYFUNCTION("""COMPUTED_VALUE"""),"Tess1509")</f>
        <v>Tess1509</v>
      </c>
      <c r="D59" s="3" t="str">
        <f>IFERROR(__xludf.DUMMYFUNCTION("""COMPUTED_VALUE"""),"Malena + Nebus. + Tess1509")</f>
        <v>Malena + Nebus. + Tess1509</v>
      </c>
      <c r="E59" s="3" t="str">
        <f>IFERROR(__xludf.DUMMYFUNCTION("""COMPUTED_VALUE"""),"Aferdita + Kesny + ZeroO")</f>
        <v>Aferdita + Kesny + ZeroO</v>
      </c>
      <c r="F59" s="3" t="str">
        <f>IFERROR(__xludf.DUMMYFUNCTION("""COMPUTED_VALUE"""),"loss")</f>
        <v>loss</v>
      </c>
      <c r="G59" s="3" t="str">
        <f>IFERROR(__xludf.DUMMYFUNCTION("""COMPUTED_VALUE"""),"3v3")</f>
        <v>3v3</v>
      </c>
      <c r="H59" s="3" t="str">
        <f>IFERROR(__xludf.DUMMYFUNCTION("IFERROR(TRIM(INDEX(SPLIT(E59,"" + ""),1)),"""")"),"Aferdita")</f>
        <v>Aferdita</v>
      </c>
      <c r="I59" s="3" t="str">
        <f>IFERROR(__xludf.DUMMYFUNCTION("IFERROR(TRIM(INDEX(SPLIT(E59,"" + ""),2)),"""")"),"Kesny")</f>
        <v>Kesny</v>
      </c>
      <c r="J59" s="5" t="str">
        <f>IFERROR(__xludf.DUMMYFUNCTION("IFERROR(TRIM(INDEX(SPLIT(E59,"" + ""),3)),"""")"),"ZeroO")</f>
        <v>ZeroO</v>
      </c>
      <c r="K59" s="3">
        <f>IFERROR(__xludf.DUMMYFUNCTION("IFERROR(IF(H59="""",0,INDEX(FILTER($Q$2:Q58,$C$2:C58=H59,$G$2:G58=G59),ROWS(FILTER($Q$2:Q58,$C$2:C58=H59,$G$2:G58=G59)),1)),1500)"),1500.0)</f>
        <v>1500</v>
      </c>
      <c r="L59" s="3">
        <f>IFERROR(__xludf.DUMMYFUNCTION("IFERROR(IF(I59="""",0,INDEX(FILTER($Q$2:Q58,$C$2:C58=I59,$G$2:G58=G59),ROWS(FILTER($Q$2:Q58,$C$2:C58=I59,$G$2:G58=G59)),1)),1500)"),1500.0)</f>
        <v>1500</v>
      </c>
      <c r="M59" s="3">
        <f>IFERROR(__xludf.DUMMYFUNCTION("IFERROR(IF(J59="""",0,INDEX(FILTER($Q$2:Q58,$C$2:C58=J59,$G$2:G58=G59),ROWS(FILTER($Q$2:Q58,$C$2:C58=J59,$G$2:G58=G59)),1)),1500)"),1500.0)</f>
        <v>1500</v>
      </c>
      <c r="N59" s="3">
        <f>IFERROR(__xludf.DUMMYFUNCTION("IFERROR(INDEX(FILTER($Q$2:Q58,$C$2:C58=C59,$G$2:G58=G59),ROWS(FILTER($Q$2:Q58,$C$2:C58=C59,$G$2:G58=G59)),1),1500)"),1500.0)</f>
        <v>1500</v>
      </c>
      <c r="O59" s="3">
        <f t="shared" si="3"/>
        <v>1500</v>
      </c>
      <c r="P59" s="9">
        <f t="shared" si="1"/>
        <v>-16</v>
      </c>
      <c r="Q59" s="5">
        <f t="shared" si="2"/>
        <v>1484</v>
      </c>
    </row>
    <row r="60">
      <c r="A60" s="3" t="str">
        <f>IFERROR(__xludf.DUMMYFUNCTION("""COMPUTED_VALUE"""),"1HKkP0PpJ7-6uG-bE1m3_Kwmjr4f0vGyU")</f>
        <v>1HKkP0PpJ7-6uG-bE1m3_Kwmjr4f0vGyU</v>
      </c>
      <c r="B60" s="13">
        <f>IFERROR(__xludf.DUMMYFUNCTION("""COMPUTED_VALUE"""),45976.0)</f>
        <v>45976</v>
      </c>
      <c r="C60" s="3" t="str">
        <f>IFERROR(__xludf.DUMMYFUNCTION("""COMPUTED_VALUE"""),"Nebus.")</f>
        <v>Nebus.</v>
      </c>
      <c r="D60" s="3" t="str">
        <f>IFERROR(__xludf.DUMMYFUNCTION("""COMPUTED_VALUE"""),"Malena + Nebus. + Tess1509")</f>
        <v>Malena + Nebus. + Tess1509</v>
      </c>
      <c r="E60" s="3" t="str">
        <f>IFERROR(__xludf.DUMMYFUNCTION("""COMPUTED_VALUE"""),"Aferdita + Kesny + ZeroO")</f>
        <v>Aferdita + Kesny + ZeroO</v>
      </c>
      <c r="F60" s="3" t="str">
        <f>IFERROR(__xludf.DUMMYFUNCTION("""COMPUTED_VALUE"""),"loss")</f>
        <v>loss</v>
      </c>
      <c r="G60" s="3" t="str">
        <f>IFERROR(__xludf.DUMMYFUNCTION("""COMPUTED_VALUE"""),"3v3")</f>
        <v>3v3</v>
      </c>
      <c r="H60" s="3" t="str">
        <f>IFERROR(__xludf.DUMMYFUNCTION("IFERROR(TRIM(INDEX(SPLIT(E60,"" + ""),1)),"""")"),"Aferdita")</f>
        <v>Aferdita</v>
      </c>
      <c r="I60" s="3" t="str">
        <f>IFERROR(__xludf.DUMMYFUNCTION("IFERROR(TRIM(INDEX(SPLIT(E60,"" + ""),2)),"""")"),"Kesny")</f>
        <v>Kesny</v>
      </c>
      <c r="J60" s="5" t="str">
        <f>IFERROR(__xludf.DUMMYFUNCTION("IFERROR(TRIM(INDEX(SPLIT(E60,"" + ""),3)),"""")"),"ZeroO")</f>
        <v>ZeroO</v>
      </c>
      <c r="K60" s="3">
        <f>IFERROR(__xludf.DUMMYFUNCTION("IFERROR(IF(H60="""",0,INDEX(FILTER($Q$2:Q59,$C$2:C59=H60,$G$2:G59=G60),ROWS(FILTER($Q$2:Q59,$C$2:C59=H60,$G$2:G59=G60)),1)),1500)"),1500.0)</f>
        <v>1500</v>
      </c>
      <c r="L60" s="3">
        <f>IFERROR(__xludf.DUMMYFUNCTION("IFERROR(IF(I60="""",0,INDEX(FILTER($Q$2:Q59,$C$2:C59=I60,$G$2:G59=G60),ROWS(FILTER($Q$2:Q59,$C$2:C59=I60,$G$2:G59=G60)),1)),1500)"),1500.0)</f>
        <v>1500</v>
      </c>
      <c r="M60" s="3">
        <f>IFERROR(__xludf.DUMMYFUNCTION("IFERROR(IF(J60="""",0,INDEX(FILTER($Q$2:Q59,$C$2:C59=J60,$G$2:G59=G60),ROWS(FILTER($Q$2:Q59,$C$2:C59=J60,$G$2:G59=G60)),1)),1500)"),1500.0)</f>
        <v>1500</v>
      </c>
      <c r="N60" s="3">
        <f>IFERROR(__xludf.DUMMYFUNCTION("IFERROR(INDEX(FILTER($Q$2:Q59,$C$2:C59=C60,$G$2:G59=G60),ROWS(FILTER($Q$2:Q59,$C$2:C59=C60,$G$2:G59=G60)),1),1500)"),1500.0)</f>
        <v>1500</v>
      </c>
      <c r="O60" s="3">
        <f t="shared" si="3"/>
        <v>1500</v>
      </c>
      <c r="P60" s="9">
        <f t="shared" si="1"/>
        <v>-16</v>
      </c>
      <c r="Q60" s="5">
        <f t="shared" si="2"/>
        <v>1484</v>
      </c>
    </row>
    <row r="61">
      <c r="A61" s="3" t="str">
        <f>IFERROR(__xludf.DUMMYFUNCTION("""COMPUTED_VALUE"""),"1HKkP0PpJ7-6uG-bE1m3_Kwmjr4f0vGyU")</f>
        <v>1HKkP0PpJ7-6uG-bE1m3_Kwmjr4f0vGyU</v>
      </c>
      <c r="B61" s="13">
        <f>IFERROR(__xludf.DUMMYFUNCTION("""COMPUTED_VALUE"""),45976.0)</f>
        <v>45976</v>
      </c>
      <c r="C61" s="3" t="str">
        <f>IFERROR(__xludf.DUMMYFUNCTION("""COMPUTED_VALUE"""),"ZeroO")</f>
        <v>ZeroO</v>
      </c>
      <c r="D61" s="3" t="str">
        <f>IFERROR(__xludf.DUMMYFUNCTION("""COMPUTED_VALUE"""),"Aferdita + Kesny + ZeroO")</f>
        <v>Aferdita + Kesny + ZeroO</v>
      </c>
      <c r="E61" s="3" t="str">
        <f>IFERROR(__xludf.DUMMYFUNCTION("""COMPUTED_VALUE"""),"Malena + Nebus. + Tess1509")</f>
        <v>Malena + Nebus. + Tess1509</v>
      </c>
      <c r="F61" s="3" t="str">
        <f>IFERROR(__xludf.DUMMYFUNCTION("""COMPUTED_VALUE"""),"win")</f>
        <v>win</v>
      </c>
      <c r="G61" s="3" t="str">
        <f>IFERROR(__xludf.DUMMYFUNCTION("""COMPUTED_VALUE"""),"3v3")</f>
        <v>3v3</v>
      </c>
      <c r="H61" s="3" t="str">
        <f>IFERROR(__xludf.DUMMYFUNCTION("IFERROR(TRIM(INDEX(SPLIT(E61,"" + ""),1)),"""")"),"Malena")</f>
        <v>Malena</v>
      </c>
      <c r="I61" s="3" t="str">
        <f>IFERROR(__xludf.DUMMYFUNCTION("IFERROR(TRIM(INDEX(SPLIT(E61,"" + ""),2)),"""")"),"Nebus.")</f>
        <v>Nebus.</v>
      </c>
      <c r="J61" s="5" t="str">
        <f>IFERROR(__xludf.DUMMYFUNCTION("IFERROR(TRIM(INDEX(SPLIT(E61,"" + ""),3)),"""")"),"Tess1509")</f>
        <v>Tess1509</v>
      </c>
      <c r="K61" s="3">
        <f>IFERROR(__xludf.DUMMYFUNCTION("IFERROR(IF(H61="""",0,INDEX(FILTER($Q$2:Q60,$C$2:C60=H61,$G$2:G60=G61),ROWS(FILTER($Q$2:Q60,$C$2:C60=H61,$G$2:G60=G61)),1)),1500)"),1484.0)</f>
        <v>1484</v>
      </c>
      <c r="L61" s="3">
        <f>IFERROR(__xludf.DUMMYFUNCTION("IFERROR(IF(I61="""",0,INDEX(FILTER($Q$2:Q60,$C$2:C60=I61,$G$2:G60=G61),ROWS(FILTER($Q$2:Q60,$C$2:C60=I61,$G$2:G60=G61)),1)),1500)"),1484.0)</f>
        <v>1484</v>
      </c>
      <c r="M61" s="3">
        <f>IFERROR(__xludf.DUMMYFUNCTION("IFERROR(IF(J61="""",0,INDEX(FILTER($Q$2:Q60,$C$2:C60=J61,$G$2:G60=G61),ROWS(FILTER($Q$2:Q60,$C$2:C60=J61,$G$2:G60=G61)),1)),1500)"),1484.0)</f>
        <v>1484</v>
      </c>
      <c r="N61" s="3">
        <f>IFERROR(__xludf.DUMMYFUNCTION("IFERROR(INDEX(FILTER($Q$2:Q60,$C$2:C60=C61,$G$2:G60=G61),ROWS(FILTER($Q$2:Q60,$C$2:C60=C61,$G$2:G60=G61)),1),1500)"),1500.0)</f>
        <v>1500</v>
      </c>
      <c r="O61" s="3">
        <f t="shared" si="3"/>
        <v>1484</v>
      </c>
      <c r="P61" s="9">
        <f t="shared" si="1"/>
        <v>15</v>
      </c>
      <c r="Q61" s="5">
        <f t="shared" si="2"/>
        <v>1515</v>
      </c>
    </row>
    <row r="62">
      <c r="A62" s="3" t="str">
        <f>IFERROR(__xludf.DUMMYFUNCTION("""COMPUTED_VALUE"""),"1HKkP0PpJ7-6uG-bE1m3_Kwmjr4f0vGyU")</f>
        <v>1HKkP0PpJ7-6uG-bE1m3_Kwmjr4f0vGyU</v>
      </c>
      <c r="B62" s="13">
        <f>IFERROR(__xludf.DUMMYFUNCTION("""COMPUTED_VALUE"""),45976.0)</f>
        <v>45976</v>
      </c>
      <c r="C62" s="3" t="str">
        <f>IFERROR(__xludf.DUMMYFUNCTION("""COMPUTED_VALUE"""),"Kesny")</f>
        <v>Kesny</v>
      </c>
      <c r="D62" s="3" t="str">
        <f>IFERROR(__xludf.DUMMYFUNCTION("""COMPUTED_VALUE"""),"Aferdita + Kesny + ZeroO")</f>
        <v>Aferdita + Kesny + ZeroO</v>
      </c>
      <c r="E62" s="3" t="str">
        <f>IFERROR(__xludf.DUMMYFUNCTION("""COMPUTED_VALUE"""),"Malena + Nebus. + Tess1509")</f>
        <v>Malena + Nebus. + Tess1509</v>
      </c>
      <c r="F62" s="3" t="str">
        <f>IFERROR(__xludf.DUMMYFUNCTION("""COMPUTED_VALUE"""),"win")</f>
        <v>win</v>
      </c>
      <c r="G62" s="3" t="str">
        <f>IFERROR(__xludf.DUMMYFUNCTION("""COMPUTED_VALUE"""),"3v3")</f>
        <v>3v3</v>
      </c>
      <c r="H62" s="3" t="str">
        <f>IFERROR(__xludf.DUMMYFUNCTION("IFERROR(TRIM(INDEX(SPLIT(E62,"" + ""),1)),"""")"),"Malena")</f>
        <v>Malena</v>
      </c>
      <c r="I62" s="3" t="str">
        <f>IFERROR(__xludf.DUMMYFUNCTION("IFERROR(TRIM(INDEX(SPLIT(E62,"" + ""),2)),"""")"),"Nebus.")</f>
        <v>Nebus.</v>
      </c>
      <c r="J62" s="5" t="str">
        <f>IFERROR(__xludf.DUMMYFUNCTION("IFERROR(TRIM(INDEX(SPLIT(E62,"" + ""),3)),"""")"),"Tess1509")</f>
        <v>Tess1509</v>
      </c>
      <c r="K62" s="3">
        <f>IFERROR(__xludf.DUMMYFUNCTION("IFERROR(IF(H62="""",0,INDEX(FILTER($Q$2:Q61,$C$2:C61=H62,$G$2:G61=G62),ROWS(FILTER($Q$2:Q61,$C$2:C61=H62,$G$2:G61=G62)),1)),1500)"),1484.0)</f>
        <v>1484</v>
      </c>
      <c r="L62" s="3">
        <f>IFERROR(__xludf.DUMMYFUNCTION("IFERROR(IF(I62="""",0,INDEX(FILTER($Q$2:Q61,$C$2:C61=I62,$G$2:G61=G62),ROWS(FILTER($Q$2:Q61,$C$2:C61=I62,$G$2:G61=G62)),1)),1500)"),1484.0)</f>
        <v>1484</v>
      </c>
      <c r="M62" s="3">
        <f>IFERROR(__xludf.DUMMYFUNCTION("IFERROR(IF(J62="""",0,INDEX(FILTER($Q$2:Q61,$C$2:C61=J62,$G$2:G61=G62),ROWS(FILTER($Q$2:Q61,$C$2:C61=J62,$G$2:G61=G62)),1)),1500)"),1484.0)</f>
        <v>1484</v>
      </c>
      <c r="N62" s="3">
        <f>IFERROR(__xludf.DUMMYFUNCTION("IFERROR(INDEX(FILTER($Q$2:Q61,$C$2:C61=C62,$G$2:G61=G62),ROWS(FILTER($Q$2:Q61,$C$2:C61=C62,$G$2:G61=G62)),1),1500)"),1500.0)</f>
        <v>1500</v>
      </c>
      <c r="O62" s="3">
        <f t="shared" si="3"/>
        <v>1484</v>
      </c>
      <c r="P62" s="9">
        <f t="shared" si="1"/>
        <v>15</v>
      </c>
      <c r="Q62" s="5">
        <f t="shared" si="2"/>
        <v>1515</v>
      </c>
    </row>
    <row r="63">
      <c r="A63" s="3" t="str">
        <f>IFERROR(__xludf.DUMMYFUNCTION("""COMPUTED_VALUE"""),"1HKkP0PpJ7-6uG-bE1m3_Kwmjr4f0vGyU")</f>
        <v>1HKkP0PpJ7-6uG-bE1m3_Kwmjr4f0vGyU</v>
      </c>
      <c r="B63" s="13">
        <f>IFERROR(__xludf.DUMMYFUNCTION("""COMPUTED_VALUE"""),45976.0)</f>
        <v>45976</v>
      </c>
      <c r="C63" s="3" t="str">
        <f>IFERROR(__xludf.DUMMYFUNCTION("""COMPUTED_VALUE"""),"Aferdita")</f>
        <v>Aferdita</v>
      </c>
      <c r="D63" s="3" t="str">
        <f>IFERROR(__xludf.DUMMYFUNCTION("""COMPUTED_VALUE"""),"Aferdita + Kesny + ZeroO")</f>
        <v>Aferdita + Kesny + ZeroO</v>
      </c>
      <c r="E63" s="3" t="str">
        <f>IFERROR(__xludf.DUMMYFUNCTION("""COMPUTED_VALUE"""),"Malena + Nebus. + Tess1509")</f>
        <v>Malena + Nebus. + Tess1509</v>
      </c>
      <c r="F63" s="3" t="str">
        <f>IFERROR(__xludf.DUMMYFUNCTION("""COMPUTED_VALUE"""),"win")</f>
        <v>win</v>
      </c>
      <c r="G63" s="3" t="str">
        <f>IFERROR(__xludf.DUMMYFUNCTION("""COMPUTED_VALUE"""),"3v3")</f>
        <v>3v3</v>
      </c>
      <c r="H63" s="3" t="str">
        <f>IFERROR(__xludf.DUMMYFUNCTION("IFERROR(TRIM(INDEX(SPLIT(E63,"" + ""),1)),"""")"),"Malena")</f>
        <v>Malena</v>
      </c>
      <c r="I63" s="3" t="str">
        <f>IFERROR(__xludf.DUMMYFUNCTION("IFERROR(TRIM(INDEX(SPLIT(E63,"" + ""),2)),"""")"),"Nebus.")</f>
        <v>Nebus.</v>
      </c>
      <c r="J63" s="5" t="str">
        <f>IFERROR(__xludf.DUMMYFUNCTION("IFERROR(TRIM(INDEX(SPLIT(E63,"" + ""),3)),"""")"),"Tess1509")</f>
        <v>Tess1509</v>
      </c>
      <c r="K63" s="3">
        <f>IFERROR(__xludf.DUMMYFUNCTION("IFERROR(IF(H63="""",0,INDEX(FILTER($Q$2:Q62,$C$2:C62=H63,$G$2:G62=G63),ROWS(FILTER($Q$2:Q62,$C$2:C62=H63,$G$2:G62=G63)),1)),1500)"),1484.0)</f>
        <v>1484</v>
      </c>
      <c r="L63" s="3">
        <f>IFERROR(__xludf.DUMMYFUNCTION("IFERROR(IF(I63="""",0,INDEX(FILTER($Q$2:Q62,$C$2:C62=I63,$G$2:G62=G63),ROWS(FILTER($Q$2:Q62,$C$2:C62=I63,$G$2:G62=G63)),1)),1500)"),1484.0)</f>
        <v>1484</v>
      </c>
      <c r="M63" s="3">
        <f>IFERROR(__xludf.DUMMYFUNCTION("IFERROR(IF(J63="""",0,INDEX(FILTER($Q$2:Q62,$C$2:C62=J63,$G$2:G62=G63),ROWS(FILTER($Q$2:Q62,$C$2:C62=J63,$G$2:G62=G63)),1)),1500)"),1484.0)</f>
        <v>1484</v>
      </c>
      <c r="N63" s="3">
        <f>IFERROR(__xludf.DUMMYFUNCTION("IFERROR(INDEX(FILTER($Q$2:Q62,$C$2:C62=C63,$G$2:G62=G63),ROWS(FILTER($Q$2:Q62,$C$2:C62=C63,$G$2:G62=G63)),1),1500)"),1500.0)</f>
        <v>1500</v>
      </c>
      <c r="O63" s="3">
        <f t="shared" si="3"/>
        <v>1484</v>
      </c>
      <c r="P63" s="9">
        <f t="shared" si="1"/>
        <v>15</v>
      </c>
      <c r="Q63" s="5">
        <f t="shared" si="2"/>
        <v>1515</v>
      </c>
    </row>
    <row r="64">
      <c r="A64" s="3" t="str">
        <f>IFERROR(__xludf.DUMMYFUNCTION("""COMPUTED_VALUE"""),"1ajhxBAUSn2_DT2vRRc2gOOzS3E4iKahI")</f>
        <v>1ajhxBAUSn2_DT2vRRc2gOOzS3E4iKahI</v>
      </c>
      <c r="B64" s="13">
        <f>IFERROR(__xludf.DUMMYFUNCTION("""COMPUTED_VALUE"""),45977.0)</f>
        <v>45977</v>
      </c>
      <c r="C64" s="3" t="str">
        <f>IFERROR(__xludf.DUMMYFUNCTION("""COMPUTED_VALUE"""),"Malena")</f>
        <v>Malena</v>
      </c>
      <c r="D64" s="3" t="str">
        <f>IFERROR(__xludf.DUMMYFUNCTION("""COMPUTED_VALUE"""),"Kesny + Malena + Tess1509")</f>
        <v>Kesny + Malena + Tess1509</v>
      </c>
      <c r="E64" s="3" t="str">
        <f>IFERROR(__xludf.DUMMYFUNCTION("""COMPUTED_VALUE"""),"Aferdita + Nebus. + ZeroO")</f>
        <v>Aferdita + Nebus. + ZeroO</v>
      </c>
      <c r="F64" s="3" t="str">
        <f>IFERROR(__xludf.DUMMYFUNCTION("""COMPUTED_VALUE"""),"loss")</f>
        <v>loss</v>
      </c>
      <c r="G64" s="3" t="str">
        <f>IFERROR(__xludf.DUMMYFUNCTION("""COMPUTED_VALUE"""),"3v3")</f>
        <v>3v3</v>
      </c>
      <c r="H64" s="3" t="str">
        <f>IFERROR(__xludf.DUMMYFUNCTION("IFERROR(TRIM(INDEX(SPLIT(E64,"" + ""),1)),"""")"),"Aferdita")</f>
        <v>Aferdita</v>
      </c>
      <c r="I64" s="3" t="str">
        <f>IFERROR(__xludf.DUMMYFUNCTION("IFERROR(TRIM(INDEX(SPLIT(E64,"" + ""),2)),"""")"),"Nebus.")</f>
        <v>Nebus.</v>
      </c>
      <c r="J64" s="5" t="str">
        <f>IFERROR(__xludf.DUMMYFUNCTION("IFERROR(TRIM(INDEX(SPLIT(E64,"" + ""),3)),"""")"),"ZeroO")</f>
        <v>ZeroO</v>
      </c>
      <c r="K64" s="3">
        <f>IFERROR(__xludf.DUMMYFUNCTION("IFERROR(IF(H64="""",0,INDEX(FILTER($Q$2:Q63,$C$2:C63=H64,$G$2:G63=G64),ROWS(FILTER($Q$2:Q63,$C$2:C63=H64,$G$2:G63=G64)),1)),1500)"),1515.0)</f>
        <v>1515</v>
      </c>
      <c r="L64" s="3">
        <f>IFERROR(__xludf.DUMMYFUNCTION("IFERROR(IF(I64="""",0,INDEX(FILTER($Q$2:Q63,$C$2:C63=I64,$G$2:G63=G64),ROWS(FILTER($Q$2:Q63,$C$2:C63=I64,$G$2:G63=G64)),1)),1500)"),1484.0)</f>
        <v>1484</v>
      </c>
      <c r="M64" s="3">
        <f>IFERROR(__xludf.DUMMYFUNCTION("IFERROR(IF(J64="""",0,INDEX(FILTER($Q$2:Q63,$C$2:C63=J64,$G$2:G63=G64),ROWS(FILTER($Q$2:Q63,$C$2:C63=J64,$G$2:G63=G64)),1)),1500)"),1515.0)</f>
        <v>1515</v>
      </c>
      <c r="N64" s="3">
        <f>IFERROR(__xludf.DUMMYFUNCTION("IFERROR(INDEX(FILTER($Q$2:Q63,$C$2:C63=C64,$G$2:G63=G64),ROWS(FILTER($Q$2:Q63,$C$2:C63=C64,$G$2:G63=G64)),1),1500)"),1484.0)</f>
        <v>1484</v>
      </c>
      <c r="O64" s="3">
        <f t="shared" si="3"/>
        <v>1504.666667</v>
      </c>
      <c r="P64" s="9">
        <f t="shared" si="1"/>
        <v>-15</v>
      </c>
      <c r="Q64" s="5">
        <f t="shared" si="2"/>
        <v>1469</v>
      </c>
    </row>
    <row r="65">
      <c r="A65" s="3" t="str">
        <f>IFERROR(__xludf.DUMMYFUNCTION("""COMPUTED_VALUE"""),"1ajhxBAUSn2_DT2vRRc2gOOzS3E4iKahI")</f>
        <v>1ajhxBAUSn2_DT2vRRc2gOOzS3E4iKahI</v>
      </c>
      <c r="B65" s="13">
        <f>IFERROR(__xludf.DUMMYFUNCTION("""COMPUTED_VALUE"""),45977.0)</f>
        <v>45977</v>
      </c>
      <c r="C65" s="3" t="str">
        <f>IFERROR(__xludf.DUMMYFUNCTION("""COMPUTED_VALUE"""),"Kesny")</f>
        <v>Kesny</v>
      </c>
      <c r="D65" s="3" t="str">
        <f>IFERROR(__xludf.DUMMYFUNCTION("""COMPUTED_VALUE"""),"Kesny + Malena + Tess1509")</f>
        <v>Kesny + Malena + Tess1509</v>
      </c>
      <c r="E65" s="3" t="str">
        <f>IFERROR(__xludf.DUMMYFUNCTION("""COMPUTED_VALUE"""),"Aferdita + Nebus. + ZeroO")</f>
        <v>Aferdita + Nebus. + ZeroO</v>
      </c>
      <c r="F65" s="3" t="str">
        <f>IFERROR(__xludf.DUMMYFUNCTION("""COMPUTED_VALUE"""),"loss")</f>
        <v>loss</v>
      </c>
      <c r="G65" s="3" t="str">
        <f>IFERROR(__xludf.DUMMYFUNCTION("""COMPUTED_VALUE"""),"3v3")</f>
        <v>3v3</v>
      </c>
      <c r="H65" s="3" t="str">
        <f>IFERROR(__xludf.DUMMYFUNCTION("IFERROR(TRIM(INDEX(SPLIT(E65,"" + ""),1)),"""")"),"Aferdita")</f>
        <v>Aferdita</v>
      </c>
      <c r="I65" s="3" t="str">
        <f>IFERROR(__xludf.DUMMYFUNCTION("IFERROR(TRIM(INDEX(SPLIT(E65,"" + ""),2)),"""")"),"Nebus.")</f>
        <v>Nebus.</v>
      </c>
      <c r="J65" s="5" t="str">
        <f>IFERROR(__xludf.DUMMYFUNCTION("IFERROR(TRIM(INDEX(SPLIT(E65,"" + ""),3)),"""")"),"ZeroO")</f>
        <v>ZeroO</v>
      </c>
      <c r="K65" s="3">
        <f>IFERROR(__xludf.DUMMYFUNCTION("IFERROR(IF(H65="""",0,INDEX(FILTER($Q$2:Q64,$C$2:C64=H65,$G$2:G64=G65),ROWS(FILTER($Q$2:Q64,$C$2:C64=H65,$G$2:G64=G65)),1)),1500)"),1515.0)</f>
        <v>1515</v>
      </c>
      <c r="L65" s="3">
        <f>IFERROR(__xludf.DUMMYFUNCTION("IFERROR(IF(I65="""",0,INDEX(FILTER($Q$2:Q64,$C$2:C64=I65,$G$2:G64=G65),ROWS(FILTER($Q$2:Q64,$C$2:C64=I65,$G$2:G64=G65)),1)),1500)"),1484.0)</f>
        <v>1484</v>
      </c>
      <c r="M65" s="3">
        <f>IFERROR(__xludf.DUMMYFUNCTION("IFERROR(IF(J65="""",0,INDEX(FILTER($Q$2:Q64,$C$2:C64=J65,$G$2:G64=G65),ROWS(FILTER($Q$2:Q64,$C$2:C64=J65,$G$2:G64=G65)),1)),1500)"),1515.0)</f>
        <v>1515</v>
      </c>
      <c r="N65" s="3">
        <f>IFERROR(__xludf.DUMMYFUNCTION("IFERROR(INDEX(FILTER($Q$2:Q64,$C$2:C64=C65,$G$2:G64=G65),ROWS(FILTER($Q$2:Q64,$C$2:C64=C65,$G$2:G64=G65)),1),1500)"),1515.0)</f>
        <v>1515</v>
      </c>
      <c r="O65" s="3">
        <f t="shared" si="3"/>
        <v>1504.666667</v>
      </c>
      <c r="P65" s="9">
        <f t="shared" si="1"/>
        <v>-16</v>
      </c>
      <c r="Q65" s="5">
        <f t="shared" si="2"/>
        <v>1499</v>
      </c>
    </row>
    <row r="66">
      <c r="A66" s="3" t="str">
        <f>IFERROR(__xludf.DUMMYFUNCTION("""COMPUTED_VALUE"""),"1ajhxBAUSn2_DT2vRRc2gOOzS3E4iKahI")</f>
        <v>1ajhxBAUSn2_DT2vRRc2gOOzS3E4iKahI</v>
      </c>
      <c r="B66" s="13">
        <f>IFERROR(__xludf.DUMMYFUNCTION("""COMPUTED_VALUE"""),45977.0)</f>
        <v>45977</v>
      </c>
      <c r="C66" s="3" t="str">
        <f>IFERROR(__xludf.DUMMYFUNCTION("""COMPUTED_VALUE"""),"Tess1509")</f>
        <v>Tess1509</v>
      </c>
      <c r="D66" s="3" t="str">
        <f>IFERROR(__xludf.DUMMYFUNCTION("""COMPUTED_VALUE"""),"Kesny + Malena + Tess1509")</f>
        <v>Kesny + Malena + Tess1509</v>
      </c>
      <c r="E66" s="3" t="str">
        <f>IFERROR(__xludf.DUMMYFUNCTION("""COMPUTED_VALUE"""),"Aferdita + Nebus. + ZeroO")</f>
        <v>Aferdita + Nebus. + ZeroO</v>
      </c>
      <c r="F66" s="3" t="str">
        <f>IFERROR(__xludf.DUMMYFUNCTION("""COMPUTED_VALUE"""),"loss")</f>
        <v>loss</v>
      </c>
      <c r="G66" s="3" t="str">
        <f>IFERROR(__xludf.DUMMYFUNCTION("""COMPUTED_VALUE"""),"3v3")</f>
        <v>3v3</v>
      </c>
      <c r="H66" s="3" t="str">
        <f>IFERROR(__xludf.DUMMYFUNCTION("IFERROR(TRIM(INDEX(SPLIT(E66,"" + ""),1)),"""")"),"Aferdita")</f>
        <v>Aferdita</v>
      </c>
      <c r="I66" s="3" t="str">
        <f>IFERROR(__xludf.DUMMYFUNCTION("IFERROR(TRIM(INDEX(SPLIT(E66,"" + ""),2)),"""")"),"Nebus.")</f>
        <v>Nebus.</v>
      </c>
      <c r="J66" s="5" t="str">
        <f>IFERROR(__xludf.DUMMYFUNCTION("IFERROR(TRIM(INDEX(SPLIT(E66,"" + ""),3)),"""")"),"ZeroO")</f>
        <v>ZeroO</v>
      </c>
      <c r="K66" s="3">
        <f>IFERROR(__xludf.DUMMYFUNCTION("IFERROR(IF(H66="""",0,INDEX(FILTER($Q$2:Q65,$C$2:C65=H66,$G$2:G65=G66),ROWS(FILTER($Q$2:Q65,$C$2:C65=H66,$G$2:G65=G66)),1)),1500)"),1515.0)</f>
        <v>1515</v>
      </c>
      <c r="L66" s="3">
        <f>IFERROR(__xludf.DUMMYFUNCTION("IFERROR(IF(I66="""",0,INDEX(FILTER($Q$2:Q65,$C$2:C65=I66,$G$2:G65=G66),ROWS(FILTER($Q$2:Q65,$C$2:C65=I66,$G$2:G65=G66)),1)),1500)"),1484.0)</f>
        <v>1484</v>
      </c>
      <c r="M66" s="3">
        <f>IFERROR(__xludf.DUMMYFUNCTION("IFERROR(IF(J66="""",0,INDEX(FILTER($Q$2:Q65,$C$2:C65=J66,$G$2:G65=G66),ROWS(FILTER($Q$2:Q65,$C$2:C65=J66,$G$2:G65=G66)),1)),1500)"),1515.0)</f>
        <v>1515</v>
      </c>
      <c r="N66" s="3">
        <f>IFERROR(__xludf.DUMMYFUNCTION("IFERROR(INDEX(FILTER($Q$2:Q65,$C$2:C65=C66,$G$2:G65=G66),ROWS(FILTER($Q$2:Q65,$C$2:C65=C66,$G$2:G65=G66)),1),1500)"),1484.0)</f>
        <v>1484</v>
      </c>
      <c r="O66" s="3">
        <f t="shared" si="3"/>
        <v>1504.666667</v>
      </c>
      <c r="P66" s="9">
        <f t="shared" si="1"/>
        <v>-15</v>
      </c>
      <c r="Q66" s="5">
        <f t="shared" si="2"/>
        <v>1469</v>
      </c>
    </row>
    <row r="67">
      <c r="A67" s="3" t="str">
        <f>IFERROR(__xludf.DUMMYFUNCTION("""COMPUTED_VALUE"""),"1ajhxBAUSn2_DT2vRRc2gOOzS3E4iKahI")</f>
        <v>1ajhxBAUSn2_DT2vRRc2gOOzS3E4iKahI</v>
      </c>
      <c r="B67" s="13">
        <f>IFERROR(__xludf.DUMMYFUNCTION("""COMPUTED_VALUE"""),45977.0)</f>
        <v>45977</v>
      </c>
      <c r="C67" s="3" t="str">
        <f>IFERROR(__xludf.DUMMYFUNCTION("""COMPUTED_VALUE"""),"ZeroO")</f>
        <v>ZeroO</v>
      </c>
      <c r="D67" s="3" t="str">
        <f>IFERROR(__xludf.DUMMYFUNCTION("""COMPUTED_VALUE"""),"Aferdita + Nebus. + ZeroO")</f>
        <v>Aferdita + Nebus. + ZeroO</v>
      </c>
      <c r="E67" s="3" t="str">
        <f>IFERROR(__xludf.DUMMYFUNCTION("""COMPUTED_VALUE"""),"Kesny + Malena + Tess1509")</f>
        <v>Kesny + Malena + Tess1509</v>
      </c>
      <c r="F67" s="3" t="str">
        <f>IFERROR(__xludf.DUMMYFUNCTION("""COMPUTED_VALUE"""),"win")</f>
        <v>win</v>
      </c>
      <c r="G67" s="3" t="str">
        <f>IFERROR(__xludf.DUMMYFUNCTION("""COMPUTED_VALUE"""),"3v3")</f>
        <v>3v3</v>
      </c>
      <c r="H67" s="3" t="str">
        <f>IFERROR(__xludf.DUMMYFUNCTION("IFERROR(TRIM(INDEX(SPLIT(E67,"" + ""),1)),"""")"),"Kesny")</f>
        <v>Kesny</v>
      </c>
      <c r="I67" s="3" t="str">
        <f>IFERROR(__xludf.DUMMYFUNCTION("IFERROR(TRIM(INDEX(SPLIT(E67,"" + ""),2)),"""")"),"Malena")</f>
        <v>Malena</v>
      </c>
      <c r="J67" s="5" t="str">
        <f>IFERROR(__xludf.DUMMYFUNCTION("IFERROR(TRIM(INDEX(SPLIT(E67,"" + ""),3)),"""")"),"Tess1509")</f>
        <v>Tess1509</v>
      </c>
      <c r="K67" s="3">
        <f>IFERROR(__xludf.DUMMYFUNCTION("IFERROR(IF(H67="""",0,INDEX(FILTER($Q$2:Q66,$C$2:C66=H67,$G$2:G66=G67),ROWS(FILTER($Q$2:Q66,$C$2:C66=H67,$G$2:G66=G67)),1)),1500)"),1499.0)</f>
        <v>1499</v>
      </c>
      <c r="L67" s="3">
        <f>IFERROR(__xludf.DUMMYFUNCTION("IFERROR(IF(I67="""",0,INDEX(FILTER($Q$2:Q66,$C$2:C66=I67,$G$2:G66=G67),ROWS(FILTER($Q$2:Q66,$C$2:C66=I67,$G$2:G66=G67)),1)),1500)"),1469.0)</f>
        <v>1469</v>
      </c>
      <c r="M67" s="3">
        <f>IFERROR(__xludf.DUMMYFUNCTION("IFERROR(IF(J67="""",0,INDEX(FILTER($Q$2:Q66,$C$2:C66=J67,$G$2:G66=G67),ROWS(FILTER($Q$2:Q66,$C$2:C66=J67,$G$2:G66=G67)),1)),1500)"),1469.0)</f>
        <v>1469</v>
      </c>
      <c r="N67" s="3">
        <f>IFERROR(__xludf.DUMMYFUNCTION("IFERROR(INDEX(FILTER($Q$2:Q66,$C$2:C66=C67,$G$2:G66=G67),ROWS(FILTER($Q$2:Q66,$C$2:C66=C67,$G$2:G66=G67)),1),1500)"),1515.0)</f>
        <v>1515</v>
      </c>
      <c r="O67" s="3">
        <f t="shared" si="3"/>
        <v>1479</v>
      </c>
      <c r="P67" s="9">
        <f t="shared" si="1"/>
        <v>14</v>
      </c>
      <c r="Q67" s="5">
        <f t="shared" si="2"/>
        <v>1529</v>
      </c>
    </row>
    <row r="68">
      <c r="A68" s="3" t="str">
        <f>IFERROR(__xludf.DUMMYFUNCTION("""COMPUTED_VALUE"""),"1ajhxBAUSn2_DT2vRRc2gOOzS3E4iKahI")</f>
        <v>1ajhxBAUSn2_DT2vRRc2gOOzS3E4iKahI</v>
      </c>
      <c r="B68" s="13">
        <f>IFERROR(__xludf.DUMMYFUNCTION("""COMPUTED_VALUE"""),45977.0)</f>
        <v>45977</v>
      </c>
      <c r="C68" s="3" t="str">
        <f>IFERROR(__xludf.DUMMYFUNCTION("""COMPUTED_VALUE"""),"Nebus.")</f>
        <v>Nebus.</v>
      </c>
      <c r="D68" s="3" t="str">
        <f>IFERROR(__xludf.DUMMYFUNCTION("""COMPUTED_VALUE"""),"Aferdita + Nebus. + ZeroO")</f>
        <v>Aferdita + Nebus. + ZeroO</v>
      </c>
      <c r="E68" s="3" t="str">
        <f>IFERROR(__xludf.DUMMYFUNCTION("""COMPUTED_VALUE"""),"Kesny + Malena + Tess1509")</f>
        <v>Kesny + Malena + Tess1509</v>
      </c>
      <c r="F68" s="3" t="str">
        <f>IFERROR(__xludf.DUMMYFUNCTION("""COMPUTED_VALUE"""),"win")</f>
        <v>win</v>
      </c>
      <c r="G68" s="3" t="str">
        <f>IFERROR(__xludf.DUMMYFUNCTION("""COMPUTED_VALUE"""),"3v3")</f>
        <v>3v3</v>
      </c>
      <c r="H68" s="3" t="str">
        <f>IFERROR(__xludf.DUMMYFUNCTION("IFERROR(TRIM(INDEX(SPLIT(E68,"" + ""),1)),"""")"),"Kesny")</f>
        <v>Kesny</v>
      </c>
      <c r="I68" s="3" t="str">
        <f>IFERROR(__xludf.DUMMYFUNCTION("IFERROR(TRIM(INDEX(SPLIT(E68,"" + ""),2)),"""")"),"Malena")</f>
        <v>Malena</v>
      </c>
      <c r="J68" s="5" t="str">
        <f>IFERROR(__xludf.DUMMYFUNCTION("IFERROR(TRIM(INDEX(SPLIT(E68,"" + ""),3)),"""")"),"Tess1509")</f>
        <v>Tess1509</v>
      </c>
      <c r="K68" s="3">
        <f>IFERROR(__xludf.DUMMYFUNCTION("IFERROR(IF(H68="""",0,INDEX(FILTER($Q$2:Q67,$C$2:C67=H68,$G$2:G67=G68),ROWS(FILTER($Q$2:Q67,$C$2:C67=H68,$G$2:G67=G68)),1)),1500)"),1499.0)</f>
        <v>1499</v>
      </c>
      <c r="L68" s="3">
        <f>IFERROR(__xludf.DUMMYFUNCTION("IFERROR(IF(I68="""",0,INDEX(FILTER($Q$2:Q67,$C$2:C67=I68,$G$2:G67=G68),ROWS(FILTER($Q$2:Q67,$C$2:C67=I68,$G$2:G67=G68)),1)),1500)"),1469.0)</f>
        <v>1469</v>
      </c>
      <c r="M68" s="3">
        <f>IFERROR(__xludf.DUMMYFUNCTION("IFERROR(IF(J68="""",0,INDEX(FILTER($Q$2:Q67,$C$2:C67=J68,$G$2:G67=G68),ROWS(FILTER($Q$2:Q67,$C$2:C67=J68,$G$2:G67=G68)),1)),1500)"),1469.0)</f>
        <v>1469</v>
      </c>
      <c r="N68" s="3">
        <f>IFERROR(__xludf.DUMMYFUNCTION("IFERROR(INDEX(FILTER($Q$2:Q67,$C$2:C67=C68,$G$2:G67=G68),ROWS(FILTER($Q$2:Q67,$C$2:C67=C68,$G$2:G67=G68)),1),1500)"),1484.0)</f>
        <v>1484</v>
      </c>
      <c r="O68" s="3">
        <f t="shared" si="3"/>
        <v>1479</v>
      </c>
      <c r="P68" s="9">
        <f t="shared" si="1"/>
        <v>16</v>
      </c>
      <c r="Q68" s="5">
        <f t="shared" si="2"/>
        <v>1500</v>
      </c>
    </row>
    <row r="69">
      <c r="A69" s="3" t="str">
        <f>IFERROR(__xludf.DUMMYFUNCTION("""COMPUTED_VALUE"""),"1ajhxBAUSn2_DT2vRRc2gOOzS3E4iKahI")</f>
        <v>1ajhxBAUSn2_DT2vRRc2gOOzS3E4iKahI</v>
      </c>
      <c r="B69" s="13">
        <f>IFERROR(__xludf.DUMMYFUNCTION("""COMPUTED_VALUE"""),45977.0)</f>
        <v>45977</v>
      </c>
      <c r="C69" s="3" t="str">
        <f>IFERROR(__xludf.DUMMYFUNCTION("""COMPUTED_VALUE"""),"Aferdita")</f>
        <v>Aferdita</v>
      </c>
      <c r="D69" s="3" t="str">
        <f>IFERROR(__xludf.DUMMYFUNCTION("""COMPUTED_VALUE"""),"Aferdita + Nebus. + ZeroO")</f>
        <v>Aferdita + Nebus. + ZeroO</v>
      </c>
      <c r="E69" s="3" t="str">
        <f>IFERROR(__xludf.DUMMYFUNCTION("""COMPUTED_VALUE"""),"Kesny + Malena + Tess1509")</f>
        <v>Kesny + Malena + Tess1509</v>
      </c>
      <c r="F69" s="3" t="str">
        <f>IFERROR(__xludf.DUMMYFUNCTION("""COMPUTED_VALUE"""),"win")</f>
        <v>win</v>
      </c>
      <c r="G69" s="3" t="str">
        <f>IFERROR(__xludf.DUMMYFUNCTION("""COMPUTED_VALUE"""),"3v3")</f>
        <v>3v3</v>
      </c>
      <c r="H69" s="3" t="str">
        <f>IFERROR(__xludf.DUMMYFUNCTION("IFERROR(TRIM(INDEX(SPLIT(E69,"" + ""),1)),"""")"),"Kesny")</f>
        <v>Kesny</v>
      </c>
      <c r="I69" s="3" t="str">
        <f>IFERROR(__xludf.DUMMYFUNCTION("IFERROR(TRIM(INDEX(SPLIT(E69,"" + ""),2)),"""")"),"Malena")</f>
        <v>Malena</v>
      </c>
      <c r="J69" s="5" t="str">
        <f>IFERROR(__xludf.DUMMYFUNCTION("IFERROR(TRIM(INDEX(SPLIT(E69,"" + ""),3)),"""")"),"Tess1509")</f>
        <v>Tess1509</v>
      </c>
      <c r="K69" s="3">
        <f>IFERROR(__xludf.DUMMYFUNCTION("IFERROR(IF(H69="""",0,INDEX(FILTER($Q$2:Q68,$C$2:C68=H69,$G$2:G68=G69),ROWS(FILTER($Q$2:Q68,$C$2:C68=H69,$G$2:G68=G69)),1)),1500)"),1499.0)</f>
        <v>1499</v>
      </c>
      <c r="L69" s="3">
        <f>IFERROR(__xludf.DUMMYFUNCTION("IFERROR(IF(I69="""",0,INDEX(FILTER($Q$2:Q68,$C$2:C68=I69,$G$2:G68=G69),ROWS(FILTER($Q$2:Q68,$C$2:C68=I69,$G$2:G68=G69)),1)),1500)"),1469.0)</f>
        <v>1469</v>
      </c>
      <c r="M69" s="3">
        <f>IFERROR(__xludf.DUMMYFUNCTION("IFERROR(IF(J69="""",0,INDEX(FILTER($Q$2:Q68,$C$2:C68=J69,$G$2:G68=G69),ROWS(FILTER($Q$2:Q68,$C$2:C68=J69,$G$2:G68=G69)),1)),1500)"),1469.0)</f>
        <v>1469</v>
      </c>
      <c r="N69" s="3">
        <f>IFERROR(__xludf.DUMMYFUNCTION("IFERROR(INDEX(FILTER($Q$2:Q68,$C$2:C68=C69,$G$2:G68=G69),ROWS(FILTER($Q$2:Q68,$C$2:C68=C69,$G$2:G68=G69)),1),1500)"),1515.0)</f>
        <v>1515</v>
      </c>
      <c r="O69" s="3">
        <f t="shared" si="3"/>
        <v>1479</v>
      </c>
      <c r="P69" s="9">
        <f t="shared" si="1"/>
        <v>14</v>
      </c>
      <c r="Q69" s="5">
        <f t="shared" si="2"/>
        <v>1529</v>
      </c>
    </row>
    <row r="70">
      <c r="A70" s="3" t="str">
        <f>IFERROR(__xludf.DUMMYFUNCTION("""COMPUTED_VALUE"""),"1gSH0ahh3C14E0xRR-TKkNS8ylcE-HTBA")</f>
        <v>1gSH0ahh3C14E0xRR-TKkNS8ylcE-HTBA</v>
      </c>
      <c r="B70" s="13">
        <f>IFERROR(__xludf.DUMMYFUNCTION("""COMPUTED_VALUE"""),45976.0)</f>
        <v>45976</v>
      </c>
      <c r="C70" s="3" t="str">
        <f>IFERROR(__xludf.DUMMYFUNCTION("""COMPUTED_VALUE"""),"Kesny")</f>
        <v>Kesny</v>
      </c>
      <c r="D70" s="3" t="str">
        <f>IFERROR(__xludf.DUMMYFUNCTION("""COMPUTED_VALUE"""),"Aferdita + Kesny + Nebus.")</f>
        <v>Aferdita + Kesny + Nebus.</v>
      </c>
      <c r="E70" s="3" t="str">
        <f>IFERROR(__xludf.DUMMYFUNCTION("""COMPUTED_VALUE"""),"Malena + Tess1509 + ZeroO")</f>
        <v>Malena + Tess1509 + ZeroO</v>
      </c>
      <c r="F70" s="3" t="str">
        <f>IFERROR(__xludf.DUMMYFUNCTION("""COMPUTED_VALUE"""),"win")</f>
        <v>win</v>
      </c>
      <c r="G70" s="3" t="str">
        <f>IFERROR(__xludf.DUMMYFUNCTION("""COMPUTED_VALUE"""),"3v3")</f>
        <v>3v3</v>
      </c>
      <c r="H70" s="3" t="str">
        <f>IFERROR(__xludf.DUMMYFUNCTION("IFERROR(TRIM(INDEX(SPLIT(E70,"" + ""),1)),"""")"),"Malena")</f>
        <v>Malena</v>
      </c>
      <c r="I70" s="3" t="str">
        <f>IFERROR(__xludf.DUMMYFUNCTION("IFERROR(TRIM(INDEX(SPLIT(E70,"" + ""),2)),"""")"),"Tess1509")</f>
        <v>Tess1509</v>
      </c>
      <c r="J70" s="5" t="str">
        <f>IFERROR(__xludf.DUMMYFUNCTION("IFERROR(TRIM(INDEX(SPLIT(E70,"" + ""),3)),"""")"),"ZeroO")</f>
        <v>ZeroO</v>
      </c>
      <c r="K70" s="3">
        <f>IFERROR(__xludf.DUMMYFUNCTION("IFERROR(IF(H70="""",0,INDEX(FILTER($Q$2:Q69,$C$2:C69=H70,$G$2:G69=G70),ROWS(FILTER($Q$2:Q69,$C$2:C69=H70,$G$2:G69=G70)),1)),1500)"),1469.0)</f>
        <v>1469</v>
      </c>
      <c r="L70" s="3">
        <f>IFERROR(__xludf.DUMMYFUNCTION("IFERROR(IF(I70="""",0,INDEX(FILTER($Q$2:Q69,$C$2:C69=I70,$G$2:G69=G70),ROWS(FILTER($Q$2:Q69,$C$2:C69=I70,$G$2:G69=G70)),1)),1500)"),1469.0)</f>
        <v>1469</v>
      </c>
      <c r="M70" s="3">
        <f>IFERROR(__xludf.DUMMYFUNCTION("IFERROR(IF(J70="""",0,INDEX(FILTER($Q$2:Q69,$C$2:C69=J70,$G$2:G69=G70),ROWS(FILTER($Q$2:Q69,$C$2:C69=J70,$G$2:G69=G70)),1)),1500)"),1529.0)</f>
        <v>1529</v>
      </c>
      <c r="N70" s="3">
        <f>IFERROR(__xludf.DUMMYFUNCTION("IFERROR(INDEX(FILTER($Q$2:Q69,$C$2:C69=C70,$G$2:G69=G70),ROWS(FILTER($Q$2:Q69,$C$2:C69=C70,$G$2:G69=G70)),1),1500)"),1499.0)</f>
        <v>1499</v>
      </c>
      <c r="O70" s="3">
        <f t="shared" si="3"/>
        <v>1489</v>
      </c>
      <c r="P70" s="9">
        <f t="shared" si="1"/>
        <v>16</v>
      </c>
      <c r="Q70" s="5">
        <f t="shared" si="2"/>
        <v>1515</v>
      </c>
    </row>
    <row r="71">
      <c r="A71" s="3" t="str">
        <f>IFERROR(__xludf.DUMMYFUNCTION("""COMPUTED_VALUE"""),"1gSH0ahh3C14E0xRR-TKkNS8ylcE-HTBA")</f>
        <v>1gSH0ahh3C14E0xRR-TKkNS8ylcE-HTBA</v>
      </c>
      <c r="B71" s="13">
        <f>IFERROR(__xludf.DUMMYFUNCTION("""COMPUTED_VALUE"""),45976.0)</f>
        <v>45976</v>
      </c>
      <c r="C71" s="3" t="str">
        <f>IFERROR(__xludf.DUMMYFUNCTION("""COMPUTED_VALUE"""),"Nebus.")</f>
        <v>Nebus.</v>
      </c>
      <c r="D71" s="3" t="str">
        <f>IFERROR(__xludf.DUMMYFUNCTION("""COMPUTED_VALUE"""),"Aferdita + Kesny + Nebus.")</f>
        <v>Aferdita + Kesny + Nebus.</v>
      </c>
      <c r="E71" s="3" t="str">
        <f>IFERROR(__xludf.DUMMYFUNCTION("""COMPUTED_VALUE"""),"Malena + Tess1509 + ZeroO")</f>
        <v>Malena + Tess1509 + ZeroO</v>
      </c>
      <c r="F71" s="3" t="str">
        <f>IFERROR(__xludf.DUMMYFUNCTION("""COMPUTED_VALUE"""),"win")</f>
        <v>win</v>
      </c>
      <c r="G71" s="3" t="str">
        <f>IFERROR(__xludf.DUMMYFUNCTION("""COMPUTED_VALUE"""),"3v3")</f>
        <v>3v3</v>
      </c>
      <c r="H71" s="3" t="str">
        <f>IFERROR(__xludf.DUMMYFUNCTION("IFERROR(TRIM(INDEX(SPLIT(E71,"" + ""),1)),"""")"),"Malena")</f>
        <v>Malena</v>
      </c>
      <c r="I71" s="3" t="str">
        <f>IFERROR(__xludf.DUMMYFUNCTION("IFERROR(TRIM(INDEX(SPLIT(E71,"" + ""),2)),"""")"),"Tess1509")</f>
        <v>Tess1509</v>
      </c>
      <c r="J71" s="5" t="str">
        <f>IFERROR(__xludf.DUMMYFUNCTION("IFERROR(TRIM(INDEX(SPLIT(E71,"" + ""),3)),"""")"),"ZeroO")</f>
        <v>ZeroO</v>
      </c>
      <c r="K71" s="3">
        <f>IFERROR(__xludf.DUMMYFUNCTION("IFERROR(IF(H71="""",0,INDEX(FILTER($Q$2:Q70,$C$2:C70=H71,$G$2:G70=G71),ROWS(FILTER($Q$2:Q70,$C$2:C70=H71,$G$2:G70=G71)),1)),1500)"),1469.0)</f>
        <v>1469</v>
      </c>
      <c r="L71" s="3">
        <f>IFERROR(__xludf.DUMMYFUNCTION("IFERROR(IF(I71="""",0,INDEX(FILTER($Q$2:Q70,$C$2:C70=I71,$G$2:G70=G71),ROWS(FILTER($Q$2:Q70,$C$2:C70=I71,$G$2:G70=G71)),1)),1500)"),1469.0)</f>
        <v>1469</v>
      </c>
      <c r="M71" s="3">
        <f>IFERROR(__xludf.DUMMYFUNCTION("IFERROR(IF(J71="""",0,INDEX(FILTER($Q$2:Q70,$C$2:C70=J71,$G$2:G70=G71),ROWS(FILTER($Q$2:Q70,$C$2:C70=J71,$G$2:G70=G71)),1)),1500)"),1529.0)</f>
        <v>1529</v>
      </c>
      <c r="N71" s="3">
        <f>IFERROR(__xludf.DUMMYFUNCTION("IFERROR(INDEX(FILTER($Q$2:Q70,$C$2:C70=C71,$G$2:G70=G71),ROWS(FILTER($Q$2:Q70,$C$2:C70=C71,$G$2:G70=G71)),1),1500)"),1500.0)</f>
        <v>1500</v>
      </c>
      <c r="O71" s="3">
        <f t="shared" si="3"/>
        <v>1489</v>
      </c>
      <c r="P71" s="9">
        <f t="shared" si="1"/>
        <v>15</v>
      </c>
      <c r="Q71" s="5">
        <f t="shared" si="2"/>
        <v>1515</v>
      </c>
    </row>
    <row r="72">
      <c r="A72" s="3" t="str">
        <f>IFERROR(__xludf.DUMMYFUNCTION("""COMPUTED_VALUE"""),"1gSH0ahh3C14E0xRR-TKkNS8ylcE-HTBA")</f>
        <v>1gSH0ahh3C14E0xRR-TKkNS8ylcE-HTBA</v>
      </c>
      <c r="B72" s="13">
        <f>IFERROR(__xludf.DUMMYFUNCTION("""COMPUTED_VALUE"""),45976.0)</f>
        <v>45976</v>
      </c>
      <c r="C72" s="3" t="str">
        <f>IFERROR(__xludf.DUMMYFUNCTION("""COMPUTED_VALUE"""),"Aferdita")</f>
        <v>Aferdita</v>
      </c>
      <c r="D72" s="3" t="str">
        <f>IFERROR(__xludf.DUMMYFUNCTION("""COMPUTED_VALUE"""),"Aferdita + Kesny + Nebus.")</f>
        <v>Aferdita + Kesny + Nebus.</v>
      </c>
      <c r="E72" s="3" t="str">
        <f>IFERROR(__xludf.DUMMYFUNCTION("""COMPUTED_VALUE"""),"Malena + Tess1509 + ZeroO")</f>
        <v>Malena + Tess1509 + ZeroO</v>
      </c>
      <c r="F72" s="3" t="str">
        <f>IFERROR(__xludf.DUMMYFUNCTION("""COMPUTED_VALUE"""),"win")</f>
        <v>win</v>
      </c>
      <c r="G72" s="3" t="str">
        <f>IFERROR(__xludf.DUMMYFUNCTION("""COMPUTED_VALUE"""),"3v3")</f>
        <v>3v3</v>
      </c>
      <c r="H72" s="3" t="str">
        <f>IFERROR(__xludf.DUMMYFUNCTION("IFERROR(TRIM(INDEX(SPLIT(E72,"" + ""),1)),"""")"),"Malena")</f>
        <v>Malena</v>
      </c>
      <c r="I72" s="3" t="str">
        <f>IFERROR(__xludf.DUMMYFUNCTION("IFERROR(TRIM(INDEX(SPLIT(E72,"" + ""),2)),"""")"),"Tess1509")</f>
        <v>Tess1509</v>
      </c>
      <c r="J72" s="5" t="str">
        <f>IFERROR(__xludf.DUMMYFUNCTION("IFERROR(TRIM(INDEX(SPLIT(E72,"" + ""),3)),"""")"),"ZeroO")</f>
        <v>ZeroO</v>
      </c>
      <c r="K72" s="3">
        <f>IFERROR(__xludf.DUMMYFUNCTION("IFERROR(IF(H72="""",0,INDEX(FILTER($Q$2:Q71,$C$2:C71=H72,$G$2:G71=G72),ROWS(FILTER($Q$2:Q71,$C$2:C71=H72,$G$2:G71=G72)),1)),1500)"),1469.0)</f>
        <v>1469</v>
      </c>
      <c r="L72" s="3">
        <f>IFERROR(__xludf.DUMMYFUNCTION("IFERROR(IF(I72="""",0,INDEX(FILTER($Q$2:Q71,$C$2:C71=I72,$G$2:G71=G72),ROWS(FILTER($Q$2:Q71,$C$2:C71=I72,$G$2:G71=G72)),1)),1500)"),1469.0)</f>
        <v>1469</v>
      </c>
      <c r="M72" s="3">
        <f>IFERROR(__xludf.DUMMYFUNCTION("IFERROR(IF(J72="""",0,INDEX(FILTER($Q$2:Q71,$C$2:C71=J72,$G$2:G71=G72),ROWS(FILTER($Q$2:Q71,$C$2:C71=J72,$G$2:G71=G72)),1)),1500)"),1529.0)</f>
        <v>1529</v>
      </c>
      <c r="N72" s="3">
        <f>IFERROR(__xludf.DUMMYFUNCTION("IFERROR(INDEX(FILTER($Q$2:Q71,$C$2:C71=C72,$G$2:G71=G72),ROWS(FILTER($Q$2:Q71,$C$2:C71=C72,$G$2:G71=G72)),1),1500)"),1529.0)</f>
        <v>1529</v>
      </c>
      <c r="O72" s="3">
        <f t="shared" si="3"/>
        <v>1489</v>
      </c>
      <c r="P72" s="9">
        <f t="shared" si="1"/>
        <v>14</v>
      </c>
      <c r="Q72" s="5">
        <f t="shared" si="2"/>
        <v>1543</v>
      </c>
    </row>
    <row r="73">
      <c r="A73" s="3" t="str">
        <f>IFERROR(__xludf.DUMMYFUNCTION("""COMPUTED_VALUE"""),"1gSH0ahh3C14E0xRR-TKkNS8ylcE-HTBA")</f>
        <v>1gSH0ahh3C14E0xRR-TKkNS8ylcE-HTBA</v>
      </c>
      <c r="B73" s="13">
        <f>IFERROR(__xludf.DUMMYFUNCTION("""COMPUTED_VALUE"""),45976.0)</f>
        <v>45976</v>
      </c>
      <c r="C73" s="3" t="str">
        <f>IFERROR(__xludf.DUMMYFUNCTION("""COMPUTED_VALUE"""),"Malena")</f>
        <v>Malena</v>
      </c>
      <c r="D73" s="3" t="str">
        <f>IFERROR(__xludf.DUMMYFUNCTION("""COMPUTED_VALUE"""),"Malena + Tess1509 + ZeroO")</f>
        <v>Malena + Tess1509 + ZeroO</v>
      </c>
      <c r="E73" s="3" t="str">
        <f>IFERROR(__xludf.DUMMYFUNCTION("""COMPUTED_VALUE"""),"Aferdita + Kesny + Nebus.")</f>
        <v>Aferdita + Kesny + Nebus.</v>
      </c>
      <c r="F73" s="3" t="str">
        <f>IFERROR(__xludf.DUMMYFUNCTION("""COMPUTED_VALUE"""),"loss")</f>
        <v>loss</v>
      </c>
      <c r="G73" s="3" t="str">
        <f>IFERROR(__xludf.DUMMYFUNCTION("""COMPUTED_VALUE"""),"3v3")</f>
        <v>3v3</v>
      </c>
      <c r="H73" s="3" t="str">
        <f>IFERROR(__xludf.DUMMYFUNCTION("IFERROR(TRIM(INDEX(SPLIT(E73,"" + ""),1)),"""")"),"Aferdita")</f>
        <v>Aferdita</v>
      </c>
      <c r="I73" s="3" t="str">
        <f>IFERROR(__xludf.DUMMYFUNCTION("IFERROR(TRIM(INDEX(SPLIT(E73,"" + ""),2)),"""")"),"Kesny")</f>
        <v>Kesny</v>
      </c>
      <c r="J73" s="5" t="str">
        <f>IFERROR(__xludf.DUMMYFUNCTION("IFERROR(TRIM(INDEX(SPLIT(E73,"" + ""),3)),"""")"),"Nebus.")</f>
        <v>Nebus.</v>
      </c>
      <c r="K73" s="3">
        <f>IFERROR(__xludf.DUMMYFUNCTION("IFERROR(IF(H73="""",0,INDEX(FILTER($Q$2:Q72,$C$2:C72=H73,$G$2:G72=G73),ROWS(FILTER($Q$2:Q72,$C$2:C72=H73,$G$2:G72=G73)),1)),1500)"),1543.0)</f>
        <v>1543</v>
      </c>
      <c r="L73" s="3">
        <f>IFERROR(__xludf.DUMMYFUNCTION("IFERROR(IF(I73="""",0,INDEX(FILTER($Q$2:Q72,$C$2:C72=I73,$G$2:G72=G73),ROWS(FILTER($Q$2:Q72,$C$2:C72=I73,$G$2:G72=G73)),1)),1500)"),1515.0)</f>
        <v>1515</v>
      </c>
      <c r="M73" s="3">
        <f>IFERROR(__xludf.DUMMYFUNCTION("IFERROR(IF(J73="""",0,INDEX(FILTER($Q$2:Q72,$C$2:C72=J73,$G$2:G72=G73),ROWS(FILTER($Q$2:Q72,$C$2:C72=J73,$G$2:G72=G73)),1)),1500)"),1515.0)</f>
        <v>1515</v>
      </c>
      <c r="N73" s="3">
        <f>IFERROR(__xludf.DUMMYFUNCTION("IFERROR(INDEX(FILTER($Q$2:Q72,$C$2:C72=C73,$G$2:G72=G73),ROWS(FILTER($Q$2:Q72,$C$2:C72=C73,$G$2:G72=G73)),1),1500)"),1469.0)</f>
        <v>1469</v>
      </c>
      <c r="O73" s="3">
        <f t="shared" si="3"/>
        <v>1524.333333</v>
      </c>
      <c r="P73" s="9">
        <f t="shared" si="1"/>
        <v>-13</v>
      </c>
      <c r="Q73" s="5">
        <f t="shared" si="2"/>
        <v>1456</v>
      </c>
    </row>
    <row r="74">
      <c r="A74" s="3" t="str">
        <f>IFERROR(__xludf.DUMMYFUNCTION("""COMPUTED_VALUE"""),"1gSH0ahh3C14E0xRR-TKkNS8ylcE-HTBA")</f>
        <v>1gSH0ahh3C14E0xRR-TKkNS8ylcE-HTBA</v>
      </c>
      <c r="B74" s="13">
        <f>IFERROR(__xludf.DUMMYFUNCTION("""COMPUTED_VALUE"""),45976.0)</f>
        <v>45976</v>
      </c>
      <c r="C74" s="3" t="str">
        <f>IFERROR(__xludf.DUMMYFUNCTION("""COMPUTED_VALUE"""),"ZeroO")</f>
        <v>ZeroO</v>
      </c>
      <c r="D74" s="3" t="str">
        <f>IFERROR(__xludf.DUMMYFUNCTION("""COMPUTED_VALUE"""),"Malena + Tess1509 + ZeroO")</f>
        <v>Malena + Tess1509 + ZeroO</v>
      </c>
      <c r="E74" s="3" t="str">
        <f>IFERROR(__xludf.DUMMYFUNCTION("""COMPUTED_VALUE"""),"Aferdita + Kesny + Nebus.")</f>
        <v>Aferdita + Kesny + Nebus.</v>
      </c>
      <c r="F74" s="3" t="str">
        <f>IFERROR(__xludf.DUMMYFUNCTION("""COMPUTED_VALUE"""),"loss")</f>
        <v>loss</v>
      </c>
      <c r="G74" s="3" t="str">
        <f>IFERROR(__xludf.DUMMYFUNCTION("""COMPUTED_VALUE"""),"3v3")</f>
        <v>3v3</v>
      </c>
      <c r="H74" s="3" t="str">
        <f>IFERROR(__xludf.DUMMYFUNCTION("IFERROR(TRIM(INDEX(SPLIT(E74,"" + ""),1)),"""")"),"Aferdita")</f>
        <v>Aferdita</v>
      </c>
      <c r="I74" s="3" t="str">
        <f>IFERROR(__xludf.DUMMYFUNCTION("IFERROR(TRIM(INDEX(SPLIT(E74,"" + ""),2)),"""")"),"Kesny")</f>
        <v>Kesny</v>
      </c>
      <c r="J74" s="5" t="str">
        <f>IFERROR(__xludf.DUMMYFUNCTION("IFERROR(TRIM(INDEX(SPLIT(E74,"" + ""),3)),"""")"),"Nebus.")</f>
        <v>Nebus.</v>
      </c>
      <c r="K74" s="3">
        <f>IFERROR(__xludf.DUMMYFUNCTION("IFERROR(IF(H74="""",0,INDEX(FILTER($Q$2:Q73,$C$2:C73=H74,$G$2:G73=G74),ROWS(FILTER($Q$2:Q73,$C$2:C73=H74,$G$2:G73=G74)),1)),1500)"),1543.0)</f>
        <v>1543</v>
      </c>
      <c r="L74" s="3">
        <f>IFERROR(__xludf.DUMMYFUNCTION("IFERROR(IF(I74="""",0,INDEX(FILTER($Q$2:Q73,$C$2:C73=I74,$G$2:G73=G74),ROWS(FILTER($Q$2:Q73,$C$2:C73=I74,$G$2:G73=G74)),1)),1500)"),1515.0)</f>
        <v>1515</v>
      </c>
      <c r="M74" s="3">
        <f>IFERROR(__xludf.DUMMYFUNCTION("IFERROR(IF(J74="""",0,INDEX(FILTER($Q$2:Q73,$C$2:C73=J74,$G$2:G73=G74),ROWS(FILTER($Q$2:Q73,$C$2:C73=J74,$G$2:G73=G74)),1)),1500)"),1515.0)</f>
        <v>1515</v>
      </c>
      <c r="N74" s="3">
        <f>IFERROR(__xludf.DUMMYFUNCTION("IFERROR(INDEX(FILTER($Q$2:Q73,$C$2:C73=C74,$G$2:G73=G74),ROWS(FILTER($Q$2:Q73,$C$2:C73=C74,$G$2:G73=G74)),1),1500)"),1529.0)</f>
        <v>1529</v>
      </c>
      <c r="O74" s="3">
        <f t="shared" si="3"/>
        <v>1524.333333</v>
      </c>
      <c r="P74" s="9">
        <f t="shared" si="1"/>
        <v>-16</v>
      </c>
      <c r="Q74" s="5">
        <f t="shared" si="2"/>
        <v>1513</v>
      </c>
    </row>
    <row r="75">
      <c r="A75" s="3" t="str">
        <f>IFERROR(__xludf.DUMMYFUNCTION("""COMPUTED_VALUE"""),"1gSH0ahh3C14E0xRR-TKkNS8ylcE-HTBA")</f>
        <v>1gSH0ahh3C14E0xRR-TKkNS8ylcE-HTBA</v>
      </c>
      <c r="B75" s="13">
        <f>IFERROR(__xludf.DUMMYFUNCTION("""COMPUTED_VALUE"""),45976.0)</f>
        <v>45976</v>
      </c>
      <c r="C75" s="3" t="str">
        <f>IFERROR(__xludf.DUMMYFUNCTION("""COMPUTED_VALUE"""),"Tess1509")</f>
        <v>Tess1509</v>
      </c>
      <c r="D75" s="3" t="str">
        <f>IFERROR(__xludf.DUMMYFUNCTION("""COMPUTED_VALUE"""),"Malena + Tess1509 + ZeroO")</f>
        <v>Malena + Tess1509 + ZeroO</v>
      </c>
      <c r="E75" s="3" t="str">
        <f>IFERROR(__xludf.DUMMYFUNCTION("""COMPUTED_VALUE"""),"Aferdita + Kesny + Nebus.")</f>
        <v>Aferdita + Kesny + Nebus.</v>
      </c>
      <c r="F75" s="3" t="str">
        <f>IFERROR(__xludf.DUMMYFUNCTION("""COMPUTED_VALUE"""),"loss")</f>
        <v>loss</v>
      </c>
      <c r="G75" s="3" t="str">
        <f>IFERROR(__xludf.DUMMYFUNCTION("""COMPUTED_VALUE"""),"3v3")</f>
        <v>3v3</v>
      </c>
      <c r="H75" s="3" t="str">
        <f>IFERROR(__xludf.DUMMYFUNCTION("IFERROR(TRIM(INDEX(SPLIT(E75,"" + ""),1)),"""")"),"Aferdita")</f>
        <v>Aferdita</v>
      </c>
      <c r="I75" s="3" t="str">
        <f>IFERROR(__xludf.DUMMYFUNCTION("IFERROR(TRIM(INDEX(SPLIT(E75,"" + ""),2)),"""")"),"Kesny")</f>
        <v>Kesny</v>
      </c>
      <c r="J75" s="5" t="str">
        <f>IFERROR(__xludf.DUMMYFUNCTION("IFERROR(TRIM(INDEX(SPLIT(E75,"" + ""),3)),"""")"),"Nebus.")</f>
        <v>Nebus.</v>
      </c>
      <c r="K75" s="3">
        <f>IFERROR(__xludf.DUMMYFUNCTION("IFERROR(IF(H75="""",0,INDEX(FILTER($Q$2:Q74,$C$2:C74=H75,$G$2:G74=G75),ROWS(FILTER($Q$2:Q74,$C$2:C74=H75,$G$2:G74=G75)),1)),1500)"),1543.0)</f>
        <v>1543</v>
      </c>
      <c r="L75" s="3">
        <f>IFERROR(__xludf.DUMMYFUNCTION("IFERROR(IF(I75="""",0,INDEX(FILTER($Q$2:Q74,$C$2:C74=I75,$G$2:G74=G75),ROWS(FILTER($Q$2:Q74,$C$2:C74=I75,$G$2:G74=G75)),1)),1500)"),1515.0)</f>
        <v>1515</v>
      </c>
      <c r="M75" s="3">
        <f>IFERROR(__xludf.DUMMYFUNCTION("IFERROR(IF(J75="""",0,INDEX(FILTER($Q$2:Q74,$C$2:C74=J75,$G$2:G74=G75),ROWS(FILTER($Q$2:Q74,$C$2:C74=J75,$G$2:G74=G75)),1)),1500)"),1515.0)</f>
        <v>1515</v>
      </c>
      <c r="N75" s="3">
        <f>IFERROR(__xludf.DUMMYFUNCTION("IFERROR(INDEX(FILTER($Q$2:Q74,$C$2:C74=C75,$G$2:G74=G75),ROWS(FILTER($Q$2:Q74,$C$2:C74=C75,$G$2:G74=G75)),1),1500)"),1469.0)</f>
        <v>1469</v>
      </c>
      <c r="O75" s="3">
        <f t="shared" si="3"/>
        <v>1524.333333</v>
      </c>
      <c r="P75" s="9">
        <f t="shared" si="1"/>
        <v>-13</v>
      </c>
      <c r="Q75" s="5">
        <f t="shared" si="2"/>
        <v>1456</v>
      </c>
    </row>
    <row r="76">
      <c r="A76" s="3" t="str">
        <f>IFERROR(__xludf.DUMMYFUNCTION("""COMPUTED_VALUE"""),"1y94hw-RiIO58-mE2Y5D0kekuS8GVIaA4")</f>
        <v>1y94hw-RiIO58-mE2Y5D0kekuS8GVIaA4</v>
      </c>
      <c r="B76" s="13">
        <f>IFERROR(__xludf.DUMMYFUNCTION("""COMPUTED_VALUE"""),45976.0)</f>
        <v>45976</v>
      </c>
      <c r="C76" s="3" t="str">
        <f>IFERROR(__xludf.DUMMYFUNCTION("""COMPUTED_VALUE"""),"Malena")</f>
        <v>Malena</v>
      </c>
      <c r="D76" s="3" t="str">
        <f>IFERROR(__xludf.DUMMYFUNCTION("""COMPUTED_VALUE"""),"Aferdita + Kesny + Malena")</f>
        <v>Aferdita + Kesny + Malena</v>
      </c>
      <c r="E76" s="3" t="str">
        <f>IFERROR(__xludf.DUMMYFUNCTION("""COMPUTED_VALUE"""),"Nebus. + Tess1509 + ZeroO")</f>
        <v>Nebus. + Tess1509 + ZeroO</v>
      </c>
      <c r="F76" s="3" t="str">
        <f>IFERROR(__xludf.DUMMYFUNCTION("""COMPUTED_VALUE"""),"loss")</f>
        <v>loss</v>
      </c>
      <c r="G76" s="3" t="str">
        <f>IFERROR(__xludf.DUMMYFUNCTION("""COMPUTED_VALUE"""),"3v3")</f>
        <v>3v3</v>
      </c>
      <c r="H76" s="3" t="str">
        <f>IFERROR(__xludf.DUMMYFUNCTION("IFERROR(TRIM(INDEX(SPLIT(E76,"" + ""),1)),"""")"),"Nebus.")</f>
        <v>Nebus.</v>
      </c>
      <c r="I76" s="3" t="str">
        <f>IFERROR(__xludf.DUMMYFUNCTION("IFERROR(TRIM(INDEX(SPLIT(E76,"" + ""),2)),"""")"),"Tess1509")</f>
        <v>Tess1509</v>
      </c>
      <c r="J76" s="5" t="str">
        <f>IFERROR(__xludf.DUMMYFUNCTION("IFERROR(TRIM(INDEX(SPLIT(E76,"" + ""),3)),"""")"),"ZeroO")</f>
        <v>ZeroO</v>
      </c>
      <c r="K76" s="3">
        <f>IFERROR(__xludf.DUMMYFUNCTION("IFERROR(IF(H76="""",0,INDEX(FILTER($Q$2:Q75,$C$2:C75=H76,$G$2:G75=G76),ROWS(FILTER($Q$2:Q75,$C$2:C75=H76,$G$2:G75=G76)),1)),1500)"),1515.0)</f>
        <v>1515</v>
      </c>
      <c r="L76" s="3">
        <f>IFERROR(__xludf.DUMMYFUNCTION("IFERROR(IF(I76="""",0,INDEX(FILTER($Q$2:Q75,$C$2:C75=I76,$G$2:G75=G76),ROWS(FILTER($Q$2:Q75,$C$2:C75=I76,$G$2:G75=G76)),1)),1500)"),1456.0)</f>
        <v>1456</v>
      </c>
      <c r="M76" s="3">
        <f>IFERROR(__xludf.DUMMYFUNCTION("IFERROR(IF(J76="""",0,INDEX(FILTER($Q$2:Q75,$C$2:C75=J76,$G$2:G75=G76),ROWS(FILTER($Q$2:Q75,$C$2:C75=J76,$G$2:G75=G76)),1)),1500)"),1513.0)</f>
        <v>1513</v>
      </c>
      <c r="N76" s="3">
        <f>IFERROR(__xludf.DUMMYFUNCTION("IFERROR(INDEX(FILTER($Q$2:Q75,$C$2:C75=C76,$G$2:G75=G76),ROWS(FILTER($Q$2:Q75,$C$2:C75=C76,$G$2:G75=G76)),1),1500)"),1456.0)</f>
        <v>1456</v>
      </c>
      <c r="O76" s="3">
        <f t="shared" si="3"/>
        <v>1494.666667</v>
      </c>
      <c r="P76" s="9">
        <f t="shared" si="1"/>
        <v>-14</v>
      </c>
      <c r="Q76" s="5">
        <f t="shared" si="2"/>
        <v>1442</v>
      </c>
    </row>
    <row r="77">
      <c r="A77" s="3" t="str">
        <f>IFERROR(__xludf.DUMMYFUNCTION("""COMPUTED_VALUE"""),"1y94hw-RiIO58-mE2Y5D0kekuS8GVIaA4")</f>
        <v>1y94hw-RiIO58-mE2Y5D0kekuS8GVIaA4</v>
      </c>
      <c r="B77" s="13">
        <f>IFERROR(__xludf.DUMMYFUNCTION("""COMPUTED_VALUE"""),45976.0)</f>
        <v>45976</v>
      </c>
      <c r="C77" s="3" t="str">
        <f>IFERROR(__xludf.DUMMYFUNCTION("""COMPUTED_VALUE"""),"Kesny")</f>
        <v>Kesny</v>
      </c>
      <c r="D77" s="3" t="str">
        <f>IFERROR(__xludf.DUMMYFUNCTION("""COMPUTED_VALUE"""),"Aferdita + Kesny + Malena")</f>
        <v>Aferdita + Kesny + Malena</v>
      </c>
      <c r="E77" s="3" t="str">
        <f>IFERROR(__xludf.DUMMYFUNCTION("""COMPUTED_VALUE"""),"Nebus. + Tess1509 + ZeroO")</f>
        <v>Nebus. + Tess1509 + ZeroO</v>
      </c>
      <c r="F77" s="3" t="str">
        <f>IFERROR(__xludf.DUMMYFUNCTION("""COMPUTED_VALUE"""),"loss")</f>
        <v>loss</v>
      </c>
      <c r="G77" s="3" t="str">
        <f>IFERROR(__xludf.DUMMYFUNCTION("""COMPUTED_VALUE"""),"3v3")</f>
        <v>3v3</v>
      </c>
      <c r="H77" s="3" t="str">
        <f>IFERROR(__xludf.DUMMYFUNCTION("IFERROR(TRIM(INDEX(SPLIT(E77,"" + ""),1)),"""")"),"Nebus.")</f>
        <v>Nebus.</v>
      </c>
      <c r="I77" s="3" t="str">
        <f>IFERROR(__xludf.DUMMYFUNCTION("IFERROR(TRIM(INDEX(SPLIT(E77,"" + ""),2)),"""")"),"Tess1509")</f>
        <v>Tess1509</v>
      </c>
      <c r="J77" s="5" t="str">
        <f>IFERROR(__xludf.DUMMYFUNCTION("IFERROR(TRIM(INDEX(SPLIT(E77,"" + ""),3)),"""")"),"ZeroO")</f>
        <v>ZeroO</v>
      </c>
      <c r="K77" s="3">
        <f>IFERROR(__xludf.DUMMYFUNCTION("IFERROR(IF(H77="""",0,INDEX(FILTER($Q$2:Q76,$C$2:C76=H77,$G$2:G76=G77),ROWS(FILTER($Q$2:Q76,$C$2:C76=H77,$G$2:G76=G77)),1)),1500)"),1515.0)</f>
        <v>1515</v>
      </c>
      <c r="L77" s="3">
        <f>IFERROR(__xludf.DUMMYFUNCTION("IFERROR(IF(I77="""",0,INDEX(FILTER($Q$2:Q76,$C$2:C76=I77,$G$2:G76=G77),ROWS(FILTER($Q$2:Q76,$C$2:C76=I77,$G$2:G76=G77)),1)),1500)"),1456.0)</f>
        <v>1456</v>
      </c>
      <c r="M77" s="3">
        <f>IFERROR(__xludf.DUMMYFUNCTION("IFERROR(IF(J77="""",0,INDEX(FILTER($Q$2:Q76,$C$2:C76=J77,$G$2:G76=G77),ROWS(FILTER($Q$2:Q76,$C$2:C76=J77,$G$2:G76=G77)),1)),1500)"),1513.0)</f>
        <v>1513</v>
      </c>
      <c r="N77" s="3">
        <f>IFERROR(__xludf.DUMMYFUNCTION("IFERROR(INDEX(FILTER($Q$2:Q76,$C$2:C76=C77,$G$2:G76=G77),ROWS(FILTER($Q$2:Q76,$C$2:C76=C77,$G$2:G76=G77)),1),1500)"),1515.0)</f>
        <v>1515</v>
      </c>
      <c r="O77" s="3">
        <f t="shared" si="3"/>
        <v>1494.666667</v>
      </c>
      <c r="P77" s="9">
        <f t="shared" si="1"/>
        <v>-17</v>
      </c>
      <c r="Q77" s="5">
        <f t="shared" si="2"/>
        <v>1498</v>
      </c>
    </row>
    <row r="78">
      <c r="A78" s="3" t="str">
        <f>IFERROR(__xludf.DUMMYFUNCTION("""COMPUTED_VALUE"""),"1y94hw-RiIO58-mE2Y5D0kekuS8GVIaA4")</f>
        <v>1y94hw-RiIO58-mE2Y5D0kekuS8GVIaA4</v>
      </c>
      <c r="B78" s="13">
        <f>IFERROR(__xludf.DUMMYFUNCTION("""COMPUTED_VALUE"""),45976.0)</f>
        <v>45976</v>
      </c>
      <c r="C78" s="3" t="str">
        <f>IFERROR(__xludf.DUMMYFUNCTION("""COMPUTED_VALUE"""),"Aferdita")</f>
        <v>Aferdita</v>
      </c>
      <c r="D78" s="3" t="str">
        <f>IFERROR(__xludf.DUMMYFUNCTION("""COMPUTED_VALUE"""),"Aferdita + Kesny + Malena")</f>
        <v>Aferdita + Kesny + Malena</v>
      </c>
      <c r="E78" s="3" t="str">
        <f>IFERROR(__xludf.DUMMYFUNCTION("""COMPUTED_VALUE"""),"Nebus. + Tess1509 + ZeroO")</f>
        <v>Nebus. + Tess1509 + ZeroO</v>
      </c>
      <c r="F78" s="3" t="str">
        <f>IFERROR(__xludf.DUMMYFUNCTION("""COMPUTED_VALUE"""),"loss")</f>
        <v>loss</v>
      </c>
      <c r="G78" s="3" t="str">
        <f>IFERROR(__xludf.DUMMYFUNCTION("""COMPUTED_VALUE"""),"3v3")</f>
        <v>3v3</v>
      </c>
      <c r="H78" s="3" t="str">
        <f>IFERROR(__xludf.DUMMYFUNCTION("IFERROR(TRIM(INDEX(SPLIT(E78,"" + ""),1)),"""")"),"Nebus.")</f>
        <v>Nebus.</v>
      </c>
      <c r="I78" s="3" t="str">
        <f>IFERROR(__xludf.DUMMYFUNCTION("IFERROR(TRIM(INDEX(SPLIT(E78,"" + ""),2)),"""")"),"Tess1509")</f>
        <v>Tess1509</v>
      </c>
      <c r="J78" s="5" t="str">
        <f>IFERROR(__xludf.DUMMYFUNCTION("IFERROR(TRIM(INDEX(SPLIT(E78,"" + ""),3)),"""")"),"ZeroO")</f>
        <v>ZeroO</v>
      </c>
      <c r="K78" s="3">
        <f>IFERROR(__xludf.DUMMYFUNCTION("IFERROR(IF(H78="""",0,INDEX(FILTER($Q$2:Q77,$C$2:C77=H78,$G$2:G77=G78),ROWS(FILTER($Q$2:Q77,$C$2:C77=H78,$G$2:G77=G78)),1)),1500)"),1515.0)</f>
        <v>1515</v>
      </c>
      <c r="L78" s="3">
        <f>IFERROR(__xludf.DUMMYFUNCTION("IFERROR(IF(I78="""",0,INDEX(FILTER($Q$2:Q77,$C$2:C77=I78,$G$2:G77=G78),ROWS(FILTER($Q$2:Q77,$C$2:C77=I78,$G$2:G77=G78)),1)),1500)"),1456.0)</f>
        <v>1456</v>
      </c>
      <c r="M78" s="3">
        <f>IFERROR(__xludf.DUMMYFUNCTION("IFERROR(IF(J78="""",0,INDEX(FILTER($Q$2:Q77,$C$2:C77=J78,$G$2:G77=G78),ROWS(FILTER($Q$2:Q77,$C$2:C77=J78,$G$2:G77=G78)),1)),1500)"),1513.0)</f>
        <v>1513</v>
      </c>
      <c r="N78" s="3">
        <f>IFERROR(__xludf.DUMMYFUNCTION("IFERROR(INDEX(FILTER($Q$2:Q77,$C$2:C77=C78,$G$2:G77=G78),ROWS(FILTER($Q$2:Q77,$C$2:C77=C78,$G$2:G77=G78)),1),1500)"),1543.0)</f>
        <v>1543</v>
      </c>
      <c r="O78" s="3">
        <f t="shared" si="3"/>
        <v>1494.666667</v>
      </c>
      <c r="P78" s="9">
        <f t="shared" si="1"/>
        <v>-18</v>
      </c>
      <c r="Q78" s="5">
        <f t="shared" si="2"/>
        <v>1525</v>
      </c>
    </row>
    <row r="79">
      <c r="A79" s="3" t="str">
        <f>IFERROR(__xludf.DUMMYFUNCTION("""COMPUTED_VALUE"""),"1y94hw-RiIO58-mE2Y5D0kekuS8GVIaA4")</f>
        <v>1y94hw-RiIO58-mE2Y5D0kekuS8GVIaA4</v>
      </c>
      <c r="B79" s="13">
        <f>IFERROR(__xludf.DUMMYFUNCTION("""COMPUTED_VALUE"""),45976.0)</f>
        <v>45976</v>
      </c>
      <c r="C79" s="3" t="str">
        <f>IFERROR(__xludf.DUMMYFUNCTION("""COMPUTED_VALUE"""),"ZeroO")</f>
        <v>ZeroO</v>
      </c>
      <c r="D79" s="3" t="str">
        <f>IFERROR(__xludf.DUMMYFUNCTION("""COMPUTED_VALUE"""),"Nebus. + Tess1509 + ZeroO")</f>
        <v>Nebus. + Tess1509 + ZeroO</v>
      </c>
      <c r="E79" s="3" t="str">
        <f>IFERROR(__xludf.DUMMYFUNCTION("""COMPUTED_VALUE"""),"Aferdita + Kesny + Malena")</f>
        <v>Aferdita + Kesny + Malena</v>
      </c>
      <c r="F79" s="3" t="str">
        <f>IFERROR(__xludf.DUMMYFUNCTION("""COMPUTED_VALUE"""),"win")</f>
        <v>win</v>
      </c>
      <c r="G79" s="3" t="str">
        <f>IFERROR(__xludf.DUMMYFUNCTION("""COMPUTED_VALUE"""),"3v3")</f>
        <v>3v3</v>
      </c>
      <c r="H79" s="3" t="str">
        <f>IFERROR(__xludf.DUMMYFUNCTION("IFERROR(TRIM(INDEX(SPLIT(E79,"" + ""),1)),"""")"),"Aferdita")</f>
        <v>Aferdita</v>
      </c>
      <c r="I79" s="3" t="str">
        <f>IFERROR(__xludf.DUMMYFUNCTION("IFERROR(TRIM(INDEX(SPLIT(E79,"" + ""),2)),"""")"),"Kesny")</f>
        <v>Kesny</v>
      </c>
      <c r="J79" s="5" t="str">
        <f>IFERROR(__xludf.DUMMYFUNCTION("IFERROR(TRIM(INDEX(SPLIT(E79,"" + ""),3)),"""")"),"Malena")</f>
        <v>Malena</v>
      </c>
      <c r="K79" s="3">
        <f>IFERROR(__xludf.DUMMYFUNCTION("IFERROR(IF(H79="""",0,INDEX(FILTER($Q$2:Q78,$C$2:C78=H79,$G$2:G78=G79),ROWS(FILTER($Q$2:Q78,$C$2:C78=H79,$G$2:G78=G79)),1)),1500)"),1525.0)</f>
        <v>1525</v>
      </c>
      <c r="L79" s="3">
        <f>IFERROR(__xludf.DUMMYFUNCTION("IFERROR(IF(I79="""",0,INDEX(FILTER($Q$2:Q78,$C$2:C78=I79,$G$2:G78=G79),ROWS(FILTER($Q$2:Q78,$C$2:C78=I79,$G$2:G78=G79)),1)),1500)"),1498.0)</f>
        <v>1498</v>
      </c>
      <c r="M79" s="3">
        <f>IFERROR(__xludf.DUMMYFUNCTION("IFERROR(IF(J79="""",0,INDEX(FILTER($Q$2:Q78,$C$2:C78=J79,$G$2:G78=G79),ROWS(FILTER($Q$2:Q78,$C$2:C78=J79,$G$2:G78=G79)),1)),1500)"),1442.0)</f>
        <v>1442</v>
      </c>
      <c r="N79" s="3">
        <f>IFERROR(__xludf.DUMMYFUNCTION("IFERROR(INDEX(FILTER($Q$2:Q78,$C$2:C78=C79,$G$2:G78=G79),ROWS(FILTER($Q$2:Q78,$C$2:C78=C79,$G$2:G78=G79)),1),1500)"),1513.0)</f>
        <v>1513</v>
      </c>
      <c r="O79" s="3">
        <f t="shared" si="3"/>
        <v>1488.333333</v>
      </c>
      <c r="P79" s="9">
        <f t="shared" si="1"/>
        <v>15</v>
      </c>
      <c r="Q79" s="5">
        <f t="shared" si="2"/>
        <v>1528</v>
      </c>
    </row>
    <row r="80">
      <c r="A80" s="3" t="str">
        <f>IFERROR(__xludf.DUMMYFUNCTION("""COMPUTED_VALUE"""),"1y94hw-RiIO58-mE2Y5D0kekuS8GVIaA4")</f>
        <v>1y94hw-RiIO58-mE2Y5D0kekuS8GVIaA4</v>
      </c>
      <c r="B80" s="13">
        <f>IFERROR(__xludf.DUMMYFUNCTION("""COMPUTED_VALUE"""),45976.0)</f>
        <v>45976</v>
      </c>
      <c r="C80" s="3" t="str">
        <f>IFERROR(__xludf.DUMMYFUNCTION("""COMPUTED_VALUE"""),"Nebus.")</f>
        <v>Nebus.</v>
      </c>
      <c r="D80" s="3" t="str">
        <f>IFERROR(__xludf.DUMMYFUNCTION("""COMPUTED_VALUE"""),"Nebus. + Tess1509 + ZeroO")</f>
        <v>Nebus. + Tess1509 + ZeroO</v>
      </c>
      <c r="E80" s="3" t="str">
        <f>IFERROR(__xludf.DUMMYFUNCTION("""COMPUTED_VALUE"""),"Aferdita + Kesny + Malena")</f>
        <v>Aferdita + Kesny + Malena</v>
      </c>
      <c r="F80" s="3" t="str">
        <f>IFERROR(__xludf.DUMMYFUNCTION("""COMPUTED_VALUE"""),"win")</f>
        <v>win</v>
      </c>
      <c r="G80" s="3" t="str">
        <f>IFERROR(__xludf.DUMMYFUNCTION("""COMPUTED_VALUE"""),"3v3")</f>
        <v>3v3</v>
      </c>
      <c r="H80" s="3" t="str">
        <f>IFERROR(__xludf.DUMMYFUNCTION("IFERROR(TRIM(INDEX(SPLIT(E80,"" + ""),1)),"""")"),"Aferdita")</f>
        <v>Aferdita</v>
      </c>
      <c r="I80" s="3" t="str">
        <f>IFERROR(__xludf.DUMMYFUNCTION("IFERROR(TRIM(INDEX(SPLIT(E80,"" + ""),2)),"""")"),"Kesny")</f>
        <v>Kesny</v>
      </c>
      <c r="J80" s="5" t="str">
        <f>IFERROR(__xludf.DUMMYFUNCTION("IFERROR(TRIM(INDEX(SPLIT(E80,"" + ""),3)),"""")"),"Malena")</f>
        <v>Malena</v>
      </c>
      <c r="K80" s="3">
        <f>IFERROR(__xludf.DUMMYFUNCTION("IFERROR(IF(H80="""",0,INDEX(FILTER($Q$2:Q79,$C$2:C79=H80,$G$2:G79=G80),ROWS(FILTER($Q$2:Q79,$C$2:C79=H80,$G$2:G79=G80)),1)),1500)"),1525.0)</f>
        <v>1525</v>
      </c>
      <c r="L80" s="3">
        <f>IFERROR(__xludf.DUMMYFUNCTION("IFERROR(IF(I80="""",0,INDEX(FILTER($Q$2:Q79,$C$2:C79=I80,$G$2:G79=G80),ROWS(FILTER($Q$2:Q79,$C$2:C79=I80,$G$2:G79=G80)),1)),1500)"),1498.0)</f>
        <v>1498</v>
      </c>
      <c r="M80" s="3">
        <f>IFERROR(__xludf.DUMMYFUNCTION("IFERROR(IF(J80="""",0,INDEX(FILTER($Q$2:Q79,$C$2:C79=J80,$G$2:G79=G80),ROWS(FILTER($Q$2:Q79,$C$2:C79=J80,$G$2:G79=G80)),1)),1500)"),1442.0)</f>
        <v>1442</v>
      </c>
      <c r="N80" s="3">
        <f>IFERROR(__xludf.DUMMYFUNCTION("IFERROR(INDEX(FILTER($Q$2:Q79,$C$2:C79=C80,$G$2:G79=G80),ROWS(FILTER($Q$2:Q79,$C$2:C79=C80,$G$2:G79=G80)),1),1500)"),1515.0)</f>
        <v>1515</v>
      </c>
      <c r="O80" s="3">
        <f t="shared" si="3"/>
        <v>1488.333333</v>
      </c>
      <c r="P80" s="9">
        <f t="shared" si="1"/>
        <v>15</v>
      </c>
      <c r="Q80" s="5">
        <f t="shared" si="2"/>
        <v>1530</v>
      </c>
    </row>
    <row r="81">
      <c r="A81" s="3" t="str">
        <f>IFERROR(__xludf.DUMMYFUNCTION("""COMPUTED_VALUE"""),"1y94hw-RiIO58-mE2Y5D0kekuS8GVIaA4")</f>
        <v>1y94hw-RiIO58-mE2Y5D0kekuS8GVIaA4</v>
      </c>
      <c r="B81" s="13">
        <f>IFERROR(__xludf.DUMMYFUNCTION("""COMPUTED_VALUE"""),45976.0)</f>
        <v>45976</v>
      </c>
      <c r="C81" s="3" t="str">
        <f>IFERROR(__xludf.DUMMYFUNCTION("""COMPUTED_VALUE"""),"Tess1509")</f>
        <v>Tess1509</v>
      </c>
      <c r="D81" s="3" t="str">
        <f>IFERROR(__xludf.DUMMYFUNCTION("""COMPUTED_VALUE"""),"Nebus. + Tess1509 + ZeroO")</f>
        <v>Nebus. + Tess1509 + ZeroO</v>
      </c>
      <c r="E81" s="3" t="str">
        <f>IFERROR(__xludf.DUMMYFUNCTION("""COMPUTED_VALUE"""),"Aferdita + Kesny + Malena")</f>
        <v>Aferdita + Kesny + Malena</v>
      </c>
      <c r="F81" s="3" t="str">
        <f>IFERROR(__xludf.DUMMYFUNCTION("""COMPUTED_VALUE"""),"win")</f>
        <v>win</v>
      </c>
      <c r="G81" s="3" t="str">
        <f>IFERROR(__xludf.DUMMYFUNCTION("""COMPUTED_VALUE"""),"3v3")</f>
        <v>3v3</v>
      </c>
      <c r="H81" s="3" t="str">
        <f>IFERROR(__xludf.DUMMYFUNCTION("IFERROR(TRIM(INDEX(SPLIT(E81,"" + ""),1)),"""")"),"Aferdita")</f>
        <v>Aferdita</v>
      </c>
      <c r="I81" s="3" t="str">
        <f>IFERROR(__xludf.DUMMYFUNCTION("IFERROR(TRIM(INDEX(SPLIT(E81,"" + ""),2)),"""")"),"Kesny")</f>
        <v>Kesny</v>
      </c>
      <c r="J81" s="5" t="str">
        <f>IFERROR(__xludf.DUMMYFUNCTION("IFERROR(TRIM(INDEX(SPLIT(E81,"" + ""),3)),"""")"),"Malena")</f>
        <v>Malena</v>
      </c>
      <c r="K81" s="3">
        <f>IFERROR(__xludf.DUMMYFUNCTION("IFERROR(IF(H81="""",0,INDEX(FILTER($Q$2:Q80,$C$2:C80=H81,$G$2:G80=G81),ROWS(FILTER($Q$2:Q80,$C$2:C80=H81,$G$2:G80=G81)),1)),1500)"),1525.0)</f>
        <v>1525</v>
      </c>
      <c r="L81" s="3">
        <f>IFERROR(__xludf.DUMMYFUNCTION("IFERROR(IF(I81="""",0,INDEX(FILTER($Q$2:Q80,$C$2:C80=I81,$G$2:G80=G81),ROWS(FILTER($Q$2:Q80,$C$2:C80=I81,$G$2:G80=G81)),1)),1500)"),1498.0)</f>
        <v>1498</v>
      </c>
      <c r="M81" s="3">
        <f>IFERROR(__xludf.DUMMYFUNCTION("IFERROR(IF(J81="""",0,INDEX(FILTER($Q$2:Q80,$C$2:C80=J81,$G$2:G80=G81),ROWS(FILTER($Q$2:Q80,$C$2:C80=J81,$G$2:G80=G81)),1)),1500)"),1442.0)</f>
        <v>1442</v>
      </c>
      <c r="N81" s="3">
        <f>IFERROR(__xludf.DUMMYFUNCTION("IFERROR(INDEX(FILTER($Q$2:Q80,$C$2:C80=C81,$G$2:G80=G81),ROWS(FILTER($Q$2:Q80,$C$2:C80=C81,$G$2:G80=G81)),1),1500)"),1456.0)</f>
        <v>1456</v>
      </c>
      <c r="O81" s="3">
        <f t="shared" si="3"/>
        <v>1488.333333</v>
      </c>
      <c r="P81" s="9">
        <f t="shared" si="1"/>
        <v>17</v>
      </c>
      <c r="Q81" s="5">
        <f t="shared" si="2"/>
        <v>1473</v>
      </c>
    </row>
    <row r="82">
      <c r="A82" s="3" t="str">
        <f>IFERROR(__xludf.DUMMYFUNCTION("""COMPUTED_VALUE"""),"1APB94aE1XShPKNrUoS_ppvUmnuJQ1nmD")</f>
        <v>1APB94aE1XShPKNrUoS_ppvUmnuJQ1nmD</v>
      </c>
      <c r="B82" s="13">
        <f>IFERROR(__xludf.DUMMYFUNCTION("""COMPUTED_VALUE"""),45976.0)</f>
        <v>45976</v>
      </c>
      <c r="C82" s="3" t="str">
        <f>IFERROR(__xludf.DUMMYFUNCTION("""COMPUTED_VALUE"""),"Malena")</f>
        <v>Malena</v>
      </c>
      <c r="D82" s="3" t="str">
        <f>IFERROR(__xludf.DUMMYFUNCTION("""COMPUTED_VALUE"""),"Aferdita + Malena + Tess1509")</f>
        <v>Aferdita + Malena + Tess1509</v>
      </c>
      <c r="E82" s="3" t="str">
        <f>IFERROR(__xludf.DUMMYFUNCTION("""COMPUTED_VALUE"""),"Kesny + Nebus. + ZeroO")</f>
        <v>Kesny + Nebus. + ZeroO</v>
      </c>
      <c r="F82" s="3" t="str">
        <f>IFERROR(__xludf.DUMMYFUNCTION("""COMPUTED_VALUE"""),"loss")</f>
        <v>loss</v>
      </c>
      <c r="G82" s="3" t="str">
        <f>IFERROR(__xludf.DUMMYFUNCTION("""COMPUTED_VALUE"""),"3v3")</f>
        <v>3v3</v>
      </c>
      <c r="H82" s="3" t="str">
        <f>IFERROR(__xludf.DUMMYFUNCTION("IFERROR(TRIM(INDEX(SPLIT(E82,"" + ""),1)),"""")"),"Kesny")</f>
        <v>Kesny</v>
      </c>
      <c r="I82" s="3" t="str">
        <f>IFERROR(__xludf.DUMMYFUNCTION("IFERROR(TRIM(INDEX(SPLIT(E82,"" + ""),2)),"""")"),"Nebus.")</f>
        <v>Nebus.</v>
      </c>
      <c r="J82" s="5" t="str">
        <f>IFERROR(__xludf.DUMMYFUNCTION("IFERROR(TRIM(INDEX(SPLIT(E82,"" + ""),3)),"""")"),"ZeroO")</f>
        <v>ZeroO</v>
      </c>
      <c r="K82" s="3">
        <f>IFERROR(__xludf.DUMMYFUNCTION("IFERROR(IF(H82="""",0,INDEX(FILTER($Q$2:Q81,$C$2:C81=H82,$G$2:G81=G82),ROWS(FILTER($Q$2:Q81,$C$2:C81=H82,$G$2:G81=G82)),1)),1500)"),1498.0)</f>
        <v>1498</v>
      </c>
      <c r="L82" s="3">
        <f>IFERROR(__xludf.DUMMYFUNCTION("IFERROR(IF(I82="""",0,INDEX(FILTER($Q$2:Q81,$C$2:C81=I82,$G$2:G81=G82),ROWS(FILTER($Q$2:Q81,$C$2:C81=I82,$G$2:G81=G82)),1)),1500)"),1530.0)</f>
        <v>1530</v>
      </c>
      <c r="M82" s="3">
        <f>IFERROR(__xludf.DUMMYFUNCTION("IFERROR(IF(J82="""",0,INDEX(FILTER($Q$2:Q81,$C$2:C81=J82,$G$2:G81=G82),ROWS(FILTER($Q$2:Q81,$C$2:C81=J82,$G$2:G81=G82)),1)),1500)"),1528.0)</f>
        <v>1528</v>
      </c>
      <c r="N82" s="3">
        <f>IFERROR(__xludf.DUMMYFUNCTION("IFERROR(INDEX(FILTER($Q$2:Q81,$C$2:C81=C82,$G$2:G81=G82),ROWS(FILTER($Q$2:Q81,$C$2:C81=C82,$G$2:G81=G82)),1),1500)"),1442.0)</f>
        <v>1442</v>
      </c>
      <c r="O82" s="3">
        <f t="shared" si="3"/>
        <v>1518.666667</v>
      </c>
      <c r="P82" s="9">
        <f t="shared" si="1"/>
        <v>-13</v>
      </c>
      <c r="Q82" s="5">
        <f t="shared" si="2"/>
        <v>1429</v>
      </c>
    </row>
    <row r="83">
      <c r="A83" s="3" t="str">
        <f>IFERROR(__xludf.DUMMYFUNCTION("""COMPUTED_VALUE"""),"1APB94aE1XShPKNrUoS_ppvUmnuJQ1nmD")</f>
        <v>1APB94aE1XShPKNrUoS_ppvUmnuJQ1nmD</v>
      </c>
      <c r="B83" s="13">
        <f>IFERROR(__xludf.DUMMYFUNCTION("""COMPUTED_VALUE"""),45976.0)</f>
        <v>45976</v>
      </c>
      <c r="C83" s="3" t="str">
        <f>IFERROR(__xludf.DUMMYFUNCTION("""COMPUTED_VALUE"""),"Tess1509")</f>
        <v>Tess1509</v>
      </c>
      <c r="D83" s="3" t="str">
        <f>IFERROR(__xludf.DUMMYFUNCTION("""COMPUTED_VALUE"""),"Aferdita + Malena + Tess1509")</f>
        <v>Aferdita + Malena + Tess1509</v>
      </c>
      <c r="E83" s="3" t="str">
        <f>IFERROR(__xludf.DUMMYFUNCTION("""COMPUTED_VALUE"""),"Kesny + Nebus. + ZeroO")</f>
        <v>Kesny + Nebus. + ZeroO</v>
      </c>
      <c r="F83" s="3" t="str">
        <f>IFERROR(__xludf.DUMMYFUNCTION("""COMPUTED_VALUE"""),"loss")</f>
        <v>loss</v>
      </c>
      <c r="G83" s="3" t="str">
        <f>IFERROR(__xludf.DUMMYFUNCTION("""COMPUTED_VALUE"""),"3v3")</f>
        <v>3v3</v>
      </c>
      <c r="H83" s="3" t="str">
        <f>IFERROR(__xludf.DUMMYFUNCTION("IFERROR(TRIM(INDEX(SPLIT(E83,"" + ""),1)),"""")"),"Kesny")</f>
        <v>Kesny</v>
      </c>
      <c r="I83" s="3" t="str">
        <f>IFERROR(__xludf.DUMMYFUNCTION("IFERROR(TRIM(INDEX(SPLIT(E83,"" + ""),2)),"""")"),"Nebus.")</f>
        <v>Nebus.</v>
      </c>
      <c r="J83" s="5" t="str">
        <f>IFERROR(__xludf.DUMMYFUNCTION("IFERROR(TRIM(INDEX(SPLIT(E83,"" + ""),3)),"""")"),"ZeroO")</f>
        <v>ZeroO</v>
      </c>
      <c r="K83" s="3">
        <f>IFERROR(__xludf.DUMMYFUNCTION("IFERROR(IF(H83="""",0,INDEX(FILTER($Q$2:Q82,$C$2:C82=H83,$G$2:G82=G83),ROWS(FILTER($Q$2:Q82,$C$2:C82=H83,$G$2:G82=G83)),1)),1500)"),1498.0)</f>
        <v>1498</v>
      </c>
      <c r="L83" s="3">
        <f>IFERROR(__xludf.DUMMYFUNCTION("IFERROR(IF(I83="""",0,INDEX(FILTER($Q$2:Q82,$C$2:C82=I83,$G$2:G82=G83),ROWS(FILTER($Q$2:Q82,$C$2:C82=I83,$G$2:G82=G83)),1)),1500)"),1530.0)</f>
        <v>1530</v>
      </c>
      <c r="M83" s="3">
        <f>IFERROR(__xludf.DUMMYFUNCTION("IFERROR(IF(J83="""",0,INDEX(FILTER($Q$2:Q82,$C$2:C82=J83,$G$2:G82=G83),ROWS(FILTER($Q$2:Q82,$C$2:C82=J83,$G$2:G82=G83)),1)),1500)"),1528.0)</f>
        <v>1528</v>
      </c>
      <c r="N83" s="3">
        <f>IFERROR(__xludf.DUMMYFUNCTION("IFERROR(INDEX(FILTER($Q$2:Q82,$C$2:C82=C83,$G$2:G82=G83),ROWS(FILTER($Q$2:Q82,$C$2:C82=C83,$G$2:G82=G83)),1),1500)"),1473.0)</f>
        <v>1473</v>
      </c>
      <c r="O83" s="3">
        <f t="shared" si="3"/>
        <v>1518.666667</v>
      </c>
      <c r="P83" s="9">
        <f t="shared" si="1"/>
        <v>-14</v>
      </c>
      <c r="Q83" s="5">
        <f t="shared" si="2"/>
        <v>1459</v>
      </c>
    </row>
    <row r="84">
      <c r="A84" s="3" t="str">
        <f>IFERROR(__xludf.DUMMYFUNCTION("""COMPUTED_VALUE"""),"1APB94aE1XShPKNrUoS_ppvUmnuJQ1nmD")</f>
        <v>1APB94aE1XShPKNrUoS_ppvUmnuJQ1nmD</v>
      </c>
      <c r="B84" s="13">
        <f>IFERROR(__xludf.DUMMYFUNCTION("""COMPUTED_VALUE"""),45976.0)</f>
        <v>45976</v>
      </c>
      <c r="C84" s="3" t="str">
        <f>IFERROR(__xludf.DUMMYFUNCTION("""COMPUTED_VALUE"""),"Aferdita")</f>
        <v>Aferdita</v>
      </c>
      <c r="D84" s="3" t="str">
        <f>IFERROR(__xludf.DUMMYFUNCTION("""COMPUTED_VALUE"""),"Aferdita + Malena + Tess1509")</f>
        <v>Aferdita + Malena + Tess1509</v>
      </c>
      <c r="E84" s="3" t="str">
        <f>IFERROR(__xludf.DUMMYFUNCTION("""COMPUTED_VALUE"""),"Kesny + Nebus. + ZeroO")</f>
        <v>Kesny + Nebus. + ZeroO</v>
      </c>
      <c r="F84" s="3" t="str">
        <f>IFERROR(__xludf.DUMMYFUNCTION("""COMPUTED_VALUE"""),"loss")</f>
        <v>loss</v>
      </c>
      <c r="G84" s="3" t="str">
        <f>IFERROR(__xludf.DUMMYFUNCTION("""COMPUTED_VALUE"""),"3v3")</f>
        <v>3v3</v>
      </c>
      <c r="H84" s="3" t="str">
        <f>IFERROR(__xludf.DUMMYFUNCTION("IFERROR(TRIM(INDEX(SPLIT(E84,"" + ""),1)),"""")"),"Kesny")</f>
        <v>Kesny</v>
      </c>
      <c r="I84" s="3" t="str">
        <f>IFERROR(__xludf.DUMMYFUNCTION("IFERROR(TRIM(INDEX(SPLIT(E84,"" + ""),2)),"""")"),"Nebus.")</f>
        <v>Nebus.</v>
      </c>
      <c r="J84" s="5" t="str">
        <f>IFERROR(__xludf.DUMMYFUNCTION("IFERROR(TRIM(INDEX(SPLIT(E84,"" + ""),3)),"""")"),"ZeroO")</f>
        <v>ZeroO</v>
      </c>
      <c r="K84" s="3">
        <f>IFERROR(__xludf.DUMMYFUNCTION("IFERROR(IF(H84="""",0,INDEX(FILTER($Q$2:Q83,$C$2:C83=H84,$G$2:G83=G84),ROWS(FILTER($Q$2:Q83,$C$2:C83=H84,$G$2:G83=G84)),1)),1500)"),1498.0)</f>
        <v>1498</v>
      </c>
      <c r="L84" s="3">
        <f>IFERROR(__xludf.DUMMYFUNCTION("IFERROR(IF(I84="""",0,INDEX(FILTER($Q$2:Q83,$C$2:C83=I84,$G$2:G83=G84),ROWS(FILTER($Q$2:Q83,$C$2:C83=I84,$G$2:G83=G84)),1)),1500)"),1530.0)</f>
        <v>1530</v>
      </c>
      <c r="M84" s="3">
        <f>IFERROR(__xludf.DUMMYFUNCTION("IFERROR(IF(J84="""",0,INDEX(FILTER($Q$2:Q83,$C$2:C83=J84,$G$2:G83=G84),ROWS(FILTER($Q$2:Q83,$C$2:C83=J84,$G$2:G83=G84)),1)),1500)"),1528.0)</f>
        <v>1528</v>
      </c>
      <c r="N84" s="3">
        <f>IFERROR(__xludf.DUMMYFUNCTION("IFERROR(INDEX(FILTER($Q$2:Q83,$C$2:C83=C84,$G$2:G83=G84),ROWS(FILTER($Q$2:Q83,$C$2:C83=C84,$G$2:G83=G84)),1),1500)"),1525.0)</f>
        <v>1525</v>
      </c>
      <c r="O84" s="3">
        <f t="shared" si="3"/>
        <v>1518.666667</v>
      </c>
      <c r="P84" s="9">
        <f t="shared" si="1"/>
        <v>-16</v>
      </c>
      <c r="Q84" s="5">
        <f t="shared" si="2"/>
        <v>1509</v>
      </c>
    </row>
    <row r="85">
      <c r="A85" s="3" t="str">
        <f>IFERROR(__xludf.DUMMYFUNCTION("""COMPUTED_VALUE"""),"1APB94aE1XShPKNrUoS_ppvUmnuJQ1nmD")</f>
        <v>1APB94aE1XShPKNrUoS_ppvUmnuJQ1nmD</v>
      </c>
      <c r="B85" s="13">
        <f>IFERROR(__xludf.DUMMYFUNCTION("""COMPUTED_VALUE"""),45976.0)</f>
        <v>45976</v>
      </c>
      <c r="C85" s="3" t="str">
        <f>IFERROR(__xludf.DUMMYFUNCTION("""COMPUTED_VALUE"""),"Kesny")</f>
        <v>Kesny</v>
      </c>
      <c r="D85" s="3" t="str">
        <f>IFERROR(__xludf.DUMMYFUNCTION("""COMPUTED_VALUE"""),"Kesny + Nebus. + ZeroO")</f>
        <v>Kesny + Nebus. + ZeroO</v>
      </c>
      <c r="E85" s="3" t="str">
        <f>IFERROR(__xludf.DUMMYFUNCTION("""COMPUTED_VALUE"""),"Aferdita + Malena + Tess1509")</f>
        <v>Aferdita + Malena + Tess1509</v>
      </c>
      <c r="F85" s="3" t="str">
        <f>IFERROR(__xludf.DUMMYFUNCTION("""COMPUTED_VALUE"""),"win")</f>
        <v>win</v>
      </c>
      <c r="G85" s="3" t="str">
        <f>IFERROR(__xludf.DUMMYFUNCTION("""COMPUTED_VALUE"""),"3v3")</f>
        <v>3v3</v>
      </c>
      <c r="H85" s="3" t="str">
        <f>IFERROR(__xludf.DUMMYFUNCTION("IFERROR(TRIM(INDEX(SPLIT(E85,"" + ""),1)),"""")"),"Aferdita")</f>
        <v>Aferdita</v>
      </c>
      <c r="I85" s="3" t="str">
        <f>IFERROR(__xludf.DUMMYFUNCTION("IFERROR(TRIM(INDEX(SPLIT(E85,"" + ""),2)),"""")"),"Malena")</f>
        <v>Malena</v>
      </c>
      <c r="J85" s="5" t="str">
        <f>IFERROR(__xludf.DUMMYFUNCTION("IFERROR(TRIM(INDEX(SPLIT(E85,"" + ""),3)),"""")"),"Tess1509")</f>
        <v>Tess1509</v>
      </c>
      <c r="K85" s="3">
        <f>IFERROR(__xludf.DUMMYFUNCTION("IFERROR(IF(H85="""",0,INDEX(FILTER($Q$2:Q84,$C$2:C84=H85,$G$2:G84=G85),ROWS(FILTER($Q$2:Q84,$C$2:C84=H85,$G$2:G84=G85)),1)),1500)"),1509.0)</f>
        <v>1509</v>
      </c>
      <c r="L85" s="3">
        <f>IFERROR(__xludf.DUMMYFUNCTION("IFERROR(IF(I85="""",0,INDEX(FILTER($Q$2:Q84,$C$2:C84=I85,$G$2:G84=G85),ROWS(FILTER($Q$2:Q84,$C$2:C84=I85,$G$2:G84=G85)),1)),1500)"),1429.0)</f>
        <v>1429</v>
      </c>
      <c r="M85" s="3">
        <f>IFERROR(__xludf.DUMMYFUNCTION("IFERROR(IF(J85="""",0,INDEX(FILTER($Q$2:Q84,$C$2:C84=J85,$G$2:G84=G85),ROWS(FILTER($Q$2:Q84,$C$2:C84=J85,$G$2:G84=G85)),1)),1500)"),1459.0)</f>
        <v>1459</v>
      </c>
      <c r="N85" s="3">
        <f>IFERROR(__xludf.DUMMYFUNCTION("IFERROR(INDEX(FILTER($Q$2:Q84,$C$2:C84=C85,$G$2:G84=G85),ROWS(FILTER($Q$2:Q84,$C$2:C84=C85,$G$2:G84=G85)),1),1500)"),1498.0)</f>
        <v>1498</v>
      </c>
      <c r="O85" s="3">
        <f t="shared" si="3"/>
        <v>1465.666667</v>
      </c>
      <c r="P85" s="9">
        <f t="shared" si="1"/>
        <v>15</v>
      </c>
      <c r="Q85" s="5">
        <f t="shared" si="2"/>
        <v>1513</v>
      </c>
    </row>
    <row r="86">
      <c r="A86" s="3" t="str">
        <f>IFERROR(__xludf.DUMMYFUNCTION("""COMPUTED_VALUE"""),"1APB94aE1XShPKNrUoS_ppvUmnuJQ1nmD")</f>
        <v>1APB94aE1XShPKNrUoS_ppvUmnuJQ1nmD</v>
      </c>
      <c r="B86" s="13">
        <f>IFERROR(__xludf.DUMMYFUNCTION("""COMPUTED_VALUE"""),45976.0)</f>
        <v>45976</v>
      </c>
      <c r="C86" s="3" t="str">
        <f>IFERROR(__xludf.DUMMYFUNCTION("""COMPUTED_VALUE"""),"ZeroO")</f>
        <v>ZeroO</v>
      </c>
      <c r="D86" s="3" t="str">
        <f>IFERROR(__xludf.DUMMYFUNCTION("""COMPUTED_VALUE"""),"Kesny + Nebus. + ZeroO")</f>
        <v>Kesny + Nebus. + ZeroO</v>
      </c>
      <c r="E86" s="3" t="str">
        <f>IFERROR(__xludf.DUMMYFUNCTION("""COMPUTED_VALUE"""),"Aferdita + Malena + Tess1509")</f>
        <v>Aferdita + Malena + Tess1509</v>
      </c>
      <c r="F86" s="3" t="str">
        <f>IFERROR(__xludf.DUMMYFUNCTION("""COMPUTED_VALUE"""),"win")</f>
        <v>win</v>
      </c>
      <c r="G86" s="3" t="str">
        <f>IFERROR(__xludf.DUMMYFUNCTION("""COMPUTED_VALUE"""),"3v3")</f>
        <v>3v3</v>
      </c>
      <c r="H86" s="3" t="str">
        <f>IFERROR(__xludf.DUMMYFUNCTION("IFERROR(TRIM(INDEX(SPLIT(E86,"" + ""),1)),"""")"),"Aferdita")</f>
        <v>Aferdita</v>
      </c>
      <c r="I86" s="3" t="str">
        <f>IFERROR(__xludf.DUMMYFUNCTION("IFERROR(TRIM(INDEX(SPLIT(E86,"" + ""),2)),"""")"),"Malena")</f>
        <v>Malena</v>
      </c>
      <c r="J86" s="5" t="str">
        <f>IFERROR(__xludf.DUMMYFUNCTION("IFERROR(TRIM(INDEX(SPLIT(E86,"" + ""),3)),"""")"),"Tess1509")</f>
        <v>Tess1509</v>
      </c>
      <c r="K86" s="3">
        <f>IFERROR(__xludf.DUMMYFUNCTION("IFERROR(IF(H86="""",0,INDEX(FILTER($Q$2:Q85,$C$2:C85=H86,$G$2:G85=G86),ROWS(FILTER($Q$2:Q85,$C$2:C85=H86,$G$2:G85=G86)),1)),1500)"),1509.0)</f>
        <v>1509</v>
      </c>
      <c r="L86" s="3">
        <f>IFERROR(__xludf.DUMMYFUNCTION("IFERROR(IF(I86="""",0,INDEX(FILTER($Q$2:Q85,$C$2:C85=I86,$G$2:G85=G86),ROWS(FILTER($Q$2:Q85,$C$2:C85=I86,$G$2:G85=G86)),1)),1500)"),1429.0)</f>
        <v>1429</v>
      </c>
      <c r="M86" s="3">
        <f>IFERROR(__xludf.DUMMYFUNCTION("IFERROR(IF(J86="""",0,INDEX(FILTER($Q$2:Q85,$C$2:C85=J86,$G$2:G85=G86),ROWS(FILTER($Q$2:Q85,$C$2:C85=J86,$G$2:G85=G86)),1)),1500)"),1459.0)</f>
        <v>1459</v>
      </c>
      <c r="N86" s="3">
        <f>IFERROR(__xludf.DUMMYFUNCTION("IFERROR(INDEX(FILTER($Q$2:Q85,$C$2:C85=C86,$G$2:G85=G86),ROWS(FILTER($Q$2:Q85,$C$2:C85=C86,$G$2:G85=G86)),1),1500)"),1528.0)</f>
        <v>1528</v>
      </c>
      <c r="O86" s="3">
        <f t="shared" si="3"/>
        <v>1465.666667</v>
      </c>
      <c r="P86" s="9">
        <f t="shared" si="1"/>
        <v>13</v>
      </c>
      <c r="Q86" s="5">
        <f t="shared" si="2"/>
        <v>1541</v>
      </c>
    </row>
    <row r="87">
      <c r="A87" s="3" t="str">
        <f>IFERROR(__xludf.DUMMYFUNCTION("""COMPUTED_VALUE"""),"1APB94aE1XShPKNrUoS_ppvUmnuJQ1nmD")</f>
        <v>1APB94aE1XShPKNrUoS_ppvUmnuJQ1nmD</v>
      </c>
      <c r="B87" s="13">
        <f>IFERROR(__xludf.DUMMYFUNCTION("""COMPUTED_VALUE"""),45976.0)</f>
        <v>45976</v>
      </c>
      <c r="C87" s="3" t="str">
        <f>IFERROR(__xludf.DUMMYFUNCTION("""COMPUTED_VALUE"""),"Nebus.")</f>
        <v>Nebus.</v>
      </c>
      <c r="D87" s="3" t="str">
        <f>IFERROR(__xludf.DUMMYFUNCTION("""COMPUTED_VALUE"""),"Kesny + Nebus. + ZeroO")</f>
        <v>Kesny + Nebus. + ZeroO</v>
      </c>
      <c r="E87" s="3" t="str">
        <f>IFERROR(__xludf.DUMMYFUNCTION("""COMPUTED_VALUE"""),"Aferdita + Malena + Tess1509")</f>
        <v>Aferdita + Malena + Tess1509</v>
      </c>
      <c r="F87" s="3" t="str">
        <f>IFERROR(__xludf.DUMMYFUNCTION("""COMPUTED_VALUE"""),"win")</f>
        <v>win</v>
      </c>
      <c r="G87" s="3" t="str">
        <f>IFERROR(__xludf.DUMMYFUNCTION("""COMPUTED_VALUE"""),"3v3")</f>
        <v>3v3</v>
      </c>
      <c r="H87" s="3" t="str">
        <f>IFERROR(__xludf.DUMMYFUNCTION("IFERROR(TRIM(INDEX(SPLIT(E87,"" + ""),1)),"""")"),"Aferdita")</f>
        <v>Aferdita</v>
      </c>
      <c r="I87" s="3" t="str">
        <f>IFERROR(__xludf.DUMMYFUNCTION("IFERROR(TRIM(INDEX(SPLIT(E87,"" + ""),2)),"""")"),"Malena")</f>
        <v>Malena</v>
      </c>
      <c r="J87" s="5" t="str">
        <f>IFERROR(__xludf.DUMMYFUNCTION("IFERROR(TRIM(INDEX(SPLIT(E87,"" + ""),3)),"""")"),"Tess1509")</f>
        <v>Tess1509</v>
      </c>
      <c r="K87" s="3">
        <f>IFERROR(__xludf.DUMMYFUNCTION("IFERROR(IF(H87="""",0,INDEX(FILTER($Q$2:Q86,$C$2:C86=H87,$G$2:G86=G87),ROWS(FILTER($Q$2:Q86,$C$2:C86=H87,$G$2:G86=G87)),1)),1500)"),1509.0)</f>
        <v>1509</v>
      </c>
      <c r="L87" s="3">
        <f>IFERROR(__xludf.DUMMYFUNCTION("IFERROR(IF(I87="""",0,INDEX(FILTER($Q$2:Q86,$C$2:C86=I87,$G$2:G86=G87),ROWS(FILTER($Q$2:Q86,$C$2:C86=I87,$G$2:G86=G87)),1)),1500)"),1429.0)</f>
        <v>1429</v>
      </c>
      <c r="M87" s="3">
        <f>IFERROR(__xludf.DUMMYFUNCTION("IFERROR(IF(J87="""",0,INDEX(FILTER($Q$2:Q86,$C$2:C86=J87,$G$2:G86=G87),ROWS(FILTER($Q$2:Q86,$C$2:C86=J87,$G$2:G86=G87)),1)),1500)"),1459.0)</f>
        <v>1459</v>
      </c>
      <c r="N87" s="3">
        <f>IFERROR(__xludf.DUMMYFUNCTION("IFERROR(INDEX(FILTER($Q$2:Q86,$C$2:C86=C87,$G$2:G86=G87),ROWS(FILTER($Q$2:Q86,$C$2:C86=C87,$G$2:G86=G87)),1),1500)"),1530.0)</f>
        <v>1530</v>
      </c>
      <c r="O87" s="3">
        <f t="shared" si="3"/>
        <v>1465.666667</v>
      </c>
      <c r="P87" s="9">
        <f t="shared" si="1"/>
        <v>13</v>
      </c>
      <c r="Q87" s="5">
        <f t="shared" si="2"/>
        <v>1543</v>
      </c>
    </row>
    <row r="88">
      <c r="A88" s="3" t="str">
        <f>IFERROR(__xludf.DUMMYFUNCTION("""COMPUTED_VALUE"""),"1hGsTwwXW8pSu1VvYIRAAqmHIsCXotSqJ")</f>
        <v>1hGsTwwXW8pSu1VvYIRAAqmHIsCXotSqJ</v>
      </c>
      <c r="B88" s="13">
        <f>IFERROR(__xludf.DUMMYFUNCTION("""COMPUTED_VALUE"""),45976.0)</f>
        <v>45976</v>
      </c>
      <c r="C88" s="3" t="str">
        <f>IFERROR(__xludf.DUMMYFUNCTION("""COMPUTED_VALUE"""),"Malena")</f>
        <v>Malena</v>
      </c>
      <c r="D88" s="3" t="str">
        <f>IFERROR(__xludf.DUMMYFUNCTION("""COMPUTED_VALUE"""),"Aferdita + Malena + Tess1509")</f>
        <v>Aferdita + Malena + Tess1509</v>
      </c>
      <c r="E88" s="3" t="str">
        <f>IFERROR(__xludf.DUMMYFUNCTION("""COMPUTED_VALUE"""),"Kesny + Nebus. + ZeroO")</f>
        <v>Kesny + Nebus. + ZeroO</v>
      </c>
      <c r="F88" s="3" t="str">
        <f>IFERROR(__xludf.DUMMYFUNCTION("""COMPUTED_VALUE"""),"loss")</f>
        <v>loss</v>
      </c>
      <c r="G88" s="3" t="str">
        <f>IFERROR(__xludf.DUMMYFUNCTION("""COMPUTED_VALUE"""),"3v3")</f>
        <v>3v3</v>
      </c>
      <c r="H88" s="3" t="str">
        <f>IFERROR(__xludf.DUMMYFUNCTION("IFERROR(TRIM(INDEX(SPLIT(E88,"" + ""),1)),"""")"),"Kesny")</f>
        <v>Kesny</v>
      </c>
      <c r="I88" s="3" t="str">
        <f>IFERROR(__xludf.DUMMYFUNCTION("IFERROR(TRIM(INDEX(SPLIT(E88,"" + ""),2)),"""")"),"Nebus.")</f>
        <v>Nebus.</v>
      </c>
      <c r="J88" s="5" t="str">
        <f>IFERROR(__xludf.DUMMYFUNCTION("IFERROR(TRIM(INDEX(SPLIT(E88,"" + ""),3)),"""")"),"ZeroO")</f>
        <v>ZeroO</v>
      </c>
      <c r="K88" s="3">
        <f>IFERROR(__xludf.DUMMYFUNCTION("IFERROR(IF(H88="""",0,INDEX(FILTER($Q$2:Q87,$C$2:C87=H88,$G$2:G87=G88),ROWS(FILTER($Q$2:Q87,$C$2:C87=H88,$G$2:G87=G88)),1)),1500)"),1513.0)</f>
        <v>1513</v>
      </c>
      <c r="L88" s="3">
        <f>IFERROR(__xludf.DUMMYFUNCTION("IFERROR(IF(I88="""",0,INDEX(FILTER($Q$2:Q87,$C$2:C87=I88,$G$2:G87=G88),ROWS(FILTER($Q$2:Q87,$C$2:C87=I88,$G$2:G87=G88)),1)),1500)"),1543.0)</f>
        <v>1543</v>
      </c>
      <c r="M88" s="3">
        <f>IFERROR(__xludf.DUMMYFUNCTION("IFERROR(IF(J88="""",0,INDEX(FILTER($Q$2:Q87,$C$2:C87=J88,$G$2:G87=G88),ROWS(FILTER($Q$2:Q87,$C$2:C87=J88,$G$2:G87=G88)),1)),1500)"),1541.0)</f>
        <v>1541</v>
      </c>
      <c r="N88" s="3">
        <f>IFERROR(__xludf.DUMMYFUNCTION("IFERROR(INDEX(FILTER($Q$2:Q87,$C$2:C87=C88,$G$2:G87=G88),ROWS(FILTER($Q$2:Q87,$C$2:C87=C88,$G$2:G87=G88)),1),1500)"),1429.0)</f>
        <v>1429</v>
      </c>
      <c r="O88" s="3">
        <f t="shared" si="3"/>
        <v>1532.333333</v>
      </c>
      <c r="P88" s="9">
        <f t="shared" si="1"/>
        <v>-11</v>
      </c>
      <c r="Q88" s="5">
        <f t="shared" si="2"/>
        <v>1418</v>
      </c>
    </row>
    <row r="89">
      <c r="A89" s="3" t="str">
        <f>IFERROR(__xludf.DUMMYFUNCTION("""COMPUTED_VALUE"""),"1hGsTwwXW8pSu1VvYIRAAqmHIsCXotSqJ")</f>
        <v>1hGsTwwXW8pSu1VvYIRAAqmHIsCXotSqJ</v>
      </c>
      <c r="B89" s="13">
        <f>IFERROR(__xludf.DUMMYFUNCTION("""COMPUTED_VALUE"""),45976.0)</f>
        <v>45976</v>
      </c>
      <c r="C89" s="3" t="str">
        <f>IFERROR(__xludf.DUMMYFUNCTION("""COMPUTED_VALUE"""),"Aferdita")</f>
        <v>Aferdita</v>
      </c>
      <c r="D89" s="3" t="str">
        <f>IFERROR(__xludf.DUMMYFUNCTION("""COMPUTED_VALUE"""),"Aferdita + Malena + Tess1509")</f>
        <v>Aferdita + Malena + Tess1509</v>
      </c>
      <c r="E89" s="3" t="str">
        <f>IFERROR(__xludf.DUMMYFUNCTION("""COMPUTED_VALUE"""),"Kesny + Nebus. + ZeroO")</f>
        <v>Kesny + Nebus. + ZeroO</v>
      </c>
      <c r="F89" s="3" t="str">
        <f>IFERROR(__xludf.DUMMYFUNCTION("""COMPUTED_VALUE"""),"loss")</f>
        <v>loss</v>
      </c>
      <c r="G89" s="3" t="str">
        <f>IFERROR(__xludf.DUMMYFUNCTION("""COMPUTED_VALUE"""),"3v3")</f>
        <v>3v3</v>
      </c>
      <c r="H89" s="3" t="str">
        <f>IFERROR(__xludf.DUMMYFUNCTION("IFERROR(TRIM(INDEX(SPLIT(E89,"" + ""),1)),"""")"),"Kesny")</f>
        <v>Kesny</v>
      </c>
      <c r="I89" s="3" t="str">
        <f>IFERROR(__xludf.DUMMYFUNCTION("IFERROR(TRIM(INDEX(SPLIT(E89,"" + ""),2)),"""")"),"Nebus.")</f>
        <v>Nebus.</v>
      </c>
      <c r="J89" s="5" t="str">
        <f>IFERROR(__xludf.DUMMYFUNCTION("IFERROR(TRIM(INDEX(SPLIT(E89,"" + ""),3)),"""")"),"ZeroO")</f>
        <v>ZeroO</v>
      </c>
      <c r="K89" s="3">
        <f>IFERROR(__xludf.DUMMYFUNCTION("IFERROR(IF(H89="""",0,INDEX(FILTER($Q$2:Q88,$C$2:C88=H89,$G$2:G88=G89),ROWS(FILTER($Q$2:Q88,$C$2:C88=H89,$G$2:G88=G89)),1)),1500)"),1513.0)</f>
        <v>1513</v>
      </c>
      <c r="L89" s="3">
        <f>IFERROR(__xludf.DUMMYFUNCTION("IFERROR(IF(I89="""",0,INDEX(FILTER($Q$2:Q88,$C$2:C88=I89,$G$2:G88=G89),ROWS(FILTER($Q$2:Q88,$C$2:C88=I89,$G$2:G88=G89)),1)),1500)"),1543.0)</f>
        <v>1543</v>
      </c>
      <c r="M89" s="3">
        <f>IFERROR(__xludf.DUMMYFUNCTION("IFERROR(IF(J89="""",0,INDEX(FILTER($Q$2:Q88,$C$2:C88=J89,$G$2:G88=G89),ROWS(FILTER($Q$2:Q88,$C$2:C88=J89,$G$2:G88=G89)),1)),1500)"),1541.0)</f>
        <v>1541</v>
      </c>
      <c r="N89" s="3">
        <f>IFERROR(__xludf.DUMMYFUNCTION("IFERROR(INDEX(FILTER($Q$2:Q88,$C$2:C88=C89,$G$2:G88=G89),ROWS(FILTER($Q$2:Q88,$C$2:C88=C89,$G$2:G88=G89)),1),1500)"),1509.0)</f>
        <v>1509</v>
      </c>
      <c r="O89" s="3">
        <f t="shared" si="3"/>
        <v>1532.333333</v>
      </c>
      <c r="P89" s="9">
        <f t="shared" si="1"/>
        <v>-15</v>
      </c>
      <c r="Q89" s="5">
        <f t="shared" si="2"/>
        <v>1494</v>
      </c>
    </row>
    <row r="90">
      <c r="A90" s="3" t="str">
        <f>IFERROR(__xludf.DUMMYFUNCTION("""COMPUTED_VALUE"""),"1hGsTwwXW8pSu1VvYIRAAqmHIsCXotSqJ")</f>
        <v>1hGsTwwXW8pSu1VvYIRAAqmHIsCXotSqJ</v>
      </c>
      <c r="B90" s="13">
        <f>IFERROR(__xludf.DUMMYFUNCTION("""COMPUTED_VALUE"""),45976.0)</f>
        <v>45976</v>
      </c>
      <c r="C90" s="3" t="str">
        <f>IFERROR(__xludf.DUMMYFUNCTION("""COMPUTED_VALUE"""),"Tess1509")</f>
        <v>Tess1509</v>
      </c>
      <c r="D90" s="3" t="str">
        <f>IFERROR(__xludf.DUMMYFUNCTION("""COMPUTED_VALUE"""),"Aferdita + Malena + Tess1509")</f>
        <v>Aferdita + Malena + Tess1509</v>
      </c>
      <c r="E90" s="3" t="str">
        <f>IFERROR(__xludf.DUMMYFUNCTION("""COMPUTED_VALUE"""),"Kesny + Nebus. + ZeroO")</f>
        <v>Kesny + Nebus. + ZeroO</v>
      </c>
      <c r="F90" s="3" t="str">
        <f>IFERROR(__xludf.DUMMYFUNCTION("""COMPUTED_VALUE"""),"loss")</f>
        <v>loss</v>
      </c>
      <c r="G90" s="3" t="str">
        <f>IFERROR(__xludf.DUMMYFUNCTION("""COMPUTED_VALUE"""),"3v3")</f>
        <v>3v3</v>
      </c>
      <c r="H90" s="3" t="str">
        <f>IFERROR(__xludf.DUMMYFUNCTION("IFERROR(TRIM(INDEX(SPLIT(E90,"" + ""),1)),"""")"),"Kesny")</f>
        <v>Kesny</v>
      </c>
      <c r="I90" s="3" t="str">
        <f>IFERROR(__xludf.DUMMYFUNCTION("IFERROR(TRIM(INDEX(SPLIT(E90,"" + ""),2)),"""")"),"Nebus.")</f>
        <v>Nebus.</v>
      </c>
      <c r="J90" s="5" t="str">
        <f>IFERROR(__xludf.DUMMYFUNCTION("IFERROR(TRIM(INDEX(SPLIT(E90,"" + ""),3)),"""")"),"ZeroO")</f>
        <v>ZeroO</v>
      </c>
      <c r="K90" s="3">
        <f>IFERROR(__xludf.DUMMYFUNCTION("IFERROR(IF(H90="""",0,INDEX(FILTER($Q$2:Q89,$C$2:C89=H90,$G$2:G89=G90),ROWS(FILTER($Q$2:Q89,$C$2:C89=H90,$G$2:G89=G90)),1)),1500)"),1513.0)</f>
        <v>1513</v>
      </c>
      <c r="L90" s="3">
        <f>IFERROR(__xludf.DUMMYFUNCTION("IFERROR(IF(I90="""",0,INDEX(FILTER($Q$2:Q89,$C$2:C89=I90,$G$2:G89=G90),ROWS(FILTER($Q$2:Q89,$C$2:C89=I90,$G$2:G89=G90)),1)),1500)"),1543.0)</f>
        <v>1543</v>
      </c>
      <c r="M90" s="3">
        <f>IFERROR(__xludf.DUMMYFUNCTION("IFERROR(IF(J90="""",0,INDEX(FILTER($Q$2:Q89,$C$2:C89=J90,$G$2:G89=G90),ROWS(FILTER($Q$2:Q89,$C$2:C89=J90,$G$2:G89=G90)),1)),1500)"),1541.0)</f>
        <v>1541</v>
      </c>
      <c r="N90" s="3">
        <f>IFERROR(__xludf.DUMMYFUNCTION("IFERROR(INDEX(FILTER($Q$2:Q89,$C$2:C89=C90,$G$2:G89=G90),ROWS(FILTER($Q$2:Q89,$C$2:C89=C90,$G$2:G89=G90)),1),1500)"),1459.0)</f>
        <v>1459</v>
      </c>
      <c r="O90" s="3">
        <f t="shared" si="3"/>
        <v>1532.333333</v>
      </c>
      <c r="P90" s="9">
        <f t="shared" si="1"/>
        <v>-13</v>
      </c>
      <c r="Q90" s="5">
        <f t="shared" si="2"/>
        <v>1446</v>
      </c>
    </row>
    <row r="91">
      <c r="A91" s="3" t="str">
        <f>IFERROR(__xludf.DUMMYFUNCTION("""COMPUTED_VALUE"""),"1hGsTwwXW8pSu1VvYIRAAqmHIsCXotSqJ")</f>
        <v>1hGsTwwXW8pSu1VvYIRAAqmHIsCXotSqJ</v>
      </c>
      <c r="B91" s="13">
        <f>IFERROR(__xludf.DUMMYFUNCTION("""COMPUTED_VALUE"""),45976.0)</f>
        <v>45976</v>
      </c>
      <c r="C91" s="3" t="str">
        <f>IFERROR(__xludf.DUMMYFUNCTION("""COMPUTED_VALUE"""),"Kesny")</f>
        <v>Kesny</v>
      </c>
      <c r="D91" s="3" t="str">
        <f>IFERROR(__xludf.DUMMYFUNCTION("""COMPUTED_VALUE"""),"Kesny + Nebus. + ZeroO")</f>
        <v>Kesny + Nebus. + ZeroO</v>
      </c>
      <c r="E91" s="3" t="str">
        <f>IFERROR(__xludf.DUMMYFUNCTION("""COMPUTED_VALUE"""),"Aferdita + Malena + Tess1509")</f>
        <v>Aferdita + Malena + Tess1509</v>
      </c>
      <c r="F91" s="3" t="str">
        <f>IFERROR(__xludf.DUMMYFUNCTION("""COMPUTED_VALUE"""),"win")</f>
        <v>win</v>
      </c>
      <c r="G91" s="3" t="str">
        <f>IFERROR(__xludf.DUMMYFUNCTION("""COMPUTED_VALUE"""),"3v3")</f>
        <v>3v3</v>
      </c>
      <c r="H91" s="3" t="str">
        <f>IFERROR(__xludf.DUMMYFUNCTION("IFERROR(TRIM(INDEX(SPLIT(E91,"" + ""),1)),"""")"),"Aferdita")</f>
        <v>Aferdita</v>
      </c>
      <c r="I91" s="3" t="str">
        <f>IFERROR(__xludf.DUMMYFUNCTION("IFERROR(TRIM(INDEX(SPLIT(E91,"" + ""),2)),"""")"),"Malena")</f>
        <v>Malena</v>
      </c>
      <c r="J91" s="5" t="str">
        <f>IFERROR(__xludf.DUMMYFUNCTION("IFERROR(TRIM(INDEX(SPLIT(E91,"" + ""),3)),"""")"),"Tess1509")</f>
        <v>Tess1509</v>
      </c>
      <c r="K91" s="3">
        <f>IFERROR(__xludf.DUMMYFUNCTION("IFERROR(IF(H91="""",0,INDEX(FILTER($Q$2:Q90,$C$2:C90=H91,$G$2:G90=G91),ROWS(FILTER($Q$2:Q90,$C$2:C90=H91,$G$2:G90=G91)),1)),1500)"),1494.0)</f>
        <v>1494</v>
      </c>
      <c r="L91" s="3">
        <f>IFERROR(__xludf.DUMMYFUNCTION("IFERROR(IF(I91="""",0,INDEX(FILTER($Q$2:Q90,$C$2:C90=I91,$G$2:G90=G91),ROWS(FILTER($Q$2:Q90,$C$2:C90=I91,$G$2:G90=G91)),1)),1500)"),1418.0)</f>
        <v>1418</v>
      </c>
      <c r="M91" s="3">
        <f>IFERROR(__xludf.DUMMYFUNCTION("IFERROR(IF(J91="""",0,INDEX(FILTER($Q$2:Q90,$C$2:C90=J91,$G$2:G90=G91),ROWS(FILTER($Q$2:Q90,$C$2:C90=J91,$G$2:G90=G91)),1)),1500)"),1446.0)</f>
        <v>1446</v>
      </c>
      <c r="N91" s="3">
        <f>IFERROR(__xludf.DUMMYFUNCTION("IFERROR(INDEX(FILTER($Q$2:Q90,$C$2:C90=C91,$G$2:G90=G91),ROWS(FILTER($Q$2:Q90,$C$2:C90=C91,$G$2:G90=G91)),1),1500)"),1513.0)</f>
        <v>1513</v>
      </c>
      <c r="O91" s="3">
        <f t="shared" si="3"/>
        <v>1452.666667</v>
      </c>
      <c r="P91" s="9">
        <f t="shared" si="1"/>
        <v>13</v>
      </c>
      <c r="Q91" s="5">
        <f t="shared" si="2"/>
        <v>1526</v>
      </c>
    </row>
    <row r="92">
      <c r="A92" s="3" t="str">
        <f>IFERROR(__xludf.DUMMYFUNCTION("""COMPUTED_VALUE"""),"1hGsTwwXW8pSu1VvYIRAAqmHIsCXotSqJ")</f>
        <v>1hGsTwwXW8pSu1VvYIRAAqmHIsCXotSqJ</v>
      </c>
      <c r="B92" s="13">
        <f>IFERROR(__xludf.DUMMYFUNCTION("""COMPUTED_VALUE"""),45976.0)</f>
        <v>45976</v>
      </c>
      <c r="C92" s="3" t="str">
        <f>IFERROR(__xludf.DUMMYFUNCTION("""COMPUTED_VALUE"""),"ZeroO")</f>
        <v>ZeroO</v>
      </c>
      <c r="D92" s="3" t="str">
        <f>IFERROR(__xludf.DUMMYFUNCTION("""COMPUTED_VALUE"""),"Kesny + Nebus. + ZeroO")</f>
        <v>Kesny + Nebus. + ZeroO</v>
      </c>
      <c r="E92" s="3" t="str">
        <f>IFERROR(__xludf.DUMMYFUNCTION("""COMPUTED_VALUE"""),"Aferdita + Malena + Tess1509")</f>
        <v>Aferdita + Malena + Tess1509</v>
      </c>
      <c r="F92" s="3" t="str">
        <f>IFERROR(__xludf.DUMMYFUNCTION("""COMPUTED_VALUE"""),"win")</f>
        <v>win</v>
      </c>
      <c r="G92" s="3" t="str">
        <f>IFERROR(__xludf.DUMMYFUNCTION("""COMPUTED_VALUE"""),"3v3")</f>
        <v>3v3</v>
      </c>
      <c r="H92" s="3" t="str">
        <f>IFERROR(__xludf.DUMMYFUNCTION("IFERROR(TRIM(INDEX(SPLIT(E92,"" + ""),1)),"""")"),"Aferdita")</f>
        <v>Aferdita</v>
      </c>
      <c r="I92" s="3" t="str">
        <f>IFERROR(__xludf.DUMMYFUNCTION("IFERROR(TRIM(INDEX(SPLIT(E92,"" + ""),2)),"""")"),"Malena")</f>
        <v>Malena</v>
      </c>
      <c r="J92" s="5" t="str">
        <f>IFERROR(__xludf.DUMMYFUNCTION("IFERROR(TRIM(INDEX(SPLIT(E92,"" + ""),3)),"""")"),"Tess1509")</f>
        <v>Tess1509</v>
      </c>
      <c r="K92" s="3">
        <f>IFERROR(__xludf.DUMMYFUNCTION("IFERROR(IF(H92="""",0,INDEX(FILTER($Q$2:Q91,$C$2:C91=H92,$G$2:G91=G92),ROWS(FILTER($Q$2:Q91,$C$2:C91=H92,$G$2:G91=G92)),1)),1500)"),1494.0)</f>
        <v>1494</v>
      </c>
      <c r="L92" s="3">
        <f>IFERROR(__xludf.DUMMYFUNCTION("IFERROR(IF(I92="""",0,INDEX(FILTER($Q$2:Q91,$C$2:C91=I92,$G$2:G91=G92),ROWS(FILTER($Q$2:Q91,$C$2:C91=I92,$G$2:G91=G92)),1)),1500)"),1418.0)</f>
        <v>1418</v>
      </c>
      <c r="M92" s="3">
        <f>IFERROR(__xludf.DUMMYFUNCTION("IFERROR(IF(J92="""",0,INDEX(FILTER($Q$2:Q91,$C$2:C91=J92,$G$2:G91=G92),ROWS(FILTER($Q$2:Q91,$C$2:C91=J92,$G$2:G91=G92)),1)),1500)"),1446.0)</f>
        <v>1446</v>
      </c>
      <c r="N92" s="3">
        <f>IFERROR(__xludf.DUMMYFUNCTION("IFERROR(INDEX(FILTER($Q$2:Q91,$C$2:C91=C92,$G$2:G91=G92),ROWS(FILTER($Q$2:Q91,$C$2:C91=C92,$G$2:G91=G92)),1),1500)"),1541.0)</f>
        <v>1541</v>
      </c>
      <c r="O92" s="3">
        <f t="shared" si="3"/>
        <v>1452.666667</v>
      </c>
      <c r="P92" s="9">
        <f t="shared" si="1"/>
        <v>12</v>
      </c>
      <c r="Q92" s="5">
        <f t="shared" si="2"/>
        <v>1553</v>
      </c>
    </row>
    <row r="93">
      <c r="A93" s="3" t="str">
        <f>IFERROR(__xludf.DUMMYFUNCTION("""COMPUTED_VALUE"""),"1hGsTwwXW8pSu1VvYIRAAqmHIsCXotSqJ")</f>
        <v>1hGsTwwXW8pSu1VvYIRAAqmHIsCXotSqJ</v>
      </c>
      <c r="B93" s="13">
        <f>IFERROR(__xludf.DUMMYFUNCTION("""COMPUTED_VALUE"""),45976.0)</f>
        <v>45976</v>
      </c>
      <c r="C93" s="3" t="str">
        <f>IFERROR(__xludf.DUMMYFUNCTION("""COMPUTED_VALUE"""),"Nebus.")</f>
        <v>Nebus.</v>
      </c>
      <c r="D93" s="3" t="str">
        <f>IFERROR(__xludf.DUMMYFUNCTION("""COMPUTED_VALUE"""),"Kesny + Nebus. + ZeroO")</f>
        <v>Kesny + Nebus. + ZeroO</v>
      </c>
      <c r="E93" s="3" t="str">
        <f>IFERROR(__xludf.DUMMYFUNCTION("""COMPUTED_VALUE"""),"Aferdita + Malena + Tess1509")</f>
        <v>Aferdita + Malena + Tess1509</v>
      </c>
      <c r="F93" s="3" t="str">
        <f>IFERROR(__xludf.DUMMYFUNCTION("""COMPUTED_VALUE"""),"win")</f>
        <v>win</v>
      </c>
      <c r="G93" s="3" t="str">
        <f>IFERROR(__xludf.DUMMYFUNCTION("""COMPUTED_VALUE"""),"3v3")</f>
        <v>3v3</v>
      </c>
      <c r="H93" s="3" t="str">
        <f>IFERROR(__xludf.DUMMYFUNCTION("IFERROR(TRIM(INDEX(SPLIT(E93,"" + ""),1)),"""")"),"Aferdita")</f>
        <v>Aferdita</v>
      </c>
      <c r="I93" s="3" t="str">
        <f>IFERROR(__xludf.DUMMYFUNCTION("IFERROR(TRIM(INDEX(SPLIT(E93,"" + ""),2)),"""")"),"Malena")</f>
        <v>Malena</v>
      </c>
      <c r="J93" s="5" t="str">
        <f>IFERROR(__xludf.DUMMYFUNCTION("IFERROR(TRIM(INDEX(SPLIT(E93,"" + ""),3)),"""")"),"Tess1509")</f>
        <v>Tess1509</v>
      </c>
      <c r="K93" s="3">
        <f>IFERROR(__xludf.DUMMYFUNCTION("IFERROR(IF(H93="""",0,INDEX(FILTER($Q$2:Q92,$C$2:C92=H93,$G$2:G92=G93),ROWS(FILTER($Q$2:Q92,$C$2:C92=H93,$G$2:G92=G93)),1)),1500)"),1494.0)</f>
        <v>1494</v>
      </c>
      <c r="L93" s="3">
        <f>IFERROR(__xludf.DUMMYFUNCTION("IFERROR(IF(I93="""",0,INDEX(FILTER($Q$2:Q92,$C$2:C92=I93,$G$2:G92=G93),ROWS(FILTER($Q$2:Q92,$C$2:C92=I93,$G$2:G92=G93)),1)),1500)"),1418.0)</f>
        <v>1418</v>
      </c>
      <c r="M93" s="3">
        <f>IFERROR(__xludf.DUMMYFUNCTION("IFERROR(IF(J93="""",0,INDEX(FILTER($Q$2:Q92,$C$2:C92=J93,$G$2:G92=G93),ROWS(FILTER($Q$2:Q92,$C$2:C92=J93,$G$2:G92=G93)),1)),1500)"),1446.0)</f>
        <v>1446</v>
      </c>
      <c r="N93" s="3">
        <f>IFERROR(__xludf.DUMMYFUNCTION("IFERROR(INDEX(FILTER($Q$2:Q92,$C$2:C92=C93,$G$2:G92=G93),ROWS(FILTER($Q$2:Q92,$C$2:C92=C93,$G$2:G92=G93)),1),1500)"),1543.0)</f>
        <v>1543</v>
      </c>
      <c r="O93" s="3">
        <f t="shared" si="3"/>
        <v>1452.666667</v>
      </c>
      <c r="P93" s="9">
        <f t="shared" si="1"/>
        <v>12</v>
      </c>
      <c r="Q93" s="5">
        <f t="shared" si="2"/>
        <v>1555</v>
      </c>
    </row>
    <row r="94">
      <c r="A94" s="3" t="str">
        <f>IFERROR(__xludf.DUMMYFUNCTION("""COMPUTED_VALUE"""),"1VRkRzx1h5jG0wjRAGk2WyIbBPOC6mqY1")</f>
        <v>1VRkRzx1h5jG0wjRAGk2WyIbBPOC6mqY1</v>
      </c>
      <c r="B94" s="13">
        <f>IFERROR(__xludf.DUMMYFUNCTION("""COMPUTED_VALUE"""),45976.0)</f>
        <v>45976</v>
      </c>
      <c r="C94" s="3" t="str">
        <f>IFERROR(__xludf.DUMMYFUNCTION("""COMPUTED_VALUE"""),"Malena")</f>
        <v>Malena</v>
      </c>
      <c r="D94" s="3" t="str">
        <f>IFERROR(__xludf.DUMMYFUNCTION("""COMPUTED_VALUE"""),"Kesny + Malena")</f>
        <v>Kesny + Malena</v>
      </c>
      <c r="E94" s="3" t="str">
        <f>IFERROR(__xludf.DUMMYFUNCTION("""COMPUTED_VALUE"""),"Nebus. + ZeroO")</f>
        <v>Nebus. + ZeroO</v>
      </c>
      <c r="F94" s="3" t="str">
        <f>IFERROR(__xludf.DUMMYFUNCTION("""COMPUTED_VALUE"""),"loss")</f>
        <v>loss</v>
      </c>
      <c r="G94" s="3" t="str">
        <f>IFERROR(__xludf.DUMMYFUNCTION("""COMPUTED_VALUE"""),"2v2")</f>
        <v>2v2</v>
      </c>
      <c r="H94" s="3" t="str">
        <f>IFERROR(__xludf.DUMMYFUNCTION("IFERROR(TRIM(INDEX(SPLIT(E94,"" + ""),1)),"""")"),"Nebus.")</f>
        <v>Nebus.</v>
      </c>
      <c r="I94" s="3" t="str">
        <f>IFERROR(__xludf.DUMMYFUNCTION("IFERROR(TRIM(INDEX(SPLIT(E94,"" + ""),2)),"""")"),"ZeroO")</f>
        <v>ZeroO</v>
      </c>
      <c r="J94" s="5" t="str">
        <f>IFERROR(__xludf.DUMMYFUNCTION("IFERROR(TRIM(INDEX(SPLIT(E94,"" + ""),3)),"""")"),"")</f>
        <v/>
      </c>
      <c r="K94" s="3">
        <f>IFERROR(__xludf.DUMMYFUNCTION("IFERROR(IF(H94="""",0,INDEX(FILTER($Q$2:Q93,$C$2:C93=H94,$G$2:G93=G94),ROWS(FILTER($Q$2:Q93,$C$2:C93=H94,$G$2:G93=G94)),1)),1500)"),1522.0)</f>
        <v>1522</v>
      </c>
      <c r="L94" s="3">
        <f>IFERROR(__xludf.DUMMYFUNCTION("IFERROR(IF(I94="""",0,INDEX(FILTER($Q$2:Q93,$C$2:C93=I94,$G$2:G93=G94),ROWS(FILTER($Q$2:Q93,$C$2:C93=I94,$G$2:G93=G94)),1)),1500)"),1557.0)</f>
        <v>1557</v>
      </c>
      <c r="M94" s="3">
        <f>IFERROR(__xludf.DUMMYFUNCTION("IFERROR(IF(J94="""",0,INDEX(FILTER($Q$2:Q93,$C$2:C93=J94,$G$2:G93=G94),ROWS(FILTER($Q$2:Q93,$C$2:C93=J94,$G$2:G93=G94)),1)),1500)"),0.0)</f>
        <v>0</v>
      </c>
      <c r="N94" s="3">
        <f>IFERROR(__xludf.DUMMYFUNCTION("IFERROR(INDEX(FILTER($Q$2:Q93,$C$2:C93=C94,$G$2:G93=G94),ROWS(FILTER($Q$2:Q93,$C$2:C93=C94,$G$2:G93=G94)),1),1500)"),1521.0)</f>
        <v>1521</v>
      </c>
      <c r="O94" s="3">
        <f t="shared" si="3"/>
        <v>1539.5</v>
      </c>
      <c r="P94" s="9">
        <f t="shared" si="1"/>
        <v>-15</v>
      </c>
      <c r="Q94" s="5">
        <f t="shared" si="2"/>
        <v>1506</v>
      </c>
    </row>
    <row r="95">
      <c r="A95" s="3" t="str">
        <f>IFERROR(__xludf.DUMMYFUNCTION("""COMPUTED_VALUE"""),"1VRkRzx1h5jG0wjRAGk2WyIbBPOC6mqY1")</f>
        <v>1VRkRzx1h5jG0wjRAGk2WyIbBPOC6mqY1</v>
      </c>
      <c r="B95" s="13">
        <f>IFERROR(__xludf.DUMMYFUNCTION("""COMPUTED_VALUE"""),45976.0)</f>
        <v>45976</v>
      </c>
      <c r="C95" s="3" t="str">
        <f>IFERROR(__xludf.DUMMYFUNCTION("""COMPUTED_VALUE"""),"Kesny")</f>
        <v>Kesny</v>
      </c>
      <c r="D95" s="3" t="str">
        <f>IFERROR(__xludf.DUMMYFUNCTION("""COMPUTED_VALUE"""),"Kesny + Malena")</f>
        <v>Kesny + Malena</v>
      </c>
      <c r="E95" s="3" t="str">
        <f>IFERROR(__xludf.DUMMYFUNCTION("""COMPUTED_VALUE"""),"Nebus. + ZeroO")</f>
        <v>Nebus. + ZeroO</v>
      </c>
      <c r="F95" s="3" t="str">
        <f>IFERROR(__xludf.DUMMYFUNCTION("""COMPUTED_VALUE"""),"loss")</f>
        <v>loss</v>
      </c>
      <c r="G95" s="3" t="str">
        <f>IFERROR(__xludf.DUMMYFUNCTION("""COMPUTED_VALUE"""),"2v2")</f>
        <v>2v2</v>
      </c>
      <c r="H95" s="3" t="str">
        <f>IFERROR(__xludf.DUMMYFUNCTION("IFERROR(TRIM(INDEX(SPLIT(E95,"" + ""),1)),"""")"),"Nebus.")</f>
        <v>Nebus.</v>
      </c>
      <c r="I95" s="3" t="str">
        <f>IFERROR(__xludf.DUMMYFUNCTION("IFERROR(TRIM(INDEX(SPLIT(E95,"" + ""),2)),"""")"),"ZeroO")</f>
        <v>ZeroO</v>
      </c>
      <c r="J95" s="5" t="str">
        <f>IFERROR(__xludf.DUMMYFUNCTION("IFERROR(TRIM(INDEX(SPLIT(E95,"" + ""),3)),"""")"),"")</f>
        <v/>
      </c>
      <c r="K95" s="3">
        <f>IFERROR(__xludf.DUMMYFUNCTION("IFERROR(IF(H95="""",0,INDEX(FILTER($Q$2:Q94,$C$2:C94=H95,$G$2:G94=G95),ROWS(FILTER($Q$2:Q94,$C$2:C94=H95,$G$2:G94=G95)),1)),1500)"),1522.0)</f>
        <v>1522</v>
      </c>
      <c r="L95" s="3">
        <f>IFERROR(__xludf.DUMMYFUNCTION("IFERROR(IF(I95="""",0,INDEX(FILTER($Q$2:Q94,$C$2:C94=I95,$G$2:G94=G95),ROWS(FILTER($Q$2:Q94,$C$2:C94=I95,$G$2:G94=G95)),1)),1500)"),1557.0)</f>
        <v>1557</v>
      </c>
      <c r="M95" s="3">
        <f>IFERROR(__xludf.DUMMYFUNCTION("IFERROR(IF(J95="""",0,INDEX(FILTER($Q$2:Q94,$C$2:C94=J95,$G$2:G94=G95),ROWS(FILTER($Q$2:Q94,$C$2:C94=J95,$G$2:G94=G95)),1)),1500)"),0.0)</f>
        <v>0</v>
      </c>
      <c r="N95" s="3">
        <f>IFERROR(__xludf.DUMMYFUNCTION("IFERROR(INDEX(FILTER($Q$2:Q94,$C$2:C94=C95,$G$2:G94=G95),ROWS(FILTER($Q$2:Q94,$C$2:C94=C95,$G$2:G94=G95)),1),1500)"),1501.0)</f>
        <v>1501</v>
      </c>
      <c r="O95" s="3">
        <f t="shared" si="3"/>
        <v>1539.5</v>
      </c>
      <c r="P95" s="9">
        <f t="shared" si="1"/>
        <v>-14</v>
      </c>
      <c r="Q95" s="5">
        <f t="shared" si="2"/>
        <v>1487</v>
      </c>
    </row>
    <row r="96">
      <c r="A96" s="3" t="str">
        <f>IFERROR(__xludf.DUMMYFUNCTION("""COMPUTED_VALUE"""),"1VRkRzx1h5jG0wjRAGk2WyIbBPOC6mqY1")</f>
        <v>1VRkRzx1h5jG0wjRAGk2WyIbBPOC6mqY1</v>
      </c>
      <c r="B96" s="13">
        <f>IFERROR(__xludf.DUMMYFUNCTION("""COMPUTED_VALUE"""),45976.0)</f>
        <v>45976</v>
      </c>
      <c r="C96" s="3" t="str">
        <f>IFERROR(__xludf.DUMMYFUNCTION("""COMPUTED_VALUE"""),"ZeroO")</f>
        <v>ZeroO</v>
      </c>
      <c r="D96" s="3" t="str">
        <f>IFERROR(__xludf.DUMMYFUNCTION("""COMPUTED_VALUE"""),"Nebus. + ZeroO")</f>
        <v>Nebus. + ZeroO</v>
      </c>
      <c r="E96" s="3" t="str">
        <f>IFERROR(__xludf.DUMMYFUNCTION("""COMPUTED_VALUE"""),"Kesny + Malena")</f>
        <v>Kesny + Malena</v>
      </c>
      <c r="F96" s="3" t="str">
        <f>IFERROR(__xludf.DUMMYFUNCTION("""COMPUTED_VALUE"""),"win")</f>
        <v>win</v>
      </c>
      <c r="G96" s="3" t="str">
        <f>IFERROR(__xludf.DUMMYFUNCTION("""COMPUTED_VALUE"""),"2v2")</f>
        <v>2v2</v>
      </c>
      <c r="H96" s="3" t="str">
        <f>IFERROR(__xludf.DUMMYFUNCTION("IFERROR(TRIM(INDEX(SPLIT(E96,"" + ""),1)),"""")"),"Kesny")</f>
        <v>Kesny</v>
      </c>
      <c r="I96" s="3" t="str">
        <f>IFERROR(__xludf.DUMMYFUNCTION("IFERROR(TRIM(INDEX(SPLIT(E96,"" + ""),2)),"""")"),"Malena")</f>
        <v>Malena</v>
      </c>
      <c r="J96" s="5" t="str">
        <f>IFERROR(__xludf.DUMMYFUNCTION("IFERROR(TRIM(INDEX(SPLIT(E96,"" + ""),3)),"""")"),"")</f>
        <v/>
      </c>
      <c r="K96" s="3">
        <f>IFERROR(__xludf.DUMMYFUNCTION("IFERROR(IF(H96="""",0,INDEX(FILTER($Q$2:Q95,$C$2:C95=H96,$G$2:G95=G96),ROWS(FILTER($Q$2:Q95,$C$2:C95=H96,$G$2:G95=G96)),1)),1500)"),1487.0)</f>
        <v>1487</v>
      </c>
      <c r="L96" s="3">
        <f>IFERROR(__xludf.DUMMYFUNCTION("IFERROR(IF(I96="""",0,INDEX(FILTER($Q$2:Q95,$C$2:C95=I96,$G$2:G95=G96),ROWS(FILTER($Q$2:Q95,$C$2:C95=I96,$G$2:G95=G96)),1)),1500)"),1506.0)</f>
        <v>1506</v>
      </c>
      <c r="M96" s="3">
        <f>IFERROR(__xludf.DUMMYFUNCTION("IFERROR(IF(J96="""",0,INDEX(FILTER($Q$2:Q95,$C$2:C95=J96,$G$2:G95=G96),ROWS(FILTER($Q$2:Q95,$C$2:C95=J96,$G$2:G95=G96)),1)),1500)"),0.0)</f>
        <v>0</v>
      </c>
      <c r="N96" s="3">
        <f>IFERROR(__xludf.DUMMYFUNCTION("IFERROR(INDEX(FILTER($Q$2:Q95,$C$2:C95=C96,$G$2:G95=G96),ROWS(FILTER($Q$2:Q95,$C$2:C95=C96,$G$2:G95=G96)),1),1500)"),1557.0)</f>
        <v>1557</v>
      </c>
      <c r="O96" s="3">
        <f t="shared" si="3"/>
        <v>1496.5</v>
      </c>
      <c r="P96" s="9">
        <f t="shared" si="1"/>
        <v>13</v>
      </c>
      <c r="Q96" s="5">
        <f t="shared" si="2"/>
        <v>1570</v>
      </c>
    </row>
    <row r="97">
      <c r="A97" s="3" t="str">
        <f>IFERROR(__xludf.DUMMYFUNCTION("""COMPUTED_VALUE"""),"1VRkRzx1h5jG0wjRAGk2WyIbBPOC6mqY1")</f>
        <v>1VRkRzx1h5jG0wjRAGk2WyIbBPOC6mqY1</v>
      </c>
      <c r="B97" s="13">
        <f>IFERROR(__xludf.DUMMYFUNCTION("""COMPUTED_VALUE"""),45976.0)</f>
        <v>45976</v>
      </c>
      <c r="C97" s="3" t="str">
        <f>IFERROR(__xludf.DUMMYFUNCTION("""COMPUTED_VALUE"""),"Nebus.")</f>
        <v>Nebus.</v>
      </c>
      <c r="D97" s="3" t="str">
        <f>IFERROR(__xludf.DUMMYFUNCTION("""COMPUTED_VALUE"""),"Nebus. + ZeroO")</f>
        <v>Nebus. + ZeroO</v>
      </c>
      <c r="E97" s="3" t="str">
        <f>IFERROR(__xludf.DUMMYFUNCTION("""COMPUTED_VALUE"""),"Kesny + Malena")</f>
        <v>Kesny + Malena</v>
      </c>
      <c r="F97" s="3" t="str">
        <f>IFERROR(__xludf.DUMMYFUNCTION("""COMPUTED_VALUE"""),"win")</f>
        <v>win</v>
      </c>
      <c r="G97" s="3" t="str">
        <f>IFERROR(__xludf.DUMMYFUNCTION("""COMPUTED_VALUE"""),"2v2")</f>
        <v>2v2</v>
      </c>
      <c r="H97" s="3" t="str">
        <f>IFERROR(__xludf.DUMMYFUNCTION("IFERROR(TRIM(INDEX(SPLIT(E97,"" + ""),1)),"""")"),"Kesny")</f>
        <v>Kesny</v>
      </c>
      <c r="I97" s="3" t="str">
        <f>IFERROR(__xludf.DUMMYFUNCTION("IFERROR(TRIM(INDEX(SPLIT(E97,"" + ""),2)),"""")"),"Malena")</f>
        <v>Malena</v>
      </c>
      <c r="J97" s="5" t="str">
        <f>IFERROR(__xludf.DUMMYFUNCTION("IFERROR(TRIM(INDEX(SPLIT(E97,"" + ""),3)),"""")"),"")</f>
        <v/>
      </c>
      <c r="K97" s="3">
        <f>IFERROR(__xludf.DUMMYFUNCTION("IFERROR(IF(H97="""",0,INDEX(FILTER($Q$2:Q96,$C$2:C96=H97,$G$2:G96=G97),ROWS(FILTER($Q$2:Q96,$C$2:C96=H97,$G$2:G96=G97)),1)),1500)"),1487.0)</f>
        <v>1487</v>
      </c>
      <c r="L97" s="3">
        <f>IFERROR(__xludf.DUMMYFUNCTION("IFERROR(IF(I97="""",0,INDEX(FILTER($Q$2:Q96,$C$2:C96=I97,$G$2:G96=G97),ROWS(FILTER($Q$2:Q96,$C$2:C96=I97,$G$2:G96=G97)),1)),1500)"),1506.0)</f>
        <v>1506</v>
      </c>
      <c r="M97" s="3">
        <f>IFERROR(__xludf.DUMMYFUNCTION("IFERROR(IF(J97="""",0,INDEX(FILTER($Q$2:Q96,$C$2:C96=J97,$G$2:G96=G97),ROWS(FILTER($Q$2:Q96,$C$2:C96=J97,$G$2:G96=G97)),1)),1500)"),0.0)</f>
        <v>0</v>
      </c>
      <c r="N97" s="3">
        <f>IFERROR(__xludf.DUMMYFUNCTION("IFERROR(INDEX(FILTER($Q$2:Q96,$C$2:C96=C97,$G$2:G96=G97),ROWS(FILTER($Q$2:Q96,$C$2:C96=C97,$G$2:G96=G97)),1),1500)"),1522.0)</f>
        <v>1522</v>
      </c>
      <c r="O97" s="3">
        <f t="shared" si="3"/>
        <v>1496.5</v>
      </c>
      <c r="P97" s="9">
        <f t="shared" si="1"/>
        <v>15</v>
      </c>
      <c r="Q97" s="5">
        <f t="shared" si="2"/>
        <v>1537</v>
      </c>
    </row>
    <row r="98">
      <c r="A98" s="3" t="str">
        <f>IFERROR(__xludf.DUMMYFUNCTION("""COMPUTED_VALUE"""),"1vH2n0X2sAg-wpJrw5x_j9rwpLmcEJIxP")</f>
        <v>1vH2n0X2sAg-wpJrw5x_j9rwpLmcEJIxP</v>
      </c>
      <c r="B98" s="13">
        <f>IFERROR(__xludf.DUMMYFUNCTION("""COMPUTED_VALUE"""),45976.0)</f>
        <v>45976</v>
      </c>
      <c r="C98" s="3" t="str">
        <f>IFERROR(__xludf.DUMMYFUNCTION("""COMPUTED_VALUE"""),"Kesny")</f>
        <v>Kesny</v>
      </c>
      <c r="D98" s="3" t="str">
        <f>IFERROR(__xludf.DUMMYFUNCTION("""COMPUTED_VALUE"""),"Kesny + Nebus.")</f>
        <v>Kesny + Nebus.</v>
      </c>
      <c r="E98" s="3" t="str">
        <f>IFERROR(__xludf.DUMMYFUNCTION("""COMPUTED_VALUE"""),"Malena + ZeroO")</f>
        <v>Malena + ZeroO</v>
      </c>
      <c r="F98" s="3" t="str">
        <f>IFERROR(__xludf.DUMMYFUNCTION("""COMPUTED_VALUE"""),"loss")</f>
        <v>loss</v>
      </c>
      <c r="G98" s="3" t="str">
        <f>IFERROR(__xludf.DUMMYFUNCTION("""COMPUTED_VALUE"""),"2v2")</f>
        <v>2v2</v>
      </c>
      <c r="H98" s="3" t="str">
        <f>IFERROR(__xludf.DUMMYFUNCTION("IFERROR(TRIM(INDEX(SPLIT(E98,"" + ""),1)),"""")"),"Malena")</f>
        <v>Malena</v>
      </c>
      <c r="I98" s="3" t="str">
        <f>IFERROR(__xludf.DUMMYFUNCTION("IFERROR(TRIM(INDEX(SPLIT(E98,"" + ""),2)),"""")"),"ZeroO")</f>
        <v>ZeroO</v>
      </c>
      <c r="J98" s="5" t="str">
        <f>IFERROR(__xludf.DUMMYFUNCTION("IFERROR(TRIM(INDEX(SPLIT(E98,"" + ""),3)),"""")"),"")</f>
        <v/>
      </c>
      <c r="K98" s="3">
        <f>IFERROR(__xludf.DUMMYFUNCTION("IFERROR(IF(H98="""",0,INDEX(FILTER($Q$2:Q97,$C$2:C97=H98,$G$2:G97=G98),ROWS(FILTER($Q$2:Q97,$C$2:C97=H98,$G$2:G97=G98)),1)),1500)"),1506.0)</f>
        <v>1506</v>
      </c>
      <c r="L98" s="3">
        <f>IFERROR(__xludf.DUMMYFUNCTION("IFERROR(IF(I98="""",0,INDEX(FILTER($Q$2:Q97,$C$2:C97=I98,$G$2:G97=G98),ROWS(FILTER($Q$2:Q97,$C$2:C97=I98,$G$2:G97=G98)),1)),1500)"),1570.0)</f>
        <v>1570</v>
      </c>
      <c r="M98" s="3">
        <f>IFERROR(__xludf.DUMMYFUNCTION("IFERROR(IF(J98="""",0,INDEX(FILTER($Q$2:Q97,$C$2:C97=J98,$G$2:G97=G98),ROWS(FILTER($Q$2:Q97,$C$2:C97=J98,$G$2:G97=G98)),1)),1500)"),0.0)</f>
        <v>0</v>
      </c>
      <c r="N98" s="3">
        <f>IFERROR(__xludf.DUMMYFUNCTION("IFERROR(INDEX(FILTER($Q$2:Q97,$C$2:C97=C98,$G$2:G97=G98),ROWS(FILTER($Q$2:Q97,$C$2:C97=C98,$G$2:G97=G98)),1),1500)"),1487.0)</f>
        <v>1487</v>
      </c>
      <c r="O98" s="3">
        <f t="shared" si="3"/>
        <v>1538</v>
      </c>
      <c r="P98" s="9">
        <f t="shared" si="1"/>
        <v>-14</v>
      </c>
      <c r="Q98" s="5">
        <f t="shared" si="2"/>
        <v>1473</v>
      </c>
    </row>
    <row r="99">
      <c r="A99" s="3" t="str">
        <f>IFERROR(__xludf.DUMMYFUNCTION("""COMPUTED_VALUE"""),"1vH2n0X2sAg-wpJrw5x_j9rwpLmcEJIxP")</f>
        <v>1vH2n0X2sAg-wpJrw5x_j9rwpLmcEJIxP</v>
      </c>
      <c r="B99" s="13">
        <f>IFERROR(__xludf.DUMMYFUNCTION("""COMPUTED_VALUE"""),45976.0)</f>
        <v>45976</v>
      </c>
      <c r="C99" s="3" t="str">
        <f>IFERROR(__xludf.DUMMYFUNCTION("""COMPUTED_VALUE"""),"Nebus.")</f>
        <v>Nebus.</v>
      </c>
      <c r="D99" s="3" t="str">
        <f>IFERROR(__xludf.DUMMYFUNCTION("""COMPUTED_VALUE"""),"Kesny + Nebus.")</f>
        <v>Kesny + Nebus.</v>
      </c>
      <c r="E99" s="3" t="str">
        <f>IFERROR(__xludf.DUMMYFUNCTION("""COMPUTED_VALUE"""),"Malena + ZeroO")</f>
        <v>Malena + ZeroO</v>
      </c>
      <c r="F99" s="3" t="str">
        <f>IFERROR(__xludf.DUMMYFUNCTION("""COMPUTED_VALUE"""),"loss")</f>
        <v>loss</v>
      </c>
      <c r="G99" s="3" t="str">
        <f>IFERROR(__xludf.DUMMYFUNCTION("""COMPUTED_VALUE"""),"2v2")</f>
        <v>2v2</v>
      </c>
      <c r="H99" s="3" t="str">
        <f>IFERROR(__xludf.DUMMYFUNCTION("IFERROR(TRIM(INDEX(SPLIT(E99,"" + ""),1)),"""")"),"Malena")</f>
        <v>Malena</v>
      </c>
      <c r="I99" s="3" t="str">
        <f>IFERROR(__xludf.DUMMYFUNCTION("IFERROR(TRIM(INDEX(SPLIT(E99,"" + ""),2)),"""")"),"ZeroO")</f>
        <v>ZeroO</v>
      </c>
      <c r="J99" s="5" t="str">
        <f>IFERROR(__xludf.DUMMYFUNCTION("IFERROR(TRIM(INDEX(SPLIT(E99,"" + ""),3)),"""")"),"")</f>
        <v/>
      </c>
      <c r="K99" s="3">
        <f>IFERROR(__xludf.DUMMYFUNCTION("IFERROR(IF(H99="""",0,INDEX(FILTER($Q$2:Q98,$C$2:C98=H99,$G$2:G98=G99),ROWS(FILTER($Q$2:Q98,$C$2:C98=H99,$G$2:G98=G99)),1)),1500)"),1506.0)</f>
        <v>1506</v>
      </c>
      <c r="L99" s="3">
        <f>IFERROR(__xludf.DUMMYFUNCTION("IFERROR(IF(I99="""",0,INDEX(FILTER($Q$2:Q98,$C$2:C98=I99,$G$2:G98=G99),ROWS(FILTER($Q$2:Q98,$C$2:C98=I99,$G$2:G98=G99)),1)),1500)"),1570.0)</f>
        <v>1570</v>
      </c>
      <c r="M99" s="3">
        <f>IFERROR(__xludf.DUMMYFUNCTION("IFERROR(IF(J99="""",0,INDEX(FILTER($Q$2:Q98,$C$2:C98=J99,$G$2:G98=G99),ROWS(FILTER($Q$2:Q98,$C$2:C98=J99,$G$2:G98=G99)),1)),1500)"),0.0)</f>
        <v>0</v>
      </c>
      <c r="N99" s="3">
        <f>IFERROR(__xludf.DUMMYFUNCTION("IFERROR(INDEX(FILTER($Q$2:Q98,$C$2:C98=C99,$G$2:G98=G99),ROWS(FILTER($Q$2:Q98,$C$2:C98=C99,$G$2:G98=G99)),1),1500)"),1537.0)</f>
        <v>1537</v>
      </c>
      <c r="O99" s="3">
        <f t="shared" si="3"/>
        <v>1538</v>
      </c>
      <c r="P99" s="9">
        <f t="shared" si="1"/>
        <v>-16</v>
      </c>
      <c r="Q99" s="5">
        <f t="shared" si="2"/>
        <v>1521</v>
      </c>
    </row>
    <row r="100">
      <c r="A100" s="3" t="str">
        <f>IFERROR(__xludf.DUMMYFUNCTION("""COMPUTED_VALUE"""),"1vH2n0X2sAg-wpJrw5x_j9rwpLmcEJIxP")</f>
        <v>1vH2n0X2sAg-wpJrw5x_j9rwpLmcEJIxP</v>
      </c>
      <c r="B100" s="13">
        <f>IFERROR(__xludf.DUMMYFUNCTION("""COMPUTED_VALUE"""),45976.0)</f>
        <v>45976</v>
      </c>
      <c r="C100" s="3" t="str">
        <f>IFERROR(__xludf.DUMMYFUNCTION("""COMPUTED_VALUE"""),"ZeroO")</f>
        <v>ZeroO</v>
      </c>
      <c r="D100" s="3" t="str">
        <f>IFERROR(__xludf.DUMMYFUNCTION("""COMPUTED_VALUE"""),"Malena + ZeroO")</f>
        <v>Malena + ZeroO</v>
      </c>
      <c r="E100" s="3" t="str">
        <f>IFERROR(__xludf.DUMMYFUNCTION("""COMPUTED_VALUE"""),"Kesny + Nebus.")</f>
        <v>Kesny + Nebus.</v>
      </c>
      <c r="F100" s="3" t="str">
        <f>IFERROR(__xludf.DUMMYFUNCTION("""COMPUTED_VALUE"""),"win")</f>
        <v>win</v>
      </c>
      <c r="G100" s="3" t="str">
        <f>IFERROR(__xludf.DUMMYFUNCTION("""COMPUTED_VALUE"""),"2v2")</f>
        <v>2v2</v>
      </c>
      <c r="H100" s="3" t="str">
        <f>IFERROR(__xludf.DUMMYFUNCTION("IFERROR(TRIM(INDEX(SPLIT(E100,"" + ""),1)),"""")"),"Kesny")</f>
        <v>Kesny</v>
      </c>
      <c r="I100" s="3" t="str">
        <f>IFERROR(__xludf.DUMMYFUNCTION("IFERROR(TRIM(INDEX(SPLIT(E100,"" + ""),2)),"""")"),"Nebus.")</f>
        <v>Nebus.</v>
      </c>
      <c r="J100" s="5" t="str">
        <f>IFERROR(__xludf.DUMMYFUNCTION("IFERROR(TRIM(INDEX(SPLIT(E100,"" + ""),3)),"""")"),"")</f>
        <v/>
      </c>
      <c r="K100" s="3">
        <f>IFERROR(__xludf.DUMMYFUNCTION("IFERROR(IF(H100="""",0,INDEX(FILTER($Q$2:Q99,$C$2:C99=H100,$G$2:G99=G100),ROWS(FILTER($Q$2:Q99,$C$2:C99=H100,$G$2:G99=G100)),1)),1500)"),1473.0)</f>
        <v>1473</v>
      </c>
      <c r="L100" s="3">
        <f>IFERROR(__xludf.DUMMYFUNCTION("IFERROR(IF(I100="""",0,INDEX(FILTER($Q$2:Q99,$C$2:C99=I100,$G$2:G99=G100),ROWS(FILTER($Q$2:Q99,$C$2:C99=I100,$G$2:G99=G100)),1)),1500)"),1521.0)</f>
        <v>1521</v>
      </c>
      <c r="M100" s="3">
        <f>IFERROR(__xludf.DUMMYFUNCTION("IFERROR(IF(J100="""",0,INDEX(FILTER($Q$2:Q99,$C$2:C99=J100,$G$2:G99=G100),ROWS(FILTER($Q$2:Q99,$C$2:C99=J100,$G$2:G99=G100)),1)),1500)"),0.0)</f>
        <v>0</v>
      </c>
      <c r="N100" s="3">
        <f>IFERROR(__xludf.DUMMYFUNCTION("IFERROR(INDEX(FILTER($Q$2:Q99,$C$2:C99=C100,$G$2:G99=G100),ROWS(FILTER($Q$2:Q99,$C$2:C99=C100,$G$2:G99=G100)),1),1500)"),1570.0)</f>
        <v>1570</v>
      </c>
      <c r="O100" s="3">
        <f t="shared" si="3"/>
        <v>1497</v>
      </c>
      <c r="P100" s="9">
        <f t="shared" si="1"/>
        <v>13</v>
      </c>
      <c r="Q100" s="5">
        <f t="shared" si="2"/>
        <v>1583</v>
      </c>
    </row>
    <row r="101">
      <c r="A101" s="3" t="str">
        <f>IFERROR(__xludf.DUMMYFUNCTION("""COMPUTED_VALUE"""),"1vH2n0X2sAg-wpJrw5x_j9rwpLmcEJIxP")</f>
        <v>1vH2n0X2sAg-wpJrw5x_j9rwpLmcEJIxP</v>
      </c>
      <c r="B101" s="13">
        <f>IFERROR(__xludf.DUMMYFUNCTION("""COMPUTED_VALUE"""),45976.0)</f>
        <v>45976</v>
      </c>
      <c r="C101" s="3" t="str">
        <f>IFERROR(__xludf.DUMMYFUNCTION("""COMPUTED_VALUE"""),"Malena")</f>
        <v>Malena</v>
      </c>
      <c r="D101" s="3" t="str">
        <f>IFERROR(__xludf.DUMMYFUNCTION("""COMPUTED_VALUE"""),"Malena + ZeroO")</f>
        <v>Malena + ZeroO</v>
      </c>
      <c r="E101" s="3" t="str">
        <f>IFERROR(__xludf.DUMMYFUNCTION("""COMPUTED_VALUE"""),"Kesny + Nebus.")</f>
        <v>Kesny + Nebus.</v>
      </c>
      <c r="F101" s="3" t="str">
        <f>IFERROR(__xludf.DUMMYFUNCTION("""COMPUTED_VALUE"""),"win")</f>
        <v>win</v>
      </c>
      <c r="G101" s="3" t="str">
        <f>IFERROR(__xludf.DUMMYFUNCTION("""COMPUTED_VALUE"""),"2v2")</f>
        <v>2v2</v>
      </c>
      <c r="H101" s="3" t="str">
        <f>IFERROR(__xludf.DUMMYFUNCTION("IFERROR(TRIM(INDEX(SPLIT(E101,"" + ""),1)),"""")"),"Kesny")</f>
        <v>Kesny</v>
      </c>
      <c r="I101" s="3" t="str">
        <f>IFERROR(__xludf.DUMMYFUNCTION("IFERROR(TRIM(INDEX(SPLIT(E101,"" + ""),2)),"""")"),"Nebus.")</f>
        <v>Nebus.</v>
      </c>
      <c r="J101" s="5" t="str">
        <f>IFERROR(__xludf.DUMMYFUNCTION("IFERROR(TRIM(INDEX(SPLIT(E101,"" + ""),3)),"""")"),"")</f>
        <v/>
      </c>
      <c r="K101" s="3">
        <f>IFERROR(__xludf.DUMMYFUNCTION("IFERROR(IF(H101="""",0,INDEX(FILTER($Q$2:Q100,$C$2:C100=H101,$G$2:G100=G101),ROWS(FILTER($Q$2:Q100,$C$2:C100=H101,$G$2:G100=G101)),1)),1500)"),1473.0)</f>
        <v>1473</v>
      </c>
      <c r="L101" s="3">
        <f>IFERROR(__xludf.DUMMYFUNCTION("IFERROR(IF(I101="""",0,INDEX(FILTER($Q$2:Q100,$C$2:C100=I101,$G$2:G100=G101),ROWS(FILTER($Q$2:Q100,$C$2:C100=I101,$G$2:G100=G101)),1)),1500)"),1521.0)</f>
        <v>1521</v>
      </c>
      <c r="M101" s="3">
        <f>IFERROR(__xludf.DUMMYFUNCTION("IFERROR(IF(J101="""",0,INDEX(FILTER($Q$2:Q100,$C$2:C100=J101,$G$2:G100=G101),ROWS(FILTER($Q$2:Q100,$C$2:C100=J101,$G$2:G100=G101)),1)),1500)"),0.0)</f>
        <v>0</v>
      </c>
      <c r="N101" s="3">
        <f>IFERROR(__xludf.DUMMYFUNCTION("IFERROR(INDEX(FILTER($Q$2:Q100,$C$2:C100=C101,$G$2:G100=G101),ROWS(FILTER($Q$2:Q100,$C$2:C100=C101,$G$2:G100=G101)),1),1500)"),1506.0)</f>
        <v>1506</v>
      </c>
      <c r="O101" s="3">
        <f t="shared" si="3"/>
        <v>1497</v>
      </c>
      <c r="P101" s="9">
        <f t="shared" si="1"/>
        <v>16</v>
      </c>
      <c r="Q101" s="5">
        <f t="shared" si="2"/>
        <v>1522</v>
      </c>
    </row>
    <row r="102">
      <c r="A102" s="3" t="str">
        <f>IFERROR(__xludf.DUMMYFUNCTION("""COMPUTED_VALUE"""),"1OdZgJjBlCqHjzIfQBEWk_N1A50vWjagz")</f>
        <v>1OdZgJjBlCqHjzIfQBEWk_N1A50vWjagz</v>
      </c>
      <c r="B102" s="13">
        <f>IFERROR(__xludf.DUMMYFUNCTION("""COMPUTED_VALUE"""),45976.0)</f>
        <v>45976</v>
      </c>
      <c r="C102" s="3" t="str">
        <f>IFERROR(__xludf.DUMMYFUNCTION("""COMPUTED_VALUE"""),"Kesny")</f>
        <v>Kesny</v>
      </c>
      <c r="D102" s="3" t="str">
        <f>IFERROR(__xludf.DUMMYFUNCTION("""COMPUTED_VALUE"""),"Kesny + Nebus.")</f>
        <v>Kesny + Nebus.</v>
      </c>
      <c r="E102" s="3" t="str">
        <f>IFERROR(__xludf.DUMMYFUNCTION("""COMPUTED_VALUE"""),"Malena + ZeroO")</f>
        <v>Malena + ZeroO</v>
      </c>
      <c r="F102" s="3" t="str">
        <f>IFERROR(__xludf.DUMMYFUNCTION("""COMPUTED_VALUE"""),"win")</f>
        <v>win</v>
      </c>
      <c r="G102" s="3" t="str">
        <f>IFERROR(__xludf.DUMMYFUNCTION("""COMPUTED_VALUE"""),"2v2")</f>
        <v>2v2</v>
      </c>
      <c r="H102" s="3" t="str">
        <f>IFERROR(__xludf.DUMMYFUNCTION("IFERROR(TRIM(INDEX(SPLIT(E102,"" + ""),1)),"""")"),"Malena")</f>
        <v>Malena</v>
      </c>
      <c r="I102" s="3" t="str">
        <f>IFERROR(__xludf.DUMMYFUNCTION("IFERROR(TRIM(INDEX(SPLIT(E102,"" + ""),2)),"""")"),"ZeroO")</f>
        <v>ZeroO</v>
      </c>
      <c r="J102" s="5" t="str">
        <f>IFERROR(__xludf.DUMMYFUNCTION("IFERROR(TRIM(INDEX(SPLIT(E102,"" + ""),3)),"""")"),"")</f>
        <v/>
      </c>
      <c r="K102" s="3">
        <f>IFERROR(__xludf.DUMMYFUNCTION("IFERROR(IF(H102="""",0,INDEX(FILTER($Q$2:Q101,$C$2:C101=H102,$G$2:G101=G102),ROWS(FILTER($Q$2:Q101,$C$2:C101=H102,$G$2:G101=G102)),1)),1500)"),1522.0)</f>
        <v>1522</v>
      </c>
      <c r="L102" s="3">
        <f>IFERROR(__xludf.DUMMYFUNCTION("IFERROR(IF(I102="""",0,INDEX(FILTER($Q$2:Q101,$C$2:C101=I102,$G$2:G101=G102),ROWS(FILTER($Q$2:Q101,$C$2:C101=I102,$G$2:G101=G102)),1)),1500)"),1583.0)</f>
        <v>1583</v>
      </c>
      <c r="M102" s="3">
        <f>IFERROR(__xludf.DUMMYFUNCTION("IFERROR(IF(J102="""",0,INDEX(FILTER($Q$2:Q101,$C$2:C101=J102,$G$2:G101=G102),ROWS(FILTER($Q$2:Q101,$C$2:C101=J102,$G$2:G101=G102)),1)),1500)"),0.0)</f>
        <v>0</v>
      </c>
      <c r="N102" s="3">
        <f>IFERROR(__xludf.DUMMYFUNCTION("IFERROR(INDEX(FILTER($Q$2:Q101,$C$2:C101=C102,$G$2:G101=G102),ROWS(FILTER($Q$2:Q101,$C$2:C101=C102,$G$2:G101=G102)),1),1500)"),1473.0)</f>
        <v>1473</v>
      </c>
      <c r="O102" s="3">
        <f t="shared" si="3"/>
        <v>1552.5</v>
      </c>
      <c r="P102" s="9">
        <f t="shared" si="1"/>
        <v>20</v>
      </c>
      <c r="Q102" s="5">
        <f t="shared" si="2"/>
        <v>1493</v>
      </c>
    </row>
    <row r="103">
      <c r="A103" s="3" t="str">
        <f>IFERROR(__xludf.DUMMYFUNCTION("""COMPUTED_VALUE"""),"1OdZgJjBlCqHjzIfQBEWk_N1A50vWjagz")</f>
        <v>1OdZgJjBlCqHjzIfQBEWk_N1A50vWjagz</v>
      </c>
      <c r="B103" s="13">
        <f>IFERROR(__xludf.DUMMYFUNCTION("""COMPUTED_VALUE"""),45976.0)</f>
        <v>45976</v>
      </c>
      <c r="C103" s="3" t="str">
        <f>IFERROR(__xludf.DUMMYFUNCTION("""COMPUTED_VALUE"""),"Nebus.")</f>
        <v>Nebus.</v>
      </c>
      <c r="D103" s="3" t="str">
        <f>IFERROR(__xludf.DUMMYFUNCTION("""COMPUTED_VALUE"""),"Kesny + Nebus.")</f>
        <v>Kesny + Nebus.</v>
      </c>
      <c r="E103" s="3" t="str">
        <f>IFERROR(__xludf.DUMMYFUNCTION("""COMPUTED_VALUE"""),"Malena + ZeroO")</f>
        <v>Malena + ZeroO</v>
      </c>
      <c r="F103" s="3" t="str">
        <f>IFERROR(__xludf.DUMMYFUNCTION("""COMPUTED_VALUE"""),"win")</f>
        <v>win</v>
      </c>
      <c r="G103" s="3" t="str">
        <f>IFERROR(__xludf.DUMMYFUNCTION("""COMPUTED_VALUE"""),"2v2")</f>
        <v>2v2</v>
      </c>
      <c r="H103" s="3" t="str">
        <f>IFERROR(__xludf.DUMMYFUNCTION("IFERROR(TRIM(INDEX(SPLIT(E103,"" + ""),1)),"""")"),"Malena")</f>
        <v>Malena</v>
      </c>
      <c r="I103" s="3" t="str">
        <f>IFERROR(__xludf.DUMMYFUNCTION("IFERROR(TRIM(INDEX(SPLIT(E103,"" + ""),2)),"""")"),"ZeroO")</f>
        <v>ZeroO</v>
      </c>
      <c r="J103" s="5" t="str">
        <f>IFERROR(__xludf.DUMMYFUNCTION("IFERROR(TRIM(INDEX(SPLIT(E103,"" + ""),3)),"""")"),"")</f>
        <v/>
      </c>
      <c r="K103" s="3">
        <f>IFERROR(__xludf.DUMMYFUNCTION("IFERROR(IF(H103="""",0,INDEX(FILTER($Q$2:Q102,$C$2:C102=H103,$G$2:G102=G103),ROWS(FILTER($Q$2:Q102,$C$2:C102=H103,$G$2:G102=G103)),1)),1500)"),1522.0)</f>
        <v>1522</v>
      </c>
      <c r="L103" s="3">
        <f>IFERROR(__xludf.DUMMYFUNCTION("IFERROR(IF(I103="""",0,INDEX(FILTER($Q$2:Q102,$C$2:C102=I103,$G$2:G102=G103),ROWS(FILTER($Q$2:Q102,$C$2:C102=I103,$G$2:G102=G103)),1)),1500)"),1583.0)</f>
        <v>1583</v>
      </c>
      <c r="M103" s="3">
        <f>IFERROR(__xludf.DUMMYFUNCTION("IFERROR(IF(J103="""",0,INDEX(FILTER($Q$2:Q102,$C$2:C102=J103,$G$2:G102=G103),ROWS(FILTER($Q$2:Q102,$C$2:C102=J103,$G$2:G102=G103)),1)),1500)"),0.0)</f>
        <v>0</v>
      </c>
      <c r="N103" s="3">
        <f>IFERROR(__xludf.DUMMYFUNCTION("IFERROR(INDEX(FILTER($Q$2:Q102,$C$2:C102=C103,$G$2:G102=G103),ROWS(FILTER($Q$2:Q102,$C$2:C102=C103,$G$2:G102=G103)),1),1500)"),1521.0)</f>
        <v>1521</v>
      </c>
      <c r="O103" s="3">
        <f t="shared" si="3"/>
        <v>1552.5</v>
      </c>
      <c r="P103" s="9">
        <f t="shared" si="1"/>
        <v>17</v>
      </c>
      <c r="Q103" s="5">
        <f t="shared" si="2"/>
        <v>1538</v>
      </c>
    </row>
    <row r="104">
      <c r="A104" s="3" t="str">
        <f>IFERROR(__xludf.DUMMYFUNCTION("""COMPUTED_VALUE"""),"1OdZgJjBlCqHjzIfQBEWk_N1A50vWjagz")</f>
        <v>1OdZgJjBlCqHjzIfQBEWk_N1A50vWjagz</v>
      </c>
      <c r="B104" s="13">
        <f>IFERROR(__xludf.DUMMYFUNCTION("""COMPUTED_VALUE"""),45976.0)</f>
        <v>45976</v>
      </c>
      <c r="C104" s="3" t="str">
        <f>IFERROR(__xludf.DUMMYFUNCTION("""COMPUTED_VALUE"""),"ZeroO")</f>
        <v>ZeroO</v>
      </c>
      <c r="D104" s="3" t="str">
        <f>IFERROR(__xludf.DUMMYFUNCTION("""COMPUTED_VALUE"""),"Malena + ZeroO")</f>
        <v>Malena + ZeroO</v>
      </c>
      <c r="E104" s="3" t="str">
        <f>IFERROR(__xludf.DUMMYFUNCTION("""COMPUTED_VALUE"""),"Kesny + Nebus.")</f>
        <v>Kesny + Nebus.</v>
      </c>
      <c r="F104" s="3" t="str">
        <f>IFERROR(__xludf.DUMMYFUNCTION("""COMPUTED_VALUE"""),"loss")</f>
        <v>loss</v>
      </c>
      <c r="G104" s="3" t="str">
        <f>IFERROR(__xludf.DUMMYFUNCTION("""COMPUTED_VALUE"""),"2v2")</f>
        <v>2v2</v>
      </c>
      <c r="H104" s="3" t="str">
        <f>IFERROR(__xludf.DUMMYFUNCTION("IFERROR(TRIM(INDEX(SPLIT(E104,"" + ""),1)),"""")"),"Kesny")</f>
        <v>Kesny</v>
      </c>
      <c r="I104" s="3" t="str">
        <f>IFERROR(__xludf.DUMMYFUNCTION("IFERROR(TRIM(INDEX(SPLIT(E104,"" + ""),2)),"""")"),"Nebus.")</f>
        <v>Nebus.</v>
      </c>
      <c r="J104" s="5" t="str">
        <f>IFERROR(__xludf.DUMMYFUNCTION("IFERROR(TRIM(INDEX(SPLIT(E104,"" + ""),3)),"""")"),"")</f>
        <v/>
      </c>
      <c r="K104" s="3">
        <f>IFERROR(__xludf.DUMMYFUNCTION("IFERROR(IF(H104="""",0,INDEX(FILTER($Q$2:Q103,$C$2:C103=H104,$G$2:G103=G104),ROWS(FILTER($Q$2:Q103,$C$2:C103=H104,$G$2:G103=G104)),1)),1500)"),1493.0)</f>
        <v>1493</v>
      </c>
      <c r="L104" s="3">
        <f>IFERROR(__xludf.DUMMYFUNCTION("IFERROR(IF(I104="""",0,INDEX(FILTER($Q$2:Q103,$C$2:C103=I104,$G$2:G103=G104),ROWS(FILTER($Q$2:Q103,$C$2:C103=I104,$G$2:G103=G104)),1)),1500)"),1538.0)</f>
        <v>1538</v>
      </c>
      <c r="M104" s="3">
        <f>IFERROR(__xludf.DUMMYFUNCTION("IFERROR(IF(J104="""",0,INDEX(FILTER($Q$2:Q103,$C$2:C103=J104,$G$2:G103=G104),ROWS(FILTER($Q$2:Q103,$C$2:C103=J104,$G$2:G103=G104)),1)),1500)"),0.0)</f>
        <v>0</v>
      </c>
      <c r="N104" s="3">
        <f>IFERROR(__xludf.DUMMYFUNCTION("IFERROR(INDEX(FILTER($Q$2:Q103,$C$2:C103=C104,$G$2:G103=G104),ROWS(FILTER($Q$2:Q103,$C$2:C103=C104,$G$2:G103=G104)),1),1500)"),1583.0)</f>
        <v>1583</v>
      </c>
      <c r="O104" s="3">
        <f t="shared" si="3"/>
        <v>1515.5</v>
      </c>
      <c r="P104" s="9">
        <f t="shared" si="1"/>
        <v>-19</v>
      </c>
      <c r="Q104" s="5">
        <f t="shared" si="2"/>
        <v>1564</v>
      </c>
    </row>
    <row r="105">
      <c r="A105" s="3" t="str">
        <f>IFERROR(__xludf.DUMMYFUNCTION("""COMPUTED_VALUE"""),"1OdZgJjBlCqHjzIfQBEWk_N1A50vWjagz")</f>
        <v>1OdZgJjBlCqHjzIfQBEWk_N1A50vWjagz</v>
      </c>
      <c r="B105" s="13">
        <f>IFERROR(__xludf.DUMMYFUNCTION("""COMPUTED_VALUE"""),45976.0)</f>
        <v>45976</v>
      </c>
      <c r="C105" s="3" t="str">
        <f>IFERROR(__xludf.DUMMYFUNCTION("""COMPUTED_VALUE"""),"Malena")</f>
        <v>Malena</v>
      </c>
      <c r="D105" s="3" t="str">
        <f>IFERROR(__xludf.DUMMYFUNCTION("""COMPUTED_VALUE"""),"Malena + ZeroO")</f>
        <v>Malena + ZeroO</v>
      </c>
      <c r="E105" s="3" t="str">
        <f>IFERROR(__xludf.DUMMYFUNCTION("""COMPUTED_VALUE"""),"Kesny + Nebus.")</f>
        <v>Kesny + Nebus.</v>
      </c>
      <c r="F105" s="3" t="str">
        <f>IFERROR(__xludf.DUMMYFUNCTION("""COMPUTED_VALUE"""),"loss")</f>
        <v>loss</v>
      </c>
      <c r="G105" s="3" t="str">
        <f>IFERROR(__xludf.DUMMYFUNCTION("""COMPUTED_VALUE"""),"2v2")</f>
        <v>2v2</v>
      </c>
      <c r="H105" s="3" t="str">
        <f>IFERROR(__xludf.DUMMYFUNCTION("IFERROR(TRIM(INDEX(SPLIT(E105,"" + ""),1)),"""")"),"Kesny")</f>
        <v>Kesny</v>
      </c>
      <c r="I105" s="3" t="str">
        <f>IFERROR(__xludf.DUMMYFUNCTION("IFERROR(TRIM(INDEX(SPLIT(E105,"" + ""),2)),"""")"),"Nebus.")</f>
        <v>Nebus.</v>
      </c>
      <c r="J105" s="5" t="str">
        <f>IFERROR(__xludf.DUMMYFUNCTION("IFERROR(TRIM(INDEX(SPLIT(E105,"" + ""),3)),"""")"),"")</f>
        <v/>
      </c>
      <c r="K105" s="3">
        <f>IFERROR(__xludf.DUMMYFUNCTION("IFERROR(IF(H105="""",0,INDEX(FILTER($Q$2:Q104,$C$2:C104=H105,$G$2:G104=G105),ROWS(FILTER($Q$2:Q104,$C$2:C104=H105,$G$2:G104=G105)),1)),1500)"),1493.0)</f>
        <v>1493</v>
      </c>
      <c r="L105" s="3">
        <f>IFERROR(__xludf.DUMMYFUNCTION("IFERROR(IF(I105="""",0,INDEX(FILTER($Q$2:Q104,$C$2:C104=I105,$G$2:G104=G105),ROWS(FILTER($Q$2:Q104,$C$2:C104=I105,$G$2:G104=G105)),1)),1500)"),1538.0)</f>
        <v>1538</v>
      </c>
      <c r="M105" s="3">
        <f>IFERROR(__xludf.DUMMYFUNCTION("IFERROR(IF(J105="""",0,INDEX(FILTER($Q$2:Q104,$C$2:C104=J105,$G$2:G104=G105),ROWS(FILTER($Q$2:Q104,$C$2:C104=J105,$G$2:G104=G105)),1)),1500)"),0.0)</f>
        <v>0</v>
      </c>
      <c r="N105" s="3">
        <f>IFERROR(__xludf.DUMMYFUNCTION("IFERROR(INDEX(FILTER($Q$2:Q104,$C$2:C104=C105,$G$2:G104=G105),ROWS(FILTER($Q$2:Q104,$C$2:C104=C105,$G$2:G104=G105)),1),1500)"),1522.0)</f>
        <v>1522</v>
      </c>
      <c r="O105" s="3">
        <f t="shared" si="3"/>
        <v>1515.5</v>
      </c>
      <c r="P105" s="9">
        <f t="shared" si="1"/>
        <v>-16</v>
      </c>
      <c r="Q105" s="5">
        <f t="shared" si="2"/>
        <v>1506</v>
      </c>
    </row>
    <row r="106">
      <c r="A106" s="3" t="str">
        <f>IFERROR(__xludf.DUMMYFUNCTION("""COMPUTED_VALUE"""),"1pI-6IiRHicDWk3FF7nIiBhtXB6B1hqeP")</f>
        <v>1pI-6IiRHicDWk3FF7nIiBhtXB6B1hqeP</v>
      </c>
      <c r="B106" s="13">
        <f>IFERROR(__xludf.DUMMYFUNCTION("""COMPUTED_VALUE"""),45976.0)</f>
        <v>45976</v>
      </c>
      <c r="C106" s="3" t="str">
        <f>IFERROR(__xludf.DUMMYFUNCTION("""COMPUTED_VALUE"""),"Nebus.")</f>
        <v>Nebus.</v>
      </c>
      <c r="D106" s="3" t="str">
        <f>IFERROR(__xludf.DUMMYFUNCTION("""COMPUTED_VALUE"""),"Kesny + Nebus.")</f>
        <v>Kesny + Nebus.</v>
      </c>
      <c r="E106" s="3" t="str">
        <f>IFERROR(__xludf.DUMMYFUNCTION("""COMPUTED_VALUE"""),"Malena + ZeroO")</f>
        <v>Malena + ZeroO</v>
      </c>
      <c r="F106" s="3" t="str">
        <f>IFERROR(__xludf.DUMMYFUNCTION("""COMPUTED_VALUE"""),"loss")</f>
        <v>loss</v>
      </c>
      <c r="G106" s="3" t="str">
        <f>IFERROR(__xludf.DUMMYFUNCTION("""COMPUTED_VALUE"""),"2v2")</f>
        <v>2v2</v>
      </c>
      <c r="H106" s="3" t="str">
        <f>IFERROR(__xludf.DUMMYFUNCTION("IFERROR(TRIM(INDEX(SPLIT(E106,"" + ""),1)),"""")"),"Malena")</f>
        <v>Malena</v>
      </c>
      <c r="I106" s="3" t="str">
        <f>IFERROR(__xludf.DUMMYFUNCTION("IFERROR(TRIM(INDEX(SPLIT(E106,"" + ""),2)),"""")"),"ZeroO")</f>
        <v>ZeroO</v>
      </c>
      <c r="J106" s="5" t="str">
        <f>IFERROR(__xludf.DUMMYFUNCTION("IFERROR(TRIM(INDEX(SPLIT(E106,"" + ""),3)),"""")"),"")</f>
        <v/>
      </c>
      <c r="K106" s="3">
        <f>IFERROR(__xludf.DUMMYFUNCTION("IFERROR(IF(H106="""",0,INDEX(FILTER($Q$2:Q105,$C$2:C105=H106,$G$2:G105=G106),ROWS(FILTER($Q$2:Q105,$C$2:C105=H106,$G$2:G105=G106)),1)),1500)"),1506.0)</f>
        <v>1506</v>
      </c>
      <c r="L106" s="3">
        <f>IFERROR(__xludf.DUMMYFUNCTION("IFERROR(IF(I106="""",0,INDEX(FILTER($Q$2:Q105,$C$2:C105=I106,$G$2:G105=G106),ROWS(FILTER($Q$2:Q105,$C$2:C105=I106,$G$2:G105=G106)),1)),1500)"),1564.0)</f>
        <v>1564</v>
      </c>
      <c r="M106" s="3">
        <f>IFERROR(__xludf.DUMMYFUNCTION("IFERROR(IF(J106="""",0,INDEX(FILTER($Q$2:Q105,$C$2:C105=J106,$G$2:G105=G106),ROWS(FILTER($Q$2:Q105,$C$2:C105=J106,$G$2:G105=G106)),1)),1500)"),0.0)</f>
        <v>0</v>
      </c>
      <c r="N106" s="3">
        <f>IFERROR(__xludf.DUMMYFUNCTION("IFERROR(INDEX(FILTER($Q$2:Q105,$C$2:C105=C106,$G$2:G105=G106),ROWS(FILTER($Q$2:Q105,$C$2:C105=C106,$G$2:G105=G106)),1),1500)"),1538.0)</f>
        <v>1538</v>
      </c>
      <c r="O106" s="3">
        <f t="shared" si="3"/>
        <v>1535</v>
      </c>
      <c r="P106" s="9">
        <f t="shared" si="1"/>
        <v>-16</v>
      </c>
      <c r="Q106" s="5">
        <f t="shared" si="2"/>
        <v>1522</v>
      </c>
    </row>
    <row r="107">
      <c r="A107" s="3" t="str">
        <f>IFERROR(__xludf.DUMMYFUNCTION("""COMPUTED_VALUE"""),"1pI-6IiRHicDWk3FF7nIiBhtXB6B1hqeP")</f>
        <v>1pI-6IiRHicDWk3FF7nIiBhtXB6B1hqeP</v>
      </c>
      <c r="B107" s="13">
        <f>IFERROR(__xludf.DUMMYFUNCTION("""COMPUTED_VALUE"""),45976.0)</f>
        <v>45976</v>
      </c>
      <c r="C107" s="3" t="str">
        <f>IFERROR(__xludf.DUMMYFUNCTION("""COMPUTED_VALUE"""),"Kesny")</f>
        <v>Kesny</v>
      </c>
      <c r="D107" s="3" t="str">
        <f>IFERROR(__xludf.DUMMYFUNCTION("""COMPUTED_VALUE"""),"Kesny + Nebus.")</f>
        <v>Kesny + Nebus.</v>
      </c>
      <c r="E107" s="3" t="str">
        <f>IFERROR(__xludf.DUMMYFUNCTION("""COMPUTED_VALUE"""),"Malena + ZeroO")</f>
        <v>Malena + ZeroO</v>
      </c>
      <c r="F107" s="3" t="str">
        <f>IFERROR(__xludf.DUMMYFUNCTION("""COMPUTED_VALUE"""),"loss")</f>
        <v>loss</v>
      </c>
      <c r="G107" s="3" t="str">
        <f>IFERROR(__xludf.DUMMYFUNCTION("""COMPUTED_VALUE"""),"2v2")</f>
        <v>2v2</v>
      </c>
      <c r="H107" s="3" t="str">
        <f>IFERROR(__xludf.DUMMYFUNCTION("IFERROR(TRIM(INDEX(SPLIT(E107,"" + ""),1)),"""")"),"Malena")</f>
        <v>Malena</v>
      </c>
      <c r="I107" s="3" t="str">
        <f>IFERROR(__xludf.DUMMYFUNCTION("IFERROR(TRIM(INDEX(SPLIT(E107,"" + ""),2)),"""")"),"ZeroO")</f>
        <v>ZeroO</v>
      </c>
      <c r="J107" s="5" t="str">
        <f>IFERROR(__xludf.DUMMYFUNCTION("IFERROR(TRIM(INDEX(SPLIT(E107,"" + ""),3)),"""")"),"")</f>
        <v/>
      </c>
      <c r="K107" s="3">
        <f>IFERROR(__xludf.DUMMYFUNCTION("IFERROR(IF(H107="""",0,INDEX(FILTER($Q$2:Q106,$C$2:C106=H107,$G$2:G106=G107),ROWS(FILTER($Q$2:Q106,$C$2:C106=H107,$G$2:G106=G107)),1)),1500)"),1506.0)</f>
        <v>1506</v>
      </c>
      <c r="L107" s="3">
        <f>IFERROR(__xludf.DUMMYFUNCTION("IFERROR(IF(I107="""",0,INDEX(FILTER($Q$2:Q106,$C$2:C106=I107,$G$2:G106=G107),ROWS(FILTER($Q$2:Q106,$C$2:C106=I107,$G$2:G106=G107)),1)),1500)"),1564.0)</f>
        <v>1564</v>
      </c>
      <c r="M107" s="3">
        <f>IFERROR(__xludf.DUMMYFUNCTION("IFERROR(IF(J107="""",0,INDEX(FILTER($Q$2:Q106,$C$2:C106=J107,$G$2:G106=G107),ROWS(FILTER($Q$2:Q106,$C$2:C106=J107,$G$2:G106=G107)),1)),1500)"),0.0)</f>
        <v>0</v>
      </c>
      <c r="N107" s="3">
        <f>IFERROR(__xludf.DUMMYFUNCTION("IFERROR(INDEX(FILTER($Q$2:Q106,$C$2:C106=C107,$G$2:G106=G107),ROWS(FILTER($Q$2:Q106,$C$2:C106=C107,$G$2:G106=G107)),1),1500)"),1493.0)</f>
        <v>1493</v>
      </c>
      <c r="O107" s="3">
        <f t="shared" si="3"/>
        <v>1535</v>
      </c>
      <c r="P107" s="9">
        <f t="shared" si="1"/>
        <v>-14</v>
      </c>
      <c r="Q107" s="5">
        <f t="shared" si="2"/>
        <v>1479</v>
      </c>
    </row>
    <row r="108">
      <c r="A108" s="3" t="str">
        <f>IFERROR(__xludf.DUMMYFUNCTION("""COMPUTED_VALUE"""),"1pI-6IiRHicDWk3FF7nIiBhtXB6B1hqeP")</f>
        <v>1pI-6IiRHicDWk3FF7nIiBhtXB6B1hqeP</v>
      </c>
      <c r="B108" s="13">
        <f>IFERROR(__xludf.DUMMYFUNCTION("""COMPUTED_VALUE"""),45976.0)</f>
        <v>45976</v>
      </c>
      <c r="C108" s="3" t="str">
        <f>IFERROR(__xludf.DUMMYFUNCTION("""COMPUTED_VALUE"""),"ZeroO")</f>
        <v>ZeroO</v>
      </c>
      <c r="D108" s="3" t="str">
        <f>IFERROR(__xludf.DUMMYFUNCTION("""COMPUTED_VALUE"""),"Malena + ZeroO")</f>
        <v>Malena + ZeroO</v>
      </c>
      <c r="E108" s="3" t="str">
        <f>IFERROR(__xludf.DUMMYFUNCTION("""COMPUTED_VALUE"""),"Kesny + Nebus.")</f>
        <v>Kesny + Nebus.</v>
      </c>
      <c r="F108" s="3" t="str">
        <f>IFERROR(__xludf.DUMMYFUNCTION("""COMPUTED_VALUE"""),"win")</f>
        <v>win</v>
      </c>
      <c r="G108" s="3" t="str">
        <f>IFERROR(__xludf.DUMMYFUNCTION("""COMPUTED_VALUE"""),"2v2")</f>
        <v>2v2</v>
      </c>
      <c r="H108" s="3" t="str">
        <f>IFERROR(__xludf.DUMMYFUNCTION("IFERROR(TRIM(INDEX(SPLIT(E108,"" + ""),1)),"""")"),"Kesny")</f>
        <v>Kesny</v>
      </c>
      <c r="I108" s="3" t="str">
        <f>IFERROR(__xludf.DUMMYFUNCTION("IFERROR(TRIM(INDEX(SPLIT(E108,"" + ""),2)),"""")"),"Nebus.")</f>
        <v>Nebus.</v>
      </c>
      <c r="J108" s="5" t="str">
        <f>IFERROR(__xludf.DUMMYFUNCTION("IFERROR(TRIM(INDEX(SPLIT(E108,"" + ""),3)),"""")"),"")</f>
        <v/>
      </c>
      <c r="K108" s="3">
        <f>IFERROR(__xludf.DUMMYFUNCTION("IFERROR(IF(H108="""",0,INDEX(FILTER($Q$2:Q107,$C$2:C107=H108,$G$2:G107=G108),ROWS(FILTER($Q$2:Q107,$C$2:C107=H108,$G$2:G107=G108)),1)),1500)"),1479.0)</f>
        <v>1479</v>
      </c>
      <c r="L108" s="3">
        <f>IFERROR(__xludf.DUMMYFUNCTION("IFERROR(IF(I108="""",0,INDEX(FILTER($Q$2:Q107,$C$2:C107=I108,$G$2:G107=G108),ROWS(FILTER($Q$2:Q107,$C$2:C107=I108,$G$2:G107=G108)),1)),1500)"),1522.0)</f>
        <v>1522</v>
      </c>
      <c r="M108" s="3">
        <f>IFERROR(__xludf.DUMMYFUNCTION("IFERROR(IF(J108="""",0,INDEX(FILTER($Q$2:Q107,$C$2:C107=J108,$G$2:G107=G108),ROWS(FILTER($Q$2:Q107,$C$2:C107=J108,$G$2:G107=G108)),1)),1500)"),0.0)</f>
        <v>0</v>
      </c>
      <c r="N108" s="3">
        <f>IFERROR(__xludf.DUMMYFUNCTION("IFERROR(INDEX(FILTER($Q$2:Q107,$C$2:C107=C108,$G$2:G107=G108),ROWS(FILTER($Q$2:Q107,$C$2:C107=C108,$G$2:G107=G108)),1),1500)"),1564.0)</f>
        <v>1564</v>
      </c>
      <c r="O108" s="3">
        <f t="shared" si="3"/>
        <v>1500.5</v>
      </c>
      <c r="P108" s="9">
        <f t="shared" si="1"/>
        <v>13</v>
      </c>
      <c r="Q108" s="5">
        <f t="shared" si="2"/>
        <v>1577</v>
      </c>
    </row>
    <row r="109">
      <c r="A109" s="3" t="str">
        <f>IFERROR(__xludf.DUMMYFUNCTION("""COMPUTED_VALUE"""),"1pI-6IiRHicDWk3FF7nIiBhtXB6B1hqeP")</f>
        <v>1pI-6IiRHicDWk3FF7nIiBhtXB6B1hqeP</v>
      </c>
      <c r="B109" s="13">
        <f>IFERROR(__xludf.DUMMYFUNCTION("""COMPUTED_VALUE"""),45976.0)</f>
        <v>45976</v>
      </c>
      <c r="C109" s="3" t="str">
        <f>IFERROR(__xludf.DUMMYFUNCTION("""COMPUTED_VALUE"""),"Malena")</f>
        <v>Malena</v>
      </c>
      <c r="D109" s="3" t="str">
        <f>IFERROR(__xludf.DUMMYFUNCTION("""COMPUTED_VALUE"""),"Malena + ZeroO")</f>
        <v>Malena + ZeroO</v>
      </c>
      <c r="E109" s="3" t="str">
        <f>IFERROR(__xludf.DUMMYFUNCTION("""COMPUTED_VALUE"""),"Kesny + Nebus.")</f>
        <v>Kesny + Nebus.</v>
      </c>
      <c r="F109" s="3" t="str">
        <f>IFERROR(__xludf.DUMMYFUNCTION("""COMPUTED_VALUE"""),"win")</f>
        <v>win</v>
      </c>
      <c r="G109" s="3" t="str">
        <f>IFERROR(__xludf.DUMMYFUNCTION("""COMPUTED_VALUE"""),"2v2")</f>
        <v>2v2</v>
      </c>
      <c r="H109" s="3" t="str">
        <f>IFERROR(__xludf.DUMMYFUNCTION("IFERROR(TRIM(INDEX(SPLIT(E109,"" + ""),1)),"""")"),"Kesny")</f>
        <v>Kesny</v>
      </c>
      <c r="I109" s="3" t="str">
        <f>IFERROR(__xludf.DUMMYFUNCTION("IFERROR(TRIM(INDEX(SPLIT(E109,"" + ""),2)),"""")"),"Nebus.")</f>
        <v>Nebus.</v>
      </c>
      <c r="J109" s="5" t="str">
        <f>IFERROR(__xludf.DUMMYFUNCTION("IFERROR(TRIM(INDEX(SPLIT(E109,"" + ""),3)),"""")"),"")</f>
        <v/>
      </c>
      <c r="K109" s="3">
        <f>IFERROR(__xludf.DUMMYFUNCTION("IFERROR(IF(H109="""",0,INDEX(FILTER($Q$2:Q108,$C$2:C108=H109,$G$2:G108=G109),ROWS(FILTER($Q$2:Q108,$C$2:C108=H109,$G$2:G108=G109)),1)),1500)"),1479.0)</f>
        <v>1479</v>
      </c>
      <c r="L109" s="3">
        <f>IFERROR(__xludf.DUMMYFUNCTION("IFERROR(IF(I109="""",0,INDEX(FILTER($Q$2:Q108,$C$2:C108=I109,$G$2:G108=G109),ROWS(FILTER($Q$2:Q108,$C$2:C108=I109,$G$2:G108=G109)),1)),1500)"),1522.0)</f>
        <v>1522</v>
      </c>
      <c r="M109" s="3">
        <f>IFERROR(__xludf.DUMMYFUNCTION("IFERROR(IF(J109="""",0,INDEX(FILTER($Q$2:Q108,$C$2:C108=J109,$G$2:G108=G109),ROWS(FILTER($Q$2:Q108,$C$2:C108=J109,$G$2:G108=G109)),1)),1500)"),0.0)</f>
        <v>0</v>
      </c>
      <c r="N109" s="3">
        <f>IFERROR(__xludf.DUMMYFUNCTION("IFERROR(INDEX(FILTER($Q$2:Q108,$C$2:C108=C109,$G$2:G108=G109),ROWS(FILTER($Q$2:Q108,$C$2:C108=C109,$G$2:G108=G109)),1),1500)"),1506.0)</f>
        <v>1506</v>
      </c>
      <c r="O109" s="3">
        <f t="shared" si="3"/>
        <v>1500.5</v>
      </c>
      <c r="P109" s="9">
        <f t="shared" si="1"/>
        <v>16</v>
      </c>
      <c r="Q109" s="5">
        <f t="shared" si="2"/>
        <v>1522</v>
      </c>
    </row>
    <row r="110">
      <c r="A110" s="3" t="str">
        <f>IFERROR(__xludf.DUMMYFUNCTION("""COMPUTED_VALUE"""),"1nCShGFLkIx34kuKkm2OJ8S9RtcGOZFqZ")</f>
        <v>1nCShGFLkIx34kuKkm2OJ8S9RtcGOZFqZ</v>
      </c>
      <c r="B110" s="13">
        <f>IFERROR(__xludf.DUMMYFUNCTION("""COMPUTED_VALUE"""),45976.0)</f>
        <v>45976</v>
      </c>
      <c r="C110" s="3" t="str">
        <f>IFERROR(__xludf.DUMMYFUNCTION("""COMPUTED_VALUE"""),"Malena")</f>
        <v>Malena</v>
      </c>
      <c r="D110" s="3" t="str">
        <f>IFERROR(__xludf.DUMMYFUNCTION("""COMPUTED_VALUE"""),"Malena + Nebus.")</f>
        <v>Malena + Nebus.</v>
      </c>
      <c r="E110" s="3" t="str">
        <f>IFERROR(__xludf.DUMMYFUNCTION("""COMPUTED_VALUE"""),"Kesny + ZeroO")</f>
        <v>Kesny + ZeroO</v>
      </c>
      <c r="F110" s="3" t="str">
        <f>IFERROR(__xludf.DUMMYFUNCTION("""COMPUTED_VALUE"""),"win")</f>
        <v>win</v>
      </c>
      <c r="G110" s="3" t="str">
        <f>IFERROR(__xludf.DUMMYFUNCTION("""COMPUTED_VALUE"""),"2v2")</f>
        <v>2v2</v>
      </c>
      <c r="H110" s="3" t="str">
        <f>IFERROR(__xludf.DUMMYFUNCTION("IFERROR(TRIM(INDEX(SPLIT(E110,"" + ""),1)),"""")"),"Kesny")</f>
        <v>Kesny</v>
      </c>
      <c r="I110" s="3" t="str">
        <f>IFERROR(__xludf.DUMMYFUNCTION("IFERROR(TRIM(INDEX(SPLIT(E110,"" + ""),2)),"""")"),"ZeroO")</f>
        <v>ZeroO</v>
      </c>
      <c r="J110" s="5" t="str">
        <f>IFERROR(__xludf.DUMMYFUNCTION("IFERROR(TRIM(INDEX(SPLIT(E110,"" + ""),3)),"""")"),"")</f>
        <v/>
      </c>
      <c r="K110" s="3">
        <f>IFERROR(__xludf.DUMMYFUNCTION("IFERROR(IF(H110="""",0,INDEX(FILTER($Q$2:Q109,$C$2:C109=H110,$G$2:G109=G110),ROWS(FILTER($Q$2:Q109,$C$2:C109=H110,$G$2:G109=G110)),1)),1500)"),1479.0)</f>
        <v>1479</v>
      </c>
      <c r="L110" s="3">
        <f>IFERROR(__xludf.DUMMYFUNCTION("IFERROR(IF(I110="""",0,INDEX(FILTER($Q$2:Q109,$C$2:C109=I110,$G$2:G109=G110),ROWS(FILTER($Q$2:Q109,$C$2:C109=I110,$G$2:G109=G110)),1)),1500)"),1577.0)</f>
        <v>1577</v>
      </c>
      <c r="M110" s="3">
        <f>IFERROR(__xludf.DUMMYFUNCTION("IFERROR(IF(J110="""",0,INDEX(FILTER($Q$2:Q109,$C$2:C109=J110,$G$2:G109=G110),ROWS(FILTER($Q$2:Q109,$C$2:C109=J110,$G$2:G109=G110)),1)),1500)"),0.0)</f>
        <v>0</v>
      </c>
      <c r="N110" s="3">
        <f>IFERROR(__xludf.DUMMYFUNCTION("IFERROR(INDEX(FILTER($Q$2:Q109,$C$2:C109=C110,$G$2:G109=G110),ROWS(FILTER($Q$2:Q109,$C$2:C109=C110,$G$2:G109=G110)),1),1500)"),1522.0)</f>
        <v>1522</v>
      </c>
      <c r="O110" s="3">
        <f t="shared" si="3"/>
        <v>1528</v>
      </c>
      <c r="P110" s="9">
        <f t="shared" si="1"/>
        <v>16</v>
      </c>
      <c r="Q110" s="5">
        <f t="shared" si="2"/>
        <v>1538</v>
      </c>
    </row>
    <row r="111">
      <c r="A111" s="3" t="str">
        <f>IFERROR(__xludf.DUMMYFUNCTION("""COMPUTED_VALUE"""),"1nCShGFLkIx34kuKkm2OJ8S9RtcGOZFqZ")</f>
        <v>1nCShGFLkIx34kuKkm2OJ8S9RtcGOZFqZ</v>
      </c>
      <c r="B111" s="13">
        <f>IFERROR(__xludf.DUMMYFUNCTION("""COMPUTED_VALUE"""),45976.0)</f>
        <v>45976</v>
      </c>
      <c r="C111" s="3" t="str">
        <f>IFERROR(__xludf.DUMMYFUNCTION("""COMPUTED_VALUE"""),"Nebus.")</f>
        <v>Nebus.</v>
      </c>
      <c r="D111" s="3" t="str">
        <f>IFERROR(__xludf.DUMMYFUNCTION("""COMPUTED_VALUE"""),"Malena + Nebus.")</f>
        <v>Malena + Nebus.</v>
      </c>
      <c r="E111" s="3" t="str">
        <f>IFERROR(__xludf.DUMMYFUNCTION("""COMPUTED_VALUE"""),"Kesny + ZeroO")</f>
        <v>Kesny + ZeroO</v>
      </c>
      <c r="F111" s="3" t="str">
        <f>IFERROR(__xludf.DUMMYFUNCTION("""COMPUTED_VALUE"""),"win")</f>
        <v>win</v>
      </c>
      <c r="G111" s="3" t="str">
        <f>IFERROR(__xludf.DUMMYFUNCTION("""COMPUTED_VALUE"""),"2v2")</f>
        <v>2v2</v>
      </c>
      <c r="H111" s="3" t="str">
        <f>IFERROR(__xludf.DUMMYFUNCTION("IFERROR(TRIM(INDEX(SPLIT(E111,"" + ""),1)),"""")"),"Kesny")</f>
        <v>Kesny</v>
      </c>
      <c r="I111" s="3" t="str">
        <f>IFERROR(__xludf.DUMMYFUNCTION("IFERROR(TRIM(INDEX(SPLIT(E111,"" + ""),2)),"""")"),"ZeroO")</f>
        <v>ZeroO</v>
      </c>
      <c r="J111" s="5" t="str">
        <f>IFERROR(__xludf.DUMMYFUNCTION("IFERROR(TRIM(INDEX(SPLIT(E111,"" + ""),3)),"""")"),"")</f>
        <v/>
      </c>
      <c r="K111" s="3">
        <f>IFERROR(__xludf.DUMMYFUNCTION("IFERROR(IF(H111="""",0,INDEX(FILTER($Q$2:Q110,$C$2:C110=H111,$G$2:G110=G111),ROWS(FILTER($Q$2:Q110,$C$2:C110=H111,$G$2:G110=G111)),1)),1500)"),1479.0)</f>
        <v>1479</v>
      </c>
      <c r="L111" s="3">
        <f>IFERROR(__xludf.DUMMYFUNCTION("IFERROR(IF(I111="""",0,INDEX(FILTER($Q$2:Q110,$C$2:C110=I111,$G$2:G110=G111),ROWS(FILTER($Q$2:Q110,$C$2:C110=I111,$G$2:G110=G111)),1)),1500)"),1577.0)</f>
        <v>1577</v>
      </c>
      <c r="M111" s="3">
        <f>IFERROR(__xludf.DUMMYFUNCTION("IFERROR(IF(J111="""",0,INDEX(FILTER($Q$2:Q110,$C$2:C110=J111,$G$2:G110=G111),ROWS(FILTER($Q$2:Q110,$C$2:C110=J111,$G$2:G110=G111)),1)),1500)"),0.0)</f>
        <v>0</v>
      </c>
      <c r="N111" s="3">
        <f>IFERROR(__xludf.DUMMYFUNCTION("IFERROR(INDEX(FILTER($Q$2:Q110,$C$2:C110=C111,$G$2:G110=G111),ROWS(FILTER($Q$2:Q110,$C$2:C110=C111,$G$2:G110=G111)),1),1500)"),1522.0)</f>
        <v>1522</v>
      </c>
      <c r="O111" s="3">
        <f t="shared" si="3"/>
        <v>1528</v>
      </c>
      <c r="P111" s="9">
        <f t="shared" si="1"/>
        <v>16</v>
      </c>
      <c r="Q111" s="5">
        <f t="shared" si="2"/>
        <v>1538</v>
      </c>
    </row>
    <row r="112">
      <c r="A112" s="3" t="str">
        <f>IFERROR(__xludf.DUMMYFUNCTION("""COMPUTED_VALUE"""),"1nCShGFLkIx34kuKkm2OJ8S9RtcGOZFqZ")</f>
        <v>1nCShGFLkIx34kuKkm2OJ8S9RtcGOZFqZ</v>
      </c>
      <c r="B112" s="13">
        <f>IFERROR(__xludf.DUMMYFUNCTION("""COMPUTED_VALUE"""),45976.0)</f>
        <v>45976</v>
      </c>
      <c r="C112" s="3" t="str">
        <f>IFERROR(__xludf.DUMMYFUNCTION("""COMPUTED_VALUE"""),"ZeroO")</f>
        <v>ZeroO</v>
      </c>
      <c r="D112" s="3" t="str">
        <f>IFERROR(__xludf.DUMMYFUNCTION("""COMPUTED_VALUE"""),"Kesny + ZeroO")</f>
        <v>Kesny + ZeroO</v>
      </c>
      <c r="E112" s="3" t="str">
        <f>IFERROR(__xludf.DUMMYFUNCTION("""COMPUTED_VALUE"""),"Malena + Nebus.")</f>
        <v>Malena + Nebus.</v>
      </c>
      <c r="F112" s="3" t="str">
        <f>IFERROR(__xludf.DUMMYFUNCTION("""COMPUTED_VALUE"""),"loss")</f>
        <v>loss</v>
      </c>
      <c r="G112" s="3" t="str">
        <f>IFERROR(__xludf.DUMMYFUNCTION("""COMPUTED_VALUE"""),"2v2")</f>
        <v>2v2</v>
      </c>
      <c r="H112" s="3" t="str">
        <f>IFERROR(__xludf.DUMMYFUNCTION("IFERROR(TRIM(INDEX(SPLIT(E112,"" + ""),1)),"""")"),"Malena")</f>
        <v>Malena</v>
      </c>
      <c r="I112" s="3" t="str">
        <f>IFERROR(__xludf.DUMMYFUNCTION("IFERROR(TRIM(INDEX(SPLIT(E112,"" + ""),2)),"""")"),"Nebus.")</f>
        <v>Nebus.</v>
      </c>
      <c r="J112" s="5" t="str">
        <f>IFERROR(__xludf.DUMMYFUNCTION("IFERROR(TRIM(INDEX(SPLIT(E112,"" + ""),3)),"""")"),"")</f>
        <v/>
      </c>
      <c r="K112" s="3">
        <f>IFERROR(__xludf.DUMMYFUNCTION("IFERROR(IF(H112="""",0,INDEX(FILTER($Q$2:Q111,$C$2:C111=H112,$G$2:G111=G112),ROWS(FILTER($Q$2:Q111,$C$2:C111=H112,$G$2:G111=G112)),1)),1500)"),1538.0)</f>
        <v>1538</v>
      </c>
      <c r="L112" s="3">
        <f>IFERROR(__xludf.DUMMYFUNCTION("IFERROR(IF(I112="""",0,INDEX(FILTER($Q$2:Q111,$C$2:C111=I112,$G$2:G111=G112),ROWS(FILTER($Q$2:Q111,$C$2:C111=I112,$G$2:G111=G112)),1)),1500)"),1538.0)</f>
        <v>1538</v>
      </c>
      <c r="M112" s="3">
        <f>IFERROR(__xludf.DUMMYFUNCTION("IFERROR(IF(J112="""",0,INDEX(FILTER($Q$2:Q111,$C$2:C111=J112,$G$2:G111=G112),ROWS(FILTER($Q$2:Q111,$C$2:C111=J112,$G$2:G111=G112)),1)),1500)"),0.0)</f>
        <v>0</v>
      </c>
      <c r="N112" s="3">
        <f>IFERROR(__xludf.DUMMYFUNCTION("IFERROR(INDEX(FILTER($Q$2:Q111,$C$2:C111=C112,$G$2:G111=G112),ROWS(FILTER($Q$2:Q111,$C$2:C111=C112,$G$2:G111=G112)),1),1500)"),1577.0)</f>
        <v>1577</v>
      </c>
      <c r="O112" s="3">
        <f t="shared" si="3"/>
        <v>1538</v>
      </c>
      <c r="P112" s="9">
        <f t="shared" si="1"/>
        <v>-18</v>
      </c>
      <c r="Q112" s="5">
        <f t="shared" si="2"/>
        <v>1559</v>
      </c>
    </row>
    <row r="113">
      <c r="A113" s="3" t="str">
        <f>IFERROR(__xludf.DUMMYFUNCTION("""COMPUTED_VALUE"""),"1nCShGFLkIx34kuKkm2OJ8S9RtcGOZFqZ")</f>
        <v>1nCShGFLkIx34kuKkm2OJ8S9RtcGOZFqZ</v>
      </c>
      <c r="B113" s="13">
        <f>IFERROR(__xludf.DUMMYFUNCTION("""COMPUTED_VALUE"""),45976.0)</f>
        <v>45976</v>
      </c>
      <c r="C113" s="3" t="str">
        <f>IFERROR(__xludf.DUMMYFUNCTION("""COMPUTED_VALUE"""),"Kesny")</f>
        <v>Kesny</v>
      </c>
      <c r="D113" s="3" t="str">
        <f>IFERROR(__xludf.DUMMYFUNCTION("""COMPUTED_VALUE"""),"Kesny + ZeroO")</f>
        <v>Kesny + ZeroO</v>
      </c>
      <c r="E113" s="3" t="str">
        <f>IFERROR(__xludf.DUMMYFUNCTION("""COMPUTED_VALUE"""),"Malena + Nebus.")</f>
        <v>Malena + Nebus.</v>
      </c>
      <c r="F113" s="3" t="str">
        <f>IFERROR(__xludf.DUMMYFUNCTION("""COMPUTED_VALUE"""),"loss")</f>
        <v>loss</v>
      </c>
      <c r="G113" s="3" t="str">
        <f>IFERROR(__xludf.DUMMYFUNCTION("""COMPUTED_VALUE"""),"2v2")</f>
        <v>2v2</v>
      </c>
      <c r="H113" s="3" t="str">
        <f>IFERROR(__xludf.DUMMYFUNCTION("IFERROR(TRIM(INDEX(SPLIT(E113,"" + ""),1)),"""")"),"Malena")</f>
        <v>Malena</v>
      </c>
      <c r="I113" s="3" t="str">
        <f>IFERROR(__xludf.DUMMYFUNCTION("IFERROR(TRIM(INDEX(SPLIT(E113,"" + ""),2)),"""")"),"Nebus.")</f>
        <v>Nebus.</v>
      </c>
      <c r="J113" s="5" t="str">
        <f>IFERROR(__xludf.DUMMYFUNCTION("IFERROR(TRIM(INDEX(SPLIT(E113,"" + ""),3)),"""")"),"")</f>
        <v/>
      </c>
      <c r="K113" s="3">
        <f>IFERROR(__xludf.DUMMYFUNCTION("IFERROR(IF(H113="""",0,INDEX(FILTER($Q$2:Q112,$C$2:C112=H113,$G$2:G112=G113),ROWS(FILTER($Q$2:Q112,$C$2:C112=H113,$G$2:G112=G113)),1)),1500)"),1538.0)</f>
        <v>1538</v>
      </c>
      <c r="L113" s="3">
        <f>IFERROR(__xludf.DUMMYFUNCTION("IFERROR(IF(I113="""",0,INDEX(FILTER($Q$2:Q112,$C$2:C112=I113,$G$2:G112=G113),ROWS(FILTER($Q$2:Q112,$C$2:C112=I113,$G$2:G112=G113)),1)),1500)"),1538.0)</f>
        <v>1538</v>
      </c>
      <c r="M113" s="3">
        <f>IFERROR(__xludf.DUMMYFUNCTION("IFERROR(IF(J113="""",0,INDEX(FILTER($Q$2:Q112,$C$2:C112=J113,$G$2:G112=G113),ROWS(FILTER($Q$2:Q112,$C$2:C112=J113,$G$2:G112=G113)),1)),1500)"),0.0)</f>
        <v>0</v>
      </c>
      <c r="N113" s="3">
        <f>IFERROR(__xludf.DUMMYFUNCTION("IFERROR(INDEX(FILTER($Q$2:Q112,$C$2:C112=C113,$G$2:G112=G113),ROWS(FILTER($Q$2:Q112,$C$2:C112=C113,$G$2:G112=G113)),1),1500)"),1479.0)</f>
        <v>1479</v>
      </c>
      <c r="O113" s="3">
        <f t="shared" si="3"/>
        <v>1538</v>
      </c>
      <c r="P113" s="9">
        <f t="shared" si="1"/>
        <v>-13</v>
      </c>
      <c r="Q113" s="5">
        <f t="shared" si="2"/>
        <v>1466</v>
      </c>
    </row>
    <row r="114">
      <c r="A114" s="3" t="str">
        <f>IFERROR(__xludf.DUMMYFUNCTION("""COMPUTED_VALUE"""),"1TZMaJbMCMcBhU4W909MbDMTovN3gBmhq")</f>
        <v>1TZMaJbMCMcBhU4W909MbDMTovN3gBmhq</v>
      </c>
      <c r="B114" s="13">
        <f>IFERROR(__xludf.DUMMYFUNCTION("""COMPUTED_VALUE"""),45976.0)</f>
        <v>45976</v>
      </c>
      <c r="C114" s="3" t="str">
        <f>IFERROR(__xludf.DUMMYFUNCTION("""COMPUTED_VALUE"""),"Kesny")</f>
        <v>Kesny</v>
      </c>
      <c r="D114" s="3" t="str">
        <f>IFERROR(__xludf.DUMMYFUNCTION("""COMPUTED_VALUE"""),"Kesny + Malena")</f>
        <v>Kesny + Malena</v>
      </c>
      <c r="E114" s="3" t="str">
        <f>IFERROR(__xludf.DUMMYFUNCTION("""COMPUTED_VALUE"""),"Nebus. + ZeroO")</f>
        <v>Nebus. + ZeroO</v>
      </c>
      <c r="F114" s="3" t="str">
        <f>IFERROR(__xludf.DUMMYFUNCTION("""COMPUTED_VALUE"""),"win")</f>
        <v>win</v>
      </c>
      <c r="G114" s="3" t="str">
        <f>IFERROR(__xludf.DUMMYFUNCTION("""COMPUTED_VALUE"""),"2v2")</f>
        <v>2v2</v>
      </c>
      <c r="H114" s="3" t="str">
        <f>IFERROR(__xludf.DUMMYFUNCTION("IFERROR(TRIM(INDEX(SPLIT(E114,"" + ""),1)),"""")"),"Nebus.")</f>
        <v>Nebus.</v>
      </c>
      <c r="I114" s="3" t="str">
        <f>IFERROR(__xludf.DUMMYFUNCTION("IFERROR(TRIM(INDEX(SPLIT(E114,"" + ""),2)),"""")"),"ZeroO")</f>
        <v>ZeroO</v>
      </c>
      <c r="J114" s="5" t="str">
        <f>IFERROR(__xludf.DUMMYFUNCTION("IFERROR(TRIM(INDEX(SPLIT(E114,"" + ""),3)),"""")"),"")</f>
        <v/>
      </c>
      <c r="K114" s="3">
        <f>IFERROR(__xludf.DUMMYFUNCTION("IFERROR(IF(H114="""",0,INDEX(FILTER($Q$2:Q113,$C$2:C113=H114,$G$2:G113=G114),ROWS(FILTER($Q$2:Q113,$C$2:C113=H114,$G$2:G113=G114)),1)),1500)"),1538.0)</f>
        <v>1538</v>
      </c>
      <c r="L114" s="3">
        <f>IFERROR(__xludf.DUMMYFUNCTION("IFERROR(IF(I114="""",0,INDEX(FILTER($Q$2:Q113,$C$2:C113=I114,$G$2:G113=G114),ROWS(FILTER($Q$2:Q113,$C$2:C113=I114,$G$2:G113=G114)),1)),1500)"),1559.0)</f>
        <v>1559</v>
      </c>
      <c r="M114" s="3">
        <f>IFERROR(__xludf.DUMMYFUNCTION("IFERROR(IF(J114="""",0,INDEX(FILTER($Q$2:Q113,$C$2:C113=J114,$G$2:G113=G114),ROWS(FILTER($Q$2:Q113,$C$2:C113=J114,$G$2:G113=G114)),1)),1500)"),0.0)</f>
        <v>0</v>
      </c>
      <c r="N114" s="3">
        <f>IFERROR(__xludf.DUMMYFUNCTION("IFERROR(INDEX(FILTER($Q$2:Q113,$C$2:C113=C114,$G$2:G113=G114),ROWS(FILTER($Q$2:Q113,$C$2:C113=C114,$G$2:G113=G114)),1),1500)"),1466.0)</f>
        <v>1466</v>
      </c>
      <c r="O114" s="3">
        <f t="shared" si="3"/>
        <v>1548.5</v>
      </c>
      <c r="P114" s="9">
        <f t="shared" si="1"/>
        <v>20</v>
      </c>
      <c r="Q114" s="5">
        <f t="shared" si="2"/>
        <v>1486</v>
      </c>
    </row>
    <row r="115">
      <c r="A115" s="3" t="str">
        <f>IFERROR(__xludf.DUMMYFUNCTION("""COMPUTED_VALUE"""),"1TZMaJbMCMcBhU4W909MbDMTovN3gBmhq")</f>
        <v>1TZMaJbMCMcBhU4W909MbDMTovN3gBmhq</v>
      </c>
      <c r="B115" s="13">
        <f>IFERROR(__xludf.DUMMYFUNCTION("""COMPUTED_VALUE"""),45976.0)</f>
        <v>45976</v>
      </c>
      <c r="C115" s="3" t="str">
        <f>IFERROR(__xludf.DUMMYFUNCTION("""COMPUTED_VALUE"""),"Malena")</f>
        <v>Malena</v>
      </c>
      <c r="D115" s="3" t="str">
        <f>IFERROR(__xludf.DUMMYFUNCTION("""COMPUTED_VALUE"""),"Kesny + Malena")</f>
        <v>Kesny + Malena</v>
      </c>
      <c r="E115" s="3" t="str">
        <f>IFERROR(__xludf.DUMMYFUNCTION("""COMPUTED_VALUE"""),"Nebus. + ZeroO")</f>
        <v>Nebus. + ZeroO</v>
      </c>
      <c r="F115" s="3" t="str">
        <f>IFERROR(__xludf.DUMMYFUNCTION("""COMPUTED_VALUE"""),"win")</f>
        <v>win</v>
      </c>
      <c r="G115" s="3" t="str">
        <f>IFERROR(__xludf.DUMMYFUNCTION("""COMPUTED_VALUE"""),"2v2")</f>
        <v>2v2</v>
      </c>
      <c r="H115" s="3" t="str">
        <f>IFERROR(__xludf.DUMMYFUNCTION("IFERROR(TRIM(INDEX(SPLIT(E115,"" + ""),1)),"""")"),"Nebus.")</f>
        <v>Nebus.</v>
      </c>
      <c r="I115" s="3" t="str">
        <f>IFERROR(__xludf.DUMMYFUNCTION("IFERROR(TRIM(INDEX(SPLIT(E115,"" + ""),2)),"""")"),"ZeroO")</f>
        <v>ZeroO</v>
      </c>
      <c r="J115" s="5" t="str">
        <f>IFERROR(__xludf.DUMMYFUNCTION("IFERROR(TRIM(INDEX(SPLIT(E115,"" + ""),3)),"""")"),"")</f>
        <v/>
      </c>
      <c r="K115" s="3">
        <f>IFERROR(__xludf.DUMMYFUNCTION("IFERROR(IF(H115="""",0,INDEX(FILTER($Q$2:Q114,$C$2:C114=H115,$G$2:G114=G115),ROWS(FILTER($Q$2:Q114,$C$2:C114=H115,$G$2:G114=G115)),1)),1500)"),1538.0)</f>
        <v>1538</v>
      </c>
      <c r="L115" s="3">
        <f>IFERROR(__xludf.DUMMYFUNCTION("IFERROR(IF(I115="""",0,INDEX(FILTER($Q$2:Q114,$C$2:C114=I115,$G$2:G114=G115),ROWS(FILTER($Q$2:Q114,$C$2:C114=I115,$G$2:G114=G115)),1)),1500)"),1559.0)</f>
        <v>1559</v>
      </c>
      <c r="M115" s="3">
        <f>IFERROR(__xludf.DUMMYFUNCTION("IFERROR(IF(J115="""",0,INDEX(FILTER($Q$2:Q114,$C$2:C114=J115,$G$2:G114=G115),ROWS(FILTER($Q$2:Q114,$C$2:C114=J115,$G$2:G114=G115)),1)),1500)"),0.0)</f>
        <v>0</v>
      </c>
      <c r="N115" s="3">
        <f>IFERROR(__xludf.DUMMYFUNCTION("IFERROR(INDEX(FILTER($Q$2:Q114,$C$2:C114=C115,$G$2:G114=G115),ROWS(FILTER($Q$2:Q114,$C$2:C114=C115,$G$2:G114=G115)),1),1500)"),1538.0)</f>
        <v>1538</v>
      </c>
      <c r="O115" s="3">
        <f t="shared" si="3"/>
        <v>1548.5</v>
      </c>
      <c r="P115" s="9">
        <f t="shared" si="1"/>
        <v>16</v>
      </c>
      <c r="Q115" s="5">
        <f t="shared" si="2"/>
        <v>1554</v>
      </c>
    </row>
    <row r="116">
      <c r="A116" s="3" t="str">
        <f>IFERROR(__xludf.DUMMYFUNCTION("""COMPUTED_VALUE"""),"1TZMaJbMCMcBhU4W909MbDMTovN3gBmhq")</f>
        <v>1TZMaJbMCMcBhU4W909MbDMTovN3gBmhq</v>
      </c>
      <c r="B116" s="13">
        <f>IFERROR(__xludf.DUMMYFUNCTION("""COMPUTED_VALUE"""),45976.0)</f>
        <v>45976</v>
      </c>
      <c r="C116" s="3" t="str">
        <f>IFERROR(__xludf.DUMMYFUNCTION("""COMPUTED_VALUE"""),"Nebus.")</f>
        <v>Nebus.</v>
      </c>
      <c r="D116" s="3" t="str">
        <f>IFERROR(__xludf.DUMMYFUNCTION("""COMPUTED_VALUE"""),"Nebus. + ZeroO")</f>
        <v>Nebus. + ZeroO</v>
      </c>
      <c r="E116" s="3" t="str">
        <f>IFERROR(__xludf.DUMMYFUNCTION("""COMPUTED_VALUE"""),"Kesny + Malena")</f>
        <v>Kesny + Malena</v>
      </c>
      <c r="F116" s="3" t="str">
        <f>IFERROR(__xludf.DUMMYFUNCTION("""COMPUTED_VALUE"""),"loss")</f>
        <v>loss</v>
      </c>
      <c r="G116" s="3" t="str">
        <f>IFERROR(__xludf.DUMMYFUNCTION("""COMPUTED_VALUE"""),"2v2")</f>
        <v>2v2</v>
      </c>
      <c r="H116" s="3" t="str">
        <f>IFERROR(__xludf.DUMMYFUNCTION("IFERROR(TRIM(INDEX(SPLIT(E116,"" + ""),1)),"""")"),"Kesny")</f>
        <v>Kesny</v>
      </c>
      <c r="I116" s="3" t="str">
        <f>IFERROR(__xludf.DUMMYFUNCTION("IFERROR(TRIM(INDEX(SPLIT(E116,"" + ""),2)),"""")"),"Malena")</f>
        <v>Malena</v>
      </c>
      <c r="J116" s="5" t="str">
        <f>IFERROR(__xludf.DUMMYFUNCTION("IFERROR(TRIM(INDEX(SPLIT(E116,"" + ""),3)),"""")"),"")</f>
        <v/>
      </c>
      <c r="K116" s="3">
        <f>IFERROR(__xludf.DUMMYFUNCTION("IFERROR(IF(H116="""",0,INDEX(FILTER($Q$2:Q115,$C$2:C115=H116,$G$2:G115=G116),ROWS(FILTER($Q$2:Q115,$C$2:C115=H116,$G$2:G115=G116)),1)),1500)"),1486.0)</f>
        <v>1486</v>
      </c>
      <c r="L116" s="3">
        <f>IFERROR(__xludf.DUMMYFUNCTION("IFERROR(IF(I116="""",0,INDEX(FILTER($Q$2:Q115,$C$2:C115=I116,$G$2:G115=G116),ROWS(FILTER($Q$2:Q115,$C$2:C115=I116,$G$2:G115=G116)),1)),1500)"),1554.0)</f>
        <v>1554</v>
      </c>
      <c r="M116" s="3">
        <f>IFERROR(__xludf.DUMMYFUNCTION("IFERROR(IF(J116="""",0,INDEX(FILTER($Q$2:Q115,$C$2:C115=J116,$G$2:G115=G116),ROWS(FILTER($Q$2:Q115,$C$2:C115=J116,$G$2:G115=G116)),1)),1500)"),0.0)</f>
        <v>0</v>
      </c>
      <c r="N116" s="3">
        <f>IFERROR(__xludf.DUMMYFUNCTION("IFERROR(INDEX(FILTER($Q$2:Q115,$C$2:C115=C116,$G$2:G115=G116),ROWS(FILTER($Q$2:Q115,$C$2:C115=C116,$G$2:G115=G116)),1),1500)"),1538.0)</f>
        <v>1538</v>
      </c>
      <c r="O116" s="3">
        <f t="shared" si="3"/>
        <v>1520</v>
      </c>
      <c r="P116" s="9">
        <f t="shared" si="1"/>
        <v>-17</v>
      </c>
      <c r="Q116" s="5">
        <f t="shared" si="2"/>
        <v>1521</v>
      </c>
    </row>
    <row r="117">
      <c r="A117" s="3" t="str">
        <f>IFERROR(__xludf.DUMMYFUNCTION("""COMPUTED_VALUE"""),"1TZMaJbMCMcBhU4W909MbDMTovN3gBmhq")</f>
        <v>1TZMaJbMCMcBhU4W909MbDMTovN3gBmhq</v>
      </c>
      <c r="B117" s="13">
        <f>IFERROR(__xludf.DUMMYFUNCTION("""COMPUTED_VALUE"""),45976.0)</f>
        <v>45976</v>
      </c>
      <c r="C117" s="3" t="str">
        <f>IFERROR(__xludf.DUMMYFUNCTION("""COMPUTED_VALUE"""),"ZeroO")</f>
        <v>ZeroO</v>
      </c>
      <c r="D117" s="3" t="str">
        <f>IFERROR(__xludf.DUMMYFUNCTION("""COMPUTED_VALUE"""),"Nebus. + ZeroO")</f>
        <v>Nebus. + ZeroO</v>
      </c>
      <c r="E117" s="3" t="str">
        <f>IFERROR(__xludf.DUMMYFUNCTION("""COMPUTED_VALUE"""),"Kesny + Malena")</f>
        <v>Kesny + Malena</v>
      </c>
      <c r="F117" s="3" t="str">
        <f>IFERROR(__xludf.DUMMYFUNCTION("""COMPUTED_VALUE"""),"loss")</f>
        <v>loss</v>
      </c>
      <c r="G117" s="3" t="str">
        <f>IFERROR(__xludf.DUMMYFUNCTION("""COMPUTED_VALUE"""),"2v2")</f>
        <v>2v2</v>
      </c>
      <c r="H117" s="3" t="str">
        <f>IFERROR(__xludf.DUMMYFUNCTION("IFERROR(TRIM(INDEX(SPLIT(E117,"" + ""),1)),"""")"),"Kesny")</f>
        <v>Kesny</v>
      </c>
      <c r="I117" s="3" t="str">
        <f>IFERROR(__xludf.DUMMYFUNCTION("IFERROR(TRIM(INDEX(SPLIT(E117,"" + ""),2)),"""")"),"Malena")</f>
        <v>Malena</v>
      </c>
      <c r="J117" s="5" t="str">
        <f>IFERROR(__xludf.DUMMYFUNCTION("IFERROR(TRIM(INDEX(SPLIT(E117,"" + ""),3)),"""")"),"")</f>
        <v/>
      </c>
      <c r="K117" s="3">
        <f>IFERROR(__xludf.DUMMYFUNCTION("IFERROR(IF(H117="""",0,INDEX(FILTER($Q$2:Q116,$C$2:C116=H117,$G$2:G116=G117),ROWS(FILTER($Q$2:Q116,$C$2:C116=H117,$G$2:G116=G117)),1)),1500)"),1486.0)</f>
        <v>1486</v>
      </c>
      <c r="L117" s="3">
        <f>IFERROR(__xludf.DUMMYFUNCTION("IFERROR(IF(I117="""",0,INDEX(FILTER($Q$2:Q116,$C$2:C116=I117,$G$2:G116=G117),ROWS(FILTER($Q$2:Q116,$C$2:C116=I117,$G$2:G116=G117)),1)),1500)"),1554.0)</f>
        <v>1554</v>
      </c>
      <c r="M117" s="3">
        <f>IFERROR(__xludf.DUMMYFUNCTION("IFERROR(IF(J117="""",0,INDEX(FILTER($Q$2:Q116,$C$2:C116=J117,$G$2:G116=G117),ROWS(FILTER($Q$2:Q116,$C$2:C116=J117,$G$2:G116=G117)),1)),1500)"),0.0)</f>
        <v>0</v>
      </c>
      <c r="N117" s="3">
        <f>IFERROR(__xludf.DUMMYFUNCTION("IFERROR(INDEX(FILTER($Q$2:Q116,$C$2:C116=C117,$G$2:G116=G117),ROWS(FILTER($Q$2:Q116,$C$2:C116=C117,$G$2:G116=G117)),1),1500)"),1559.0)</f>
        <v>1559</v>
      </c>
      <c r="O117" s="3">
        <f t="shared" si="3"/>
        <v>1520</v>
      </c>
      <c r="P117" s="9">
        <f t="shared" si="1"/>
        <v>-18</v>
      </c>
      <c r="Q117" s="5">
        <f t="shared" si="2"/>
        <v>1541</v>
      </c>
    </row>
    <row r="118">
      <c r="A118" s="3" t="str">
        <f>IFERROR(__xludf.DUMMYFUNCTION("""COMPUTED_VALUE"""),"1LVGCvXXnu2t7FTwKk7LwATdO_fd6COtJ")</f>
        <v>1LVGCvXXnu2t7FTwKk7LwATdO_fd6COtJ</v>
      </c>
      <c r="B118" s="13">
        <f>IFERROR(__xludf.DUMMYFUNCTION("""COMPUTED_VALUE"""),45976.0)</f>
        <v>45976</v>
      </c>
      <c r="C118" s="3" t="str">
        <f>IFERROR(__xludf.DUMMYFUNCTION("""COMPUTED_VALUE"""),"Kesny")</f>
        <v>Kesny</v>
      </c>
      <c r="D118" s="3" t="str">
        <f>IFERROR(__xludf.DUMMYFUNCTION("""COMPUTED_VALUE"""),"Kesny + Nebus.")</f>
        <v>Kesny + Nebus.</v>
      </c>
      <c r="E118" s="3" t="str">
        <f>IFERROR(__xludf.DUMMYFUNCTION("""COMPUTED_VALUE"""),"Malena + ZeroO")</f>
        <v>Malena + ZeroO</v>
      </c>
      <c r="F118" s="3" t="str">
        <f>IFERROR(__xludf.DUMMYFUNCTION("""COMPUTED_VALUE"""),"loss")</f>
        <v>loss</v>
      </c>
      <c r="G118" s="3" t="str">
        <f>IFERROR(__xludf.DUMMYFUNCTION("""COMPUTED_VALUE"""),"2v2")</f>
        <v>2v2</v>
      </c>
      <c r="H118" s="3" t="str">
        <f>IFERROR(__xludf.DUMMYFUNCTION("IFERROR(TRIM(INDEX(SPLIT(E118,"" + ""),1)),"""")"),"Malena")</f>
        <v>Malena</v>
      </c>
      <c r="I118" s="3" t="str">
        <f>IFERROR(__xludf.DUMMYFUNCTION("IFERROR(TRIM(INDEX(SPLIT(E118,"" + ""),2)),"""")"),"ZeroO")</f>
        <v>ZeroO</v>
      </c>
      <c r="J118" s="5" t="str">
        <f>IFERROR(__xludf.DUMMYFUNCTION("IFERROR(TRIM(INDEX(SPLIT(E118,"" + ""),3)),"""")"),"")</f>
        <v/>
      </c>
      <c r="K118" s="3">
        <f>IFERROR(__xludf.DUMMYFUNCTION("IFERROR(IF(H118="""",0,INDEX(FILTER($Q$2:Q117,$C$2:C117=H118,$G$2:G117=G118),ROWS(FILTER($Q$2:Q117,$C$2:C117=H118,$G$2:G117=G118)),1)),1500)"),1554.0)</f>
        <v>1554</v>
      </c>
      <c r="L118" s="3">
        <f>IFERROR(__xludf.DUMMYFUNCTION("IFERROR(IF(I118="""",0,INDEX(FILTER($Q$2:Q117,$C$2:C117=I118,$G$2:G117=G118),ROWS(FILTER($Q$2:Q117,$C$2:C117=I118,$G$2:G117=G118)),1)),1500)"),1541.0)</f>
        <v>1541</v>
      </c>
      <c r="M118" s="3">
        <f>IFERROR(__xludf.DUMMYFUNCTION("IFERROR(IF(J118="""",0,INDEX(FILTER($Q$2:Q117,$C$2:C117=J118,$G$2:G117=G118),ROWS(FILTER($Q$2:Q117,$C$2:C117=J118,$G$2:G117=G118)),1)),1500)"),0.0)</f>
        <v>0</v>
      </c>
      <c r="N118" s="3">
        <f>IFERROR(__xludf.DUMMYFUNCTION("IFERROR(INDEX(FILTER($Q$2:Q117,$C$2:C117=C118,$G$2:G117=G118),ROWS(FILTER($Q$2:Q117,$C$2:C117=C118,$G$2:G117=G118)),1),1500)"),1486.0)</f>
        <v>1486</v>
      </c>
      <c r="O118" s="3">
        <f t="shared" si="3"/>
        <v>1547.5</v>
      </c>
      <c r="P118" s="9">
        <f t="shared" si="1"/>
        <v>-13</v>
      </c>
      <c r="Q118" s="5">
        <f t="shared" si="2"/>
        <v>1473</v>
      </c>
    </row>
    <row r="119">
      <c r="A119" s="3" t="str">
        <f>IFERROR(__xludf.DUMMYFUNCTION("""COMPUTED_VALUE"""),"1LVGCvXXnu2t7FTwKk7LwATdO_fd6COtJ")</f>
        <v>1LVGCvXXnu2t7FTwKk7LwATdO_fd6COtJ</v>
      </c>
      <c r="B119" s="13">
        <f>IFERROR(__xludf.DUMMYFUNCTION("""COMPUTED_VALUE"""),45976.0)</f>
        <v>45976</v>
      </c>
      <c r="C119" s="3" t="str">
        <f>IFERROR(__xludf.DUMMYFUNCTION("""COMPUTED_VALUE"""),"Nebus.")</f>
        <v>Nebus.</v>
      </c>
      <c r="D119" s="3" t="str">
        <f>IFERROR(__xludf.DUMMYFUNCTION("""COMPUTED_VALUE"""),"Kesny + Nebus.")</f>
        <v>Kesny + Nebus.</v>
      </c>
      <c r="E119" s="3" t="str">
        <f>IFERROR(__xludf.DUMMYFUNCTION("""COMPUTED_VALUE"""),"Malena + ZeroO")</f>
        <v>Malena + ZeroO</v>
      </c>
      <c r="F119" s="3" t="str">
        <f>IFERROR(__xludf.DUMMYFUNCTION("""COMPUTED_VALUE"""),"loss")</f>
        <v>loss</v>
      </c>
      <c r="G119" s="3" t="str">
        <f>IFERROR(__xludf.DUMMYFUNCTION("""COMPUTED_VALUE"""),"2v2")</f>
        <v>2v2</v>
      </c>
      <c r="H119" s="3" t="str">
        <f>IFERROR(__xludf.DUMMYFUNCTION("IFERROR(TRIM(INDEX(SPLIT(E119,"" + ""),1)),"""")"),"Malena")</f>
        <v>Malena</v>
      </c>
      <c r="I119" s="3" t="str">
        <f>IFERROR(__xludf.DUMMYFUNCTION("IFERROR(TRIM(INDEX(SPLIT(E119,"" + ""),2)),"""")"),"ZeroO")</f>
        <v>ZeroO</v>
      </c>
      <c r="J119" s="5" t="str">
        <f>IFERROR(__xludf.DUMMYFUNCTION("IFERROR(TRIM(INDEX(SPLIT(E119,"" + ""),3)),"""")"),"")</f>
        <v/>
      </c>
      <c r="K119" s="3">
        <f>IFERROR(__xludf.DUMMYFUNCTION("IFERROR(IF(H119="""",0,INDEX(FILTER($Q$2:Q118,$C$2:C118=H119,$G$2:G118=G119),ROWS(FILTER($Q$2:Q118,$C$2:C118=H119,$G$2:G118=G119)),1)),1500)"),1554.0)</f>
        <v>1554</v>
      </c>
      <c r="L119" s="3">
        <f>IFERROR(__xludf.DUMMYFUNCTION("IFERROR(IF(I119="""",0,INDEX(FILTER($Q$2:Q118,$C$2:C118=I119,$G$2:G118=G119),ROWS(FILTER($Q$2:Q118,$C$2:C118=I119,$G$2:G118=G119)),1)),1500)"),1541.0)</f>
        <v>1541</v>
      </c>
      <c r="M119" s="3">
        <f>IFERROR(__xludf.DUMMYFUNCTION("IFERROR(IF(J119="""",0,INDEX(FILTER($Q$2:Q118,$C$2:C118=J119,$G$2:G118=G119),ROWS(FILTER($Q$2:Q118,$C$2:C118=J119,$G$2:G118=G119)),1)),1500)"),0.0)</f>
        <v>0</v>
      </c>
      <c r="N119" s="3">
        <f>IFERROR(__xludf.DUMMYFUNCTION("IFERROR(INDEX(FILTER($Q$2:Q118,$C$2:C118=C119,$G$2:G118=G119),ROWS(FILTER($Q$2:Q118,$C$2:C118=C119,$G$2:G118=G119)),1),1500)"),1521.0)</f>
        <v>1521</v>
      </c>
      <c r="O119" s="3">
        <f t="shared" si="3"/>
        <v>1547.5</v>
      </c>
      <c r="P119" s="9">
        <f t="shared" si="1"/>
        <v>-15</v>
      </c>
      <c r="Q119" s="5">
        <f t="shared" si="2"/>
        <v>1506</v>
      </c>
    </row>
    <row r="120">
      <c r="A120" s="3" t="str">
        <f>IFERROR(__xludf.DUMMYFUNCTION("""COMPUTED_VALUE"""),"1LVGCvXXnu2t7FTwKk7LwATdO_fd6COtJ")</f>
        <v>1LVGCvXXnu2t7FTwKk7LwATdO_fd6COtJ</v>
      </c>
      <c r="B120" s="13">
        <f>IFERROR(__xludf.DUMMYFUNCTION("""COMPUTED_VALUE"""),45976.0)</f>
        <v>45976</v>
      </c>
      <c r="C120" s="3" t="str">
        <f>IFERROR(__xludf.DUMMYFUNCTION("""COMPUTED_VALUE"""),"Malena")</f>
        <v>Malena</v>
      </c>
      <c r="D120" s="3" t="str">
        <f>IFERROR(__xludf.DUMMYFUNCTION("""COMPUTED_VALUE"""),"Malena + ZeroO")</f>
        <v>Malena + ZeroO</v>
      </c>
      <c r="E120" s="3" t="str">
        <f>IFERROR(__xludf.DUMMYFUNCTION("""COMPUTED_VALUE"""),"Kesny + Nebus.")</f>
        <v>Kesny + Nebus.</v>
      </c>
      <c r="F120" s="3" t="str">
        <f>IFERROR(__xludf.DUMMYFUNCTION("""COMPUTED_VALUE"""),"win")</f>
        <v>win</v>
      </c>
      <c r="G120" s="3" t="str">
        <f>IFERROR(__xludf.DUMMYFUNCTION("""COMPUTED_VALUE"""),"2v2")</f>
        <v>2v2</v>
      </c>
      <c r="H120" s="3" t="str">
        <f>IFERROR(__xludf.DUMMYFUNCTION("IFERROR(TRIM(INDEX(SPLIT(E120,"" + ""),1)),"""")"),"Kesny")</f>
        <v>Kesny</v>
      </c>
      <c r="I120" s="3" t="str">
        <f>IFERROR(__xludf.DUMMYFUNCTION("IFERROR(TRIM(INDEX(SPLIT(E120,"" + ""),2)),"""")"),"Nebus.")</f>
        <v>Nebus.</v>
      </c>
      <c r="J120" s="5" t="str">
        <f>IFERROR(__xludf.DUMMYFUNCTION("IFERROR(TRIM(INDEX(SPLIT(E120,"" + ""),3)),"""")"),"")</f>
        <v/>
      </c>
      <c r="K120" s="3">
        <f>IFERROR(__xludf.DUMMYFUNCTION("IFERROR(IF(H120="""",0,INDEX(FILTER($Q$2:Q119,$C$2:C119=H120,$G$2:G119=G120),ROWS(FILTER($Q$2:Q119,$C$2:C119=H120,$G$2:G119=G120)),1)),1500)"),1473.0)</f>
        <v>1473</v>
      </c>
      <c r="L120" s="3">
        <f>IFERROR(__xludf.DUMMYFUNCTION("IFERROR(IF(I120="""",0,INDEX(FILTER($Q$2:Q119,$C$2:C119=I120,$G$2:G119=G120),ROWS(FILTER($Q$2:Q119,$C$2:C119=I120,$G$2:G119=G120)),1)),1500)"),1506.0)</f>
        <v>1506</v>
      </c>
      <c r="M120" s="3">
        <f>IFERROR(__xludf.DUMMYFUNCTION("IFERROR(IF(J120="""",0,INDEX(FILTER($Q$2:Q119,$C$2:C119=J120,$G$2:G119=G120),ROWS(FILTER($Q$2:Q119,$C$2:C119=J120,$G$2:G119=G120)),1)),1500)"),0.0)</f>
        <v>0</v>
      </c>
      <c r="N120" s="3">
        <f>IFERROR(__xludf.DUMMYFUNCTION("IFERROR(INDEX(FILTER($Q$2:Q119,$C$2:C119=C120,$G$2:G119=G120),ROWS(FILTER($Q$2:Q119,$C$2:C119=C120,$G$2:G119=G120)),1),1500)"),1554.0)</f>
        <v>1554</v>
      </c>
      <c r="O120" s="3">
        <f t="shared" si="3"/>
        <v>1489.5</v>
      </c>
      <c r="P120" s="9">
        <f t="shared" si="1"/>
        <v>13</v>
      </c>
      <c r="Q120" s="5">
        <f t="shared" si="2"/>
        <v>1567</v>
      </c>
    </row>
    <row r="121">
      <c r="A121" s="3" t="str">
        <f>IFERROR(__xludf.DUMMYFUNCTION("""COMPUTED_VALUE"""),"1LVGCvXXnu2t7FTwKk7LwATdO_fd6COtJ")</f>
        <v>1LVGCvXXnu2t7FTwKk7LwATdO_fd6COtJ</v>
      </c>
      <c r="B121" s="13">
        <f>IFERROR(__xludf.DUMMYFUNCTION("""COMPUTED_VALUE"""),45976.0)</f>
        <v>45976</v>
      </c>
      <c r="C121" s="3" t="str">
        <f>IFERROR(__xludf.DUMMYFUNCTION("""COMPUTED_VALUE"""),"ZeroO")</f>
        <v>ZeroO</v>
      </c>
      <c r="D121" s="3" t="str">
        <f>IFERROR(__xludf.DUMMYFUNCTION("""COMPUTED_VALUE"""),"Malena + ZeroO")</f>
        <v>Malena + ZeroO</v>
      </c>
      <c r="E121" s="3" t="str">
        <f>IFERROR(__xludf.DUMMYFUNCTION("""COMPUTED_VALUE"""),"Kesny + Nebus.")</f>
        <v>Kesny + Nebus.</v>
      </c>
      <c r="F121" s="3" t="str">
        <f>IFERROR(__xludf.DUMMYFUNCTION("""COMPUTED_VALUE"""),"win")</f>
        <v>win</v>
      </c>
      <c r="G121" s="3" t="str">
        <f>IFERROR(__xludf.DUMMYFUNCTION("""COMPUTED_VALUE"""),"2v2")</f>
        <v>2v2</v>
      </c>
      <c r="H121" s="3" t="str">
        <f>IFERROR(__xludf.DUMMYFUNCTION("IFERROR(TRIM(INDEX(SPLIT(E121,"" + ""),1)),"""")"),"Kesny")</f>
        <v>Kesny</v>
      </c>
      <c r="I121" s="3" t="str">
        <f>IFERROR(__xludf.DUMMYFUNCTION("IFERROR(TRIM(INDEX(SPLIT(E121,"" + ""),2)),"""")"),"Nebus.")</f>
        <v>Nebus.</v>
      </c>
      <c r="J121" s="5" t="str">
        <f>IFERROR(__xludf.DUMMYFUNCTION("IFERROR(TRIM(INDEX(SPLIT(E121,"" + ""),3)),"""")"),"")</f>
        <v/>
      </c>
      <c r="K121" s="3">
        <f>IFERROR(__xludf.DUMMYFUNCTION("IFERROR(IF(H121="""",0,INDEX(FILTER($Q$2:Q120,$C$2:C120=H121,$G$2:G120=G121),ROWS(FILTER($Q$2:Q120,$C$2:C120=H121,$G$2:G120=G121)),1)),1500)"),1473.0)</f>
        <v>1473</v>
      </c>
      <c r="L121" s="3">
        <f>IFERROR(__xludf.DUMMYFUNCTION("IFERROR(IF(I121="""",0,INDEX(FILTER($Q$2:Q120,$C$2:C120=I121,$G$2:G120=G121),ROWS(FILTER($Q$2:Q120,$C$2:C120=I121,$G$2:G120=G121)),1)),1500)"),1506.0)</f>
        <v>1506</v>
      </c>
      <c r="M121" s="3">
        <f>IFERROR(__xludf.DUMMYFUNCTION("IFERROR(IF(J121="""",0,INDEX(FILTER($Q$2:Q120,$C$2:C120=J121,$G$2:G120=G121),ROWS(FILTER($Q$2:Q120,$C$2:C120=J121,$G$2:G120=G121)),1)),1500)"),0.0)</f>
        <v>0</v>
      </c>
      <c r="N121" s="3">
        <f>IFERROR(__xludf.DUMMYFUNCTION("IFERROR(INDEX(FILTER($Q$2:Q120,$C$2:C120=C121,$G$2:G120=G121),ROWS(FILTER($Q$2:Q120,$C$2:C120=C121,$G$2:G120=G121)),1),1500)"),1541.0)</f>
        <v>1541</v>
      </c>
      <c r="O121" s="3">
        <f t="shared" si="3"/>
        <v>1489.5</v>
      </c>
      <c r="P121" s="9">
        <f t="shared" si="1"/>
        <v>14</v>
      </c>
      <c r="Q121" s="5">
        <f t="shared" si="2"/>
        <v>1555</v>
      </c>
    </row>
    <row r="122">
      <c r="A122" s="3" t="str">
        <f>IFERROR(__xludf.DUMMYFUNCTION("""COMPUTED_VALUE"""),"1JWPRMkC02R3gKsIae-Ezjvo4oH_EeHb0")</f>
        <v>1JWPRMkC02R3gKsIae-Ezjvo4oH_EeHb0</v>
      </c>
      <c r="B122" s="13">
        <f>IFERROR(__xludf.DUMMYFUNCTION("""COMPUTED_VALUE"""),45976.0)</f>
        <v>45976</v>
      </c>
      <c r="C122" s="3" t="str">
        <f>IFERROR(__xludf.DUMMYFUNCTION("""COMPUTED_VALUE"""),"Kesny")</f>
        <v>Kesny</v>
      </c>
      <c r="D122" s="3" t="str">
        <f>IFERROR(__xludf.DUMMYFUNCTION("""COMPUTED_VALUE"""),"Kesny + Nebus.")</f>
        <v>Kesny + Nebus.</v>
      </c>
      <c r="E122" s="3" t="str">
        <f>IFERROR(__xludf.DUMMYFUNCTION("""COMPUTED_VALUE"""),"Malena + ZeroO")</f>
        <v>Malena + ZeroO</v>
      </c>
      <c r="F122" s="3" t="str">
        <f>IFERROR(__xludf.DUMMYFUNCTION("""COMPUTED_VALUE"""),"win")</f>
        <v>win</v>
      </c>
      <c r="G122" s="3" t="str">
        <f>IFERROR(__xludf.DUMMYFUNCTION("""COMPUTED_VALUE"""),"2v2")</f>
        <v>2v2</v>
      </c>
      <c r="H122" s="3" t="str">
        <f>IFERROR(__xludf.DUMMYFUNCTION("IFERROR(TRIM(INDEX(SPLIT(E122,"" + ""),1)),"""")"),"Malena")</f>
        <v>Malena</v>
      </c>
      <c r="I122" s="3" t="str">
        <f>IFERROR(__xludf.DUMMYFUNCTION("IFERROR(TRIM(INDEX(SPLIT(E122,"" + ""),2)),"""")"),"ZeroO")</f>
        <v>ZeroO</v>
      </c>
      <c r="J122" s="5" t="str">
        <f>IFERROR(__xludf.DUMMYFUNCTION("IFERROR(TRIM(INDEX(SPLIT(E122,"" + ""),3)),"""")"),"")</f>
        <v/>
      </c>
      <c r="K122" s="3">
        <f>IFERROR(__xludf.DUMMYFUNCTION("IFERROR(IF(H122="""",0,INDEX(FILTER($Q$2:Q121,$C$2:C121=H122,$G$2:G121=G122),ROWS(FILTER($Q$2:Q121,$C$2:C121=H122,$G$2:G121=G122)),1)),1500)"),1567.0)</f>
        <v>1567</v>
      </c>
      <c r="L122" s="3">
        <f>IFERROR(__xludf.DUMMYFUNCTION("IFERROR(IF(I122="""",0,INDEX(FILTER($Q$2:Q121,$C$2:C121=I122,$G$2:G121=G122),ROWS(FILTER($Q$2:Q121,$C$2:C121=I122,$G$2:G121=G122)),1)),1500)"),1555.0)</f>
        <v>1555</v>
      </c>
      <c r="M122" s="3">
        <f>IFERROR(__xludf.DUMMYFUNCTION("IFERROR(IF(J122="""",0,INDEX(FILTER($Q$2:Q121,$C$2:C121=J122,$G$2:G121=G122),ROWS(FILTER($Q$2:Q121,$C$2:C121=J122,$G$2:G121=G122)),1)),1500)"),0.0)</f>
        <v>0</v>
      </c>
      <c r="N122" s="3">
        <f>IFERROR(__xludf.DUMMYFUNCTION("IFERROR(INDEX(FILTER($Q$2:Q121,$C$2:C121=C122,$G$2:G121=G122),ROWS(FILTER($Q$2:Q121,$C$2:C121=C122,$G$2:G121=G122)),1),1500)"),1473.0)</f>
        <v>1473</v>
      </c>
      <c r="O122" s="3">
        <f t="shared" si="3"/>
        <v>1561</v>
      </c>
      <c r="P122" s="9">
        <f t="shared" si="1"/>
        <v>20</v>
      </c>
      <c r="Q122" s="5">
        <f t="shared" si="2"/>
        <v>1493</v>
      </c>
    </row>
    <row r="123">
      <c r="A123" s="3" t="str">
        <f>IFERROR(__xludf.DUMMYFUNCTION("""COMPUTED_VALUE"""),"1JWPRMkC02R3gKsIae-Ezjvo4oH_EeHb0")</f>
        <v>1JWPRMkC02R3gKsIae-Ezjvo4oH_EeHb0</v>
      </c>
      <c r="B123" s="13">
        <f>IFERROR(__xludf.DUMMYFUNCTION("""COMPUTED_VALUE"""),45976.0)</f>
        <v>45976</v>
      </c>
      <c r="C123" s="3" t="str">
        <f>IFERROR(__xludf.DUMMYFUNCTION("""COMPUTED_VALUE"""),"Nebus.")</f>
        <v>Nebus.</v>
      </c>
      <c r="D123" s="3" t="str">
        <f>IFERROR(__xludf.DUMMYFUNCTION("""COMPUTED_VALUE"""),"Kesny + Nebus.")</f>
        <v>Kesny + Nebus.</v>
      </c>
      <c r="E123" s="3" t="str">
        <f>IFERROR(__xludf.DUMMYFUNCTION("""COMPUTED_VALUE"""),"Malena + ZeroO")</f>
        <v>Malena + ZeroO</v>
      </c>
      <c r="F123" s="3" t="str">
        <f>IFERROR(__xludf.DUMMYFUNCTION("""COMPUTED_VALUE"""),"win")</f>
        <v>win</v>
      </c>
      <c r="G123" s="3" t="str">
        <f>IFERROR(__xludf.DUMMYFUNCTION("""COMPUTED_VALUE"""),"2v2")</f>
        <v>2v2</v>
      </c>
      <c r="H123" s="3" t="str">
        <f>IFERROR(__xludf.DUMMYFUNCTION("IFERROR(TRIM(INDEX(SPLIT(E123,"" + ""),1)),"""")"),"Malena")</f>
        <v>Malena</v>
      </c>
      <c r="I123" s="3" t="str">
        <f>IFERROR(__xludf.DUMMYFUNCTION("IFERROR(TRIM(INDEX(SPLIT(E123,"" + ""),2)),"""")"),"ZeroO")</f>
        <v>ZeroO</v>
      </c>
      <c r="J123" s="5" t="str">
        <f>IFERROR(__xludf.DUMMYFUNCTION("IFERROR(TRIM(INDEX(SPLIT(E123,"" + ""),3)),"""")"),"")</f>
        <v/>
      </c>
      <c r="K123" s="3">
        <f>IFERROR(__xludf.DUMMYFUNCTION("IFERROR(IF(H123="""",0,INDEX(FILTER($Q$2:Q122,$C$2:C122=H123,$G$2:G122=G123),ROWS(FILTER($Q$2:Q122,$C$2:C122=H123,$G$2:G122=G123)),1)),1500)"),1567.0)</f>
        <v>1567</v>
      </c>
      <c r="L123" s="3">
        <f>IFERROR(__xludf.DUMMYFUNCTION("IFERROR(IF(I123="""",0,INDEX(FILTER($Q$2:Q122,$C$2:C122=I123,$G$2:G122=G123),ROWS(FILTER($Q$2:Q122,$C$2:C122=I123,$G$2:G122=G123)),1)),1500)"),1555.0)</f>
        <v>1555</v>
      </c>
      <c r="M123" s="3">
        <f>IFERROR(__xludf.DUMMYFUNCTION("IFERROR(IF(J123="""",0,INDEX(FILTER($Q$2:Q122,$C$2:C122=J123,$G$2:G122=G123),ROWS(FILTER($Q$2:Q122,$C$2:C122=J123,$G$2:G122=G123)),1)),1500)"),0.0)</f>
        <v>0</v>
      </c>
      <c r="N123" s="3">
        <f>IFERROR(__xludf.DUMMYFUNCTION("IFERROR(INDEX(FILTER($Q$2:Q122,$C$2:C122=C123,$G$2:G122=G123),ROWS(FILTER($Q$2:Q122,$C$2:C122=C123,$G$2:G122=G123)),1),1500)"),1506.0)</f>
        <v>1506</v>
      </c>
      <c r="O123" s="3">
        <f t="shared" si="3"/>
        <v>1561</v>
      </c>
      <c r="P123" s="9">
        <f t="shared" si="1"/>
        <v>19</v>
      </c>
      <c r="Q123" s="5">
        <f t="shared" si="2"/>
        <v>1525</v>
      </c>
    </row>
    <row r="124">
      <c r="A124" s="3" t="str">
        <f>IFERROR(__xludf.DUMMYFUNCTION("""COMPUTED_VALUE"""),"1JWPRMkC02R3gKsIae-Ezjvo4oH_EeHb0")</f>
        <v>1JWPRMkC02R3gKsIae-Ezjvo4oH_EeHb0</v>
      </c>
      <c r="B124" s="13">
        <f>IFERROR(__xludf.DUMMYFUNCTION("""COMPUTED_VALUE"""),45976.0)</f>
        <v>45976</v>
      </c>
      <c r="C124" s="3" t="str">
        <f>IFERROR(__xludf.DUMMYFUNCTION("""COMPUTED_VALUE"""),"ZeroO")</f>
        <v>ZeroO</v>
      </c>
      <c r="D124" s="3" t="str">
        <f>IFERROR(__xludf.DUMMYFUNCTION("""COMPUTED_VALUE"""),"Malena + ZeroO")</f>
        <v>Malena + ZeroO</v>
      </c>
      <c r="E124" s="3" t="str">
        <f>IFERROR(__xludf.DUMMYFUNCTION("""COMPUTED_VALUE"""),"Kesny + Nebus.")</f>
        <v>Kesny + Nebus.</v>
      </c>
      <c r="F124" s="3" t="str">
        <f>IFERROR(__xludf.DUMMYFUNCTION("""COMPUTED_VALUE"""),"loss")</f>
        <v>loss</v>
      </c>
      <c r="G124" s="3" t="str">
        <f>IFERROR(__xludf.DUMMYFUNCTION("""COMPUTED_VALUE"""),"2v2")</f>
        <v>2v2</v>
      </c>
      <c r="H124" s="3" t="str">
        <f>IFERROR(__xludf.DUMMYFUNCTION("IFERROR(TRIM(INDEX(SPLIT(E124,"" + ""),1)),"""")"),"Kesny")</f>
        <v>Kesny</v>
      </c>
      <c r="I124" s="3" t="str">
        <f>IFERROR(__xludf.DUMMYFUNCTION("IFERROR(TRIM(INDEX(SPLIT(E124,"" + ""),2)),"""")"),"Nebus.")</f>
        <v>Nebus.</v>
      </c>
      <c r="J124" s="5" t="str">
        <f>IFERROR(__xludf.DUMMYFUNCTION("IFERROR(TRIM(INDEX(SPLIT(E124,"" + ""),3)),"""")"),"")</f>
        <v/>
      </c>
      <c r="K124" s="3">
        <f>IFERROR(__xludf.DUMMYFUNCTION("IFERROR(IF(H124="""",0,INDEX(FILTER($Q$2:Q123,$C$2:C123=H124,$G$2:G123=G124),ROWS(FILTER($Q$2:Q123,$C$2:C123=H124,$G$2:G123=G124)),1)),1500)"),1493.0)</f>
        <v>1493</v>
      </c>
      <c r="L124" s="3">
        <f>IFERROR(__xludf.DUMMYFUNCTION("IFERROR(IF(I124="""",0,INDEX(FILTER($Q$2:Q123,$C$2:C123=I124,$G$2:G123=G124),ROWS(FILTER($Q$2:Q123,$C$2:C123=I124,$G$2:G123=G124)),1)),1500)"),1525.0)</f>
        <v>1525</v>
      </c>
      <c r="M124" s="3">
        <f>IFERROR(__xludf.DUMMYFUNCTION("IFERROR(IF(J124="""",0,INDEX(FILTER($Q$2:Q123,$C$2:C123=J124,$G$2:G123=G124),ROWS(FILTER($Q$2:Q123,$C$2:C123=J124,$G$2:G123=G124)),1)),1500)"),0.0)</f>
        <v>0</v>
      </c>
      <c r="N124" s="3">
        <f>IFERROR(__xludf.DUMMYFUNCTION("IFERROR(INDEX(FILTER($Q$2:Q123,$C$2:C123=C124,$G$2:G123=G124),ROWS(FILTER($Q$2:Q123,$C$2:C123=C124,$G$2:G123=G124)),1),1500)"),1555.0)</f>
        <v>1555</v>
      </c>
      <c r="O124" s="3">
        <f t="shared" si="3"/>
        <v>1509</v>
      </c>
      <c r="P124" s="9">
        <f t="shared" si="1"/>
        <v>-18</v>
      </c>
      <c r="Q124" s="5">
        <f t="shared" si="2"/>
        <v>1537</v>
      </c>
    </row>
    <row r="125">
      <c r="A125" s="3" t="str">
        <f>IFERROR(__xludf.DUMMYFUNCTION("""COMPUTED_VALUE"""),"1JWPRMkC02R3gKsIae-Ezjvo4oH_EeHb0")</f>
        <v>1JWPRMkC02R3gKsIae-Ezjvo4oH_EeHb0</v>
      </c>
      <c r="B125" s="13">
        <f>IFERROR(__xludf.DUMMYFUNCTION("""COMPUTED_VALUE"""),45976.0)</f>
        <v>45976</v>
      </c>
      <c r="C125" s="3" t="str">
        <f>IFERROR(__xludf.DUMMYFUNCTION("""COMPUTED_VALUE"""),"Malena")</f>
        <v>Malena</v>
      </c>
      <c r="D125" s="3" t="str">
        <f>IFERROR(__xludf.DUMMYFUNCTION("""COMPUTED_VALUE"""),"Malena + ZeroO")</f>
        <v>Malena + ZeroO</v>
      </c>
      <c r="E125" s="3" t="str">
        <f>IFERROR(__xludf.DUMMYFUNCTION("""COMPUTED_VALUE"""),"Kesny + Nebus.")</f>
        <v>Kesny + Nebus.</v>
      </c>
      <c r="F125" s="3" t="str">
        <f>IFERROR(__xludf.DUMMYFUNCTION("""COMPUTED_VALUE"""),"loss")</f>
        <v>loss</v>
      </c>
      <c r="G125" s="3" t="str">
        <f>IFERROR(__xludf.DUMMYFUNCTION("""COMPUTED_VALUE"""),"2v2")</f>
        <v>2v2</v>
      </c>
      <c r="H125" s="3" t="str">
        <f>IFERROR(__xludf.DUMMYFUNCTION("IFERROR(TRIM(INDEX(SPLIT(E125,"" + ""),1)),"""")"),"Kesny")</f>
        <v>Kesny</v>
      </c>
      <c r="I125" s="3" t="str">
        <f>IFERROR(__xludf.DUMMYFUNCTION("IFERROR(TRIM(INDEX(SPLIT(E125,"" + ""),2)),"""")"),"Nebus.")</f>
        <v>Nebus.</v>
      </c>
      <c r="J125" s="5" t="str">
        <f>IFERROR(__xludf.DUMMYFUNCTION("IFERROR(TRIM(INDEX(SPLIT(E125,"" + ""),3)),"""")"),"")</f>
        <v/>
      </c>
      <c r="K125" s="3">
        <f>IFERROR(__xludf.DUMMYFUNCTION("IFERROR(IF(H125="""",0,INDEX(FILTER($Q$2:Q124,$C$2:C124=H125,$G$2:G124=G125),ROWS(FILTER($Q$2:Q124,$C$2:C124=H125,$G$2:G124=G125)),1)),1500)"),1493.0)</f>
        <v>1493</v>
      </c>
      <c r="L125" s="3">
        <f>IFERROR(__xludf.DUMMYFUNCTION("IFERROR(IF(I125="""",0,INDEX(FILTER($Q$2:Q124,$C$2:C124=I125,$G$2:G124=G125),ROWS(FILTER($Q$2:Q124,$C$2:C124=I125,$G$2:G124=G125)),1)),1500)"),1525.0)</f>
        <v>1525</v>
      </c>
      <c r="M125" s="3">
        <f>IFERROR(__xludf.DUMMYFUNCTION("IFERROR(IF(J125="""",0,INDEX(FILTER($Q$2:Q124,$C$2:C124=J125,$G$2:G124=G125),ROWS(FILTER($Q$2:Q124,$C$2:C124=J125,$G$2:G124=G125)),1)),1500)"),0.0)</f>
        <v>0</v>
      </c>
      <c r="N125" s="3">
        <f>IFERROR(__xludf.DUMMYFUNCTION("IFERROR(INDEX(FILTER($Q$2:Q124,$C$2:C124=C125,$G$2:G124=G125),ROWS(FILTER($Q$2:Q124,$C$2:C124=C125,$G$2:G124=G125)),1),1500)"),1567.0)</f>
        <v>1567</v>
      </c>
      <c r="O125" s="3">
        <f t="shared" si="3"/>
        <v>1509</v>
      </c>
      <c r="P125" s="9">
        <f t="shared" si="1"/>
        <v>-19</v>
      </c>
      <c r="Q125" s="5">
        <f t="shared" si="2"/>
        <v>1548</v>
      </c>
    </row>
    <row r="126">
      <c r="A126" s="3" t="str">
        <f>IFERROR(__xludf.DUMMYFUNCTION("""COMPUTED_VALUE"""),"13eCSLe08CB9k46MG72a1J-wwH5pvn60M")</f>
        <v>13eCSLe08CB9k46MG72a1J-wwH5pvn60M</v>
      </c>
      <c r="B126" s="13">
        <f>IFERROR(__xludf.DUMMYFUNCTION("""COMPUTED_VALUE"""),45976.0)</f>
        <v>45976</v>
      </c>
      <c r="C126" s="3" t="str">
        <f>IFERROR(__xludf.DUMMYFUNCTION("""COMPUTED_VALUE"""),"Malena")</f>
        <v>Malena</v>
      </c>
      <c r="D126" s="3" t="str">
        <f>IFERROR(__xludf.DUMMYFUNCTION("""COMPUTED_VALUE"""),"Malena + Nebus.")</f>
        <v>Malena + Nebus.</v>
      </c>
      <c r="E126" s="3" t="str">
        <f>IFERROR(__xludf.DUMMYFUNCTION("""COMPUTED_VALUE"""),"Kesny + ZeroO")</f>
        <v>Kesny + ZeroO</v>
      </c>
      <c r="F126" s="3" t="str">
        <f>IFERROR(__xludf.DUMMYFUNCTION("""COMPUTED_VALUE"""),"win")</f>
        <v>win</v>
      </c>
      <c r="G126" s="3" t="str">
        <f>IFERROR(__xludf.DUMMYFUNCTION("""COMPUTED_VALUE"""),"2v2")</f>
        <v>2v2</v>
      </c>
      <c r="H126" s="3" t="str">
        <f>IFERROR(__xludf.DUMMYFUNCTION("IFERROR(TRIM(INDEX(SPLIT(E126,"" + ""),1)),"""")"),"Kesny")</f>
        <v>Kesny</v>
      </c>
      <c r="I126" s="3" t="str">
        <f>IFERROR(__xludf.DUMMYFUNCTION("IFERROR(TRIM(INDEX(SPLIT(E126,"" + ""),2)),"""")"),"ZeroO")</f>
        <v>ZeroO</v>
      </c>
      <c r="J126" s="5" t="str">
        <f>IFERROR(__xludf.DUMMYFUNCTION("IFERROR(TRIM(INDEX(SPLIT(E126,"" + ""),3)),"""")"),"")</f>
        <v/>
      </c>
      <c r="K126" s="3">
        <f>IFERROR(__xludf.DUMMYFUNCTION("IFERROR(IF(H126="""",0,INDEX(FILTER($Q$2:Q125,$C$2:C125=H126,$G$2:G125=G126),ROWS(FILTER($Q$2:Q125,$C$2:C125=H126,$G$2:G125=G126)),1)),1500)"),1493.0)</f>
        <v>1493</v>
      </c>
      <c r="L126" s="3">
        <f>IFERROR(__xludf.DUMMYFUNCTION("IFERROR(IF(I126="""",0,INDEX(FILTER($Q$2:Q125,$C$2:C125=I126,$G$2:G125=G126),ROWS(FILTER($Q$2:Q125,$C$2:C125=I126,$G$2:G125=G126)),1)),1500)"),1537.0)</f>
        <v>1537</v>
      </c>
      <c r="M126" s="3">
        <f>IFERROR(__xludf.DUMMYFUNCTION("IFERROR(IF(J126="""",0,INDEX(FILTER($Q$2:Q125,$C$2:C125=J126,$G$2:G125=G126),ROWS(FILTER($Q$2:Q125,$C$2:C125=J126,$G$2:G125=G126)),1)),1500)"),0.0)</f>
        <v>0</v>
      </c>
      <c r="N126" s="3">
        <f>IFERROR(__xludf.DUMMYFUNCTION("IFERROR(INDEX(FILTER($Q$2:Q125,$C$2:C125=C126,$G$2:G125=G126),ROWS(FILTER($Q$2:Q125,$C$2:C125=C126,$G$2:G125=G126)),1),1500)"),1548.0)</f>
        <v>1548</v>
      </c>
      <c r="O126" s="3">
        <f t="shared" si="3"/>
        <v>1515</v>
      </c>
      <c r="P126" s="9">
        <f t="shared" si="1"/>
        <v>14</v>
      </c>
      <c r="Q126" s="5">
        <f t="shared" si="2"/>
        <v>1562</v>
      </c>
    </row>
    <row r="127">
      <c r="A127" s="3" t="str">
        <f>IFERROR(__xludf.DUMMYFUNCTION("""COMPUTED_VALUE"""),"13eCSLe08CB9k46MG72a1J-wwH5pvn60M")</f>
        <v>13eCSLe08CB9k46MG72a1J-wwH5pvn60M</v>
      </c>
      <c r="B127" s="13">
        <f>IFERROR(__xludf.DUMMYFUNCTION("""COMPUTED_VALUE"""),45976.0)</f>
        <v>45976</v>
      </c>
      <c r="C127" s="3" t="str">
        <f>IFERROR(__xludf.DUMMYFUNCTION("""COMPUTED_VALUE"""),"Nebus.")</f>
        <v>Nebus.</v>
      </c>
      <c r="D127" s="3" t="str">
        <f>IFERROR(__xludf.DUMMYFUNCTION("""COMPUTED_VALUE"""),"Malena + Nebus.")</f>
        <v>Malena + Nebus.</v>
      </c>
      <c r="E127" s="3" t="str">
        <f>IFERROR(__xludf.DUMMYFUNCTION("""COMPUTED_VALUE"""),"Kesny + ZeroO")</f>
        <v>Kesny + ZeroO</v>
      </c>
      <c r="F127" s="3" t="str">
        <f>IFERROR(__xludf.DUMMYFUNCTION("""COMPUTED_VALUE"""),"win")</f>
        <v>win</v>
      </c>
      <c r="G127" s="3" t="str">
        <f>IFERROR(__xludf.DUMMYFUNCTION("""COMPUTED_VALUE"""),"2v2")</f>
        <v>2v2</v>
      </c>
      <c r="H127" s="3" t="str">
        <f>IFERROR(__xludf.DUMMYFUNCTION("IFERROR(TRIM(INDEX(SPLIT(E127,"" + ""),1)),"""")"),"Kesny")</f>
        <v>Kesny</v>
      </c>
      <c r="I127" s="3" t="str">
        <f>IFERROR(__xludf.DUMMYFUNCTION("IFERROR(TRIM(INDEX(SPLIT(E127,"" + ""),2)),"""")"),"ZeroO")</f>
        <v>ZeroO</v>
      </c>
      <c r="J127" s="5" t="str">
        <f>IFERROR(__xludf.DUMMYFUNCTION("IFERROR(TRIM(INDEX(SPLIT(E127,"" + ""),3)),"""")"),"")</f>
        <v/>
      </c>
      <c r="K127" s="3">
        <f>IFERROR(__xludf.DUMMYFUNCTION("IFERROR(IF(H127="""",0,INDEX(FILTER($Q$2:Q126,$C$2:C126=H127,$G$2:G126=G127),ROWS(FILTER($Q$2:Q126,$C$2:C126=H127,$G$2:G126=G127)),1)),1500)"),1493.0)</f>
        <v>1493</v>
      </c>
      <c r="L127" s="3">
        <f>IFERROR(__xludf.DUMMYFUNCTION("IFERROR(IF(I127="""",0,INDEX(FILTER($Q$2:Q126,$C$2:C126=I127,$G$2:G126=G127),ROWS(FILTER($Q$2:Q126,$C$2:C126=I127,$G$2:G126=G127)),1)),1500)"),1537.0)</f>
        <v>1537</v>
      </c>
      <c r="M127" s="3">
        <f>IFERROR(__xludf.DUMMYFUNCTION("IFERROR(IF(J127="""",0,INDEX(FILTER($Q$2:Q126,$C$2:C126=J127,$G$2:G126=G127),ROWS(FILTER($Q$2:Q126,$C$2:C126=J127,$G$2:G126=G127)),1)),1500)"),0.0)</f>
        <v>0</v>
      </c>
      <c r="N127" s="3">
        <f>IFERROR(__xludf.DUMMYFUNCTION("IFERROR(INDEX(FILTER($Q$2:Q126,$C$2:C126=C127,$G$2:G126=G127),ROWS(FILTER($Q$2:Q126,$C$2:C126=C127,$G$2:G126=G127)),1),1500)"),1525.0)</f>
        <v>1525</v>
      </c>
      <c r="O127" s="3">
        <f t="shared" si="3"/>
        <v>1515</v>
      </c>
      <c r="P127" s="9">
        <f t="shared" si="1"/>
        <v>16</v>
      </c>
      <c r="Q127" s="5">
        <f t="shared" si="2"/>
        <v>1541</v>
      </c>
    </row>
    <row r="128">
      <c r="A128" s="3" t="str">
        <f>IFERROR(__xludf.DUMMYFUNCTION("""COMPUTED_VALUE"""),"13eCSLe08CB9k46MG72a1J-wwH5pvn60M")</f>
        <v>13eCSLe08CB9k46MG72a1J-wwH5pvn60M</v>
      </c>
      <c r="B128" s="13">
        <f>IFERROR(__xludf.DUMMYFUNCTION("""COMPUTED_VALUE"""),45976.0)</f>
        <v>45976</v>
      </c>
      <c r="C128" s="3" t="str">
        <f>IFERROR(__xludf.DUMMYFUNCTION("""COMPUTED_VALUE"""),"Kesny")</f>
        <v>Kesny</v>
      </c>
      <c r="D128" s="3" t="str">
        <f>IFERROR(__xludf.DUMMYFUNCTION("""COMPUTED_VALUE"""),"Kesny + ZeroO")</f>
        <v>Kesny + ZeroO</v>
      </c>
      <c r="E128" s="3" t="str">
        <f>IFERROR(__xludf.DUMMYFUNCTION("""COMPUTED_VALUE"""),"Malena + Nebus.")</f>
        <v>Malena + Nebus.</v>
      </c>
      <c r="F128" s="3" t="str">
        <f>IFERROR(__xludf.DUMMYFUNCTION("""COMPUTED_VALUE"""),"loss")</f>
        <v>loss</v>
      </c>
      <c r="G128" s="3" t="str">
        <f>IFERROR(__xludf.DUMMYFUNCTION("""COMPUTED_VALUE"""),"2v2")</f>
        <v>2v2</v>
      </c>
      <c r="H128" s="3" t="str">
        <f>IFERROR(__xludf.DUMMYFUNCTION("IFERROR(TRIM(INDEX(SPLIT(E128,"" + ""),1)),"""")"),"Malena")</f>
        <v>Malena</v>
      </c>
      <c r="I128" s="3" t="str">
        <f>IFERROR(__xludf.DUMMYFUNCTION("IFERROR(TRIM(INDEX(SPLIT(E128,"" + ""),2)),"""")"),"Nebus.")</f>
        <v>Nebus.</v>
      </c>
      <c r="J128" s="5" t="str">
        <f>IFERROR(__xludf.DUMMYFUNCTION("IFERROR(TRIM(INDEX(SPLIT(E128,"" + ""),3)),"""")"),"")</f>
        <v/>
      </c>
      <c r="K128" s="3">
        <f>IFERROR(__xludf.DUMMYFUNCTION("IFERROR(IF(H128="""",0,INDEX(FILTER($Q$2:Q127,$C$2:C127=H128,$G$2:G127=G128),ROWS(FILTER($Q$2:Q127,$C$2:C127=H128,$G$2:G127=G128)),1)),1500)"),1562.0)</f>
        <v>1562</v>
      </c>
      <c r="L128" s="3">
        <f>IFERROR(__xludf.DUMMYFUNCTION("IFERROR(IF(I128="""",0,INDEX(FILTER($Q$2:Q127,$C$2:C127=I128,$G$2:G127=G128),ROWS(FILTER($Q$2:Q127,$C$2:C127=I128,$G$2:G127=G128)),1)),1500)"),1541.0)</f>
        <v>1541</v>
      </c>
      <c r="M128" s="3">
        <f>IFERROR(__xludf.DUMMYFUNCTION("IFERROR(IF(J128="""",0,INDEX(FILTER($Q$2:Q127,$C$2:C127=J128,$G$2:G127=G128),ROWS(FILTER($Q$2:Q127,$C$2:C127=J128,$G$2:G127=G128)),1)),1500)"),0.0)</f>
        <v>0</v>
      </c>
      <c r="N128" s="3">
        <f>IFERROR(__xludf.DUMMYFUNCTION("IFERROR(INDEX(FILTER($Q$2:Q127,$C$2:C127=C128,$G$2:G127=G128),ROWS(FILTER($Q$2:Q127,$C$2:C127=C128,$G$2:G127=G128)),1),1500)"),1493.0)</f>
        <v>1493</v>
      </c>
      <c r="O128" s="3">
        <f t="shared" si="3"/>
        <v>1551.5</v>
      </c>
      <c r="P128" s="9">
        <f t="shared" si="1"/>
        <v>-13</v>
      </c>
      <c r="Q128" s="5">
        <f t="shared" si="2"/>
        <v>1480</v>
      </c>
    </row>
    <row r="129">
      <c r="A129" s="3" t="str">
        <f>IFERROR(__xludf.DUMMYFUNCTION("""COMPUTED_VALUE"""),"13eCSLe08CB9k46MG72a1J-wwH5pvn60M")</f>
        <v>13eCSLe08CB9k46MG72a1J-wwH5pvn60M</v>
      </c>
      <c r="B129" s="13">
        <f>IFERROR(__xludf.DUMMYFUNCTION("""COMPUTED_VALUE"""),45976.0)</f>
        <v>45976</v>
      </c>
      <c r="C129" s="3" t="str">
        <f>IFERROR(__xludf.DUMMYFUNCTION("""COMPUTED_VALUE"""),"ZeroO")</f>
        <v>ZeroO</v>
      </c>
      <c r="D129" s="3" t="str">
        <f>IFERROR(__xludf.DUMMYFUNCTION("""COMPUTED_VALUE"""),"Kesny + ZeroO")</f>
        <v>Kesny + ZeroO</v>
      </c>
      <c r="E129" s="3" t="str">
        <f>IFERROR(__xludf.DUMMYFUNCTION("""COMPUTED_VALUE"""),"Malena + Nebus.")</f>
        <v>Malena + Nebus.</v>
      </c>
      <c r="F129" s="3" t="str">
        <f>IFERROR(__xludf.DUMMYFUNCTION("""COMPUTED_VALUE"""),"loss")</f>
        <v>loss</v>
      </c>
      <c r="G129" s="3" t="str">
        <f>IFERROR(__xludf.DUMMYFUNCTION("""COMPUTED_VALUE"""),"2v2")</f>
        <v>2v2</v>
      </c>
      <c r="H129" s="3" t="str">
        <f>IFERROR(__xludf.DUMMYFUNCTION("IFERROR(TRIM(INDEX(SPLIT(E129,"" + ""),1)),"""")"),"Malena")</f>
        <v>Malena</v>
      </c>
      <c r="I129" s="3" t="str">
        <f>IFERROR(__xludf.DUMMYFUNCTION("IFERROR(TRIM(INDEX(SPLIT(E129,"" + ""),2)),"""")"),"Nebus.")</f>
        <v>Nebus.</v>
      </c>
      <c r="J129" s="5" t="str">
        <f>IFERROR(__xludf.DUMMYFUNCTION("IFERROR(TRIM(INDEX(SPLIT(E129,"" + ""),3)),"""")"),"")</f>
        <v/>
      </c>
      <c r="K129" s="3">
        <f>IFERROR(__xludf.DUMMYFUNCTION("IFERROR(IF(H129="""",0,INDEX(FILTER($Q$2:Q128,$C$2:C128=H129,$G$2:G128=G129),ROWS(FILTER($Q$2:Q128,$C$2:C128=H129,$G$2:G128=G129)),1)),1500)"),1562.0)</f>
        <v>1562</v>
      </c>
      <c r="L129" s="3">
        <f>IFERROR(__xludf.DUMMYFUNCTION("IFERROR(IF(I129="""",0,INDEX(FILTER($Q$2:Q128,$C$2:C128=I129,$G$2:G128=G129),ROWS(FILTER($Q$2:Q128,$C$2:C128=I129,$G$2:G128=G129)),1)),1500)"),1541.0)</f>
        <v>1541</v>
      </c>
      <c r="M129" s="3">
        <f>IFERROR(__xludf.DUMMYFUNCTION("IFERROR(IF(J129="""",0,INDEX(FILTER($Q$2:Q128,$C$2:C128=J129,$G$2:G128=G129),ROWS(FILTER($Q$2:Q128,$C$2:C128=J129,$G$2:G128=G129)),1)),1500)"),0.0)</f>
        <v>0</v>
      </c>
      <c r="N129" s="3">
        <f>IFERROR(__xludf.DUMMYFUNCTION("IFERROR(INDEX(FILTER($Q$2:Q128,$C$2:C128=C129,$G$2:G128=G129),ROWS(FILTER($Q$2:Q128,$C$2:C128=C129,$G$2:G128=G129)),1),1500)"),1537.0)</f>
        <v>1537</v>
      </c>
      <c r="O129" s="3">
        <f t="shared" si="3"/>
        <v>1551.5</v>
      </c>
      <c r="P129" s="9">
        <f t="shared" si="1"/>
        <v>-15</v>
      </c>
      <c r="Q129" s="5">
        <f t="shared" si="2"/>
        <v>1522</v>
      </c>
    </row>
    <row r="130">
      <c r="A130" s="3" t="str">
        <f>IFERROR(__xludf.DUMMYFUNCTION("""COMPUTED_VALUE"""),"1-JpFh5251gIzv0lH8PI9DtPVK3DcgGHr")</f>
        <v>1-JpFh5251gIzv0lH8PI9DtPVK3DcgGHr</v>
      </c>
      <c r="B130" s="13">
        <f>IFERROR(__xludf.DUMMYFUNCTION("""COMPUTED_VALUE"""),45976.0)</f>
        <v>45976</v>
      </c>
      <c r="C130" s="3" t="str">
        <f>IFERROR(__xludf.DUMMYFUNCTION("""COMPUTED_VALUE"""),"Malena")</f>
        <v>Malena</v>
      </c>
      <c r="D130" s="3" t="str">
        <f>IFERROR(__xludf.DUMMYFUNCTION("""COMPUTED_VALUE"""),"Malena + Nebus.")</f>
        <v>Malena + Nebus.</v>
      </c>
      <c r="E130" s="3" t="str">
        <f>IFERROR(__xludf.DUMMYFUNCTION("""COMPUTED_VALUE"""),"Kesny + ZeroO")</f>
        <v>Kesny + ZeroO</v>
      </c>
      <c r="F130" s="3" t="str">
        <f>IFERROR(__xludf.DUMMYFUNCTION("""COMPUTED_VALUE"""),"win")</f>
        <v>win</v>
      </c>
      <c r="G130" s="3" t="str">
        <f>IFERROR(__xludf.DUMMYFUNCTION("""COMPUTED_VALUE"""),"2v2")</f>
        <v>2v2</v>
      </c>
      <c r="H130" s="3" t="str">
        <f>IFERROR(__xludf.DUMMYFUNCTION("IFERROR(TRIM(INDEX(SPLIT(E130,"" + ""),1)),"""")"),"Kesny")</f>
        <v>Kesny</v>
      </c>
      <c r="I130" s="3" t="str">
        <f>IFERROR(__xludf.DUMMYFUNCTION("IFERROR(TRIM(INDEX(SPLIT(E130,"" + ""),2)),"""")"),"ZeroO")</f>
        <v>ZeroO</v>
      </c>
      <c r="J130" s="5" t="str">
        <f>IFERROR(__xludf.DUMMYFUNCTION("IFERROR(TRIM(INDEX(SPLIT(E130,"" + ""),3)),"""")"),"")</f>
        <v/>
      </c>
      <c r="K130" s="3">
        <f>IFERROR(__xludf.DUMMYFUNCTION("IFERROR(IF(H130="""",0,INDEX(FILTER($Q$2:Q129,$C$2:C129=H130,$G$2:G129=G130),ROWS(FILTER($Q$2:Q129,$C$2:C129=H130,$G$2:G129=G130)),1)),1500)"),1480.0)</f>
        <v>1480</v>
      </c>
      <c r="L130" s="3">
        <f>IFERROR(__xludf.DUMMYFUNCTION("IFERROR(IF(I130="""",0,INDEX(FILTER($Q$2:Q129,$C$2:C129=I130,$G$2:G129=G130),ROWS(FILTER($Q$2:Q129,$C$2:C129=I130,$G$2:G129=G130)),1)),1500)"),1522.0)</f>
        <v>1522</v>
      </c>
      <c r="M130" s="3">
        <f>IFERROR(__xludf.DUMMYFUNCTION("IFERROR(IF(J130="""",0,INDEX(FILTER($Q$2:Q129,$C$2:C129=J130,$G$2:G129=G130),ROWS(FILTER($Q$2:Q129,$C$2:C129=J130,$G$2:G129=G130)),1)),1500)"),0.0)</f>
        <v>0</v>
      </c>
      <c r="N130" s="3">
        <f>IFERROR(__xludf.DUMMYFUNCTION("IFERROR(INDEX(FILTER($Q$2:Q129,$C$2:C129=C130,$G$2:G129=G130),ROWS(FILTER($Q$2:Q129,$C$2:C129=C130,$G$2:G129=G130)),1),1500)"),1562.0)</f>
        <v>1562</v>
      </c>
      <c r="O130" s="3">
        <f t="shared" si="3"/>
        <v>1501</v>
      </c>
      <c r="P130" s="9">
        <f t="shared" si="1"/>
        <v>13</v>
      </c>
      <c r="Q130" s="5">
        <f t="shared" si="2"/>
        <v>1575</v>
      </c>
    </row>
    <row r="131">
      <c r="A131" s="3" t="str">
        <f>IFERROR(__xludf.DUMMYFUNCTION("""COMPUTED_VALUE"""),"1-JpFh5251gIzv0lH8PI9DtPVK3DcgGHr")</f>
        <v>1-JpFh5251gIzv0lH8PI9DtPVK3DcgGHr</v>
      </c>
      <c r="B131" s="13">
        <f>IFERROR(__xludf.DUMMYFUNCTION("""COMPUTED_VALUE"""),45976.0)</f>
        <v>45976</v>
      </c>
      <c r="C131" s="3" t="str">
        <f>IFERROR(__xludf.DUMMYFUNCTION("""COMPUTED_VALUE"""),"Nebus.")</f>
        <v>Nebus.</v>
      </c>
      <c r="D131" s="3" t="str">
        <f>IFERROR(__xludf.DUMMYFUNCTION("""COMPUTED_VALUE"""),"Malena + Nebus.")</f>
        <v>Malena + Nebus.</v>
      </c>
      <c r="E131" s="3" t="str">
        <f>IFERROR(__xludf.DUMMYFUNCTION("""COMPUTED_VALUE"""),"Kesny + ZeroO")</f>
        <v>Kesny + ZeroO</v>
      </c>
      <c r="F131" s="3" t="str">
        <f>IFERROR(__xludf.DUMMYFUNCTION("""COMPUTED_VALUE"""),"win")</f>
        <v>win</v>
      </c>
      <c r="G131" s="3" t="str">
        <f>IFERROR(__xludf.DUMMYFUNCTION("""COMPUTED_VALUE"""),"2v2")</f>
        <v>2v2</v>
      </c>
      <c r="H131" s="3" t="str">
        <f>IFERROR(__xludf.DUMMYFUNCTION("IFERROR(TRIM(INDEX(SPLIT(E131,"" + ""),1)),"""")"),"Kesny")</f>
        <v>Kesny</v>
      </c>
      <c r="I131" s="3" t="str">
        <f>IFERROR(__xludf.DUMMYFUNCTION("IFERROR(TRIM(INDEX(SPLIT(E131,"" + ""),2)),"""")"),"ZeroO")</f>
        <v>ZeroO</v>
      </c>
      <c r="J131" s="5" t="str">
        <f>IFERROR(__xludf.DUMMYFUNCTION("IFERROR(TRIM(INDEX(SPLIT(E131,"" + ""),3)),"""")"),"")</f>
        <v/>
      </c>
      <c r="K131" s="3">
        <f>IFERROR(__xludf.DUMMYFUNCTION("IFERROR(IF(H131="""",0,INDEX(FILTER($Q$2:Q130,$C$2:C130=H131,$G$2:G130=G131),ROWS(FILTER($Q$2:Q130,$C$2:C130=H131,$G$2:G130=G131)),1)),1500)"),1480.0)</f>
        <v>1480</v>
      </c>
      <c r="L131" s="3">
        <f>IFERROR(__xludf.DUMMYFUNCTION("IFERROR(IF(I131="""",0,INDEX(FILTER($Q$2:Q130,$C$2:C130=I131,$G$2:G130=G131),ROWS(FILTER($Q$2:Q130,$C$2:C130=I131,$G$2:G130=G131)),1)),1500)"),1522.0)</f>
        <v>1522</v>
      </c>
      <c r="M131" s="3">
        <f>IFERROR(__xludf.DUMMYFUNCTION("IFERROR(IF(J131="""",0,INDEX(FILTER($Q$2:Q130,$C$2:C130=J131,$G$2:G130=G131),ROWS(FILTER($Q$2:Q130,$C$2:C130=J131,$G$2:G130=G131)),1)),1500)"),0.0)</f>
        <v>0</v>
      </c>
      <c r="N131" s="3">
        <f>IFERROR(__xludf.DUMMYFUNCTION("IFERROR(INDEX(FILTER($Q$2:Q130,$C$2:C130=C131,$G$2:G130=G131),ROWS(FILTER($Q$2:Q130,$C$2:C130=C131,$G$2:G130=G131)),1),1500)"),1541.0)</f>
        <v>1541</v>
      </c>
      <c r="O131" s="3">
        <f t="shared" si="3"/>
        <v>1501</v>
      </c>
      <c r="P131" s="9">
        <f t="shared" si="1"/>
        <v>14</v>
      </c>
      <c r="Q131" s="5">
        <f t="shared" si="2"/>
        <v>1555</v>
      </c>
    </row>
    <row r="132">
      <c r="A132" s="3" t="str">
        <f>IFERROR(__xludf.DUMMYFUNCTION("""COMPUTED_VALUE"""),"1-JpFh5251gIzv0lH8PI9DtPVK3DcgGHr")</f>
        <v>1-JpFh5251gIzv0lH8PI9DtPVK3DcgGHr</v>
      </c>
      <c r="B132" s="13">
        <f>IFERROR(__xludf.DUMMYFUNCTION("""COMPUTED_VALUE"""),45976.0)</f>
        <v>45976</v>
      </c>
      <c r="C132" s="3" t="str">
        <f>IFERROR(__xludf.DUMMYFUNCTION("""COMPUTED_VALUE"""),"Kesny")</f>
        <v>Kesny</v>
      </c>
      <c r="D132" s="3" t="str">
        <f>IFERROR(__xludf.DUMMYFUNCTION("""COMPUTED_VALUE"""),"Kesny + ZeroO")</f>
        <v>Kesny + ZeroO</v>
      </c>
      <c r="E132" s="3" t="str">
        <f>IFERROR(__xludf.DUMMYFUNCTION("""COMPUTED_VALUE"""),"Malena + Nebus.")</f>
        <v>Malena + Nebus.</v>
      </c>
      <c r="F132" s="3" t="str">
        <f>IFERROR(__xludf.DUMMYFUNCTION("""COMPUTED_VALUE"""),"loss")</f>
        <v>loss</v>
      </c>
      <c r="G132" s="3" t="str">
        <f>IFERROR(__xludf.DUMMYFUNCTION("""COMPUTED_VALUE"""),"2v2")</f>
        <v>2v2</v>
      </c>
      <c r="H132" s="3" t="str">
        <f>IFERROR(__xludf.DUMMYFUNCTION("IFERROR(TRIM(INDEX(SPLIT(E132,"" + ""),1)),"""")"),"Malena")</f>
        <v>Malena</v>
      </c>
      <c r="I132" s="3" t="str">
        <f>IFERROR(__xludf.DUMMYFUNCTION("IFERROR(TRIM(INDEX(SPLIT(E132,"" + ""),2)),"""")"),"Nebus.")</f>
        <v>Nebus.</v>
      </c>
      <c r="J132" s="5" t="str">
        <f>IFERROR(__xludf.DUMMYFUNCTION("IFERROR(TRIM(INDEX(SPLIT(E132,"" + ""),3)),"""")"),"")</f>
        <v/>
      </c>
      <c r="K132" s="3">
        <f>IFERROR(__xludf.DUMMYFUNCTION("IFERROR(IF(H132="""",0,INDEX(FILTER($Q$2:Q131,$C$2:C131=H132,$G$2:G131=G132),ROWS(FILTER($Q$2:Q131,$C$2:C131=H132,$G$2:G131=G132)),1)),1500)"),1575.0)</f>
        <v>1575</v>
      </c>
      <c r="L132" s="3">
        <f>IFERROR(__xludf.DUMMYFUNCTION("IFERROR(IF(I132="""",0,INDEX(FILTER($Q$2:Q131,$C$2:C131=I132,$G$2:G131=G132),ROWS(FILTER($Q$2:Q131,$C$2:C131=I132,$G$2:G131=G132)),1)),1500)"),1555.0)</f>
        <v>1555</v>
      </c>
      <c r="M132" s="3">
        <f>IFERROR(__xludf.DUMMYFUNCTION("IFERROR(IF(J132="""",0,INDEX(FILTER($Q$2:Q131,$C$2:C131=J132,$G$2:G131=G132),ROWS(FILTER($Q$2:Q131,$C$2:C131=J132,$G$2:G131=G132)),1)),1500)"),0.0)</f>
        <v>0</v>
      </c>
      <c r="N132" s="3">
        <f>IFERROR(__xludf.DUMMYFUNCTION("IFERROR(INDEX(FILTER($Q$2:Q131,$C$2:C131=C132,$G$2:G131=G132),ROWS(FILTER($Q$2:Q131,$C$2:C131=C132,$G$2:G131=G132)),1),1500)"),1480.0)</f>
        <v>1480</v>
      </c>
      <c r="O132" s="3">
        <f t="shared" si="3"/>
        <v>1565</v>
      </c>
      <c r="P132" s="9">
        <f t="shared" si="1"/>
        <v>-12</v>
      </c>
      <c r="Q132" s="5">
        <f t="shared" si="2"/>
        <v>1468</v>
      </c>
    </row>
    <row r="133">
      <c r="A133" s="3" t="str">
        <f>IFERROR(__xludf.DUMMYFUNCTION("""COMPUTED_VALUE"""),"1-JpFh5251gIzv0lH8PI9DtPVK3DcgGHr")</f>
        <v>1-JpFh5251gIzv0lH8PI9DtPVK3DcgGHr</v>
      </c>
      <c r="B133" s="13">
        <f>IFERROR(__xludf.DUMMYFUNCTION("""COMPUTED_VALUE"""),45976.0)</f>
        <v>45976</v>
      </c>
      <c r="C133" s="3" t="str">
        <f>IFERROR(__xludf.DUMMYFUNCTION("""COMPUTED_VALUE"""),"ZeroO")</f>
        <v>ZeroO</v>
      </c>
      <c r="D133" s="3" t="str">
        <f>IFERROR(__xludf.DUMMYFUNCTION("""COMPUTED_VALUE"""),"Kesny + ZeroO")</f>
        <v>Kesny + ZeroO</v>
      </c>
      <c r="E133" s="3" t="str">
        <f>IFERROR(__xludf.DUMMYFUNCTION("""COMPUTED_VALUE"""),"Malena + Nebus.")</f>
        <v>Malena + Nebus.</v>
      </c>
      <c r="F133" s="3" t="str">
        <f>IFERROR(__xludf.DUMMYFUNCTION("""COMPUTED_VALUE"""),"loss")</f>
        <v>loss</v>
      </c>
      <c r="G133" s="3" t="str">
        <f>IFERROR(__xludf.DUMMYFUNCTION("""COMPUTED_VALUE"""),"2v2")</f>
        <v>2v2</v>
      </c>
      <c r="H133" s="3" t="str">
        <f>IFERROR(__xludf.DUMMYFUNCTION("IFERROR(TRIM(INDEX(SPLIT(E133,"" + ""),1)),"""")"),"Malena")</f>
        <v>Malena</v>
      </c>
      <c r="I133" s="3" t="str">
        <f>IFERROR(__xludf.DUMMYFUNCTION("IFERROR(TRIM(INDEX(SPLIT(E133,"" + ""),2)),"""")"),"Nebus.")</f>
        <v>Nebus.</v>
      </c>
      <c r="J133" s="5" t="str">
        <f>IFERROR(__xludf.DUMMYFUNCTION("IFERROR(TRIM(INDEX(SPLIT(E133,"" + ""),3)),"""")"),"")</f>
        <v/>
      </c>
      <c r="K133" s="3">
        <f>IFERROR(__xludf.DUMMYFUNCTION("IFERROR(IF(H133="""",0,INDEX(FILTER($Q$2:Q132,$C$2:C132=H133,$G$2:G132=G133),ROWS(FILTER($Q$2:Q132,$C$2:C132=H133,$G$2:G132=G133)),1)),1500)"),1575.0)</f>
        <v>1575</v>
      </c>
      <c r="L133" s="3">
        <f>IFERROR(__xludf.DUMMYFUNCTION("IFERROR(IF(I133="""",0,INDEX(FILTER($Q$2:Q132,$C$2:C132=I133,$G$2:G132=G133),ROWS(FILTER($Q$2:Q132,$C$2:C132=I133,$G$2:G132=G133)),1)),1500)"),1555.0)</f>
        <v>1555</v>
      </c>
      <c r="M133" s="3">
        <f>IFERROR(__xludf.DUMMYFUNCTION("IFERROR(IF(J133="""",0,INDEX(FILTER($Q$2:Q132,$C$2:C132=J133,$G$2:G132=G133),ROWS(FILTER($Q$2:Q132,$C$2:C132=J133,$G$2:G132=G133)),1)),1500)"),0.0)</f>
        <v>0</v>
      </c>
      <c r="N133" s="3">
        <f>IFERROR(__xludf.DUMMYFUNCTION("IFERROR(INDEX(FILTER($Q$2:Q132,$C$2:C132=C133,$G$2:G132=G133),ROWS(FILTER($Q$2:Q132,$C$2:C132=C133,$G$2:G132=G133)),1),1500)"),1522.0)</f>
        <v>1522</v>
      </c>
      <c r="O133" s="3">
        <f t="shared" si="3"/>
        <v>1565</v>
      </c>
      <c r="P133" s="9">
        <f t="shared" si="1"/>
        <v>-14</v>
      </c>
      <c r="Q133" s="5">
        <f t="shared" si="2"/>
        <v>1508</v>
      </c>
    </row>
    <row r="134">
      <c r="A134" s="3" t="str">
        <f>IFERROR(__xludf.DUMMYFUNCTION("""COMPUTED_VALUE"""),"1Qk_Ed2hT7ns2-P4vMBXA4sM2PU2s08f9")</f>
        <v>1Qk_Ed2hT7ns2-P4vMBXA4sM2PU2s08f9</v>
      </c>
      <c r="B134" s="13">
        <f>IFERROR(__xludf.DUMMYFUNCTION("""COMPUTED_VALUE"""),45976.0)</f>
        <v>45976</v>
      </c>
      <c r="C134" s="3" t="str">
        <f>IFERROR(__xludf.DUMMYFUNCTION("""COMPUTED_VALUE"""),"Nebus.")</f>
        <v>Nebus.</v>
      </c>
      <c r="D134" s="3" t="str">
        <f>IFERROR(__xludf.DUMMYFUNCTION("""COMPUTED_VALUE"""),"Malena + Nebus.")</f>
        <v>Malena + Nebus.</v>
      </c>
      <c r="E134" s="3" t="str">
        <f>IFERROR(__xludf.DUMMYFUNCTION("""COMPUTED_VALUE"""),"Kesny + ZeroO")</f>
        <v>Kesny + ZeroO</v>
      </c>
      <c r="F134" s="3" t="str">
        <f>IFERROR(__xludf.DUMMYFUNCTION("""COMPUTED_VALUE"""),"win")</f>
        <v>win</v>
      </c>
      <c r="G134" s="3" t="str">
        <f>IFERROR(__xludf.DUMMYFUNCTION("""COMPUTED_VALUE"""),"2v2")</f>
        <v>2v2</v>
      </c>
      <c r="H134" s="3" t="str">
        <f>IFERROR(__xludf.DUMMYFUNCTION("IFERROR(TRIM(INDEX(SPLIT(E134,"" + ""),1)),"""")"),"Kesny")</f>
        <v>Kesny</v>
      </c>
      <c r="I134" s="3" t="str">
        <f>IFERROR(__xludf.DUMMYFUNCTION("IFERROR(TRIM(INDEX(SPLIT(E134,"" + ""),2)),"""")"),"ZeroO")</f>
        <v>ZeroO</v>
      </c>
      <c r="J134" s="5" t="str">
        <f>IFERROR(__xludf.DUMMYFUNCTION("IFERROR(TRIM(INDEX(SPLIT(E134,"" + ""),3)),"""")"),"")</f>
        <v/>
      </c>
      <c r="K134" s="3">
        <f>IFERROR(__xludf.DUMMYFUNCTION("IFERROR(IF(H134="""",0,INDEX(FILTER($Q$2:Q133,$C$2:C133=H134,$G$2:G133=G134),ROWS(FILTER($Q$2:Q133,$C$2:C133=H134,$G$2:G133=G134)),1)),1500)"),1468.0)</f>
        <v>1468</v>
      </c>
      <c r="L134" s="3">
        <f>IFERROR(__xludf.DUMMYFUNCTION("IFERROR(IF(I134="""",0,INDEX(FILTER($Q$2:Q133,$C$2:C133=I134,$G$2:G133=G134),ROWS(FILTER($Q$2:Q133,$C$2:C133=I134,$G$2:G133=G134)),1)),1500)"),1508.0)</f>
        <v>1508</v>
      </c>
      <c r="M134" s="3">
        <f>IFERROR(__xludf.DUMMYFUNCTION("IFERROR(IF(J134="""",0,INDEX(FILTER($Q$2:Q133,$C$2:C133=J134,$G$2:G133=G134),ROWS(FILTER($Q$2:Q133,$C$2:C133=J134,$G$2:G133=G134)),1)),1500)"),0.0)</f>
        <v>0</v>
      </c>
      <c r="N134" s="3">
        <f>IFERROR(__xludf.DUMMYFUNCTION("IFERROR(INDEX(FILTER($Q$2:Q133,$C$2:C133=C134,$G$2:G133=G134),ROWS(FILTER($Q$2:Q133,$C$2:C133=C134,$G$2:G133=G134)),1),1500)"),1555.0)</f>
        <v>1555</v>
      </c>
      <c r="O134" s="3">
        <f t="shared" si="3"/>
        <v>1488</v>
      </c>
      <c r="P134" s="9">
        <f t="shared" si="1"/>
        <v>13</v>
      </c>
      <c r="Q134" s="5">
        <f t="shared" si="2"/>
        <v>1568</v>
      </c>
    </row>
    <row r="135">
      <c r="A135" s="3" t="str">
        <f>IFERROR(__xludf.DUMMYFUNCTION("""COMPUTED_VALUE"""),"1Qk_Ed2hT7ns2-P4vMBXA4sM2PU2s08f9")</f>
        <v>1Qk_Ed2hT7ns2-P4vMBXA4sM2PU2s08f9</v>
      </c>
      <c r="B135" s="13">
        <f>IFERROR(__xludf.DUMMYFUNCTION("""COMPUTED_VALUE"""),45976.0)</f>
        <v>45976</v>
      </c>
      <c r="C135" s="3" t="str">
        <f>IFERROR(__xludf.DUMMYFUNCTION("""COMPUTED_VALUE"""),"Malena")</f>
        <v>Malena</v>
      </c>
      <c r="D135" s="3" t="str">
        <f>IFERROR(__xludf.DUMMYFUNCTION("""COMPUTED_VALUE"""),"Malena + Nebus.")</f>
        <v>Malena + Nebus.</v>
      </c>
      <c r="E135" s="3" t="str">
        <f>IFERROR(__xludf.DUMMYFUNCTION("""COMPUTED_VALUE"""),"Kesny + ZeroO")</f>
        <v>Kesny + ZeroO</v>
      </c>
      <c r="F135" s="3" t="str">
        <f>IFERROR(__xludf.DUMMYFUNCTION("""COMPUTED_VALUE"""),"win")</f>
        <v>win</v>
      </c>
      <c r="G135" s="3" t="str">
        <f>IFERROR(__xludf.DUMMYFUNCTION("""COMPUTED_VALUE"""),"2v2")</f>
        <v>2v2</v>
      </c>
      <c r="H135" s="3" t="str">
        <f>IFERROR(__xludf.DUMMYFUNCTION("IFERROR(TRIM(INDEX(SPLIT(E135,"" + ""),1)),"""")"),"Kesny")</f>
        <v>Kesny</v>
      </c>
      <c r="I135" s="3" t="str">
        <f>IFERROR(__xludf.DUMMYFUNCTION("IFERROR(TRIM(INDEX(SPLIT(E135,"" + ""),2)),"""")"),"ZeroO")</f>
        <v>ZeroO</v>
      </c>
      <c r="J135" s="5" t="str">
        <f>IFERROR(__xludf.DUMMYFUNCTION("IFERROR(TRIM(INDEX(SPLIT(E135,"" + ""),3)),"""")"),"")</f>
        <v/>
      </c>
      <c r="K135" s="3">
        <f>IFERROR(__xludf.DUMMYFUNCTION("IFERROR(IF(H135="""",0,INDEX(FILTER($Q$2:Q134,$C$2:C134=H135,$G$2:G134=G135),ROWS(FILTER($Q$2:Q134,$C$2:C134=H135,$G$2:G134=G135)),1)),1500)"),1468.0)</f>
        <v>1468</v>
      </c>
      <c r="L135" s="3">
        <f>IFERROR(__xludf.DUMMYFUNCTION("IFERROR(IF(I135="""",0,INDEX(FILTER($Q$2:Q134,$C$2:C134=I135,$G$2:G134=G135),ROWS(FILTER($Q$2:Q134,$C$2:C134=I135,$G$2:G134=G135)),1)),1500)"),1508.0)</f>
        <v>1508</v>
      </c>
      <c r="M135" s="3">
        <f>IFERROR(__xludf.DUMMYFUNCTION("IFERROR(IF(J135="""",0,INDEX(FILTER($Q$2:Q134,$C$2:C134=J135,$G$2:G134=G135),ROWS(FILTER($Q$2:Q134,$C$2:C134=J135,$G$2:G134=G135)),1)),1500)"),0.0)</f>
        <v>0</v>
      </c>
      <c r="N135" s="3">
        <f>IFERROR(__xludf.DUMMYFUNCTION("IFERROR(INDEX(FILTER($Q$2:Q134,$C$2:C134=C135,$G$2:G134=G135),ROWS(FILTER($Q$2:Q134,$C$2:C134=C135,$G$2:G134=G135)),1),1500)"),1575.0)</f>
        <v>1575</v>
      </c>
      <c r="O135" s="3">
        <f t="shared" si="3"/>
        <v>1488</v>
      </c>
      <c r="P135" s="9">
        <f t="shared" si="1"/>
        <v>12</v>
      </c>
      <c r="Q135" s="5">
        <f t="shared" si="2"/>
        <v>1587</v>
      </c>
    </row>
    <row r="136">
      <c r="A136" s="3" t="str">
        <f>IFERROR(__xludf.DUMMYFUNCTION("""COMPUTED_VALUE"""),"1Qk_Ed2hT7ns2-P4vMBXA4sM2PU2s08f9")</f>
        <v>1Qk_Ed2hT7ns2-P4vMBXA4sM2PU2s08f9</v>
      </c>
      <c r="B136" s="13">
        <f>IFERROR(__xludf.DUMMYFUNCTION("""COMPUTED_VALUE"""),45976.0)</f>
        <v>45976</v>
      </c>
      <c r="C136" s="3" t="str">
        <f>IFERROR(__xludf.DUMMYFUNCTION("""COMPUTED_VALUE"""),"Kesny")</f>
        <v>Kesny</v>
      </c>
      <c r="D136" s="3" t="str">
        <f>IFERROR(__xludf.DUMMYFUNCTION("""COMPUTED_VALUE"""),"Kesny + ZeroO")</f>
        <v>Kesny + ZeroO</v>
      </c>
      <c r="E136" s="3" t="str">
        <f>IFERROR(__xludf.DUMMYFUNCTION("""COMPUTED_VALUE"""),"Malena + Nebus.")</f>
        <v>Malena + Nebus.</v>
      </c>
      <c r="F136" s="3" t="str">
        <f>IFERROR(__xludf.DUMMYFUNCTION("""COMPUTED_VALUE"""),"loss")</f>
        <v>loss</v>
      </c>
      <c r="G136" s="3" t="str">
        <f>IFERROR(__xludf.DUMMYFUNCTION("""COMPUTED_VALUE"""),"2v2")</f>
        <v>2v2</v>
      </c>
      <c r="H136" s="3" t="str">
        <f>IFERROR(__xludf.DUMMYFUNCTION("IFERROR(TRIM(INDEX(SPLIT(E136,"" + ""),1)),"""")"),"Malena")</f>
        <v>Malena</v>
      </c>
      <c r="I136" s="3" t="str">
        <f>IFERROR(__xludf.DUMMYFUNCTION("IFERROR(TRIM(INDEX(SPLIT(E136,"" + ""),2)),"""")"),"Nebus.")</f>
        <v>Nebus.</v>
      </c>
      <c r="J136" s="5" t="str">
        <f>IFERROR(__xludf.DUMMYFUNCTION("IFERROR(TRIM(INDEX(SPLIT(E136,"" + ""),3)),"""")"),"")</f>
        <v/>
      </c>
      <c r="K136" s="3">
        <f>IFERROR(__xludf.DUMMYFUNCTION("IFERROR(IF(H136="""",0,INDEX(FILTER($Q$2:Q135,$C$2:C135=H136,$G$2:G135=G136),ROWS(FILTER($Q$2:Q135,$C$2:C135=H136,$G$2:G135=G136)),1)),1500)"),1587.0)</f>
        <v>1587</v>
      </c>
      <c r="L136" s="3">
        <f>IFERROR(__xludf.DUMMYFUNCTION("IFERROR(IF(I136="""",0,INDEX(FILTER($Q$2:Q135,$C$2:C135=I136,$G$2:G135=G136),ROWS(FILTER($Q$2:Q135,$C$2:C135=I136,$G$2:G135=G136)),1)),1500)"),1568.0)</f>
        <v>1568</v>
      </c>
      <c r="M136" s="3">
        <f>IFERROR(__xludf.DUMMYFUNCTION("IFERROR(IF(J136="""",0,INDEX(FILTER($Q$2:Q135,$C$2:C135=J136,$G$2:G135=G136),ROWS(FILTER($Q$2:Q135,$C$2:C135=J136,$G$2:G135=G136)),1)),1500)"),0.0)</f>
        <v>0</v>
      </c>
      <c r="N136" s="3">
        <f>IFERROR(__xludf.DUMMYFUNCTION("IFERROR(INDEX(FILTER($Q$2:Q135,$C$2:C135=C136,$G$2:G135=G136),ROWS(FILTER($Q$2:Q135,$C$2:C135=C136,$G$2:G135=G136)),1),1500)"),1468.0)</f>
        <v>1468</v>
      </c>
      <c r="O136" s="3">
        <f t="shared" si="3"/>
        <v>1577.5</v>
      </c>
      <c r="P136" s="9">
        <f t="shared" si="1"/>
        <v>-11</v>
      </c>
      <c r="Q136" s="5">
        <f t="shared" si="2"/>
        <v>1457</v>
      </c>
    </row>
    <row r="137">
      <c r="A137" s="3" t="str">
        <f>IFERROR(__xludf.DUMMYFUNCTION("""COMPUTED_VALUE"""),"1Qk_Ed2hT7ns2-P4vMBXA4sM2PU2s08f9")</f>
        <v>1Qk_Ed2hT7ns2-P4vMBXA4sM2PU2s08f9</v>
      </c>
      <c r="B137" s="13">
        <f>IFERROR(__xludf.DUMMYFUNCTION("""COMPUTED_VALUE"""),45976.0)</f>
        <v>45976</v>
      </c>
      <c r="C137" s="3" t="str">
        <f>IFERROR(__xludf.DUMMYFUNCTION("""COMPUTED_VALUE"""),"ZeroO")</f>
        <v>ZeroO</v>
      </c>
      <c r="D137" s="3" t="str">
        <f>IFERROR(__xludf.DUMMYFUNCTION("""COMPUTED_VALUE"""),"Kesny + ZeroO")</f>
        <v>Kesny + ZeroO</v>
      </c>
      <c r="E137" s="3" t="str">
        <f>IFERROR(__xludf.DUMMYFUNCTION("""COMPUTED_VALUE"""),"Malena + Nebus.")</f>
        <v>Malena + Nebus.</v>
      </c>
      <c r="F137" s="3" t="str">
        <f>IFERROR(__xludf.DUMMYFUNCTION("""COMPUTED_VALUE"""),"loss")</f>
        <v>loss</v>
      </c>
      <c r="G137" s="3" t="str">
        <f>IFERROR(__xludf.DUMMYFUNCTION("""COMPUTED_VALUE"""),"2v2")</f>
        <v>2v2</v>
      </c>
      <c r="H137" s="3" t="str">
        <f>IFERROR(__xludf.DUMMYFUNCTION("IFERROR(TRIM(INDEX(SPLIT(E137,"" + ""),1)),"""")"),"Malena")</f>
        <v>Malena</v>
      </c>
      <c r="I137" s="3" t="str">
        <f>IFERROR(__xludf.DUMMYFUNCTION("IFERROR(TRIM(INDEX(SPLIT(E137,"" + ""),2)),"""")"),"Nebus.")</f>
        <v>Nebus.</v>
      </c>
      <c r="J137" s="5" t="str">
        <f>IFERROR(__xludf.DUMMYFUNCTION("IFERROR(TRIM(INDEX(SPLIT(E137,"" + ""),3)),"""")"),"")</f>
        <v/>
      </c>
      <c r="K137" s="3">
        <f>IFERROR(__xludf.DUMMYFUNCTION("IFERROR(IF(H137="""",0,INDEX(FILTER($Q$2:Q136,$C$2:C136=H137,$G$2:G136=G137),ROWS(FILTER($Q$2:Q136,$C$2:C136=H137,$G$2:G136=G137)),1)),1500)"),1587.0)</f>
        <v>1587</v>
      </c>
      <c r="L137" s="3">
        <f>IFERROR(__xludf.DUMMYFUNCTION("IFERROR(IF(I137="""",0,INDEX(FILTER($Q$2:Q136,$C$2:C136=I137,$G$2:G136=G137),ROWS(FILTER($Q$2:Q136,$C$2:C136=I137,$G$2:G136=G137)),1)),1500)"),1568.0)</f>
        <v>1568</v>
      </c>
      <c r="M137" s="3">
        <f>IFERROR(__xludf.DUMMYFUNCTION("IFERROR(IF(J137="""",0,INDEX(FILTER($Q$2:Q136,$C$2:C136=J137,$G$2:G136=G137),ROWS(FILTER($Q$2:Q136,$C$2:C136=J137,$G$2:G136=G137)),1)),1500)"),0.0)</f>
        <v>0</v>
      </c>
      <c r="N137" s="3">
        <f>IFERROR(__xludf.DUMMYFUNCTION("IFERROR(INDEX(FILTER($Q$2:Q136,$C$2:C136=C137,$G$2:G136=G137),ROWS(FILTER($Q$2:Q136,$C$2:C136=C137,$G$2:G136=G137)),1),1500)"),1508.0)</f>
        <v>1508</v>
      </c>
      <c r="O137" s="3">
        <f t="shared" si="3"/>
        <v>1577.5</v>
      </c>
      <c r="P137" s="9">
        <f t="shared" si="1"/>
        <v>-13</v>
      </c>
      <c r="Q137" s="5">
        <f t="shared" si="2"/>
        <v>1495</v>
      </c>
    </row>
    <row r="138">
      <c r="A138" s="3" t="str">
        <f>IFERROR(__xludf.DUMMYFUNCTION("""COMPUTED_VALUE"""),"1wSURhP25lCUYF7IRFCeFtKaqxvT2JjOu")</f>
        <v>1wSURhP25lCUYF7IRFCeFtKaqxvT2JjOu</v>
      </c>
      <c r="B138" s="13">
        <f>IFERROR(__xludf.DUMMYFUNCTION("""COMPUTED_VALUE"""),45976.0)</f>
        <v>45976</v>
      </c>
      <c r="C138" s="3" t="str">
        <f>IFERROR(__xludf.DUMMYFUNCTION("""COMPUTED_VALUE"""),"Malena")</f>
        <v>Malena</v>
      </c>
      <c r="D138" s="3" t="str">
        <f>IFERROR(__xludf.DUMMYFUNCTION("""COMPUTED_VALUE"""),"Kesny + Malena")</f>
        <v>Kesny + Malena</v>
      </c>
      <c r="E138" s="3" t="str">
        <f>IFERROR(__xludf.DUMMYFUNCTION("""COMPUTED_VALUE"""),"Nebus. + ZeroO")</f>
        <v>Nebus. + ZeroO</v>
      </c>
      <c r="F138" s="3" t="str">
        <f>IFERROR(__xludf.DUMMYFUNCTION("""COMPUTED_VALUE"""),"loss")</f>
        <v>loss</v>
      </c>
      <c r="G138" s="3" t="str">
        <f>IFERROR(__xludf.DUMMYFUNCTION("""COMPUTED_VALUE"""),"2v2")</f>
        <v>2v2</v>
      </c>
      <c r="H138" s="3" t="str">
        <f>IFERROR(__xludf.DUMMYFUNCTION("IFERROR(TRIM(INDEX(SPLIT(E138,"" + ""),1)),"""")"),"Nebus.")</f>
        <v>Nebus.</v>
      </c>
      <c r="I138" s="3" t="str">
        <f>IFERROR(__xludf.DUMMYFUNCTION("IFERROR(TRIM(INDEX(SPLIT(E138,"" + ""),2)),"""")"),"ZeroO")</f>
        <v>ZeroO</v>
      </c>
      <c r="J138" s="5" t="str">
        <f>IFERROR(__xludf.DUMMYFUNCTION("IFERROR(TRIM(INDEX(SPLIT(E138,"" + ""),3)),"""")"),"")</f>
        <v/>
      </c>
      <c r="K138" s="3">
        <f>IFERROR(__xludf.DUMMYFUNCTION("IFERROR(IF(H138="""",0,INDEX(FILTER($Q$2:Q137,$C$2:C137=H138,$G$2:G137=G138),ROWS(FILTER($Q$2:Q137,$C$2:C137=H138,$G$2:G137=G138)),1)),1500)"),1568.0)</f>
        <v>1568</v>
      </c>
      <c r="L138" s="3">
        <f>IFERROR(__xludf.DUMMYFUNCTION("IFERROR(IF(I138="""",0,INDEX(FILTER($Q$2:Q137,$C$2:C137=I138,$G$2:G137=G138),ROWS(FILTER($Q$2:Q137,$C$2:C137=I138,$G$2:G137=G138)),1)),1500)"),1495.0)</f>
        <v>1495</v>
      </c>
      <c r="M138" s="3">
        <f>IFERROR(__xludf.DUMMYFUNCTION("IFERROR(IF(J138="""",0,INDEX(FILTER($Q$2:Q137,$C$2:C137=J138,$G$2:G137=G138),ROWS(FILTER($Q$2:Q137,$C$2:C137=J138,$G$2:G137=G138)),1)),1500)"),0.0)</f>
        <v>0</v>
      </c>
      <c r="N138" s="3">
        <f>IFERROR(__xludf.DUMMYFUNCTION("IFERROR(INDEX(FILTER($Q$2:Q137,$C$2:C137=C138,$G$2:G137=G138),ROWS(FILTER($Q$2:Q137,$C$2:C137=C138,$G$2:G137=G138)),1),1500)"),1587.0)</f>
        <v>1587</v>
      </c>
      <c r="O138" s="3">
        <f t="shared" si="3"/>
        <v>1531.5</v>
      </c>
      <c r="P138" s="9">
        <f t="shared" si="1"/>
        <v>-19</v>
      </c>
      <c r="Q138" s="5">
        <f t="shared" si="2"/>
        <v>1568</v>
      </c>
    </row>
    <row r="139">
      <c r="A139" s="3" t="str">
        <f>IFERROR(__xludf.DUMMYFUNCTION("""COMPUTED_VALUE"""),"1wSURhP25lCUYF7IRFCeFtKaqxvT2JjOu")</f>
        <v>1wSURhP25lCUYF7IRFCeFtKaqxvT2JjOu</v>
      </c>
      <c r="B139" s="13">
        <f>IFERROR(__xludf.DUMMYFUNCTION("""COMPUTED_VALUE"""),45976.0)</f>
        <v>45976</v>
      </c>
      <c r="C139" s="3" t="str">
        <f>IFERROR(__xludf.DUMMYFUNCTION("""COMPUTED_VALUE"""),"Kesny")</f>
        <v>Kesny</v>
      </c>
      <c r="D139" s="3" t="str">
        <f>IFERROR(__xludf.DUMMYFUNCTION("""COMPUTED_VALUE"""),"Kesny + Malena")</f>
        <v>Kesny + Malena</v>
      </c>
      <c r="E139" s="3" t="str">
        <f>IFERROR(__xludf.DUMMYFUNCTION("""COMPUTED_VALUE"""),"Nebus. + ZeroO")</f>
        <v>Nebus. + ZeroO</v>
      </c>
      <c r="F139" s="3" t="str">
        <f>IFERROR(__xludf.DUMMYFUNCTION("""COMPUTED_VALUE"""),"loss")</f>
        <v>loss</v>
      </c>
      <c r="G139" s="3" t="str">
        <f>IFERROR(__xludf.DUMMYFUNCTION("""COMPUTED_VALUE"""),"2v2")</f>
        <v>2v2</v>
      </c>
      <c r="H139" s="3" t="str">
        <f>IFERROR(__xludf.DUMMYFUNCTION("IFERROR(TRIM(INDEX(SPLIT(E139,"" + ""),1)),"""")"),"Nebus.")</f>
        <v>Nebus.</v>
      </c>
      <c r="I139" s="3" t="str">
        <f>IFERROR(__xludf.DUMMYFUNCTION("IFERROR(TRIM(INDEX(SPLIT(E139,"" + ""),2)),"""")"),"ZeroO")</f>
        <v>ZeroO</v>
      </c>
      <c r="J139" s="5" t="str">
        <f>IFERROR(__xludf.DUMMYFUNCTION("IFERROR(TRIM(INDEX(SPLIT(E139,"" + ""),3)),"""")"),"")</f>
        <v/>
      </c>
      <c r="K139" s="3">
        <f>IFERROR(__xludf.DUMMYFUNCTION("IFERROR(IF(H139="""",0,INDEX(FILTER($Q$2:Q138,$C$2:C138=H139,$G$2:G138=G139),ROWS(FILTER($Q$2:Q138,$C$2:C138=H139,$G$2:G138=G139)),1)),1500)"),1568.0)</f>
        <v>1568</v>
      </c>
      <c r="L139" s="3">
        <f>IFERROR(__xludf.DUMMYFUNCTION("IFERROR(IF(I139="""",0,INDEX(FILTER($Q$2:Q138,$C$2:C138=I139,$G$2:G138=G139),ROWS(FILTER($Q$2:Q138,$C$2:C138=I139,$G$2:G138=G139)),1)),1500)"),1495.0)</f>
        <v>1495</v>
      </c>
      <c r="M139" s="3">
        <f>IFERROR(__xludf.DUMMYFUNCTION("IFERROR(IF(J139="""",0,INDEX(FILTER($Q$2:Q138,$C$2:C138=J139,$G$2:G138=G139),ROWS(FILTER($Q$2:Q138,$C$2:C138=J139,$G$2:G138=G139)),1)),1500)"),0.0)</f>
        <v>0</v>
      </c>
      <c r="N139" s="3">
        <f>IFERROR(__xludf.DUMMYFUNCTION("IFERROR(INDEX(FILTER($Q$2:Q138,$C$2:C138=C139,$G$2:G138=G139),ROWS(FILTER($Q$2:Q138,$C$2:C138=C139,$G$2:G138=G139)),1),1500)"),1457.0)</f>
        <v>1457</v>
      </c>
      <c r="O139" s="3">
        <f t="shared" si="3"/>
        <v>1531.5</v>
      </c>
      <c r="P139" s="9">
        <f t="shared" si="1"/>
        <v>-13</v>
      </c>
      <c r="Q139" s="5">
        <f t="shared" si="2"/>
        <v>1444</v>
      </c>
    </row>
    <row r="140">
      <c r="A140" s="3" t="str">
        <f>IFERROR(__xludf.DUMMYFUNCTION("""COMPUTED_VALUE"""),"1wSURhP25lCUYF7IRFCeFtKaqxvT2JjOu")</f>
        <v>1wSURhP25lCUYF7IRFCeFtKaqxvT2JjOu</v>
      </c>
      <c r="B140" s="13">
        <f>IFERROR(__xludf.DUMMYFUNCTION("""COMPUTED_VALUE"""),45976.0)</f>
        <v>45976</v>
      </c>
      <c r="C140" s="3" t="str">
        <f>IFERROR(__xludf.DUMMYFUNCTION("""COMPUTED_VALUE"""),"Nebus.")</f>
        <v>Nebus.</v>
      </c>
      <c r="D140" s="3" t="str">
        <f>IFERROR(__xludf.DUMMYFUNCTION("""COMPUTED_VALUE"""),"Nebus. + ZeroO")</f>
        <v>Nebus. + ZeroO</v>
      </c>
      <c r="E140" s="3" t="str">
        <f>IFERROR(__xludf.DUMMYFUNCTION("""COMPUTED_VALUE"""),"Kesny + Malena")</f>
        <v>Kesny + Malena</v>
      </c>
      <c r="F140" s="3" t="str">
        <f>IFERROR(__xludf.DUMMYFUNCTION("""COMPUTED_VALUE"""),"win")</f>
        <v>win</v>
      </c>
      <c r="G140" s="3" t="str">
        <f>IFERROR(__xludf.DUMMYFUNCTION("""COMPUTED_VALUE"""),"2v2")</f>
        <v>2v2</v>
      </c>
      <c r="H140" s="3" t="str">
        <f>IFERROR(__xludf.DUMMYFUNCTION("IFERROR(TRIM(INDEX(SPLIT(E140,"" + ""),1)),"""")"),"Kesny")</f>
        <v>Kesny</v>
      </c>
      <c r="I140" s="3" t="str">
        <f>IFERROR(__xludf.DUMMYFUNCTION("IFERROR(TRIM(INDEX(SPLIT(E140,"" + ""),2)),"""")"),"Malena")</f>
        <v>Malena</v>
      </c>
      <c r="J140" s="5" t="str">
        <f>IFERROR(__xludf.DUMMYFUNCTION("IFERROR(TRIM(INDEX(SPLIT(E140,"" + ""),3)),"""")"),"")</f>
        <v/>
      </c>
      <c r="K140" s="3">
        <f>IFERROR(__xludf.DUMMYFUNCTION("IFERROR(IF(H140="""",0,INDEX(FILTER($Q$2:Q139,$C$2:C139=H140,$G$2:G139=G140),ROWS(FILTER($Q$2:Q139,$C$2:C139=H140,$G$2:G139=G140)),1)),1500)"),1444.0)</f>
        <v>1444</v>
      </c>
      <c r="L140" s="3">
        <f>IFERROR(__xludf.DUMMYFUNCTION("IFERROR(IF(I140="""",0,INDEX(FILTER($Q$2:Q139,$C$2:C139=I140,$G$2:G139=G140),ROWS(FILTER($Q$2:Q139,$C$2:C139=I140,$G$2:G139=G140)),1)),1500)"),1568.0)</f>
        <v>1568</v>
      </c>
      <c r="M140" s="3">
        <f>IFERROR(__xludf.DUMMYFUNCTION("IFERROR(IF(J140="""",0,INDEX(FILTER($Q$2:Q139,$C$2:C139=J140,$G$2:G139=G140),ROWS(FILTER($Q$2:Q139,$C$2:C139=J140,$G$2:G139=G140)),1)),1500)"),0.0)</f>
        <v>0</v>
      </c>
      <c r="N140" s="3">
        <f>IFERROR(__xludf.DUMMYFUNCTION("IFERROR(INDEX(FILTER($Q$2:Q139,$C$2:C139=C140,$G$2:G139=G140),ROWS(FILTER($Q$2:Q139,$C$2:C139=C140,$G$2:G139=G140)),1),1500)"),1568.0)</f>
        <v>1568</v>
      </c>
      <c r="O140" s="3">
        <f t="shared" si="3"/>
        <v>1506</v>
      </c>
      <c r="P140" s="9">
        <f t="shared" si="1"/>
        <v>13</v>
      </c>
      <c r="Q140" s="5">
        <f t="shared" si="2"/>
        <v>1581</v>
      </c>
    </row>
    <row r="141">
      <c r="A141" s="3" t="str">
        <f>IFERROR(__xludf.DUMMYFUNCTION("""COMPUTED_VALUE"""),"1wSURhP25lCUYF7IRFCeFtKaqxvT2JjOu")</f>
        <v>1wSURhP25lCUYF7IRFCeFtKaqxvT2JjOu</v>
      </c>
      <c r="B141" s="13">
        <f>IFERROR(__xludf.DUMMYFUNCTION("""COMPUTED_VALUE"""),45976.0)</f>
        <v>45976</v>
      </c>
      <c r="C141" s="3" t="str">
        <f>IFERROR(__xludf.DUMMYFUNCTION("""COMPUTED_VALUE"""),"ZeroO")</f>
        <v>ZeroO</v>
      </c>
      <c r="D141" s="3" t="str">
        <f>IFERROR(__xludf.DUMMYFUNCTION("""COMPUTED_VALUE"""),"Nebus. + ZeroO")</f>
        <v>Nebus. + ZeroO</v>
      </c>
      <c r="E141" s="3" t="str">
        <f>IFERROR(__xludf.DUMMYFUNCTION("""COMPUTED_VALUE"""),"Kesny + Malena")</f>
        <v>Kesny + Malena</v>
      </c>
      <c r="F141" s="3" t="str">
        <f>IFERROR(__xludf.DUMMYFUNCTION("""COMPUTED_VALUE"""),"win")</f>
        <v>win</v>
      </c>
      <c r="G141" s="3" t="str">
        <f>IFERROR(__xludf.DUMMYFUNCTION("""COMPUTED_VALUE"""),"2v2")</f>
        <v>2v2</v>
      </c>
      <c r="H141" s="3" t="str">
        <f>IFERROR(__xludf.DUMMYFUNCTION("IFERROR(TRIM(INDEX(SPLIT(E141,"" + ""),1)),"""")"),"Kesny")</f>
        <v>Kesny</v>
      </c>
      <c r="I141" s="3" t="str">
        <f>IFERROR(__xludf.DUMMYFUNCTION("IFERROR(TRIM(INDEX(SPLIT(E141,"" + ""),2)),"""")"),"Malena")</f>
        <v>Malena</v>
      </c>
      <c r="J141" s="5" t="str">
        <f>IFERROR(__xludf.DUMMYFUNCTION("IFERROR(TRIM(INDEX(SPLIT(E141,"" + ""),3)),"""")"),"")</f>
        <v/>
      </c>
      <c r="K141" s="3">
        <f>IFERROR(__xludf.DUMMYFUNCTION("IFERROR(IF(H141="""",0,INDEX(FILTER($Q$2:Q140,$C$2:C140=H141,$G$2:G140=G141),ROWS(FILTER($Q$2:Q140,$C$2:C140=H141,$G$2:G140=G141)),1)),1500)"),1444.0)</f>
        <v>1444</v>
      </c>
      <c r="L141" s="3">
        <f>IFERROR(__xludf.DUMMYFUNCTION("IFERROR(IF(I141="""",0,INDEX(FILTER($Q$2:Q140,$C$2:C140=I141,$G$2:G140=G141),ROWS(FILTER($Q$2:Q140,$C$2:C140=I141,$G$2:G140=G141)),1)),1500)"),1568.0)</f>
        <v>1568</v>
      </c>
      <c r="M141" s="3">
        <f>IFERROR(__xludf.DUMMYFUNCTION("IFERROR(IF(J141="""",0,INDEX(FILTER($Q$2:Q140,$C$2:C140=J141,$G$2:G140=G141),ROWS(FILTER($Q$2:Q140,$C$2:C140=J141,$G$2:G140=G141)),1)),1500)"),0.0)</f>
        <v>0</v>
      </c>
      <c r="N141" s="3">
        <f>IFERROR(__xludf.DUMMYFUNCTION("IFERROR(INDEX(FILTER($Q$2:Q140,$C$2:C140=C141,$G$2:G140=G141),ROWS(FILTER($Q$2:Q140,$C$2:C140=C141,$G$2:G140=G141)),1),1500)"),1495.0)</f>
        <v>1495</v>
      </c>
      <c r="O141" s="3">
        <f t="shared" si="3"/>
        <v>1506</v>
      </c>
      <c r="P141" s="9">
        <f t="shared" si="1"/>
        <v>17</v>
      </c>
      <c r="Q141" s="5">
        <f t="shared" si="2"/>
        <v>1512</v>
      </c>
    </row>
    <row r="142">
      <c r="A142" s="3" t="str">
        <f>IFERROR(__xludf.DUMMYFUNCTION("""COMPUTED_VALUE"""),"1GiVsIy8PLxDJZrX5h0v6Fz64p5wp9hYr")</f>
        <v>1GiVsIy8PLxDJZrX5h0v6Fz64p5wp9hYr</v>
      </c>
      <c r="B142" s="13">
        <f>IFERROR(__xludf.DUMMYFUNCTION("""COMPUTED_VALUE"""),45976.0)</f>
        <v>45976</v>
      </c>
      <c r="C142" s="3" t="str">
        <f>IFERROR(__xludf.DUMMYFUNCTION("""COMPUTED_VALUE"""),"Malena")</f>
        <v>Malena</v>
      </c>
      <c r="D142" s="3" t="str">
        <f>IFERROR(__xludf.DUMMYFUNCTION("""COMPUTED_VALUE"""),"Anbuu + Kesny + Malena")</f>
        <v>Anbuu + Kesny + Malena</v>
      </c>
      <c r="E142" s="3" t="str">
        <f>IFERROR(__xludf.DUMMYFUNCTION("""COMPUTED_VALUE"""),"Nebus. + Tess1509 + ZeroO")</f>
        <v>Nebus. + Tess1509 + ZeroO</v>
      </c>
      <c r="F142" s="3" t="str">
        <f>IFERROR(__xludf.DUMMYFUNCTION("""COMPUTED_VALUE"""),"win")</f>
        <v>win</v>
      </c>
      <c r="G142" s="3" t="str">
        <f>IFERROR(__xludf.DUMMYFUNCTION("""COMPUTED_VALUE"""),"3v3")</f>
        <v>3v3</v>
      </c>
      <c r="H142" s="3" t="str">
        <f>IFERROR(__xludf.DUMMYFUNCTION("IFERROR(TRIM(INDEX(SPLIT(E142,"" + ""),1)),"""")"),"Nebus.")</f>
        <v>Nebus.</v>
      </c>
      <c r="I142" s="3" t="str">
        <f>IFERROR(__xludf.DUMMYFUNCTION("IFERROR(TRIM(INDEX(SPLIT(E142,"" + ""),2)),"""")"),"Tess1509")</f>
        <v>Tess1509</v>
      </c>
      <c r="J142" s="5" t="str">
        <f>IFERROR(__xludf.DUMMYFUNCTION("IFERROR(TRIM(INDEX(SPLIT(E142,"" + ""),3)),"""")"),"ZeroO")</f>
        <v>ZeroO</v>
      </c>
      <c r="K142" s="3">
        <f>IFERROR(__xludf.DUMMYFUNCTION("IFERROR(IF(H142="""",0,INDEX(FILTER($Q$2:Q141,$C$2:C141=H142,$G$2:G141=G142),ROWS(FILTER($Q$2:Q141,$C$2:C141=H142,$G$2:G141=G142)),1)),1500)"),1555.0)</f>
        <v>1555</v>
      </c>
      <c r="L142" s="3">
        <f>IFERROR(__xludf.DUMMYFUNCTION("IFERROR(IF(I142="""",0,INDEX(FILTER($Q$2:Q141,$C$2:C141=I142,$G$2:G141=G142),ROWS(FILTER($Q$2:Q141,$C$2:C141=I142,$G$2:G141=G142)),1)),1500)"),1446.0)</f>
        <v>1446</v>
      </c>
      <c r="M142" s="3">
        <f>IFERROR(__xludf.DUMMYFUNCTION("IFERROR(IF(J142="""",0,INDEX(FILTER($Q$2:Q141,$C$2:C141=J142,$G$2:G141=G142),ROWS(FILTER($Q$2:Q141,$C$2:C141=J142,$G$2:G141=G142)),1)),1500)"),1553.0)</f>
        <v>1553</v>
      </c>
      <c r="N142" s="3">
        <f>IFERROR(__xludf.DUMMYFUNCTION("IFERROR(INDEX(FILTER($Q$2:Q141,$C$2:C141=C142,$G$2:G141=G142),ROWS(FILTER($Q$2:Q141,$C$2:C141=C142,$G$2:G141=G142)),1),1500)"),1418.0)</f>
        <v>1418</v>
      </c>
      <c r="O142" s="3">
        <f t="shared" si="3"/>
        <v>1518</v>
      </c>
      <c r="P142" s="9">
        <f t="shared" si="1"/>
        <v>20</v>
      </c>
      <c r="Q142" s="5">
        <f t="shared" si="2"/>
        <v>1438</v>
      </c>
    </row>
    <row r="143">
      <c r="A143" s="3" t="str">
        <f>IFERROR(__xludf.DUMMYFUNCTION("""COMPUTED_VALUE"""),"1GiVsIy8PLxDJZrX5h0v6Fz64p5wp9hYr")</f>
        <v>1GiVsIy8PLxDJZrX5h0v6Fz64p5wp9hYr</v>
      </c>
      <c r="B143" s="13">
        <f>IFERROR(__xludf.DUMMYFUNCTION("""COMPUTED_VALUE"""),45976.0)</f>
        <v>45976</v>
      </c>
      <c r="C143" s="3" t="str">
        <f>IFERROR(__xludf.DUMMYFUNCTION("""COMPUTED_VALUE"""),"Kesny")</f>
        <v>Kesny</v>
      </c>
      <c r="D143" s="3" t="str">
        <f>IFERROR(__xludf.DUMMYFUNCTION("""COMPUTED_VALUE"""),"Anbuu + Kesny + Malena")</f>
        <v>Anbuu + Kesny + Malena</v>
      </c>
      <c r="E143" s="3" t="str">
        <f>IFERROR(__xludf.DUMMYFUNCTION("""COMPUTED_VALUE"""),"Nebus. + Tess1509 + ZeroO")</f>
        <v>Nebus. + Tess1509 + ZeroO</v>
      </c>
      <c r="F143" s="3" t="str">
        <f>IFERROR(__xludf.DUMMYFUNCTION("""COMPUTED_VALUE"""),"win")</f>
        <v>win</v>
      </c>
      <c r="G143" s="3" t="str">
        <f>IFERROR(__xludf.DUMMYFUNCTION("""COMPUTED_VALUE"""),"3v3")</f>
        <v>3v3</v>
      </c>
      <c r="H143" s="3" t="str">
        <f>IFERROR(__xludf.DUMMYFUNCTION("IFERROR(TRIM(INDEX(SPLIT(E143,"" + ""),1)),"""")"),"Nebus.")</f>
        <v>Nebus.</v>
      </c>
      <c r="I143" s="3" t="str">
        <f>IFERROR(__xludf.DUMMYFUNCTION("IFERROR(TRIM(INDEX(SPLIT(E143,"" + ""),2)),"""")"),"Tess1509")</f>
        <v>Tess1509</v>
      </c>
      <c r="J143" s="5" t="str">
        <f>IFERROR(__xludf.DUMMYFUNCTION("IFERROR(TRIM(INDEX(SPLIT(E143,"" + ""),3)),"""")"),"ZeroO")</f>
        <v>ZeroO</v>
      </c>
      <c r="K143" s="3">
        <f>IFERROR(__xludf.DUMMYFUNCTION("IFERROR(IF(H143="""",0,INDEX(FILTER($Q$2:Q142,$C$2:C142=H143,$G$2:G142=G143),ROWS(FILTER($Q$2:Q142,$C$2:C142=H143,$G$2:G142=G143)),1)),1500)"),1555.0)</f>
        <v>1555</v>
      </c>
      <c r="L143" s="3">
        <f>IFERROR(__xludf.DUMMYFUNCTION("IFERROR(IF(I143="""",0,INDEX(FILTER($Q$2:Q142,$C$2:C142=I143,$G$2:G142=G143),ROWS(FILTER($Q$2:Q142,$C$2:C142=I143,$G$2:G142=G143)),1)),1500)"),1446.0)</f>
        <v>1446</v>
      </c>
      <c r="M143" s="3">
        <f>IFERROR(__xludf.DUMMYFUNCTION("IFERROR(IF(J143="""",0,INDEX(FILTER($Q$2:Q142,$C$2:C142=J143,$G$2:G142=G143),ROWS(FILTER($Q$2:Q142,$C$2:C142=J143,$G$2:G142=G143)),1)),1500)"),1553.0)</f>
        <v>1553</v>
      </c>
      <c r="N143" s="3">
        <f>IFERROR(__xludf.DUMMYFUNCTION("IFERROR(INDEX(FILTER($Q$2:Q142,$C$2:C142=C143,$G$2:G142=G143),ROWS(FILTER($Q$2:Q142,$C$2:C142=C143,$G$2:G142=G143)),1),1500)"),1526.0)</f>
        <v>1526</v>
      </c>
      <c r="O143" s="3">
        <f t="shared" si="3"/>
        <v>1518</v>
      </c>
      <c r="P143" s="9">
        <f t="shared" si="1"/>
        <v>16</v>
      </c>
      <c r="Q143" s="5">
        <f t="shared" si="2"/>
        <v>1542</v>
      </c>
    </row>
    <row r="144">
      <c r="A144" s="3" t="str">
        <f>IFERROR(__xludf.DUMMYFUNCTION("""COMPUTED_VALUE"""),"1GiVsIy8PLxDJZrX5h0v6Fz64p5wp9hYr")</f>
        <v>1GiVsIy8PLxDJZrX5h0v6Fz64p5wp9hYr</v>
      </c>
      <c r="B144" s="13">
        <f>IFERROR(__xludf.DUMMYFUNCTION("""COMPUTED_VALUE"""),45976.0)</f>
        <v>45976</v>
      </c>
      <c r="C144" s="3" t="str">
        <f>IFERROR(__xludf.DUMMYFUNCTION("""COMPUTED_VALUE"""),"Anbuu")</f>
        <v>Anbuu</v>
      </c>
      <c r="D144" s="3" t="str">
        <f>IFERROR(__xludf.DUMMYFUNCTION("""COMPUTED_VALUE"""),"Anbuu + Kesny + Malena")</f>
        <v>Anbuu + Kesny + Malena</v>
      </c>
      <c r="E144" s="3" t="str">
        <f>IFERROR(__xludf.DUMMYFUNCTION("""COMPUTED_VALUE"""),"Nebus. + Tess1509 + ZeroO")</f>
        <v>Nebus. + Tess1509 + ZeroO</v>
      </c>
      <c r="F144" s="3" t="str">
        <f>IFERROR(__xludf.DUMMYFUNCTION("""COMPUTED_VALUE"""),"win")</f>
        <v>win</v>
      </c>
      <c r="G144" s="3" t="str">
        <f>IFERROR(__xludf.DUMMYFUNCTION("""COMPUTED_VALUE"""),"3v3")</f>
        <v>3v3</v>
      </c>
      <c r="H144" s="3" t="str">
        <f>IFERROR(__xludf.DUMMYFUNCTION("IFERROR(TRIM(INDEX(SPLIT(E144,"" + ""),1)),"""")"),"Nebus.")</f>
        <v>Nebus.</v>
      </c>
      <c r="I144" s="3" t="str">
        <f>IFERROR(__xludf.DUMMYFUNCTION("IFERROR(TRIM(INDEX(SPLIT(E144,"" + ""),2)),"""")"),"Tess1509")</f>
        <v>Tess1509</v>
      </c>
      <c r="J144" s="5" t="str">
        <f>IFERROR(__xludf.DUMMYFUNCTION("IFERROR(TRIM(INDEX(SPLIT(E144,"" + ""),3)),"""")"),"ZeroO")</f>
        <v>ZeroO</v>
      </c>
      <c r="K144" s="3">
        <f>IFERROR(__xludf.DUMMYFUNCTION("IFERROR(IF(H144="""",0,INDEX(FILTER($Q$2:Q143,$C$2:C143=H144,$G$2:G143=G144),ROWS(FILTER($Q$2:Q143,$C$2:C143=H144,$G$2:G143=G144)),1)),1500)"),1555.0)</f>
        <v>1555</v>
      </c>
      <c r="L144" s="3">
        <f>IFERROR(__xludf.DUMMYFUNCTION("IFERROR(IF(I144="""",0,INDEX(FILTER($Q$2:Q143,$C$2:C143=I144,$G$2:G143=G144),ROWS(FILTER($Q$2:Q143,$C$2:C143=I144,$G$2:G143=G144)),1)),1500)"),1446.0)</f>
        <v>1446</v>
      </c>
      <c r="M144" s="3">
        <f>IFERROR(__xludf.DUMMYFUNCTION("IFERROR(IF(J144="""",0,INDEX(FILTER($Q$2:Q143,$C$2:C143=J144,$G$2:G143=G144),ROWS(FILTER($Q$2:Q143,$C$2:C143=J144,$G$2:G143=G144)),1)),1500)"),1553.0)</f>
        <v>1553</v>
      </c>
      <c r="N144" s="3">
        <f>IFERROR(__xludf.DUMMYFUNCTION("IFERROR(INDEX(FILTER($Q$2:Q143,$C$2:C143=C144,$G$2:G143=G144),ROWS(FILTER($Q$2:Q143,$C$2:C143=C144,$G$2:G143=G144)),1),1500)"),1500.0)</f>
        <v>1500</v>
      </c>
      <c r="O144" s="3">
        <f t="shared" si="3"/>
        <v>1518</v>
      </c>
      <c r="P144" s="9">
        <f t="shared" si="1"/>
        <v>17</v>
      </c>
      <c r="Q144" s="5">
        <f t="shared" si="2"/>
        <v>1517</v>
      </c>
    </row>
    <row r="145">
      <c r="A145" s="3" t="str">
        <f>IFERROR(__xludf.DUMMYFUNCTION("""COMPUTED_VALUE"""),"1GiVsIy8PLxDJZrX5h0v6Fz64p5wp9hYr")</f>
        <v>1GiVsIy8PLxDJZrX5h0v6Fz64p5wp9hYr</v>
      </c>
      <c r="B145" s="13">
        <f>IFERROR(__xludf.DUMMYFUNCTION("""COMPUTED_VALUE"""),45976.0)</f>
        <v>45976</v>
      </c>
      <c r="C145" s="3" t="str">
        <f>IFERROR(__xludf.DUMMYFUNCTION("""COMPUTED_VALUE"""),"ZeroO")</f>
        <v>ZeroO</v>
      </c>
      <c r="D145" s="3" t="str">
        <f>IFERROR(__xludf.DUMMYFUNCTION("""COMPUTED_VALUE"""),"Nebus. + Tess1509 + ZeroO")</f>
        <v>Nebus. + Tess1509 + ZeroO</v>
      </c>
      <c r="E145" s="3" t="str">
        <f>IFERROR(__xludf.DUMMYFUNCTION("""COMPUTED_VALUE"""),"Anbuu + Kesny + Malena")</f>
        <v>Anbuu + Kesny + Malena</v>
      </c>
      <c r="F145" s="3" t="str">
        <f>IFERROR(__xludf.DUMMYFUNCTION("""COMPUTED_VALUE"""),"loss")</f>
        <v>loss</v>
      </c>
      <c r="G145" s="3" t="str">
        <f>IFERROR(__xludf.DUMMYFUNCTION("""COMPUTED_VALUE"""),"3v3")</f>
        <v>3v3</v>
      </c>
      <c r="H145" s="3" t="str">
        <f>IFERROR(__xludf.DUMMYFUNCTION("IFERROR(TRIM(INDEX(SPLIT(E145,"" + ""),1)),"""")"),"Anbuu")</f>
        <v>Anbuu</v>
      </c>
      <c r="I145" s="3" t="str">
        <f>IFERROR(__xludf.DUMMYFUNCTION("IFERROR(TRIM(INDEX(SPLIT(E145,"" + ""),2)),"""")"),"Kesny")</f>
        <v>Kesny</v>
      </c>
      <c r="J145" s="5" t="str">
        <f>IFERROR(__xludf.DUMMYFUNCTION("IFERROR(TRIM(INDEX(SPLIT(E145,"" + ""),3)),"""")"),"Malena")</f>
        <v>Malena</v>
      </c>
      <c r="K145" s="3">
        <f>IFERROR(__xludf.DUMMYFUNCTION("IFERROR(IF(H145="""",0,INDEX(FILTER($Q$2:Q144,$C$2:C144=H145,$G$2:G144=G145),ROWS(FILTER($Q$2:Q144,$C$2:C144=H145,$G$2:G144=G145)),1)),1500)"),1517.0)</f>
        <v>1517</v>
      </c>
      <c r="L145" s="3">
        <f>IFERROR(__xludf.DUMMYFUNCTION("IFERROR(IF(I145="""",0,INDEX(FILTER($Q$2:Q144,$C$2:C144=I145,$G$2:G144=G145),ROWS(FILTER($Q$2:Q144,$C$2:C144=I145,$G$2:G144=G145)),1)),1500)"),1542.0)</f>
        <v>1542</v>
      </c>
      <c r="M145" s="3">
        <f>IFERROR(__xludf.DUMMYFUNCTION("IFERROR(IF(J145="""",0,INDEX(FILTER($Q$2:Q144,$C$2:C144=J145,$G$2:G144=G145),ROWS(FILTER($Q$2:Q144,$C$2:C144=J145,$G$2:G144=G145)),1)),1500)"),1438.0)</f>
        <v>1438</v>
      </c>
      <c r="N145" s="3">
        <f>IFERROR(__xludf.DUMMYFUNCTION("IFERROR(INDEX(FILTER($Q$2:Q144,$C$2:C144=C145,$G$2:G144=G145),ROWS(FILTER($Q$2:Q144,$C$2:C144=C145,$G$2:G144=G145)),1),1500)"),1553.0)</f>
        <v>1553</v>
      </c>
      <c r="O145" s="3">
        <f t="shared" si="3"/>
        <v>1499</v>
      </c>
      <c r="P145" s="9">
        <f t="shared" si="1"/>
        <v>-18</v>
      </c>
      <c r="Q145" s="5">
        <f t="shared" si="2"/>
        <v>1535</v>
      </c>
    </row>
    <row r="146">
      <c r="A146" s="3" t="str">
        <f>IFERROR(__xludf.DUMMYFUNCTION("""COMPUTED_VALUE"""),"1GiVsIy8PLxDJZrX5h0v6Fz64p5wp9hYr")</f>
        <v>1GiVsIy8PLxDJZrX5h0v6Fz64p5wp9hYr</v>
      </c>
      <c r="B146" s="13">
        <f>IFERROR(__xludf.DUMMYFUNCTION("""COMPUTED_VALUE"""),45976.0)</f>
        <v>45976</v>
      </c>
      <c r="C146" s="3" t="str">
        <f>IFERROR(__xludf.DUMMYFUNCTION("""COMPUTED_VALUE"""),"Nebus.")</f>
        <v>Nebus.</v>
      </c>
      <c r="D146" s="3" t="str">
        <f>IFERROR(__xludf.DUMMYFUNCTION("""COMPUTED_VALUE"""),"Nebus. + Tess1509 + ZeroO")</f>
        <v>Nebus. + Tess1509 + ZeroO</v>
      </c>
      <c r="E146" s="3" t="str">
        <f>IFERROR(__xludf.DUMMYFUNCTION("""COMPUTED_VALUE"""),"Anbuu + Kesny + Malena")</f>
        <v>Anbuu + Kesny + Malena</v>
      </c>
      <c r="F146" s="3" t="str">
        <f>IFERROR(__xludf.DUMMYFUNCTION("""COMPUTED_VALUE"""),"loss")</f>
        <v>loss</v>
      </c>
      <c r="G146" s="3" t="str">
        <f>IFERROR(__xludf.DUMMYFUNCTION("""COMPUTED_VALUE"""),"3v3")</f>
        <v>3v3</v>
      </c>
      <c r="H146" s="3" t="str">
        <f>IFERROR(__xludf.DUMMYFUNCTION("IFERROR(TRIM(INDEX(SPLIT(E146,"" + ""),1)),"""")"),"Anbuu")</f>
        <v>Anbuu</v>
      </c>
      <c r="I146" s="3" t="str">
        <f>IFERROR(__xludf.DUMMYFUNCTION("IFERROR(TRIM(INDEX(SPLIT(E146,"" + ""),2)),"""")"),"Kesny")</f>
        <v>Kesny</v>
      </c>
      <c r="J146" s="5" t="str">
        <f>IFERROR(__xludf.DUMMYFUNCTION("IFERROR(TRIM(INDEX(SPLIT(E146,"" + ""),3)),"""")"),"Malena")</f>
        <v>Malena</v>
      </c>
      <c r="K146" s="3">
        <f>IFERROR(__xludf.DUMMYFUNCTION("IFERROR(IF(H146="""",0,INDEX(FILTER($Q$2:Q145,$C$2:C145=H146,$G$2:G145=G146),ROWS(FILTER($Q$2:Q145,$C$2:C145=H146,$G$2:G145=G146)),1)),1500)"),1517.0)</f>
        <v>1517</v>
      </c>
      <c r="L146" s="3">
        <f>IFERROR(__xludf.DUMMYFUNCTION("IFERROR(IF(I146="""",0,INDEX(FILTER($Q$2:Q145,$C$2:C145=I146,$G$2:G145=G146),ROWS(FILTER($Q$2:Q145,$C$2:C145=I146,$G$2:G145=G146)),1)),1500)"),1542.0)</f>
        <v>1542</v>
      </c>
      <c r="M146" s="3">
        <f>IFERROR(__xludf.DUMMYFUNCTION("IFERROR(IF(J146="""",0,INDEX(FILTER($Q$2:Q145,$C$2:C145=J146,$G$2:G145=G146),ROWS(FILTER($Q$2:Q145,$C$2:C145=J146,$G$2:G145=G146)),1)),1500)"),1438.0)</f>
        <v>1438</v>
      </c>
      <c r="N146" s="3">
        <f>IFERROR(__xludf.DUMMYFUNCTION("IFERROR(INDEX(FILTER($Q$2:Q145,$C$2:C145=C146,$G$2:G145=G146),ROWS(FILTER($Q$2:Q145,$C$2:C145=C146,$G$2:G145=G146)),1),1500)"),1555.0)</f>
        <v>1555</v>
      </c>
      <c r="O146" s="3">
        <f t="shared" si="3"/>
        <v>1499</v>
      </c>
      <c r="P146" s="9">
        <f t="shared" si="1"/>
        <v>-19</v>
      </c>
      <c r="Q146" s="5">
        <f t="shared" si="2"/>
        <v>1536</v>
      </c>
    </row>
    <row r="147">
      <c r="A147" s="3" t="str">
        <f>IFERROR(__xludf.DUMMYFUNCTION("""COMPUTED_VALUE"""),"1GiVsIy8PLxDJZrX5h0v6Fz64p5wp9hYr")</f>
        <v>1GiVsIy8PLxDJZrX5h0v6Fz64p5wp9hYr</v>
      </c>
      <c r="B147" s="13">
        <f>IFERROR(__xludf.DUMMYFUNCTION("""COMPUTED_VALUE"""),45976.0)</f>
        <v>45976</v>
      </c>
      <c r="C147" s="3" t="str">
        <f>IFERROR(__xludf.DUMMYFUNCTION("""COMPUTED_VALUE"""),"Tess1509")</f>
        <v>Tess1509</v>
      </c>
      <c r="D147" s="3" t="str">
        <f>IFERROR(__xludf.DUMMYFUNCTION("""COMPUTED_VALUE"""),"Nebus. + Tess1509 + ZeroO")</f>
        <v>Nebus. + Tess1509 + ZeroO</v>
      </c>
      <c r="E147" s="3" t="str">
        <f>IFERROR(__xludf.DUMMYFUNCTION("""COMPUTED_VALUE"""),"Anbuu + Kesny + Malena")</f>
        <v>Anbuu + Kesny + Malena</v>
      </c>
      <c r="F147" s="3" t="str">
        <f>IFERROR(__xludf.DUMMYFUNCTION("""COMPUTED_VALUE"""),"loss")</f>
        <v>loss</v>
      </c>
      <c r="G147" s="3" t="str">
        <f>IFERROR(__xludf.DUMMYFUNCTION("""COMPUTED_VALUE"""),"3v3")</f>
        <v>3v3</v>
      </c>
      <c r="H147" s="3" t="str">
        <f>IFERROR(__xludf.DUMMYFUNCTION("IFERROR(TRIM(INDEX(SPLIT(E147,"" + ""),1)),"""")"),"Anbuu")</f>
        <v>Anbuu</v>
      </c>
      <c r="I147" s="3" t="str">
        <f>IFERROR(__xludf.DUMMYFUNCTION("IFERROR(TRIM(INDEX(SPLIT(E147,"" + ""),2)),"""")"),"Kesny")</f>
        <v>Kesny</v>
      </c>
      <c r="J147" s="5" t="str">
        <f>IFERROR(__xludf.DUMMYFUNCTION("IFERROR(TRIM(INDEX(SPLIT(E147,"" + ""),3)),"""")"),"Malena")</f>
        <v>Malena</v>
      </c>
      <c r="K147" s="3">
        <f>IFERROR(__xludf.DUMMYFUNCTION("IFERROR(IF(H147="""",0,INDEX(FILTER($Q$2:Q146,$C$2:C146=H147,$G$2:G146=G147),ROWS(FILTER($Q$2:Q146,$C$2:C146=H147,$G$2:G146=G147)),1)),1500)"),1517.0)</f>
        <v>1517</v>
      </c>
      <c r="L147" s="3">
        <f>IFERROR(__xludf.DUMMYFUNCTION("IFERROR(IF(I147="""",0,INDEX(FILTER($Q$2:Q146,$C$2:C146=I147,$G$2:G146=G147),ROWS(FILTER($Q$2:Q146,$C$2:C146=I147,$G$2:G146=G147)),1)),1500)"),1542.0)</f>
        <v>1542</v>
      </c>
      <c r="M147" s="3">
        <f>IFERROR(__xludf.DUMMYFUNCTION("IFERROR(IF(J147="""",0,INDEX(FILTER($Q$2:Q146,$C$2:C146=J147,$G$2:G146=G147),ROWS(FILTER($Q$2:Q146,$C$2:C146=J147,$G$2:G146=G147)),1)),1500)"),1438.0)</f>
        <v>1438</v>
      </c>
      <c r="N147" s="3">
        <f>IFERROR(__xludf.DUMMYFUNCTION("IFERROR(INDEX(FILTER($Q$2:Q146,$C$2:C146=C147,$G$2:G146=G147),ROWS(FILTER($Q$2:Q146,$C$2:C146=C147,$G$2:G146=G147)),1),1500)"),1446.0)</f>
        <v>1446</v>
      </c>
      <c r="O147" s="3">
        <f t="shared" si="3"/>
        <v>1499</v>
      </c>
      <c r="P147" s="9">
        <f t="shared" si="1"/>
        <v>-14</v>
      </c>
      <c r="Q147" s="5">
        <f t="shared" si="2"/>
        <v>1432</v>
      </c>
    </row>
    <row r="148">
      <c r="A148" s="3" t="str">
        <f>IFERROR(__xludf.DUMMYFUNCTION("""COMPUTED_VALUE"""),"1DHJZ20VSUB44O7YzL36qxWpMXfUkNCkc")</f>
        <v>1DHJZ20VSUB44O7YzL36qxWpMXfUkNCkc</v>
      </c>
      <c r="B148" s="13">
        <f>IFERROR(__xludf.DUMMYFUNCTION("""COMPUTED_VALUE"""),45976.0)</f>
        <v>45976</v>
      </c>
      <c r="C148" s="3" t="str">
        <f>IFERROR(__xludf.DUMMYFUNCTION("""COMPUTED_VALUE"""),"Malena")</f>
        <v>Malena</v>
      </c>
      <c r="D148" s="3" t="str">
        <f>IFERROR(__xludf.DUMMYFUNCTION("""COMPUTED_VALUE"""),"Anbuu + Kesny + Malena")</f>
        <v>Anbuu + Kesny + Malena</v>
      </c>
      <c r="E148" s="3" t="str">
        <f>IFERROR(__xludf.DUMMYFUNCTION("""COMPUTED_VALUE"""),"Nebus. + Tess1509 + ZeroO")</f>
        <v>Nebus. + Tess1509 + ZeroO</v>
      </c>
      <c r="F148" s="3" t="str">
        <f>IFERROR(__xludf.DUMMYFUNCTION("""COMPUTED_VALUE"""),"loss")</f>
        <v>loss</v>
      </c>
      <c r="G148" s="3" t="str">
        <f>IFERROR(__xludf.DUMMYFUNCTION("""COMPUTED_VALUE"""),"3v3")</f>
        <v>3v3</v>
      </c>
      <c r="H148" s="3" t="str">
        <f>IFERROR(__xludf.DUMMYFUNCTION("IFERROR(TRIM(INDEX(SPLIT(E148,"" + ""),1)),"""")"),"Nebus.")</f>
        <v>Nebus.</v>
      </c>
      <c r="I148" s="3" t="str">
        <f>IFERROR(__xludf.DUMMYFUNCTION("IFERROR(TRIM(INDEX(SPLIT(E148,"" + ""),2)),"""")"),"Tess1509")</f>
        <v>Tess1509</v>
      </c>
      <c r="J148" s="5" t="str">
        <f>IFERROR(__xludf.DUMMYFUNCTION("IFERROR(TRIM(INDEX(SPLIT(E148,"" + ""),3)),"""")"),"ZeroO")</f>
        <v>ZeroO</v>
      </c>
      <c r="K148" s="3">
        <f>IFERROR(__xludf.DUMMYFUNCTION("IFERROR(IF(H148="""",0,INDEX(FILTER($Q$2:Q147,$C$2:C147=H148,$G$2:G147=G148),ROWS(FILTER($Q$2:Q147,$C$2:C147=H148,$G$2:G147=G148)),1)),1500)"),1536.0)</f>
        <v>1536</v>
      </c>
      <c r="L148" s="3">
        <f>IFERROR(__xludf.DUMMYFUNCTION("IFERROR(IF(I148="""",0,INDEX(FILTER($Q$2:Q147,$C$2:C147=I148,$G$2:G147=G148),ROWS(FILTER($Q$2:Q147,$C$2:C147=I148,$G$2:G147=G148)),1)),1500)"),1432.0)</f>
        <v>1432</v>
      </c>
      <c r="M148" s="3">
        <f>IFERROR(__xludf.DUMMYFUNCTION("IFERROR(IF(J148="""",0,INDEX(FILTER($Q$2:Q147,$C$2:C147=J148,$G$2:G147=G148),ROWS(FILTER($Q$2:Q147,$C$2:C147=J148,$G$2:G147=G148)),1)),1500)"),1535.0)</f>
        <v>1535</v>
      </c>
      <c r="N148" s="3">
        <f>IFERROR(__xludf.DUMMYFUNCTION("IFERROR(INDEX(FILTER($Q$2:Q147,$C$2:C147=C148,$G$2:G147=G148),ROWS(FILTER($Q$2:Q147,$C$2:C147=C148,$G$2:G147=G148)),1),1500)"),1438.0)</f>
        <v>1438</v>
      </c>
      <c r="O148" s="3">
        <f t="shared" si="3"/>
        <v>1501</v>
      </c>
      <c r="P148" s="9">
        <f t="shared" si="1"/>
        <v>-13</v>
      </c>
      <c r="Q148" s="5">
        <f t="shared" si="2"/>
        <v>1425</v>
      </c>
    </row>
    <row r="149">
      <c r="A149" s="3" t="str">
        <f>IFERROR(__xludf.DUMMYFUNCTION("""COMPUTED_VALUE"""),"1DHJZ20VSUB44O7YzL36qxWpMXfUkNCkc")</f>
        <v>1DHJZ20VSUB44O7YzL36qxWpMXfUkNCkc</v>
      </c>
      <c r="B149" s="13">
        <f>IFERROR(__xludf.DUMMYFUNCTION("""COMPUTED_VALUE"""),45976.0)</f>
        <v>45976</v>
      </c>
      <c r="C149" s="3" t="str">
        <f>IFERROR(__xludf.DUMMYFUNCTION("""COMPUTED_VALUE"""),"Kesny")</f>
        <v>Kesny</v>
      </c>
      <c r="D149" s="3" t="str">
        <f>IFERROR(__xludf.DUMMYFUNCTION("""COMPUTED_VALUE"""),"Anbuu + Kesny + Malena")</f>
        <v>Anbuu + Kesny + Malena</v>
      </c>
      <c r="E149" s="3" t="str">
        <f>IFERROR(__xludf.DUMMYFUNCTION("""COMPUTED_VALUE"""),"Nebus. + Tess1509 + ZeroO")</f>
        <v>Nebus. + Tess1509 + ZeroO</v>
      </c>
      <c r="F149" s="3" t="str">
        <f>IFERROR(__xludf.DUMMYFUNCTION("""COMPUTED_VALUE"""),"loss")</f>
        <v>loss</v>
      </c>
      <c r="G149" s="3" t="str">
        <f>IFERROR(__xludf.DUMMYFUNCTION("""COMPUTED_VALUE"""),"3v3")</f>
        <v>3v3</v>
      </c>
      <c r="H149" s="3" t="str">
        <f>IFERROR(__xludf.DUMMYFUNCTION("IFERROR(TRIM(INDEX(SPLIT(E149,"" + ""),1)),"""")"),"Nebus.")</f>
        <v>Nebus.</v>
      </c>
      <c r="I149" s="3" t="str">
        <f>IFERROR(__xludf.DUMMYFUNCTION("IFERROR(TRIM(INDEX(SPLIT(E149,"" + ""),2)),"""")"),"Tess1509")</f>
        <v>Tess1509</v>
      </c>
      <c r="J149" s="5" t="str">
        <f>IFERROR(__xludf.DUMMYFUNCTION("IFERROR(TRIM(INDEX(SPLIT(E149,"" + ""),3)),"""")"),"ZeroO")</f>
        <v>ZeroO</v>
      </c>
      <c r="K149" s="3">
        <f>IFERROR(__xludf.DUMMYFUNCTION("IFERROR(IF(H149="""",0,INDEX(FILTER($Q$2:Q148,$C$2:C148=H149,$G$2:G148=G149),ROWS(FILTER($Q$2:Q148,$C$2:C148=H149,$G$2:G148=G149)),1)),1500)"),1536.0)</f>
        <v>1536</v>
      </c>
      <c r="L149" s="3">
        <f>IFERROR(__xludf.DUMMYFUNCTION("IFERROR(IF(I149="""",0,INDEX(FILTER($Q$2:Q148,$C$2:C148=I149,$G$2:G148=G149),ROWS(FILTER($Q$2:Q148,$C$2:C148=I149,$G$2:G148=G149)),1)),1500)"),1432.0)</f>
        <v>1432</v>
      </c>
      <c r="M149" s="3">
        <f>IFERROR(__xludf.DUMMYFUNCTION("IFERROR(IF(J149="""",0,INDEX(FILTER($Q$2:Q148,$C$2:C148=J149,$G$2:G148=G149),ROWS(FILTER($Q$2:Q148,$C$2:C148=J149,$G$2:G148=G149)),1)),1500)"),1535.0)</f>
        <v>1535</v>
      </c>
      <c r="N149" s="3">
        <f>IFERROR(__xludf.DUMMYFUNCTION("IFERROR(INDEX(FILTER($Q$2:Q148,$C$2:C148=C149,$G$2:G148=G149),ROWS(FILTER($Q$2:Q148,$C$2:C148=C149,$G$2:G148=G149)),1),1500)"),1542.0)</f>
        <v>1542</v>
      </c>
      <c r="O149" s="3">
        <f t="shared" si="3"/>
        <v>1501</v>
      </c>
      <c r="P149" s="9">
        <f t="shared" si="1"/>
        <v>-18</v>
      </c>
      <c r="Q149" s="5">
        <f t="shared" si="2"/>
        <v>1524</v>
      </c>
    </row>
    <row r="150">
      <c r="A150" s="3" t="str">
        <f>IFERROR(__xludf.DUMMYFUNCTION("""COMPUTED_VALUE"""),"1DHJZ20VSUB44O7YzL36qxWpMXfUkNCkc")</f>
        <v>1DHJZ20VSUB44O7YzL36qxWpMXfUkNCkc</v>
      </c>
      <c r="B150" s="13">
        <f>IFERROR(__xludf.DUMMYFUNCTION("""COMPUTED_VALUE"""),45976.0)</f>
        <v>45976</v>
      </c>
      <c r="C150" s="3" t="str">
        <f>IFERROR(__xludf.DUMMYFUNCTION("""COMPUTED_VALUE"""),"Anbuu")</f>
        <v>Anbuu</v>
      </c>
      <c r="D150" s="3" t="str">
        <f>IFERROR(__xludf.DUMMYFUNCTION("""COMPUTED_VALUE"""),"Anbuu + Kesny + Malena")</f>
        <v>Anbuu + Kesny + Malena</v>
      </c>
      <c r="E150" s="3" t="str">
        <f>IFERROR(__xludf.DUMMYFUNCTION("""COMPUTED_VALUE"""),"Nebus. + Tess1509 + ZeroO")</f>
        <v>Nebus. + Tess1509 + ZeroO</v>
      </c>
      <c r="F150" s="3" t="str">
        <f>IFERROR(__xludf.DUMMYFUNCTION("""COMPUTED_VALUE"""),"loss")</f>
        <v>loss</v>
      </c>
      <c r="G150" s="3" t="str">
        <f>IFERROR(__xludf.DUMMYFUNCTION("""COMPUTED_VALUE"""),"3v3")</f>
        <v>3v3</v>
      </c>
      <c r="H150" s="3" t="str">
        <f>IFERROR(__xludf.DUMMYFUNCTION("IFERROR(TRIM(INDEX(SPLIT(E150,"" + ""),1)),"""")"),"Nebus.")</f>
        <v>Nebus.</v>
      </c>
      <c r="I150" s="3" t="str">
        <f>IFERROR(__xludf.DUMMYFUNCTION("IFERROR(TRIM(INDEX(SPLIT(E150,"" + ""),2)),"""")"),"Tess1509")</f>
        <v>Tess1509</v>
      </c>
      <c r="J150" s="5" t="str">
        <f>IFERROR(__xludf.DUMMYFUNCTION("IFERROR(TRIM(INDEX(SPLIT(E150,"" + ""),3)),"""")"),"ZeroO")</f>
        <v>ZeroO</v>
      </c>
      <c r="K150" s="3">
        <f>IFERROR(__xludf.DUMMYFUNCTION("IFERROR(IF(H150="""",0,INDEX(FILTER($Q$2:Q149,$C$2:C149=H150,$G$2:G149=G150),ROWS(FILTER($Q$2:Q149,$C$2:C149=H150,$G$2:G149=G150)),1)),1500)"),1536.0)</f>
        <v>1536</v>
      </c>
      <c r="L150" s="3">
        <f>IFERROR(__xludf.DUMMYFUNCTION("IFERROR(IF(I150="""",0,INDEX(FILTER($Q$2:Q149,$C$2:C149=I150,$G$2:G149=G150),ROWS(FILTER($Q$2:Q149,$C$2:C149=I150,$G$2:G149=G150)),1)),1500)"),1432.0)</f>
        <v>1432</v>
      </c>
      <c r="M150" s="3">
        <f>IFERROR(__xludf.DUMMYFUNCTION("IFERROR(IF(J150="""",0,INDEX(FILTER($Q$2:Q149,$C$2:C149=J150,$G$2:G149=G150),ROWS(FILTER($Q$2:Q149,$C$2:C149=J150,$G$2:G149=G150)),1)),1500)"),1535.0)</f>
        <v>1535</v>
      </c>
      <c r="N150" s="3">
        <f>IFERROR(__xludf.DUMMYFUNCTION("IFERROR(INDEX(FILTER($Q$2:Q149,$C$2:C149=C150,$G$2:G149=G150),ROWS(FILTER($Q$2:Q149,$C$2:C149=C150,$G$2:G149=G150)),1),1500)"),1517.0)</f>
        <v>1517</v>
      </c>
      <c r="O150" s="3">
        <f t="shared" si="3"/>
        <v>1501</v>
      </c>
      <c r="P150" s="9">
        <f t="shared" si="1"/>
        <v>-17</v>
      </c>
      <c r="Q150" s="5">
        <f t="shared" si="2"/>
        <v>1500</v>
      </c>
    </row>
    <row r="151">
      <c r="A151" s="3" t="str">
        <f>IFERROR(__xludf.DUMMYFUNCTION("""COMPUTED_VALUE"""),"1DHJZ20VSUB44O7YzL36qxWpMXfUkNCkc")</f>
        <v>1DHJZ20VSUB44O7YzL36qxWpMXfUkNCkc</v>
      </c>
      <c r="B151" s="13">
        <f>IFERROR(__xludf.DUMMYFUNCTION("""COMPUTED_VALUE"""),45976.0)</f>
        <v>45976</v>
      </c>
      <c r="C151" s="3" t="str">
        <f>IFERROR(__xludf.DUMMYFUNCTION("""COMPUTED_VALUE"""),"Nebus.")</f>
        <v>Nebus.</v>
      </c>
      <c r="D151" s="3" t="str">
        <f>IFERROR(__xludf.DUMMYFUNCTION("""COMPUTED_VALUE"""),"Nebus. + Tess1509 + ZeroO")</f>
        <v>Nebus. + Tess1509 + ZeroO</v>
      </c>
      <c r="E151" s="3" t="str">
        <f>IFERROR(__xludf.DUMMYFUNCTION("""COMPUTED_VALUE"""),"Anbuu + Kesny + Malena")</f>
        <v>Anbuu + Kesny + Malena</v>
      </c>
      <c r="F151" s="3" t="str">
        <f>IFERROR(__xludf.DUMMYFUNCTION("""COMPUTED_VALUE"""),"win")</f>
        <v>win</v>
      </c>
      <c r="G151" s="3" t="str">
        <f>IFERROR(__xludf.DUMMYFUNCTION("""COMPUTED_VALUE"""),"3v3")</f>
        <v>3v3</v>
      </c>
      <c r="H151" s="3" t="str">
        <f>IFERROR(__xludf.DUMMYFUNCTION("IFERROR(TRIM(INDEX(SPLIT(E151,"" + ""),1)),"""")"),"Anbuu")</f>
        <v>Anbuu</v>
      </c>
      <c r="I151" s="3" t="str">
        <f>IFERROR(__xludf.DUMMYFUNCTION("IFERROR(TRIM(INDEX(SPLIT(E151,"" + ""),2)),"""")"),"Kesny")</f>
        <v>Kesny</v>
      </c>
      <c r="J151" s="5" t="str">
        <f>IFERROR(__xludf.DUMMYFUNCTION("IFERROR(TRIM(INDEX(SPLIT(E151,"" + ""),3)),"""")"),"Malena")</f>
        <v>Malena</v>
      </c>
      <c r="K151" s="3">
        <f>IFERROR(__xludf.DUMMYFUNCTION("IFERROR(IF(H151="""",0,INDEX(FILTER($Q$2:Q150,$C$2:C150=H151,$G$2:G150=G151),ROWS(FILTER($Q$2:Q150,$C$2:C150=H151,$G$2:G150=G151)),1)),1500)"),1500.0)</f>
        <v>1500</v>
      </c>
      <c r="L151" s="3">
        <f>IFERROR(__xludf.DUMMYFUNCTION("IFERROR(IF(I151="""",0,INDEX(FILTER($Q$2:Q150,$C$2:C150=I151,$G$2:G150=G151),ROWS(FILTER($Q$2:Q150,$C$2:C150=I151,$G$2:G150=G151)),1)),1500)"),1524.0)</f>
        <v>1524</v>
      </c>
      <c r="M151" s="3">
        <f>IFERROR(__xludf.DUMMYFUNCTION("IFERROR(IF(J151="""",0,INDEX(FILTER($Q$2:Q150,$C$2:C150=J151,$G$2:G150=G151),ROWS(FILTER($Q$2:Q150,$C$2:C150=J151,$G$2:G150=G151)),1)),1500)"),1425.0)</f>
        <v>1425</v>
      </c>
      <c r="N151" s="3">
        <f>IFERROR(__xludf.DUMMYFUNCTION("IFERROR(INDEX(FILTER($Q$2:Q150,$C$2:C150=C151,$G$2:G150=G151),ROWS(FILTER($Q$2:Q150,$C$2:C150=C151,$G$2:G150=G151)),1),1500)"),1536.0)</f>
        <v>1536</v>
      </c>
      <c r="O151" s="3">
        <f t="shared" si="3"/>
        <v>1483</v>
      </c>
      <c r="P151" s="9">
        <f t="shared" si="1"/>
        <v>14</v>
      </c>
      <c r="Q151" s="5">
        <f t="shared" si="2"/>
        <v>1550</v>
      </c>
    </row>
    <row r="152">
      <c r="A152" s="3" t="str">
        <f>IFERROR(__xludf.DUMMYFUNCTION("""COMPUTED_VALUE"""),"1DHJZ20VSUB44O7YzL36qxWpMXfUkNCkc")</f>
        <v>1DHJZ20VSUB44O7YzL36qxWpMXfUkNCkc</v>
      </c>
      <c r="B152" s="13">
        <f>IFERROR(__xludf.DUMMYFUNCTION("""COMPUTED_VALUE"""),45976.0)</f>
        <v>45976</v>
      </c>
      <c r="C152" s="3" t="str">
        <f>IFERROR(__xludf.DUMMYFUNCTION("""COMPUTED_VALUE"""),"ZeroO")</f>
        <v>ZeroO</v>
      </c>
      <c r="D152" s="3" t="str">
        <f>IFERROR(__xludf.DUMMYFUNCTION("""COMPUTED_VALUE"""),"Nebus. + Tess1509 + ZeroO")</f>
        <v>Nebus. + Tess1509 + ZeroO</v>
      </c>
      <c r="E152" s="3" t="str">
        <f>IFERROR(__xludf.DUMMYFUNCTION("""COMPUTED_VALUE"""),"Anbuu + Kesny + Malena")</f>
        <v>Anbuu + Kesny + Malena</v>
      </c>
      <c r="F152" s="3" t="str">
        <f>IFERROR(__xludf.DUMMYFUNCTION("""COMPUTED_VALUE"""),"win")</f>
        <v>win</v>
      </c>
      <c r="G152" s="3" t="str">
        <f>IFERROR(__xludf.DUMMYFUNCTION("""COMPUTED_VALUE"""),"3v3")</f>
        <v>3v3</v>
      </c>
      <c r="H152" s="3" t="str">
        <f>IFERROR(__xludf.DUMMYFUNCTION("IFERROR(TRIM(INDEX(SPLIT(E152,"" + ""),1)),"""")"),"Anbuu")</f>
        <v>Anbuu</v>
      </c>
      <c r="I152" s="3" t="str">
        <f>IFERROR(__xludf.DUMMYFUNCTION("IFERROR(TRIM(INDEX(SPLIT(E152,"" + ""),2)),"""")"),"Kesny")</f>
        <v>Kesny</v>
      </c>
      <c r="J152" s="5" t="str">
        <f>IFERROR(__xludf.DUMMYFUNCTION("IFERROR(TRIM(INDEX(SPLIT(E152,"" + ""),3)),"""")"),"Malena")</f>
        <v>Malena</v>
      </c>
      <c r="K152" s="3">
        <f>IFERROR(__xludf.DUMMYFUNCTION("IFERROR(IF(H152="""",0,INDEX(FILTER($Q$2:Q151,$C$2:C151=H152,$G$2:G151=G152),ROWS(FILTER($Q$2:Q151,$C$2:C151=H152,$G$2:G151=G152)),1)),1500)"),1500.0)</f>
        <v>1500</v>
      </c>
      <c r="L152" s="3">
        <f>IFERROR(__xludf.DUMMYFUNCTION("IFERROR(IF(I152="""",0,INDEX(FILTER($Q$2:Q151,$C$2:C151=I152,$G$2:G151=G152),ROWS(FILTER($Q$2:Q151,$C$2:C151=I152,$G$2:G151=G152)),1)),1500)"),1524.0)</f>
        <v>1524</v>
      </c>
      <c r="M152" s="3">
        <f>IFERROR(__xludf.DUMMYFUNCTION("IFERROR(IF(J152="""",0,INDEX(FILTER($Q$2:Q151,$C$2:C151=J152,$G$2:G151=G152),ROWS(FILTER($Q$2:Q151,$C$2:C151=J152,$G$2:G151=G152)),1)),1500)"),1425.0)</f>
        <v>1425</v>
      </c>
      <c r="N152" s="3">
        <f>IFERROR(__xludf.DUMMYFUNCTION("IFERROR(INDEX(FILTER($Q$2:Q151,$C$2:C151=C152,$G$2:G151=G152),ROWS(FILTER($Q$2:Q151,$C$2:C151=C152,$G$2:G151=G152)),1),1500)"),1535.0)</f>
        <v>1535</v>
      </c>
      <c r="O152" s="3">
        <f t="shared" si="3"/>
        <v>1483</v>
      </c>
      <c r="P152" s="9">
        <f t="shared" si="1"/>
        <v>14</v>
      </c>
      <c r="Q152" s="5">
        <f t="shared" si="2"/>
        <v>1549</v>
      </c>
    </row>
    <row r="153">
      <c r="A153" s="3" t="str">
        <f>IFERROR(__xludf.DUMMYFUNCTION("""COMPUTED_VALUE"""),"1DHJZ20VSUB44O7YzL36qxWpMXfUkNCkc")</f>
        <v>1DHJZ20VSUB44O7YzL36qxWpMXfUkNCkc</v>
      </c>
      <c r="B153" s="13">
        <f>IFERROR(__xludf.DUMMYFUNCTION("""COMPUTED_VALUE"""),45976.0)</f>
        <v>45976</v>
      </c>
      <c r="C153" s="3" t="str">
        <f>IFERROR(__xludf.DUMMYFUNCTION("""COMPUTED_VALUE"""),"Tess1509")</f>
        <v>Tess1509</v>
      </c>
      <c r="D153" s="3" t="str">
        <f>IFERROR(__xludf.DUMMYFUNCTION("""COMPUTED_VALUE"""),"Nebus. + Tess1509 + ZeroO")</f>
        <v>Nebus. + Tess1509 + ZeroO</v>
      </c>
      <c r="E153" s="3" t="str">
        <f>IFERROR(__xludf.DUMMYFUNCTION("""COMPUTED_VALUE"""),"Anbuu + Kesny + Malena")</f>
        <v>Anbuu + Kesny + Malena</v>
      </c>
      <c r="F153" s="3" t="str">
        <f>IFERROR(__xludf.DUMMYFUNCTION("""COMPUTED_VALUE"""),"win")</f>
        <v>win</v>
      </c>
      <c r="G153" s="3" t="str">
        <f>IFERROR(__xludf.DUMMYFUNCTION("""COMPUTED_VALUE"""),"3v3")</f>
        <v>3v3</v>
      </c>
      <c r="H153" s="3" t="str">
        <f>IFERROR(__xludf.DUMMYFUNCTION("IFERROR(TRIM(INDEX(SPLIT(E153,"" + ""),1)),"""")"),"Anbuu")</f>
        <v>Anbuu</v>
      </c>
      <c r="I153" s="3" t="str">
        <f>IFERROR(__xludf.DUMMYFUNCTION("IFERROR(TRIM(INDEX(SPLIT(E153,"" + ""),2)),"""")"),"Kesny")</f>
        <v>Kesny</v>
      </c>
      <c r="J153" s="5" t="str">
        <f>IFERROR(__xludf.DUMMYFUNCTION("IFERROR(TRIM(INDEX(SPLIT(E153,"" + ""),3)),"""")"),"Malena")</f>
        <v>Malena</v>
      </c>
      <c r="K153" s="3">
        <f>IFERROR(__xludf.DUMMYFUNCTION("IFERROR(IF(H153="""",0,INDEX(FILTER($Q$2:Q152,$C$2:C152=H153,$G$2:G152=G153),ROWS(FILTER($Q$2:Q152,$C$2:C152=H153,$G$2:G152=G153)),1)),1500)"),1500.0)</f>
        <v>1500</v>
      </c>
      <c r="L153" s="3">
        <f>IFERROR(__xludf.DUMMYFUNCTION("IFERROR(IF(I153="""",0,INDEX(FILTER($Q$2:Q152,$C$2:C152=I153,$G$2:G152=G153),ROWS(FILTER($Q$2:Q152,$C$2:C152=I153,$G$2:G152=G153)),1)),1500)"),1524.0)</f>
        <v>1524</v>
      </c>
      <c r="M153" s="3">
        <f>IFERROR(__xludf.DUMMYFUNCTION("IFERROR(IF(J153="""",0,INDEX(FILTER($Q$2:Q152,$C$2:C152=J153,$G$2:G152=G153),ROWS(FILTER($Q$2:Q152,$C$2:C152=J153,$G$2:G152=G153)),1)),1500)"),1425.0)</f>
        <v>1425</v>
      </c>
      <c r="N153" s="3">
        <f>IFERROR(__xludf.DUMMYFUNCTION("IFERROR(INDEX(FILTER($Q$2:Q152,$C$2:C152=C153,$G$2:G152=G153),ROWS(FILTER($Q$2:Q152,$C$2:C152=C153,$G$2:G152=G153)),1),1500)"),1432.0)</f>
        <v>1432</v>
      </c>
      <c r="O153" s="3">
        <f t="shared" si="3"/>
        <v>1483</v>
      </c>
      <c r="P153" s="9">
        <f t="shared" si="1"/>
        <v>18</v>
      </c>
      <c r="Q153" s="5">
        <f t="shared" si="2"/>
        <v>1450</v>
      </c>
    </row>
    <row r="154">
      <c r="A154" s="3" t="str">
        <f>IFERROR(__xludf.DUMMYFUNCTION("""COMPUTED_VALUE"""),"10PDRj7isv0sM8Zfd3OlcZPXXup4Ngy2h")</f>
        <v>10PDRj7isv0sM8Zfd3OlcZPXXup4Ngy2h</v>
      </c>
      <c r="B154" s="13">
        <f>IFERROR(__xludf.DUMMYFUNCTION("""COMPUTED_VALUE"""),45976.0)</f>
        <v>45976</v>
      </c>
      <c r="C154" s="3" t="str">
        <f>IFERROR(__xludf.DUMMYFUNCTION("""COMPUTED_VALUE"""),"Kesny")</f>
        <v>Kesny</v>
      </c>
      <c r="D154" s="3" t="str">
        <f>IFERROR(__xludf.DUMMYFUNCTION("""COMPUTED_VALUE"""),"Anbuu + Kesny + Tess1509")</f>
        <v>Anbuu + Kesny + Tess1509</v>
      </c>
      <c r="E154" s="3" t="str">
        <f>IFERROR(__xludf.DUMMYFUNCTION("""COMPUTED_VALUE"""),"Malena + Nebus. + ZeroO")</f>
        <v>Malena + Nebus. + ZeroO</v>
      </c>
      <c r="F154" s="3" t="str">
        <f>IFERROR(__xludf.DUMMYFUNCTION("""COMPUTED_VALUE"""),"loss")</f>
        <v>loss</v>
      </c>
      <c r="G154" s="3" t="str">
        <f>IFERROR(__xludf.DUMMYFUNCTION("""COMPUTED_VALUE"""),"3v3")</f>
        <v>3v3</v>
      </c>
      <c r="H154" s="3" t="str">
        <f>IFERROR(__xludf.DUMMYFUNCTION("IFERROR(TRIM(INDEX(SPLIT(E154,"" + ""),1)),"""")"),"Malena")</f>
        <v>Malena</v>
      </c>
      <c r="I154" s="3" t="str">
        <f>IFERROR(__xludf.DUMMYFUNCTION("IFERROR(TRIM(INDEX(SPLIT(E154,"" + ""),2)),"""")"),"Nebus.")</f>
        <v>Nebus.</v>
      </c>
      <c r="J154" s="5" t="str">
        <f>IFERROR(__xludf.DUMMYFUNCTION("IFERROR(TRIM(INDEX(SPLIT(E154,"" + ""),3)),"""")"),"ZeroO")</f>
        <v>ZeroO</v>
      </c>
      <c r="K154" s="3">
        <f>IFERROR(__xludf.DUMMYFUNCTION("IFERROR(IF(H154="""",0,INDEX(FILTER($Q$2:Q153,$C$2:C153=H154,$G$2:G153=G154),ROWS(FILTER($Q$2:Q153,$C$2:C153=H154,$G$2:G153=G154)),1)),1500)"),1425.0)</f>
        <v>1425</v>
      </c>
      <c r="L154" s="3">
        <f>IFERROR(__xludf.DUMMYFUNCTION("IFERROR(IF(I154="""",0,INDEX(FILTER($Q$2:Q153,$C$2:C153=I154,$G$2:G153=G154),ROWS(FILTER($Q$2:Q153,$C$2:C153=I154,$G$2:G153=G154)),1)),1500)"),1550.0)</f>
        <v>1550</v>
      </c>
      <c r="M154" s="3">
        <f>IFERROR(__xludf.DUMMYFUNCTION("IFERROR(IF(J154="""",0,INDEX(FILTER($Q$2:Q153,$C$2:C153=J154,$G$2:G153=G154),ROWS(FILTER($Q$2:Q153,$C$2:C153=J154,$G$2:G153=G154)),1)),1500)"),1549.0)</f>
        <v>1549</v>
      </c>
      <c r="N154" s="3">
        <f>IFERROR(__xludf.DUMMYFUNCTION("IFERROR(INDEX(FILTER($Q$2:Q153,$C$2:C153=C154,$G$2:G153=G154),ROWS(FILTER($Q$2:Q153,$C$2:C153=C154,$G$2:G153=G154)),1),1500)"),1524.0)</f>
        <v>1524</v>
      </c>
      <c r="O154" s="3">
        <f t="shared" si="3"/>
        <v>1508</v>
      </c>
      <c r="P154" s="9">
        <f t="shared" si="1"/>
        <v>-17</v>
      </c>
      <c r="Q154" s="5">
        <f t="shared" si="2"/>
        <v>1507</v>
      </c>
    </row>
    <row r="155">
      <c r="A155" s="3" t="str">
        <f>IFERROR(__xludf.DUMMYFUNCTION("""COMPUTED_VALUE"""),"10PDRj7isv0sM8Zfd3OlcZPXXup4Ngy2h")</f>
        <v>10PDRj7isv0sM8Zfd3OlcZPXXup4Ngy2h</v>
      </c>
      <c r="B155" s="13">
        <f>IFERROR(__xludf.DUMMYFUNCTION("""COMPUTED_VALUE"""),45976.0)</f>
        <v>45976</v>
      </c>
      <c r="C155" s="3" t="str">
        <f>IFERROR(__xludf.DUMMYFUNCTION("""COMPUTED_VALUE"""),"Anbuu")</f>
        <v>Anbuu</v>
      </c>
      <c r="D155" s="3" t="str">
        <f>IFERROR(__xludf.DUMMYFUNCTION("""COMPUTED_VALUE"""),"Anbuu + Kesny + Tess1509")</f>
        <v>Anbuu + Kesny + Tess1509</v>
      </c>
      <c r="E155" s="3" t="str">
        <f>IFERROR(__xludf.DUMMYFUNCTION("""COMPUTED_VALUE"""),"Malena + Nebus. + ZeroO")</f>
        <v>Malena + Nebus. + ZeroO</v>
      </c>
      <c r="F155" s="3" t="str">
        <f>IFERROR(__xludf.DUMMYFUNCTION("""COMPUTED_VALUE"""),"loss")</f>
        <v>loss</v>
      </c>
      <c r="G155" s="3" t="str">
        <f>IFERROR(__xludf.DUMMYFUNCTION("""COMPUTED_VALUE"""),"3v3")</f>
        <v>3v3</v>
      </c>
      <c r="H155" s="3" t="str">
        <f>IFERROR(__xludf.DUMMYFUNCTION("IFERROR(TRIM(INDEX(SPLIT(E155,"" + ""),1)),"""")"),"Malena")</f>
        <v>Malena</v>
      </c>
      <c r="I155" s="3" t="str">
        <f>IFERROR(__xludf.DUMMYFUNCTION("IFERROR(TRIM(INDEX(SPLIT(E155,"" + ""),2)),"""")"),"Nebus.")</f>
        <v>Nebus.</v>
      </c>
      <c r="J155" s="5" t="str">
        <f>IFERROR(__xludf.DUMMYFUNCTION("IFERROR(TRIM(INDEX(SPLIT(E155,"" + ""),3)),"""")"),"ZeroO")</f>
        <v>ZeroO</v>
      </c>
      <c r="K155" s="3">
        <f>IFERROR(__xludf.DUMMYFUNCTION("IFERROR(IF(H155="""",0,INDEX(FILTER($Q$2:Q154,$C$2:C154=H155,$G$2:G154=G155),ROWS(FILTER($Q$2:Q154,$C$2:C154=H155,$G$2:G154=G155)),1)),1500)"),1425.0)</f>
        <v>1425</v>
      </c>
      <c r="L155" s="3">
        <f>IFERROR(__xludf.DUMMYFUNCTION("IFERROR(IF(I155="""",0,INDEX(FILTER($Q$2:Q154,$C$2:C154=I155,$G$2:G154=G155),ROWS(FILTER($Q$2:Q154,$C$2:C154=I155,$G$2:G154=G155)),1)),1500)"),1550.0)</f>
        <v>1550</v>
      </c>
      <c r="M155" s="3">
        <f>IFERROR(__xludf.DUMMYFUNCTION("IFERROR(IF(J155="""",0,INDEX(FILTER($Q$2:Q154,$C$2:C154=J155,$G$2:G154=G155),ROWS(FILTER($Q$2:Q154,$C$2:C154=J155,$G$2:G154=G155)),1)),1500)"),1549.0)</f>
        <v>1549</v>
      </c>
      <c r="N155" s="3">
        <f>IFERROR(__xludf.DUMMYFUNCTION("IFERROR(INDEX(FILTER($Q$2:Q154,$C$2:C154=C155,$G$2:G154=G155),ROWS(FILTER($Q$2:Q154,$C$2:C154=C155,$G$2:G154=G155)),1),1500)"),1500.0)</f>
        <v>1500</v>
      </c>
      <c r="O155" s="3">
        <f t="shared" si="3"/>
        <v>1508</v>
      </c>
      <c r="P155" s="9">
        <f t="shared" si="1"/>
        <v>-16</v>
      </c>
      <c r="Q155" s="5">
        <f t="shared" si="2"/>
        <v>1484</v>
      </c>
    </row>
    <row r="156">
      <c r="A156" s="3" t="str">
        <f>IFERROR(__xludf.DUMMYFUNCTION("""COMPUTED_VALUE"""),"10PDRj7isv0sM8Zfd3OlcZPXXup4Ngy2h")</f>
        <v>10PDRj7isv0sM8Zfd3OlcZPXXup4Ngy2h</v>
      </c>
      <c r="B156" s="13">
        <f>IFERROR(__xludf.DUMMYFUNCTION("""COMPUTED_VALUE"""),45976.0)</f>
        <v>45976</v>
      </c>
      <c r="C156" s="3" t="str">
        <f>IFERROR(__xludf.DUMMYFUNCTION("""COMPUTED_VALUE"""),"Tess1509")</f>
        <v>Tess1509</v>
      </c>
      <c r="D156" s="3" t="str">
        <f>IFERROR(__xludf.DUMMYFUNCTION("""COMPUTED_VALUE"""),"Anbuu + Kesny + Tess1509")</f>
        <v>Anbuu + Kesny + Tess1509</v>
      </c>
      <c r="E156" s="3" t="str">
        <f>IFERROR(__xludf.DUMMYFUNCTION("""COMPUTED_VALUE"""),"Malena + Nebus. + ZeroO")</f>
        <v>Malena + Nebus. + ZeroO</v>
      </c>
      <c r="F156" s="3" t="str">
        <f>IFERROR(__xludf.DUMMYFUNCTION("""COMPUTED_VALUE"""),"loss")</f>
        <v>loss</v>
      </c>
      <c r="G156" s="3" t="str">
        <f>IFERROR(__xludf.DUMMYFUNCTION("""COMPUTED_VALUE"""),"3v3")</f>
        <v>3v3</v>
      </c>
      <c r="H156" s="3" t="str">
        <f>IFERROR(__xludf.DUMMYFUNCTION("IFERROR(TRIM(INDEX(SPLIT(E156,"" + ""),1)),"""")"),"Malena")</f>
        <v>Malena</v>
      </c>
      <c r="I156" s="3" t="str">
        <f>IFERROR(__xludf.DUMMYFUNCTION("IFERROR(TRIM(INDEX(SPLIT(E156,"" + ""),2)),"""")"),"Nebus.")</f>
        <v>Nebus.</v>
      </c>
      <c r="J156" s="5" t="str">
        <f>IFERROR(__xludf.DUMMYFUNCTION("IFERROR(TRIM(INDEX(SPLIT(E156,"" + ""),3)),"""")"),"ZeroO")</f>
        <v>ZeroO</v>
      </c>
      <c r="K156" s="3">
        <f>IFERROR(__xludf.DUMMYFUNCTION("IFERROR(IF(H156="""",0,INDEX(FILTER($Q$2:Q155,$C$2:C155=H156,$G$2:G155=G156),ROWS(FILTER($Q$2:Q155,$C$2:C155=H156,$G$2:G155=G156)),1)),1500)"),1425.0)</f>
        <v>1425</v>
      </c>
      <c r="L156" s="3">
        <f>IFERROR(__xludf.DUMMYFUNCTION("IFERROR(IF(I156="""",0,INDEX(FILTER($Q$2:Q155,$C$2:C155=I156,$G$2:G155=G156),ROWS(FILTER($Q$2:Q155,$C$2:C155=I156,$G$2:G155=G156)),1)),1500)"),1550.0)</f>
        <v>1550</v>
      </c>
      <c r="M156" s="3">
        <f>IFERROR(__xludf.DUMMYFUNCTION("IFERROR(IF(J156="""",0,INDEX(FILTER($Q$2:Q155,$C$2:C155=J156,$G$2:G155=G156),ROWS(FILTER($Q$2:Q155,$C$2:C155=J156,$G$2:G155=G156)),1)),1500)"),1549.0)</f>
        <v>1549</v>
      </c>
      <c r="N156" s="3">
        <f>IFERROR(__xludf.DUMMYFUNCTION("IFERROR(INDEX(FILTER($Q$2:Q155,$C$2:C155=C156,$G$2:G155=G156),ROWS(FILTER($Q$2:Q155,$C$2:C155=C156,$G$2:G155=G156)),1),1500)"),1450.0)</f>
        <v>1450</v>
      </c>
      <c r="O156" s="3">
        <f t="shared" si="3"/>
        <v>1508</v>
      </c>
      <c r="P156" s="9">
        <f t="shared" si="1"/>
        <v>-13</v>
      </c>
      <c r="Q156" s="5">
        <f t="shared" si="2"/>
        <v>1437</v>
      </c>
    </row>
    <row r="157">
      <c r="A157" s="3" t="str">
        <f>IFERROR(__xludf.DUMMYFUNCTION("""COMPUTED_VALUE"""),"10PDRj7isv0sM8Zfd3OlcZPXXup4Ngy2h")</f>
        <v>10PDRj7isv0sM8Zfd3OlcZPXXup4Ngy2h</v>
      </c>
      <c r="B157" s="13">
        <f>IFERROR(__xludf.DUMMYFUNCTION("""COMPUTED_VALUE"""),45976.0)</f>
        <v>45976</v>
      </c>
      <c r="C157" s="3" t="str">
        <f>IFERROR(__xludf.DUMMYFUNCTION("""COMPUTED_VALUE"""),"Malena")</f>
        <v>Malena</v>
      </c>
      <c r="D157" s="3" t="str">
        <f>IFERROR(__xludf.DUMMYFUNCTION("""COMPUTED_VALUE"""),"Malena + Nebus. + ZeroO")</f>
        <v>Malena + Nebus. + ZeroO</v>
      </c>
      <c r="E157" s="3" t="str">
        <f>IFERROR(__xludf.DUMMYFUNCTION("""COMPUTED_VALUE"""),"Anbuu + Kesny + Tess1509")</f>
        <v>Anbuu + Kesny + Tess1509</v>
      </c>
      <c r="F157" s="3" t="str">
        <f>IFERROR(__xludf.DUMMYFUNCTION("""COMPUTED_VALUE"""),"win")</f>
        <v>win</v>
      </c>
      <c r="G157" s="3" t="str">
        <f>IFERROR(__xludf.DUMMYFUNCTION("""COMPUTED_VALUE"""),"3v3")</f>
        <v>3v3</v>
      </c>
      <c r="H157" s="3" t="str">
        <f>IFERROR(__xludf.DUMMYFUNCTION("IFERROR(TRIM(INDEX(SPLIT(E157,"" + ""),1)),"""")"),"Anbuu")</f>
        <v>Anbuu</v>
      </c>
      <c r="I157" s="3" t="str">
        <f>IFERROR(__xludf.DUMMYFUNCTION("IFERROR(TRIM(INDEX(SPLIT(E157,"" + ""),2)),"""")"),"Kesny")</f>
        <v>Kesny</v>
      </c>
      <c r="J157" s="5" t="str">
        <f>IFERROR(__xludf.DUMMYFUNCTION("IFERROR(TRIM(INDEX(SPLIT(E157,"" + ""),3)),"""")"),"Tess1509")</f>
        <v>Tess1509</v>
      </c>
      <c r="K157" s="3">
        <f>IFERROR(__xludf.DUMMYFUNCTION("IFERROR(IF(H157="""",0,INDEX(FILTER($Q$2:Q156,$C$2:C156=H157,$G$2:G156=G157),ROWS(FILTER($Q$2:Q156,$C$2:C156=H157,$G$2:G156=G157)),1)),1500)"),1484.0)</f>
        <v>1484</v>
      </c>
      <c r="L157" s="3">
        <f>IFERROR(__xludf.DUMMYFUNCTION("IFERROR(IF(I157="""",0,INDEX(FILTER($Q$2:Q156,$C$2:C156=I157,$G$2:G156=G157),ROWS(FILTER($Q$2:Q156,$C$2:C156=I157,$G$2:G156=G157)),1)),1500)"),1507.0)</f>
        <v>1507</v>
      </c>
      <c r="M157" s="3">
        <f>IFERROR(__xludf.DUMMYFUNCTION("IFERROR(IF(J157="""",0,INDEX(FILTER($Q$2:Q156,$C$2:C156=J157,$G$2:G156=G157),ROWS(FILTER($Q$2:Q156,$C$2:C156=J157,$G$2:G156=G157)),1)),1500)"),1437.0)</f>
        <v>1437</v>
      </c>
      <c r="N157" s="3">
        <f>IFERROR(__xludf.DUMMYFUNCTION("IFERROR(INDEX(FILTER($Q$2:Q156,$C$2:C156=C157,$G$2:G156=G157),ROWS(FILTER($Q$2:Q156,$C$2:C156=C157,$G$2:G156=G157)),1),1500)"),1425.0)</f>
        <v>1425</v>
      </c>
      <c r="O157" s="3">
        <f t="shared" si="3"/>
        <v>1476</v>
      </c>
      <c r="P157" s="9">
        <f t="shared" si="1"/>
        <v>18</v>
      </c>
      <c r="Q157" s="5">
        <f t="shared" si="2"/>
        <v>1443</v>
      </c>
    </row>
    <row r="158">
      <c r="A158" s="3" t="str">
        <f>IFERROR(__xludf.DUMMYFUNCTION("""COMPUTED_VALUE"""),"10PDRj7isv0sM8Zfd3OlcZPXXup4Ngy2h")</f>
        <v>10PDRj7isv0sM8Zfd3OlcZPXXup4Ngy2h</v>
      </c>
      <c r="B158" s="13">
        <f>IFERROR(__xludf.DUMMYFUNCTION("""COMPUTED_VALUE"""),45976.0)</f>
        <v>45976</v>
      </c>
      <c r="C158" s="3" t="str">
        <f>IFERROR(__xludf.DUMMYFUNCTION("""COMPUTED_VALUE"""),"Nebus.")</f>
        <v>Nebus.</v>
      </c>
      <c r="D158" s="3" t="str">
        <f>IFERROR(__xludf.DUMMYFUNCTION("""COMPUTED_VALUE"""),"Malena + Nebus. + ZeroO")</f>
        <v>Malena + Nebus. + ZeroO</v>
      </c>
      <c r="E158" s="3" t="str">
        <f>IFERROR(__xludf.DUMMYFUNCTION("""COMPUTED_VALUE"""),"Anbuu + Kesny + Tess1509")</f>
        <v>Anbuu + Kesny + Tess1509</v>
      </c>
      <c r="F158" s="3" t="str">
        <f>IFERROR(__xludf.DUMMYFUNCTION("""COMPUTED_VALUE"""),"win")</f>
        <v>win</v>
      </c>
      <c r="G158" s="3" t="str">
        <f>IFERROR(__xludf.DUMMYFUNCTION("""COMPUTED_VALUE"""),"3v3")</f>
        <v>3v3</v>
      </c>
      <c r="H158" s="3" t="str">
        <f>IFERROR(__xludf.DUMMYFUNCTION("IFERROR(TRIM(INDEX(SPLIT(E158,"" + ""),1)),"""")"),"Anbuu")</f>
        <v>Anbuu</v>
      </c>
      <c r="I158" s="3" t="str">
        <f>IFERROR(__xludf.DUMMYFUNCTION("IFERROR(TRIM(INDEX(SPLIT(E158,"" + ""),2)),"""")"),"Kesny")</f>
        <v>Kesny</v>
      </c>
      <c r="J158" s="5" t="str">
        <f>IFERROR(__xludf.DUMMYFUNCTION("IFERROR(TRIM(INDEX(SPLIT(E158,"" + ""),3)),"""")"),"Tess1509")</f>
        <v>Tess1509</v>
      </c>
      <c r="K158" s="3">
        <f>IFERROR(__xludf.DUMMYFUNCTION("IFERROR(IF(H158="""",0,INDEX(FILTER($Q$2:Q157,$C$2:C157=H158,$G$2:G157=G158),ROWS(FILTER($Q$2:Q157,$C$2:C157=H158,$G$2:G157=G158)),1)),1500)"),1484.0)</f>
        <v>1484</v>
      </c>
      <c r="L158" s="3">
        <f>IFERROR(__xludf.DUMMYFUNCTION("IFERROR(IF(I158="""",0,INDEX(FILTER($Q$2:Q157,$C$2:C157=I158,$G$2:G157=G158),ROWS(FILTER($Q$2:Q157,$C$2:C157=I158,$G$2:G157=G158)),1)),1500)"),1507.0)</f>
        <v>1507</v>
      </c>
      <c r="M158" s="3">
        <f>IFERROR(__xludf.DUMMYFUNCTION("IFERROR(IF(J158="""",0,INDEX(FILTER($Q$2:Q157,$C$2:C157=J158,$G$2:G157=G158),ROWS(FILTER($Q$2:Q157,$C$2:C157=J158,$G$2:G157=G158)),1)),1500)"),1437.0)</f>
        <v>1437</v>
      </c>
      <c r="N158" s="3">
        <f>IFERROR(__xludf.DUMMYFUNCTION("IFERROR(INDEX(FILTER($Q$2:Q157,$C$2:C157=C158,$G$2:G157=G158),ROWS(FILTER($Q$2:Q157,$C$2:C157=C158,$G$2:G157=G158)),1),1500)"),1550.0)</f>
        <v>1550</v>
      </c>
      <c r="O158" s="3">
        <f t="shared" si="3"/>
        <v>1476</v>
      </c>
      <c r="P158" s="9">
        <f t="shared" si="1"/>
        <v>13</v>
      </c>
      <c r="Q158" s="5">
        <f t="shared" si="2"/>
        <v>1563</v>
      </c>
    </row>
    <row r="159">
      <c r="A159" s="3" t="str">
        <f>IFERROR(__xludf.DUMMYFUNCTION("""COMPUTED_VALUE"""),"10PDRj7isv0sM8Zfd3OlcZPXXup4Ngy2h")</f>
        <v>10PDRj7isv0sM8Zfd3OlcZPXXup4Ngy2h</v>
      </c>
      <c r="B159" s="13">
        <f>IFERROR(__xludf.DUMMYFUNCTION("""COMPUTED_VALUE"""),45976.0)</f>
        <v>45976</v>
      </c>
      <c r="C159" s="3" t="str">
        <f>IFERROR(__xludf.DUMMYFUNCTION("""COMPUTED_VALUE"""),"ZeroO")</f>
        <v>ZeroO</v>
      </c>
      <c r="D159" s="3" t="str">
        <f>IFERROR(__xludf.DUMMYFUNCTION("""COMPUTED_VALUE"""),"Malena + Nebus. + ZeroO")</f>
        <v>Malena + Nebus. + ZeroO</v>
      </c>
      <c r="E159" s="3" t="str">
        <f>IFERROR(__xludf.DUMMYFUNCTION("""COMPUTED_VALUE"""),"Anbuu + Kesny + Tess1509")</f>
        <v>Anbuu + Kesny + Tess1509</v>
      </c>
      <c r="F159" s="3" t="str">
        <f>IFERROR(__xludf.DUMMYFUNCTION("""COMPUTED_VALUE"""),"win")</f>
        <v>win</v>
      </c>
      <c r="G159" s="3" t="str">
        <f>IFERROR(__xludf.DUMMYFUNCTION("""COMPUTED_VALUE"""),"3v3")</f>
        <v>3v3</v>
      </c>
      <c r="H159" s="3" t="str">
        <f>IFERROR(__xludf.DUMMYFUNCTION("IFERROR(TRIM(INDEX(SPLIT(E159,"" + ""),1)),"""")"),"Anbuu")</f>
        <v>Anbuu</v>
      </c>
      <c r="I159" s="3" t="str">
        <f>IFERROR(__xludf.DUMMYFUNCTION("IFERROR(TRIM(INDEX(SPLIT(E159,"" + ""),2)),"""")"),"Kesny")</f>
        <v>Kesny</v>
      </c>
      <c r="J159" s="5" t="str">
        <f>IFERROR(__xludf.DUMMYFUNCTION("IFERROR(TRIM(INDEX(SPLIT(E159,"" + ""),3)),"""")"),"Tess1509")</f>
        <v>Tess1509</v>
      </c>
      <c r="K159" s="3">
        <f>IFERROR(__xludf.DUMMYFUNCTION("IFERROR(IF(H159="""",0,INDEX(FILTER($Q$2:Q158,$C$2:C158=H159,$G$2:G158=G159),ROWS(FILTER($Q$2:Q158,$C$2:C158=H159,$G$2:G158=G159)),1)),1500)"),1484.0)</f>
        <v>1484</v>
      </c>
      <c r="L159" s="3">
        <f>IFERROR(__xludf.DUMMYFUNCTION("IFERROR(IF(I159="""",0,INDEX(FILTER($Q$2:Q158,$C$2:C158=I159,$G$2:G158=G159),ROWS(FILTER($Q$2:Q158,$C$2:C158=I159,$G$2:G158=G159)),1)),1500)"),1507.0)</f>
        <v>1507</v>
      </c>
      <c r="M159" s="3">
        <f>IFERROR(__xludf.DUMMYFUNCTION("IFERROR(IF(J159="""",0,INDEX(FILTER($Q$2:Q158,$C$2:C158=J159,$G$2:G158=G159),ROWS(FILTER($Q$2:Q158,$C$2:C158=J159,$G$2:G158=G159)),1)),1500)"),1437.0)</f>
        <v>1437</v>
      </c>
      <c r="N159" s="3">
        <f>IFERROR(__xludf.DUMMYFUNCTION("IFERROR(INDEX(FILTER($Q$2:Q158,$C$2:C158=C159,$G$2:G158=G159),ROWS(FILTER($Q$2:Q158,$C$2:C158=C159,$G$2:G158=G159)),1),1500)"),1549.0)</f>
        <v>1549</v>
      </c>
      <c r="O159" s="3">
        <f t="shared" si="3"/>
        <v>1476</v>
      </c>
      <c r="P159" s="9">
        <f t="shared" si="1"/>
        <v>13</v>
      </c>
      <c r="Q159" s="5">
        <f t="shared" si="2"/>
        <v>1562</v>
      </c>
    </row>
    <row r="160">
      <c r="A160" s="3" t="str">
        <f>IFERROR(__xludf.DUMMYFUNCTION("""COMPUTED_VALUE"""),"19bbu64yripZ9f57QTEHU1vlebbXRGxao")</f>
        <v>19bbu64yripZ9f57QTEHU1vlebbXRGxao</v>
      </c>
      <c r="B160" s="13">
        <f>IFERROR(__xludf.DUMMYFUNCTION("""COMPUTED_VALUE"""),45976.0)</f>
        <v>45976</v>
      </c>
      <c r="C160" s="3" t="str">
        <f>IFERROR(__xludf.DUMMYFUNCTION("""COMPUTED_VALUE"""),"Malena")</f>
        <v>Malena</v>
      </c>
      <c r="D160" s="3" t="str">
        <f>IFERROR(__xludf.DUMMYFUNCTION("""COMPUTED_VALUE"""),"Kesny + Malena + Tess1509")</f>
        <v>Kesny + Malena + Tess1509</v>
      </c>
      <c r="E160" s="3" t="str">
        <f>IFERROR(__xludf.DUMMYFUNCTION("""COMPUTED_VALUE"""),"Anbuu + Nebus. + ZeroO")</f>
        <v>Anbuu + Nebus. + ZeroO</v>
      </c>
      <c r="F160" s="3" t="str">
        <f>IFERROR(__xludf.DUMMYFUNCTION("""COMPUTED_VALUE"""),"loss")</f>
        <v>loss</v>
      </c>
      <c r="G160" s="3" t="str">
        <f>IFERROR(__xludf.DUMMYFUNCTION("""COMPUTED_VALUE"""),"3v3")</f>
        <v>3v3</v>
      </c>
      <c r="H160" s="3" t="str">
        <f>IFERROR(__xludf.DUMMYFUNCTION("IFERROR(TRIM(INDEX(SPLIT(E160,"" + ""),1)),"""")"),"Anbuu")</f>
        <v>Anbuu</v>
      </c>
      <c r="I160" s="3" t="str">
        <f>IFERROR(__xludf.DUMMYFUNCTION("IFERROR(TRIM(INDEX(SPLIT(E160,"" + ""),2)),"""")"),"Nebus.")</f>
        <v>Nebus.</v>
      </c>
      <c r="J160" s="5" t="str">
        <f>IFERROR(__xludf.DUMMYFUNCTION("IFERROR(TRIM(INDEX(SPLIT(E160,"" + ""),3)),"""")"),"ZeroO")</f>
        <v>ZeroO</v>
      </c>
      <c r="K160" s="3">
        <f>IFERROR(__xludf.DUMMYFUNCTION("IFERROR(IF(H160="""",0,INDEX(FILTER($Q$2:Q159,$C$2:C159=H160,$G$2:G159=G160),ROWS(FILTER($Q$2:Q159,$C$2:C159=H160,$G$2:G159=G160)),1)),1500)"),1484.0)</f>
        <v>1484</v>
      </c>
      <c r="L160" s="3">
        <f>IFERROR(__xludf.DUMMYFUNCTION("IFERROR(IF(I160="""",0,INDEX(FILTER($Q$2:Q159,$C$2:C159=I160,$G$2:G159=G160),ROWS(FILTER($Q$2:Q159,$C$2:C159=I160,$G$2:G159=G160)),1)),1500)"),1563.0)</f>
        <v>1563</v>
      </c>
      <c r="M160" s="3">
        <f>IFERROR(__xludf.DUMMYFUNCTION("IFERROR(IF(J160="""",0,INDEX(FILTER($Q$2:Q159,$C$2:C159=J160,$G$2:G159=G160),ROWS(FILTER($Q$2:Q159,$C$2:C159=J160,$G$2:G159=G160)),1)),1500)"),1562.0)</f>
        <v>1562</v>
      </c>
      <c r="N160" s="3">
        <f>IFERROR(__xludf.DUMMYFUNCTION("IFERROR(INDEX(FILTER($Q$2:Q159,$C$2:C159=C160,$G$2:G159=G160),ROWS(FILTER($Q$2:Q159,$C$2:C159=C160,$G$2:G159=G160)),1),1500)"),1443.0)</f>
        <v>1443</v>
      </c>
      <c r="O160" s="3">
        <f t="shared" si="3"/>
        <v>1536.333333</v>
      </c>
      <c r="P160" s="9">
        <f t="shared" si="1"/>
        <v>-12</v>
      </c>
      <c r="Q160" s="5">
        <f t="shared" si="2"/>
        <v>1431</v>
      </c>
    </row>
    <row r="161">
      <c r="A161" s="3" t="str">
        <f>IFERROR(__xludf.DUMMYFUNCTION("""COMPUTED_VALUE"""),"19bbu64yripZ9f57QTEHU1vlebbXRGxao")</f>
        <v>19bbu64yripZ9f57QTEHU1vlebbXRGxao</v>
      </c>
      <c r="B161" s="13">
        <f>IFERROR(__xludf.DUMMYFUNCTION("""COMPUTED_VALUE"""),45976.0)</f>
        <v>45976</v>
      </c>
      <c r="C161" s="3" t="str">
        <f>IFERROR(__xludf.DUMMYFUNCTION("""COMPUTED_VALUE"""),"Kesny")</f>
        <v>Kesny</v>
      </c>
      <c r="D161" s="3" t="str">
        <f>IFERROR(__xludf.DUMMYFUNCTION("""COMPUTED_VALUE"""),"Kesny + Malena + Tess1509")</f>
        <v>Kesny + Malena + Tess1509</v>
      </c>
      <c r="E161" s="3" t="str">
        <f>IFERROR(__xludf.DUMMYFUNCTION("""COMPUTED_VALUE"""),"Anbuu + Nebus. + ZeroO")</f>
        <v>Anbuu + Nebus. + ZeroO</v>
      </c>
      <c r="F161" s="3" t="str">
        <f>IFERROR(__xludf.DUMMYFUNCTION("""COMPUTED_VALUE"""),"loss")</f>
        <v>loss</v>
      </c>
      <c r="G161" s="3" t="str">
        <f>IFERROR(__xludf.DUMMYFUNCTION("""COMPUTED_VALUE"""),"3v3")</f>
        <v>3v3</v>
      </c>
      <c r="H161" s="3" t="str">
        <f>IFERROR(__xludf.DUMMYFUNCTION("IFERROR(TRIM(INDEX(SPLIT(E161,"" + ""),1)),"""")"),"Anbuu")</f>
        <v>Anbuu</v>
      </c>
      <c r="I161" s="3" t="str">
        <f>IFERROR(__xludf.DUMMYFUNCTION("IFERROR(TRIM(INDEX(SPLIT(E161,"" + ""),2)),"""")"),"Nebus.")</f>
        <v>Nebus.</v>
      </c>
      <c r="J161" s="5" t="str">
        <f>IFERROR(__xludf.DUMMYFUNCTION("IFERROR(TRIM(INDEX(SPLIT(E161,"" + ""),3)),"""")"),"ZeroO")</f>
        <v>ZeroO</v>
      </c>
      <c r="K161" s="3">
        <f>IFERROR(__xludf.DUMMYFUNCTION("IFERROR(IF(H161="""",0,INDEX(FILTER($Q$2:Q160,$C$2:C160=H161,$G$2:G160=G161),ROWS(FILTER($Q$2:Q160,$C$2:C160=H161,$G$2:G160=G161)),1)),1500)"),1484.0)</f>
        <v>1484</v>
      </c>
      <c r="L161" s="3">
        <f>IFERROR(__xludf.DUMMYFUNCTION("IFERROR(IF(I161="""",0,INDEX(FILTER($Q$2:Q160,$C$2:C160=I161,$G$2:G160=G161),ROWS(FILTER($Q$2:Q160,$C$2:C160=I161,$G$2:G160=G161)),1)),1500)"),1563.0)</f>
        <v>1563</v>
      </c>
      <c r="M161" s="3">
        <f>IFERROR(__xludf.DUMMYFUNCTION("IFERROR(IF(J161="""",0,INDEX(FILTER($Q$2:Q160,$C$2:C160=J161,$G$2:G160=G161),ROWS(FILTER($Q$2:Q160,$C$2:C160=J161,$G$2:G160=G161)),1)),1500)"),1562.0)</f>
        <v>1562</v>
      </c>
      <c r="N161" s="3">
        <f>IFERROR(__xludf.DUMMYFUNCTION("IFERROR(INDEX(FILTER($Q$2:Q160,$C$2:C160=C161,$G$2:G160=G161),ROWS(FILTER($Q$2:Q160,$C$2:C160=C161,$G$2:G160=G161)),1),1500)"),1507.0)</f>
        <v>1507</v>
      </c>
      <c r="O161" s="3">
        <f t="shared" si="3"/>
        <v>1536.333333</v>
      </c>
      <c r="P161" s="9">
        <f t="shared" si="1"/>
        <v>-15</v>
      </c>
      <c r="Q161" s="5">
        <f t="shared" si="2"/>
        <v>1492</v>
      </c>
    </row>
    <row r="162">
      <c r="A162" s="3" t="str">
        <f>IFERROR(__xludf.DUMMYFUNCTION("""COMPUTED_VALUE"""),"19bbu64yripZ9f57QTEHU1vlebbXRGxao")</f>
        <v>19bbu64yripZ9f57QTEHU1vlebbXRGxao</v>
      </c>
      <c r="B162" s="13">
        <f>IFERROR(__xludf.DUMMYFUNCTION("""COMPUTED_VALUE"""),45976.0)</f>
        <v>45976</v>
      </c>
      <c r="C162" s="3" t="str">
        <f>IFERROR(__xludf.DUMMYFUNCTION("""COMPUTED_VALUE"""),"Tess1509")</f>
        <v>Tess1509</v>
      </c>
      <c r="D162" s="3" t="str">
        <f>IFERROR(__xludf.DUMMYFUNCTION("""COMPUTED_VALUE"""),"Kesny + Malena + Tess1509")</f>
        <v>Kesny + Malena + Tess1509</v>
      </c>
      <c r="E162" s="3" t="str">
        <f>IFERROR(__xludf.DUMMYFUNCTION("""COMPUTED_VALUE"""),"Anbuu + Nebus. + ZeroO")</f>
        <v>Anbuu + Nebus. + ZeroO</v>
      </c>
      <c r="F162" s="3" t="str">
        <f>IFERROR(__xludf.DUMMYFUNCTION("""COMPUTED_VALUE"""),"loss")</f>
        <v>loss</v>
      </c>
      <c r="G162" s="3" t="str">
        <f>IFERROR(__xludf.DUMMYFUNCTION("""COMPUTED_VALUE"""),"3v3")</f>
        <v>3v3</v>
      </c>
      <c r="H162" s="3" t="str">
        <f>IFERROR(__xludf.DUMMYFUNCTION("IFERROR(TRIM(INDEX(SPLIT(E162,"" + ""),1)),"""")"),"Anbuu")</f>
        <v>Anbuu</v>
      </c>
      <c r="I162" s="3" t="str">
        <f>IFERROR(__xludf.DUMMYFUNCTION("IFERROR(TRIM(INDEX(SPLIT(E162,"" + ""),2)),"""")"),"Nebus.")</f>
        <v>Nebus.</v>
      </c>
      <c r="J162" s="5" t="str">
        <f>IFERROR(__xludf.DUMMYFUNCTION("IFERROR(TRIM(INDEX(SPLIT(E162,"" + ""),3)),"""")"),"ZeroO")</f>
        <v>ZeroO</v>
      </c>
      <c r="K162" s="3">
        <f>IFERROR(__xludf.DUMMYFUNCTION("IFERROR(IF(H162="""",0,INDEX(FILTER($Q$2:Q161,$C$2:C161=H162,$G$2:G161=G162),ROWS(FILTER($Q$2:Q161,$C$2:C161=H162,$G$2:G161=G162)),1)),1500)"),1484.0)</f>
        <v>1484</v>
      </c>
      <c r="L162" s="3">
        <f>IFERROR(__xludf.DUMMYFUNCTION("IFERROR(IF(I162="""",0,INDEX(FILTER($Q$2:Q161,$C$2:C161=I162,$G$2:G161=G162),ROWS(FILTER($Q$2:Q161,$C$2:C161=I162,$G$2:G161=G162)),1)),1500)"),1563.0)</f>
        <v>1563</v>
      </c>
      <c r="M162" s="3">
        <f>IFERROR(__xludf.DUMMYFUNCTION("IFERROR(IF(J162="""",0,INDEX(FILTER($Q$2:Q161,$C$2:C161=J162,$G$2:G161=G162),ROWS(FILTER($Q$2:Q161,$C$2:C161=J162,$G$2:G161=G162)),1)),1500)"),1562.0)</f>
        <v>1562</v>
      </c>
      <c r="N162" s="3">
        <f>IFERROR(__xludf.DUMMYFUNCTION("IFERROR(INDEX(FILTER($Q$2:Q161,$C$2:C161=C162,$G$2:G161=G162),ROWS(FILTER($Q$2:Q161,$C$2:C161=C162,$G$2:G161=G162)),1),1500)"),1437.0)</f>
        <v>1437</v>
      </c>
      <c r="O162" s="3">
        <f t="shared" si="3"/>
        <v>1536.333333</v>
      </c>
      <c r="P162" s="9">
        <f t="shared" si="1"/>
        <v>-12</v>
      </c>
      <c r="Q162" s="5">
        <f t="shared" si="2"/>
        <v>1425</v>
      </c>
    </row>
    <row r="163">
      <c r="A163" s="3" t="str">
        <f>IFERROR(__xludf.DUMMYFUNCTION("""COMPUTED_VALUE"""),"19bbu64yripZ9f57QTEHU1vlebbXRGxao")</f>
        <v>19bbu64yripZ9f57QTEHU1vlebbXRGxao</v>
      </c>
      <c r="B163" s="13">
        <f>IFERROR(__xludf.DUMMYFUNCTION("""COMPUTED_VALUE"""),45976.0)</f>
        <v>45976</v>
      </c>
      <c r="C163" s="3" t="str">
        <f>IFERROR(__xludf.DUMMYFUNCTION("""COMPUTED_VALUE"""),"Nebus.")</f>
        <v>Nebus.</v>
      </c>
      <c r="D163" s="3" t="str">
        <f>IFERROR(__xludf.DUMMYFUNCTION("""COMPUTED_VALUE"""),"Anbuu + Nebus. + ZeroO")</f>
        <v>Anbuu + Nebus. + ZeroO</v>
      </c>
      <c r="E163" s="3" t="str">
        <f>IFERROR(__xludf.DUMMYFUNCTION("""COMPUTED_VALUE"""),"Kesny + Malena + Tess1509")</f>
        <v>Kesny + Malena + Tess1509</v>
      </c>
      <c r="F163" s="3" t="str">
        <f>IFERROR(__xludf.DUMMYFUNCTION("""COMPUTED_VALUE"""),"win")</f>
        <v>win</v>
      </c>
      <c r="G163" s="3" t="str">
        <f>IFERROR(__xludf.DUMMYFUNCTION("""COMPUTED_VALUE"""),"3v3")</f>
        <v>3v3</v>
      </c>
      <c r="H163" s="3" t="str">
        <f>IFERROR(__xludf.DUMMYFUNCTION("IFERROR(TRIM(INDEX(SPLIT(E163,"" + ""),1)),"""")"),"Kesny")</f>
        <v>Kesny</v>
      </c>
      <c r="I163" s="3" t="str">
        <f>IFERROR(__xludf.DUMMYFUNCTION("IFERROR(TRIM(INDEX(SPLIT(E163,"" + ""),2)),"""")"),"Malena")</f>
        <v>Malena</v>
      </c>
      <c r="J163" s="5" t="str">
        <f>IFERROR(__xludf.DUMMYFUNCTION("IFERROR(TRIM(INDEX(SPLIT(E163,"" + ""),3)),"""")"),"Tess1509")</f>
        <v>Tess1509</v>
      </c>
      <c r="K163" s="3">
        <f>IFERROR(__xludf.DUMMYFUNCTION("IFERROR(IF(H163="""",0,INDEX(FILTER($Q$2:Q162,$C$2:C162=H163,$G$2:G162=G163),ROWS(FILTER($Q$2:Q162,$C$2:C162=H163,$G$2:G162=G163)),1)),1500)"),1492.0)</f>
        <v>1492</v>
      </c>
      <c r="L163" s="3">
        <f>IFERROR(__xludf.DUMMYFUNCTION("IFERROR(IF(I163="""",0,INDEX(FILTER($Q$2:Q162,$C$2:C162=I163,$G$2:G162=G163),ROWS(FILTER($Q$2:Q162,$C$2:C162=I163,$G$2:G162=G163)),1)),1500)"),1431.0)</f>
        <v>1431</v>
      </c>
      <c r="M163" s="3">
        <f>IFERROR(__xludf.DUMMYFUNCTION("IFERROR(IF(J163="""",0,INDEX(FILTER($Q$2:Q162,$C$2:C162=J163,$G$2:G162=G163),ROWS(FILTER($Q$2:Q162,$C$2:C162=J163,$G$2:G162=G163)),1)),1500)"),1425.0)</f>
        <v>1425</v>
      </c>
      <c r="N163" s="3">
        <f>IFERROR(__xludf.DUMMYFUNCTION("IFERROR(INDEX(FILTER($Q$2:Q162,$C$2:C162=C163,$G$2:G162=G163),ROWS(FILTER($Q$2:Q162,$C$2:C162=C163,$G$2:G162=G163)),1),1500)"),1563.0)</f>
        <v>1563</v>
      </c>
      <c r="O163" s="3">
        <f t="shared" si="3"/>
        <v>1449.333333</v>
      </c>
      <c r="P163" s="9">
        <f t="shared" si="1"/>
        <v>11</v>
      </c>
      <c r="Q163" s="5">
        <f t="shared" si="2"/>
        <v>1574</v>
      </c>
    </row>
    <row r="164">
      <c r="A164" s="3" t="str">
        <f>IFERROR(__xludf.DUMMYFUNCTION("""COMPUTED_VALUE"""),"19bbu64yripZ9f57QTEHU1vlebbXRGxao")</f>
        <v>19bbu64yripZ9f57QTEHU1vlebbXRGxao</v>
      </c>
      <c r="B164" s="13">
        <f>IFERROR(__xludf.DUMMYFUNCTION("""COMPUTED_VALUE"""),45976.0)</f>
        <v>45976</v>
      </c>
      <c r="C164" s="3" t="str">
        <f>IFERROR(__xludf.DUMMYFUNCTION("""COMPUTED_VALUE"""),"ZeroO")</f>
        <v>ZeroO</v>
      </c>
      <c r="D164" s="3" t="str">
        <f>IFERROR(__xludf.DUMMYFUNCTION("""COMPUTED_VALUE"""),"Anbuu + Nebus. + ZeroO")</f>
        <v>Anbuu + Nebus. + ZeroO</v>
      </c>
      <c r="E164" s="3" t="str">
        <f>IFERROR(__xludf.DUMMYFUNCTION("""COMPUTED_VALUE"""),"Kesny + Malena + Tess1509")</f>
        <v>Kesny + Malena + Tess1509</v>
      </c>
      <c r="F164" s="3" t="str">
        <f>IFERROR(__xludf.DUMMYFUNCTION("""COMPUTED_VALUE"""),"win")</f>
        <v>win</v>
      </c>
      <c r="G164" s="3" t="str">
        <f>IFERROR(__xludf.DUMMYFUNCTION("""COMPUTED_VALUE"""),"3v3")</f>
        <v>3v3</v>
      </c>
      <c r="H164" s="3" t="str">
        <f>IFERROR(__xludf.DUMMYFUNCTION("IFERROR(TRIM(INDEX(SPLIT(E164,"" + ""),1)),"""")"),"Kesny")</f>
        <v>Kesny</v>
      </c>
      <c r="I164" s="3" t="str">
        <f>IFERROR(__xludf.DUMMYFUNCTION("IFERROR(TRIM(INDEX(SPLIT(E164,"" + ""),2)),"""")"),"Malena")</f>
        <v>Malena</v>
      </c>
      <c r="J164" s="5" t="str">
        <f>IFERROR(__xludf.DUMMYFUNCTION("IFERROR(TRIM(INDEX(SPLIT(E164,"" + ""),3)),"""")"),"Tess1509")</f>
        <v>Tess1509</v>
      </c>
      <c r="K164" s="3">
        <f>IFERROR(__xludf.DUMMYFUNCTION("IFERROR(IF(H164="""",0,INDEX(FILTER($Q$2:Q163,$C$2:C163=H164,$G$2:G163=G164),ROWS(FILTER($Q$2:Q163,$C$2:C163=H164,$G$2:G163=G164)),1)),1500)"),1492.0)</f>
        <v>1492</v>
      </c>
      <c r="L164" s="3">
        <f>IFERROR(__xludf.DUMMYFUNCTION("IFERROR(IF(I164="""",0,INDEX(FILTER($Q$2:Q163,$C$2:C163=I164,$G$2:G163=G164),ROWS(FILTER($Q$2:Q163,$C$2:C163=I164,$G$2:G163=G164)),1)),1500)"),1431.0)</f>
        <v>1431</v>
      </c>
      <c r="M164" s="3">
        <f>IFERROR(__xludf.DUMMYFUNCTION("IFERROR(IF(J164="""",0,INDEX(FILTER($Q$2:Q163,$C$2:C163=J164,$G$2:G163=G164),ROWS(FILTER($Q$2:Q163,$C$2:C163=J164,$G$2:G163=G164)),1)),1500)"),1425.0)</f>
        <v>1425</v>
      </c>
      <c r="N164" s="3">
        <f>IFERROR(__xludf.DUMMYFUNCTION("IFERROR(INDEX(FILTER($Q$2:Q163,$C$2:C163=C164,$G$2:G163=G164),ROWS(FILTER($Q$2:Q163,$C$2:C163=C164,$G$2:G163=G164)),1),1500)"),1562.0)</f>
        <v>1562</v>
      </c>
      <c r="O164" s="3">
        <f t="shared" si="3"/>
        <v>1449.333333</v>
      </c>
      <c r="P164" s="9">
        <f t="shared" si="1"/>
        <v>11</v>
      </c>
      <c r="Q164" s="5">
        <f t="shared" si="2"/>
        <v>1573</v>
      </c>
    </row>
    <row r="165">
      <c r="A165" s="3" t="str">
        <f>IFERROR(__xludf.DUMMYFUNCTION("""COMPUTED_VALUE"""),"19bbu64yripZ9f57QTEHU1vlebbXRGxao")</f>
        <v>19bbu64yripZ9f57QTEHU1vlebbXRGxao</v>
      </c>
      <c r="B165" s="13">
        <f>IFERROR(__xludf.DUMMYFUNCTION("""COMPUTED_VALUE"""),45976.0)</f>
        <v>45976</v>
      </c>
      <c r="C165" s="3" t="str">
        <f>IFERROR(__xludf.DUMMYFUNCTION("""COMPUTED_VALUE"""),"Anbuu")</f>
        <v>Anbuu</v>
      </c>
      <c r="D165" s="3" t="str">
        <f>IFERROR(__xludf.DUMMYFUNCTION("""COMPUTED_VALUE"""),"Anbuu + Nebus. + ZeroO")</f>
        <v>Anbuu + Nebus. + ZeroO</v>
      </c>
      <c r="E165" s="3" t="str">
        <f>IFERROR(__xludf.DUMMYFUNCTION("""COMPUTED_VALUE"""),"Kesny + Malena + Tess1509")</f>
        <v>Kesny + Malena + Tess1509</v>
      </c>
      <c r="F165" s="3" t="str">
        <f>IFERROR(__xludf.DUMMYFUNCTION("""COMPUTED_VALUE"""),"win")</f>
        <v>win</v>
      </c>
      <c r="G165" s="3" t="str">
        <f>IFERROR(__xludf.DUMMYFUNCTION("""COMPUTED_VALUE"""),"3v3")</f>
        <v>3v3</v>
      </c>
      <c r="H165" s="3" t="str">
        <f>IFERROR(__xludf.DUMMYFUNCTION("IFERROR(TRIM(INDEX(SPLIT(E165,"" + ""),1)),"""")"),"Kesny")</f>
        <v>Kesny</v>
      </c>
      <c r="I165" s="3" t="str">
        <f>IFERROR(__xludf.DUMMYFUNCTION("IFERROR(TRIM(INDEX(SPLIT(E165,"" + ""),2)),"""")"),"Malena")</f>
        <v>Malena</v>
      </c>
      <c r="J165" s="5" t="str">
        <f>IFERROR(__xludf.DUMMYFUNCTION("IFERROR(TRIM(INDEX(SPLIT(E165,"" + ""),3)),"""")"),"Tess1509")</f>
        <v>Tess1509</v>
      </c>
      <c r="K165" s="3">
        <f>IFERROR(__xludf.DUMMYFUNCTION("IFERROR(IF(H165="""",0,INDEX(FILTER($Q$2:Q164,$C$2:C164=H165,$G$2:G164=G165),ROWS(FILTER($Q$2:Q164,$C$2:C164=H165,$G$2:G164=G165)),1)),1500)"),1492.0)</f>
        <v>1492</v>
      </c>
      <c r="L165" s="3">
        <f>IFERROR(__xludf.DUMMYFUNCTION("IFERROR(IF(I165="""",0,INDEX(FILTER($Q$2:Q164,$C$2:C164=I165,$G$2:G164=G165),ROWS(FILTER($Q$2:Q164,$C$2:C164=I165,$G$2:G164=G165)),1)),1500)"),1431.0)</f>
        <v>1431</v>
      </c>
      <c r="M165" s="3">
        <f>IFERROR(__xludf.DUMMYFUNCTION("IFERROR(IF(J165="""",0,INDEX(FILTER($Q$2:Q164,$C$2:C164=J165,$G$2:G164=G165),ROWS(FILTER($Q$2:Q164,$C$2:C164=J165,$G$2:G164=G165)),1)),1500)"),1425.0)</f>
        <v>1425</v>
      </c>
      <c r="N165" s="3">
        <f>IFERROR(__xludf.DUMMYFUNCTION("IFERROR(INDEX(FILTER($Q$2:Q164,$C$2:C164=C165,$G$2:G164=G165),ROWS(FILTER($Q$2:Q164,$C$2:C164=C165,$G$2:G164=G165)),1),1500)"),1484.0)</f>
        <v>1484</v>
      </c>
      <c r="O165" s="3">
        <f t="shared" si="3"/>
        <v>1449.333333</v>
      </c>
      <c r="P165" s="9">
        <f t="shared" si="1"/>
        <v>14</v>
      </c>
      <c r="Q165" s="5">
        <f t="shared" si="2"/>
        <v>1498</v>
      </c>
    </row>
    <row r="166">
      <c r="A166" s="3" t="str">
        <f>IFERROR(__xludf.DUMMYFUNCTION("""COMPUTED_VALUE"""),"1n33F2XXBerx8M9vN-Hy8dO4PKK16N3oD")</f>
        <v>1n33F2XXBerx8M9vN-Hy8dO4PKK16N3oD</v>
      </c>
      <c r="B166" s="13">
        <f>IFERROR(__xludf.DUMMYFUNCTION("""COMPUTED_VALUE"""),45976.0)</f>
        <v>45976</v>
      </c>
      <c r="C166" s="3" t="str">
        <f>IFERROR(__xludf.DUMMYFUNCTION("""COMPUTED_VALUE"""),"ZeroO")</f>
        <v>ZeroO</v>
      </c>
      <c r="D166" s="3" t="str">
        <f>IFERROR(__xludf.DUMMYFUNCTION("""COMPUTED_VALUE"""),"Aferdita + Anbuu + ZeroO")</f>
        <v>Aferdita + Anbuu + ZeroO</v>
      </c>
      <c r="E166" s="3" t="str">
        <f>IFERROR(__xludf.DUMMYFUNCTION("""COMPUTED_VALUE"""),"Kesny + Malena + Nebus.")</f>
        <v>Kesny + Malena + Nebus.</v>
      </c>
      <c r="F166" s="3" t="str">
        <f>IFERROR(__xludf.DUMMYFUNCTION("""COMPUTED_VALUE"""),"loss")</f>
        <v>loss</v>
      </c>
      <c r="G166" s="3" t="str">
        <f>IFERROR(__xludf.DUMMYFUNCTION("""COMPUTED_VALUE"""),"3v3")</f>
        <v>3v3</v>
      </c>
      <c r="H166" s="3" t="str">
        <f>IFERROR(__xludf.DUMMYFUNCTION("IFERROR(TRIM(INDEX(SPLIT(E166,"" + ""),1)),"""")"),"Kesny")</f>
        <v>Kesny</v>
      </c>
      <c r="I166" s="3" t="str">
        <f>IFERROR(__xludf.DUMMYFUNCTION("IFERROR(TRIM(INDEX(SPLIT(E166,"" + ""),2)),"""")"),"Malena")</f>
        <v>Malena</v>
      </c>
      <c r="J166" s="5" t="str">
        <f>IFERROR(__xludf.DUMMYFUNCTION("IFERROR(TRIM(INDEX(SPLIT(E166,"" + ""),3)),"""")"),"Nebus.")</f>
        <v>Nebus.</v>
      </c>
      <c r="K166" s="3">
        <f>IFERROR(__xludf.DUMMYFUNCTION("IFERROR(IF(H166="""",0,INDEX(FILTER($Q$2:Q165,$C$2:C165=H166,$G$2:G165=G166),ROWS(FILTER($Q$2:Q165,$C$2:C165=H166,$G$2:G165=G166)),1)),1500)"),1492.0)</f>
        <v>1492</v>
      </c>
      <c r="L166" s="3">
        <f>IFERROR(__xludf.DUMMYFUNCTION("IFERROR(IF(I166="""",0,INDEX(FILTER($Q$2:Q165,$C$2:C165=I166,$G$2:G165=G166),ROWS(FILTER($Q$2:Q165,$C$2:C165=I166,$G$2:G165=G166)),1)),1500)"),1431.0)</f>
        <v>1431</v>
      </c>
      <c r="M166" s="3">
        <f>IFERROR(__xludf.DUMMYFUNCTION("IFERROR(IF(J166="""",0,INDEX(FILTER($Q$2:Q165,$C$2:C165=J166,$G$2:G165=G166),ROWS(FILTER($Q$2:Q165,$C$2:C165=J166,$G$2:G165=G166)),1)),1500)"),1574.0)</f>
        <v>1574</v>
      </c>
      <c r="N166" s="3">
        <f>IFERROR(__xludf.DUMMYFUNCTION("IFERROR(INDEX(FILTER($Q$2:Q165,$C$2:C165=C166,$G$2:G165=G166),ROWS(FILTER($Q$2:Q165,$C$2:C165=C166,$G$2:G165=G166)),1),1500)"),1573.0)</f>
        <v>1573</v>
      </c>
      <c r="O166" s="3">
        <f t="shared" si="3"/>
        <v>1499</v>
      </c>
      <c r="P166" s="9">
        <f t="shared" si="1"/>
        <v>-19</v>
      </c>
      <c r="Q166" s="5">
        <f t="shared" si="2"/>
        <v>1554</v>
      </c>
    </row>
    <row r="167">
      <c r="A167" s="3" t="str">
        <f>IFERROR(__xludf.DUMMYFUNCTION("""COMPUTED_VALUE"""),"1n33F2XXBerx8M9vN-Hy8dO4PKK16N3oD")</f>
        <v>1n33F2XXBerx8M9vN-Hy8dO4PKK16N3oD</v>
      </c>
      <c r="B167" s="13">
        <f>IFERROR(__xludf.DUMMYFUNCTION("""COMPUTED_VALUE"""),45976.0)</f>
        <v>45976</v>
      </c>
      <c r="C167" s="3" t="str">
        <f>IFERROR(__xludf.DUMMYFUNCTION("""COMPUTED_VALUE"""),"Anbuu")</f>
        <v>Anbuu</v>
      </c>
      <c r="D167" s="3" t="str">
        <f>IFERROR(__xludf.DUMMYFUNCTION("""COMPUTED_VALUE"""),"Aferdita + Anbuu + ZeroO")</f>
        <v>Aferdita + Anbuu + ZeroO</v>
      </c>
      <c r="E167" s="3" t="str">
        <f>IFERROR(__xludf.DUMMYFUNCTION("""COMPUTED_VALUE"""),"Kesny + Malena + Nebus.")</f>
        <v>Kesny + Malena + Nebus.</v>
      </c>
      <c r="F167" s="3" t="str">
        <f>IFERROR(__xludf.DUMMYFUNCTION("""COMPUTED_VALUE"""),"loss")</f>
        <v>loss</v>
      </c>
      <c r="G167" s="3" t="str">
        <f>IFERROR(__xludf.DUMMYFUNCTION("""COMPUTED_VALUE"""),"3v3")</f>
        <v>3v3</v>
      </c>
      <c r="H167" s="3" t="str">
        <f>IFERROR(__xludf.DUMMYFUNCTION("IFERROR(TRIM(INDEX(SPLIT(E167,"" + ""),1)),"""")"),"Kesny")</f>
        <v>Kesny</v>
      </c>
      <c r="I167" s="3" t="str">
        <f>IFERROR(__xludf.DUMMYFUNCTION("IFERROR(TRIM(INDEX(SPLIT(E167,"" + ""),2)),"""")"),"Malena")</f>
        <v>Malena</v>
      </c>
      <c r="J167" s="5" t="str">
        <f>IFERROR(__xludf.DUMMYFUNCTION("IFERROR(TRIM(INDEX(SPLIT(E167,"" + ""),3)),"""")"),"Nebus.")</f>
        <v>Nebus.</v>
      </c>
      <c r="K167" s="3">
        <f>IFERROR(__xludf.DUMMYFUNCTION("IFERROR(IF(H167="""",0,INDEX(FILTER($Q$2:Q166,$C$2:C166=H167,$G$2:G166=G167),ROWS(FILTER($Q$2:Q166,$C$2:C166=H167,$G$2:G166=G167)),1)),1500)"),1492.0)</f>
        <v>1492</v>
      </c>
      <c r="L167" s="3">
        <f>IFERROR(__xludf.DUMMYFUNCTION("IFERROR(IF(I167="""",0,INDEX(FILTER($Q$2:Q166,$C$2:C166=I167,$G$2:G166=G167),ROWS(FILTER($Q$2:Q166,$C$2:C166=I167,$G$2:G166=G167)),1)),1500)"),1431.0)</f>
        <v>1431</v>
      </c>
      <c r="M167" s="3">
        <f>IFERROR(__xludf.DUMMYFUNCTION("IFERROR(IF(J167="""",0,INDEX(FILTER($Q$2:Q166,$C$2:C166=J167,$G$2:G166=G167),ROWS(FILTER($Q$2:Q166,$C$2:C166=J167,$G$2:G166=G167)),1)),1500)"),1574.0)</f>
        <v>1574</v>
      </c>
      <c r="N167" s="3">
        <f>IFERROR(__xludf.DUMMYFUNCTION("IFERROR(INDEX(FILTER($Q$2:Q166,$C$2:C166=C167,$G$2:G166=G167),ROWS(FILTER($Q$2:Q166,$C$2:C166=C167,$G$2:G166=G167)),1),1500)"),1498.0)</f>
        <v>1498</v>
      </c>
      <c r="O167" s="3">
        <f t="shared" si="3"/>
        <v>1499</v>
      </c>
      <c r="P167" s="9">
        <f t="shared" si="1"/>
        <v>-16</v>
      </c>
      <c r="Q167" s="5">
        <f t="shared" si="2"/>
        <v>1482</v>
      </c>
    </row>
    <row r="168">
      <c r="A168" s="3" t="str">
        <f>IFERROR(__xludf.DUMMYFUNCTION("""COMPUTED_VALUE"""),"1n33F2XXBerx8M9vN-Hy8dO4PKK16N3oD")</f>
        <v>1n33F2XXBerx8M9vN-Hy8dO4PKK16N3oD</v>
      </c>
      <c r="B168" s="13">
        <f>IFERROR(__xludf.DUMMYFUNCTION("""COMPUTED_VALUE"""),45976.0)</f>
        <v>45976</v>
      </c>
      <c r="C168" s="3" t="str">
        <f>IFERROR(__xludf.DUMMYFUNCTION("""COMPUTED_VALUE"""),"Aferdita")</f>
        <v>Aferdita</v>
      </c>
      <c r="D168" s="3" t="str">
        <f>IFERROR(__xludf.DUMMYFUNCTION("""COMPUTED_VALUE"""),"Aferdita + Anbuu + ZeroO")</f>
        <v>Aferdita + Anbuu + ZeroO</v>
      </c>
      <c r="E168" s="3" t="str">
        <f>IFERROR(__xludf.DUMMYFUNCTION("""COMPUTED_VALUE"""),"Kesny + Malena + Nebus.")</f>
        <v>Kesny + Malena + Nebus.</v>
      </c>
      <c r="F168" s="3" t="str">
        <f>IFERROR(__xludf.DUMMYFUNCTION("""COMPUTED_VALUE"""),"loss")</f>
        <v>loss</v>
      </c>
      <c r="G168" s="3" t="str">
        <f>IFERROR(__xludf.DUMMYFUNCTION("""COMPUTED_VALUE"""),"3v3")</f>
        <v>3v3</v>
      </c>
      <c r="H168" s="3" t="str">
        <f>IFERROR(__xludf.DUMMYFUNCTION("IFERROR(TRIM(INDEX(SPLIT(E168,"" + ""),1)),"""")"),"Kesny")</f>
        <v>Kesny</v>
      </c>
      <c r="I168" s="3" t="str">
        <f>IFERROR(__xludf.DUMMYFUNCTION("IFERROR(TRIM(INDEX(SPLIT(E168,"" + ""),2)),"""")"),"Malena")</f>
        <v>Malena</v>
      </c>
      <c r="J168" s="5" t="str">
        <f>IFERROR(__xludf.DUMMYFUNCTION("IFERROR(TRIM(INDEX(SPLIT(E168,"" + ""),3)),"""")"),"Nebus.")</f>
        <v>Nebus.</v>
      </c>
      <c r="K168" s="3">
        <f>IFERROR(__xludf.DUMMYFUNCTION("IFERROR(IF(H168="""",0,INDEX(FILTER($Q$2:Q167,$C$2:C167=H168,$G$2:G167=G168),ROWS(FILTER($Q$2:Q167,$C$2:C167=H168,$G$2:G167=G168)),1)),1500)"),1492.0)</f>
        <v>1492</v>
      </c>
      <c r="L168" s="3">
        <f>IFERROR(__xludf.DUMMYFUNCTION("IFERROR(IF(I168="""",0,INDEX(FILTER($Q$2:Q167,$C$2:C167=I168,$G$2:G167=G168),ROWS(FILTER($Q$2:Q167,$C$2:C167=I168,$G$2:G167=G168)),1)),1500)"),1431.0)</f>
        <v>1431</v>
      </c>
      <c r="M168" s="3">
        <f>IFERROR(__xludf.DUMMYFUNCTION("IFERROR(IF(J168="""",0,INDEX(FILTER($Q$2:Q167,$C$2:C167=J168,$G$2:G167=G168),ROWS(FILTER($Q$2:Q167,$C$2:C167=J168,$G$2:G167=G168)),1)),1500)"),1574.0)</f>
        <v>1574</v>
      </c>
      <c r="N168" s="3">
        <f>IFERROR(__xludf.DUMMYFUNCTION("IFERROR(INDEX(FILTER($Q$2:Q167,$C$2:C167=C168,$G$2:G167=G168),ROWS(FILTER($Q$2:Q167,$C$2:C167=C168,$G$2:G167=G168)),1),1500)"),1494.0)</f>
        <v>1494</v>
      </c>
      <c r="O168" s="3">
        <f t="shared" si="3"/>
        <v>1499</v>
      </c>
      <c r="P168" s="9">
        <f t="shared" si="1"/>
        <v>-16</v>
      </c>
      <c r="Q168" s="5">
        <f t="shared" si="2"/>
        <v>1478</v>
      </c>
    </row>
    <row r="169">
      <c r="A169" s="3" t="str">
        <f>IFERROR(__xludf.DUMMYFUNCTION("""COMPUTED_VALUE"""),"1n33F2XXBerx8M9vN-Hy8dO4PKK16N3oD")</f>
        <v>1n33F2XXBerx8M9vN-Hy8dO4PKK16N3oD</v>
      </c>
      <c r="B169" s="13">
        <f>IFERROR(__xludf.DUMMYFUNCTION("""COMPUTED_VALUE"""),45976.0)</f>
        <v>45976</v>
      </c>
      <c r="C169" s="3" t="str">
        <f>IFERROR(__xludf.DUMMYFUNCTION("""COMPUTED_VALUE"""),"Malena")</f>
        <v>Malena</v>
      </c>
      <c r="D169" s="3" t="str">
        <f>IFERROR(__xludf.DUMMYFUNCTION("""COMPUTED_VALUE"""),"Kesny + Malena + Nebus.")</f>
        <v>Kesny + Malena + Nebus.</v>
      </c>
      <c r="E169" s="3" t="str">
        <f>IFERROR(__xludf.DUMMYFUNCTION("""COMPUTED_VALUE"""),"Aferdita + Anbuu + ZeroO")</f>
        <v>Aferdita + Anbuu + ZeroO</v>
      </c>
      <c r="F169" s="3" t="str">
        <f>IFERROR(__xludf.DUMMYFUNCTION("""COMPUTED_VALUE"""),"win")</f>
        <v>win</v>
      </c>
      <c r="G169" s="3" t="str">
        <f>IFERROR(__xludf.DUMMYFUNCTION("""COMPUTED_VALUE"""),"3v3")</f>
        <v>3v3</v>
      </c>
      <c r="H169" s="3" t="str">
        <f>IFERROR(__xludf.DUMMYFUNCTION("IFERROR(TRIM(INDEX(SPLIT(E169,"" + ""),1)),"""")"),"Aferdita")</f>
        <v>Aferdita</v>
      </c>
      <c r="I169" s="3" t="str">
        <f>IFERROR(__xludf.DUMMYFUNCTION("IFERROR(TRIM(INDEX(SPLIT(E169,"" + ""),2)),"""")"),"Anbuu")</f>
        <v>Anbuu</v>
      </c>
      <c r="J169" s="5" t="str">
        <f>IFERROR(__xludf.DUMMYFUNCTION("IFERROR(TRIM(INDEX(SPLIT(E169,"" + ""),3)),"""")"),"ZeroO")</f>
        <v>ZeroO</v>
      </c>
      <c r="K169" s="3">
        <f>IFERROR(__xludf.DUMMYFUNCTION("IFERROR(IF(H169="""",0,INDEX(FILTER($Q$2:Q168,$C$2:C168=H169,$G$2:G168=G169),ROWS(FILTER($Q$2:Q168,$C$2:C168=H169,$G$2:G168=G169)),1)),1500)"),1478.0)</f>
        <v>1478</v>
      </c>
      <c r="L169" s="3">
        <f>IFERROR(__xludf.DUMMYFUNCTION("IFERROR(IF(I169="""",0,INDEX(FILTER($Q$2:Q168,$C$2:C168=I169,$G$2:G168=G169),ROWS(FILTER($Q$2:Q168,$C$2:C168=I169,$G$2:G168=G169)),1)),1500)"),1482.0)</f>
        <v>1482</v>
      </c>
      <c r="M169" s="3">
        <f>IFERROR(__xludf.DUMMYFUNCTION("IFERROR(IF(J169="""",0,INDEX(FILTER($Q$2:Q168,$C$2:C168=J169,$G$2:G168=G169),ROWS(FILTER($Q$2:Q168,$C$2:C168=J169,$G$2:G168=G169)),1)),1500)"),1554.0)</f>
        <v>1554</v>
      </c>
      <c r="N169" s="3">
        <f>IFERROR(__xludf.DUMMYFUNCTION("IFERROR(INDEX(FILTER($Q$2:Q168,$C$2:C168=C169,$G$2:G168=G169),ROWS(FILTER($Q$2:Q168,$C$2:C168=C169,$G$2:G168=G169)),1),1500)"),1431.0)</f>
        <v>1431</v>
      </c>
      <c r="O169" s="3">
        <f t="shared" si="3"/>
        <v>1504.666667</v>
      </c>
      <c r="P169" s="9">
        <f t="shared" si="1"/>
        <v>19</v>
      </c>
      <c r="Q169" s="5">
        <f t="shared" si="2"/>
        <v>1450</v>
      </c>
    </row>
    <row r="170">
      <c r="A170" s="3" t="str">
        <f>IFERROR(__xludf.DUMMYFUNCTION("""COMPUTED_VALUE"""),"1n33F2XXBerx8M9vN-Hy8dO4PKK16N3oD")</f>
        <v>1n33F2XXBerx8M9vN-Hy8dO4PKK16N3oD</v>
      </c>
      <c r="B170" s="13">
        <f>IFERROR(__xludf.DUMMYFUNCTION("""COMPUTED_VALUE"""),45976.0)</f>
        <v>45976</v>
      </c>
      <c r="C170" s="3" t="str">
        <f>IFERROR(__xludf.DUMMYFUNCTION("""COMPUTED_VALUE"""),"Kesny")</f>
        <v>Kesny</v>
      </c>
      <c r="D170" s="3" t="str">
        <f>IFERROR(__xludf.DUMMYFUNCTION("""COMPUTED_VALUE"""),"Kesny + Malena + Nebus.")</f>
        <v>Kesny + Malena + Nebus.</v>
      </c>
      <c r="E170" s="3" t="str">
        <f>IFERROR(__xludf.DUMMYFUNCTION("""COMPUTED_VALUE"""),"Aferdita + Anbuu + ZeroO")</f>
        <v>Aferdita + Anbuu + ZeroO</v>
      </c>
      <c r="F170" s="3" t="str">
        <f>IFERROR(__xludf.DUMMYFUNCTION("""COMPUTED_VALUE"""),"win")</f>
        <v>win</v>
      </c>
      <c r="G170" s="3" t="str">
        <f>IFERROR(__xludf.DUMMYFUNCTION("""COMPUTED_VALUE"""),"3v3")</f>
        <v>3v3</v>
      </c>
      <c r="H170" s="3" t="str">
        <f>IFERROR(__xludf.DUMMYFUNCTION("IFERROR(TRIM(INDEX(SPLIT(E170,"" + ""),1)),"""")"),"Aferdita")</f>
        <v>Aferdita</v>
      </c>
      <c r="I170" s="3" t="str">
        <f>IFERROR(__xludf.DUMMYFUNCTION("IFERROR(TRIM(INDEX(SPLIT(E170,"" + ""),2)),"""")"),"Anbuu")</f>
        <v>Anbuu</v>
      </c>
      <c r="J170" s="5" t="str">
        <f>IFERROR(__xludf.DUMMYFUNCTION("IFERROR(TRIM(INDEX(SPLIT(E170,"" + ""),3)),"""")"),"ZeroO")</f>
        <v>ZeroO</v>
      </c>
      <c r="K170" s="3">
        <f>IFERROR(__xludf.DUMMYFUNCTION("IFERROR(IF(H170="""",0,INDEX(FILTER($Q$2:Q169,$C$2:C169=H170,$G$2:G169=G170),ROWS(FILTER($Q$2:Q169,$C$2:C169=H170,$G$2:G169=G170)),1)),1500)"),1478.0)</f>
        <v>1478</v>
      </c>
      <c r="L170" s="3">
        <f>IFERROR(__xludf.DUMMYFUNCTION("IFERROR(IF(I170="""",0,INDEX(FILTER($Q$2:Q169,$C$2:C169=I170,$G$2:G169=G170),ROWS(FILTER($Q$2:Q169,$C$2:C169=I170,$G$2:G169=G170)),1)),1500)"),1482.0)</f>
        <v>1482</v>
      </c>
      <c r="M170" s="3">
        <f>IFERROR(__xludf.DUMMYFUNCTION("IFERROR(IF(J170="""",0,INDEX(FILTER($Q$2:Q169,$C$2:C169=J170,$G$2:G169=G170),ROWS(FILTER($Q$2:Q169,$C$2:C169=J170,$G$2:G169=G170)),1)),1500)"),1554.0)</f>
        <v>1554</v>
      </c>
      <c r="N170" s="3">
        <f>IFERROR(__xludf.DUMMYFUNCTION("IFERROR(INDEX(FILTER($Q$2:Q169,$C$2:C169=C170,$G$2:G169=G170),ROWS(FILTER($Q$2:Q169,$C$2:C169=C170,$G$2:G169=G170)),1),1500)"),1492.0)</f>
        <v>1492</v>
      </c>
      <c r="O170" s="3">
        <f t="shared" si="3"/>
        <v>1504.666667</v>
      </c>
      <c r="P170" s="9">
        <f t="shared" si="1"/>
        <v>17</v>
      </c>
      <c r="Q170" s="5">
        <f t="shared" si="2"/>
        <v>1509</v>
      </c>
    </row>
    <row r="171">
      <c r="A171" s="3" t="str">
        <f>IFERROR(__xludf.DUMMYFUNCTION("""COMPUTED_VALUE"""),"1n33F2XXBerx8M9vN-Hy8dO4PKK16N3oD")</f>
        <v>1n33F2XXBerx8M9vN-Hy8dO4PKK16N3oD</v>
      </c>
      <c r="B171" s="13">
        <f>IFERROR(__xludf.DUMMYFUNCTION("""COMPUTED_VALUE"""),45976.0)</f>
        <v>45976</v>
      </c>
      <c r="C171" s="3" t="str">
        <f>IFERROR(__xludf.DUMMYFUNCTION("""COMPUTED_VALUE"""),"Nebus.")</f>
        <v>Nebus.</v>
      </c>
      <c r="D171" s="3" t="str">
        <f>IFERROR(__xludf.DUMMYFUNCTION("""COMPUTED_VALUE"""),"Kesny + Malena + Nebus.")</f>
        <v>Kesny + Malena + Nebus.</v>
      </c>
      <c r="E171" s="3" t="str">
        <f>IFERROR(__xludf.DUMMYFUNCTION("""COMPUTED_VALUE"""),"Aferdita + Anbuu + ZeroO")</f>
        <v>Aferdita + Anbuu + ZeroO</v>
      </c>
      <c r="F171" s="3" t="str">
        <f>IFERROR(__xludf.DUMMYFUNCTION("""COMPUTED_VALUE"""),"win")</f>
        <v>win</v>
      </c>
      <c r="G171" s="3" t="str">
        <f>IFERROR(__xludf.DUMMYFUNCTION("""COMPUTED_VALUE"""),"3v3")</f>
        <v>3v3</v>
      </c>
      <c r="H171" s="3" t="str">
        <f>IFERROR(__xludf.DUMMYFUNCTION("IFERROR(TRIM(INDEX(SPLIT(E171,"" + ""),1)),"""")"),"Aferdita")</f>
        <v>Aferdita</v>
      </c>
      <c r="I171" s="3" t="str">
        <f>IFERROR(__xludf.DUMMYFUNCTION("IFERROR(TRIM(INDEX(SPLIT(E171,"" + ""),2)),"""")"),"Anbuu")</f>
        <v>Anbuu</v>
      </c>
      <c r="J171" s="5" t="str">
        <f>IFERROR(__xludf.DUMMYFUNCTION("IFERROR(TRIM(INDEX(SPLIT(E171,"" + ""),3)),"""")"),"ZeroO")</f>
        <v>ZeroO</v>
      </c>
      <c r="K171" s="3">
        <f>IFERROR(__xludf.DUMMYFUNCTION("IFERROR(IF(H171="""",0,INDEX(FILTER($Q$2:Q170,$C$2:C170=H171,$G$2:G170=G171),ROWS(FILTER($Q$2:Q170,$C$2:C170=H171,$G$2:G170=G171)),1)),1500)"),1478.0)</f>
        <v>1478</v>
      </c>
      <c r="L171" s="3">
        <f>IFERROR(__xludf.DUMMYFUNCTION("IFERROR(IF(I171="""",0,INDEX(FILTER($Q$2:Q170,$C$2:C170=I171,$G$2:G170=G171),ROWS(FILTER($Q$2:Q170,$C$2:C170=I171,$G$2:G170=G171)),1)),1500)"),1482.0)</f>
        <v>1482</v>
      </c>
      <c r="M171" s="3">
        <f>IFERROR(__xludf.DUMMYFUNCTION("IFERROR(IF(J171="""",0,INDEX(FILTER($Q$2:Q170,$C$2:C170=J171,$G$2:G170=G171),ROWS(FILTER($Q$2:Q170,$C$2:C170=J171,$G$2:G170=G171)),1)),1500)"),1554.0)</f>
        <v>1554</v>
      </c>
      <c r="N171" s="3">
        <f>IFERROR(__xludf.DUMMYFUNCTION("IFERROR(INDEX(FILTER($Q$2:Q170,$C$2:C170=C171,$G$2:G170=G171),ROWS(FILTER($Q$2:Q170,$C$2:C170=C171,$G$2:G170=G171)),1),1500)"),1574.0)</f>
        <v>1574</v>
      </c>
      <c r="O171" s="3">
        <f t="shared" si="3"/>
        <v>1504.666667</v>
      </c>
      <c r="P171" s="9">
        <f t="shared" si="1"/>
        <v>13</v>
      </c>
      <c r="Q171" s="5">
        <f t="shared" si="2"/>
        <v>1587</v>
      </c>
    </row>
    <row r="172">
      <c r="A172" s="3" t="str">
        <f>IFERROR(__xludf.DUMMYFUNCTION("""COMPUTED_VALUE"""),"1UhjqNFtaCT9AEPQgwZQhxPdde8D6x28m")</f>
        <v>1UhjqNFtaCT9AEPQgwZQhxPdde8D6x28m</v>
      </c>
      <c r="B172" s="13">
        <f>IFERROR(__xludf.DUMMYFUNCTION("""COMPUTED_VALUE"""),45976.0)</f>
        <v>45976</v>
      </c>
      <c r="C172" s="3" t="str">
        <f>IFERROR(__xludf.DUMMYFUNCTION("""COMPUTED_VALUE"""),"ZeroO")</f>
        <v>ZeroO</v>
      </c>
      <c r="D172" s="3" t="str">
        <f>IFERROR(__xludf.DUMMYFUNCTION("""COMPUTED_VALUE"""),"Aferdita + Anbuu + ZeroO")</f>
        <v>Aferdita + Anbuu + ZeroO</v>
      </c>
      <c r="E172" s="3" t="str">
        <f>IFERROR(__xludf.DUMMYFUNCTION("""COMPUTED_VALUE"""),"Kesny + Malena + Nebus.")</f>
        <v>Kesny + Malena + Nebus.</v>
      </c>
      <c r="F172" s="3" t="str">
        <f>IFERROR(__xludf.DUMMYFUNCTION("""COMPUTED_VALUE"""),"win")</f>
        <v>win</v>
      </c>
      <c r="G172" s="3" t="str">
        <f>IFERROR(__xludf.DUMMYFUNCTION("""COMPUTED_VALUE"""),"3v3")</f>
        <v>3v3</v>
      </c>
      <c r="H172" s="3" t="str">
        <f>IFERROR(__xludf.DUMMYFUNCTION("IFERROR(TRIM(INDEX(SPLIT(E172,"" + ""),1)),"""")"),"Kesny")</f>
        <v>Kesny</v>
      </c>
      <c r="I172" s="3" t="str">
        <f>IFERROR(__xludf.DUMMYFUNCTION("IFERROR(TRIM(INDEX(SPLIT(E172,"" + ""),2)),"""")"),"Malena")</f>
        <v>Malena</v>
      </c>
      <c r="J172" s="5" t="str">
        <f>IFERROR(__xludf.DUMMYFUNCTION("IFERROR(TRIM(INDEX(SPLIT(E172,"" + ""),3)),"""")"),"Nebus.")</f>
        <v>Nebus.</v>
      </c>
      <c r="K172" s="3">
        <f>IFERROR(__xludf.DUMMYFUNCTION("IFERROR(IF(H172="""",0,INDEX(FILTER($Q$2:Q171,$C$2:C171=H172,$G$2:G171=G172),ROWS(FILTER($Q$2:Q171,$C$2:C171=H172,$G$2:G171=G172)),1)),1500)"),1509.0)</f>
        <v>1509</v>
      </c>
      <c r="L172" s="3">
        <f>IFERROR(__xludf.DUMMYFUNCTION("IFERROR(IF(I172="""",0,INDEX(FILTER($Q$2:Q171,$C$2:C171=I172,$G$2:G171=G172),ROWS(FILTER($Q$2:Q171,$C$2:C171=I172,$G$2:G171=G172)),1)),1500)"),1450.0)</f>
        <v>1450</v>
      </c>
      <c r="M172" s="3">
        <f>IFERROR(__xludf.DUMMYFUNCTION("IFERROR(IF(J172="""",0,INDEX(FILTER($Q$2:Q171,$C$2:C171=J172,$G$2:G171=G172),ROWS(FILTER($Q$2:Q171,$C$2:C171=J172,$G$2:G171=G172)),1)),1500)"),1587.0)</f>
        <v>1587</v>
      </c>
      <c r="N172" s="3">
        <f>IFERROR(__xludf.DUMMYFUNCTION("IFERROR(INDEX(FILTER($Q$2:Q171,$C$2:C171=C172,$G$2:G171=G172),ROWS(FILTER($Q$2:Q171,$C$2:C171=C172,$G$2:G171=G172)),1),1500)"),1554.0)</f>
        <v>1554</v>
      </c>
      <c r="O172" s="3">
        <f t="shared" si="3"/>
        <v>1515.333333</v>
      </c>
      <c r="P172" s="9">
        <f t="shared" si="1"/>
        <v>14</v>
      </c>
      <c r="Q172" s="5">
        <f t="shared" si="2"/>
        <v>1568</v>
      </c>
    </row>
    <row r="173">
      <c r="A173" s="3" t="str">
        <f>IFERROR(__xludf.DUMMYFUNCTION("""COMPUTED_VALUE"""),"1UhjqNFtaCT9AEPQgwZQhxPdde8D6x28m")</f>
        <v>1UhjqNFtaCT9AEPQgwZQhxPdde8D6x28m</v>
      </c>
      <c r="B173" s="13">
        <f>IFERROR(__xludf.DUMMYFUNCTION("""COMPUTED_VALUE"""),45976.0)</f>
        <v>45976</v>
      </c>
      <c r="C173" s="3" t="str">
        <f>IFERROR(__xludf.DUMMYFUNCTION("""COMPUTED_VALUE"""),"Anbuu")</f>
        <v>Anbuu</v>
      </c>
      <c r="D173" s="3" t="str">
        <f>IFERROR(__xludf.DUMMYFUNCTION("""COMPUTED_VALUE"""),"Aferdita + Anbuu + ZeroO")</f>
        <v>Aferdita + Anbuu + ZeroO</v>
      </c>
      <c r="E173" s="3" t="str">
        <f>IFERROR(__xludf.DUMMYFUNCTION("""COMPUTED_VALUE"""),"Kesny + Malena + Nebus.")</f>
        <v>Kesny + Malena + Nebus.</v>
      </c>
      <c r="F173" s="3" t="str">
        <f>IFERROR(__xludf.DUMMYFUNCTION("""COMPUTED_VALUE"""),"win")</f>
        <v>win</v>
      </c>
      <c r="G173" s="3" t="str">
        <f>IFERROR(__xludf.DUMMYFUNCTION("""COMPUTED_VALUE"""),"3v3")</f>
        <v>3v3</v>
      </c>
      <c r="H173" s="3" t="str">
        <f>IFERROR(__xludf.DUMMYFUNCTION("IFERROR(TRIM(INDEX(SPLIT(E173,"" + ""),1)),"""")"),"Kesny")</f>
        <v>Kesny</v>
      </c>
      <c r="I173" s="3" t="str">
        <f>IFERROR(__xludf.DUMMYFUNCTION("IFERROR(TRIM(INDEX(SPLIT(E173,"" + ""),2)),"""")"),"Malena")</f>
        <v>Malena</v>
      </c>
      <c r="J173" s="5" t="str">
        <f>IFERROR(__xludf.DUMMYFUNCTION("IFERROR(TRIM(INDEX(SPLIT(E173,"" + ""),3)),"""")"),"Nebus.")</f>
        <v>Nebus.</v>
      </c>
      <c r="K173" s="3">
        <f>IFERROR(__xludf.DUMMYFUNCTION("IFERROR(IF(H173="""",0,INDEX(FILTER($Q$2:Q172,$C$2:C172=H173,$G$2:G172=G173),ROWS(FILTER($Q$2:Q172,$C$2:C172=H173,$G$2:G172=G173)),1)),1500)"),1509.0)</f>
        <v>1509</v>
      </c>
      <c r="L173" s="3">
        <f>IFERROR(__xludf.DUMMYFUNCTION("IFERROR(IF(I173="""",0,INDEX(FILTER($Q$2:Q172,$C$2:C172=I173,$G$2:G172=G173),ROWS(FILTER($Q$2:Q172,$C$2:C172=I173,$G$2:G172=G173)),1)),1500)"),1450.0)</f>
        <v>1450</v>
      </c>
      <c r="M173" s="3">
        <f>IFERROR(__xludf.DUMMYFUNCTION("IFERROR(IF(J173="""",0,INDEX(FILTER($Q$2:Q172,$C$2:C172=J173,$G$2:G172=G173),ROWS(FILTER($Q$2:Q172,$C$2:C172=J173,$G$2:G172=G173)),1)),1500)"),1587.0)</f>
        <v>1587</v>
      </c>
      <c r="N173" s="3">
        <f>IFERROR(__xludf.DUMMYFUNCTION("IFERROR(INDEX(FILTER($Q$2:Q172,$C$2:C172=C173,$G$2:G172=G173),ROWS(FILTER($Q$2:Q172,$C$2:C172=C173,$G$2:G172=G173)),1),1500)"),1482.0)</f>
        <v>1482</v>
      </c>
      <c r="O173" s="3">
        <f t="shared" si="3"/>
        <v>1515.333333</v>
      </c>
      <c r="P173" s="9">
        <f t="shared" si="1"/>
        <v>18</v>
      </c>
      <c r="Q173" s="5">
        <f t="shared" si="2"/>
        <v>1500</v>
      </c>
    </row>
    <row r="174">
      <c r="A174" s="3" t="str">
        <f>IFERROR(__xludf.DUMMYFUNCTION("""COMPUTED_VALUE"""),"1UhjqNFtaCT9AEPQgwZQhxPdde8D6x28m")</f>
        <v>1UhjqNFtaCT9AEPQgwZQhxPdde8D6x28m</v>
      </c>
      <c r="B174" s="13">
        <f>IFERROR(__xludf.DUMMYFUNCTION("""COMPUTED_VALUE"""),45976.0)</f>
        <v>45976</v>
      </c>
      <c r="C174" s="3" t="str">
        <f>IFERROR(__xludf.DUMMYFUNCTION("""COMPUTED_VALUE"""),"Aferdita")</f>
        <v>Aferdita</v>
      </c>
      <c r="D174" s="3" t="str">
        <f>IFERROR(__xludf.DUMMYFUNCTION("""COMPUTED_VALUE"""),"Aferdita + Anbuu + ZeroO")</f>
        <v>Aferdita + Anbuu + ZeroO</v>
      </c>
      <c r="E174" s="3" t="str">
        <f>IFERROR(__xludf.DUMMYFUNCTION("""COMPUTED_VALUE"""),"Kesny + Malena + Nebus.")</f>
        <v>Kesny + Malena + Nebus.</v>
      </c>
      <c r="F174" s="3" t="str">
        <f>IFERROR(__xludf.DUMMYFUNCTION("""COMPUTED_VALUE"""),"win")</f>
        <v>win</v>
      </c>
      <c r="G174" s="3" t="str">
        <f>IFERROR(__xludf.DUMMYFUNCTION("""COMPUTED_VALUE"""),"3v3")</f>
        <v>3v3</v>
      </c>
      <c r="H174" s="3" t="str">
        <f>IFERROR(__xludf.DUMMYFUNCTION("IFERROR(TRIM(INDEX(SPLIT(E174,"" + ""),1)),"""")"),"Kesny")</f>
        <v>Kesny</v>
      </c>
      <c r="I174" s="3" t="str">
        <f>IFERROR(__xludf.DUMMYFUNCTION("IFERROR(TRIM(INDEX(SPLIT(E174,"" + ""),2)),"""")"),"Malena")</f>
        <v>Malena</v>
      </c>
      <c r="J174" s="5" t="str">
        <f>IFERROR(__xludf.DUMMYFUNCTION("IFERROR(TRIM(INDEX(SPLIT(E174,"" + ""),3)),"""")"),"Nebus.")</f>
        <v>Nebus.</v>
      </c>
      <c r="K174" s="3">
        <f>IFERROR(__xludf.DUMMYFUNCTION("IFERROR(IF(H174="""",0,INDEX(FILTER($Q$2:Q173,$C$2:C173=H174,$G$2:G173=G174),ROWS(FILTER($Q$2:Q173,$C$2:C173=H174,$G$2:G173=G174)),1)),1500)"),1509.0)</f>
        <v>1509</v>
      </c>
      <c r="L174" s="3">
        <f>IFERROR(__xludf.DUMMYFUNCTION("IFERROR(IF(I174="""",0,INDEX(FILTER($Q$2:Q173,$C$2:C173=I174,$G$2:G173=G174),ROWS(FILTER($Q$2:Q173,$C$2:C173=I174,$G$2:G173=G174)),1)),1500)"),1450.0)</f>
        <v>1450</v>
      </c>
      <c r="M174" s="3">
        <f>IFERROR(__xludf.DUMMYFUNCTION("IFERROR(IF(J174="""",0,INDEX(FILTER($Q$2:Q173,$C$2:C173=J174,$G$2:G173=G174),ROWS(FILTER($Q$2:Q173,$C$2:C173=J174,$G$2:G173=G174)),1)),1500)"),1587.0)</f>
        <v>1587</v>
      </c>
      <c r="N174" s="3">
        <f>IFERROR(__xludf.DUMMYFUNCTION("IFERROR(INDEX(FILTER($Q$2:Q173,$C$2:C173=C174,$G$2:G173=G174),ROWS(FILTER($Q$2:Q173,$C$2:C173=C174,$G$2:G173=G174)),1),1500)"),1478.0)</f>
        <v>1478</v>
      </c>
      <c r="O174" s="3">
        <f t="shared" si="3"/>
        <v>1515.333333</v>
      </c>
      <c r="P174" s="9">
        <f t="shared" si="1"/>
        <v>18</v>
      </c>
      <c r="Q174" s="5">
        <f t="shared" si="2"/>
        <v>1496</v>
      </c>
    </row>
    <row r="175">
      <c r="A175" s="3" t="str">
        <f>IFERROR(__xludf.DUMMYFUNCTION("""COMPUTED_VALUE"""),"1UhjqNFtaCT9AEPQgwZQhxPdde8D6x28m")</f>
        <v>1UhjqNFtaCT9AEPQgwZQhxPdde8D6x28m</v>
      </c>
      <c r="B175" s="13">
        <f>IFERROR(__xludf.DUMMYFUNCTION("""COMPUTED_VALUE"""),45976.0)</f>
        <v>45976</v>
      </c>
      <c r="C175" s="3" t="str">
        <f>IFERROR(__xludf.DUMMYFUNCTION("""COMPUTED_VALUE"""),"Kesny")</f>
        <v>Kesny</v>
      </c>
      <c r="D175" s="3" t="str">
        <f>IFERROR(__xludf.DUMMYFUNCTION("""COMPUTED_VALUE"""),"Kesny + Malena + Nebus.")</f>
        <v>Kesny + Malena + Nebus.</v>
      </c>
      <c r="E175" s="3" t="str">
        <f>IFERROR(__xludf.DUMMYFUNCTION("""COMPUTED_VALUE"""),"Aferdita + Anbuu + ZeroO")</f>
        <v>Aferdita + Anbuu + ZeroO</v>
      </c>
      <c r="F175" s="3" t="str">
        <f>IFERROR(__xludf.DUMMYFUNCTION("""COMPUTED_VALUE"""),"loss")</f>
        <v>loss</v>
      </c>
      <c r="G175" s="3" t="str">
        <f>IFERROR(__xludf.DUMMYFUNCTION("""COMPUTED_VALUE"""),"3v3")</f>
        <v>3v3</v>
      </c>
      <c r="H175" s="3" t="str">
        <f>IFERROR(__xludf.DUMMYFUNCTION("IFERROR(TRIM(INDEX(SPLIT(E175,"" + ""),1)),"""")"),"Aferdita")</f>
        <v>Aferdita</v>
      </c>
      <c r="I175" s="3" t="str">
        <f>IFERROR(__xludf.DUMMYFUNCTION("IFERROR(TRIM(INDEX(SPLIT(E175,"" + ""),2)),"""")"),"Anbuu")</f>
        <v>Anbuu</v>
      </c>
      <c r="J175" s="5" t="str">
        <f>IFERROR(__xludf.DUMMYFUNCTION("IFERROR(TRIM(INDEX(SPLIT(E175,"" + ""),3)),"""")"),"ZeroO")</f>
        <v>ZeroO</v>
      </c>
      <c r="K175" s="3">
        <f>IFERROR(__xludf.DUMMYFUNCTION("IFERROR(IF(H175="""",0,INDEX(FILTER($Q$2:Q174,$C$2:C174=H175,$G$2:G174=G175),ROWS(FILTER($Q$2:Q174,$C$2:C174=H175,$G$2:G174=G175)),1)),1500)"),1496.0)</f>
        <v>1496</v>
      </c>
      <c r="L175" s="3">
        <f>IFERROR(__xludf.DUMMYFUNCTION("IFERROR(IF(I175="""",0,INDEX(FILTER($Q$2:Q174,$C$2:C174=I175,$G$2:G174=G175),ROWS(FILTER($Q$2:Q174,$C$2:C174=I175,$G$2:G174=G175)),1)),1500)"),1500.0)</f>
        <v>1500</v>
      </c>
      <c r="M175" s="3">
        <f>IFERROR(__xludf.DUMMYFUNCTION("IFERROR(IF(J175="""",0,INDEX(FILTER($Q$2:Q174,$C$2:C174=J175,$G$2:G174=G175),ROWS(FILTER($Q$2:Q174,$C$2:C174=J175,$G$2:G174=G175)),1)),1500)"),1568.0)</f>
        <v>1568</v>
      </c>
      <c r="N175" s="3">
        <f>IFERROR(__xludf.DUMMYFUNCTION("IFERROR(INDEX(FILTER($Q$2:Q174,$C$2:C174=C175,$G$2:G174=G175),ROWS(FILTER($Q$2:Q174,$C$2:C174=C175,$G$2:G174=G175)),1),1500)"),1509.0)</f>
        <v>1509</v>
      </c>
      <c r="O175" s="3">
        <f t="shared" si="3"/>
        <v>1521.333333</v>
      </c>
      <c r="P175" s="9">
        <f t="shared" si="1"/>
        <v>-15</v>
      </c>
      <c r="Q175" s="5">
        <f t="shared" si="2"/>
        <v>1494</v>
      </c>
    </row>
    <row r="176">
      <c r="A176" s="3" t="str">
        <f>IFERROR(__xludf.DUMMYFUNCTION("""COMPUTED_VALUE"""),"1UhjqNFtaCT9AEPQgwZQhxPdde8D6x28m")</f>
        <v>1UhjqNFtaCT9AEPQgwZQhxPdde8D6x28m</v>
      </c>
      <c r="B176" s="13">
        <f>IFERROR(__xludf.DUMMYFUNCTION("""COMPUTED_VALUE"""),45976.0)</f>
        <v>45976</v>
      </c>
      <c r="C176" s="3" t="str">
        <f>IFERROR(__xludf.DUMMYFUNCTION("""COMPUTED_VALUE"""),"Malena")</f>
        <v>Malena</v>
      </c>
      <c r="D176" s="3" t="str">
        <f>IFERROR(__xludf.DUMMYFUNCTION("""COMPUTED_VALUE"""),"Kesny + Malena + Nebus.")</f>
        <v>Kesny + Malena + Nebus.</v>
      </c>
      <c r="E176" s="3" t="str">
        <f>IFERROR(__xludf.DUMMYFUNCTION("""COMPUTED_VALUE"""),"Aferdita + Anbuu + ZeroO")</f>
        <v>Aferdita + Anbuu + ZeroO</v>
      </c>
      <c r="F176" s="3" t="str">
        <f>IFERROR(__xludf.DUMMYFUNCTION("""COMPUTED_VALUE"""),"loss")</f>
        <v>loss</v>
      </c>
      <c r="G176" s="3" t="str">
        <f>IFERROR(__xludf.DUMMYFUNCTION("""COMPUTED_VALUE"""),"3v3")</f>
        <v>3v3</v>
      </c>
      <c r="H176" s="3" t="str">
        <f>IFERROR(__xludf.DUMMYFUNCTION("IFERROR(TRIM(INDEX(SPLIT(E176,"" + ""),1)),"""")"),"Aferdita")</f>
        <v>Aferdita</v>
      </c>
      <c r="I176" s="3" t="str">
        <f>IFERROR(__xludf.DUMMYFUNCTION("IFERROR(TRIM(INDEX(SPLIT(E176,"" + ""),2)),"""")"),"Anbuu")</f>
        <v>Anbuu</v>
      </c>
      <c r="J176" s="5" t="str">
        <f>IFERROR(__xludf.DUMMYFUNCTION("IFERROR(TRIM(INDEX(SPLIT(E176,"" + ""),3)),"""")"),"ZeroO")</f>
        <v>ZeroO</v>
      </c>
      <c r="K176" s="3">
        <f>IFERROR(__xludf.DUMMYFUNCTION("IFERROR(IF(H176="""",0,INDEX(FILTER($Q$2:Q175,$C$2:C175=H176,$G$2:G175=G176),ROWS(FILTER($Q$2:Q175,$C$2:C175=H176,$G$2:G175=G176)),1)),1500)"),1496.0)</f>
        <v>1496</v>
      </c>
      <c r="L176" s="3">
        <f>IFERROR(__xludf.DUMMYFUNCTION("IFERROR(IF(I176="""",0,INDEX(FILTER($Q$2:Q175,$C$2:C175=I176,$G$2:G175=G176),ROWS(FILTER($Q$2:Q175,$C$2:C175=I176,$G$2:G175=G176)),1)),1500)"),1500.0)</f>
        <v>1500</v>
      </c>
      <c r="M176" s="3">
        <f>IFERROR(__xludf.DUMMYFUNCTION("IFERROR(IF(J176="""",0,INDEX(FILTER($Q$2:Q175,$C$2:C175=J176,$G$2:G175=G176),ROWS(FILTER($Q$2:Q175,$C$2:C175=J176,$G$2:G175=G176)),1)),1500)"),1568.0)</f>
        <v>1568</v>
      </c>
      <c r="N176" s="3">
        <f>IFERROR(__xludf.DUMMYFUNCTION("IFERROR(INDEX(FILTER($Q$2:Q175,$C$2:C175=C176,$G$2:G175=G176),ROWS(FILTER($Q$2:Q175,$C$2:C175=C176,$G$2:G175=G176)),1),1500)"),1450.0)</f>
        <v>1450</v>
      </c>
      <c r="O176" s="3">
        <f t="shared" si="3"/>
        <v>1521.333333</v>
      </c>
      <c r="P176" s="9">
        <f t="shared" si="1"/>
        <v>-13</v>
      </c>
      <c r="Q176" s="5">
        <f t="shared" si="2"/>
        <v>1437</v>
      </c>
    </row>
    <row r="177">
      <c r="A177" s="3" t="str">
        <f>IFERROR(__xludf.DUMMYFUNCTION("""COMPUTED_VALUE"""),"1UhjqNFtaCT9AEPQgwZQhxPdde8D6x28m")</f>
        <v>1UhjqNFtaCT9AEPQgwZQhxPdde8D6x28m</v>
      </c>
      <c r="B177" s="13">
        <f>IFERROR(__xludf.DUMMYFUNCTION("""COMPUTED_VALUE"""),45976.0)</f>
        <v>45976</v>
      </c>
      <c r="C177" s="3" t="str">
        <f>IFERROR(__xludf.DUMMYFUNCTION("""COMPUTED_VALUE"""),"Nebus.")</f>
        <v>Nebus.</v>
      </c>
      <c r="D177" s="3" t="str">
        <f>IFERROR(__xludf.DUMMYFUNCTION("""COMPUTED_VALUE"""),"Kesny + Malena + Nebus.")</f>
        <v>Kesny + Malena + Nebus.</v>
      </c>
      <c r="E177" s="3" t="str">
        <f>IFERROR(__xludf.DUMMYFUNCTION("""COMPUTED_VALUE"""),"Aferdita + Anbuu + ZeroO")</f>
        <v>Aferdita + Anbuu + ZeroO</v>
      </c>
      <c r="F177" s="3" t="str">
        <f>IFERROR(__xludf.DUMMYFUNCTION("""COMPUTED_VALUE"""),"loss")</f>
        <v>loss</v>
      </c>
      <c r="G177" s="3" t="str">
        <f>IFERROR(__xludf.DUMMYFUNCTION("""COMPUTED_VALUE"""),"3v3")</f>
        <v>3v3</v>
      </c>
      <c r="H177" s="3" t="str">
        <f>IFERROR(__xludf.DUMMYFUNCTION("IFERROR(TRIM(INDEX(SPLIT(E177,"" + ""),1)),"""")"),"Aferdita")</f>
        <v>Aferdita</v>
      </c>
      <c r="I177" s="3" t="str">
        <f>IFERROR(__xludf.DUMMYFUNCTION("IFERROR(TRIM(INDEX(SPLIT(E177,"" + ""),2)),"""")"),"Anbuu")</f>
        <v>Anbuu</v>
      </c>
      <c r="J177" s="5" t="str">
        <f>IFERROR(__xludf.DUMMYFUNCTION("IFERROR(TRIM(INDEX(SPLIT(E177,"" + ""),3)),"""")"),"ZeroO")</f>
        <v>ZeroO</v>
      </c>
      <c r="K177" s="3">
        <f>IFERROR(__xludf.DUMMYFUNCTION("IFERROR(IF(H177="""",0,INDEX(FILTER($Q$2:Q176,$C$2:C176=H177,$G$2:G176=G177),ROWS(FILTER($Q$2:Q176,$C$2:C176=H177,$G$2:G176=G177)),1)),1500)"),1496.0)</f>
        <v>1496</v>
      </c>
      <c r="L177" s="3">
        <f>IFERROR(__xludf.DUMMYFUNCTION("IFERROR(IF(I177="""",0,INDEX(FILTER($Q$2:Q176,$C$2:C176=I177,$G$2:G176=G177),ROWS(FILTER($Q$2:Q176,$C$2:C176=I177,$G$2:G176=G177)),1)),1500)"),1500.0)</f>
        <v>1500</v>
      </c>
      <c r="M177" s="3">
        <f>IFERROR(__xludf.DUMMYFUNCTION("IFERROR(IF(J177="""",0,INDEX(FILTER($Q$2:Q176,$C$2:C176=J177,$G$2:G176=G177),ROWS(FILTER($Q$2:Q176,$C$2:C176=J177,$G$2:G176=G177)),1)),1500)"),1568.0)</f>
        <v>1568</v>
      </c>
      <c r="N177" s="3">
        <f>IFERROR(__xludf.DUMMYFUNCTION("IFERROR(INDEX(FILTER($Q$2:Q176,$C$2:C176=C177,$G$2:G176=G177),ROWS(FILTER($Q$2:Q176,$C$2:C176=C177,$G$2:G176=G177)),1),1500)"),1587.0)</f>
        <v>1587</v>
      </c>
      <c r="O177" s="3">
        <f t="shared" si="3"/>
        <v>1521.333333</v>
      </c>
      <c r="P177" s="9">
        <f t="shared" si="1"/>
        <v>-19</v>
      </c>
      <c r="Q177" s="5">
        <f t="shared" si="2"/>
        <v>1568</v>
      </c>
    </row>
    <row r="178">
      <c r="A178" s="3" t="str">
        <f>IFERROR(__xludf.DUMMYFUNCTION("""COMPUTED_VALUE"""),"1AAEwDZjHW33GSeCX2aW4mJ-lSAkFip8e")</f>
        <v>1AAEwDZjHW33GSeCX2aW4mJ-lSAkFip8e</v>
      </c>
      <c r="B178" s="13">
        <f>IFERROR(__xludf.DUMMYFUNCTION("""COMPUTED_VALUE"""),45976.0)</f>
        <v>45976</v>
      </c>
      <c r="C178" s="3" t="str">
        <f>IFERROR(__xludf.DUMMYFUNCTION("""COMPUTED_VALUE"""),"Malena")</f>
        <v>Malena</v>
      </c>
      <c r="D178" s="3" t="str">
        <f>IFERROR(__xludf.DUMMYFUNCTION("""COMPUTED_VALUE"""),"Anbuu + Aferdita + Malena")</f>
        <v>Anbuu + Aferdita + Malena</v>
      </c>
      <c r="E178" s="3" t="str">
        <f>IFERROR(__xludf.DUMMYFUNCTION("""COMPUTED_VALUE"""),"Kesny + Nebus. + ZeroO")</f>
        <v>Kesny + Nebus. + ZeroO</v>
      </c>
      <c r="F178" s="3" t="str">
        <f>IFERROR(__xludf.DUMMYFUNCTION("""COMPUTED_VALUE"""),"win")</f>
        <v>win</v>
      </c>
      <c r="G178" s="3" t="str">
        <f>IFERROR(__xludf.DUMMYFUNCTION("""COMPUTED_VALUE"""),"3v3")</f>
        <v>3v3</v>
      </c>
      <c r="H178" s="3" t="str">
        <f>IFERROR(__xludf.DUMMYFUNCTION("IFERROR(TRIM(INDEX(SPLIT(E178,"" + ""),1)),"""")"),"Kesny")</f>
        <v>Kesny</v>
      </c>
      <c r="I178" s="3" t="str">
        <f>IFERROR(__xludf.DUMMYFUNCTION("IFERROR(TRIM(INDEX(SPLIT(E178,"" + ""),2)),"""")"),"Nebus.")</f>
        <v>Nebus.</v>
      </c>
      <c r="J178" s="5" t="str">
        <f>IFERROR(__xludf.DUMMYFUNCTION("IFERROR(TRIM(INDEX(SPLIT(E178,"" + ""),3)),"""")"),"ZeroO")</f>
        <v>ZeroO</v>
      </c>
      <c r="K178" s="3">
        <f>IFERROR(__xludf.DUMMYFUNCTION("IFERROR(IF(H178="""",0,INDEX(FILTER($Q$2:Q177,$C$2:C177=H178,$G$2:G177=G178),ROWS(FILTER($Q$2:Q177,$C$2:C177=H178,$G$2:G177=G178)),1)),1500)"),1494.0)</f>
        <v>1494</v>
      </c>
      <c r="L178" s="3">
        <f>IFERROR(__xludf.DUMMYFUNCTION("IFERROR(IF(I178="""",0,INDEX(FILTER($Q$2:Q177,$C$2:C177=I178,$G$2:G177=G178),ROWS(FILTER($Q$2:Q177,$C$2:C177=I178,$G$2:G177=G178)),1)),1500)"),1568.0)</f>
        <v>1568</v>
      </c>
      <c r="M178" s="3">
        <f>IFERROR(__xludf.DUMMYFUNCTION("IFERROR(IF(J178="""",0,INDEX(FILTER($Q$2:Q177,$C$2:C177=J178,$G$2:G177=G178),ROWS(FILTER($Q$2:Q177,$C$2:C177=J178,$G$2:G177=G178)),1)),1500)"),1568.0)</f>
        <v>1568</v>
      </c>
      <c r="N178" s="3">
        <f>IFERROR(__xludf.DUMMYFUNCTION("IFERROR(INDEX(FILTER($Q$2:Q177,$C$2:C177=C178,$G$2:G177=G178),ROWS(FILTER($Q$2:Q177,$C$2:C177=C178,$G$2:G177=G178)),1),1500)"),1437.0)</f>
        <v>1437</v>
      </c>
      <c r="O178" s="3">
        <f t="shared" si="3"/>
        <v>1543.333333</v>
      </c>
      <c r="P178" s="9">
        <f t="shared" si="1"/>
        <v>21</v>
      </c>
      <c r="Q178" s="5">
        <f t="shared" si="2"/>
        <v>1458</v>
      </c>
    </row>
    <row r="179">
      <c r="A179" s="3" t="str">
        <f>IFERROR(__xludf.DUMMYFUNCTION("""COMPUTED_VALUE"""),"1AAEwDZjHW33GSeCX2aW4mJ-lSAkFip8e")</f>
        <v>1AAEwDZjHW33GSeCX2aW4mJ-lSAkFip8e</v>
      </c>
      <c r="B179" s="13">
        <f>IFERROR(__xludf.DUMMYFUNCTION("""COMPUTED_VALUE"""),45976.0)</f>
        <v>45976</v>
      </c>
      <c r="C179" s="3" t="str">
        <f>IFERROR(__xludf.DUMMYFUNCTION("""COMPUTED_VALUE"""),"Anbuu")</f>
        <v>Anbuu</v>
      </c>
      <c r="D179" s="3" t="str">
        <f>IFERROR(__xludf.DUMMYFUNCTION("""COMPUTED_VALUE"""),"Anbuu + Aferdita + Malena")</f>
        <v>Anbuu + Aferdita + Malena</v>
      </c>
      <c r="E179" s="3" t="str">
        <f>IFERROR(__xludf.DUMMYFUNCTION("""COMPUTED_VALUE"""),"Kesny + Nebus. + ZeroO")</f>
        <v>Kesny + Nebus. + ZeroO</v>
      </c>
      <c r="F179" s="3" t="str">
        <f>IFERROR(__xludf.DUMMYFUNCTION("""COMPUTED_VALUE"""),"win")</f>
        <v>win</v>
      </c>
      <c r="G179" s="3" t="str">
        <f>IFERROR(__xludf.DUMMYFUNCTION("""COMPUTED_VALUE"""),"3v3")</f>
        <v>3v3</v>
      </c>
      <c r="H179" s="3" t="str">
        <f>IFERROR(__xludf.DUMMYFUNCTION("IFERROR(TRIM(INDEX(SPLIT(E179,"" + ""),1)),"""")"),"Kesny")</f>
        <v>Kesny</v>
      </c>
      <c r="I179" s="3" t="str">
        <f>IFERROR(__xludf.DUMMYFUNCTION("IFERROR(TRIM(INDEX(SPLIT(E179,"" + ""),2)),"""")"),"Nebus.")</f>
        <v>Nebus.</v>
      </c>
      <c r="J179" s="5" t="str">
        <f>IFERROR(__xludf.DUMMYFUNCTION("IFERROR(TRIM(INDEX(SPLIT(E179,"" + ""),3)),"""")"),"ZeroO")</f>
        <v>ZeroO</v>
      </c>
      <c r="K179" s="3">
        <f>IFERROR(__xludf.DUMMYFUNCTION("IFERROR(IF(H179="""",0,INDEX(FILTER($Q$2:Q178,$C$2:C178=H179,$G$2:G178=G179),ROWS(FILTER($Q$2:Q178,$C$2:C178=H179,$G$2:G178=G179)),1)),1500)"),1494.0)</f>
        <v>1494</v>
      </c>
      <c r="L179" s="3">
        <f>IFERROR(__xludf.DUMMYFUNCTION("IFERROR(IF(I179="""",0,INDEX(FILTER($Q$2:Q178,$C$2:C178=I179,$G$2:G178=G179),ROWS(FILTER($Q$2:Q178,$C$2:C178=I179,$G$2:G178=G179)),1)),1500)"),1568.0)</f>
        <v>1568</v>
      </c>
      <c r="M179" s="3">
        <f>IFERROR(__xludf.DUMMYFUNCTION("IFERROR(IF(J179="""",0,INDEX(FILTER($Q$2:Q178,$C$2:C178=J179,$G$2:G178=G179),ROWS(FILTER($Q$2:Q178,$C$2:C178=J179,$G$2:G178=G179)),1)),1500)"),1568.0)</f>
        <v>1568</v>
      </c>
      <c r="N179" s="3">
        <f>IFERROR(__xludf.DUMMYFUNCTION("IFERROR(INDEX(FILTER($Q$2:Q178,$C$2:C178=C179,$G$2:G178=G179),ROWS(FILTER($Q$2:Q178,$C$2:C178=C179,$G$2:G178=G179)),1),1500)"),1500.0)</f>
        <v>1500</v>
      </c>
      <c r="O179" s="3">
        <f t="shared" si="3"/>
        <v>1543.333333</v>
      </c>
      <c r="P179" s="9">
        <f t="shared" si="1"/>
        <v>18</v>
      </c>
      <c r="Q179" s="5">
        <f t="shared" si="2"/>
        <v>1518</v>
      </c>
    </row>
    <row r="180">
      <c r="A180" s="3" t="str">
        <f>IFERROR(__xludf.DUMMYFUNCTION("""COMPUTED_VALUE"""),"1AAEwDZjHW33GSeCX2aW4mJ-lSAkFip8e")</f>
        <v>1AAEwDZjHW33GSeCX2aW4mJ-lSAkFip8e</v>
      </c>
      <c r="B180" s="13">
        <f>IFERROR(__xludf.DUMMYFUNCTION("""COMPUTED_VALUE"""),45976.0)</f>
        <v>45976</v>
      </c>
      <c r="C180" s="3" t="str">
        <f>IFERROR(__xludf.DUMMYFUNCTION("""COMPUTED_VALUE"""),"Aferdita")</f>
        <v>Aferdita</v>
      </c>
      <c r="D180" s="3" t="str">
        <f>IFERROR(__xludf.DUMMYFUNCTION("""COMPUTED_VALUE"""),"Anbuu + Aferdita + Malena")</f>
        <v>Anbuu + Aferdita + Malena</v>
      </c>
      <c r="E180" s="3" t="str">
        <f>IFERROR(__xludf.DUMMYFUNCTION("""COMPUTED_VALUE"""),"Kesny + Nebus. + ZeroO")</f>
        <v>Kesny + Nebus. + ZeroO</v>
      </c>
      <c r="F180" s="3" t="str">
        <f>IFERROR(__xludf.DUMMYFUNCTION("""COMPUTED_VALUE"""),"win")</f>
        <v>win</v>
      </c>
      <c r="G180" s="3" t="str">
        <f>IFERROR(__xludf.DUMMYFUNCTION("""COMPUTED_VALUE"""),"3v3")</f>
        <v>3v3</v>
      </c>
      <c r="H180" s="3" t="str">
        <f>IFERROR(__xludf.DUMMYFUNCTION("IFERROR(TRIM(INDEX(SPLIT(E180,"" + ""),1)),"""")"),"Kesny")</f>
        <v>Kesny</v>
      </c>
      <c r="I180" s="3" t="str">
        <f>IFERROR(__xludf.DUMMYFUNCTION("IFERROR(TRIM(INDEX(SPLIT(E180,"" + ""),2)),"""")"),"Nebus.")</f>
        <v>Nebus.</v>
      </c>
      <c r="J180" s="5" t="str">
        <f>IFERROR(__xludf.DUMMYFUNCTION("IFERROR(TRIM(INDEX(SPLIT(E180,"" + ""),3)),"""")"),"ZeroO")</f>
        <v>ZeroO</v>
      </c>
      <c r="K180" s="3">
        <f>IFERROR(__xludf.DUMMYFUNCTION("IFERROR(IF(H180="""",0,INDEX(FILTER($Q$2:Q179,$C$2:C179=H180,$G$2:G179=G180),ROWS(FILTER($Q$2:Q179,$C$2:C179=H180,$G$2:G179=G180)),1)),1500)"),1494.0)</f>
        <v>1494</v>
      </c>
      <c r="L180" s="3">
        <f>IFERROR(__xludf.DUMMYFUNCTION("IFERROR(IF(I180="""",0,INDEX(FILTER($Q$2:Q179,$C$2:C179=I180,$G$2:G179=G180),ROWS(FILTER($Q$2:Q179,$C$2:C179=I180,$G$2:G179=G180)),1)),1500)"),1568.0)</f>
        <v>1568</v>
      </c>
      <c r="M180" s="3">
        <f>IFERROR(__xludf.DUMMYFUNCTION("IFERROR(IF(J180="""",0,INDEX(FILTER($Q$2:Q179,$C$2:C179=J180,$G$2:G179=G180),ROWS(FILTER($Q$2:Q179,$C$2:C179=J180,$G$2:G179=G180)),1)),1500)"),1568.0)</f>
        <v>1568</v>
      </c>
      <c r="N180" s="3">
        <f>IFERROR(__xludf.DUMMYFUNCTION("IFERROR(INDEX(FILTER($Q$2:Q179,$C$2:C179=C180,$G$2:G179=G180),ROWS(FILTER($Q$2:Q179,$C$2:C179=C180,$G$2:G179=G180)),1),1500)"),1496.0)</f>
        <v>1496</v>
      </c>
      <c r="O180" s="3">
        <f t="shared" si="3"/>
        <v>1543.333333</v>
      </c>
      <c r="P180" s="9">
        <f t="shared" si="1"/>
        <v>18</v>
      </c>
      <c r="Q180" s="5">
        <f t="shared" si="2"/>
        <v>1514</v>
      </c>
    </row>
    <row r="181">
      <c r="A181" s="3" t="str">
        <f>IFERROR(__xludf.DUMMYFUNCTION("""COMPUTED_VALUE"""),"1AAEwDZjHW33GSeCX2aW4mJ-lSAkFip8e")</f>
        <v>1AAEwDZjHW33GSeCX2aW4mJ-lSAkFip8e</v>
      </c>
      <c r="B181" s="13">
        <f>IFERROR(__xludf.DUMMYFUNCTION("""COMPUTED_VALUE"""),45976.0)</f>
        <v>45976</v>
      </c>
      <c r="C181" s="3" t="str">
        <f>IFERROR(__xludf.DUMMYFUNCTION("""COMPUTED_VALUE"""),"Kesny")</f>
        <v>Kesny</v>
      </c>
      <c r="D181" s="3" t="str">
        <f>IFERROR(__xludf.DUMMYFUNCTION("""COMPUTED_VALUE"""),"Kesny + Nebus. + ZeroO")</f>
        <v>Kesny + Nebus. + ZeroO</v>
      </c>
      <c r="E181" s="3" t="str">
        <f>IFERROR(__xludf.DUMMYFUNCTION("""COMPUTED_VALUE"""),"Anbuu + Aferdita + Malena")</f>
        <v>Anbuu + Aferdita + Malena</v>
      </c>
      <c r="F181" s="3" t="str">
        <f>IFERROR(__xludf.DUMMYFUNCTION("""COMPUTED_VALUE"""),"loss")</f>
        <v>loss</v>
      </c>
      <c r="G181" s="3" t="str">
        <f>IFERROR(__xludf.DUMMYFUNCTION("""COMPUTED_VALUE"""),"3v3")</f>
        <v>3v3</v>
      </c>
      <c r="H181" s="3" t="str">
        <f>IFERROR(__xludf.DUMMYFUNCTION("IFERROR(TRIM(INDEX(SPLIT(E181,"" + ""),1)),"""")"),"Anbuu")</f>
        <v>Anbuu</v>
      </c>
      <c r="I181" s="3" t="str">
        <f>IFERROR(__xludf.DUMMYFUNCTION("IFERROR(TRIM(INDEX(SPLIT(E181,"" + ""),2)),"""")"),"Aferdita")</f>
        <v>Aferdita</v>
      </c>
      <c r="J181" s="5" t="str">
        <f>IFERROR(__xludf.DUMMYFUNCTION("IFERROR(TRIM(INDEX(SPLIT(E181,"" + ""),3)),"""")"),"Malena")</f>
        <v>Malena</v>
      </c>
      <c r="K181" s="3">
        <f>IFERROR(__xludf.DUMMYFUNCTION("IFERROR(IF(H181="""",0,INDEX(FILTER($Q$2:Q180,$C$2:C180=H181,$G$2:G180=G181),ROWS(FILTER($Q$2:Q180,$C$2:C180=H181,$G$2:G180=G181)),1)),1500)"),1518.0)</f>
        <v>1518</v>
      </c>
      <c r="L181" s="3">
        <f>IFERROR(__xludf.DUMMYFUNCTION("IFERROR(IF(I181="""",0,INDEX(FILTER($Q$2:Q180,$C$2:C180=I181,$G$2:G180=G181),ROWS(FILTER($Q$2:Q180,$C$2:C180=I181,$G$2:G180=G181)),1)),1500)"),1514.0)</f>
        <v>1514</v>
      </c>
      <c r="M181" s="3">
        <f>IFERROR(__xludf.DUMMYFUNCTION("IFERROR(IF(J181="""",0,INDEX(FILTER($Q$2:Q180,$C$2:C180=J181,$G$2:G180=G181),ROWS(FILTER($Q$2:Q180,$C$2:C180=J181,$G$2:G180=G181)),1)),1500)"),1458.0)</f>
        <v>1458</v>
      </c>
      <c r="N181" s="3">
        <f>IFERROR(__xludf.DUMMYFUNCTION("IFERROR(INDEX(FILTER($Q$2:Q180,$C$2:C180=C181,$G$2:G180=G181),ROWS(FILTER($Q$2:Q180,$C$2:C180=C181,$G$2:G180=G181)),1),1500)"),1494.0)</f>
        <v>1494</v>
      </c>
      <c r="O181" s="3">
        <f t="shared" si="3"/>
        <v>1496.666667</v>
      </c>
      <c r="P181" s="9">
        <f t="shared" si="1"/>
        <v>-16</v>
      </c>
      <c r="Q181" s="5">
        <f t="shared" si="2"/>
        <v>1478</v>
      </c>
    </row>
    <row r="182">
      <c r="A182" s="3" t="str">
        <f>IFERROR(__xludf.DUMMYFUNCTION("""COMPUTED_VALUE"""),"1AAEwDZjHW33GSeCX2aW4mJ-lSAkFip8e")</f>
        <v>1AAEwDZjHW33GSeCX2aW4mJ-lSAkFip8e</v>
      </c>
      <c r="B182" s="13">
        <f>IFERROR(__xludf.DUMMYFUNCTION("""COMPUTED_VALUE"""),45976.0)</f>
        <v>45976</v>
      </c>
      <c r="C182" s="3" t="str">
        <f>IFERROR(__xludf.DUMMYFUNCTION("""COMPUTED_VALUE"""),"ZeroO")</f>
        <v>ZeroO</v>
      </c>
      <c r="D182" s="3" t="str">
        <f>IFERROR(__xludf.DUMMYFUNCTION("""COMPUTED_VALUE"""),"Kesny + Nebus. + ZeroO")</f>
        <v>Kesny + Nebus. + ZeroO</v>
      </c>
      <c r="E182" s="3" t="str">
        <f>IFERROR(__xludf.DUMMYFUNCTION("""COMPUTED_VALUE"""),"Anbuu + Aferdita + Malena")</f>
        <v>Anbuu + Aferdita + Malena</v>
      </c>
      <c r="F182" s="3" t="str">
        <f>IFERROR(__xludf.DUMMYFUNCTION("""COMPUTED_VALUE"""),"loss")</f>
        <v>loss</v>
      </c>
      <c r="G182" s="3" t="str">
        <f>IFERROR(__xludf.DUMMYFUNCTION("""COMPUTED_VALUE"""),"3v3")</f>
        <v>3v3</v>
      </c>
      <c r="H182" s="3" t="str">
        <f>IFERROR(__xludf.DUMMYFUNCTION("IFERROR(TRIM(INDEX(SPLIT(E182,"" + ""),1)),"""")"),"Anbuu")</f>
        <v>Anbuu</v>
      </c>
      <c r="I182" s="3" t="str">
        <f>IFERROR(__xludf.DUMMYFUNCTION("IFERROR(TRIM(INDEX(SPLIT(E182,"" + ""),2)),"""")"),"Aferdita")</f>
        <v>Aferdita</v>
      </c>
      <c r="J182" s="5" t="str">
        <f>IFERROR(__xludf.DUMMYFUNCTION("IFERROR(TRIM(INDEX(SPLIT(E182,"" + ""),3)),"""")"),"Malena")</f>
        <v>Malena</v>
      </c>
      <c r="K182" s="3">
        <f>IFERROR(__xludf.DUMMYFUNCTION("IFERROR(IF(H182="""",0,INDEX(FILTER($Q$2:Q181,$C$2:C181=H182,$G$2:G181=G182),ROWS(FILTER($Q$2:Q181,$C$2:C181=H182,$G$2:G181=G182)),1)),1500)"),1518.0)</f>
        <v>1518</v>
      </c>
      <c r="L182" s="3">
        <f>IFERROR(__xludf.DUMMYFUNCTION("IFERROR(IF(I182="""",0,INDEX(FILTER($Q$2:Q181,$C$2:C181=I182,$G$2:G181=G182),ROWS(FILTER($Q$2:Q181,$C$2:C181=I182,$G$2:G181=G182)),1)),1500)"),1514.0)</f>
        <v>1514</v>
      </c>
      <c r="M182" s="3">
        <f>IFERROR(__xludf.DUMMYFUNCTION("IFERROR(IF(J182="""",0,INDEX(FILTER($Q$2:Q181,$C$2:C181=J182,$G$2:G181=G182),ROWS(FILTER($Q$2:Q181,$C$2:C181=J182,$G$2:G181=G182)),1)),1500)"),1458.0)</f>
        <v>1458</v>
      </c>
      <c r="N182" s="3">
        <f>IFERROR(__xludf.DUMMYFUNCTION("IFERROR(INDEX(FILTER($Q$2:Q181,$C$2:C181=C182,$G$2:G181=G182),ROWS(FILTER($Q$2:Q181,$C$2:C181=C182,$G$2:G181=G182)),1),1500)"),1568.0)</f>
        <v>1568</v>
      </c>
      <c r="O182" s="3">
        <f t="shared" si="3"/>
        <v>1496.666667</v>
      </c>
      <c r="P182" s="9">
        <f t="shared" si="1"/>
        <v>-19</v>
      </c>
      <c r="Q182" s="5">
        <f t="shared" si="2"/>
        <v>1549</v>
      </c>
    </row>
    <row r="183">
      <c r="A183" s="3" t="str">
        <f>IFERROR(__xludf.DUMMYFUNCTION("""COMPUTED_VALUE"""),"1AAEwDZjHW33GSeCX2aW4mJ-lSAkFip8e")</f>
        <v>1AAEwDZjHW33GSeCX2aW4mJ-lSAkFip8e</v>
      </c>
      <c r="B183" s="13">
        <f>IFERROR(__xludf.DUMMYFUNCTION("""COMPUTED_VALUE"""),45976.0)</f>
        <v>45976</v>
      </c>
      <c r="C183" s="3" t="str">
        <f>IFERROR(__xludf.DUMMYFUNCTION("""COMPUTED_VALUE"""),"Nebus.")</f>
        <v>Nebus.</v>
      </c>
      <c r="D183" s="3" t="str">
        <f>IFERROR(__xludf.DUMMYFUNCTION("""COMPUTED_VALUE"""),"Kesny + Nebus. + ZeroO")</f>
        <v>Kesny + Nebus. + ZeroO</v>
      </c>
      <c r="E183" s="3" t="str">
        <f>IFERROR(__xludf.DUMMYFUNCTION("""COMPUTED_VALUE"""),"Anbuu + Aferdita + Malena")</f>
        <v>Anbuu + Aferdita + Malena</v>
      </c>
      <c r="F183" s="3" t="str">
        <f>IFERROR(__xludf.DUMMYFUNCTION("""COMPUTED_VALUE"""),"loss")</f>
        <v>loss</v>
      </c>
      <c r="G183" s="3" t="str">
        <f>IFERROR(__xludf.DUMMYFUNCTION("""COMPUTED_VALUE"""),"3v3")</f>
        <v>3v3</v>
      </c>
      <c r="H183" s="3" t="str">
        <f>IFERROR(__xludf.DUMMYFUNCTION("IFERROR(TRIM(INDEX(SPLIT(E183,"" + ""),1)),"""")"),"Anbuu")</f>
        <v>Anbuu</v>
      </c>
      <c r="I183" s="3" t="str">
        <f>IFERROR(__xludf.DUMMYFUNCTION("IFERROR(TRIM(INDEX(SPLIT(E183,"" + ""),2)),"""")"),"Aferdita")</f>
        <v>Aferdita</v>
      </c>
      <c r="J183" s="5" t="str">
        <f>IFERROR(__xludf.DUMMYFUNCTION("IFERROR(TRIM(INDEX(SPLIT(E183,"" + ""),3)),"""")"),"Malena")</f>
        <v>Malena</v>
      </c>
      <c r="K183" s="3">
        <f>IFERROR(__xludf.DUMMYFUNCTION("IFERROR(IF(H183="""",0,INDEX(FILTER($Q$2:Q182,$C$2:C182=H183,$G$2:G182=G183),ROWS(FILTER($Q$2:Q182,$C$2:C182=H183,$G$2:G182=G183)),1)),1500)"),1518.0)</f>
        <v>1518</v>
      </c>
      <c r="L183" s="3">
        <f>IFERROR(__xludf.DUMMYFUNCTION("IFERROR(IF(I183="""",0,INDEX(FILTER($Q$2:Q182,$C$2:C182=I183,$G$2:G182=G183),ROWS(FILTER($Q$2:Q182,$C$2:C182=I183,$G$2:G182=G183)),1)),1500)"),1514.0)</f>
        <v>1514</v>
      </c>
      <c r="M183" s="3">
        <f>IFERROR(__xludf.DUMMYFUNCTION("IFERROR(IF(J183="""",0,INDEX(FILTER($Q$2:Q182,$C$2:C182=J183,$G$2:G182=G183),ROWS(FILTER($Q$2:Q182,$C$2:C182=J183,$G$2:G182=G183)),1)),1500)"),1458.0)</f>
        <v>1458</v>
      </c>
      <c r="N183" s="3">
        <f>IFERROR(__xludf.DUMMYFUNCTION("IFERROR(INDEX(FILTER($Q$2:Q182,$C$2:C182=C183,$G$2:G182=G183),ROWS(FILTER($Q$2:Q182,$C$2:C182=C183,$G$2:G182=G183)),1),1500)"),1568.0)</f>
        <v>1568</v>
      </c>
      <c r="O183" s="3">
        <f t="shared" si="3"/>
        <v>1496.666667</v>
      </c>
      <c r="P183" s="9">
        <f t="shared" si="1"/>
        <v>-19</v>
      </c>
      <c r="Q183" s="5">
        <f t="shared" si="2"/>
        <v>1549</v>
      </c>
    </row>
    <row r="184">
      <c r="A184" s="3" t="str">
        <f>IFERROR(__xludf.DUMMYFUNCTION("""COMPUTED_VALUE"""),"1xzHEm99uI1T7qAuyex9hyfFKf9mqavU4")</f>
        <v>1xzHEm99uI1T7qAuyex9hyfFKf9mqavU4</v>
      </c>
      <c r="B184" s="13">
        <f>IFERROR(__xludf.DUMMYFUNCTION("""COMPUTED_VALUE"""),45976.0)</f>
        <v>45976</v>
      </c>
      <c r="C184" s="3" t="str">
        <f>IFERROR(__xludf.DUMMYFUNCTION("""COMPUTED_VALUE"""),"Malena")</f>
        <v>Malena</v>
      </c>
      <c r="D184" s="3" t="str">
        <f>IFERROR(__xludf.DUMMYFUNCTION("""COMPUTED_VALUE"""),"Malena + Nebus. + Tess1509")</f>
        <v>Malena + Nebus. + Tess1509</v>
      </c>
      <c r="E184" s="3" t="str">
        <f>IFERROR(__xludf.DUMMYFUNCTION("""COMPUTED_VALUE"""),"Aferdita + Kesny + ZeroO")</f>
        <v>Aferdita + Kesny + ZeroO</v>
      </c>
      <c r="F184" s="3" t="str">
        <f>IFERROR(__xludf.DUMMYFUNCTION("""COMPUTED_VALUE"""),"win")</f>
        <v>win</v>
      </c>
      <c r="G184" s="3" t="str">
        <f>IFERROR(__xludf.DUMMYFUNCTION("""COMPUTED_VALUE"""),"3v3")</f>
        <v>3v3</v>
      </c>
      <c r="H184" s="3" t="str">
        <f>IFERROR(__xludf.DUMMYFUNCTION("IFERROR(TRIM(INDEX(SPLIT(E184,"" + ""),1)),"""")"),"Aferdita")</f>
        <v>Aferdita</v>
      </c>
      <c r="I184" s="3" t="str">
        <f>IFERROR(__xludf.DUMMYFUNCTION("IFERROR(TRIM(INDEX(SPLIT(E184,"" + ""),2)),"""")"),"Kesny")</f>
        <v>Kesny</v>
      </c>
      <c r="J184" s="5" t="str">
        <f>IFERROR(__xludf.DUMMYFUNCTION("IFERROR(TRIM(INDEX(SPLIT(E184,"" + ""),3)),"""")"),"ZeroO")</f>
        <v>ZeroO</v>
      </c>
      <c r="K184" s="3">
        <f>IFERROR(__xludf.DUMMYFUNCTION("IFERROR(IF(H184="""",0,INDEX(FILTER($Q$2:Q183,$C$2:C183=H184,$G$2:G183=G184),ROWS(FILTER($Q$2:Q183,$C$2:C183=H184,$G$2:G183=G184)),1)),1500)"),1514.0)</f>
        <v>1514</v>
      </c>
      <c r="L184" s="3">
        <f>IFERROR(__xludf.DUMMYFUNCTION("IFERROR(IF(I184="""",0,INDEX(FILTER($Q$2:Q183,$C$2:C183=I184,$G$2:G183=G184),ROWS(FILTER($Q$2:Q183,$C$2:C183=I184,$G$2:G183=G184)),1)),1500)"),1478.0)</f>
        <v>1478</v>
      </c>
      <c r="M184" s="3">
        <f>IFERROR(__xludf.DUMMYFUNCTION("IFERROR(IF(J184="""",0,INDEX(FILTER($Q$2:Q183,$C$2:C183=J184,$G$2:G183=G184),ROWS(FILTER($Q$2:Q183,$C$2:C183=J184,$G$2:G183=G184)),1)),1500)"),1549.0)</f>
        <v>1549</v>
      </c>
      <c r="N184" s="3">
        <f>IFERROR(__xludf.DUMMYFUNCTION("IFERROR(INDEX(FILTER($Q$2:Q183,$C$2:C183=C184,$G$2:G183=G184),ROWS(FILTER($Q$2:Q183,$C$2:C183=C184,$G$2:G183=G184)),1),1500)"),1458.0)</f>
        <v>1458</v>
      </c>
      <c r="O184" s="3">
        <f t="shared" si="3"/>
        <v>1513.666667</v>
      </c>
      <c r="P184" s="9">
        <f t="shared" si="1"/>
        <v>19</v>
      </c>
      <c r="Q184" s="5">
        <f t="shared" si="2"/>
        <v>1477</v>
      </c>
    </row>
    <row r="185">
      <c r="A185" s="3" t="str">
        <f>IFERROR(__xludf.DUMMYFUNCTION("""COMPUTED_VALUE"""),"1xzHEm99uI1T7qAuyex9hyfFKf9mqavU4")</f>
        <v>1xzHEm99uI1T7qAuyex9hyfFKf9mqavU4</v>
      </c>
      <c r="B185" s="13">
        <f>IFERROR(__xludf.DUMMYFUNCTION("""COMPUTED_VALUE"""),45976.0)</f>
        <v>45976</v>
      </c>
      <c r="C185" s="3" t="str">
        <f>IFERROR(__xludf.DUMMYFUNCTION("""COMPUTED_VALUE"""),"Nebus.")</f>
        <v>Nebus.</v>
      </c>
      <c r="D185" s="3" t="str">
        <f>IFERROR(__xludf.DUMMYFUNCTION("""COMPUTED_VALUE"""),"Malena + Nebus. + Tess1509")</f>
        <v>Malena + Nebus. + Tess1509</v>
      </c>
      <c r="E185" s="3" t="str">
        <f>IFERROR(__xludf.DUMMYFUNCTION("""COMPUTED_VALUE"""),"Aferdita + Kesny + ZeroO")</f>
        <v>Aferdita + Kesny + ZeroO</v>
      </c>
      <c r="F185" s="3" t="str">
        <f>IFERROR(__xludf.DUMMYFUNCTION("""COMPUTED_VALUE"""),"win")</f>
        <v>win</v>
      </c>
      <c r="G185" s="3" t="str">
        <f>IFERROR(__xludf.DUMMYFUNCTION("""COMPUTED_VALUE"""),"3v3")</f>
        <v>3v3</v>
      </c>
      <c r="H185" s="3" t="str">
        <f>IFERROR(__xludf.DUMMYFUNCTION("IFERROR(TRIM(INDEX(SPLIT(E185,"" + ""),1)),"""")"),"Aferdita")</f>
        <v>Aferdita</v>
      </c>
      <c r="I185" s="3" t="str">
        <f>IFERROR(__xludf.DUMMYFUNCTION("IFERROR(TRIM(INDEX(SPLIT(E185,"" + ""),2)),"""")"),"Kesny")</f>
        <v>Kesny</v>
      </c>
      <c r="J185" s="5" t="str">
        <f>IFERROR(__xludf.DUMMYFUNCTION("IFERROR(TRIM(INDEX(SPLIT(E185,"" + ""),3)),"""")"),"ZeroO")</f>
        <v>ZeroO</v>
      </c>
      <c r="K185" s="3">
        <f>IFERROR(__xludf.DUMMYFUNCTION("IFERROR(IF(H185="""",0,INDEX(FILTER($Q$2:Q184,$C$2:C184=H185,$G$2:G184=G185),ROWS(FILTER($Q$2:Q184,$C$2:C184=H185,$G$2:G184=G185)),1)),1500)"),1514.0)</f>
        <v>1514</v>
      </c>
      <c r="L185" s="3">
        <f>IFERROR(__xludf.DUMMYFUNCTION("IFERROR(IF(I185="""",0,INDEX(FILTER($Q$2:Q184,$C$2:C184=I185,$G$2:G184=G185),ROWS(FILTER($Q$2:Q184,$C$2:C184=I185,$G$2:G184=G185)),1)),1500)"),1478.0)</f>
        <v>1478</v>
      </c>
      <c r="M185" s="3">
        <f>IFERROR(__xludf.DUMMYFUNCTION("IFERROR(IF(J185="""",0,INDEX(FILTER($Q$2:Q184,$C$2:C184=J185,$G$2:G184=G185),ROWS(FILTER($Q$2:Q184,$C$2:C184=J185,$G$2:G184=G185)),1)),1500)"),1549.0)</f>
        <v>1549</v>
      </c>
      <c r="N185" s="3">
        <f>IFERROR(__xludf.DUMMYFUNCTION("IFERROR(INDEX(FILTER($Q$2:Q184,$C$2:C184=C185,$G$2:G184=G185),ROWS(FILTER($Q$2:Q184,$C$2:C184=C185,$G$2:G184=G185)),1),1500)"),1549.0)</f>
        <v>1549</v>
      </c>
      <c r="O185" s="3">
        <f t="shared" si="3"/>
        <v>1513.666667</v>
      </c>
      <c r="P185" s="9">
        <f t="shared" si="1"/>
        <v>14</v>
      </c>
      <c r="Q185" s="5">
        <f t="shared" si="2"/>
        <v>1563</v>
      </c>
    </row>
    <row r="186">
      <c r="A186" s="3" t="str">
        <f>IFERROR(__xludf.DUMMYFUNCTION("""COMPUTED_VALUE"""),"1xzHEm99uI1T7qAuyex9hyfFKf9mqavU4")</f>
        <v>1xzHEm99uI1T7qAuyex9hyfFKf9mqavU4</v>
      </c>
      <c r="B186" s="13">
        <f>IFERROR(__xludf.DUMMYFUNCTION("""COMPUTED_VALUE"""),45976.0)</f>
        <v>45976</v>
      </c>
      <c r="C186" s="3" t="str">
        <f>IFERROR(__xludf.DUMMYFUNCTION("""COMPUTED_VALUE"""),"Tess1509")</f>
        <v>Tess1509</v>
      </c>
      <c r="D186" s="3" t="str">
        <f>IFERROR(__xludf.DUMMYFUNCTION("""COMPUTED_VALUE"""),"Malena + Nebus. + Tess1509")</f>
        <v>Malena + Nebus. + Tess1509</v>
      </c>
      <c r="E186" s="3" t="str">
        <f>IFERROR(__xludf.DUMMYFUNCTION("""COMPUTED_VALUE"""),"Aferdita + Kesny + ZeroO")</f>
        <v>Aferdita + Kesny + ZeroO</v>
      </c>
      <c r="F186" s="3" t="str">
        <f>IFERROR(__xludf.DUMMYFUNCTION("""COMPUTED_VALUE"""),"win")</f>
        <v>win</v>
      </c>
      <c r="G186" s="3" t="str">
        <f>IFERROR(__xludf.DUMMYFUNCTION("""COMPUTED_VALUE"""),"3v3")</f>
        <v>3v3</v>
      </c>
      <c r="H186" s="3" t="str">
        <f>IFERROR(__xludf.DUMMYFUNCTION("IFERROR(TRIM(INDEX(SPLIT(E186,"" + ""),1)),"""")"),"Aferdita")</f>
        <v>Aferdita</v>
      </c>
      <c r="I186" s="3" t="str">
        <f>IFERROR(__xludf.DUMMYFUNCTION("IFERROR(TRIM(INDEX(SPLIT(E186,"" + ""),2)),"""")"),"Kesny")</f>
        <v>Kesny</v>
      </c>
      <c r="J186" s="5" t="str">
        <f>IFERROR(__xludf.DUMMYFUNCTION("IFERROR(TRIM(INDEX(SPLIT(E186,"" + ""),3)),"""")"),"ZeroO")</f>
        <v>ZeroO</v>
      </c>
      <c r="K186" s="3">
        <f>IFERROR(__xludf.DUMMYFUNCTION("IFERROR(IF(H186="""",0,INDEX(FILTER($Q$2:Q185,$C$2:C185=H186,$G$2:G185=G186),ROWS(FILTER($Q$2:Q185,$C$2:C185=H186,$G$2:G185=G186)),1)),1500)"),1514.0)</f>
        <v>1514</v>
      </c>
      <c r="L186" s="3">
        <f>IFERROR(__xludf.DUMMYFUNCTION("IFERROR(IF(I186="""",0,INDEX(FILTER($Q$2:Q185,$C$2:C185=I186,$G$2:G185=G186),ROWS(FILTER($Q$2:Q185,$C$2:C185=I186,$G$2:G185=G186)),1)),1500)"),1478.0)</f>
        <v>1478</v>
      </c>
      <c r="M186" s="3">
        <f>IFERROR(__xludf.DUMMYFUNCTION("IFERROR(IF(J186="""",0,INDEX(FILTER($Q$2:Q185,$C$2:C185=J186,$G$2:G185=G186),ROWS(FILTER($Q$2:Q185,$C$2:C185=J186,$G$2:G185=G186)),1)),1500)"),1549.0)</f>
        <v>1549</v>
      </c>
      <c r="N186" s="3">
        <f>IFERROR(__xludf.DUMMYFUNCTION("IFERROR(INDEX(FILTER($Q$2:Q185,$C$2:C185=C186,$G$2:G185=G186),ROWS(FILTER($Q$2:Q185,$C$2:C185=C186,$G$2:G185=G186)),1),1500)"),1425.0)</f>
        <v>1425</v>
      </c>
      <c r="O186" s="3">
        <f t="shared" si="3"/>
        <v>1513.666667</v>
      </c>
      <c r="P186" s="9">
        <f t="shared" si="1"/>
        <v>20</v>
      </c>
      <c r="Q186" s="5">
        <f t="shared" si="2"/>
        <v>1445</v>
      </c>
    </row>
    <row r="187">
      <c r="A187" s="3" t="str">
        <f>IFERROR(__xludf.DUMMYFUNCTION("""COMPUTED_VALUE"""),"1xzHEm99uI1T7qAuyex9hyfFKf9mqavU4")</f>
        <v>1xzHEm99uI1T7qAuyex9hyfFKf9mqavU4</v>
      </c>
      <c r="B187" s="13">
        <f>IFERROR(__xludf.DUMMYFUNCTION("""COMPUTED_VALUE"""),45976.0)</f>
        <v>45976</v>
      </c>
      <c r="C187" s="3" t="str">
        <f>IFERROR(__xludf.DUMMYFUNCTION("""COMPUTED_VALUE"""),"ZeroO")</f>
        <v>ZeroO</v>
      </c>
      <c r="D187" s="3" t="str">
        <f>IFERROR(__xludf.DUMMYFUNCTION("""COMPUTED_VALUE"""),"Aferdita + Kesny + ZeroO")</f>
        <v>Aferdita + Kesny + ZeroO</v>
      </c>
      <c r="E187" s="3" t="str">
        <f>IFERROR(__xludf.DUMMYFUNCTION("""COMPUTED_VALUE"""),"Malena + Nebus. + Tess1509")</f>
        <v>Malena + Nebus. + Tess1509</v>
      </c>
      <c r="F187" s="3" t="str">
        <f>IFERROR(__xludf.DUMMYFUNCTION("""COMPUTED_VALUE"""),"loss")</f>
        <v>loss</v>
      </c>
      <c r="G187" s="3" t="str">
        <f>IFERROR(__xludf.DUMMYFUNCTION("""COMPUTED_VALUE"""),"3v3")</f>
        <v>3v3</v>
      </c>
      <c r="H187" s="3" t="str">
        <f>IFERROR(__xludf.DUMMYFUNCTION("IFERROR(TRIM(INDEX(SPLIT(E187,"" + ""),1)),"""")"),"Malena")</f>
        <v>Malena</v>
      </c>
      <c r="I187" s="3" t="str">
        <f>IFERROR(__xludf.DUMMYFUNCTION("IFERROR(TRIM(INDEX(SPLIT(E187,"" + ""),2)),"""")"),"Nebus.")</f>
        <v>Nebus.</v>
      </c>
      <c r="J187" s="5" t="str">
        <f>IFERROR(__xludf.DUMMYFUNCTION("IFERROR(TRIM(INDEX(SPLIT(E187,"" + ""),3)),"""")"),"Tess1509")</f>
        <v>Tess1509</v>
      </c>
      <c r="K187" s="3">
        <f>IFERROR(__xludf.DUMMYFUNCTION("IFERROR(IF(H187="""",0,INDEX(FILTER($Q$2:Q186,$C$2:C186=H187,$G$2:G186=G187),ROWS(FILTER($Q$2:Q186,$C$2:C186=H187,$G$2:G186=G187)),1)),1500)"),1477.0)</f>
        <v>1477</v>
      </c>
      <c r="L187" s="3">
        <f>IFERROR(__xludf.DUMMYFUNCTION("IFERROR(IF(I187="""",0,INDEX(FILTER($Q$2:Q186,$C$2:C186=I187,$G$2:G186=G187),ROWS(FILTER($Q$2:Q186,$C$2:C186=I187,$G$2:G186=G187)),1)),1500)"),1563.0)</f>
        <v>1563</v>
      </c>
      <c r="M187" s="3">
        <f>IFERROR(__xludf.DUMMYFUNCTION("IFERROR(IF(J187="""",0,INDEX(FILTER($Q$2:Q186,$C$2:C186=J187,$G$2:G186=G187),ROWS(FILTER($Q$2:Q186,$C$2:C186=J187,$G$2:G186=G187)),1)),1500)"),1445.0)</f>
        <v>1445</v>
      </c>
      <c r="N187" s="3">
        <f>IFERROR(__xludf.DUMMYFUNCTION("IFERROR(INDEX(FILTER($Q$2:Q186,$C$2:C186=C187,$G$2:G186=G187),ROWS(FILTER($Q$2:Q186,$C$2:C186=C187,$G$2:G186=G187)),1),1500)"),1549.0)</f>
        <v>1549</v>
      </c>
      <c r="O187" s="3">
        <f t="shared" si="3"/>
        <v>1495</v>
      </c>
      <c r="P187" s="9">
        <f t="shared" si="1"/>
        <v>-18</v>
      </c>
      <c r="Q187" s="5">
        <f t="shared" si="2"/>
        <v>1531</v>
      </c>
    </row>
    <row r="188">
      <c r="A188" s="3" t="str">
        <f>IFERROR(__xludf.DUMMYFUNCTION("""COMPUTED_VALUE"""),"1xzHEm99uI1T7qAuyex9hyfFKf9mqavU4")</f>
        <v>1xzHEm99uI1T7qAuyex9hyfFKf9mqavU4</v>
      </c>
      <c r="B188" s="13">
        <f>IFERROR(__xludf.DUMMYFUNCTION("""COMPUTED_VALUE"""),45976.0)</f>
        <v>45976</v>
      </c>
      <c r="C188" s="3" t="str">
        <f>IFERROR(__xludf.DUMMYFUNCTION("""COMPUTED_VALUE"""),"Kesny")</f>
        <v>Kesny</v>
      </c>
      <c r="D188" s="3" t="str">
        <f>IFERROR(__xludf.DUMMYFUNCTION("""COMPUTED_VALUE"""),"Aferdita + Kesny + ZeroO")</f>
        <v>Aferdita + Kesny + ZeroO</v>
      </c>
      <c r="E188" s="3" t="str">
        <f>IFERROR(__xludf.DUMMYFUNCTION("""COMPUTED_VALUE"""),"Malena + Nebus. + Tess1509")</f>
        <v>Malena + Nebus. + Tess1509</v>
      </c>
      <c r="F188" s="3" t="str">
        <f>IFERROR(__xludf.DUMMYFUNCTION("""COMPUTED_VALUE"""),"loss")</f>
        <v>loss</v>
      </c>
      <c r="G188" s="3" t="str">
        <f>IFERROR(__xludf.DUMMYFUNCTION("""COMPUTED_VALUE"""),"3v3")</f>
        <v>3v3</v>
      </c>
      <c r="H188" s="3" t="str">
        <f>IFERROR(__xludf.DUMMYFUNCTION("IFERROR(TRIM(INDEX(SPLIT(E188,"" + ""),1)),"""")"),"Malena")</f>
        <v>Malena</v>
      </c>
      <c r="I188" s="3" t="str">
        <f>IFERROR(__xludf.DUMMYFUNCTION("IFERROR(TRIM(INDEX(SPLIT(E188,"" + ""),2)),"""")"),"Nebus.")</f>
        <v>Nebus.</v>
      </c>
      <c r="J188" s="5" t="str">
        <f>IFERROR(__xludf.DUMMYFUNCTION("IFERROR(TRIM(INDEX(SPLIT(E188,"" + ""),3)),"""")"),"Tess1509")</f>
        <v>Tess1509</v>
      </c>
      <c r="K188" s="3">
        <f>IFERROR(__xludf.DUMMYFUNCTION("IFERROR(IF(H188="""",0,INDEX(FILTER($Q$2:Q187,$C$2:C187=H188,$G$2:G187=G188),ROWS(FILTER($Q$2:Q187,$C$2:C187=H188,$G$2:G187=G188)),1)),1500)"),1477.0)</f>
        <v>1477</v>
      </c>
      <c r="L188" s="3">
        <f>IFERROR(__xludf.DUMMYFUNCTION("IFERROR(IF(I188="""",0,INDEX(FILTER($Q$2:Q187,$C$2:C187=I188,$G$2:G187=G188),ROWS(FILTER($Q$2:Q187,$C$2:C187=I188,$G$2:G187=G188)),1)),1500)"),1563.0)</f>
        <v>1563</v>
      </c>
      <c r="M188" s="3">
        <f>IFERROR(__xludf.DUMMYFUNCTION("IFERROR(IF(J188="""",0,INDEX(FILTER($Q$2:Q187,$C$2:C187=J188,$G$2:G187=G188),ROWS(FILTER($Q$2:Q187,$C$2:C187=J188,$G$2:G187=G188)),1)),1500)"),1445.0)</f>
        <v>1445</v>
      </c>
      <c r="N188" s="3">
        <f>IFERROR(__xludf.DUMMYFUNCTION("IFERROR(INDEX(FILTER($Q$2:Q187,$C$2:C187=C188,$G$2:G187=G188),ROWS(FILTER($Q$2:Q187,$C$2:C187=C188,$G$2:G187=G188)),1),1500)"),1478.0)</f>
        <v>1478</v>
      </c>
      <c r="O188" s="3">
        <f t="shared" si="3"/>
        <v>1495</v>
      </c>
      <c r="P188" s="9">
        <f t="shared" si="1"/>
        <v>-15</v>
      </c>
      <c r="Q188" s="5">
        <f t="shared" si="2"/>
        <v>1463</v>
      </c>
    </row>
    <row r="189">
      <c r="A189" s="3" t="str">
        <f>IFERROR(__xludf.DUMMYFUNCTION("""COMPUTED_VALUE"""),"1xzHEm99uI1T7qAuyex9hyfFKf9mqavU4")</f>
        <v>1xzHEm99uI1T7qAuyex9hyfFKf9mqavU4</v>
      </c>
      <c r="B189" s="13">
        <f>IFERROR(__xludf.DUMMYFUNCTION("""COMPUTED_VALUE"""),45976.0)</f>
        <v>45976</v>
      </c>
      <c r="C189" s="3" t="str">
        <f>IFERROR(__xludf.DUMMYFUNCTION("""COMPUTED_VALUE"""),"Aferdita")</f>
        <v>Aferdita</v>
      </c>
      <c r="D189" s="3" t="str">
        <f>IFERROR(__xludf.DUMMYFUNCTION("""COMPUTED_VALUE"""),"Aferdita + Kesny + ZeroO")</f>
        <v>Aferdita + Kesny + ZeroO</v>
      </c>
      <c r="E189" s="3" t="str">
        <f>IFERROR(__xludf.DUMMYFUNCTION("""COMPUTED_VALUE"""),"Malena + Nebus. + Tess1509")</f>
        <v>Malena + Nebus. + Tess1509</v>
      </c>
      <c r="F189" s="3" t="str">
        <f>IFERROR(__xludf.DUMMYFUNCTION("""COMPUTED_VALUE"""),"loss")</f>
        <v>loss</v>
      </c>
      <c r="G189" s="3" t="str">
        <f>IFERROR(__xludf.DUMMYFUNCTION("""COMPUTED_VALUE"""),"3v3")</f>
        <v>3v3</v>
      </c>
      <c r="H189" s="3" t="str">
        <f>IFERROR(__xludf.DUMMYFUNCTION("IFERROR(TRIM(INDEX(SPLIT(E189,"" + ""),1)),"""")"),"Malena")</f>
        <v>Malena</v>
      </c>
      <c r="I189" s="3" t="str">
        <f>IFERROR(__xludf.DUMMYFUNCTION("IFERROR(TRIM(INDEX(SPLIT(E189,"" + ""),2)),"""")"),"Nebus.")</f>
        <v>Nebus.</v>
      </c>
      <c r="J189" s="5" t="str">
        <f>IFERROR(__xludf.DUMMYFUNCTION("IFERROR(TRIM(INDEX(SPLIT(E189,"" + ""),3)),"""")"),"Tess1509")</f>
        <v>Tess1509</v>
      </c>
      <c r="K189" s="3">
        <f>IFERROR(__xludf.DUMMYFUNCTION("IFERROR(IF(H189="""",0,INDEX(FILTER($Q$2:Q188,$C$2:C188=H189,$G$2:G188=G189),ROWS(FILTER($Q$2:Q188,$C$2:C188=H189,$G$2:G188=G189)),1)),1500)"),1477.0)</f>
        <v>1477</v>
      </c>
      <c r="L189" s="3">
        <f>IFERROR(__xludf.DUMMYFUNCTION("IFERROR(IF(I189="""",0,INDEX(FILTER($Q$2:Q188,$C$2:C188=I189,$G$2:G188=G189),ROWS(FILTER($Q$2:Q188,$C$2:C188=I189,$G$2:G188=G189)),1)),1500)"),1563.0)</f>
        <v>1563</v>
      </c>
      <c r="M189" s="3">
        <f>IFERROR(__xludf.DUMMYFUNCTION("IFERROR(IF(J189="""",0,INDEX(FILTER($Q$2:Q188,$C$2:C188=J189,$G$2:G188=G189),ROWS(FILTER($Q$2:Q188,$C$2:C188=J189,$G$2:G188=G189)),1)),1500)"),1445.0)</f>
        <v>1445</v>
      </c>
      <c r="N189" s="3">
        <f>IFERROR(__xludf.DUMMYFUNCTION("IFERROR(INDEX(FILTER($Q$2:Q188,$C$2:C188=C189,$G$2:G188=G189),ROWS(FILTER($Q$2:Q188,$C$2:C188=C189,$G$2:G188=G189)),1),1500)"),1514.0)</f>
        <v>1514</v>
      </c>
      <c r="O189" s="3">
        <f t="shared" si="3"/>
        <v>1495</v>
      </c>
      <c r="P189" s="9">
        <f t="shared" si="1"/>
        <v>-17</v>
      </c>
      <c r="Q189" s="5">
        <f t="shared" si="2"/>
        <v>1497</v>
      </c>
    </row>
    <row r="190">
      <c r="A190" s="3" t="str">
        <f>IFERROR(__xludf.DUMMYFUNCTION("""COMPUTED_VALUE"""),"15wd-jcg3PJOtkENTemEUUB9fTlrV_B_7")</f>
        <v>15wd-jcg3PJOtkENTemEUUB9fTlrV_B_7</v>
      </c>
      <c r="B190" s="13">
        <f>IFERROR(__xludf.DUMMYFUNCTION("""COMPUTED_VALUE"""),45976.0)</f>
        <v>45976</v>
      </c>
      <c r="C190" s="3" t="str">
        <f>IFERROR(__xludf.DUMMYFUNCTION("""COMPUTED_VALUE"""),"Malena")</f>
        <v>Malena</v>
      </c>
      <c r="D190" s="3" t="str">
        <f>IFERROR(__xludf.DUMMYFUNCTION("""COMPUTED_VALUE"""),"Malena + Nebus. + Tess1509")</f>
        <v>Malena + Nebus. + Tess1509</v>
      </c>
      <c r="E190" s="3" t="str">
        <f>IFERROR(__xludf.DUMMYFUNCTION("""COMPUTED_VALUE"""),"Aferdita + Kesny + ZeroO")</f>
        <v>Aferdita + Kesny + ZeroO</v>
      </c>
      <c r="F190" s="3" t="str">
        <f>IFERROR(__xludf.DUMMYFUNCTION("""COMPUTED_VALUE"""),"win")</f>
        <v>win</v>
      </c>
      <c r="G190" s="3" t="str">
        <f>IFERROR(__xludf.DUMMYFUNCTION("""COMPUTED_VALUE"""),"3v3")</f>
        <v>3v3</v>
      </c>
      <c r="H190" s="3" t="str">
        <f>IFERROR(__xludf.DUMMYFUNCTION("IFERROR(TRIM(INDEX(SPLIT(E190,"" + ""),1)),"""")"),"Aferdita")</f>
        <v>Aferdita</v>
      </c>
      <c r="I190" s="3" t="str">
        <f>IFERROR(__xludf.DUMMYFUNCTION("IFERROR(TRIM(INDEX(SPLIT(E190,"" + ""),2)),"""")"),"Kesny")</f>
        <v>Kesny</v>
      </c>
      <c r="J190" s="5" t="str">
        <f>IFERROR(__xludf.DUMMYFUNCTION("IFERROR(TRIM(INDEX(SPLIT(E190,"" + ""),3)),"""")"),"ZeroO")</f>
        <v>ZeroO</v>
      </c>
      <c r="K190" s="3">
        <f>IFERROR(__xludf.DUMMYFUNCTION("IFERROR(IF(H190="""",0,INDEX(FILTER($Q$2:Q189,$C$2:C189=H190,$G$2:G189=G190),ROWS(FILTER($Q$2:Q189,$C$2:C189=H190,$G$2:G189=G190)),1)),1500)"),1497.0)</f>
        <v>1497</v>
      </c>
      <c r="L190" s="3">
        <f>IFERROR(__xludf.DUMMYFUNCTION("IFERROR(IF(I190="""",0,INDEX(FILTER($Q$2:Q189,$C$2:C189=I190,$G$2:G189=G190),ROWS(FILTER($Q$2:Q189,$C$2:C189=I190,$G$2:G189=G190)),1)),1500)"),1463.0)</f>
        <v>1463</v>
      </c>
      <c r="M190" s="3">
        <f>IFERROR(__xludf.DUMMYFUNCTION("IFERROR(IF(J190="""",0,INDEX(FILTER($Q$2:Q189,$C$2:C189=J190,$G$2:G189=G190),ROWS(FILTER($Q$2:Q189,$C$2:C189=J190,$G$2:G189=G190)),1)),1500)"),1531.0)</f>
        <v>1531</v>
      </c>
      <c r="N190" s="3">
        <f>IFERROR(__xludf.DUMMYFUNCTION("IFERROR(INDEX(FILTER($Q$2:Q189,$C$2:C189=C190,$G$2:G189=G190),ROWS(FILTER($Q$2:Q189,$C$2:C189=C190,$G$2:G189=G190)),1),1500)"),1477.0)</f>
        <v>1477</v>
      </c>
      <c r="O190" s="3">
        <f t="shared" si="3"/>
        <v>1497</v>
      </c>
      <c r="P190" s="9">
        <f t="shared" si="1"/>
        <v>17</v>
      </c>
      <c r="Q190" s="5">
        <f t="shared" si="2"/>
        <v>1494</v>
      </c>
    </row>
    <row r="191">
      <c r="A191" s="3" t="str">
        <f>IFERROR(__xludf.DUMMYFUNCTION("""COMPUTED_VALUE"""),"15wd-jcg3PJOtkENTemEUUB9fTlrV_B_7")</f>
        <v>15wd-jcg3PJOtkENTemEUUB9fTlrV_B_7</v>
      </c>
      <c r="B191" s="13">
        <f>IFERROR(__xludf.DUMMYFUNCTION("""COMPUTED_VALUE"""),45976.0)</f>
        <v>45976</v>
      </c>
      <c r="C191" s="3" t="str">
        <f>IFERROR(__xludf.DUMMYFUNCTION("""COMPUTED_VALUE"""),"Nebus.")</f>
        <v>Nebus.</v>
      </c>
      <c r="D191" s="3" t="str">
        <f>IFERROR(__xludf.DUMMYFUNCTION("""COMPUTED_VALUE"""),"Malena + Nebus. + Tess1509")</f>
        <v>Malena + Nebus. + Tess1509</v>
      </c>
      <c r="E191" s="3" t="str">
        <f>IFERROR(__xludf.DUMMYFUNCTION("""COMPUTED_VALUE"""),"Aferdita + Kesny + ZeroO")</f>
        <v>Aferdita + Kesny + ZeroO</v>
      </c>
      <c r="F191" s="3" t="str">
        <f>IFERROR(__xludf.DUMMYFUNCTION("""COMPUTED_VALUE"""),"win")</f>
        <v>win</v>
      </c>
      <c r="G191" s="3" t="str">
        <f>IFERROR(__xludf.DUMMYFUNCTION("""COMPUTED_VALUE"""),"3v3")</f>
        <v>3v3</v>
      </c>
      <c r="H191" s="3" t="str">
        <f>IFERROR(__xludf.DUMMYFUNCTION("IFERROR(TRIM(INDEX(SPLIT(E191,"" + ""),1)),"""")"),"Aferdita")</f>
        <v>Aferdita</v>
      </c>
      <c r="I191" s="3" t="str">
        <f>IFERROR(__xludf.DUMMYFUNCTION("IFERROR(TRIM(INDEX(SPLIT(E191,"" + ""),2)),"""")"),"Kesny")</f>
        <v>Kesny</v>
      </c>
      <c r="J191" s="5" t="str">
        <f>IFERROR(__xludf.DUMMYFUNCTION("IFERROR(TRIM(INDEX(SPLIT(E191,"" + ""),3)),"""")"),"ZeroO")</f>
        <v>ZeroO</v>
      </c>
      <c r="K191" s="3">
        <f>IFERROR(__xludf.DUMMYFUNCTION("IFERROR(IF(H191="""",0,INDEX(FILTER($Q$2:Q190,$C$2:C190=H191,$G$2:G190=G191),ROWS(FILTER($Q$2:Q190,$C$2:C190=H191,$G$2:G190=G191)),1)),1500)"),1497.0)</f>
        <v>1497</v>
      </c>
      <c r="L191" s="3">
        <f>IFERROR(__xludf.DUMMYFUNCTION("IFERROR(IF(I191="""",0,INDEX(FILTER($Q$2:Q190,$C$2:C190=I191,$G$2:G190=G191),ROWS(FILTER($Q$2:Q190,$C$2:C190=I191,$G$2:G190=G191)),1)),1500)"),1463.0)</f>
        <v>1463</v>
      </c>
      <c r="M191" s="3">
        <f>IFERROR(__xludf.DUMMYFUNCTION("IFERROR(IF(J191="""",0,INDEX(FILTER($Q$2:Q190,$C$2:C190=J191,$G$2:G190=G191),ROWS(FILTER($Q$2:Q190,$C$2:C190=J191,$G$2:G190=G191)),1)),1500)"),1531.0)</f>
        <v>1531</v>
      </c>
      <c r="N191" s="3">
        <f>IFERROR(__xludf.DUMMYFUNCTION("IFERROR(INDEX(FILTER($Q$2:Q190,$C$2:C190=C191,$G$2:G190=G191),ROWS(FILTER($Q$2:Q190,$C$2:C190=C191,$G$2:G190=G191)),1),1500)"),1563.0)</f>
        <v>1563</v>
      </c>
      <c r="O191" s="3">
        <f t="shared" si="3"/>
        <v>1497</v>
      </c>
      <c r="P191" s="9">
        <f t="shared" si="1"/>
        <v>13</v>
      </c>
      <c r="Q191" s="5">
        <f t="shared" si="2"/>
        <v>1576</v>
      </c>
    </row>
    <row r="192">
      <c r="A192" s="3" t="str">
        <f>IFERROR(__xludf.DUMMYFUNCTION("""COMPUTED_VALUE"""),"15wd-jcg3PJOtkENTemEUUB9fTlrV_B_7")</f>
        <v>15wd-jcg3PJOtkENTemEUUB9fTlrV_B_7</v>
      </c>
      <c r="B192" s="13">
        <f>IFERROR(__xludf.DUMMYFUNCTION("""COMPUTED_VALUE"""),45976.0)</f>
        <v>45976</v>
      </c>
      <c r="C192" s="3" t="str">
        <f>IFERROR(__xludf.DUMMYFUNCTION("""COMPUTED_VALUE"""),"Tess1509")</f>
        <v>Tess1509</v>
      </c>
      <c r="D192" s="3" t="str">
        <f>IFERROR(__xludf.DUMMYFUNCTION("""COMPUTED_VALUE"""),"Malena + Nebus. + Tess1509")</f>
        <v>Malena + Nebus. + Tess1509</v>
      </c>
      <c r="E192" s="3" t="str">
        <f>IFERROR(__xludf.DUMMYFUNCTION("""COMPUTED_VALUE"""),"Aferdita + Kesny + ZeroO")</f>
        <v>Aferdita + Kesny + ZeroO</v>
      </c>
      <c r="F192" s="3" t="str">
        <f>IFERROR(__xludf.DUMMYFUNCTION("""COMPUTED_VALUE"""),"win")</f>
        <v>win</v>
      </c>
      <c r="G192" s="3" t="str">
        <f>IFERROR(__xludf.DUMMYFUNCTION("""COMPUTED_VALUE"""),"3v3")</f>
        <v>3v3</v>
      </c>
      <c r="H192" s="3" t="str">
        <f>IFERROR(__xludf.DUMMYFUNCTION("IFERROR(TRIM(INDEX(SPLIT(E192,"" + ""),1)),"""")"),"Aferdita")</f>
        <v>Aferdita</v>
      </c>
      <c r="I192" s="3" t="str">
        <f>IFERROR(__xludf.DUMMYFUNCTION("IFERROR(TRIM(INDEX(SPLIT(E192,"" + ""),2)),"""")"),"Kesny")</f>
        <v>Kesny</v>
      </c>
      <c r="J192" s="5" t="str">
        <f>IFERROR(__xludf.DUMMYFUNCTION("IFERROR(TRIM(INDEX(SPLIT(E192,"" + ""),3)),"""")"),"ZeroO")</f>
        <v>ZeroO</v>
      </c>
      <c r="K192" s="3">
        <f>IFERROR(__xludf.DUMMYFUNCTION("IFERROR(IF(H192="""",0,INDEX(FILTER($Q$2:Q191,$C$2:C191=H192,$G$2:G191=G192),ROWS(FILTER($Q$2:Q191,$C$2:C191=H192,$G$2:G191=G192)),1)),1500)"),1497.0)</f>
        <v>1497</v>
      </c>
      <c r="L192" s="3">
        <f>IFERROR(__xludf.DUMMYFUNCTION("IFERROR(IF(I192="""",0,INDEX(FILTER($Q$2:Q191,$C$2:C191=I192,$G$2:G191=G192),ROWS(FILTER($Q$2:Q191,$C$2:C191=I192,$G$2:G191=G192)),1)),1500)"),1463.0)</f>
        <v>1463</v>
      </c>
      <c r="M192" s="3">
        <f>IFERROR(__xludf.DUMMYFUNCTION("IFERROR(IF(J192="""",0,INDEX(FILTER($Q$2:Q191,$C$2:C191=J192,$G$2:G191=G192),ROWS(FILTER($Q$2:Q191,$C$2:C191=J192,$G$2:G191=G192)),1)),1500)"),1531.0)</f>
        <v>1531</v>
      </c>
      <c r="N192" s="3">
        <f>IFERROR(__xludf.DUMMYFUNCTION("IFERROR(INDEX(FILTER($Q$2:Q191,$C$2:C191=C192,$G$2:G191=G192),ROWS(FILTER($Q$2:Q191,$C$2:C191=C192,$G$2:G191=G192)),1),1500)"),1445.0)</f>
        <v>1445</v>
      </c>
      <c r="O192" s="3">
        <f t="shared" si="3"/>
        <v>1497</v>
      </c>
      <c r="P192" s="9">
        <f t="shared" si="1"/>
        <v>18</v>
      </c>
      <c r="Q192" s="5">
        <f t="shared" si="2"/>
        <v>1463</v>
      </c>
    </row>
    <row r="193">
      <c r="A193" s="3" t="str">
        <f>IFERROR(__xludf.DUMMYFUNCTION("""COMPUTED_VALUE"""),"15wd-jcg3PJOtkENTemEUUB9fTlrV_B_7")</f>
        <v>15wd-jcg3PJOtkENTemEUUB9fTlrV_B_7</v>
      </c>
      <c r="B193" s="13">
        <f>IFERROR(__xludf.DUMMYFUNCTION("""COMPUTED_VALUE"""),45976.0)</f>
        <v>45976</v>
      </c>
      <c r="C193" s="3" t="str">
        <f>IFERROR(__xludf.DUMMYFUNCTION("""COMPUTED_VALUE"""),"ZeroO")</f>
        <v>ZeroO</v>
      </c>
      <c r="D193" s="3" t="str">
        <f>IFERROR(__xludf.DUMMYFUNCTION("""COMPUTED_VALUE"""),"Aferdita + Kesny + ZeroO")</f>
        <v>Aferdita + Kesny + ZeroO</v>
      </c>
      <c r="E193" s="3" t="str">
        <f>IFERROR(__xludf.DUMMYFUNCTION("""COMPUTED_VALUE"""),"Malena + Nebus. + Tess1509")</f>
        <v>Malena + Nebus. + Tess1509</v>
      </c>
      <c r="F193" s="3" t="str">
        <f>IFERROR(__xludf.DUMMYFUNCTION("""COMPUTED_VALUE"""),"loss")</f>
        <v>loss</v>
      </c>
      <c r="G193" s="3" t="str">
        <f>IFERROR(__xludf.DUMMYFUNCTION("""COMPUTED_VALUE"""),"3v3")</f>
        <v>3v3</v>
      </c>
      <c r="H193" s="3" t="str">
        <f>IFERROR(__xludf.DUMMYFUNCTION("IFERROR(TRIM(INDEX(SPLIT(E193,"" + ""),1)),"""")"),"Malena")</f>
        <v>Malena</v>
      </c>
      <c r="I193" s="3" t="str">
        <f>IFERROR(__xludf.DUMMYFUNCTION("IFERROR(TRIM(INDEX(SPLIT(E193,"" + ""),2)),"""")"),"Nebus.")</f>
        <v>Nebus.</v>
      </c>
      <c r="J193" s="5" t="str">
        <f>IFERROR(__xludf.DUMMYFUNCTION("IFERROR(TRIM(INDEX(SPLIT(E193,"" + ""),3)),"""")"),"Tess1509")</f>
        <v>Tess1509</v>
      </c>
      <c r="K193" s="3">
        <f>IFERROR(__xludf.DUMMYFUNCTION("IFERROR(IF(H193="""",0,INDEX(FILTER($Q$2:Q192,$C$2:C192=H193,$G$2:G192=G193),ROWS(FILTER($Q$2:Q192,$C$2:C192=H193,$G$2:G192=G193)),1)),1500)"),1494.0)</f>
        <v>1494</v>
      </c>
      <c r="L193" s="3">
        <f>IFERROR(__xludf.DUMMYFUNCTION("IFERROR(IF(I193="""",0,INDEX(FILTER($Q$2:Q192,$C$2:C192=I193,$G$2:G192=G193),ROWS(FILTER($Q$2:Q192,$C$2:C192=I193,$G$2:G192=G193)),1)),1500)"),1576.0)</f>
        <v>1576</v>
      </c>
      <c r="M193" s="3">
        <f>IFERROR(__xludf.DUMMYFUNCTION("IFERROR(IF(J193="""",0,INDEX(FILTER($Q$2:Q192,$C$2:C192=J193,$G$2:G192=G193),ROWS(FILTER($Q$2:Q192,$C$2:C192=J193,$G$2:G192=G193)),1)),1500)"),1463.0)</f>
        <v>1463</v>
      </c>
      <c r="N193" s="3">
        <f>IFERROR(__xludf.DUMMYFUNCTION("IFERROR(INDEX(FILTER($Q$2:Q192,$C$2:C192=C193,$G$2:G192=G193),ROWS(FILTER($Q$2:Q192,$C$2:C192=C193,$G$2:G192=G193)),1),1500)"),1531.0)</f>
        <v>1531</v>
      </c>
      <c r="O193" s="3">
        <f t="shared" si="3"/>
        <v>1511</v>
      </c>
      <c r="P193" s="9">
        <f t="shared" si="1"/>
        <v>-17</v>
      </c>
      <c r="Q193" s="5">
        <f t="shared" si="2"/>
        <v>1514</v>
      </c>
    </row>
    <row r="194">
      <c r="A194" s="3" t="str">
        <f>IFERROR(__xludf.DUMMYFUNCTION("""COMPUTED_VALUE"""),"15wd-jcg3PJOtkENTemEUUB9fTlrV_B_7")</f>
        <v>15wd-jcg3PJOtkENTemEUUB9fTlrV_B_7</v>
      </c>
      <c r="B194" s="13">
        <f>IFERROR(__xludf.DUMMYFUNCTION("""COMPUTED_VALUE"""),45976.0)</f>
        <v>45976</v>
      </c>
      <c r="C194" s="3" t="str">
        <f>IFERROR(__xludf.DUMMYFUNCTION("""COMPUTED_VALUE"""),"Kesny")</f>
        <v>Kesny</v>
      </c>
      <c r="D194" s="3" t="str">
        <f>IFERROR(__xludf.DUMMYFUNCTION("""COMPUTED_VALUE"""),"Aferdita + Kesny + ZeroO")</f>
        <v>Aferdita + Kesny + ZeroO</v>
      </c>
      <c r="E194" s="3" t="str">
        <f>IFERROR(__xludf.DUMMYFUNCTION("""COMPUTED_VALUE"""),"Malena + Nebus. + Tess1509")</f>
        <v>Malena + Nebus. + Tess1509</v>
      </c>
      <c r="F194" s="3" t="str">
        <f>IFERROR(__xludf.DUMMYFUNCTION("""COMPUTED_VALUE"""),"loss")</f>
        <v>loss</v>
      </c>
      <c r="G194" s="3" t="str">
        <f>IFERROR(__xludf.DUMMYFUNCTION("""COMPUTED_VALUE"""),"3v3")</f>
        <v>3v3</v>
      </c>
      <c r="H194" s="3" t="str">
        <f>IFERROR(__xludf.DUMMYFUNCTION("IFERROR(TRIM(INDEX(SPLIT(E194,"" + ""),1)),"""")"),"Malena")</f>
        <v>Malena</v>
      </c>
      <c r="I194" s="3" t="str">
        <f>IFERROR(__xludf.DUMMYFUNCTION("IFERROR(TRIM(INDEX(SPLIT(E194,"" + ""),2)),"""")"),"Nebus.")</f>
        <v>Nebus.</v>
      </c>
      <c r="J194" s="5" t="str">
        <f>IFERROR(__xludf.DUMMYFUNCTION("IFERROR(TRIM(INDEX(SPLIT(E194,"" + ""),3)),"""")"),"Tess1509")</f>
        <v>Tess1509</v>
      </c>
      <c r="K194" s="3">
        <f>IFERROR(__xludf.DUMMYFUNCTION("IFERROR(IF(H194="""",0,INDEX(FILTER($Q$2:Q193,$C$2:C193=H194,$G$2:G193=G194),ROWS(FILTER($Q$2:Q193,$C$2:C193=H194,$G$2:G193=G194)),1)),1500)"),1494.0)</f>
        <v>1494</v>
      </c>
      <c r="L194" s="3">
        <f>IFERROR(__xludf.DUMMYFUNCTION("IFERROR(IF(I194="""",0,INDEX(FILTER($Q$2:Q193,$C$2:C193=I194,$G$2:G193=G194),ROWS(FILTER($Q$2:Q193,$C$2:C193=I194,$G$2:G193=G194)),1)),1500)"),1576.0)</f>
        <v>1576</v>
      </c>
      <c r="M194" s="3">
        <f>IFERROR(__xludf.DUMMYFUNCTION("IFERROR(IF(J194="""",0,INDEX(FILTER($Q$2:Q193,$C$2:C193=J194,$G$2:G193=G194),ROWS(FILTER($Q$2:Q193,$C$2:C193=J194,$G$2:G193=G194)),1)),1500)"),1463.0)</f>
        <v>1463</v>
      </c>
      <c r="N194" s="3">
        <f>IFERROR(__xludf.DUMMYFUNCTION("IFERROR(INDEX(FILTER($Q$2:Q193,$C$2:C193=C194,$G$2:G193=G194),ROWS(FILTER($Q$2:Q193,$C$2:C193=C194,$G$2:G193=G194)),1),1500)"),1463.0)</f>
        <v>1463</v>
      </c>
      <c r="O194" s="3">
        <f t="shared" si="3"/>
        <v>1511</v>
      </c>
      <c r="P194" s="9">
        <f t="shared" si="1"/>
        <v>-14</v>
      </c>
      <c r="Q194" s="5">
        <f t="shared" si="2"/>
        <v>1449</v>
      </c>
    </row>
    <row r="195">
      <c r="A195" s="3" t="str">
        <f>IFERROR(__xludf.DUMMYFUNCTION("""COMPUTED_VALUE"""),"15wd-jcg3PJOtkENTemEUUB9fTlrV_B_7")</f>
        <v>15wd-jcg3PJOtkENTemEUUB9fTlrV_B_7</v>
      </c>
      <c r="B195" s="13">
        <f>IFERROR(__xludf.DUMMYFUNCTION("""COMPUTED_VALUE"""),45976.0)</f>
        <v>45976</v>
      </c>
      <c r="C195" s="3" t="str">
        <f>IFERROR(__xludf.DUMMYFUNCTION("""COMPUTED_VALUE"""),"Aferdita")</f>
        <v>Aferdita</v>
      </c>
      <c r="D195" s="3" t="str">
        <f>IFERROR(__xludf.DUMMYFUNCTION("""COMPUTED_VALUE"""),"Aferdita + Kesny + ZeroO")</f>
        <v>Aferdita + Kesny + ZeroO</v>
      </c>
      <c r="E195" s="3" t="str">
        <f>IFERROR(__xludf.DUMMYFUNCTION("""COMPUTED_VALUE"""),"Malena + Nebus. + Tess1509")</f>
        <v>Malena + Nebus. + Tess1509</v>
      </c>
      <c r="F195" s="3" t="str">
        <f>IFERROR(__xludf.DUMMYFUNCTION("""COMPUTED_VALUE"""),"loss")</f>
        <v>loss</v>
      </c>
      <c r="G195" s="3" t="str">
        <f>IFERROR(__xludf.DUMMYFUNCTION("""COMPUTED_VALUE"""),"3v3")</f>
        <v>3v3</v>
      </c>
      <c r="H195" s="3" t="str">
        <f>IFERROR(__xludf.DUMMYFUNCTION("IFERROR(TRIM(INDEX(SPLIT(E195,"" + ""),1)),"""")"),"Malena")</f>
        <v>Malena</v>
      </c>
      <c r="I195" s="3" t="str">
        <f>IFERROR(__xludf.DUMMYFUNCTION("IFERROR(TRIM(INDEX(SPLIT(E195,"" + ""),2)),"""")"),"Nebus.")</f>
        <v>Nebus.</v>
      </c>
      <c r="J195" s="5" t="str">
        <f>IFERROR(__xludf.DUMMYFUNCTION("IFERROR(TRIM(INDEX(SPLIT(E195,"" + ""),3)),"""")"),"Tess1509")</f>
        <v>Tess1509</v>
      </c>
      <c r="K195" s="3">
        <f>IFERROR(__xludf.DUMMYFUNCTION("IFERROR(IF(H195="""",0,INDEX(FILTER($Q$2:Q194,$C$2:C194=H195,$G$2:G194=G195),ROWS(FILTER($Q$2:Q194,$C$2:C194=H195,$G$2:G194=G195)),1)),1500)"),1494.0)</f>
        <v>1494</v>
      </c>
      <c r="L195" s="3">
        <f>IFERROR(__xludf.DUMMYFUNCTION("IFERROR(IF(I195="""",0,INDEX(FILTER($Q$2:Q194,$C$2:C194=I195,$G$2:G194=G195),ROWS(FILTER($Q$2:Q194,$C$2:C194=I195,$G$2:G194=G195)),1)),1500)"),1576.0)</f>
        <v>1576</v>
      </c>
      <c r="M195" s="3">
        <f>IFERROR(__xludf.DUMMYFUNCTION("IFERROR(IF(J195="""",0,INDEX(FILTER($Q$2:Q194,$C$2:C194=J195,$G$2:G194=G195),ROWS(FILTER($Q$2:Q194,$C$2:C194=J195,$G$2:G194=G195)),1)),1500)"),1463.0)</f>
        <v>1463</v>
      </c>
      <c r="N195" s="3">
        <f>IFERROR(__xludf.DUMMYFUNCTION("IFERROR(INDEX(FILTER($Q$2:Q194,$C$2:C194=C195,$G$2:G194=G195),ROWS(FILTER($Q$2:Q194,$C$2:C194=C195,$G$2:G194=G195)),1),1500)"),1497.0)</f>
        <v>1497</v>
      </c>
      <c r="O195" s="3">
        <f t="shared" si="3"/>
        <v>1511</v>
      </c>
      <c r="P195" s="9">
        <f t="shared" si="1"/>
        <v>-15</v>
      </c>
      <c r="Q195" s="5">
        <f t="shared" si="2"/>
        <v>1482</v>
      </c>
    </row>
    <row r="196">
      <c r="A196" s="3" t="str">
        <f>IFERROR(__xludf.DUMMYFUNCTION("""COMPUTED_VALUE"""),"1fOX4TTwrT4bM2iIpLURaGYSV8T5VdDtM")</f>
        <v>1fOX4TTwrT4bM2iIpLURaGYSV8T5VdDtM</v>
      </c>
      <c r="B196" s="13">
        <f>IFERROR(__xludf.DUMMYFUNCTION("""COMPUTED_VALUE"""),45976.0)</f>
        <v>45976</v>
      </c>
      <c r="C196" s="3" t="str">
        <f>IFERROR(__xludf.DUMMYFUNCTION("""COMPUTED_VALUE"""),"Malena")</f>
        <v>Malena</v>
      </c>
      <c r="D196" s="3" t="str">
        <f>IFERROR(__xludf.DUMMYFUNCTION("""COMPUTED_VALUE"""),"Malena + Nebus. + Tess1509")</f>
        <v>Malena + Nebus. + Tess1509</v>
      </c>
      <c r="E196" s="3" t="str">
        <f>IFERROR(__xludf.DUMMYFUNCTION("""COMPUTED_VALUE"""),"Aferdita + Kesny + ZeroO")</f>
        <v>Aferdita + Kesny + ZeroO</v>
      </c>
      <c r="F196" s="3" t="str">
        <f>IFERROR(__xludf.DUMMYFUNCTION("""COMPUTED_VALUE"""),"loss")</f>
        <v>loss</v>
      </c>
      <c r="G196" s="3" t="str">
        <f>IFERROR(__xludf.DUMMYFUNCTION("""COMPUTED_VALUE"""),"3v3")</f>
        <v>3v3</v>
      </c>
      <c r="H196" s="3" t="str">
        <f>IFERROR(__xludf.DUMMYFUNCTION("IFERROR(TRIM(INDEX(SPLIT(E196,"" + ""),1)),"""")"),"Aferdita")</f>
        <v>Aferdita</v>
      </c>
      <c r="I196" s="3" t="str">
        <f>IFERROR(__xludf.DUMMYFUNCTION("IFERROR(TRIM(INDEX(SPLIT(E196,"" + ""),2)),"""")"),"Kesny")</f>
        <v>Kesny</v>
      </c>
      <c r="J196" s="5" t="str">
        <f>IFERROR(__xludf.DUMMYFUNCTION("IFERROR(TRIM(INDEX(SPLIT(E196,"" + ""),3)),"""")"),"ZeroO")</f>
        <v>ZeroO</v>
      </c>
      <c r="K196" s="3">
        <f>IFERROR(__xludf.DUMMYFUNCTION("IFERROR(IF(H196="""",0,INDEX(FILTER($Q$2:Q195,$C$2:C195=H196,$G$2:G195=G196),ROWS(FILTER($Q$2:Q195,$C$2:C195=H196,$G$2:G195=G196)),1)),1500)"),1482.0)</f>
        <v>1482</v>
      </c>
      <c r="L196" s="3">
        <f>IFERROR(__xludf.DUMMYFUNCTION("IFERROR(IF(I196="""",0,INDEX(FILTER($Q$2:Q195,$C$2:C195=I196,$G$2:G195=G196),ROWS(FILTER($Q$2:Q195,$C$2:C195=I196,$G$2:G195=G196)),1)),1500)"),1449.0)</f>
        <v>1449</v>
      </c>
      <c r="M196" s="3">
        <f>IFERROR(__xludf.DUMMYFUNCTION("IFERROR(IF(J196="""",0,INDEX(FILTER($Q$2:Q195,$C$2:C195=J196,$G$2:G195=G196),ROWS(FILTER($Q$2:Q195,$C$2:C195=J196,$G$2:G195=G196)),1)),1500)"),1514.0)</f>
        <v>1514</v>
      </c>
      <c r="N196" s="3">
        <f>IFERROR(__xludf.DUMMYFUNCTION("IFERROR(INDEX(FILTER($Q$2:Q195,$C$2:C195=C196,$G$2:G195=G196),ROWS(FILTER($Q$2:Q195,$C$2:C195=C196,$G$2:G195=G196)),1),1500)"),1494.0)</f>
        <v>1494</v>
      </c>
      <c r="O196" s="3">
        <f t="shared" si="3"/>
        <v>1481.666667</v>
      </c>
      <c r="P196" s="9">
        <f t="shared" si="1"/>
        <v>-17</v>
      </c>
      <c r="Q196" s="5">
        <f t="shared" si="2"/>
        <v>1477</v>
      </c>
    </row>
    <row r="197">
      <c r="A197" s="3" t="str">
        <f>IFERROR(__xludf.DUMMYFUNCTION("""COMPUTED_VALUE"""),"1fOX4TTwrT4bM2iIpLURaGYSV8T5VdDtM")</f>
        <v>1fOX4TTwrT4bM2iIpLURaGYSV8T5VdDtM</v>
      </c>
      <c r="B197" s="13">
        <f>IFERROR(__xludf.DUMMYFUNCTION("""COMPUTED_VALUE"""),45976.0)</f>
        <v>45976</v>
      </c>
      <c r="C197" s="3" t="str">
        <f>IFERROR(__xludf.DUMMYFUNCTION("""COMPUTED_VALUE"""),"Tess1509")</f>
        <v>Tess1509</v>
      </c>
      <c r="D197" s="3" t="str">
        <f>IFERROR(__xludf.DUMMYFUNCTION("""COMPUTED_VALUE"""),"Malena + Nebus. + Tess1509")</f>
        <v>Malena + Nebus. + Tess1509</v>
      </c>
      <c r="E197" s="3" t="str">
        <f>IFERROR(__xludf.DUMMYFUNCTION("""COMPUTED_VALUE"""),"Aferdita + Kesny + ZeroO")</f>
        <v>Aferdita + Kesny + ZeroO</v>
      </c>
      <c r="F197" s="3" t="str">
        <f>IFERROR(__xludf.DUMMYFUNCTION("""COMPUTED_VALUE"""),"loss")</f>
        <v>loss</v>
      </c>
      <c r="G197" s="3" t="str">
        <f>IFERROR(__xludf.DUMMYFUNCTION("""COMPUTED_VALUE"""),"3v3")</f>
        <v>3v3</v>
      </c>
      <c r="H197" s="3" t="str">
        <f>IFERROR(__xludf.DUMMYFUNCTION("IFERROR(TRIM(INDEX(SPLIT(E197,"" + ""),1)),"""")"),"Aferdita")</f>
        <v>Aferdita</v>
      </c>
      <c r="I197" s="3" t="str">
        <f>IFERROR(__xludf.DUMMYFUNCTION("IFERROR(TRIM(INDEX(SPLIT(E197,"" + ""),2)),"""")"),"Kesny")</f>
        <v>Kesny</v>
      </c>
      <c r="J197" s="5" t="str">
        <f>IFERROR(__xludf.DUMMYFUNCTION("IFERROR(TRIM(INDEX(SPLIT(E197,"" + ""),3)),"""")"),"ZeroO")</f>
        <v>ZeroO</v>
      </c>
      <c r="K197" s="3">
        <f>IFERROR(__xludf.DUMMYFUNCTION("IFERROR(IF(H197="""",0,INDEX(FILTER($Q$2:Q196,$C$2:C196=H197,$G$2:G196=G197),ROWS(FILTER($Q$2:Q196,$C$2:C196=H197,$G$2:G196=G197)),1)),1500)"),1482.0)</f>
        <v>1482</v>
      </c>
      <c r="L197" s="3">
        <f>IFERROR(__xludf.DUMMYFUNCTION("IFERROR(IF(I197="""",0,INDEX(FILTER($Q$2:Q196,$C$2:C196=I197,$G$2:G196=G197),ROWS(FILTER($Q$2:Q196,$C$2:C196=I197,$G$2:G196=G197)),1)),1500)"),1449.0)</f>
        <v>1449</v>
      </c>
      <c r="M197" s="3">
        <f>IFERROR(__xludf.DUMMYFUNCTION("IFERROR(IF(J197="""",0,INDEX(FILTER($Q$2:Q196,$C$2:C196=J197,$G$2:G196=G197),ROWS(FILTER($Q$2:Q196,$C$2:C196=J197,$G$2:G196=G197)),1)),1500)"),1514.0)</f>
        <v>1514</v>
      </c>
      <c r="N197" s="3">
        <f>IFERROR(__xludf.DUMMYFUNCTION("IFERROR(INDEX(FILTER($Q$2:Q196,$C$2:C196=C197,$G$2:G196=G197),ROWS(FILTER($Q$2:Q196,$C$2:C196=C197,$G$2:G196=G197)),1),1500)"),1463.0)</f>
        <v>1463</v>
      </c>
      <c r="O197" s="3">
        <f t="shared" si="3"/>
        <v>1481.666667</v>
      </c>
      <c r="P197" s="9">
        <f t="shared" si="1"/>
        <v>-15</v>
      </c>
      <c r="Q197" s="5">
        <f t="shared" si="2"/>
        <v>1448</v>
      </c>
    </row>
    <row r="198">
      <c r="A198" s="3" t="str">
        <f>IFERROR(__xludf.DUMMYFUNCTION("""COMPUTED_VALUE"""),"1fOX4TTwrT4bM2iIpLURaGYSV8T5VdDtM")</f>
        <v>1fOX4TTwrT4bM2iIpLURaGYSV8T5VdDtM</v>
      </c>
      <c r="B198" s="13">
        <f>IFERROR(__xludf.DUMMYFUNCTION("""COMPUTED_VALUE"""),45976.0)</f>
        <v>45976</v>
      </c>
      <c r="C198" s="3" t="str">
        <f>IFERROR(__xludf.DUMMYFUNCTION("""COMPUTED_VALUE"""),"Nebus.")</f>
        <v>Nebus.</v>
      </c>
      <c r="D198" s="3" t="str">
        <f>IFERROR(__xludf.DUMMYFUNCTION("""COMPUTED_VALUE"""),"Malena + Nebus. + Tess1509")</f>
        <v>Malena + Nebus. + Tess1509</v>
      </c>
      <c r="E198" s="3" t="str">
        <f>IFERROR(__xludf.DUMMYFUNCTION("""COMPUTED_VALUE"""),"Aferdita + Kesny + ZeroO")</f>
        <v>Aferdita + Kesny + ZeroO</v>
      </c>
      <c r="F198" s="3" t="str">
        <f>IFERROR(__xludf.DUMMYFUNCTION("""COMPUTED_VALUE"""),"loss")</f>
        <v>loss</v>
      </c>
      <c r="G198" s="3" t="str">
        <f>IFERROR(__xludf.DUMMYFUNCTION("""COMPUTED_VALUE"""),"3v3")</f>
        <v>3v3</v>
      </c>
      <c r="H198" s="3" t="str">
        <f>IFERROR(__xludf.DUMMYFUNCTION("IFERROR(TRIM(INDEX(SPLIT(E198,"" + ""),1)),"""")"),"Aferdita")</f>
        <v>Aferdita</v>
      </c>
      <c r="I198" s="3" t="str">
        <f>IFERROR(__xludf.DUMMYFUNCTION("IFERROR(TRIM(INDEX(SPLIT(E198,"" + ""),2)),"""")"),"Kesny")</f>
        <v>Kesny</v>
      </c>
      <c r="J198" s="5" t="str">
        <f>IFERROR(__xludf.DUMMYFUNCTION("IFERROR(TRIM(INDEX(SPLIT(E198,"" + ""),3)),"""")"),"ZeroO")</f>
        <v>ZeroO</v>
      </c>
      <c r="K198" s="3">
        <f>IFERROR(__xludf.DUMMYFUNCTION("IFERROR(IF(H198="""",0,INDEX(FILTER($Q$2:Q197,$C$2:C197=H198,$G$2:G197=G198),ROWS(FILTER($Q$2:Q197,$C$2:C197=H198,$G$2:G197=G198)),1)),1500)"),1482.0)</f>
        <v>1482</v>
      </c>
      <c r="L198" s="3">
        <f>IFERROR(__xludf.DUMMYFUNCTION("IFERROR(IF(I198="""",0,INDEX(FILTER($Q$2:Q197,$C$2:C197=I198,$G$2:G197=G198),ROWS(FILTER($Q$2:Q197,$C$2:C197=I198,$G$2:G197=G198)),1)),1500)"),1449.0)</f>
        <v>1449</v>
      </c>
      <c r="M198" s="3">
        <f>IFERROR(__xludf.DUMMYFUNCTION("IFERROR(IF(J198="""",0,INDEX(FILTER($Q$2:Q197,$C$2:C197=J198,$G$2:G197=G198),ROWS(FILTER($Q$2:Q197,$C$2:C197=J198,$G$2:G197=G198)),1)),1500)"),1514.0)</f>
        <v>1514</v>
      </c>
      <c r="N198" s="3">
        <f>IFERROR(__xludf.DUMMYFUNCTION("IFERROR(INDEX(FILTER($Q$2:Q197,$C$2:C197=C198,$G$2:G197=G198),ROWS(FILTER($Q$2:Q197,$C$2:C197=C198,$G$2:G197=G198)),1),1500)"),1576.0)</f>
        <v>1576</v>
      </c>
      <c r="O198" s="3">
        <f t="shared" si="3"/>
        <v>1481.666667</v>
      </c>
      <c r="P198" s="9">
        <f t="shared" si="1"/>
        <v>-20</v>
      </c>
      <c r="Q198" s="5">
        <f t="shared" si="2"/>
        <v>1556</v>
      </c>
    </row>
    <row r="199">
      <c r="A199" s="3" t="str">
        <f>IFERROR(__xludf.DUMMYFUNCTION("""COMPUTED_VALUE"""),"1fOX4TTwrT4bM2iIpLURaGYSV8T5VdDtM")</f>
        <v>1fOX4TTwrT4bM2iIpLURaGYSV8T5VdDtM</v>
      </c>
      <c r="B199" s="13">
        <f>IFERROR(__xludf.DUMMYFUNCTION("""COMPUTED_VALUE"""),45976.0)</f>
        <v>45976</v>
      </c>
      <c r="C199" s="3" t="str">
        <f>IFERROR(__xludf.DUMMYFUNCTION("""COMPUTED_VALUE"""),"Kesny")</f>
        <v>Kesny</v>
      </c>
      <c r="D199" s="3" t="str">
        <f>IFERROR(__xludf.DUMMYFUNCTION("""COMPUTED_VALUE"""),"Aferdita + Kesny + ZeroO")</f>
        <v>Aferdita + Kesny + ZeroO</v>
      </c>
      <c r="E199" s="3" t="str">
        <f>IFERROR(__xludf.DUMMYFUNCTION("""COMPUTED_VALUE"""),"Malena + Nebus. + Tess1509")</f>
        <v>Malena + Nebus. + Tess1509</v>
      </c>
      <c r="F199" s="3" t="str">
        <f>IFERROR(__xludf.DUMMYFUNCTION("""COMPUTED_VALUE"""),"win")</f>
        <v>win</v>
      </c>
      <c r="G199" s="3" t="str">
        <f>IFERROR(__xludf.DUMMYFUNCTION("""COMPUTED_VALUE"""),"3v3")</f>
        <v>3v3</v>
      </c>
      <c r="H199" s="3" t="str">
        <f>IFERROR(__xludf.DUMMYFUNCTION("IFERROR(TRIM(INDEX(SPLIT(E199,"" + ""),1)),"""")"),"Malena")</f>
        <v>Malena</v>
      </c>
      <c r="I199" s="3" t="str">
        <f>IFERROR(__xludf.DUMMYFUNCTION("IFERROR(TRIM(INDEX(SPLIT(E199,"" + ""),2)),"""")"),"Nebus.")</f>
        <v>Nebus.</v>
      </c>
      <c r="J199" s="5" t="str">
        <f>IFERROR(__xludf.DUMMYFUNCTION("IFERROR(TRIM(INDEX(SPLIT(E199,"" + ""),3)),"""")"),"Tess1509")</f>
        <v>Tess1509</v>
      </c>
      <c r="K199" s="3">
        <f>IFERROR(__xludf.DUMMYFUNCTION("IFERROR(IF(H199="""",0,INDEX(FILTER($Q$2:Q198,$C$2:C198=H199,$G$2:G198=G199),ROWS(FILTER($Q$2:Q198,$C$2:C198=H199,$G$2:G198=G199)),1)),1500)"),1477.0)</f>
        <v>1477</v>
      </c>
      <c r="L199" s="3">
        <f>IFERROR(__xludf.DUMMYFUNCTION("IFERROR(IF(I199="""",0,INDEX(FILTER($Q$2:Q198,$C$2:C198=I199,$G$2:G198=G199),ROWS(FILTER($Q$2:Q198,$C$2:C198=I199,$G$2:G198=G199)),1)),1500)"),1556.0)</f>
        <v>1556</v>
      </c>
      <c r="M199" s="3">
        <f>IFERROR(__xludf.DUMMYFUNCTION("IFERROR(IF(J199="""",0,INDEX(FILTER($Q$2:Q198,$C$2:C198=J199,$G$2:G198=G199),ROWS(FILTER($Q$2:Q198,$C$2:C198=J199,$G$2:G198=G199)),1)),1500)"),1448.0)</f>
        <v>1448</v>
      </c>
      <c r="N199" s="3">
        <f>IFERROR(__xludf.DUMMYFUNCTION("IFERROR(INDEX(FILTER($Q$2:Q198,$C$2:C198=C199,$G$2:G198=G199),ROWS(FILTER($Q$2:Q198,$C$2:C198=C199,$G$2:G198=G199)),1),1500)"),1449.0)</f>
        <v>1449</v>
      </c>
      <c r="O199" s="3">
        <f t="shared" si="3"/>
        <v>1493.666667</v>
      </c>
      <c r="P199" s="9">
        <f t="shared" si="1"/>
        <v>18</v>
      </c>
      <c r="Q199" s="5">
        <f t="shared" si="2"/>
        <v>1467</v>
      </c>
    </row>
    <row r="200">
      <c r="A200" s="3" t="str">
        <f>IFERROR(__xludf.DUMMYFUNCTION("""COMPUTED_VALUE"""),"1fOX4TTwrT4bM2iIpLURaGYSV8T5VdDtM")</f>
        <v>1fOX4TTwrT4bM2iIpLURaGYSV8T5VdDtM</v>
      </c>
      <c r="B200" s="13">
        <f>IFERROR(__xludf.DUMMYFUNCTION("""COMPUTED_VALUE"""),45976.0)</f>
        <v>45976</v>
      </c>
      <c r="C200" s="3" t="str">
        <f>IFERROR(__xludf.DUMMYFUNCTION("""COMPUTED_VALUE"""),"ZeroO")</f>
        <v>ZeroO</v>
      </c>
      <c r="D200" s="3" t="str">
        <f>IFERROR(__xludf.DUMMYFUNCTION("""COMPUTED_VALUE"""),"Aferdita + Kesny + ZeroO")</f>
        <v>Aferdita + Kesny + ZeroO</v>
      </c>
      <c r="E200" s="3" t="str">
        <f>IFERROR(__xludf.DUMMYFUNCTION("""COMPUTED_VALUE"""),"Malena + Nebus. + Tess1509")</f>
        <v>Malena + Nebus. + Tess1509</v>
      </c>
      <c r="F200" s="3" t="str">
        <f>IFERROR(__xludf.DUMMYFUNCTION("""COMPUTED_VALUE"""),"win")</f>
        <v>win</v>
      </c>
      <c r="G200" s="3" t="str">
        <f>IFERROR(__xludf.DUMMYFUNCTION("""COMPUTED_VALUE"""),"3v3")</f>
        <v>3v3</v>
      </c>
      <c r="H200" s="3" t="str">
        <f>IFERROR(__xludf.DUMMYFUNCTION("IFERROR(TRIM(INDEX(SPLIT(E200,"" + ""),1)),"""")"),"Malena")</f>
        <v>Malena</v>
      </c>
      <c r="I200" s="3" t="str">
        <f>IFERROR(__xludf.DUMMYFUNCTION("IFERROR(TRIM(INDEX(SPLIT(E200,"" + ""),2)),"""")"),"Nebus.")</f>
        <v>Nebus.</v>
      </c>
      <c r="J200" s="5" t="str">
        <f>IFERROR(__xludf.DUMMYFUNCTION("IFERROR(TRIM(INDEX(SPLIT(E200,"" + ""),3)),"""")"),"Tess1509")</f>
        <v>Tess1509</v>
      </c>
      <c r="K200" s="3">
        <f>IFERROR(__xludf.DUMMYFUNCTION("IFERROR(IF(H200="""",0,INDEX(FILTER($Q$2:Q199,$C$2:C199=H200,$G$2:G199=G200),ROWS(FILTER($Q$2:Q199,$C$2:C199=H200,$G$2:G199=G200)),1)),1500)"),1477.0)</f>
        <v>1477</v>
      </c>
      <c r="L200" s="3">
        <f>IFERROR(__xludf.DUMMYFUNCTION("IFERROR(IF(I200="""",0,INDEX(FILTER($Q$2:Q199,$C$2:C199=I200,$G$2:G199=G200),ROWS(FILTER($Q$2:Q199,$C$2:C199=I200,$G$2:G199=G200)),1)),1500)"),1556.0)</f>
        <v>1556</v>
      </c>
      <c r="M200" s="3">
        <f>IFERROR(__xludf.DUMMYFUNCTION("IFERROR(IF(J200="""",0,INDEX(FILTER($Q$2:Q199,$C$2:C199=J200,$G$2:G199=G200),ROWS(FILTER($Q$2:Q199,$C$2:C199=J200,$G$2:G199=G200)),1)),1500)"),1448.0)</f>
        <v>1448</v>
      </c>
      <c r="N200" s="3">
        <f>IFERROR(__xludf.DUMMYFUNCTION("IFERROR(INDEX(FILTER($Q$2:Q199,$C$2:C199=C200,$G$2:G199=G200),ROWS(FILTER($Q$2:Q199,$C$2:C199=C200,$G$2:G199=G200)),1),1500)"),1514.0)</f>
        <v>1514</v>
      </c>
      <c r="O200" s="3">
        <f t="shared" si="3"/>
        <v>1493.666667</v>
      </c>
      <c r="P200" s="9">
        <f t="shared" si="1"/>
        <v>15</v>
      </c>
      <c r="Q200" s="5">
        <f t="shared" si="2"/>
        <v>1529</v>
      </c>
    </row>
    <row r="201">
      <c r="A201" s="3" t="str">
        <f>IFERROR(__xludf.DUMMYFUNCTION("""COMPUTED_VALUE"""),"1fOX4TTwrT4bM2iIpLURaGYSV8T5VdDtM")</f>
        <v>1fOX4TTwrT4bM2iIpLURaGYSV8T5VdDtM</v>
      </c>
      <c r="B201" s="13">
        <f>IFERROR(__xludf.DUMMYFUNCTION("""COMPUTED_VALUE"""),45976.0)</f>
        <v>45976</v>
      </c>
      <c r="C201" s="3" t="str">
        <f>IFERROR(__xludf.DUMMYFUNCTION("""COMPUTED_VALUE"""),"Aferdita")</f>
        <v>Aferdita</v>
      </c>
      <c r="D201" s="3" t="str">
        <f>IFERROR(__xludf.DUMMYFUNCTION("""COMPUTED_VALUE"""),"Aferdita + Kesny + ZeroO")</f>
        <v>Aferdita + Kesny + ZeroO</v>
      </c>
      <c r="E201" s="3" t="str">
        <f>IFERROR(__xludf.DUMMYFUNCTION("""COMPUTED_VALUE"""),"Malena + Nebus. + Tess1509")</f>
        <v>Malena + Nebus. + Tess1509</v>
      </c>
      <c r="F201" s="3" t="str">
        <f>IFERROR(__xludf.DUMMYFUNCTION("""COMPUTED_VALUE"""),"win")</f>
        <v>win</v>
      </c>
      <c r="G201" s="3" t="str">
        <f>IFERROR(__xludf.DUMMYFUNCTION("""COMPUTED_VALUE"""),"3v3")</f>
        <v>3v3</v>
      </c>
      <c r="H201" s="3" t="str">
        <f>IFERROR(__xludf.DUMMYFUNCTION("IFERROR(TRIM(INDEX(SPLIT(E201,"" + ""),1)),"""")"),"Malena")</f>
        <v>Malena</v>
      </c>
      <c r="I201" s="3" t="str">
        <f>IFERROR(__xludf.DUMMYFUNCTION("IFERROR(TRIM(INDEX(SPLIT(E201,"" + ""),2)),"""")"),"Nebus.")</f>
        <v>Nebus.</v>
      </c>
      <c r="J201" s="5" t="str">
        <f>IFERROR(__xludf.DUMMYFUNCTION("IFERROR(TRIM(INDEX(SPLIT(E201,"" + ""),3)),"""")"),"Tess1509")</f>
        <v>Tess1509</v>
      </c>
      <c r="K201" s="3">
        <f>IFERROR(__xludf.DUMMYFUNCTION("IFERROR(IF(H201="""",0,INDEX(FILTER($Q$2:Q200,$C$2:C200=H201,$G$2:G200=G201),ROWS(FILTER($Q$2:Q200,$C$2:C200=H201,$G$2:G200=G201)),1)),1500)"),1477.0)</f>
        <v>1477</v>
      </c>
      <c r="L201" s="3">
        <f>IFERROR(__xludf.DUMMYFUNCTION("IFERROR(IF(I201="""",0,INDEX(FILTER($Q$2:Q200,$C$2:C200=I201,$G$2:G200=G201),ROWS(FILTER($Q$2:Q200,$C$2:C200=I201,$G$2:G200=G201)),1)),1500)"),1556.0)</f>
        <v>1556</v>
      </c>
      <c r="M201" s="3">
        <f>IFERROR(__xludf.DUMMYFUNCTION("IFERROR(IF(J201="""",0,INDEX(FILTER($Q$2:Q200,$C$2:C200=J201,$G$2:G200=G201),ROWS(FILTER($Q$2:Q200,$C$2:C200=J201,$G$2:G200=G201)),1)),1500)"),1448.0)</f>
        <v>1448</v>
      </c>
      <c r="N201" s="3">
        <f>IFERROR(__xludf.DUMMYFUNCTION("IFERROR(INDEX(FILTER($Q$2:Q200,$C$2:C200=C201,$G$2:G200=G201),ROWS(FILTER($Q$2:Q200,$C$2:C200=C201,$G$2:G200=G201)),1),1500)"),1482.0)</f>
        <v>1482</v>
      </c>
      <c r="O201" s="3">
        <f t="shared" si="3"/>
        <v>1493.666667</v>
      </c>
      <c r="P201" s="9">
        <f t="shared" si="1"/>
        <v>17</v>
      </c>
      <c r="Q201" s="5">
        <f t="shared" si="2"/>
        <v>1499</v>
      </c>
    </row>
    <row r="202">
      <c r="A202" s="3" t="str">
        <f>IFERROR(__xludf.DUMMYFUNCTION("""COMPUTED_VALUE"""),"18sGw2rnoxKmm4AA4UNOm9kaJOGciI0Iz")</f>
        <v>18sGw2rnoxKmm4AA4UNOm9kaJOGciI0Iz</v>
      </c>
      <c r="B202" s="13">
        <f>IFERROR(__xludf.DUMMYFUNCTION("""COMPUTED_VALUE"""),45976.0)</f>
        <v>45976</v>
      </c>
      <c r="C202" s="3" t="str">
        <f>IFERROR(__xludf.DUMMYFUNCTION("""COMPUTED_VALUE"""),"ZeroO")</f>
        <v>ZeroO</v>
      </c>
      <c r="D202" s="3" t="str">
        <f>IFERROR(__xludf.DUMMYFUNCTION("""COMPUTED_VALUE"""),"Kesny + Troniix + ZeroO")</f>
        <v>Kesny + Troniix + ZeroO</v>
      </c>
      <c r="E202" s="3" t="str">
        <f>IFERROR(__xludf.DUMMYFUNCTION("""COMPUTED_VALUE"""),"Anbuu + Malena + Nebus.")</f>
        <v>Anbuu + Malena + Nebus.</v>
      </c>
      <c r="F202" s="3" t="str">
        <f>IFERROR(__xludf.DUMMYFUNCTION("""COMPUTED_VALUE"""),"loss")</f>
        <v>loss</v>
      </c>
      <c r="G202" s="3" t="str">
        <f>IFERROR(__xludf.DUMMYFUNCTION("""COMPUTED_VALUE"""),"3v3")</f>
        <v>3v3</v>
      </c>
      <c r="H202" s="3" t="str">
        <f>IFERROR(__xludf.DUMMYFUNCTION("IFERROR(TRIM(INDEX(SPLIT(E202,"" + ""),1)),"""")"),"Anbuu")</f>
        <v>Anbuu</v>
      </c>
      <c r="I202" s="3" t="str">
        <f>IFERROR(__xludf.DUMMYFUNCTION("IFERROR(TRIM(INDEX(SPLIT(E202,"" + ""),2)),"""")"),"Malena")</f>
        <v>Malena</v>
      </c>
      <c r="J202" s="5" t="str">
        <f>IFERROR(__xludf.DUMMYFUNCTION("IFERROR(TRIM(INDEX(SPLIT(E202,"" + ""),3)),"""")"),"Nebus.")</f>
        <v>Nebus.</v>
      </c>
      <c r="K202" s="3">
        <f>IFERROR(__xludf.DUMMYFUNCTION("IFERROR(IF(H202="""",0,INDEX(FILTER($Q$2:Q201,$C$2:C201=H202,$G$2:G201=G202),ROWS(FILTER($Q$2:Q201,$C$2:C201=H202,$G$2:G201=G202)),1)),1500)"),1518.0)</f>
        <v>1518</v>
      </c>
      <c r="L202" s="3">
        <f>IFERROR(__xludf.DUMMYFUNCTION("IFERROR(IF(I202="""",0,INDEX(FILTER($Q$2:Q201,$C$2:C201=I202,$G$2:G201=G202),ROWS(FILTER($Q$2:Q201,$C$2:C201=I202,$G$2:G201=G202)),1)),1500)"),1477.0)</f>
        <v>1477</v>
      </c>
      <c r="M202" s="3">
        <f>IFERROR(__xludf.DUMMYFUNCTION("IFERROR(IF(J202="""",0,INDEX(FILTER($Q$2:Q201,$C$2:C201=J202,$G$2:G201=G202),ROWS(FILTER($Q$2:Q201,$C$2:C201=J202,$G$2:G201=G202)),1)),1500)"),1556.0)</f>
        <v>1556</v>
      </c>
      <c r="N202" s="3">
        <f>IFERROR(__xludf.DUMMYFUNCTION("IFERROR(INDEX(FILTER($Q$2:Q201,$C$2:C201=C202,$G$2:G201=G202),ROWS(FILTER($Q$2:Q201,$C$2:C201=C202,$G$2:G201=G202)),1),1500)"),1529.0)</f>
        <v>1529</v>
      </c>
      <c r="O202" s="3">
        <f t="shared" si="3"/>
        <v>1517</v>
      </c>
      <c r="P202" s="9">
        <f t="shared" si="1"/>
        <v>-17</v>
      </c>
      <c r="Q202" s="5">
        <f t="shared" si="2"/>
        <v>1512</v>
      </c>
    </row>
    <row r="203">
      <c r="A203" s="3" t="str">
        <f>IFERROR(__xludf.DUMMYFUNCTION("""COMPUTED_VALUE"""),"18sGw2rnoxKmm4AA4UNOm9kaJOGciI0Iz")</f>
        <v>18sGw2rnoxKmm4AA4UNOm9kaJOGciI0Iz</v>
      </c>
      <c r="B203" s="13">
        <f>IFERROR(__xludf.DUMMYFUNCTION("""COMPUTED_VALUE"""),45976.0)</f>
        <v>45976</v>
      </c>
      <c r="C203" s="3" t="str">
        <f>IFERROR(__xludf.DUMMYFUNCTION("""COMPUTED_VALUE"""),"Kesny")</f>
        <v>Kesny</v>
      </c>
      <c r="D203" s="3" t="str">
        <f>IFERROR(__xludf.DUMMYFUNCTION("""COMPUTED_VALUE"""),"Kesny + Troniix + ZeroO")</f>
        <v>Kesny + Troniix + ZeroO</v>
      </c>
      <c r="E203" s="3" t="str">
        <f>IFERROR(__xludf.DUMMYFUNCTION("""COMPUTED_VALUE"""),"Anbuu + Malena + Nebus.")</f>
        <v>Anbuu + Malena + Nebus.</v>
      </c>
      <c r="F203" s="3" t="str">
        <f>IFERROR(__xludf.DUMMYFUNCTION("""COMPUTED_VALUE"""),"loss")</f>
        <v>loss</v>
      </c>
      <c r="G203" s="3" t="str">
        <f>IFERROR(__xludf.DUMMYFUNCTION("""COMPUTED_VALUE"""),"3v3")</f>
        <v>3v3</v>
      </c>
      <c r="H203" s="3" t="str">
        <f>IFERROR(__xludf.DUMMYFUNCTION("IFERROR(TRIM(INDEX(SPLIT(E203,"" + ""),1)),"""")"),"Anbuu")</f>
        <v>Anbuu</v>
      </c>
      <c r="I203" s="3" t="str">
        <f>IFERROR(__xludf.DUMMYFUNCTION("IFERROR(TRIM(INDEX(SPLIT(E203,"" + ""),2)),"""")"),"Malena")</f>
        <v>Malena</v>
      </c>
      <c r="J203" s="5" t="str">
        <f>IFERROR(__xludf.DUMMYFUNCTION("IFERROR(TRIM(INDEX(SPLIT(E203,"" + ""),3)),"""")"),"Nebus.")</f>
        <v>Nebus.</v>
      </c>
      <c r="K203" s="3">
        <f>IFERROR(__xludf.DUMMYFUNCTION("IFERROR(IF(H203="""",0,INDEX(FILTER($Q$2:Q202,$C$2:C202=H203,$G$2:G202=G203),ROWS(FILTER($Q$2:Q202,$C$2:C202=H203,$G$2:G202=G203)),1)),1500)"),1518.0)</f>
        <v>1518</v>
      </c>
      <c r="L203" s="3">
        <f>IFERROR(__xludf.DUMMYFUNCTION("IFERROR(IF(I203="""",0,INDEX(FILTER($Q$2:Q202,$C$2:C202=I203,$G$2:G202=G203),ROWS(FILTER($Q$2:Q202,$C$2:C202=I203,$G$2:G202=G203)),1)),1500)"),1477.0)</f>
        <v>1477</v>
      </c>
      <c r="M203" s="3">
        <f>IFERROR(__xludf.DUMMYFUNCTION("IFERROR(IF(J203="""",0,INDEX(FILTER($Q$2:Q202,$C$2:C202=J203,$G$2:G202=G203),ROWS(FILTER($Q$2:Q202,$C$2:C202=J203,$G$2:G202=G203)),1)),1500)"),1556.0)</f>
        <v>1556</v>
      </c>
      <c r="N203" s="3">
        <f>IFERROR(__xludf.DUMMYFUNCTION("IFERROR(INDEX(FILTER($Q$2:Q202,$C$2:C202=C203,$G$2:G202=G203),ROWS(FILTER($Q$2:Q202,$C$2:C202=C203,$G$2:G202=G203)),1),1500)"),1467.0)</f>
        <v>1467</v>
      </c>
      <c r="O203" s="3">
        <f t="shared" si="3"/>
        <v>1517</v>
      </c>
      <c r="P203" s="9">
        <f t="shared" si="1"/>
        <v>-14</v>
      </c>
      <c r="Q203" s="5">
        <f t="shared" si="2"/>
        <v>1453</v>
      </c>
    </row>
    <row r="204">
      <c r="A204" s="3" t="str">
        <f>IFERROR(__xludf.DUMMYFUNCTION("""COMPUTED_VALUE"""),"18sGw2rnoxKmm4AA4UNOm9kaJOGciI0Iz")</f>
        <v>18sGw2rnoxKmm4AA4UNOm9kaJOGciI0Iz</v>
      </c>
      <c r="B204" s="13">
        <f>IFERROR(__xludf.DUMMYFUNCTION("""COMPUTED_VALUE"""),45976.0)</f>
        <v>45976</v>
      </c>
      <c r="C204" s="3" t="str">
        <f>IFERROR(__xludf.DUMMYFUNCTION("""COMPUTED_VALUE"""),"Troniix")</f>
        <v>Troniix</v>
      </c>
      <c r="D204" s="3" t="str">
        <f>IFERROR(__xludf.DUMMYFUNCTION("""COMPUTED_VALUE"""),"Kesny + Troniix + ZeroO")</f>
        <v>Kesny + Troniix + ZeroO</v>
      </c>
      <c r="E204" s="3" t="str">
        <f>IFERROR(__xludf.DUMMYFUNCTION("""COMPUTED_VALUE"""),"Anbuu + Malena + Nebus.")</f>
        <v>Anbuu + Malena + Nebus.</v>
      </c>
      <c r="F204" s="3" t="str">
        <f>IFERROR(__xludf.DUMMYFUNCTION("""COMPUTED_VALUE"""),"loss")</f>
        <v>loss</v>
      </c>
      <c r="G204" s="3" t="str">
        <f>IFERROR(__xludf.DUMMYFUNCTION("""COMPUTED_VALUE"""),"3v3")</f>
        <v>3v3</v>
      </c>
      <c r="H204" s="3" t="str">
        <f>IFERROR(__xludf.DUMMYFUNCTION("IFERROR(TRIM(INDEX(SPLIT(E204,"" + ""),1)),"""")"),"Anbuu")</f>
        <v>Anbuu</v>
      </c>
      <c r="I204" s="3" t="str">
        <f>IFERROR(__xludf.DUMMYFUNCTION("IFERROR(TRIM(INDEX(SPLIT(E204,"" + ""),2)),"""")"),"Malena")</f>
        <v>Malena</v>
      </c>
      <c r="J204" s="5" t="str">
        <f>IFERROR(__xludf.DUMMYFUNCTION("IFERROR(TRIM(INDEX(SPLIT(E204,"" + ""),3)),"""")"),"Nebus.")</f>
        <v>Nebus.</v>
      </c>
      <c r="K204" s="3">
        <f>IFERROR(__xludf.DUMMYFUNCTION("IFERROR(IF(H204="""",0,INDEX(FILTER($Q$2:Q203,$C$2:C203=H204,$G$2:G203=G204),ROWS(FILTER($Q$2:Q203,$C$2:C203=H204,$G$2:G203=G204)),1)),1500)"),1518.0)</f>
        <v>1518</v>
      </c>
      <c r="L204" s="3">
        <f>IFERROR(__xludf.DUMMYFUNCTION("IFERROR(IF(I204="""",0,INDEX(FILTER($Q$2:Q203,$C$2:C203=I204,$G$2:G203=G204),ROWS(FILTER($Q$2:Q203,$C$2:C203=I204,$G$2:G203=G204)),1)),1500)"),1477.0)</f>
        <v>1477</v>
      </c>
      <c r="M204" s="3">
        <f>IFERROR(__xludf.DUMMYFUNCTION("IFERROR(IF(J204="""",0,INDEX(FILTER($Q$2:Q203,$C$2:C203=J204,$G$2:G203=G204),ROWS(FILTER($Q$2:Q203,$C$2:C203=J204,$G$2:G203=G204)),1)),1500)"),1556.0)</f>
        <v>1556</v>
      </c>
      <c r="N204" s="3">
        <f>IFERROR(__xludf.DUMMYFUNCTION("IFERROR(INDEX(FILTER($Q$2:Q203,$C$2:C203=C204,$G$2:G203=G204),ROWS(FILTER($Q$2:Q203,$C$2:C203=C204,$G$2:G203=G204)),1),1500)"),1500.0)</f>
        <v>1500</v>
      </c>
      <c r="O204" s="3">
        <f t="shared" si="3"/>
        <v>1517</v>
      </c>
      <c r="P204" s="9">
        <f t="shared" si="1"/>
        <v>-15</v>
      </c>
      <c r="Q204" s="5">
        <f t="shared" si="2"/>
        <v>1485</v>
      </c>
    </row>
    <row r="205">
      <c r="A205" s="3" t="str">
        <f>IFERROR(__xludf.DUMMYFUNCTION("""COMPUTED_VALUE"""),"18sGw2rnoxKmm4AA4UNOm9kaJOGciI0Iz")</f>
        <v>18sGw2rnoxKmm4AA4UNOm9kaJOGciI0Iz</v>
      </c>
      <c r="B205" s="13">
        <f>IFERROR(__xludf.DUMMYFUNCTION("""COMPUTED_VALUE"""),45976.0)</f>
        <v>45976</v>
      </c>
      <c r="C205" s="3" t="str">
        <f>IFERROR(__xludf.DUMMYFUNCTION("""COMPUTED_VALUE"""),"Malena")</f>
        <v>Malena</v>
      </c>
      <c r="D205" s="3" t="str">
        <f>IFERROR(__xludf.DUMMYFUNCTION("""COMPUTED_VALUE"""),"Anbuu + Malena + Nebus.")</f>
        <v>Anbuu + Malena + Nebus.</v>
      </c>
      <c r="E205" s="3" t="str">
        <f>IFERROR(__xludf.DUMMYFUNCTION("""COMPUTED_VALUE"""),"Kesny + Troniix + ZeroO")</f>
        <v>Kesny + Troniix + ZeroO</v>
      </c>
      <c r="F205" s="3" t="str">
        <f>IFERROR(__xludf.DUMMYFUNCTION("""COMPUTED_VALUE"""),"win")</f>
        <v>win</v>
      </c>
      <c r="G205" s="3" t="str">
        <f>IFERROR(__xludf.DUMMYFUNCTION("""COMPUTED_VALUE"""),"3v3")</f>
        <v>3v3</v>
      </c>
      <c r="H205" s="3" t="str">
        <f>IFERROR(__xludf.DUMMYFUNCTION("IFERROR(TRIM(INDEX(SPLIT(E205,"" + ""),1)),"""")"),"Kesny")</f>
        <v>Kesny</v>
      </c>
      <c r="I205" s="3" t="str">
        <f>IFERROR(__xludf.DUMMYFUNCTION("IFERROR(TRIM(INDEX(SPLIT(E205,"" + ""),2)),"""")"),"Troniix")</f>
        <v>Troniix</v>
      </c>
      <c r="J205" s="5" t="str">
        <f>IFERROR(__xludf.DUMMYFUNCTION("IFERROR(TRIM(INDEX(SPLIT(E205,"" + ""),3)),"""")"),"ZeroO")</f>
        <v>ZeroO</v>
      </c>
      <c r="K205" s="3">
        <f>IFERROR(__xludf.DUMMYFUNCTION("IFERROR(IF(H205="""",0,INDEX(FILTER($Q$2:Q204,$C$2:C204=H205,$G$2:G204=G205),ROWS(FILTER($Q$2:Q204,$C$2:C204=H205,$G$2:G204=G205)),1)),1500)"),1453.0)</f>
        <v>1453</v>
      </c>
      <c r="L205" s="3">
        <f>IFERROR(__xludf.DUMMYFUNCTION("IFERROR(IF(I205="""",0,INDEX(FILTER($Q$2:Q204,$C$2:C204=I205,$G$2:G204=G205),ROWS(FILTER($Q$2:Q204,$C$2:C204=I205,$G$2:G204=G205)),1)),1500)"),1485.0)</f>
        <v>1485</v>
      </c>
      <c r="M205" s="3">
        <f>IFERROR(__xludf.DUMMYFUNCTION("IFERROR(IF(J205="""",0,INDEX(FILTER($Q$2:Q204,$C$2:C204=J205,$G$2:G204=G205),ROWS(FILTER($Q$2:Q204,$C$2:C204=J205,$G$2:G204=G205)),1)),1500)"),1512.0)</f>
        <v>1512</v>
      </c>
      <c r="N205" s="3">
        <f>IFERROR(__xludf.DUMMYFUNCTION("IFERROR(INDEX(FILTER($Q$2:Q204,$C$2:C204=C205,$G$2:G204=G205),ROWS(FILTER($Q$2:Q204,$C$2:C204=C205,$G$2:G204=G205)),1),1500)"),1477.0)</f>
        <v>1477</v>
      </c>
      <c r="O205" s="3">
        <f t="shared" si="3"/>
        <v>1483.333333</v>
      </c>
      <c r="P205" s="9">
        <f t="shared" si="1"/>
        <v>16</v>
      </c>
      <c r="Q205" s="5">
        <f t="shared" si="2"/>
        <v>1493</v>
      </c>
    </row>
    <row r="206">
      <c r="A206" s="3" t="str">
        <f>IFERROR(__xludf.DUMMYFUNCTION("""COMPUTED_VALUE"""),"18sGw2rnoxKmm4AA4UNOm9kaJOGciI0Iz")</f>
        <v>18sGw2rnoxKmm4AA4UNOm9kaJOGciI0Iz</v>
      </c>
      <c r="B206" s="13">
        <f>IFERROR(__xludf.DUMMYFUNCTION("""COMPUTED_VALUE"""),45976.0)</f>
        <v>45976</v>
      </c>
      <c r="C206" s="3" t="str">
        <f>IFERROR(__xludf.DUMMYFUNCTION("""COMPUTED_VALUE"""),"Nebus.")</f>
        <v>Nebus.</v>
      </c>
      <c r="D206" s="3" t="str">
        <f>IFERROR(__xludf.DUMMYFUNCTION("""COMPUTED_VALUE"""),"Anbuu + Malena + Nebus.")</f>
        <v>Anbuu + Malena + Nebus.</v>
      </c>
      <c r="E206" s="3" t="str">
        <f>IFERROR(__xludf.DUMMYFUNCTION("""COMPUTED_VALUE"""),"Kesny + Troniix + ZeroO")</f>
        <v>Kesny + Troniix + ZeroO</v>
      </c>
      <c r="F206" s="3" t="str">
        <f>IFERROR(__xludf.DUMMYFUNCTION("""COMPUTED_VALUE"""),"win")</f>
        <v>win</v>
      </c>
      <c r="G206" s="3" t="str">
        <f>IFERROR(__xludf.DUMMYFUNCTION("""COMPUTED_VALUE"""),"3v3")</f>
        <v>3v3</v>
      </c>
      <c r="H206" s="3" t="str">
        <f>IFERROR(__xludf.DUMMYFUNCTION("IFERROR(TRIM(INDEX(SPLIT(E206,"" + ""),1)),"""")"),"Kesny")</f>
        <v>Kesny</v>
      </c>
      <c r="I206" s="3" t="str">
        <f>IFERROR(__xludf.DUMMYFUNCTION("IFERROR(TRIM(INDEX(SPLIT(E206,"" + ""),2)),"""")"),"Troniix")</f>
        <v>Troniix</v>
      </c>
      <c r="J206" s="5" t="str">
        <f>IFERROR(__xludf.DUMMYFUNCTION("IFERROR(TRIM(INDEX(SPLIT(E206,"" + ""),3)),"""")"),"ZeroO")</f>
        <v>ZeroO</v>
      </c>
      <c r="K206" s="3">
        <f>IFERROR(__xludf.DUMMYFUNCTION("IFERROR(IF(H206="""",0,INDEX(FILTER($Q$2:Q205,$C$2:C205=H206,$G$2:G205=G206),ROWS(FILTER($Q$2:Q205,$C$2:C205=H206,$G$2:G205=G206)),1)),1500)"),1453.0)</f>
        <v>1453</v>
      </c>
      <c r="L206" s="3">
        <f>IFERROR(__xludf.DUMMYFUNCTION("IFERROR(IF(I206="""",0,INDEX(FILTER($Q$2:Q205,$C$2:C205=I206,$G$2:G205=G206),ROWS(FILTER($Q$2:Q205,$C$2:C205=I206,$G$2:G205=G206)),1)),1500)"),1485.0)</f>
        <v>1485</v>
      </c>
      <c r="M206" s="3">
        <f>IFERROR(__xludf.DUMMYFUNCTION("IFERROR(IF(J206="""",0,INDEX(FILTER($Q$2:Q205,$C$2:C205=J206,$G$2:G205=G206),ROWS(FILTER($Q$2:Q205,$C$2:C205=J206,$G$2:G205=G206)),1)),1500)"),1512.0)</f>
        <v>1512</v>
      </c>
      <c r="N206" s="3">
        <f>IFERROR(__xludf.DUMMYFUNCTION("IFERROR(INDEX(FILTER($Q$2:Q205,$C$2:C205=C206,$G$2:G205=G206),ROWS(FILTER($Q$2:Q205,$C$2:C205=C206,$G$2:G205=G206)),1),1500)"),1556.0)</f>
        <v>1556</v>
      </c>
      <c r="O206" s="3">
        <f t="shared" si="3"/>
        <v>1483.333333</v>
      </c>
      <c r="P206" s="9">
        <f t="shared" si="1"/>
        <v>13</v>
      </c>
      <c r="Q206" s="5">
        <f t="shared" si="2"/>
        <v>1569</v>
      </c>
    </row>
    <row r="207">
      <c r="A207" s="3" t="str">
        <f>IFERROR(__xludf.DUMMYFUNCTION("""COMPUTED_VALUE"""),"18sGw2rnoxKmm4AA4UNOm9kaJOGciI0Iz")</f>
        <v>18sGw2rnoxKmm4AA4UNOm9kaJOGciI0Iz</v>
      </c>
      <c r="B207" s="13">
        <f>IFERROR(__xludf.DUMMYFUNCTION("""COMPUTED_VALUE"""),45976.0)</f>
        <v>45976</v>
      </c>
      <c r="C207" s="3" t="str">
        <f>IFERROR(__xludf.DUMMYFUNCTION("""COMPUTED_VALUE"""),"Anbuu")</f>
        <v>Anbuu</v>
      </c>
      <c r="D207" s="3" t="str">
        <f>IFERROR(__xludf.DUMMYFUNCTION("""COMPUTED_VALUE"""),"Anbuu + Malena + Nebus.")</f>
        <v>Anbuu + Malena + Nebus.</v>
      </c>
      <c r="E207" s="3" t="str">
        <f>IFERROR(__xludf.DUMMYFUNCTION("""COMPUTED_VALUE"""),"Kesny + Troniix + ZeroO")</f>
        <v>Kesny + Troniix + ZeroO</v>
      </c>
      <c r="F207" s="3" t="str">
        <f>IFERROR(__xludf.DUMMYFUNCTION("""COMPUTED_VALUE"""),"win")</f>
        <v>win</v>
      </c>
      <c r="G207" s="3" t="str">
        <f>IFERROR(__xludf.DUMMYFUNCTION("""COMPUTED_VALUE"""),"3v3")</f>
        <v>3v3</v>
      </c>
      <c r="H207" s="3" t="str">
        <f>IFERROR(__xludf.DUMMYFUNCTION("IFERROR(TRIM(INDEX(SPLIT(E207,"" + ""),1)),"""")"),"Kesny")</f>
        <v>Kesny</v>
      </c>
      <c r="I207" s="3" t="str">
        <f>IFERROR(__xludf.DUMMYFUNCTION("IFERROR(TRIM(INDEX(SPLIT(E207,"" + ""),2)),"""")"),"Troniix")</f>
        <v>Troniix</v>
      </c>
      <c r="J207" s="5" t="str">
        <f>IFERROR(__xludf.DUMMYFUNCTION("IFERROR(TRIM(INDEX(SPLIT(E207,"" + ""),3)),"""")"),"ZeroO")</f>
        <v>ZeroO</v>
      </c>
      <c r="K207" s="3">
        <f>IFERROR(__xludf.DUMMYFUNCTION("IFERROR(IF(H207="""",0,INDEX(FILTER($Q$2:Q206,$C$2:C206=H207,$G$2:G206=G207),ROWS(FILTER($Q$2:Q206,$C$2:C206=H207,$G$2:G206=G207)),1)),1500)"),1453.0)</f>
        <v>1453</v>
      </c>
      <c r="L207" s="3">
        <f>IFERROR(__xludf.DUMMYFUNCTION("IFERROR(IF(I207="""",0,INDEX(FILTER($Q$2:Q206,$C$2:C206=I207,$G$2:G206=G207),ROWS(FILTER($Q$2:Q206,$C$2:C206=I207,$G$2:G206=G207)),1)),1500)"),1485.0)</f>
        <v>1485</v>
      </c>
      <c r="M207" s="3">
        <f>IFERROR(__xludf.DUMMYFUNCTION("IFERROR(IF(J207="""",0,INDEX(FILTER($Q$2:Q206,$C$2:C206=J207,$G$2:G206=G207),ROWS(FILTER($Q$2:Q206,$C$2:C206=J207,$G$2:G206=G207)),1)),1500)"),1512.0)</f>
        <v>1512</v>
      </c>
      <c r="N207" s="3">
        <f>IFERROR(__xludf.DUMMYFUNCTION("IFERROR(INDEX(FILTER($Q$2:Q206,$C$2:C206=C207,$G$2:G206=G207),ROWS(FILTER($Q$2:Q206,$C$2:C206=C207,$G$2:G206=G207)),1),1500)"),1518.0)</f>
        <v>1518</v>
      </c>
      <c r="O207" s="3">
        <f t="shared" si="3"/>
        <v>1483.333333</v>
      </c>
      <c r="P207" s="9">
        <f t="shared" si="1"/>
        <v>14</v>
      </c>
      <c r="Q207" s="5">
        <f t="shared" si="2"/>
        <v>1532</v>
      </c>
    </row>
    <row r="208">
      <c r="A208" s="3" t="str">
        <f>IFERROR(__xludf.DUMMYFUNCTION("""COMPUTED_VALUE"""),"1ZreXW5RYJWpq8fmBZEf9alRbyJzOpm04")</f>
        <v>1ZreXW5RYJWpq8fmBZEf9alRbyJzOpm04</v>
      </c>
      <c r="B208" s="13">
        <f>IFERROR(__xludf.DUMMYFUNCTION("""COMPUTED_VALUE"""),45976.0)</f>
        <v>45976</v>
      </c>
      <c r="C208" s="3" t="str">
        <f>IFERROR(__xludf.DUMMYFUNCTION("""COMPUTED_VALUE"""),"Malena")</f>
        <v>Malena</v>
      </c>
      <c r="D208" s="3" t="str">
        <f>IFERROR(__xludf.DUMMYFUNCTION("""COMPUTED_VALUE"""),"Anbuu + Malena + Nebus.")</f>
        <v>Anbuu + Malena + Nebus.</v>
      </c>
      <c r="E208" s="3" t="str">
        <f>IFERROR(__xludf.DUMMYFUNCTION("""COMPUTED_VALUE"""),"Kesny + Troniix + ZeroO")</f>
        <v>Kesny + Troniix + ZeroO</v>
      </c>
      <c r="F208" s="3" t="str">
        <f>IFERROR(__xludf.DUMMYFUNCTION("""COMPUTED_VALUE"""),"win")</f>
        <v>win</v>
      </c>
      <c r="G208" s="3" t="str">
        <f>IFERROR(__xludf.DUMMYFUNCTION("""COMPUTED_VALUE"""),"3v3")</f>
        <v>3v3</v>
      </c>
      <c r="H208" s="3" t="str">
        <f>IFERROR(__xludf.DUMMYFUNCTION("IFERROR(TRIM(INDEX(SPLIT(E208,"" + ""),1)),"""")"),"Kesny")</f>
        <v>Kesny</v>
      </c>
      <c r="I208" s="3" t="str">
        <f>IFERROR(__xludf.DUMMYFUNCTION("IFERROR(TRIM(INDEX(SPLIT(E208,"" + ""),2)),"""")"),"Troniix")</f>
        <v>Troniix</v>
      </c>
      <c r="J208" s="5" t="str">
        <f>IFERROR(__xludf.DUMMYFUNCTION("IFERROR(TRIM(INDEX(SPLIT(E208,"" + ""),3)),"""")"),"ZeroO")</f>
        <v>ZeroO</v>
      </c>
      <c r="K208" s="3">
        <f>IFERROR(__xludf.DUMMYFUNCTION("IFERROR(IF(H208="""",0,INDEX(FILTER($Q$2:Q207,$C$2:C207=H208,$G$2:G207=G208),ROWS(FILTER($Q$2:Q207,$C$2:C207=H208,$G$2:G207=G208)),1)),1500)"),1453.0)</f>
        <v>1453</v>
      </c>
      <c r="L208" s="3">
        <f>IFERROR(__xludf.DUMMYFUNCTION("IFERROR(IF(I208="""",0,INDEX(FILTER($Q$2:Q207,$C$2:C207=I208,$G$2:G207=G208),ROWS(FILTER($Q$2:Q207,$C$2:C207=I208,$G$2:G207=G208)),1)),1500)"),1485.0)</f>
        <v>1485</v>
      </c>
      <c r="M208" s="3">
        <f>IFERROR(__xludf.DUMMYFUNCTION("IFERROR(IF(J208="""",0,INDEX(FILTER($Q$2:Q207,$C$2:C207=J208,$G$2:G207=G208),ROWS(FILTER($Q$2:Q207,$C$2:C207=J208,$G$2:G207=G208)),1)),1500)"),1512.0)</f>
        <v>1512</v>
      </c>
      <c r="N208" s="3">
        <f>IFERROR(__xludf.DUMMYFUNCTION("IFERROR(INDEX(FILTER($Q$2:Q207,$C$2:C207=C208,$G$2:G207=G208),ROWS(FILTER($Q$2:Q207,$C$2:C207=C208,$G$2:G207=G208)),1),1500)"),1493.0)</f>
        <v>1493</v>
      </c>
      <c r="O208" s="3">
        <f t="shared" si="3"/>
        <v>1483.333333</v>
      </c>
      <c r="P208" s="9">
        <f t="shared" si="1"/>
        <v>16</v>
      </c>
      <c r="Q208" s="5">
        <f t="shared" si="2"/>
        <v>1509</v>
      </c>
    </row>
    <row r="209">
      <c r="A209" s="3" t="str">
        <f>IFERROR(__xludf.DUMMYFUNCTION("""COMPUTED_VALUE"""),"1ZreXW5RYJWpq8fmBZEf9alRbyJzOpm04")</f>
        <v>1ZreXW5RYJWpq8fmBZEf9alRbyJzOpm04</v>
      </c>
      <c r="B209" s="13">
        <f>IFERROR(__xludf.DUMMYFUNCTION("""COMPUTED_VALUE"""),45976.0)</f>
        <v>45976</v>
      </c>
      <c r="C209" s="3" t="str">
        <f>IFERROR(__xludf.DUMMYFUNCTION("""COMPUTED_VALUE"""),"Anbuu")</f>
        <v>Anbuu</v>
      </c>
      <c r="D209" s="3" t="str">
        <f>IFERROR(__xludf.DUMMYFUNCTION("""COMPUTED_VALUE"""),"Anbuu + Malena + Nebus.")</f>
        <v>Anbuu + Malena + Nebus.</v>
      </c>
      <c r="E209" s="3" t="str">
        <f>IFERROR(__xludf.DUMMYFUNCTION("""COMPUTED_VALUE"""),"Kesny + Troniix + ZeroO")</f>
        <v>Kesny + Troniix + ZeroO</v>
      </c>
      <c r="F209" s="3" t="str">
        <f>IFERROR(__xludf.DUMMYFUNCTION("""COMPUTED_VALUE"""),"win")</f>
        <v>win</v>
      </c>
      <c r="G209" s="3" t="str">
        <f>IFERROR(__xludf.DUMMYFUNCTION("""COMPUTED_VALUE"""),"3v3")</f>
        <v>3v3</v>
      </c>
      <c r="H209" s="3" t="str">
        <f>IFERROR(__xludf.DUMMYFUNCTION("IFERROR(TRIM(INDEX(SPLIT(E209,"" + ""),1)),"""")"),"Kesny")</f>
        <v>Kesny</v>
      </c>
      <c r="I209" s="3" t="str">
        <f>IFERROR(__xludf.DUMMYFUNCTION("IFERROR(TRIM(INDEX(SPLIT(E209,"" + ""),2)),"""")"),"Troniix")</f>
        <v>Troniix</v>
      </c>
      <c r="J209" s="5" t="str">
        <f>IFERROR(__xludf.DUMMYFUNCTION("IFERROR(TRIM(INDEX(SPLIT(E209,"" + ""),3)),"""")"),"ZeroO")</f>
        <v>ZeroO</v>
      </c>
      <c r="K209" s="3">
        <f>IFERROR(__xludf.DUMMYFUNCTION("IFERROR(IF(H209="""",0,INDEX(FILTER($Q$2:Q208,$C$2:C208=H209,$G$2:G208=G209),ROWS(FILTER($Q$2:Q208,$C$2:C208=H209,$G$2:G208=G209)),1)),1500)"),1453.0)</f>
        <v>1453</v>
      </c>
      <c r="L209" s="3">
        <f>IFERROR(__xludf.DUMMYFUNCTION("IFERROR(IF(I209="""",0,INDEX(FILTER($Q$2:Q208,$C$2:C208=I209,$G$2:G208=G209),ROWS(FILTER($Q$2:Q208,$C$2:C208=I209,$G$2:G208=G209)),1)),1500)"),1485.0)</f>
        <v>1485</v>
      </c>
      <c r="M209" s="3">
        <f>IFERROR(__xludf.DUMMYFUNCTION("IFERROR(IF(J209="""",0,INDEX(FILTER($Q$2:Q208,$C$2:C208=J209,$G$2:G208=G209),ROWS(FILTER($Q$2:Q208,$C$2:C208=J209,$G$2:G208=G209)),1)),1500)"),1512.0)</f>
        <v>1512</v>
      </c>
      <c r="N209" s="3">
        <f>IFERROR(__xludf.DUMMYFUNCTION("IFERROR(INDEX(FILTER($Q$2:Q208,$C$2:C208=C209,$G$2:G208=G209),ROWS(FILTER($Q$2:Q208,$C$2:C208=C209,$G$2:G208=G209)),1),1500)"),1532.0)</f>
        <v>1532</v>
      </c>
      <c r="O209" s="3">
        <f t="shared" si="3"/>
        <v>1483.333333</v>
      </c>
      <c r="P209" s="9">
        <f t="shared" si="1"/>
        <v>14</v>
      </c>
      <c r="Q209" s="5">
        <f t="shared" si="2"/>
        <v>1546</v>
      </c>
    </row>
    <row r="210">
      <c r="A210" s="3" t="str">
        <f>IFERROR(__xludf.DUMMYFUNCTION("""COMPUTED_VALUE"""),"1ZreXW5RYJWpq8fmBZEf9alRbyJzOpm04")</f>
        <v>1ZreXW5RYJWpq8fmBZEf9alRbyJzOpm04</v>
      </c>
      <c r="B210" s="13">
        <f>IFERROR(__xludf.DUMMYFUNCTION("""COMPUTED_VALUE"""),45976.0)</f>
        <v>45976</v>
      </c>
      <c r="C210" s="3" t="str">
        <f>IFERROR(__xludf.DUMMYFUNCTION("""COMPUTED_VALUE"""),"Nebus.")</f>
        <v>Nebus.</v>
      </c>
      <c r="D210" s="3" t="str">
        <f>IFERROR(__xludf.DUMMYFUNCTION("""COMPUTED_VALUE"""),"Anbuu + Malena + Nebus.")</f>
        <v>Anbuu + Malena + Nebus.</v>
      </c>
      <c r="E210" s="3" t="str">
        <f>IFERROR(__xludf.DUMMYFUNCTION("""COMPUTED_VALUE"""),"Kesny + Troniix + ZeroO")</f>
        <v>Kesny + Troniix + ZeroO</v>
      </c>
      <c r="F210" s="3" t="str">
        <f>IFERROR(__xludf.DUMMYFUNCTION("""COMPUTED_VALUE"""),"win")</f>
        <v>win</v>
      </c>
      <c r="G210" s="3" t="str">
        <f>IFERROR(__xludf.DUMMYFUNCTION("""COMPUTED_VALUE"""),"3v3")</f>
        <v>3v3</v>
      </c>
      <c r="H210" s="3" t="str">
        <f>IFERROR(__xludf.DUMMYFUNCTION("IFERROR(TRIM(INDEX(SPLIT(E210,"" + ""),1)),"""")"),"Kesny")</f>
        <v>Kesny</v>
      </c>
      <c r="I210" s="3" t="str">
        <f>IFERROR(__xludf.DUMMYFUNCTION("IFERROR(TRIM(INDEX(SPLIT(E210,"" + ""),2)),"""")"),"Troniix")</f>
        <v>Troniix</v>
      </c>
      <c r="J210" s="5" t="str">
        <f>IFERROR(__xludf.DUMMYFUNCTION("IFERROR(TRIM(INDEX(SPLIT(E210,"" + ""),3)),"""")"),"ZeroO")</f>
        <v>ZeroO</v>
      </c>
      <c r="K210" s="3">
        <f>IFERROR(__xludf.DUMMYFUNCTION("IFERROR(IF(H210="""",0,INDEX(FILTER($Q$2:Q209,$C$2:C209=H210,$G$2:G209=G210),ROWS(FILTER($Q$2:Q209,$C$2:C209=H210,$G$2:G209=G210)),1)),1500)"),1453.0)</f>
        <v>1453</v>
      </c>
      <c r="L210" s="3">
        <f>IFERROR(__xludf.DUMMYFUNCTION("IFERROR(IF(I210="""",0,INDEX(FILTER($Q$2:Q209,$C$2:C209=I210,$G$2:G209=G210),ROWS(FILTER($Q$2:Q209,$C$2:C209=I210,$G$2:G209=G210)),1)),1500)"),1485.0)</f>
        <v>1485</v>
      </c>
      <c r="M210" s="3">
        <f>IFERROR(__xludf.DUMMYFUNCTION("IFERROR(IF(J210="""",0,INDEX(FILTER($Q$2:Q209,$C$2:C209=J210,$G$2:G209=G210),ROWS(FILTER($Q$2:Q209,$C$2:C209=J210,$G$2:G209=G210)),1)),1500)"),1512.0)</f>
        <v>1512</v>
      </c>
      <c r="N210" s="3">
        <f>IFERROR(__xludf.DUMMYFUNCTION("IFERROR(INDEX(FILTER($Q$2:Q209,$C$2:C209=C210,$G$2:G209=G210),ROWS(FILTER($Q$2:Q209,$C$2:C209=C210,$G$2:G209=G210)),1),1500)"),1569.0)</f>
        <v>1569</v>
      </c>
      <c r="O210" s="3">
        <f t="shared" si="3"/>
        <v>1483.333333</v>
      </c>
      <c r="P210" s="9">
        <f t="shared" si="1"/>
        <v>12</v>
      </c>
      <c r="Q210" s="5">
        <f t="shared" si="2"/>
        <v>1581</v>
      </c>
    </row>
    <row r="211">
      <c r="A211" s="3" t="str">
        <f>IFERROR(__xludf.DUMMYFUNCTION("""COMPUTED_VALUE"""),"1ZreXW5RYJWpq8fmBZEf9alRbyJzOpm04")</f>
        <v>1ZreXW5RYJWpq8fmBZEf9alRbyJzOpm04</v>
      </c>
      <c r="B211" s="13">
        <f>IFERROR(__xludf.DUMMYFUNCTION("""COMPUTED_VALUE"""),45976.0)</f>
        <v>45976</v>
      </c>
      <c r="C211" s="3" t="str">
        <f>IFERROR(__xludf.DUMMYFUNCTION("""COMPUTED_VALUE"""),"ZeroO")</f>
        <v>ZeroO</v>
      </c>
      <c r="D211" s="3" t="str">
        <f>IFERROR(__xludf.DUMMYFUNCTION("""COMPUTED_VALUE"""),"Kesny + Troniix + ZeroO")</f>
        <v>Kesny + Troniix + ZeroO</v>
      </c>
      <c r="E211" s="3" t="str">
        <f>IFERROR(__xludf.DUMMYFUNCTION("""COMPUTED_VALUE"""),"Anbuu + Malena + Nebus.")</f>
        <v>Anbuu + Malena + Nebus.</v>
      </c>
      <c r="F211" s="3" t="str">
        <f>IFERROR(__xludf.DUMMYFUNCTION("""COMPUTED_VALUE"""),"loss")</f>
        <v>loss</v>
      </c>
      <c r="G211" s="3" t="str">
        <f>IFERROR(__xludf.DUMMYFUNCTION("""COMPUTED_VALUE"""),"3v3")</f>
        <v>3v3</v>
      </c>
      <c r="H211" s="3" t="str">
        <f>IFERROR(__xludf.DUMMYFUNCTION("IFERROR(TRIM(INDEX(SPLIT(E211,"" + ""),1)),"""")"),"Anbuu")</f>
        <v>Anbuu</v>
      </c>
      <c r="I211" s="3" t="str">
        <f>IFERROR(__xludf.DUMMYFUNCTION("IFERROR(TRIM(INDEX(SPLIT(E211,"" + ""),2)),"""")"),"Malena")</f>
        <v>Malena</v>
      </c>
      <c r="J211" s="5" t="str">
        <f>IFERROR(__xludf.DUMMYFUNCTION("IFERROR(TRIM(INDEX(SPLIT(E211,"" + ""),3)),"""")"),"Nebus.")</f>
        <v>Nebus.</v>
      </c>
      <c r="K211" s="3">
        <f>IFERROR(__xludf.DUMMYFUNCTION("IFERROR(IF(H211="""",0,INDEX(FILTER($Q$2:Q210,$C$2:C210=H211,$G$2:G210=G211),ROWS(FILTER($Q$2:Q210,$C$2:C210=H211,$G$2:G210=G211)),1)),1500)"),1546.0)</f>
        <v>1546</v>
      </c>
      <c r="L211" s="3">
        <f>IFERROR(__xludf.DUMMYFUNCTION("IFERROR(IF(I211="""",0,INDEX(FILTER($Q$2:Q210,$C$2:C210=I211,$G$2:G210=G211),ROWS(FILTER($Q$2:Q210,$C$2:C210=I211,$G$2:G210=G211)),1)),1500)"),1509.0)</f>
        <v>1509</v>
      </c>
      <c r="M211" s="3">
        <f>IFERROR(__xludf.DUMMYFUNCTION("IFERROR(IF(J211="""",0,INDEX(FILTER($Q$2:Q210,$C$2:C210=J211,$G$2:G210=G211),ROWS(FILTER($Q$2:Q210,$C$2:C210=J211,$G$2:G210=G211)),1)),1500)"),1581.0)</f>
        <v>1581</v>
      </c>
      <c r="N211" s="3">
        <f>IFERROR(__xludf.DUMMYFUNCTION("IFERROR(INDEX(FILTER($Q$2:Q210,$C$2:C210=C211,$G$2:G210=G211),ROWS(FILTER($Q$2:Q210,$C$2:C210=C211,$G$2:G210=G211)),1),1500)"),1512.0)</f>
        <v>1512</v>
      </c>
      <c r="O211" s="3">
        <f t="shared" si="3"/>
        <v>1545.333333</v>
      </c>
      <c r="P211" s="9">
        <f t="shared" si="1"/>
        <v>-14</v>
      </c>
      <c r="Q211" s="5">
        <f t="shared" si="2"/>
        <v>1498</v>
      </c>
    </row>
    <row r="212">
      <c r="A212" s="3" t="str">
        <f>IFERROR(__xludf.DUMMYFUNCTION("""COMPUTED_VALUE"""),"1ZreXW5RYJWpq8fmBZEf9alRbyJzOpm04")</f>
        <v>1ZreXW5RYJWpq8fmBZEf9alRbyJzOpm04</v>
      </c>
      <c r="B212" s="13">
        <f>IFERROR(__xludf.DUMMYFUNCTION("""COMPUTED_VALUE"""),45976.0)</f>
        <v>45976</v>
      </c>
      <c r="C212" s="3" t="str">
        <f>IFERROR(__xludf.DUMMYFUNCTION("""COMPUTED_VALUE"""),"Kesny")</f>
        <v>Kesny</v>
      </c>
      <c r="D212" s="3" t="str">
        <f>IFERROR(__xludf.DUMMYFUNCTION("""COMPUTED_VALUE"""),"Kesny + Troniix + ZeroO")</f>
        <v>Kesny + Troniix + ZeroO</v>
      </c>
      <c r="E212" s="3" t="str">
        <f>IFERROR(__xludf.DUMMYFUNCTION("""COMPUTED_VALUE"""),"Anbuu + Malena + Nebus.")</f>
        <v>Anbuu + Malena + Nebus.</v>
      </c>
      <c r="F212" s="3" t="str">
        <f>IFERROR(__xludf.DUMMYFUNCTION("""COMPUTED_VALUE"""),"loss")</f>
        <v>loss</v>
      </c>
      <c r="G212" s="3" t="str">
        <f>IFERROR(__xludf.DUMMYFUNCTION("""COMPUTED_VALUE"""),"3v3")</f>
        <v>3v3</v>
      </c>
      <c r="H212" s="3" t="str">
        <f>IFERROR(__xludf.DUMMYFUNCTION("IFERROR(TRIM(INDEX(SPLIT(E212,"" + ""),1)),"""")"),"Anbuu")</f>
        <v>Anbuu</v>
      </c>
      <c r="I212" s="3" t="str">
        <f>IFERROR(__xludf.DUMMYFUNCTION("IFERROR(TRIM(INDEX(SPLIT(E212,"" + ""),2)),"""")"),"Malena")</f>
        <v>Malena</v>
      </c>
      <c r="J212" s="5" t="str">
        <f>IFERROR(__xludf.DUMMYFUNCTION("IFERROR(TRIM(INDEX(SPLIT(E212,"" + ""),3)),"""")"),"Nebus.")</f>
        <v>Nebus.</v>
      </c>
      <c r="K212" s="3">
        <f>IFERROR(__xludf.DUMMYFUNCTION("IFERROR(IF(H212="""",0,INDEX(FILTER($Q$2:Q211,$C$2:C211=H212,$G$2:G211=G212),ROWS(FILTER($Q$2:Q211,$C$2:C211=H212,$G$2:G211=G212)),1)),1500)"),1546.0)</f>
        <v>1546</v>
      </c>
      <c r="L212" s="3">
        <f>IFERROR(__xludf.DUMMYFUNCTION("IFERROR(IF(I212="""",0,INDEX(FILTER($Q$2:Q211,$C$2:C211=I212,$G$2:G211=G212),ROWS(FILTER($Q$2:Q211,$C$2:C211=I212,$G$2:G211=G212)),1)),1500)"),1509.0)</f>
        <v>1509</v>
      </c>
      <c r="M212" s="3">
        <f>IFERROR(__xludf.DUMMYFUNCTION("IFERROR(IF(J212="""",0,INDEX(FILTER($Q$2:Q211,$C$2:C211=J212,$G$2:G211=G212),ROWS(FILTER($Q$2:Q211,$C$2:C211=J212,$G$2:G211=G212)),1)),1500)"),1581.0)</f>
        <v>1581</v>
      </c>
      <c r="N212" s="3">
        <f>IFERROR(__xludf.DUMMYFUNCTION("IFERROR(INDEX(FILTER($Q$2:Q211,$C$2:C211=C212,$G$2:G211=G212),ROWS(FILTER($Q$2:Q211,$C$2:C211=C212,$G$2:G211=G212)),1),1500)"),1453.0)</f>
        <v>1453</v>
      </c>
      <c r="O212" s="3">
        <f t="shared" si="3"/>
        <v>1545.333333</v>
      </c>
      <c r="P212" s="9">
        <f t="shared" si="1"/>
        <v>-12</v>
      </c>
      <c r="Q212" s="5">
        <f t="shared" si="2"/>
        <v>1441</v>
      </c>
    </row>
    <row r="213">
      <c r="A213" s="3" t="str">
        <f>IFERROR(__xludf.DUMMYFUNCTION("""COMPUTED_VALUE"""),"1ZreXW5RYJWpq8fmBZEf9alRbyJzOpm04")</f>
        <v>1ZreXW5RYJWpq8fmBZEf9alRbyJzOpm04</v>
      </c>
      <c r="B213" s="13">
        <f>IFERROR(__xludf.DUMMYFUNCTION("""COMPUTED_VALUE"""),45976.0)</f>
        <v>45976</v>
      </c>
      <c r="C213" s="3" t="str">
        <f>IFERROR(__xludf.DUMMYFUNCTION("""COMPUTED_VALUE"""),"Troniix")</f>
        <v>Troniix</v>
      </c>
      <c r="D213" s="3" t="str">
        <f>IFERROR(__xludf.DUMMYFUNCTION("""COMPUTED_VALUE"""),"Kesny + Troniix + ZeroO")</f>
        <v>Kesny + Troniix + ZeroO</v>
      </c>
      <c r="E213" s="3" t="str">
        <f>IFERROR(__xludf.DUMMYFUNCTION("""COMPUTED_VALUE"""),"Anbuu + Malena + Nebus.")</f>
        <v>Anbuu + Malena + Nebus.</v>
      </c>
      <c r="F213" s="3" t="str">
        <f>IFERROR(__xludf.DUMMYFUNCTION("""COMPUTED_VALUE"""),"loss")</f>
        <v>loss</v>
      </c>
      <c r="G213" s="3" t="str">
        <f>IFERROR(__xludf.DUMMYFUNCTION("""COMPUTED_VALUE"""),"3v3")</f>
        <v>3v3</v>
      </c>
      <c r="H213" s="3" t="str">
        <f>IFERROR(__xludf.DUMMYFUNCTION("IFERROR(TRIM(INDEX(SPLIT(E213,"" + ""),1)),"""")"),"Anbuu")</f>
        <v>Anbuu</v>
      </c>
      <c r="I213" s="3" t="str">
        <f>IFERROR(__xludf.DUMMYFUNCTION("IFERROR(TRIM(INDEX(SPLIT(E213,"" + ""),2)),"""")"),"Malena")</f>
        <v>Malena</v>
      </c>
      <c r="J213" s="5" t="str">
        <f>IFERROR(__xludf.DUMMYFUNCTION("IFERROR(TRIM(INDEX(SPLIT(E213,"" + ""),3)),"""")"),"Nebus.")</f>
        <v>Nebus.</v>
      </c>
      <c r="K213" s="3">
        <f>IFERROR(__xludf.DUMMYFUNCTION("IFERROR(IF(H213="""",0,INDEX(FILTER($Q$2:Q212,$C$2:C212=H213,$G$2:G212=G213),ROWS(FILTER($Q$2:Q212,$C$2:C212=H213,$G$2:G212=G213)),1)),1500)"),1546.0)</f>
        <v>1546</v>
      </c>
      <c r="L213" s="3">
        <f>IFERROR(__xludf.DUMMYFUNCTION("IFERROR(IF(I213="""",0,INDEX(FILTER($Q$2:Q212,$C$2:C212=I213,$G$2:G212=G213),ROWS(FILTER($Q$2:Q212,$C$2:C212=I213,$G$2:G212=G213)),1)),1500)"),1509.0)</f>
        <v>1509</v>
      </c>
      <c r="M213" s="3">
        <f>IFERROR(__xludf.DUMMYFUNCTION("IFERROR(IF(J213="""",0,INDEX(FILTER($Q$2:Q212,$C$2:C212=J213,$G$2:G212=G213),ROWS(FILTER($Q$2:Q212,$C$2:C212=J213,$G$2:G212=G213)),1)),1500)"),1581.0)</f>
        <v>1581</v>
      </c>
      <c r="N213" s="3">
        <f>IFERROR(__xludf.DUMMYFUNCTION("IFERROR(INDEX(FILTER($Q$2:Q212,$C$2:C212=C213,$G$2:G212=G213),ROWS(FILTER($Q$2:Q212,$C$2:C212=C213,$G$2:G212=G213)),1),1500)"),1485.0)</f>
        <v>1485</v>
      </c>
      <c r="O213" s="3">
        <f t="shared" si="3"/>
        <v>1545.333333</v>
      </c>
      <c r="P213" s="9">
        <f t="shared" si="1"/>
        <v>-13</v>
      </c>
      <c r="Q213" s="5">
        <f t="shared" si="2"/>
        <v>1472</v>
      </c>
    </row>
    <row r="214">
      <c r="A214" s="3" t="str">
        <f>IFERROR(__xludf.DUMMYFUNCTION("""COMPUTED_VALUE"""),"1jRkZ2oeE_iYjcXKJxXtf7LLd9w582a5H")</f>
        <v>1jRkZ2oeE_iYjcXKJxXtf7LLd9w582a5H</v>
      </c>
      <c r="B214" s="13">
        <f>IFERROR(__xludf.DUMMYFUNCTION("""COMPUTED_VALUE"""),45976.0)</f>
        <v>45976</v>
      </c>
      <c r="C214" s="3" t="str">
        <f>IFERROR(__xludf.DUMMYFUNCTION("""COMPUTED_VALUE"""),"Nebus.")</f>
        <v>Nebus.</v>
      </c>
      <c r="D214" s="3" t="str">
        <f>IFERROR(__xludf.DUMMYFUNCTION("""COMPUTED_VALUE"""),"Kesny + Nebus. + Troniix")</f>
        <v>Kesny + Nebus. + Troniix</v>
      </c>
      <c r="E214" s="3" t="str">
        <f>IFERROR(__xludf.DUMMYFUNCTION("""COMPUTED_VALUE"""),"Anbuu + Malena + ZeroO")</f>
        <v>Anbuu + Malena + ZeroO</v>
      </c>
      <c r="F214" s="3" t="str">
        <f>IFERROR(__xludf.DUMMYFUNCTION("""COMPUTED_VALUE"""),"loss")</f>
        <v>loss</v>
      </c>
      <c r="G214" s="3" t="str">
        <f>IFERROR(__xludf.DUMMYFUNCTION("""COMPUTED_VALUE"""),"3v3")</f>
        <v>3v3</v>
      </c>
      <c r="H214" s="3" t="str">
        <f>IFERROR(__xludf.DUMMYFUNCTION("IFERROR(TRIM(INDEX(SPLIT(E214,"" + ""),1)),"""")"),"Anbuu")</f>
        <v>Anbuu</v>
      </c>
      <c r="I214" s="3" t="str">
        <f>IFERROR(__xludf.DUMMYFUNCTION("IFERROR(TRIM(INDEX(SPLIT(E214,"" + ""),2)),"""")"),"Malena")</f>
        <v>Malena</v>
      </c>
      <c r="J214" s="5" t="str">
        <f>IFERROR(__xludf.DUMMYFUNCTION("IFERROR(TRIM(INDEX(SPLIT(E214,"" + ""),3)),"""")"),"ZeroO")</f>
        <v>ZeroO</v>
      </c>
      <c r="K214" s="3">
        <f>IFERROR(__xludf.DUMMYFUNCTION("IFERROR(IF(H214="""",0,INDEX(FILTER($Q$2:Q213,$C$2:C213=H214,$G$2:G213=G214),ROWS(FILTER($Q$2:Q213,$C$2:C213=H214,$G$2:G213=G214)),1)),1500)"),1546.0)</f>
        <v>1546</v>
      </c>
      <c r="L214" s="3">
        <f>IFERROR(__xludf.DUMMYFUNCTION("IFERROR(IF(I214="""",0,INDEX(FILTER($Q$2:Q213,$C$2:C213=I214,$G$2:G213=G214),ROWS(FILTER($Q$2:Q213,$C$2:C213=I214,$G$2:G213=G214)),1)),1500)"),1509.0)</f>
        <v>1509</v>
      </c>
      <c r="M214" s="3">
        <f>IFERROR(__xludf.DUMMYFUNCTION("IFERROR(IF(J214="""",0,INDEX(FILTER($Q$2:Q213,$C$2:C213=J214,$G$2:G213=G214),ROWS(FILTER($Q$2:Q213,$C$2:C213=J214,$G$2:G213=G214)),1)),1500)"),1498.0)</f>
        <v>1498</v>
      </c>
      <c r="N214" s="3">
        <f>IFERROR(__xludf.DUMMYFUNCTION("IFERROR(INDEX(FILTER($Q$2:Q213,$C$2:C213=C214,$G$2:G213=G214),ROWS(FILTER($Q$2:Q213,$C$2:C213=C214,$G$2:G213=G214)),1),1500)"),1581.0)</f>
        <v>1581</v>
      </c>
      <c r="O214" s="3">
        <f t="shared" si="3"/>
        <v>1517.666667</v>
      </c>
      <c r="P214" s="9">
        <f t="shared" si="1"/>
        <v>-19</v>
      </c>
      <c r="Q214" s="5">
        <f t="shared" si="2"/>
        <v>1562</v>
      </c>
    </row>
    <row r="215">
      <c r="A215" s="3" t="str">
        <f>IFERROR(__xludf.DUMMYFUNCTION("""COMPUTED_VALUE"""),"1jRkZ2oeE_iYjcXKJxXtf7LLd9w582a5H")</f>
        <v>1jRkZ2oeE_iYjcXKJxXtf7LLd9w582a5H</v>
      </c>
      <c r="B215" s="13">
        <f>IFERROR(__xludf.DUMMYFUNCTION("""COMPUTED_VALUE"""),45976.0)</f>
        <v>45976</v>
      </c>
      <c r="C215" s="3" t="str">
        <f>IFERROR(__xludf.DUMMYFUNCTION("""COMPUTED_VALUE"""),"Kesny")</f>
        <v>Kesny</v>
      </c>
      <c r="D215" s="3" t="str">
        <f>IFERROR(__xludf.DUMMYFUNCTION("""COMPUTED_VALUE"""),"Kesny + Nebus. + Troniix")</f>
        <v>Kesny + Nebus. + Troniix</v>
      </c>
      <c r="E215" s="3" t="str">
        <f>IFERROR(__xludf.DUMMYFUNCTION("""COMPUTED_VALUE"""),"Anbuu + Malena + ZeroO")</f>
        <v>Anbuu + Malena + ZeroO</v>
      </c>
      <c r="F215" s="3" t="str">
        <f>IFERROR(__xludf.DUMMYFUNCTION("""COMPUTED_VALUE"""),"loss")</f>
        <v>loss</v>
      </c>
      <c r="G215" s="3" t="str">
        <f>IFERROR(__xludf.DUMMYFUNCTION("""COMPUTED_VALUE"""),"3v3")</f>
        <v>3v3</v>
      </c>
      <c r="H215" s="3" t="str">
        <f>IFERROR(__xludf.DUMMYFUNCTION("IFERROR(TRIM(INDEX(SPLIT(E215,"" + ""),1)),"""")"),"Anbuu")</f>
        <v>Anbuu</v>
      </c>
      <c r="I215" s="3" t="str">
        <f>IFERROR(__xludf.DUMMYFUNCTION("IFERROR(TRIM(INDEX(SPLIT(E215,"" + ""),2)),"""")"),"Malena")</f>
        <v>Malena</v>
      </c>
      <c r="J215" s="5" t="str">
        <f>IFERROR(__xludf.DUMMYFUNCTION("IFERROR(TRIM(INDEX(SPLIT(E215,"" + ""),3)),"""")"),"ZeroO")</f>
        <v>ZeroO</v>
      </c>
      <c r="K215" s="3">
        <f>IFERROR(__xludf.DUMMYFUNCTION("IFERROR(IF(H215="""",0,INDEX(FILTER($Q$2:Q214,$C$2:C214=H215,$G$2:G214=G215),ROWS(FILTER($Q$2:Q214,$C$2:C214=H215,$G$2:G214=G215)),1)),1500)"),1546.0)</f>
        <v>1546</v>
      </c>
      <c r="L215" s="3">
        <f>IFERROR(__xludf.DUMMYFUNCTION("IFERROR(IF(I215="""",0,INDEX(FILTER($Q$2:Q214,$C$2:C214=I215,$G$2:G214=G215),ROWS(FILTER($Q$2:Q214,$C$2:C214=I215,$G$2:G214=G215)),1)),1500)"),1509.0)</f>
        <v>1509</v>
      </c>
      <c r="M215" s="3">
        <f>IFERROR(__xludf.DUMMYFUNCTION("IFERROR(IF(J215="""",0,INDEX(FILTER($Q$2:Q214,$C$2:C214=J215,$G$2:G214=G215),ROWS(FILTER($Q$2:Q214,$C$2:C214=J215,$G$2:G214=G215)),1)),1500)"),1498.0)</f>
        <v>1498</v>
      </c>
      <c r="N215" s="3">
        <f>IFERROR(__xludf.DUMMYFUNCTION("IFERROR(INDEX(FILTER($Q$2:Q214,$C$2:C214=C215,$G$2:G214=G215),ROWS(FILTER($Q$2:Q214,$C$2:C214=C215,$G$2:G214=G215)),1),1500)"),1441.0)</f>
        <v>1441</v>
      </c>
      <c r="O215" s="3">
        <f t="shared" si="3"/>
        <v>1517.666667</v>
      </c>
      <c r="P215" s="9">
        <f t="shared" si="1"/>
        <v>-13</v>
      </c>
      <c r="Q215" s="5">
        <f t="shared" si="2"/>
        <v>1428</v>
      </c>
    </row>
    <row r="216">
      <c r="A216" s="3" t="str">
        <f>IFERROR(__xludf.DUMMYFUNCTION("""COMPUTED_VALUE"""),"1jRkZ2oeE_iYjcXKJxXtf7LLd9w582a5H")</f>
        <v>1jRkZ2oeE_iYjcXKJxXtf7LLd9w582a5H</v>
      </c>
      <c r="B216" s="13">
        <f>IFERROR(__xludf.DUMMYFUNCTION("""COMPUTED_VALUE"""),45976.0)</f>
        <v>45976</v>
      </c>
      <c r="C216" s="3" t="str">
        <f>IFERROR(__xludf.DUMMYFUNCTION("""COMPUTED_VALUE"""),"Troniix")</f>
        <v>Troniix</v>
      </c>
      <c r="D216" s="3" t="str">
        <f>IFERROR(__xludf.DUMMYFUNCTION("""COMPUTED_VALUE"""),"Kesny + Nebus. + Troniix")</f>
        <v>Kesny + Nebus. + Troniix</v>
      </c>
      <c r="E216" s="3" t="str">
        <f>IFERROR(__xludf.DUMMYFUNCTION("""COMPUTED_VALUE"""),"Anbuu + Malena + ZeroO")</f>
        <v>Anbuu + Malena + ZeroO</v>
      </c>
      <c r="F216" s="3" t="str">
        <f>IFERROR(__xludf.DUMMYFUNCTION("""COMPUTED_VALUE"""),"loss")</f>
        <v>loss</v>
      </c>
      <c r="G216" s="3" t="str">
        <f>IFERROR(__xludf.DUMMYFUNCTION("""COMPUTED_VALUE"""),"3v3")</f>
        <v>3v3</v>
      </c>
      <c r="H216" s="3" t="str">
        <f>IFERROR(__xludf.DUMMYFUNCTION("IFERROR(TRIM(INDEX(SPLIT(E216,"" + ""),1)),"""")"),"Anbuu")</f>
        <v>Anbuu</v>
      </c>
      <c r="I216" s="3" t="str">
        <f>IFERROR(__xludf.DUMMYFUNCTION("IFERROR(TRIM(INDEX(SPLIT(E216,"" + ""),2)),"""")"),"Malena")</f>
        <v>Malena</v>
      </c>
      <c r="J216" s="5" t="str">
        <f>IFERROR(__xludf.DUMMYFUNCTION("IFERROR(TRIM(INDEX(SPLIT(E216,"" + ""),3)),"""")"),"ZeroO")</f>
        <v>ZeroO</v>
      </c>
      <c r="K216" s="3">
        <f>IFERROR(__xludf.DUMMYFUNCTION("IFERROR(IF(H216="""",0,INDEX(FILTER($Q$2:Q215,$C$2:C215=H216,$G$2:G215=G216),ROWS(FILTER($Q$2:Q215,$C$2:C215=H216,$G$2:G215=G216)),1)),1500)"),1546.0)</f>
        <v>1546</v>
      </c>
      <c r="L216" s="3">
        <f>IFERROR(__xludf.DUMMYFUNCTION("IFERROR(IF(I216="""",0,INDEX(FILTER($Q$2:Q215,$C$2:C215=I216,$G$2:G215=G216),ROWS(FILTER($Q$2:Q215,$C$2:C215=I216,$G$2:G215=G216)),1)),1500)"),1509.0)</f>
        <v>1509</v>
      </c>
      <c r="M216" s="3">
        <f>IFERROR(__xludf.DUMMYFUNCTION("IFERROR(IF(J216="""",0,INDEX(FILTER($Q$2:Q215,$C$2:C215=J216,$G$2:G215=G216),ROWS(FILTER($Q$2:Q215,$C$2:C215=J216,$G$2:G215=G216)),1)),1500)"),1498.0)</f>
        <v>1498</v>
      </c>
      <c r="N216" s="3">
        <f>IFERROR(__xludf.DUMMYFUNCTION("IFERROR(INDEX(FILTER($Q$2:Q215,$C$2:C215=C216,$G$2:G215=G216),ROWS(FILTER($Q$2:Q215,$C$2:C215=C216,$G$2:G215=G216)),1),1500)"),1472.0)</f>
        <v>1472</v>
      </c>
      <c r="O216" s="3">
        <f t="shared" si="3"/>
        <v>1517.666667</v>
      </c>
      <c r="P216" s="9">
        <f t="shared" si="1"/>
        <v>-14</v>
      </c>
      <c r="Q216" s="5">
        <f t="shared" si="2"/>
        <v>1458</v>
      </c>
    </row>
    <row r="217">
      <c r="A217" s="3" t="str">
        <f>IFERROR(__xludf.DUMMYFUNCTION("""COMPUTED_VALUE"""),"1jRkZ2oeE_iYjcXKJxXtf7LLd9w582a5H")</f>
        <v>1jRkZ2oeE_iYjcXKJxXtf7LLd9w582a5H</v>
      </c>
      <c r="B217" s="13">
        <f>IFERROR(__xludf.DUMMYFUNCTION("""COMPUTED_VALUE"""),45976.0)</f>
        <v>45976</v>
      </c>
      <c r="C217" s="3" t="str">
        <f>IFERROR(__xludf.DUMMYFUNCTION("""COMPUTED_VALUE"""),"ZeroO")</f>
        <v>ZeroO</v>
      </c>
      <c r="D217" s="3" t="str">
        <f>IFERROR(__xludf.DUMMYFUNCTION("""COMPUTED_VALUE"""),"Anbuu + Malena + ZeroO")</f>
        <v>Anbuu + Malena + ZeroO</v>
      </c>
      <c r="E217" s="3" t="str">
        <f>IFERROR(__xludf.DUMMYFUNCTION("""COMPUTED_VALUE"""),"Kesny + Nebus. + Troniix")</f>
        <v>Kesny + Nebus. + Troniix</v>
      </c>
      <c r="F217" s="3" t="str">
        <f>IFERROR(__xludf.DUMMYFUNCTION("""COMPUTED_VALUE"""),"win")</f>
        <v>win</v>
      </c>
      <c r="G217" s="3" t="str">
        <f>IFERROR(__xludf.DUMMYFUNCTION("""COMPUTED_VALUE"""),"3v3")</f>
        <v>3v3</v>
      </c>
      <c r="H217" s="3" t="str">
        <f>IFERROR(__xludf.DUMMYFUNCTION("IFERROR(TRIM(INDEX(SPLIT(E217,"" + ""),1)),"""")"),"Kesny")</f>
        <v>Kesny</v>
      </c>
      <c r="I217" s="3" t="str">
        <f>IFERROR(__xludf.DUMMYFUNCTION("IFERROR(TRIM(INDEX(SPLIT(E217,"" + ""),2)),"""")"),"Nebus.")</f>
        <v>Nebus.</v>
      </c>
      <c r="J217" s="5" t="str">
        <f>IFERROR(__xludf.DUMMYFUNCTION("IFERROR(TRIM(INDEX(SPLIT(E217,"" + ""),3)),"""")"),"Troniix")</f>
        <v>Troniix</v>
      </c>
      <c r="K217" s="3">
        <f>IFERROR(__xludf.DUMMYFUNCTION("IFERROR(IF(H217="""",0,INDEX(FILTER($Q$2:Q216,$C$2:C216=H217,$G$2:G216=G217),ROWS(FILTER($Q$2:Q216,$C$2:C216=H217,$G$2:G216=G217)),1)),1500)"),1428.0)</f>
        <v>1428</v>
      </c>
      <c r="L217" s="3">
        <f>IFERROR(__xludf.DUMMYFUNCTION("IFERROR(IF(I217="""",0,INDEX(FILTER($Q$2:Q216,$C$2:C216=I217,$G$2:G216=G217),ROWS(FILTER($Q$2:Q216,$C$2:C216=I217,$G$2:G216=G217)),1)),1500)"),1562.0)</f>
        <v>1562</v>
      </c>
      <c r="M217" s="3">
        <f>IFERROR(__xludf.DUMMYFUNCTION("IFERROR(IF(J217="""",0,INDEX(FILTER($Q$2:Q216,$C$2:C216=J217,$G$2:G216=G217),ROWS(FILTER($Q$2:Q216,$C$2:C216=J217,$G$2:G216=G217)),1)),1500)"),1458.0)</f>
        <v>1458</v>
      </c>
      <c r="N217" s="3">
        <f>IFERROR(__xludf.DUMMYFUNCTION("IFERROR(INDEX(FILTER($Q$2:Q216,$C$2:C216=C217,$G$2:G216=G217),ROWS(FILTER($Q$2:Q216,$C$2:C216=C217,$G$2:G216=G217)),1),1500)"),1498.0)</f>
        <v>1498</v>
      </c>
      <c r="O217" s="3">
        <f t="shared" si="3"/>
        <v>1482.666667</v>
      </c>
      <c r="P217" s="9">
        <f t="shared" si="1"/>
        <v>15</v>
      </c>
      <c r="Q217" s="5">
        <f t="shared" si="2"/>
        <v>1513</v>
      </c>
    </row>
    <row r="218">
      <c r="A218" s="3" t="str">
        <f>IFERROR(__xludf.DUMMYFUNCTION("""COMPUTED_VALUE"""),"1jRkZ2oeE_iYjcXKJxXtf7LLd9w582a5H")</f>
        <v>1jRkZ2oeE_iYjcXKJxXtf7LLd9w582a5H</v>
      </c>
      <c r="B218" s="13">
        <f>IFERROR(__xludf.DUMMYFUNCTION("""COMPUTED_VALUE"""),45976.0)</f>
        <v>45976</v>
      </c>
      <c r="C218" s="3" t="str">
        <f>IFERROR(__xludf.DUMMYFUNCTION("""COMPUTED_VALUE"""),"Malena")</f>
        <v>Malena</v>
      </c>
      <c r="D218" s="3" t="str">
        <f>IFERROR(__xludf.DUMMYFUNCTION("""COMPUTED_VALUE"""),"Anbuu + Malena + ZeroO")</f>
        <v>Anbuu + Malena + ZeroO</v>
      </c>
      <c r="E218" s="3" t="str">
        <f>IFERROR(__xludf.DUMMYFUNCTION("""COMPUTED_VALUE"""),"Kesny + Nebus. + Troniix")</f>
        <v>Kesny + Nebus. + Troniix</v>
      </c>
      <c r="F218" s="3" t="str">
        <f>IFERROR(__xludf.DUMMYFUNCTION("""COMPUTED_VALUE"""),"win")</f>
        <v>win</v>
      </c>
      <c r="G218" s="3" t="str">
        <f>IFERROR(__xludf.DUMMYFUNCTION("""COMPUTED_VALUE"""),"3v3")</f>
        <v>3v3</v>
      </c>
      <c r="H218" s="3" t="str">
        <f>IFERROR(__xludf.DUMMYFUNCTION("IFERROR(TRIM(INDEX(SPLIT(E218,"" + ""),1)),"""")"),"Kesny")</f>
        <v>Kesny</v>
      </c>
      <c r="I218" s="3" t="str">
        <f>IFERROR(__xludf.DUMMYFUNCTION("IFERROR(TRIM(INDEX(SPLIT(E218,"" + ""),2)),"""")"),"Nebus.")</f>
        <v>Nebus.</v>
      </c>
      <c r="J218" s="5" t="str">
        <f>IFERROR(__xludf.DUMMYFUNCTION("IFERROR(TRIM(INDEX(SPLIT(E218,"" + ""),3)),"""")"),"Troniix")</f>
        <v>Troniix</v>
      </c>
      <c r="K218" s="3">
        <f>IFERROR(__xludf.DUMMYFUNCTION("IFERROR(IF(H218="""",0,INDEX(FILTER($Q$2:Q217,$C$2:C217=H218,$G$2:G217=G218),ROWS(FILTER($Q$2:Q217,$C$2:C217=H218,$G$2:G217=G218)),1)),1500)"),1428.0)</f>
        <v>1428</v>
      </c>
      <c r="L218" s="3">
        <f>IFERROR(__xludf.DUMMYFUNCTION("IFERROR(IF(I218="""",0,INDEX(FILTER($Q$2:Q217,$C$2:C217=I218,$G$2:G217=G218),ROWS(FILTER($Q$2:Q217,$C$2:C217=I218,$G$2:G217=G218)),1)),1500)"),1562.0)</f>
        <v>1562</v>
      </c>
      <c r="M218" s="3">
        <f>IFERROR(__xludf.DUMMYFUNCTION("IFERROR(IF(J218="""",0,INDEX(FILTER($Q$2:Q217,$C$2:C217=J218,$G$2:G217=G218),ROWS(FILTER($Q$2:Q217,$C$2:C217=J218,$G$2:G217=G218)),1)),1500)"),1458.0)</f>
        <v>1458</v>
      </c>
      <c r="N218" s="3">
        <f>IFERROR(__xludf.DUMMYFUNCTION("IFERROR(INDEX(FILTER($Q$2:Q217,$C$2:C217=C218,$G$2:G217=G218),ROWS(FILTER($Q$2:Q217,$C$2:C217=C218,$G$2:G217=G218)),1),1500)"),1509.0)</f>
        <v>1509</v>
      </c>
      <c r="O218" s="3">
        <f t="shared" si="3"/>
        <v>1482.666667</v>
      </c>
      <c r="P218" s="9">
        <f t="shared" si="1"/>
        <v>15</v>
      </c>
      <c r="Q218" s="5">
        <f t="shared" si="2"/>
        <v>1524</v>
      </c>
    </row>
    <row r="219">
      <c r="A219" s="3" t="str">
        <f>IFERROR(__xludf.DUMMYFUNCTION("""COMPUTED_VALUE"""),"1jRkZ2oeE_iYjcXKJxXtf7LLd9w582a5H")</f>
        <v>1jRkZ2oeE_iYjcXKJxXtf7LLd9w582a5H</v>
      </c>
      <c r="B219" s="13">
        <f>IFERROR(__xludf.DUMMYFUNCTION("""COMPUTED_VALUE"""),45976.0)</f>
        <v>45976</v>
      </c>
      <c r="C219" s="3" t="str">
        <f>IFERROR(__xludf.DUMMYFUNCTION("""COMPUTED_VALUE"""),"Anbuu")</f>
        <v>Anbuu</v>
      </c>
      <c r="D219" s="3" t="str">
        <f>IFERROR(__xludf.DUMMYFUNCTION("""COMPUTED_VALUE"""),"Anbuu + Malena + ZeroO")</f>
        <v>Anbuu + Malena + ZeroO</v>
      </c>
      <c r="E219" s="3" t="str">
        <f>IFERROR(__xludf.DUMMYFUNCTION("""COMPUTED_VALUE"""),"Kesny + Nebus. + Troniix")</f>
        <v>Kesny + Nebus. + Troniix</v>
      </c>
      <c r="F219" s="3" t="str">
        <f>IFERROR(__xludf.DUMMYFUNCTION("""COMPUTED_VALUE"""),"win")</f>
        <v>win</v>
      </c>
      <c r="G219" s="3" t="str">
        <f>IFERROR(__xludf.DUMMYFUNCTION("""COMPUTED_VALUE"""),"3v3")</f>
        <v>3v3</v>
      </c>
      <c r="H219" s="3" t="str">
        <f>IFERROR(__xludf.DUMMYFUNCTION("IFERROR(TRIM(INDEX(SPLIT(E219,"" + ""),1)),"""")"),"Kesny")</f>
        <v>Kesny</v>
      </c>
      <c r="I219" s="3" t="str">
        <f>IFERROR(__xludf.DUMMYFUNCTION("IFERROR(TRIM(INDEX(SPLIT(E219,"" + ""),2)),"""")"),"Nebus.")</f>
        <v>Nebus.</v>
      </c>
      <c r="J219" s="5" t="str">
        <f>IFERROR(__xludf.DUMMYFUNCTION("IFERROR(TRIM(INDEX(SPLIT(E219,"" + ""),3)),"""")"),"Troniix")</f>
        <v>Troniix</v>
      </c>
      <c r="K219" s="3">
        <f>IFERROR(__xludf.DUMMYFUNCTION("IFERROR(IF(H219="""",0,INDEX(FILTER($Q$2:Q218,$C$2:C218=H219,$G$2:G218=G219),ROWS(FILTER($Q$2:Q218,$C$2:C218=H219,$G$2:G218=G219)),1)),1500)"),1428.0)</f>
        <v>1428</v>
      </c>
      <c r="L219" s="3">
        <f>IFERROR(__xludf.DUMMYFUNCTION("IFERROR(IF(I219="""",0,INDEX(FILTER($Q$2:Q218,$C$2:C218=I219,$G$2:G218=G219),ROWS(FILTER($Q$2:Q218,$C$2:C218=I219,$G$2:G218=G219)),1)),1500)"),1562.0)</f>
        <v>1562</v>
      </c>
      <c r="M219" s="3">
        <f>IFERROR(__xludf.DUMMYFUNCTION("IFERROR(IF(J219="""",0,INDEX(FILTER($Q$2:Q218,$C$2:C218=J219,$G$2:G218=G219),ROWS(FILTER($Q$2:Q218,$C$2:C218=J219,$G$2:G218=G219)),1)),1500)"),1458.0)</f>
        <v>1458</v>
      </c>
      <c r="N219" s="3">
        <f>IFERROR(__xludf.DUMMYFUNCTION("IFERROR(INDEX(FILTER($Q$2:Q218,$C$2:C218=C219,$G$2:G218=G219),ROWS(FILTER($Q$2:Q218,$C$2:C218=C219,$G$2:G218=G219)),1),1500)"),1546.0)</f>
        <v>1546</v>
      </c>
      <c r="O219" s="3">
        <f t="shared" si="3"/>
        <v>1482.666667</v>
      </c>
      <c r="P219" s="9">
        <f t="shared" si="1"/>
        <v>13</v>
      </c>
      <c r="Q219" s="5">
        <f t="shared" si="2"/>
        <v>1559</v>
      </c>
    </row>
    <row r="220">
      <c r="A220" s="3" t="str">
        <f>IFERROR(__xludf.DUMMYFUNCTION("""COMPUTED_VALUE"""),"1HxQfwTC4C3IEIr3keLGwdY0VNT3zETBW")</f>
        <v>1HxQfwTC4C3IEIr3keLGwdY0VNT3zETBW</v>
      </c>
      <c r="B220" s="13">
        <f>IFERROR(__xludf.DUMMYFUNCTION("""COMPUTED_VALUE"""),45976.0)</f>
        <v>45976</v>
      </c>
      <c r="C220" s="3" t="str">
        <f>IFERROR(__xludf.DUMMYFUNCTION("""COMPUTED_VALUE"""),"Nebus.")</f>
        <v>Nebus.</v>
      </c>
      <c r="D220" s="3" t="str">
        <f>IFERROR(__xludf.DUMMYFUNCTION("""COMPUTED_VALUE"""),"Malena + Nebus. + Troniix")</f>
        <v>Malena + Nebus. + Troniix</v>
      </c>
      <c r="E220" s="3" t="str">
        <f>IFERROR(__xludf.DUMMYFUNCTION("""COMPUTED_VALUE"""),"Anbuu + Kesny + ZeroO")</f>
        <v>Anbuu + Kesny + ZeroO</v>
      </c>
      <c r="F220" s="3" t="str">
        <f>IFERROR(__xludf.DUMMYFUNCTION("""COMPUTED_VALUE"""),"loss")</f>
        <v>loss</v>
      </c>
      <c r="G220" s="3" t="str">
        <f>IFERROR(__xludf.DUMMYFUNCTION("""COMPUTED_VALUE"""),"3v3")</f>
        <v>3v3</v>
      </c>
      <c r="H220" s="3" t="str">
        <f>IFERROR(__xludf.DUMMYFUNCTION("IFERROR(TRIM(INDEX(SPLIT(E220,"" + ""),1)),"""")"),"Anbuu")</f>
        <v>Anbuu</v>
      </c>
      <c r="I220" s="3" t="str">
        <f>IFERROR(__xludf.DUMMYFUNCTION("IFERROR(TRIM(INDEX(SPLIT(E220,"" + ""),2)),"""")"),"Kesny")</f>
        <v>Kesny</v>
      </c>
      <c r="J220" s="5" t="str">
        <f>IFERROR(__xludf.DUMMYFUNCTION("IFERROR(TRIM(INDEX(SPLIT(E220,"" + ""),3)),"""")"),"ZeroO")</f>
        <v>ZeroO</v>
      </c>
      <c r="K220" s="3">
        <f>IFERROR(__xludf.DUMMYFUNCTION("IFERROR(IF(H220="""",0,INDEX(FILTER($Q$2:Q219,$C$2:C219=H220,$G$2:G219=G220),ROWS(FILTER($Q$2:Q219,$C$2:C219=H220,$G$2:G219=G220)),1)),1500)"),1559.0)</f>
        <v>1559</v>
      </c>
      <c r="L220" s="3">
        <f>IFERROR(__xludf.DUMMYFUNCTION("IFERROR(IF(I220="""",0,INDEX(FILTER($Q$2:Q219,$C$2:C219=I220,$G$2:G219=G220),ROWS(FILTER($Q$2:Q219,$C$2:C219=I220,$G$2:G219=G220)),1)),1500)"),1428.0)</f>
        <v>1428</v>
      </c>
      <c r="M220" s="3">
        <f>IFERROR(__xludf.DUMMYFUNCTION("IFERROR(IF(J220="""",0,INDEX(FILTER($Q$2:Q219,$C$2:C219=J220,$G$2:G219=G220),ROWS(FILTER($Q$2:Q219,$C$2:C219=J220,$G$2:G219=G220)),1)),1500)"),1513.0)</f>
        <v>1513</v>
      </c>
      <c r="N220" s="3">
        <f>IFERROR(__xludf.DUMMYFUNCTION("IFERROR(INDEX(FILTER($Q$2:Q219,$C$2:C219=C220,$G$2:G219=G220),ROWS(FILTER($Q$2:Q219,$C$2:C219=C220,$G$2:G219=G220)),1),1500)"),1562.0)</f>
        <v>1562</v>
      </c>
      <c r="O220" s="3">
        <f t="shared" si="3"/>
        <v>1500</v>
      </c>
      <c r="P220" s="9">
        <f t="shared" si="1"/>
        <v>-19</v>
      </c>
      <c r="Q220" s="5">
        <f t="shared" si="2"/>
        <v>1543</v>
      </c>
    </row>
    <row r="221">
      <c r="A221" s="3" t="str">
        <f>IFERROR(__xludf.DUMMYFUNCTION("""COMPUTED_VALUE"""),"1HxQfwTC4C3IEIr3keLGwdY0VNT3zETBW")</f>
        <v>1HxQfwTC4C3IEIr3keLGwdY0VNT3zETBW</v>
      </c>
      <c r="B221" s="13">
        <f>IFERROR(__xludf.DUMMYFUNCTION("""COMPUTED_VALUE"""),45976.0)</f>
        <v>45976</v>
      </c>
      <c r="C221" s="3" t="str">
        <f>IFERROR(__xludf.DUMMYFUNCTION("""COMPUTED_VALUE"""),"Malena")</f>
        <v>Malena</v>
      </c>
      <c r="D221" s="3" t="str">
        <f>IFERROR(__xludf.DUMMYFUNCTION("""COMPUTED_VALUE"""),"Malena + Nebus. + Troniix")</f>
        <v>Malena + Nebus. + Troniix</v>
      </c>
      <c r="E221" s="3" t="str">
        <f>IFERROR(__xludf.DUMMYFUNCTION("""COMPUTED_VALUE"""),"Anbuu + Kesny + ZeroO")</f>
        <v>Anbuu + Kesny + ZeroO</v>
      </c>
      <c r="F221" s="3" t="str">
        <f>IFERROR(__xludf.DUMMYFUNCTION("""COMPUTED_VALUE"""),"loss")</f>
        <v>loss</v>
      </c>
      <c r="G221" s="3" t="str">
        <f>IFERROR(__xludf.DUMMYFUNCTION("""COMPUTED_VALUE"""),"3v3")</f>
        <v>3v3</v>
      </c>
      <c r="H221" s="3" t="str">
        <f>IFERROR(__xludf.DUMMYFUNCTION("IFERROR(TRIM(INDEX(SPLIT(E221,"" + ""),1)),"""")"),"Anbuu")</f>
        <v>Anbuu</v>
      </c>
      <c r="I221" s="3" t="str">
        <f>IFERROR(__xludf.DUMMYFUNCTION("IFERROR(TRIM(INDEX(SPLIT(E221,"" + ""),2)),"""")"),"Kesny")</f>
        <v>Kesny</v>
      </c>
      <c r="J221" s="5" t="str">
        <f>IFERROR(__xludf.DUMMYFUNCTION("IFERROR(TRIM(INDEX(SPLIT(E221,"" + ""),3)),"""")"),"ZeroO")</f>
        <v>ZeroO</v>
      </c>
      <c r="K221" s="3">
        <f>IFERROR(__xludf.DUMMYFUNCTION("IFERROR(IF(H221="""",0,INDEX(FILTER($Q$2:Q220,$C$2:C220=H221,$G$2:G220=G221),ROWS(FILTER($Q$2:Q220,$C$2:C220=H221,$G$2:G220=G221)),1)),1500)"),1559.0)</f>
        <v>1559</v>
      </c>
      <c r="L221" s="3">
        <f>IFERROR(__xludf.DUMMYFUNCTION("IFERROR(IF(I221="""",0,INDEX(FILTER($Q$2:Q220,$C$2:C220=I221,$G$2:G220=G221),ROWS(FILTER($Q$2:Q220,$C$2:C220=I221,$G$2:G220=G221)),1)),1500)"),1428.0)</f>
        <v>1428</v>
      </c>
      <c r="M221" s="3">
        <f>IFERROR(__xludf.DUMMYFUNCTION("IFERROR(IF(J221="""",0,INDEX(FILTER($Q$2:Q220,$C$2:C220=J221,$G$2:G220=G221),ROWS(FILTER($Q$2:Q220,$C$2:C220=J221,$G$2:G220=G221)),1)),1500)"),1513.0)</f>
        <v>1513</v>
      </c>
      <c r="N221" s="3">
        <f>IFERROR(__xludf.DUMMYFUNCTION("IFERROR(INDEX(FILTER($Q$2:Q220,$C$2:C220=C221,$G$2:G220=G221),ROWS(FILTER($Q$2:Q220,$C$2:C220=C221,$G$2:G220=G221)),1),1500)"),1524.0)</f>
        <v>1524</v>
      </c>
      <c r="O221" s="3">
        <f t="shared" si="3"/>
        <v>1500</v>
      </c>
      <c r="P221" s="9">
        <f t="shared" si="1"/>
        <v>-17</v>
      </c>
      <c r="Q221" s="5">
        <f t="shared" si="2"/>
        <v>1507</v>
      </c>
    </row>
    <row r="222">
      <c r="A222" s="3" t="str">
        <f>IFERROR(__xludf.DUMMYFUNCTION("""COMPUTED_VALUE"""),"1HxQfwTC4C3IEIr3keLGwdY0VNT3zETBW")</f>
        <v>1HxQfwTC4C3IEIr3keLGwdY0VNT3zETBW</v>
      </c>
      <c r="B222" s="13">
        <f>IFERROR(__xludf.DUMMYFUNCTION("""COMPUTED_VALUE"""),45976.0)</f>
        <v>45976</v>
      </c>
      <c r="C222" s="3" t="str">
        <f>IFERROR(__xludf.DUMMYFUNCTION("""COMPUTED_VALUE"""),"Troniix")</f>
        <v>Troniix</v>
      </c>
      <c r="D222" s="3" t="str">
        <f>IFERROR(__xludf.DUMMYFUNCTION("""COMPUTED_VALUE"""),"Malena + Nebus. + Troniix")</f>
        <v>Malena + Nebus. + Troniix</v>
      </c>
      <c r="E222" s="3" t="str">
        <f>IFERROR(__xludf.DUMMYFUNCTION("""COMPUTED_VALUE"""),"Anbuu + Kesny + ZeroO")</f>
        <v>Anbuu + Kesny + ZeroO</v>
      </c>
      <c r="F222" s="3" t="str">
        <f>IFERROR(__xludf.DUMMYFUNCTION("""COMPUTED_VALUE"""),"loss")</f>
        <v>loss</v>
      </c>
      <c r="G222" s="3" t="str">
        <f>IFERROR(__xludf.DUMMYFUNCTION("""COMPUTED_VALUE"""),"3v3")</f>
        <v>3v3</v>
      </c>
      <c r="H222" s="3" t="str">
        <f>IFERROR(__xludf.DUMMYFUNCTION("IFERROR(TRIM(INDEX(SPLIT(E222,"" + ""),1)),"""")"),"Anbuu")</f>
        <v>Anbuu</v>
      </c>
      <c r="I222" s="3" t="str">
        <f>IFERROR(__xludf.DUMMYFUNCTION("IFERROR(TRIM(INDEX(SPLIT(E222,"" + ""),2)),"""")"),"Kesny")</f>
        <v>Kesny</v>
      </c>
      <c r="J222" s="5" t="str">
        <f>IFERROR(__xludf.DUMMYFUNCTION("IFERROR(TRIM(INDEX(SPLIT(E222,"" + ""),3)),"""")"),"ZeroO")</f>
        <v>ZeroO</v>
      </c>
      <c r="K222" s="3">
        <f>IFERROR(__xludf.DUMMYFUNCTION("IFERROR(IF(H222="""",0,INDEX(FILTER($Q$2:Q221,$C$2:C221=H222,$G$2:G221=G222),ROWS(FILTER($Q$2:Q221,$C$2:C221=H222,$G$2:G221=G222)),1)),1500)"),1559.0)</f>
        <v>1559</v>
      </c>
      <c r="L222" s="3">
        <f>IFERROR(__xludf.DUMMYFUNCTION("IFERROR(IF(I222="""",0,INDEX(FILTER($Q$2:Q221,$C$2:C221=I222,$G$2:G221=G222),ROWS(FILTER($Q$2:Q221,$C$2:C221=I222,$G$2:G221=G222)),1)),1500)"),1428.0)</f>
        <v>1428</v>
      </c>
      <c r="M222" s="3">
        <f>IFERROR(__xludf.DUMMYFUNCTION("IFERROR(IF(J222="""",0,INDEX(FILTER($Q$2:Q221,$C$2:C221=J222,$G$2:G221=G222),ROWS(FILTER($Q$2:Q221,$C$2:C221=J222,$G$2:G221=G222)),1)),1500)"),1513.0)</f>
        <v>1513</v>
      </c>
      <c r="N222" s="3">
        <f>IFERROR(__xludf.DUMMYFUNCTION("IFERROR(INDEX(FILTER($Q$2:Q221,$C$2:C221=C222,$G$2:G221=G222),ROWS(FILTER($Q$2:Q221,$C$2:C221=C222,$G$2:G221=G222)),1),1500)"),1458.0)</f>
        <v>1458</v>
      </c>
      <c r="O222" s="3">
        <f t="shared" si="3"/>
        <v>1500</v>
      </c>
      <c r="P222" s="9">
        <f t="shared" si="1"/>
        <v>-14</v>
      </c>
      <c r="Q222" s="5">
        <f t="shared" si="2"/>
        <v>1444</v>
      </c>
    </row>
    <row r="223">
      <c r="A223" s="3" t="str">
        <f>IFERROR(__xludf.DUMMYFUNCTION("""COMPUTED_VALUE"""),"1HxQfwTC4C3IEIr3keLGwdY0VNT3zETBW")</f>
        <v>1HxQfwTC4C3IEIr3keLGwdY0VNT3zETBW</v>
      </c>
      <c r="B223" s="13">
        <f>IFERROR(__xludf.DUMMYFUNCTION("""COMPUTED_VALUE"""),45976.0)</f>
        <v>45976</v>
      </c>
      <c r="C223" s="3" t="str">
        <f>IFERROR(__xludf.DUMMYFUNCTION("""COMPUTED_VALUE"""),"ZeroO")</f>
        <v>ZeroO</v>
      </c>
      <c r="D223" s="3" t="str">
        <f>IFERROR(__xludf.DUMMYFUNCTION("""COMPUTED_VALUE"""),"Anbuu + Kesny + ZeroO")</f>
        <v>Anbuu + Kesny + ZeroO</v>
      </c>
      <c r="E223" s="3" t="str">
        <f>IFERROR(__xludf.DUMMYFUNCTION("""COMPUTED_VALUE"""),"Malena + Nebus. + Troniix")</f>
        <v>Malena + Nebus. + Troniix</v>
      </c>
      <c r="F223" s="3" t="str">
        <f>IFERROR(__xludf.DUMMYFUNCTION("""COMPUTED_VALUE"""),"win")</f>
        <v>win</v>
      </c>
      <c r="G223" s="3" t="str">
        <f>IFERROR(__xludf.DUMMYFUNCTION("""COMPUTED_VALUE"""),"3v3")</f>
        <v>3v3</v>
      </c>
      <c r="H223" s="3" t="str">
        <f>IFERROR(__xludf.DUMMYFUNCTION("IFERROR(TRIM(INDEX(SPLIT(E223,"" + ""),1)),"""")"),"Malena")</f>
        <v>Malena</v>
      </c>
      <c r="I223" s="3" t="str">
        <f>IFERROR(__xludf.DUMMYFUNCTION("IFERROR(TRIM(INDEX(SPLIT(E223,"" + ""),2)),"""")"),"Nebus.")</f>
        <v>Nebus.</v>
      </c>
      <c r="J223" s="5" t="str">
        <f>IFERROR(__xludf.DUMMYFUNCTION("IFERROR(TRIM(INDEX(SPLIT(E223,"" + ""),3)),"""")"),"Troniix")</f>
        <v>Troniix</v>
      </c>
      <c r="K223" s="3">
        <f>IFERROR(__xludf.DUMMYFUNCTION("IFERROR(IF(H223="""",0,INDEX(FILTER($Q$2:Q222,$C$2:C222=H223,$G$2:G222=G223),ROWS(FILTER($Q$2:Q222,$C$2:C222=H223,$G$2:G222=G223)),1)),1500)"),1507.0)</f>
        <v>1507</v>
      </c>
      <c r="L223" s="3">
        <f>IFERROR(__xludf.DUMMYFUNCTION("IFERROR(IF(I223="""",0,INDEX(FILTER($Q$2:Q222,$C$2:C222=I223,$G$2:G222=G223),ROWS(FILTER($Q$2:Q222,$C$2:C222=I223,$G$2:G222=G223)),1)),1500)"),1543.0)</f>
        <v>1543</v>
      </c>
      <c r="M223" s="3">
        <f>IFERROR(__xludf.DUMMYFUNCTION("IFERROR(IF(J223="""",0,INDEX(FILTER($Q$2:Q222,$C$2:C222=J223,$G$2:G222=G223),ROWS(FILTER($Q$2:Q222,$C$2:C222=J223,$G$2:G222=G223)),1)),1500)"),1444.0)</f>
        <v>1444</v>
      </c>
      <c r="N223" s="3">
        <f>IFERROR(__xludf.DUMMYFUNCTION("IFERROR(INDEX(FILTER($Q$2:Q222,$C$2:C222=C223,$G$2:G222=G223),ROWS(FILTER($Q$2:Q222,$C$2:C222=C223,$G$2:G222=G223)),1),1500)"),1513.0)</f>
        <v>1513</v>
      </c>
      <c r="O223" s="3">
        <f t="shared" si="3"/>
        <v>1498</v>
      </c>
      <c r="P223" s="9">
        <f t="shared" si="1"/>
        <v>15</v>
      </c>
      <c r="Q223" s="5">
        <f t="shared" si="2"/>
        <v>1528</v>
      </c>
    </row>
    <row r="224">
      <c r="A224" s="3" t="str">
        <f>IFERROR(__xludf.DUMMYFUNCTION("""COMPUTED_VALUE"""),"1HxQfwTC4C3IEIr3keLGwdY0VNT3zETBW")</f>
        <v>1HxQfwTC4C3IEIr3keLGwdY0VNT3zETBW</v>
      </c>
      <c r="B224" s="13">
        <f>IFERROR(__xludf.DUMMYFUNCTION("""COMPUTED_VALUE"""),45976.0)</f>
        <v>45976</v>
      </c>
      <c r="C224" s="3" t="str">
        <f>IFERROR(__xludf.DUMMYFUNCTION("""COMPUTED_VALUE"""),"Kesny")</f>
        <v>Kesny</v>
      </c>
      <c r="D224" s="3" t="str">
        <f>IFERROR(__xludf.DUMMYFUNCTION("""COMPUTED_VALUE"""),"Anbuu + Kesny + ZeroO")</f>
        <v>Anbuu + Kesny + ZeroO</v>
      </c>
      <c r="E224" s="3" t="str">
        <f>IFERROR(__xludf.DUMMYFUNCTION("""COMPUTED_VALUE"""),"Malena + Nebus. + Troniix")</f>
        <v>Malena + Nebus. + Troniix</v>
      </c>
      <c r="F224" s="3" t="str">
        <f>IFERROR(__xludf.DUMMYFUNCTION("""COMPUTED_VALUE"""),"win")</f>
        <v>win</v>
      </c>
      <c r="G224" s="3" t="str">
        <f>IFERROR(__xludf.DUMMYFUNCTION("""COMPUTED_VALUE"""),"3v3")</f>
        <v>3v3</v>
      </c>
      <c r="H224" s="3" t="str">
        <f>IFERROR(__xludf.DUMMYFUNCTION("IFERROR(TRIM(INDEX(SPLIT(E224,"" + ""),1)),"""")"),"Malena")</f>
        <v>Malena</v>
      </c>
      <c r="I224" s="3" t="str">
        <f>IFERROR(__xludf.DUMMYFUNCTION("IFERROR(TRIM(INDEX(SPLIT(E224,"" + ""),2)),"""")"),"Nebus.")</f>
        <v>Nebus.</v>
      </c>
      <c r="J224" s="5" t="str">
        <f>IFERROR(__xludf.DUMMYFUNCTION("IFERROR(TRIM(INDEX(SPLIT(E224,"" + ""),3)),"""")"),"Troniix")</f>
        <v>Troniix</v>
      </c>
      <c r="K224" s="3">
        <f>IFERROR(__xludf.DUMMYFUNCTION("IFERROR(IF(H224="""",0,INDEX(FILTER($Q$2:Q223,$C$2:C223=H224,$G$2:G223=G224),ROWS(FILTER($Q$2:Q223,$C$2:C223=H224,$G$2:G223=G224)),1)),1500)"),1507.0)</f>
        <v>1507</v>
      </c>
      <c r="L224" s="3">
        <f>IFERROR(__xludf.DUMMYFUNCTION("IFERROR(IF(I224="""",0,INDEX(FILTER($Q$2:Q223,$C$2:C223=I224,$G$2:G223=G224),ROWS(FILTER($Q$2:Q223,$C$2:C223=I224,$G$2:G223=G224)),1)),1500)"),1543.0)</f>
        <v>1543</v>
      </c>
      <c r="M224" s="3">
        <f>IFERROR(__xludf.DUMMYFUNCTION("IFERROR(IF(J224="""",0,INDEX(FILTER($Q$2:Q223,$C$2:C223=J224,$G$2:G223=G224),ROWS(FILTER($Q$2:Q223,$C$2:C223=J224,$G$2:G223=G224)),1)),1500)"),1444.0)</f>
        <v>1444</v>
      </c>
      <c r="N224" s="3">
        <f>IFERROR(__xludf.DUMMYFUNCTION("IFERROR(INDEX(FILTER($Q$2:Q223,$C$2:C223=C224,$G$2:G223=G224),ROWS(FILTER($Q$2:Q223,$C$2:C223=C224,$G$2:G223=G224)),1),1500)"),1428.0)</f>
        <v>1428</v>
      </c>
      <c r="O224" s="3">
        <f t="shared" si="3"/>
        <v>1498</v>
      </c>
      <c r="P224" s="9">
        <f t="shared" si="1"/>
        <v>19</v>
      </c>
      <c r="Q224" s="5">
        <f t="shared" si="2"/>
        <v>1447</v>
      </c>
    </row>
    <row r="225">
      <c r="A225" s="3" t="str">
        <f>IFERROR(__xludf.DUMMYFUNCTION("""COMPUTED_VALUE"""),"1HxQfwTC4C3IEIr3keLGwdY0VNT3zETBW")</f>
        <v>1HxQfwTC4C3IEIr3keLGwdY0VNT3zETBW</v>
      </c>
      <c r="B225" s="13">
        <f>IFERROR(__xludf.DUMMYFUNCTION("""COMPUTED_VALUE"""),45976.0)</f>
        <v>45976</v>
      </c>
      <c r="C225" s="3" t="str">
        <f>IFERROR(__xludf.DUMMYFUNCTION("""COMPUTED_VALUE"""),"Anbuu")</f>
        <v>Anbuu</v>
      </c>
      <c r="D225" s="3" t="str">
        <f>IFERROR(__xludf.DUMMYFUNCTION("""COMPUTED_VALUE"""),"Anbuu + Kesny + ZeroO")</f>
        <v>Anbuu + Kesny + ZeroO</v>
      </c>
      <c r="E225" s="3" t="str">
        <f>IFERROR(__xludf.DUMMYFUNCTION("""COMPUTED_VALUE"""),"Malena + Nebus. + Troniix")</f>
        <v>Malena + Nebus. + Troniix</v>
      </c>
      <c r="F225" s="3" t="str">
        <f>IFERROR(__xludf.DUMMYFUNCTION("""COMPUTED_VALUE"""),"win")</f>
        <v>win</v>
      </c>
      <c r="G225" s="3" t="str">
        <f>IFERROR(__xludf.DUMMYFUNCTION("""COMPUTED_VALUE"""),"3v3")</f>
        <v>3v3</v>
      </c>
      <c r="H225" s="3" t="str">
        <f>IFERROR(__xludf.DUMMYFUNCTION("IFERROR(TRIM(INDEX(SPLIT(E225,"" + ""),1)),"""")"),"Malena")</f>
        <v>Malena</v>
      </c>
      <c r="I225" s="3" t="str">
        <f>IFERROR(__xludf.DUMMYFUNCTION("IFERROR(TRIM(INDEX(SPLIT(E225,"" + ""),2)),"""")"),"Nebus.")</f>
        <v>Nebus.</v>
      </c>
      <c r="J225" s="5" t="str">
        <f>IFERROR(__xludf.DUMMYFUNCTION("IFERROR(TRIM(INDEX(SPLIT(E225,"" + ""),3)),"""")"),"Troniix")</f>
        <v>Troniix</v>
      </c>
      <c r="K225" s="3">
        <f>IFERROR(__xludf.DUMMYFUNCTION("IFERROR(IF(H225="""",0,INDEX(FILTER($Q$2:Q224,$C$2:C224=H225,$G$2:G224=G225),ROWS(FILTER($Q$2:Q224,$C$2:C224=H225,$G$2:G224=G225)),1)),1500)"),1507.0)</f>
        <v>1507</v>
      </c>
      <c r="L225" s="3">
        <f>IFERROR(__xludf.DUMMYFUNCTION("IFERROR(IF(I225="""",0,INDEX(FILTER($Q$2:Q224,$C$2:C224=I225,$G$2:G224=G225),ROWS(FILTER($Q$2:Q224,$C$2:C224=I225,$G$2:G224=G225)),1)),1500)"),1543.0)</f>
        <v>1543</v>
      </c>
      <c r="M225" s="3">
        <f>IFERROR(__xludf.DUMMYFUNCTION("IFERROR(IF(J225="""",0,INDEX(FILTER($Q$2:Q224,$C$2:C224=J225,$G$2:G224=G225),ROWS(FILTER($Q$2:Q224,$C$2:C224=J225,$G$2:G224=G225)),1)),1500)"),1444.0)</f>
        <v>1444</v>
      </c>
      <c r="N225" s="3">
        <f>IFERROR(__xludf.DUMMYFUNCTION("IFERROR(INDEX(FILTER($Q$2:Q224,$C$2:C224=C225,$G$2:G224=G225),ROWS(FILTER($Q$2:Q224,$C$2:C224=C225,$G$2:G224=G225)),1),1500)"),1559.0)</f>
        <v>1559</v>
      </c>
      <c r="O225" s="3">
        <f t="shared" si="3"/>
        <v>1498</v>
      </c>
      <c r="P225" s="9">
        <f t="shared" si="1"/>
        <v>13</v>
      </c>
      <c r="Q225" s="5">
        <f t="shared" si="2"/>
        <v>1572</v>
      </c>
    </row>
    <row r="226">
      <c r="A226" s="3" t="str">
        <f>IFERROR(__xludf.DUMMYFUNCTION("""COMPUTED_VALUE"""),"1wqpIE7FinyCHzYUbzpSCa2L0o-c8cdXn")</f>
        <v>1wqpIE7FinyCHzYUbzpSCa2L0o-c8cdXn</v>
      </c>
      <c r="B226" s="13">
        <f>IFERROR(__xludf.DUMMYFUNCTION("""COMPUTED_VALUE"""),45976.0)</f>
        <v>45976</v>
      </c>
      <c r="C226" s="3" t="str">
        <f>IFERROR(__xludf.DUMMYFUNCTION("""COMPUTED_VALUE"""),"Malena")</f>
        <v>Malena</v>
      </c>
      <c r="D226" s="3" t="str">
        <f>IFERROR(__xludf.DUMMYFUNCTION("""COMPUTED_VALUE"""),"Kesny + Malena + Nebus.")</f>
        <v>Kesny + Malena + Nebus.</v>
      </c>
      <c r="E226" s="3" t="str">
        <f>IFERROR(__xludf.DUMMYFUNCTION("""COMPUTED_VALUE"""),"Anbuu + Troniix + ZeroO")</f>
        <v>Anbuu + Troniix + ZeroO</v>
      </c>
      <c r="F226" s="3" t="str">
        <f>IFERROR(__xludf.DUMMYFUNCTION("""COMPUTED_VALUE"""),"win")</f>
        <v>win</v>
      </c>
      <c r="G226" s="3" t="str">
        <f>IFERROR(__xludf.DUMMYFUNCTION("""COMPUTED_VALUE"""),"3v3")</f>
        <v>3v3</v>
      </c>
      <c r="H226" s="3" t="str">
        <f>IFERROR(__xludf.DUMMYFUNCTION("IFERROR(TRIM(INDEX(SPLIT(E226,"" + ""),1)),"""")"),"Anbuu")</f>
        <v>Anbuu</v>
      </c>
      <c r="I226" s="3" t="str">
        <f>IFERROR(__xludf.DUMMYFUNCTION("IFERROR(TRIM(INDEX(SPLIT(E226,"" + ""),2)),"""")"),"Troniix")</f>
        <v>Troniix</v>
      </c>
      <c r="J226" s="5" t="str">
        <f>IFERROR(__xludf.DUMMYFUNCTION("IFERROR(TRIM(INDEX(SPLIT(E226,"" + ""),3)),"""")"),"ZeroO")</f>
        <v>ZeroO</v>
      </c>
      <c r="K226" s="3">
        <f>IFERROR(__xludf.DUMMYFUNCTION("IFERROR(IF(H226="""",0,INDEX(FILTER($Q$2:Q225,$C$2:C225=H226,$G$2:G225=G226),ROWS(FILTER($Q$2:Q225,$C$2:C225=H226,$G$2:G225=G226)),1)),1500)"),1572.0)</f>
        <v>1572</v>
      </c>
      <c r="L226" s="3">
        <f>IFERROR(__xludf.DUMMYFUNCTION("IFERROR(IF(I226="""",0,INDEX(FILTER($Q$2:Q225,$C$2:C225=I226,$G$2:G225=G226),ROWS(FILTER($Q$2:Q225,$C$2:C225=I226,$G$2:G225=G226)),1)),1500)"),1444.0)</f>
        <v>1444</v>
      </c>
      <c r="M226" s="3">
        <f>IFERROR(__xludf.DUMMYFUNCTION("IFERROR(IF(J226="""",0,INDEX(FILTER($Q$2:Q225,$C$2:C225=J226,$G$2:G225=G226),ROWS(FILTER($Q$2:Q225,$C$2:C225=J226,$G$2:G225=G226)),1)),1500)"),1528.0)</f>
        <v>1528</v>
      </c>
      <c r="N226" s="3">
        <f>IFERROR(__xludf.DUMMYFUNCTION("IFERROR(INDEX(FILTER($Q$2:Q225,$C$2:C225=C226,$G$2:G225=G226),ROWS(FILTER($Q$2:Q225,$C$2:C225=C226,$G$2:G225=G226)),1),1500)"),1507.0)</f>
        <v>1507</v>
      </c>
      <c r="O226" s="3">
        <f t="shared" si="3"/>
        <v>1514.666667</v>
      </c>
      <c r="P226" s="9">
        <f t="shared" si="1"/>
        <v>16</v>
      </c>
      <c r="Q226" s="5">
        <f t="shared" si="2"/>
        <v>1523</v>
      </c>
    </row>
    <row r="227">
      <c r="A227" s="3" t="str">
        <f>IFERROR(__xludf.DUMMYFUNCTION("""COMPUTED_VALUE"""),"1wqpIE7FinyCHzYUbzpSCa2L0o-c8cdXn")</f>
        <v>1wqpIE7FinyCHzYUbzpSCa2L0o-c8cdXn</v>
      </c>
      <c r="B227" s="13">
        <f>IFERROR(__xludf.DUMMYFUNCTION("""COMPUTED_VALUE"""),45976.0)</f>
        <v>45976</v>
      </c>
      <c r="C227" s="3" t="str">
        <f>IFERROR(__xludf.DUMMYFUNCTION("""COMPUTED_VALUE"""),"Nebus.")</f>
        <v>Nebus.</v>
      </c>
      <c r="D227" s="3" t="str">
        <f>IFERROR(__xludf.DUMMYFUNCTION("""COMPUTED_VALUE"""),"Kesny + Malena + Nebus.")</f>
        <v>Kesny + Malena + Nebus.</v>
      </c>
      <c r="E227" s="3" t="str">
        <f>IFERROR(__xludf.DUMMYFUNCTION("""COMPUTED_VALUE"""),"Anbuu + Troniix + ZeroO")</f>
        <v>Anbuu + Troniix + ZeroO</v>
      </c>
      <c r="F227" s="3" t="str">
        <f>IFERROR(__xludf.DUMMYFUNCTION("""COMPUTED_VALUE"""),"win")</f>
        <v>win</v>
      </c>
      <c r="G227" s="3" t="str">
        <f>IFERROR(__xludf.DUMMYFUNCTION("""COMPUTED_VALUE"""),"3v3")</f>
        <v>3v3</v>
      </c>
      <c r="H227" s="3" t="str">
        <f>IFERROR(__xludf.DUMMYFUNCTION("IFERROR(TRIM(INDEX(SPLIT(E227,"" + ""),1)),"""")"),"Anbuu")</f>
        <v>Anbuu</v>
      </c>
      <c r="I227" s="3" t="str">
        <f>IFERROR(__xludf.DUMMYFUNCTION("IFERROR(TRIM(INDEX(SPLIT(E227,"" + ""),2)),"""")"),"Troniix")</f>
        <v>Troniix</v>
      </c>
      <c r="J227" s="5" t="str">
        <f>IFERROR(__xludf.DUMMYFUNCTION("IFERROR(TRIM(INDEX(SPLIT(E227,"" + ""),3)),"""")"),"ZeroO")</f>
        <v>ZeroO</v>
      </c>
      <c r="K227" s="3">
        <f>IFERROR(__xludf.DUMMYFUNCTION("IFERROR(IF(H227="""",0,INDEX(FILTER($Q$2:Q226,$C$2:C226=H227,$G$2:G226=G227),ROWS(FILTER($Q$2:Q226,$C$2:C226=H227,$G$2:G226=G227)),1)),1500)"),1572.0)</f>
        <v>1572</v>
      </c>
      <c r="L227" s="3">
        <f>IFERROR(__xludf.DUMMYFUNCTION("IFERROR(IF(I227="""",0,INDEX(FILTER($Q$2:Q226,$C$2:C226=I227,$G$2:G226=G227),ROWS(FILTER($Q$2:Q226,$C$2:C226=I227,$G$2:G226=G227)),1)),1500)"),1444.0)</f>
        <v>1444</v>
      </c>
      <c r="M227" s="3">
        <f>IFERROR(__xludf.DUMMYFUNCTION("IFERROR(IF(J227="""",0,INDEX(FILTER($Q$2:Q226,$C$2:C226=J227,$G$2:G226=G227),ROWS(FILTER($Q$2:Q226,$C$2:C226=J227,$G$2:G226=G227)),1)),1500)"),1528.0)</f>
        <v>1528</v>
      </c>
      <c r="N227" s="3">
        <f>IFERROR(__xludf.DUMMYFUNCTION("IFERROR(INDEX(FILTER($Q$2:Q226,$C$2:C226=C227,$G$2:G226=G227),ROWS(FILTER($Q$2:Q226,$C$2:C226=C227,$G$2:G226=G227)),1),1500)"),1543.0)</f>
        <v>1543</v>
      </c>
      <c r="O227" s="3">
        <f t="shared" si="3"/>
        <v>1514.666667</v>
      </c>
      <c r="P227" s="9">
        <f t="shared" si="1"/>
        <v>15</v>
      </c>
      <c r="Q227" s="5">
        <f t="shared" si="2"/>
        <v>1558</v>
      </c>
    </row>
    <row r="228">
      <c r="A228" s="3" t="str">
        <f>IFERROR(__xludf.DUMMYFUNCTION("""COMPUTED_VALUE"""),"1wqpIE7FinyCHzYUbzpSCa2L0o-c8cdXn")</f>
        <v>1wqpIE7FinyCHzYUbzpSCa2L0o-c8cdXn</v>
      </c>
      <c r="B228" s="13">
        <f>IFERROR(__xludf.DUMMYFUNCTION("""COMPUTED_VALUE"""),45976.0)</f>
        <v>45976</v>
      </c>
      <c r="C228" s="3" t="str">
        <f>IFERROR(__xludf.DUMMYFUNCTION("""COMPUTED_VALUE"""),"Kesny")</f>
        <v>Kesny</v>
      </c>
      <c r="D228" s="3" t="str">
        <f>IFERROR(__xludf.DUMMYFUNCTION("""COMPUTED_VALUE"""),"Kesny + Malena + Nebus.")</f>
        <v>Kesny + Malena + Nebus.</v>
      </c>
      <c r="E228" s="3" t="str">
        <f>IFERROR(__xludf.DUMMYFUNCTION("""COMPUTED_VALUE"""),"Anbuu + Troniix + ZeroO")</f>
        <v>Anbuu + Troniix + ZeroO</v>
      </c>
      <c r="F228" s="3" t="str">
        <f>IFERROR(__xludf.DUMMYFUNCTION("""COMPUTED_VALUE"""),"win")</f>
        <v>win</v>
      </c>
      <c r="G228" s="3" t="str">
        <f>IFERROR(__xludf.DUMMYFUNCTION("""COMPUTED_VALUE"""),"3v3")</f>
        <v>3v3</v>
      </c>
      <c r="H228" s="3" t="str">
        <f>IFERROR(__xludf.DUMMYFUNCTION("IFERROR(TRIM(INDEX(SPLIT(E228,"" + ""),1)),"""")"),"Anbuu")</f>
        <v>Anbuu</v>
      </c>
      <c r="I228" s="3" t="str">
        <f>IFERROR(__xludf.DUMMYFUNCTION("IFERROR(TRIM(INDEX(SPLIT(E228,"" + ""),2)),"""")"),"Troniix")</f>
        <v>Troniix</v>
      </c>
      <c r="J228" s="5" t="str">
        <f>IFERROR(__xludf.DUMMYFUNCTION("IFERROR(TRIM(INDEX(SPLIT(E228,"" + ""),3)),"""")"),"ZeroO")</f>
        <v>ZeroO</v>
      </c>
      <c r="K228" s="3">
        <f>IFERROR(__xludf.DUMMYFUNCTION("IFERROR(IF(H228="""",0,INDEX(FILTER($Q$2:Q227,$C$2:C227=H228,$G$2:G227=G228),ROWS(FILTER($Q$2:Q227,$C$2:C227=H228,$G$2:G227=G228)),1)),1500)"),1572.0)</f>
        <v>1572</v>
      </c>
      <c r="L228" s="3">
        <f>IFERROR(__xludf.DUMMYFUNCTION("IFERROR(IF(I228="""",0,INDEX(FILTER($Q$2:Q227,$C$2:C227=I228,$G$2:G227=G228),ROWS(FILTER($Q$2:Q227,$C$2:C227=I228,$G$2:G227=G228)),1)),1500)"),1444.0)</f>
        <v>1444</v>
      </c>
      <c r="M228" s="3">
        <f>IFERROR(__xludf.DUMMYFUNCTION("IFERROR(IF(J228="""",0,INDEX(FILTER($Q$2:Q227,$C$2:C227=J228,$G$2:G227=G228),ROWS(FILTER($Q$2:Q227,$C$2:C227=J228,$G$2:G227=G228)),1)),1500)"),1528.0)</f>
        <v>1528</v>
      </c>
      <c r="N228" s="3">
        <f>IFERROR(__xludf.DUMMYFUNCTION("IFERROR(INDEX(FILTER($Q$2:Q227,$C$2:C227=C228,$G$2:G227=G228),ROWS(FILTER($Q$2:Q227,$C$2:C227=C228,$G$2:G227=G228)),1),1500)"),1447.0)</f>
        <v>1447</v>
      </c>
      <c r="O228" s="3">
        <f t="shared" si="3"/>
        <v>1514.666667</v>
      </c>
      <c r="P228" s="9">
        <f t="shared" si="1"/>
        <v>19</v>
      </c>
      <c r="Q228" s="5">
        <f t="shared" si="2"/>
        <v>1466</v>
      </c>
    </row>
    <row r="229">
      <c r="A229" s="3" t="str">
        <f>IFERROR(__xludf.DUMMYFUNCTION("""COMPUTED_VALUE"""),"1wqpIE7FinyCHzYUbzpSCa2L0o-c8cdXn")</f>
        <v>1wqpIE7FinyCHzYUbzpSCa2L0o-c8cdXn</v>
      </c>
      <c r="B229" s="13">
        <f>IFERROR(__xludf.DUMMYFUNCTION("""COMPUTED_VALUE"""),45976.0)</f>
        <v>45976</v>
      </c>
      <c r="C229" s="3" t="str">
        <f>IFERROR(__xludf.DUMMYFUNCTION("""COMPUTED_VALUE"""),"ZeroO")</f>
        <v>ZeroO</v>
      </c>
      <c r="D229" s="3" t="str">
        <f>IFERROR(__xludf.DUMMYFUNCTION("""COMPUTED_VALUE"""),"Anbuu + Troniix + ZeroO")</f>
        <v>Anbuu + Troniix + ZeroO</v>
      </c>
      <c r="E229" s="3" t="str">
        <f>IFERROR(__xludf.DUMMYFUNCTION("""COMPUTED_VALUE"""),"Kesny + Malena + Nebus.")</f>
        <v>Kesny + Malena + Nebus.</v>
      </c>
      <c r="F229" s="3" t="str">
        <f>IFERROR(__xludf.DUMMYFUNCTION("""COMPUTED_VALUE"""),"loss")</f>
        <v>loss</v>
      </c>
      <c r="G229" s="3" t="str">
        <f>IFERROR(__xludf.DUMMYFUNCTION("""COMPUTED_VALUE"""),"3v3")</f>
        <v>3v3</v>
      </c>
      <c r="H229" s="3" t="str">
        <f>IFERROR(__xludf.DUMMYFUNCTION("IFERROR(TRIM(INDEX(SPLIT(E229,"" + ""),1)),"""")"),"Kesny")</f>
        <v>Kesny</v>
      </c>
      <c r="I229" s="3" t="str">
        <f>IFERROR(__xludf.DUMMYFUNCTION("IFERROR(TRIM(INDEX(SPLIT(E229,"" + ""),2)),"""")"),"Malena")</f>
        <v>Malena</v>
      </c>
      <c r="J229" s="5" t="str">
        <f>IFERROR(__xludf.DUMMYFUNCTION("IFERROR(TRIM(INDEX(SPLIT(E229,"" + ""),3)),"""")"),"Nebus.")</f>
        <v>Nebus.</v>
      </c>
      <c r="K229" s="3">
        <f>IFERROR(__xludf.DUMMYFUNCTION("IFERROR(IF(H229="""",0,INDEX(FILTER($Q$2:Q228,$C$2:C228=H229,$G$2:G228=G229),ROWS(FILTER($Q$2:Q228,$C$2:C228=H229,$G$2:G228=G229)),1)),1500)"),1466.0)</f>
        <v>1466</v>
      </c>
      <c r="L229" s="3">
        <f>IFERROR(__xludf.DUMMYFUNCTION("IFERROR(IF(I229="""",0,INDEX(FILTER($Q$2:Q228,$C$2:C228=I229,$G$2:G228=G229),ROWS(FILTER($Q$2:Q228,$C$2:C228=I229,$G$2:G228=G229)),1)),1500)"),1523.0)</f>
        <v>1523</v>
      </c>
      <c r="M229" s="3">
        <f>IFERROR(__xludf.DUMMYFUNCTION("IFERROR(IF(J229="""",0,INDEX(FILTER($Q$2:Q228,$C$2:C228=J229,$G$2:G228=G229),ROWS(FILTER($Q$2:Q228,$C$2:C228=J229,$G$2:G228=G229)),1)),1500)"),1558.0)</f>
        <v>1558</v>
      </c>
      <c r="N229" s="3">
        <f>IFERROR(__xludf.DUMMYFUNCTION("IFERROR(INDEX(FILTER($Q$2:Q228,$C$2:C228=C229,$G$2:G228=G229),ROWS(FILTER($Q$2:Q228,$C$2:C228=C229,$G$2:G228=G229)),1),1500)"),1528.0)</f>
        <v>1528</v>
      </c>
      <c r="O229" s="3">
        <f t="shared" si="3"/>
        <v>1515.666667</v>
      </c>
      <c r="P229" s="9">
        <f t="shared" si="1"/>
        <v>-17</v>
      </c>
      <c r="Q229" s="5">
        <f t="shared" si="2"/>
        <v>1511</v>
      </c>
    </row>
    <row r="230">
      <c r="A230" s="3" t="str">
        <f>IFERROR(__xludf.DUMMYFUNCTION("""COMPUTED_VALUE"""),"1wqpIE7FinyCHzYUbzpSCa2L0o-c8cdXn")</f>
        <v>1wqpIE7FinyCHzYUbzpSCa2L0o-c8cdXn</v>
      </c>
      <c r="B230" s="13">
        <f>IFERROR(__xludf.DUMMYFUNCTION("""COMPUTED_VALUE"""),45976.0)</f>
        <v>45976</v>
      </c>
      <c r="C230" s="3" t="str">
        <f>IFERROR(__xludf.DUMMYFUNCTION("""COMPUTED_VALUE"""),"Anbuu")</f>
        <v>Anbuu</v>
      </c>
      <c r="D230" s="3" t="str">
        <f>IFERROR(__xludf.DUMMYFUNCTION("""COMPUTED_VALUE"""),"Anbuu + Troniix + ZeroO")</f>
        <v>Anbuu + Troniix + ZeroO</v>
      </c>
      <c r="E230" s="3" t="str">
        <f>IFERROR(__xludf.DUMMYFUNCTION("""COMPUTED_VALUE"""),"Kesny + Malena + Nebus.")</f>
        <v>Kesny + Malena + Nebus.</v>
      </c>
      <c r="F230" s="3" t="str">
        <f>IFERROR(__xludf.DUMMYFUNCTION("""COMPUTED_VALUE"""),"loss")</f>
        <v>loss</v>
      </c>
      <c r="G230" s="3" t="str">
        <f>IFERROR(__xludf.DUMMYFUNCTION("""COMPUTED_VALUE"""),"3v3")</f>
        <v>3v3</v>
      </c>
      <c r="H230" s="3" t="str">
        <f>IFERROR(__xludf.DUMMYFUNCTION("IFERROR(TRIM(INDEX(SPLIT(E230,"" + ""),1)),"""")"),"Kesny")</f>
        <v>Kesny</v>
      </c>
      <c r="I230" s="3" t="str">
        <f>IFERROR(__xludf.DUMMYFUNCTION("IFERROR(TRIM(INDEX(SPLIT(E230,"" + ""),2)),"""")"),"Malena")</f>
        <v>Malena</v>
      </c>
      <c r="J230" s="5" t="str">
        <f>IFERROR(__xludf.DUMMYFUNCTION("IFERROR(TRIM(INDEX(SPLIT(E230,"" + ""),3)),"""")"),"Nebus.")</f>
        <v>Nebus.</v>
      </c>
      <c r="K230" s="3">
        <f>IFERROR(__xludf.DUMMYFUNCTION("IFERROR(IF(H230="""",0,INDEX(FILTER($Q$2:Q229,$C$2:C229=H230,$G$2:G229=G230),ROWS(FILTER($Q$2:Q229,$C$2:C229=H230,$G$2:G229=G230)),1)),1500)"),1466.0)</f>
        <v>1466</v>
      </c>
      <c r="L230" s="3">
        <f>IFERROR(__xludf.DUMMYFUNCTION("IFERROR(IF(I230="""",0,INDEX(FILTER($Q$2:Q229,$C$2:C229=I230,$G$2:G229=G230),ROWS(FILTER($Q$2:Q229,$C$2:C229=I230,$G$2:G229=G230)),1)),1500)"),1523.0)</f>
        <v>1523</v>
      </c>
      <c r="M230" s="3">
        <f>IFERROR(__xludf.DUMMYFUNCTION("IFERROR(IF(J230="""",0,INDEX(FILTER($Q$2:Q229,$C$2:C229=J230,$G$2:G229=G230),ROWS(FILTER($Q$2:Q229,$C$2:C229=J230,$G$2:G229=G230)),1)),1500)"),1558.0)</f>
        <v>1558</v>
      </c>
      <c r="N230" s="3">
        <f>IFERROR(__xludf.DUMMYFUNCTION("IFERROR(INDEX(FILTER($Q$2:Q229,$C$2:C229=C230,$G$2:G229=G230),ROWS(FILTER($Q$2:Q229,$C$2:C229=C230,$G$2:G229=G230)),1),1500)"),1572.0)</f>
        <v>1572</v>
      </c>
      <c r="O230" s="3">
        <f t="shared" si="3"/>
        <v>1515.666667</v>
      </c>
      <c r="P230" s="9">
        <f t="shared" si="1"/>
        <v>-19</v>
      </c>
      <c r="Q230" s="5">
        <f t="shared" si="2"/>
        <v>1553</v>
      </c>
    </row>
    <row r="231">
      <c r="A231" s="3" t="str">
        <f>IFERROR(__xludf.DUMMYFUNCTION("""COMPUTED_VALUE"""),"1wqpIE7FinyCHzYUbzpSCa2L0o-c8cdXn")</f>
        <v>1wqpIE7FinyCHzYUbzpSCa2L0o-c8cdXn</v>
      </c>
      <c r="B231" s="13">
        <f>IFERROR(__xludf.DUMMYFUNCTION("""COMPUTED_VALUE"""),45976.0)</f>
        <v>45976</v>
      </c>
      <c r="C231" s="3" t="str">
        <f>IFERROR(__xludf.DUMMYFUNCTION("""COMPUTED_VALUE"""),"Troniix")</f>
        <v>Troniix</v>
      </c>
      <c r="D231" s="3" t="str">
        <f>IFERROR(__xludf.DUMMYFUNCTION("""COMPUTED_VALUE"""),"Anbuu + Troniix + ZeroO")</f>
        <v>Anbuu + Troniix + ZeroO</v>
      </c>
      <c r="E231" s="3" t="str">
        <f>IFERROR(__xludf.DUMMYFUNCTION("""COMPUTED_VALUE"""),"Kesny + Malena + Nebus.")</f>
        <v>Kesny + Malena + Nebus.</v>
      </c>
      <c r="F231" s="3" t="str">
        <f>IFERROR(__xludf.DUMMYFUNCTION("""COMPUTED_VALUE"""),"loss")</f>
        <v>loss</v>
      </c>
      <c r="G231" s="3" t="str">
        <f>IFERROR(__xludf.DUMMYFUNCTION("""COMPUTED_VALUE"""),"3v3")</f>
        <v>3v3</v>
      </c>
      <c r="H231" s="3" t="str">
        <f>IFERROR(__xludf.DUMMYFUNCTION("IFERROR(TRIM(INDEX(SPLIT(E231,"" + ""),1)),"""")"),"Kesny")</f>
        <v>Kesny</v>
      </c>
      <c r="I231" s="3" t="str">
        <f>IFERROR(__xludf.DUMMYFUNCTION("IFERROR(TRIM(INDEX(SPLIT(E231,"" + ""),2)),"""")"),"Malena")</f>
        <v>Malena</v>
      </c>
      <c r="J231" s="5" t="str">
        <f>IFERROR(__xludf.DUMMYFUNCTION("IFERROR(TRIM(INDEX(SPLIT(E231,"" + ""),3)),"""")"),"Nebus.")</f>
        <v>Nebus.</v>
      </c>
      <c r="K231" s="3">
        <f>IFERROR(__xludf.DUMMYFUNCTION("IFERROR(IF(H231="""",0,INDEX(FILTER($Q$2:Q230,$C$2:C230=H231,$G$2:G230=G231),ROWS(FILTER($Q$2:Q230,$C$2:C230=H231,$G$2:G230=G231)),1)),1500)"),1466.0)</f>
        <v>1466</v>
      </c>
      <c r="L231" s="3">
        <f>IFERROR(__xludf.DUMMYFUNCTION("IFERROR(IF(I231="""",0,INDEX(FILTER($Q$2:Q230,$C$2:C230=I231,$G$2:G230=G231),ROWS(FILTER($Q$2:Q230,$C$2:C230=I231,$G$2:G230=G231)),1)),1500)"),1523.0)</f>
        <v>1523</v>
      </c>
      <c r="M231" s="3">
        <f>IFERROR(__xludf.DUMMYFUNCTION("IFERROR(IF(J231="""",0,INDEX(FILTER($Q$2:Q230,$C$2:C230=J231,$G$2:G230=G231),ROWS(FILTER($Q$2:Q230,$C$2:C230=J231,$G$2:G230=G231)),1)),1500)"),1558.0)</f>
        <v>1558</v>
      </c>
      <c r="N231" s="3">
        <f>IFERROR(__xludf.DUMMYFUNCTION("IFERROR(INDEX(FILTER($Q$2:Q230,$C$2:C230=C231,$G$2:G230=G231),ROWS(FILTER($Q$2:Q230,$C$2:C230=C231,$G$2:G230=G231)),1),1500)"),1444.0)</f>
        <v>1444</v>
      </c>
      <c r="O231" s="3">
        <f t="shared" si="3"/>
        <v>1515.666667</v>
      </c>
      <c r="P231" s="9">
        <f t="shared" si="1"/>
        <v>-13</v>
      </c>
      <c r="Q231" s="5">
        <f t="shared" si="2"/>
        <v>1431</v>
      </c>
    </row>
    <row r="232">
      <c r="A232" s="3" t="str">
        <f>IFERROR(__xludf.DUMMYFUNCTION("""COMPUTED_VALUE"""),"1k4ss9crFvc3B4y1p5CHhEYwcRi1pIzA3")</f>
        <v>1k4ss9crFvc3B4y1p5CHhEYwcRi1pIzA3</v>
      </c>
      <c r="B232" s="13">
        <f>IFERROR(__xludf.DUMMYFUNCTION("""COMPUTED_VALUE"""),45976.0)</f>
        <v>45976</v>
      </c>
      <c r="C232" s="3" t="str">
        <f>IFERROR(__xludf.DUMMYFUNCTION("""COMPUTED_VALUE"""),"Kesny")</f>
        <v>Kesny</v>
      </c>
      <c r="D232" s="3" t="str">
        <f>IFERROR(__xludf.DUMMYFUNCTION("""COMPUTED_VALUE"""),"Kesny + Malena + Tess1509")</f>
        <v>Kesny + Malena + Tess1509</v>
      </c>
      <c r="E232" s="3" t="str">
        <f>IFERROR(__xludf.DUMMYFUNCTION("""COMPUTED_VALUE"""),"Aferdita + Nebus. + ZeroO")</f>
        <v>Aferdita + Nebus. + ZeroO</v>
      </c>
      <c r="F232" s="3" t="str">
        <f>IFERROR(__xludf.DUMMYFUNCTION("""COMPUTED_VALUE"""),"loss")</f>
        <v>loss</v>
      </c>
      <c r="G232" s="3" t="str">
        <f>IFERROR(__xludf.DUMMYFUNCTION("""COMPUTED_VALUE"""),"3v3")</f>
        <v>3v3</v>
      </c>
      <c r="H232" s="3" t="str">
        <f>IFERROR(__xludf.DUMMYFUNCTION("IFERROR(TRIM(INDEX(SPLIT(E232,"" + ""),1)),"""")"),"Aferdita")</f>
        <v>Aferdita</v>
      </c>
      <c r="I232" s="3" t="str">
        <f>IFERROR(__xludf.DUMMYFUNCTION("IFERROR(TRIM(INDEX(SPLIT(E232,"" + ""),2)),"""")"),"Nebus.")</f>
        <v>Nebus.</v>
      </c>
      <c r="J232" s="5" t="str">
        <f>IFERROR(__xludf.DUMMYFUNCTION("IFERROR(TRIM(INDEX(SPLIT(E232,"" + ""),3)),"""")"),"ZeroO")</f>
        <v>ZeroO</v>
      </c>
      <c r="K232" s="3">
        <f>IFERROR(__xludf.DUMMYFUNCTION("IFERROR(IF(H232="""",0,INDEX(FILTER($Q$2:Q231,$C$2:C231=H232,$G$2:G231=G232),ROWS(FILTER($Q$2:Q231,$C$2:C231=H232,$G$2:G231=G232)),1)),1500)"),1499.0)</f>
        <v>1499</v>
      </c>
      <c r="L232" s="3">
        <f>IFERROR(__xludf.DUMMYFUNCTION("IFERROR(IF(I232="""",0,INDEX(FILTER($Q$2:Q231,$C$2:C231=I232,$G$2:G231=G232),ROWS(FILTER($Q$2:Q231,$C$2:C231=I232,$G$2:G231=G232)),1)),1500)"),1558.0)</f>
        <v>1558</v>
      </c>
      <c r="M232" s="3">
        <f>IFERROR(__xludf.DUMMYFUNCTION("IFERROR(IF(J232="""",0,INDEX(FILTER($Q$2:Q231,$C$2:C231=J232,$G$2:G231=G232),ROWS(FILTER($Q$2:Q231,$C$2:C231=J232,$G$2:G231=G232)),1)),1500)"),1511.0)</f>
        <v>1511</v>
      </c>
      <c r="N232" s="3">
        <f>IFERROR(__xludf.DUMMYFUNCTION("IFERROR(INDEX(FILTER($Q$2:Q231,$C$2:C231=C232,$G$2:G231=G232),ROWS(FILTER($Q$2:Q231,$C$2:C231=C232,$G$2:G231=G232)),1),1500)"),1466.0)</f>
        <v>1466</v>
      </c>
      <c r="O232" s="3">
        <f t="shared" si="3"/>
        <v>1522.666667</v>
      </c>
      <c r="P232" s="9">
        <f t="shared" si="1"/>
        <v>-13</v>
      </c>
      <c r="Q232" s="5">
        <f t="shared" si="2"/>
        <v>1453</v>
      </c>
    </row>
    <row r="233">
      <c r="A233" s="3" t="str">
        <f>IFERROR(__xludf.DUMMYFUNCTION("""COMPUTED_VALUE"""),"1k4ss9crFvc3B4y1p5CHhEYwcRi1pIzA3")</f>
        <v>1k4ss9crFvc3B4y1p5CHhEYwcRi1pIzA3</v>
      </c>
      <c r="B233" s="13">
        <f>IFERROR(__xludf.DUMMYFUNCTION("""COMPUTED_VALUE"""),45976.0)</f>
        <v>45976</v>
      </c>
      <c r="C233" s="3" t="str">
        <f>IFERROR(__xludf.DUMMYFUNCTION("""COMPUTED_VALUE"""),"Malena")</f>
        <v>Malena</v>
      </c>
      <c r="D233" s="3" t="str">
        <f>IFERROR(__xludf.DUMMYFUNCTION("""COMPUTED_VALUE"""),"Kesny + Malena + Tess1509")</f>
        <v>Kesny + Malena + Tess1509</v>
      </c>
      <c r="E233" s="3" t="str">
        <f>IFERROR(__xludf.DUMMYFUNCTION("""COMPUTED_VALUE"""),"Aferdita + Nebus. + ZeroO")</f>
        <v>Aferdita + Nebus. + ZeroO</v>
      </c>
      <c r="F233" s="3" t="str">
        <f>IFERROR(__xludf.DUMMYFUNCTION("""COMPUTED_VALUE"""),"loss")</f>
        <v>loss</v>
      </c>
      <c r="G233" s="3" t="str">
        <f>IFERROR(__xludf.DUMMYFUNCTION("""COMPUTED_VALUE"""),"3v3")</f>
        <v>3v3</v>
      </c>
      <c r="H233" s="3" t="str">
        <f>IFERROR(__xludf.DUMMYFUNCTION("IFERROR(TRIM(INDEX(SPLIT(E233,"" + ""),1)),"""")"),"Aferdita")</f>
        <v>Aferdita</v>
      </c>
      <c r="I233" s="3" t="str">
        <f>IFERROR(__xludf.DUMMYFUNCTION("IFERROR(TRIM(INDEX(SPLIT(E233,"" + ""),2)),"""")"),"Nebus.")</f>
        <v>Nebus.</v>
      </c>
      <c r="J233" s="5" t="str">
        <f>IFERROR(__xludf.DUMMYFUNCTION("IFERROR(TRIM(INDEX(SPLIT(E233,"" + ""),3)),"""")"),"ZeroO")</f>
        <v>ZeroO</v>
      </c>
      <c r="K233" s="3">
        <f>IFERROR(__xludf.DUMMYFUNCTION("IFERROR(IF(H233="""",0,INDEX(FILTER($Q$2:Q232,$C$2:C232=H233,$G$2:G232=G233),ROWS(FILTER($Q$2:Q232,$C$2:C232=H233,$G$2:G232=G233)),1)),1500)"),1499.0)</f>
        <v>1499</v>
      </c>
      <c r="L233" s="3">
        <f>IFERROR(__xludf.DUMMYFUNCTION("IFERROR(IF(I233="""",0,INDEX(FILTER($Q$2:Q232,$C$2:C232=I233,$G$2:G232=G233),ROWS(FILTER($Q$2:Q232,$C$2:C232=I233,$G$2:G232=G233)),1)),1500)"),1558.0)</f>
        <v>1558</v>
      </c>
      <c r="M233" s="3">
        <f>IFERROR(__xludf.DUMMYFUNCTION("IFERROR(IF(J233="""",0,INDEX(FILTER($Q$2:Q232,$C$2:C232=J233,$G$2:G232=G233),ROWS(FILTER($Q$2:Q232,$C$2:C232=J233,$G$2:G232=G233)),1)),1500)"),1511.0)</f>
        <v>1511</v>
      </c>
      <c r="N233" s="3">
        <f>IFERROR(__xludf.DUMMYFUNCTION("IFERROR(INDEX(FILTER($Q$2:Q232,$C$2:C232=C233,$G$2:G232=G233),ROWS(FILTER($Q$2:Q232,$C$2:C232=C233,$G$2:G232=G233)),1),1500)"),1523.0)</f>
        <v>1523</v>
      </c>
      <c r="O233" s="3">
        <f t="shared" si="3"/>
        <v>1522.666667</v>
      </c>
      <c r="P233" s="9">
        <f t="shared" si="1"/>
        <v>-16</v>
      </c>
      <c r="Q233" s="5">
        <f t="shared" si="2"/>
        <v>1507</v>
      </c>
    </row>
    <row r="234">
      <c r="A234" s="3" t="str">
        <f>IFERROR(__xludf.DUMMYFUNCTION("""COMPUTED_VALUE"""),"1k4ss9crFvc3B4y1p5CHhEYwcRi1pIzA3")</f>
        <v>1k4ss9crFvc3B4y1p5CHhEYwcRi1pIzA3</v>
      </c>
      <c r="B234" s="13">
        <f>IFERROR(__xludf.DUMMYFUNCTION("""COMPUTED_VALUE"""),45976.0)</f>
        <v>45976</v>
      </c>
      <c r="C234" s="3" t="str">
        <f>IFERROR(__xludf.DUMMYFUNCTION("""COMPUTED_VALUE"""),"Tess1509")</f>
        <v>Tess1509</v>
      </c>
      <c r="D234" s="3" t="str">
        <f>IFERROR(__xludf.DUMMYFUNCTION("""COMPUTED_VALUE"""),"Kesny + Malena + Tess1509")</f>
        <v>Kesny + Malena + Tess1509</v>
      </c>
      <c r="E234" s="3" t="str">
        <f>IFERROR(__xludf.DUMMYFUNCTION("""COMPUTED_VALUE"""),"Aferdita + Nebus. + ZeroO")</f>
        <v>Aferdita + Nebus. + ZeroO</v>
      </c>
      <c r="F234" s="3" t="str">
        <f>IFERROR(__xludf.DUMMYFUNCTION("""COMPUTED_VALUE"""),"loss")</f>
        <v>loss</v>
      </c>
      <c r="G234" s="3" t="str">
        <f>IFERROR(__xludf.DUMMYFUNCTION("""COMPUTED_VALUE"""),"3v3")</f>
        <v>3v3</v>
      </c>
      <c r="H234" s="3" t="str">
        <f>IFERROR(__xludf.DUMMYFUNCTION("IFERROR(TRIM(INDEX(SPLIT(E234,"" + ""),1)),"""")"),"Aferdita")</f>
        <v>Aferdita</v>
      </c>
      <c r="I234" s="3" t="str">
        <f>IFERROR(__xludf.DUMMYFUNCTION("IFERROR(TRIM(INDEX(SPLIT(E234,"" + ""),2)),"""")"),"Nebus.")</f>
        <v>Nebus.</v>
      </c>
      <c r="J234" s="5" t="str">
        <f>IFERROR(__xludf.DUMMYFUNCTION("IFERROR(TRIM(INDEX(SPLIT(E234,"" + ""),3)),"""")"),"ZeroO")</f>
        <v>ZeroO</v>
      </c>
      <c r="K234" s="3">
        <f>IFERROR(__xludf.DUMMYFUNCTION("IFERROR(IF(H234="""",0,INDEX(FILTER($Q$2:Q233,$C$2:C233=H234,$G$2:G233=G234),ROWS(FILTER($Q$2:Q233,$C$2:C233=H234,$G$2:G233=G234)),1)),1500)"),1499.0)</f>
        <v>1499</v>
      </c>
      <c r="L234" s="3">
        <f>IFERROR(__xludf.DUMMYFUNCTION("IFERROR(IF(I234="""",0,INDEX(FILTER($Q$2:Q233,$C$2:C233=I234,$G$2:G233=G234),ROWS(FILTER($Q$2:Q233,$C$2:C233=I234,$G$2:G233=G234)),1)),1500)"),1558.0)</f>
        <v>1558</v>
      </c>
      <c r="M234" s="3">
        <f>IFERROR(__xludf.DUMMYFUNCTION("IFERROR(IF(J234="""",0,INDEX(FILTER($Q$2:Q233,$C$2:C233=J234,$G$2:G233=G234),ROWS(FILTER($Q$2:Q233,$C$2:C233=J234,$G$2:G233=G234)),1)),1500)"),1511.0)</f>
        <v>1511</v>
      </c>
      <c r="N234" s="3">
        <f>IFERROR(__xludf.DUMMYFUNCTION("IFERROR(INDEX(FILTER($Q$2:Q233,$C$2:C233=C234,$G$2:G233=G234),ROWS(FILTER($Q$2:Q233,$C$2:C233=C234,$G$2:G233=G234)),1),1500)"),1448.0)</f>
        <v>1448</v>
      </c>
      <c r="O234" s="3">
        <f t="shared" si="3"/>
        <v>1522.666667</v>
      </c>
      <c r="P234" s="9">
        <f t="shared" si="1"/>
        <v>-13</v>
      </c>
      <c r="Q234" s="5">
        <f t="shared" si="2"/>
        <v>1435</v>
      </c>
    </row>
    <row r="235">
      <c r="A235" s="3" t="str">
        <f>IFERROR(__xludf.DUMMYFUNCTION("""COMPUTED_VALUE"""),"1k4ss9crFvc3B4y1p5CHhEYwcRi1pIzA3")</f>
        <v>1k4ss9crFvc3B4y1p5CHhEYwcRi1pIzA3</v>
      </c>
      <c r="B235" s="13">
        <f>IFERROR(__xludf.DUMMYFUNCTION("""COMPUTED_VALUE"""),45976.0)</f>
        <v>45976</v>
      </c>
      <c r="C235" s="3" t="str">
        <f>IFERROR(__xludf.DUMMYFUNCTION("""COMPUTED_VALUE"""),"Nebus.")</f>
        <v>Nebus.</v>
      </c>
      <c r="D235" s="3" t="str">
        <f>IFERROR(__xludf.DUMMYFUNCTION("""COMPUTED_VALUE"""),"Aferdita + Nebus. + ZeroO")</f>
        <v>Aferdita + Nebus. + ZeroO</v>
      </c>
      <c r="E235" s="3" t="str">
        <f>IFERROR(__xludf.DUMMYFUNCTION("""COMPUTED_VALUE"""),"Kesny + Malena + Tess1509")</f>
        <v>Kesny + Malena + Tess1509</v>
      </c>
      <c r="F235" s="3" t="str">
        <f>IFERROR(__xludf.DUMMYFUNCTION("""COMPUTED_VALUE"""),"win")</f>
        <v>win</v>
      </c>
      <c r="G235" s="3" t="str">
        <f>IFERROR(__xludf.DUMMYFUNCTION("""COMPUTED_VALUE"""),"3v3")</f>
        <v>3v3</v>
      </c>
      <c r="H235" s="3" t="str">
        <f>IFERROR(__xludf.DUMMYFUNCTION("IFERROR(TRIM(INDEX(SPLIT(E235,"" + ""),1)),"""")"),"Kesny")</f>
        <v>Kesny</v>
      </c>
      <c r="I235" s="3" t="str">
        <f>IFERROR(__xludf.DUMMYFUNCTION("IFERROR(TRIM(INDEX(SPLIT(E235,"" + ""),2)),"""")"),"Malena")</f>
        <v>Malena</v>
      </c>
      <c r="J235" s="5" t="str">
        <f>IFERROR(__xludf.DUMMYFUNCTION("IFERROR(TRIM(INDEX(SPLIT(E235,"" + ""),3)),"""")"),"Tess1509")</f>
        <v>Tess1509</v>
      </c>
      <c r="K235" s="3">
        <f>IFERROR(__xludf.DUMMYFUNCTION("IFERROR(IF(H235="""",0,INDEX(FILTER($Q$2:Q234,$C$2:C234=H235,$G$2:G234=G235),ROWS(FILTER($Q$2:Q234,$C$2:C234=H235,$G$2:G234=G235)),1)),1500)"),1453.0)</f>
        <v>1453</v>
      </c>
      <c r="L235" s="3">
        <f>IFERROR(__xludf.DUMMYFUNCTION("IFERROR(IF(I235="""",0,INDEX(FILTER($Q$2:Q234,$C$2:C234=I235,$G$2:G234=G235),ROWS(FILTER($Q$2:Q234,$C$2:C234=I235,$G$2:G234=G235)),1)),1500)"),1507.0)</f>
        <v>1507</v>
      </c>
      <c r="M235" s="3">
        <f>IFERROR(__xludf.DUMMYFUNCTION("IFERROR(IF(J235="""",0,INDEX(FILTER($Q$2:Q234,$C$2:C234=J235,$G$2:G234=G235),ROWS(FILTER($Q$2:Q234,$C$2:C234=J235,$G$2:G234=G235)),1)),1500)"),1435.0)</f>
        <v>1435</v>
      </c>
      <c r="N235" s="3">
        <f>IFERROR(__xludf.DUMMYFUNCTION("IFERROR(INDEX(FILTER($Q$2:Q234,$C$2:C234=C235,$G$2:G234=G235),ROWS(FILTER($Q$2:Q234,$C$2:C234=C235,$G$2:G234=G235)),1),1500)"),1558.0)</f>
        <v>1558</v>
      </c>
      <c r="O235" s="3">
        <f t="shared" si="3"/>
        <v>1465</v>
      </c>
      <c r="P235" s="9">
        <f t="shared" si="1"/>
        <v>12</v>
      </c>
      <c r="Q235" s="5">
        <f t="shared" si="2"/>
        <v>1570</v>
      </c>
    </row>
    <row r="236">
      <c r="A236" s="3" t="str">
        <f>IFERROR(__xludf.DUMMYFUNCTION("""COMPUTED_VALUE"""),"1k4ss9crFvc3B4y1p5CHhEYwcRi1pIzA3")</f>
        <v>1k4ss9crFvc3B4y1p5CHhEYwcRi1pIzA3</v>
      </c>
      <c r="B236" s="13">
        <f>IFERROR(__xludf.DUMMYFUNCTION("""COMPUTED_VALUE"""),45976.0)</f>
        <v>45976</v>
      </c>
      <c r="C236" s="3" t="str">
        <f>IFERROR(__xludf.DUMMYFUNCTION("""COMPUTED_VALUE"""),"ZeroO")</f>
        <v>ZeroO</v>
      </c>
      <c r="D236" s="3" t="str">
        <f>IFERROR(__xludf.DUMMYFUNCTION("""COMPUTED_VALUE"""),"Aferdita + Nebus. + ZeroO")</f>
        <v>Aferdita + Nebus. + ZeroO</v>
      </c>
      <c r="E236" s="3" t="str">
        <f>IFERROR(__xludf.DUMMYFUNCTION("""COMPUTED_VALUE"""),"Kesny + Malena + Tess1509")</f>
        <v>Kesny + Malena + Tess1509</v>
      </c>
      <c r="F236" s="3" t="str">
        <f>IFERROR(__xludf.DUMMYFUNCTION("""COMPUTED_VALUE"""),"win")</f>
        <v>win</v>
      </c>
      <c r="G236" s="3" t="str">
        <f>IFERROR(__xludf.DUMMYFUNCTION("""COMPUTED_VALUE"""),"3v3")</f>
        <v>3v3</v>
      </c>
      <c r="H236" s="3" t="str">
        <f>IFERROR(__xludf.DUMMYFUNCTION("IFERROR(TRIM(INDEX(SPLIT(E236,"" + ""),1)),"""")"),"Kesny")</f>
        <v>Kesny</v>
      </c>
      <c r="I236" s="3" t="str">
        <f>IFERROR(__xludf.DUMMYFUNCTION("IFERROR(TRIM(INDEX(SPLIT(E236,"" + ""),2)),"""")"),"Malena")</f>
        <v>Malena</v>
      </c>
      <c r="J236" s="5" t="str">
        <f>IFERROR(__xludf.DUMMYFUNCTION("IFERROR(TRIM(INDEX(SPLIT(E236,"" + ""),3)),"""")"),"Tess1509")</f>
        <v>Tess1509</v>
      </c>
      <c r="K236" s="3">
        <f>IFERROR(__xludf.DUMMYFUNCTION("IFERROR(IF(H236="""",0,INDEX(FILTER($Q$2:Q235,$C$2:C235=H236,$G$2:G235=G236),ROWS(FILTER($Q$2:Q235,$C$2:C235=H236,$G$2:G235=G236)),1)),1500)"),1453.0)</f>
        <v>1453</v>
      </c>
      <c r="L236" s="3">
        <f>IFERROR(__xludf.DUMMYFUNCTION("IFERROR(IF(I236="""",0,INDEX(FILTER($Q$2:Q235,$C$2:C235=I236,$G$2:G235=G236),ROWS(FILTER($Q$2:Q235,$C$2:C235=I236,$G$2:G235=G236)),1)),1500)"),1507.0)</f>
        <v>1507</v>
      </c>
      <c r="M236" s="3">
        <f>IFERROR(__xludf.DUMMYFUNCTION("IFERROR(IF(J236="""",0,INDEX(FILTER($Q$2:Q235,$C$2:C235=J236,$G$2:G235=G236),ROWS(FILTER($Q$2:Q235,$C$2:C235=J236,$G$2:G235=G236)),1)),1500)"),1435.0)</f>
        <v>1435</v>
      </c>
      <c r="N236" s="3">
        <f>IFERROR(__xludf.DUMMYFUNCTION("IFERROR(INDEX(FILTER($Q$2:Q235,$C$2:C235=C236,$G$2:G235=G236),ROWS(FILTER($Q$2:Q235,$C$2:C235=C236,$G$2:G235=G236)),1),1500)"),1511.0)</f>
        <v>1511</v>
      </c>
      <c r="O236" s="3">
        <f t="shared" si="3"/>
        <v>1465</v>
      </c>
      <c r="P236" s="9">
        <f t="shared" si="1"/>
        <v>14</v>
      </c>
      <c r="Q236" s="5">
        <f t="shared" si="2"/>
        <v>1525</v>
      </c>
    </row>
    <row r="237">
      <c r="A237" s="3" t="str">
        <f>IFERROR(__xludf.DUMMYFUNCTION("""COMPUTED_VALUE"""),"1k4ss9crFvc3B4y1p5CHhEYwcRi1pIzA3")</f>
        <v>1k4ss9crFvc3B4y1p5CHhEYwcRi1pIzA3</v>
      </c>
      <c r="B237" s="13">
        <f>IFERROR(__xludf.DUMMYFUNCTION("""COMPUTED_VALUE"""),45976.0)</f>
        <v>45976</v>
      </c>
      <c r="C237" s="3" t="str">
        <f>IFERROR(__xludf.DUMMYFUNCTION("""COMPUTED_VALUE"""),"Aferdita")</f>
        <v>Aferdita</v>
      </c>
      <c r="D237" s="3" t="str">
        <f>IFERROR(__xludf.DUMMYFUNCTION("""COMPUTED_VALUE"""),"Aferdita + Nebus. + ZeroO")</f>
        <v>Aferdita + Nebus. + ZeroO</v>
      </c>
      <c r="E237" s="3" t="str">
        <f>IFERROR(__xludf.DUMMYFUNCTION("""COMPUTED_VALUE"""),"Kesny + Malena + Tess1509")</f>
        <v>Kesny + Malena + Tess1509</v>
      </c>
      <c r="F237" s="3" t="str">
        <f>IFERROR(__xludf.DUMMYFUNCTION("""COMPUTED_VALUE"""),"win")</f>
        <v>win</v>
      </c>
      <c r="G237" s="3" t="str">
        <f>IFERROR(__xludf.DUMMYFUNCTION("""COMPUTED_VALUE"""),"3v3")</f>
        <v>3v3</v>
      </c>
      <c r="H237" s="3" t="str">
        <f>IFERROR(__xludf.DUMMYFUNCTION("IFERROR(TRIM(INDEX(SPLIT(E237,"" + ""),1)),"""")"),"Kesny")</f>
        <v>Kesny</v>
      </c>
      <c r="I237" s="3" t="str">
        <f>IFERROR(__xludf.DUMMYFUNCTION("IFERROR(TRIM(INDEX(SPLIT(E237,"" + ""),2)),"""")"),"Malena")</f>
        <v>Malena</v>
      </c>
      <c r="J237" s="5" t="str">
        <f>IFERROR(__xludf.DUMMYFUNCTION("IFERROR(TRIM(INDEX(SPLIT(E237,"" + ""),3)),"""")"),"Tess1509")</f>
        <v>Tess1509</v>
      </c>
      <c r="K237" s="3">
        <f>IFERROR(__xludf.DUMMYFUNCTION("IFERROR(IF(H237="""",0,INDEX(FILTER($Q$2:Q236,$C$2:C236=H237,$G$2:G236=G237),ROWS(FILTER($Q$2:Q236,$C$2:C236=H237,$G$2:G236=G237)),1)),1500)"),1453.0)</f>
        <v>1453</v>
      </c>
      <c r="L237" s="3">
        <f>IFERROR(__xludf.DUMMYFUNCTION("IFERROR(IF(I237="""",0,INDEX(FILTER($Q$2:Q236,$C$2:C236=I237,$G$2:G236=G237),ROWS(FILTER($Q$2:Q236,$C$2:C236=I237,$G$2:G236=G237)),1)),1500)"),1507.0)</f>
        <v>1507</v>
      </c>
      <c r="M237" s="3">
        <f>IFERROR(__xludf.DUMMYFUNCTION("IFERROR(IF(J237="""",0,INDEX(FILTER($Q$2:Q236,$C$2:C236=J237,$G$2:G236=G237),ROWS(FILTER($Q$2:Q236,$C$2:C236=J237,$G$2:G236=G237)),1)),1500)"),1435.0)</f>
        <v>1435</v>
      </c>
      <c r="N237" s="3">
        <f>IFERROR(__xludf.DUMMYFUNCTION("IFERROR(INDEX(FILTER($Q$2:Q236,$C$2:C236=C237,$G$2:G236=G237),ROWS(FILTER($Q$2:Q236,$C$2:C236=C237,$G$2:G236=G237)),1),1500)"),1499.0)</f>
        <v>1499</v>
      </c>
      <c r="O237" s="3">
        <f t="shared" si="3"/>
        <v>1465</v>
      </c>
      <c r="P237" s="9">
        <f t="shared" si="1"/>
        <v>14</v>
      </c>
      <c r="Q237" s="5">
        <f t="shared" si="2"/>
        <v>1513</v>
      </c>
    </row>
    <row r="238">
      <c r="A238" s="3" t="str">
        <f>IFERROR(__xludf.DUMMYFUNCTION("""COMPUTED_VALUE"""),"1UWoSLFQcNsockCmAJxqusGL8FJYReqSY")</f>
        <v>1UWoSLFQcNsockCmAJxqusGL8FJYReqSY</v>
      </c>
      <c r="B238" s="13">
        <f>IFERROR(__xludf.DUMMYFUNCTION("""COMPUTED_VALUE"""),45976.0)</f>
        <v>45976</v>
      </c>
      <c r="C238" s="3" t="str">
        <f>IFERROR(__xludf.DUMMYFUNCTION("""COMPUTED_VALUE"""),"Nebus.")</f>
        <v>Nebus.</v>
      </c>
      <c r="D238" s="3" t="str">
        <f>IFERROR(__xludf.DUMMYFUNCTION("""COMPUTED_VALUE"""),"Aferdita + Malena + Nebus.")</f>
        <v>Aferdita + Malena + Nebus.</v>
      </c>
      <c r="E238" s="3" t="str">
        <f>IFERROR(__xludf.DUMMYFUNCTION("""COMPUTED_VALUE"""),"Kesny + Tess1509 + ZeroO")</f>
        <v>Kesny + Tess1509 + ZeroO</v>
      </c>
      <c r="F238" s="3" t="str">
        <f>IFERROR(__xludf.DUMMYFUNCTION("""COMPUTED_VALUE"""),"win")</f>
        <v>win</v>
      </c>
      <c r="G238" s="3" t="str">
        <f>IFERROR(__xludf.DUMMYFUNCTION("""COMPUTED_VALUE"""),"3v3")</f>
        <v>3v3</v>
      </c>
      <c r="H238" s="3" t="str">
        <f>IFERROR(__xludf.DUMMYFUNCTION("IFERROR(TRIM(INDEX(SPLIT(E238,"" + ""),1)),"""")"),"Kesny")</f>
        <v>Kesny</v>
      </c>
      <c r="I238" s="3" t="str">
        <f>IFERROR(__xludf.DUMMYFUNCTION("IFERROR(TRIM(INDEX(SPLIT(E238,"" + ""),2)),"""")"),"Tess1509")</f>
        <v>Tess1509</v>
      </c>
      <c r="J238" s="5" t="str">
        <f>IFERROR(__xludf.DUMMYFUNCTION("IFERROR(TRIM(INDEX(SPLIT(E238,"" + ""),3)),"""")"),"ZeroO")</f>
        <v>ZeroO</v>
      </c>
      <c r="K238" s="3">
        <f>IFERROR(__xludf.DUMMYFUNCTION("IFERROR(IF(H238="""",0,INDEX(FILTER($Q$2:Q237,$C$2:C237=H238,$G$2:G237=G238),ROWS(FILTER($Q$2:Q237,$C$2:C237=H238,$G$2:G237=G238)),1)),1500)"),1453.0)</f>
        <v>1453</v>
      </c>
      <c r="L238" s="3">
        <f>IFERROR(__xludf.DUMMYFUNCTION("IFERROR(IF(I238="""",0,INDEX(FILTER($Q$2:Q237,$C$2:C237=I238,$G$2:G237=G238),ROWS(FILTER($Q$2:Q237,$C$2:C237=I238,$G$2:G237=G238)),1)),1500)"),1435.0)</f>
        <v>1435</v>
      </c>
      <c r="M238" s="3">
        <f>IFERROR(__xludf.DUMMYFUNCTION("IFERROR(IF(J238="""",0,INDEX(FILTER($Q$2:Q237,$C$2:C237=J238,$G$2:G237=G238),ROWS(FILTER($Q$2:Q237,$C$2:C237=J238,$G$2:G237=G238)),1)),1500)"),1525.0)</f>
        <v>1525</v>
      </c>
      <c r="N238" s="3">
        <f>IFERROR(__xludf.DUMMYFUNCTION("IFERROR(INDEX(FILTER($Q$2:Q237,$C$2:C237=C238,$G$2:G237=G238),ROWS(FILTER($Q$2:Q237,$C$2:C237=C238,$G$2:G237=G238)),1),1500)"),1570.0)</f>
        <v>1570</v>
      </c>
      <c r="O238" s="3">
        <f t="shared" si="3"/>
        <v>1471</v>
      </c>
      <c r="P238" s="9">
        <f t="shared" si="1"/>
        <v>12</v>
      </c>
      <c r="Q238" s="5">
        <f t="shared" si="2"/>
        <v>1582</v>
      </c>
    </row>
    <row r="239">
      <c r="A239" s="3" t="str">
        <f>IFERROR(__xludf.DUMMYFUNCTION("""COMPUTED_VALUE"""),"1UWoSLFQcNsockCmAJxqusGL8FJYReqSY")</f>
        <v>1UWoSLFQcNsockCmAJxqusGL8FJYReqSY</v>
      </c>
      <c r="B239" s="13">
        <f>IFERROR(__xludf.DUMMYFUNCTION("""COMPUTED_VALUE"""),45976.0)</f>
        <v>45976</v>
      </c>
      <c r="C239" s="3" t="str">
        <f>IFERROR(__xludf.DUMMYFUNCTION("""COMPUTED_VALUE"""),"Malena")</f>
        <v>Malena</v>
      </c>
      <c r="D239" s="3" t="str">
        <f>IFERROR(__xludf.DUMMYFUNCTION("""COMPUTED_VALUE"""),"Aferdita + Malena + Nebus.")</f>
        <v>Aferdita + Malena + Nebus.</v>
      </c>
      <c r="E239" s="3" t="str">
        <f>IFERROR(__xludf.DUMMYFUNCTION("""COMPUTED_VALUE"""),"Kesny + Tess1509 + ZeroO")</f>
        <v>Kesny + Tess1509 + ZeroO</v>
      </c>
      <c r="F239" s="3" t="str">
        <f>IFERROR(__xludf.DUMMYFUNCTION("""COMPUTED_VALUE"""),"win")</f>
        <v>win</v>
      </c>
      <c r="G239" s="3" t="str">
        <f>IFERROR(__xludf.DUMMYFUNCTION("""COMPUTED_VALUE"""),"3v3")</f>
        <v>3v3</v>
      </c>
      <c r="H239" s="3" t="str">
        <f>IFERROR(__xludf.DUMMYFUNCTION("IFERROR(TRIM(INDEX(SPLIT(E239,"" + ""),1)),"""")"),"Kesny")</f>
        <v>Kesny</v>
      </c>
      <c r="I239" s="3" t="str">
        <f>IFERROR(__xludf.DUMMYFUNCTION("IFERROR(TRIM(INDEX(SPLIT(E239,"" + ""),2)),"""")"),"Tess1509")</f>
        <v>Tess1509</v>
      </c>
      <c r="J239" s="5" t="str">
        <f>IFERROR(__xludf.DUMMYFUNCTION("IFERROR(TRIM(INDEX(SPLIT(E239,"" + ""),3)),"""")"),"ZeroO")</f>
        <v>ZeroO</v>
      </c>
      <c r="K239" s="3">
        <f>IFERROR(__xludf.DUMMYFUNCTION("IFERROR(IF(H239="""",0,INDEX(FILTER($Q$2:Q238,$C$2:C238=H239,$G$2:G238=G239),ROWS(FILTER($Q$2:Q238,$C$2:C238=H239,$G$2:G238=G239)),1)),1500)"),1453.0)</f>
        <v>1453</v>
      </c>
      <c r="L239" s="3">
        <f>IFERROR(__xludf.DUMMYFUNCTION("IFERROR(IF(I239="""",0,INDEX(FILTER($Q$2:Q238,$C$2:C238=I239,$G$2:G238=G239),ROWS(FILTER($Q$2:Q238,$C$2:C238=I239,$G$2:G238=G239)),1)),1500)"),1435.0)</f>
        <v>1435</v>
      </c>
      <c r="M239" s="3">
        <f>IFERROR(__xludf.DUMMYFUNCTION("IFERROR(IF(J239="""",0,INDEX(FILTER($Q$2:Q238,$C$2:C238=J239,$G$2:G238=G239),ROWS(FILTER($Q$2:Q238,$C$2:C238=J239,$G$2:G238=G239)),1)),1500)"),1525.0)</f>
        <v>1525</v>
      </c>
      <c r="N239" s="3">
        <f>IFERROR(__xludf.DUMMYFUNCTION("IFERROR(INDEX(FILTER($Q$2:Q238,$C$2:C238=C239,$G$2:G238=G239),ROWS(FILTER($Q$2:Q238,$C$2:C238=C239,$G$2:G238=G239)),1),1500)"),1507.0)</f>
        <v>1507</v>
      </c>
      <c r="O239" s="3">
        <f t="shared" si="3"/>
        <v>1471</v>
      </c>
      <c r="P239" s="9">
        <f t="shared" si="1"/>
        <v>14</v>
      </c>
      <c r="Q239" s="5">
        <f t="shared" si="2"/>
        <v>1521</v>
      </c>
    </row>
    <row r="240">
      <c r="A240" s="3" t="str">
        <f>IFERROR(__xludf.DUMMYFUNCTION("""COMPUTED_VALUE"""),"1UWoSLFQcNsockCmAJxqusGL8FJYReqSY")</f>
        <v>1UWoSLFQcNsockCmAJxqusGL8FJYReqSY</v>
      </c>
      <c r="B240" s="13">
        <f>IFERROR(__xludf.DUMMYFUNCTION("""COMPUTED_VALUE"""),45976.0)</f>
        <v>45976</v>
      </c>
      <c r="C240" s="3" t="str">
        <f>IFERROR(__xludf.DUMMYFUNCTION("""COMPUTED_VALUE"""),"Aferdita")</f>
        <v>Aferdita</v>
      </c>
      <c r="D240" s="3" t="str">
        <f>IFERROR(__xludf.DUMMYFUNCTION("""COMPUTED_VALUE"""),"Aferdita + Malena + Nebus.")</f>
        <v>Aferdita + Malena + Nebus.</v>
      </c>
      <c r="E240" s="3" t="str">
        <f>IFERROR(__xludf.DUMMYFUNCTION("""COMPUTED_VALUE"""),"Kesny + Tess1509 + ZeroO")</f>
        <v>Kesny + Tess1509 + ZeroO</v>
      </c>
      <c r="F240" s="3" t="str">
        <f>IFERROR(__xludf.DUMMYFUNCTION("""COMPUTED_VALUE"""),"win")</f>
        <v>win</v>
      </c>
      <c r="G240" s="3" t="str">
        <f>IFERROR(__xludf.DUMMYFUNCTION("""COMPUTED_VALUE"""),"3v3")</f>
        <v>3v3</v>
      </c>
      <c r="H240" s="3" t="str">
        <f>IFERROR(__xludf.DUMMYFUNCTION("IFERROR(TRIM(INDEX(SPLIT(E240,"" + ""),1)),"""")"),"Kesny")</f>
        <v>Kesny</v>
      </c>
      <c r="I240" s="3" t="str">
        <f>IFERROR(__xludf.DUMMYFUNCTION("IFERROR(TRIM(INDEX(SPLIT(E240,"" + ""),2)),"""")"),"Tess1509")</f>
        <v>Tess1509</v>
      </c>
      <c r="J240" s="5" t="str">
        <f>IFERROR(__xludf.DUMMYFUNCTION("IFERROR(TRIM(INDEX(SPLIT(E240,"" + ""),3)),"""")"),"ZeroO")</f>
        <v>ZeroO</v>
      </c>
      <c r="K240" s="3">
        <f>IFERROR(__xludf.DUMMYFUNCTION("IFERROR(IF(H240="""",0,INDEX(FILTER($Q$2:Q239,$C$2:C239=H240,$G$2:G239=G240),ROWS(FILTER($Q$2:Q239,$C$2:C239=H240,$G$2:G239=G240)),1)),1500)"),1453.0)</f>
        <v>1453</v>
      </c>
      <c r="L240" s="3">
        <f>IFERROR(__xludf.DUMMYFUNCTION("IFERROR(IF(I240="""",0,INDEX(FILTER($Q$2:Q239,$C$2:C239=I240,$G$2:G239=G240),ROWS(FILTER($Q$2:Q239,$C$2:C239=I240,$G$2:G239=G240)),1)),1500)"),1435.0)</f>
        <v>1435</v>
      </c>
      <c r="M240" s="3">
        <f>IFERROR(__xludf.DUMMYFUNCTION("IFERROR(IF(J240="""",0,INDEX(FILTER($Q$2:Q239,$C$2:C239=J240,$G$2:G239=G240),ROWS(FILTER($Q$2:Q239,$C$2:C239=J240,$G$2:G239=G240)),1)),1500)"),1525.0)</f>
        <v>1525</v>
      </c>
      <c r="N240" s="3">
        <f>IFERROR(__xludf.DUMMYFUNCTION("IFERROR(INDEX(FILTER($Q$2:Q239,$C$2:C239=C240,$G$2:G239=G240),ROWS(FILTER($Q$2:Q239,$C$2:C239=C240,$G$2:G239=G240)),1),1500)"),1513.0)</f>
        <v>1513</v>
      </c>
      <c r="O240" s="3">
        <f t="shared" si="3"/>
        <v>1471</v>
      </c>
      <c r="P240" s="9">
        <f t="shared" si="1"/>
        <v>14</v>
      </c>
      <c r="Q240" s="5">
        <f t="shared" si="2"/>
        <v>1527</v>
      </c>
    </row>
    <row r="241">
      <c r="A241" s="3" t="str">
        <f>IFERROR(__xludf.DUMMYFUNCTION("""COMPUTED_VALUE"""),"1UWoSLFQcNsockCmAJxqusGL8FJYReqSY")</f>
        <v>1UWoSLFQcNsockCmAJxqusGL8FJYReqSY</v>
      </c>
      <c r="B241" s="13">
        <f>IFERROR(__xludf.DUMMYFUNCTION("""COMPUTED_VALUE"""),45976.0)</f>
        <v>45976</v>
      </c>
      <c r="C241" s="3" t="str">
        <f>IFERROR(__xludf.DUMMYFUNCTION("""COMPUTED_VALUE"""),"ZeroO")</f>
        <v>ZeroO</v>
      </c>
      <c r="D241" s="3" t="str">
        <f>IFERROR(__xludf.DUMMYFUNCTION("""COMPUTED_VALUE"""),"Kesny + Tess1509 + ZeroO")</f>
        <v>Kesny + Tess1509 + ZeroO</v>
      </c>
      <c r="E241" s="3" t="str">
        <f>IFERROR(__xludf.DUMMYFUNCTION("""COMPUTED_VALUE"""),"Aferdita + Malena + Nebus.")</f>
        <v>Aferdita + Malena + Nebus.</v>
      </c>
      <c r="F241" s="3" t="str">
        <f>IFERROR(__xludf.DUMMYFUNCTION("""COMPUTED_VALUE"""),"loss")</f>
        <v>loss</v>
      </c>
      <c r="G241" s="3" t="str">
        <f>IFERROR(__xludf.DUMMYFUNCTION("""COMPUTED_VALUE"""),"3v3")</f>
        <v>3v3</v>
      </c>
      <c r="H241" s="3" t="str">
        <f>IFERROR(__xludf.DUMMYFUNCTION("IFERROR(TRIM(INDEX(SPLIT(E241,"" + ""),1)),"""")"),"Aferdita")</f>
        <v>Aferdita</v>
      </c>
      <c r="I241" s="3" t="str">
        <f>IFERROR(__xludf.DUMMYFUNCTION("IFERROR(TRIM(INDEX(SPLIT(E241,"" + ""),2)),"""")"),"Malena")</f>
        <v>Malena</v>
      </c>
      <c r="J241" s="5" t="str">
        <f>IFERROR(__xludf.DUMMYFUNCTION("IFERROR(TRIM(INDEX(SPLIT(E241,"" + ""),3)),"""")"),"Nebus.")</f>
        <v>Nebus.</v>
      </c>
      <c r="K241" s="3">
        <f>IFERROR(__xludf.DUMMYFUNCTION("IFERROR(IF(H241="""",0,INDEX(FILTER($Q$2:Q240,$C$2:C240=H241,$G$2:G240=G241),ROWS(FILTER($Q$2:Q240,$C$2:C240=H241,$G$2:G240=G241)),1)),1500)"),1527.0)</f>
        <v>1527</v>
      </c>
      <c r="L241" s="3">
        <f>IFERROR(__xludf.DUMMYFUNCTION("IFERROR(IF(I241="""",0,INDEX(FILTER($Q$2:Q240,$C$2:C240=I241,$G$2:G240=G241),ROWS(FILTER($Q$2:Q240,$C$2:C240=I241,$G$2:G240=G241)),1)),1500)"),1521.0)</f>
        <v>1521</v>
      </c>
      <c r="M241" s="3">
        <f>IFERROR(__xludf.DUMMYFUNCTION("IFERROR(IF(J241="""",0,INDEX(FILTER($Q$2:Q240,$C$2:C240=J241,$G$2:G240=G241),ROWS(FILTER($Q$2:Q240,$C$2:C240=J241,$G$2:G240=G241)),1)),1500)"),1582.0)</f>
        <v>1582</v>
      </c>
      <c r="N241" s="3">
        <f>IFERROR(__xludf.DUMMYFUNCTION("IFERROR(INDEX(FILTER($Q$2:Q240,$C$2:C240=C241,$G$2:G240=G241),ROWS(FILTER($Q$2:Q240,$C$2:C240=C241,$G$2:G240=G241)),1),1500)"),1525.0)</f>
        <v>1525</v>
      </c>
      <c r="O241" s="3">
        <f t="shared" si="3"/>
        <v>1543.333333</v>
      </c>
      <c r="P241" s="9">
        <f t="shared" si="1"/>
        <v>-15</v>
      </c>
      <c r="Q241" s="5">
        <f t="shared" si="2"/>
        <v>1510</v>
      </c>
    </row>
    <row r="242">
      <c r="A242" s="3" t="str">
        <f>IFERROR(__xludf.DUMMYFUNCTION("""COMPUTED_VALUE"""),"1UWoSLFQcNsockCmAJxqusGL8FJYReqSY")</f>
        <v>1UWoSLFQcNsockCmAJxqusGL8FJYReqSY</v>
      </c>
      <c r="B242" s="13">
        <f>IFERROR(__xludf.DUMMYFUNCTION("""COMPUTED_VALUE"""),45976.0)</f>
        <v>45976</v>
      </c>
      <c r="C242" s="3" t="str">
        <f>IFERROR(__xludf.DUMMYFUNCTION("""COMPUTED_VALUE"""),"Kesny")</f>
        <v>Kesny</v>
      </c>
      <c r="D242" s="3" t="str">
        <f>IFERROR(__xludf.DUMMYFUNCTION("""COMPUTED_VALUE"""),"Kesny + Tess1509 + ZeroO")</f>
        <v>Kesny + Tess1509 + ZeroO</v>
      </c>
      <c r="E242" s="3" t="str">
        <f>IFERROR(__xludf.DUMMYFUNCTION("""COMPUTED_VALUE"""),"Aferdita + Malena + Nebus.")</f>
        <v>Aferdita + Malena + Nebus.</v>
      </c>
      <c r="F242" s="3" t="str">
        <f>IFERROR(__xludf.DUMMYFUNCTION("""COMPUTED_VALUE"""),"loss")</f>
        <v>loss</v>
      </c>
      <c r="G242" s="3" t="str">
        <f>IFERROR(__xludf.DUMMYFUNCTION("""COMPUTED_VALUE"""),"3v3")</f>
        <v>3v3</v>
      </c>
      <c r="H242" s="3" t="str">
        <f>IFERROR(__xludf.DUMMYFUNCTION("IFERROR(TRIM(INDEX(SPLIT(E242,"" + ""),1)),"""")"),"Aferdita")</f>
        <v>Aferdita</v>
      </c>
      <c r="I242" s="3" t="str">
        <f>IFERROR(__xludf.DUMMYFUNCTION("IFERROR(TRIM(INDEX(SPLIT(E242,"" + ""),2)),"""")"),"Malena")</f>
        <v>Malena</v>
      </c>
      <c r="J242" s="5" t="str">
        <f>IFERROR(__xludf.DUMMYFUNCTION("IFERROR(TRIM(INDEX(SPLIT(E242,"" + ""),3)),"""")"),"Nebus.")</f>
        <v>Nebus.</v>
      </c>
      <c r="K242" s="3">
        <f>IFERROR(__xludf.DUMMYFUNCTION("IFERROR(IF(H242="""",0,INDEX(FILTER($Q$2:Q241,$C$2:C241=H242,$G$2:G241=G242),ROWS(FILTER($Q$2:Q241,$C$2:C241=H242,$G$2:G241=G242)),1)),1500)"),1527.0)</f>
        <v>1527</v>
      </c>
      <c r="L242" s="3">
        <f>IFERROR(__xludf.DUMMYFUNCTION("IFERROR(IF(I242="""",0,INDEX(FILTER($Q$2:Q241,$C$2:C241=I242,$G$2:G241=G242),ROWS(FILTER($Q$2:Q241,$C$2:C241=I242,$G$2:G241=G242)),1)),1500)"),1521.0)</f>
        <v>1521</v>
      </c>
      <c r="M242" s="3">
        <f>IFERROR(__xludf.DUMMYFUNCTION("IFERROR(IF(J242="""",0,INDEX(FILTER($Q$2:Q241,$C$2:C241=J242,$G$2:G241=G242),ROWS(FILTER($Q$2:Q241,$C$2:C241=J242,$G$2:G241=G242)),1)),1500)"),1582.0)</f>
        <v>1582</v>
      </c>
      <c r="N242" s="3">
        <f>IFERROR(__xludf.DUMMYFUNCTION("IFERROR(INDEX(FILTER($Q$2:Q241,$C$2:C241=C242,$G$2:G241=G242),ROWS(FILTER($Q$2:Q241,$C$2:C241=C242,$G$2:G241=G242)),1),1500)"),1453.0)</f>
        <v>1453</v>
      </c>
      <c r="O242" s="3">
        <f t="shared" si="3"/>
        <v>1543.333333</v>
      </c>
      <c r="P242" s="9">
        <f t="shared" si="1"/>
        <v>-12</v>
      </c>
      <c r="Q242" s="5">
        <f t="shared" si="2"/>
        <v>1441</v>
      </c>
    </row>
    <row r="243">
      <c r="A243" s="3" t="str">
        <f>IFERROR(__xludf.DUMMYFUNCTION("""COMPUTED_VALUE"""),"1UWoSLFQcNsockCmAJxqusGL8FJYReqSY")</f>
        <v>1UWoSLFQcNsockCmAJxqusGL8FJYReqSY</v>
      </c>
      <c r="B243" s="13">
        <f>IFERROR(__xludf.DUMMYFUNCTION("""COMPUTED_VALUE"""),45976.0)</f>
        <v>45976</v>
      </c>
      <c r="C243" s="3" t="str">
        <f>IFERROR(__xludf.DUMMYFUNCTION("""COMPUTED_VALUE"""),"Tess1509")</f>
        <v>Tess1509</v>
      </c>
      <c r="D243" s="3" t="str">
        <f>IFERROR(__xludf.DUMMYFUNCTION("""COMPUTED_VALUE"""),"Kesny + Tess1509 + ZeroO")</f>
        <v>Kesny + Tess1509 + ZeroO</v>
      </c>
      <c r="E243" s="3" t="str">
        <f>IFERROR(__xludf.DUMMYFUNCTION("""COMPUTED_VALUE"""),"Aferdita + Malena + Nebus.")</f>
        <v>Aferdita + Malena + Nebus.</v>
      </c>
      <c r="F243" s="3" t="str">
        <f>IFERROR(__xludf.DUMMYFUNCTION("""COMPUTED_VALUE"""),"loss")</f>
        <v>loss</v>
      </c>
      <c r="G243" s="3" t="str">
        <f>IFERROR(__xludf.DUMMYFUNCTION("""COMPUTED_VALUE"""),"3v3")</f>
        <v>3v3</v>
      </c>
      <c r="H243" s="3" t="str">
        <f>IFERROR(__xludf.DUMMYFUNCTION("IFERROR(TRIM(INDEX(SPLIT(E243,"" + ""),1)),"""")"),"Aferdita")</f>
        <v>Aferdita</v>
      </c>
      <c r="I243" s="3" t="str">
        <f>IFERROR(__xludf.DUMMYFUNCTION("IFERROR(TRIM(INDEX(SPLIT(E243,"" + ""),2)),"""")"),"Malena")</f>
        <v>Malena</v>
      </c>
      <c r="J243" s="5" t="str">
        <f>IFERROR(__xludf.DUMMYFUNCTION("IFERROR(TRIM(INDEX(SPLIT(E243,"" + ""),3)),"""")"),"Nebus.")</f>
        <v>Nebus.</v>
      </c>
      <c r="K243" s="3">
        <f>IFERROR(__xludf.DUMMYFUNCTION("IFERROR(IF(H243="""",0,INDEX(FILTER($Q$2:Q242,$C$2:C242=H243,$G$2:G242=G243),ROWS(FILTER($Q$2:Q242,$C$2:C242=H243,$G$2:G242=G243)),1)),1500)"),1527.0)</f>
        <v>1527</v>
      </c>
      <c r="L243" s="3">
        <f>IFERROR(__xludf.DUMMYFUNCTION("IFERROR(IF(I243="""",0,INDEX(FILTER($Q$2:Q242,$C$2:C242=I243,$G$2:G242=G243),ROWS(FILTER($Q$2:Q242,$C$2:C242=I243,$G$2:G242=G243)),1)),1500)"),1521.0)</f>
        <v>1521</v>
      </c>
      <c r="M243" s="3">
        <f>IFERROR(__xludf.DUMMYFUNCTION("IFERROR(IF(J243="""",0,INDEX(FILTER($Q$2:Q242,$C$2:C242=J243,$G$2:G242=G243),ROWS(FILTER($Q$2:Q242,$C$2:C242=J243,$G$2:G242=G243)),1)),1500)"),1582.0)</f>
        <v>1582</v>
      </c>
      <c r="N243" s="3">
        <f>IFERROR(__xludf.DUMMYFUNCTION("IFERROR(INDEX(FILTER($Q$2:Q242,$C$2:C242=C243,$G$2:G242=G243),ROWS(FILTER($Q$2:Q242,$C$2:C242=C243,$G$2:G242=G243)),1),1500)"),1435.0)</f>
        <v>1435</v>
      </c>
      <c r="O243" s="3">
        <f t="shared" si="3"/>
        <v>1543.333333</v>
      </c>
      <c r="P243" s="9">
        <f t="shared" si="1"/>
        <v>-11</v>
      </c>
      <c r="Q243" s="5">
        <f t="shared" si="2"/>
        <v>1424</v>
      </c>
    </row>
    <row r="244">
      <c r="A244" s="3" t="str">
        <f>IFERROR(__xludf.DUMMYFUNCTION("""COMPUTED_VALUE"""),"1eNnOMMNlVxAq8kXPtKHyDI8fOrLtq6UF")</f>
        <v>1eNnOMMNlVxAq8kXPtKHyDI8fOrLtq6UF</v>
      </c>
      <c r="B244" s="13">
        <f>IFERROR(__xludf.DUMMYFUNCTION("""COMPUTED_VALUE"""),45976.0)</f>
        <v>45976</v>
      </c>
      <c r="C244" s="3" t="str">
        <f>IFERROR(__xludf.DUMMYFUNCTION("""COMPUTED_VALUE"""),"Malena")</f>
        <v>Malena</v>
      </c>
      <c r="D244" s="3" t="str">
        <f>IFERROR(__xludf.DUMMYFUNCTION("""COMPUTED_VALUE"""),"Aferdita + Malena + Tess1509")</f>
        <v>Aferdita + Malena + Tess1509</v>
      </c>
      <c r="E244" s="3" t="str">
        <f>IFERROR(__xludf.DUMMYFUNCTION("""COMPUTED_VALUE"""),"Kesny + Nebus. + ZeroO")</f>
        <v>Kesny + Nebus. + ZeroO</v>
      </c>
      <c r="F244" s="3" t="str">
        <f>IFERROR(__xludf.DUMMYFUNCTION("""COMPUTED_VALUE"""),"loss")</f>
        <v>loss</v>
      </c>
      <c r="G244" s="3" t="str">
        <f>IFERROR(__xludf.DUMMYFUNCTION("""COMPUTED_VALUE"""),"3v3")</f>
        <v>3v3</v>
      </c>
      <c r="H244" s="3" t="str">
        <f>IFERROR(__xludf.DUMMYFUNCTION("IFERROR(TRIM(INDEX(SPLIT(E244,"" + ""),1)),"""")"),"Kesny")</f>
        <v>Kesny</v>
      </c>
      <c r="I244" s="3" t="str">
        <f>IFERROR(__xludf.DUMMYFUNCTION("IFERROR(TRIM(INDEX(SPLIT(E244,"" + ""),2)),"""")"),"Nebus.")</f>
        <v>Nebus.</v>
      </c>
      <c r="J244" s="5" t="str">
        <f>IFERROR(__xludf.DUMMYFUNCTION("IFERROR(TRIM(INDEX(SPLIT(E244,"" + ""),3)),"""")"),"ZeroO")</f>
        <v>ZeroO</v>
      </c>
      <c r="K244" s="3">
        <f>IFERROR(__xludf.DUMMYFUNCTION("IFERROR(IF(H244="""",0,INDEX(FILTER($Q$2:Q243,$C$2:C243=H244,$G$2:G243=G244),ROWS(FILTER($Q$2:Q243,$C$2:C243=H244,$G$2:G243=G244)),1)),1500)"),1441.0)</f>
        <v>1441</v>
      </c>
      <c r="L244" s="3">
        <f>IFERROR(__xludf.DUMMYFUNCTION("IFERROR(IF(I244="""",0,INDEX(FILTER($Q$2:Q243,$C$2:C243=I244,$G$2:G243=G244),ROWS(FILTER($Q$2:Q243,$C$2:C243=I244,$G$2:G243=G244)),1)),1500)"),1582.0)</f>
        <v>1582</v>
      </c>
      <c r="M244" s="3">
        <f>IFERROR(__xludf.DUMMYFUNCTION("IFERROR(IF(J244="""",0,INDEX(FILTER($Q$2:Q243,$C$2:C243=J244,$G$2:G243=G244),ROWS(FILTER($Q$2:Q243,$C$2:C243=J244,$G$2:G243=G244)),1)),1500)"),1510.0)</f>
        <v>1510</v>
      </c>
      <c r="N244" s="3">
        <f>IFERROR(__xludf.DUMMYFUNCTION("IFERROR(INDEX(FILTER($Q$2:Q243,$C$2:C243=C244,$G$2:G243=G244),ROWS(FILTER($Q$2:Q243,$C$2:C243=C244,$G$2:G243=G244)),1),1500)"),1521.0)</f>
        <v>1521</v>
      </c>
      <c r="O244" s="3">
        <f t="shared" si="3"/>
        <v>1511</v>
      </c>
      <c r="P244" s="9">
        <f t="shared" si="1"/>
        <v>-16</v>
      </c>
      <c r="Q244" s="5">
        <f t="shared" si="2"/>
        <v>1505</v>
      </c>
    </row>
    <row r="245">
      <c r="A245" s="3" t="str">
        <f>IFERROR(__xludf.DUMMYFUNCTION("""COMPUTED_VALUE"""),"1eNnOMMNlVxAq8kXPtKHyDI8fOrLtq6UF")</f>
        <v>1eNnOMMNlVxAq8kXPtKHyDI8fOrLtq6UF</v>
      </c>
      <c r="B245" s="13">
        <f>IFERROR(__xludf.DUMMYFUNCTION("""COMPUTED_VALUE"""),45976.0)</f>
        <v>45976</v>
      </c>
      <c r="C245" s="3" t="str">
        <f>IFERROR(__xludf.DUMMYFUNCTION("""COMPUTED_VALUE"""),"Tess1509")</f>
        <v>Tess1509</v>
      </c>
      <c r="D245" s="3" t="str">
        <f>IFERROR(__xludf.DUMMYFUNCTION("""COMPUTED_VALUE"""),"Aferdita + Malena + Tess1509")</f>
        <v>Aferdita + Malena + Tess1509</v>
      </c>
      <c r="E245" s="3" t="str">
        <f>IFERROR(__xludf.DUMMYFUNCTION("""COMPUTED_VALUE"""),"Kesny + Nebus. + ZeroO")</f>
        <v>Kesny + Nebus. + ZeroO</v>
      </c>
      <c r="F245" s="3" t="str">
        <f>IFERROR(__xludf.DUMMYFUNCTION("""COMPUTED_VALUE"""),"loss")</f>
        <v>loss</v>
      </c>
      <c r="G245" s="3" t="str">
        <f>IFERROR(__xludf.DUMMYFUNCTION("""COMPUTED_VALUE"""),"3v3")</f>
        <v>3v3</v>
      </c>
      <c r="H245" s="3" t="str">
        <f>IFERROR(__xludf.DUMMYFUNCTION("IFERROR(TRIM(INDEX(SPLIT(E245,"" + ""),1)),"""")"),"Kesny")</f>
        <v>Kesny</v>
      </c>
      <c r="I245" s="3" t="str">
        <f>IFERROR(__xludf.DUMMYFUNCTION("IFERROR(TRIM(INDEX(SPLIT(E245,"" + ""),2)),"""")"),"Nebus.")</f>
        <v>Nebus.</v>
      </c>
      <c r="J245" s="5" t="str">
        <f>IFERROR(__xludf.DUMMYFUNCTION("IFERROR(TRIM(INDEX(SPLIT(E245,"" + ""),3)),"""")"),"ZeroO")</f>
        <v>ZeroO</v>
      </c>
      <c r="K245" s="3">
        <f>IFERROR(__xludf.DUMMYFUNCTION("IFERROR(IF(H245="""",0,INDEX(FILTER($Q$2:Q244,$C$2:C244=H245,$G$2:G244=G245),ROWS(FILTER($Q$2:Q244,$C$2:C244=H245,$G$2:G244=G245)),1)),1500)"),1441.0)</f>
        <v>1441</v>
      </c>
      <c r="L245" s="3">
        <f>IFERROR(__xludf.DUMMYFUNCTION("IFERROR(IF(I245="""",0,INDEX(FILTER($Q$2:Q244,$C$2:C244=I245,$G$2:G244=G245),ROWS(FILTER($Q$2:Q244,$C$2:C244=I245,$G$2:G244=G245)),1)),1500)"),1582.0)</f>
        <v>1582</v>
      </c>
      <c r="M245" s="3">
        <f>IFERROR(__xludf.DUMMYFUNCTION("IFERROR(IF(J245="""",0,INDEX(FILTER($Q$2:Q244,$C$2:C244=J245,$G$2:G244=G245),ROWS(FILTER($Q$2:Q244,$C$2:C244=J245,$G$2:G244=G245)),1)),1500)"),1510.0)</f>
        <v>1510</v>
      </c>
      <c r="N245" s="3">
        <f>IFERROR(__xludf.DUMMYFUNCTION("IFERROR(INDEX(FILTER($Q$2:Q244,$C$2:C244=C245,$G$2:G244=G245),ROWS(FILTER($Q$2:Q244,$C$2:C244=C245,$G$2:G244=G245)),1),1500)"),1424.0)</f>
        <v>1424</v>
      </c>
      <c r="O245" s="3">
        <f t="shared" si="3"/>
        <v>1511</v>
      </c>
      <c r="P245" s="9">
        <f t="shared" si="1"/>
        <v>-12</v>
      </c>
      <c r="Q245" s="5">
        <f t="shared" si="2"/>
        <v>1412</v>
      </c>
    </row>
    <row r="246">
      <c r="A246" s="3" t="str">
        <f>IFERROR(__xludf.DUMMYFUNCTION("""COMPUTED_VALUE"""),"1eNnOMMNlVxAq8kXPtKHyDI8fOrLtq6UF")</f>
        <v>1eNnOMMNlVxAq8kXPtKHyDI8fOrLtq6UF</v>
      </c>
      <c r="B246" s="13">
        <f>IFERROR(__xludf.DUMMYFUNCTION("""COMPUTED_VALUE"""),45976.0)</f>
        <v>45976</v>
      </c>
      <c r="C246" s="3" t="str">
        <f>IFERROR(__xludf.DUMMYFUNCTION("""COMPUTED_VALUE"""),"Aferdita")</f>
        <v>Aferdita</v>
      </c>
      <c r="D246" s="3" t="str">
        <f>IFERROR(__xludf.DUMMYFUNCTION("""COMPUTED_VALUE"""),"Aferdita + Malena + Tess1509")</f>
        <v>Aferdita + Malena + Tess1509</v>
      </c>
      <c r="E246" s="3" t="str">
        <f>IFERROR(__xludf.DUMMYFUNCTION("""COMPUTED_VALUE"""),"Kesny + Nebus. + ZeroO")</f>
        <v>Kesny + Nebus. + ZeroO</v>
      </c>
      <c r="F246" s="3" t="str">
        <f>IFERROR(__xludf.DUMMYFUNCTION("""COMPUTED_VALUE"""),"loss")</f>
        <v>loss</v>
      </c>
      <c r="G246" s="3" t="str">
        <f>IFERROR(__xludf.DUMMYFUNCTION("""COMPUTED_VALUE"""),"3v3")</f>
        <v>3v3</v>
      </c>
      <c r="H246" s="3" t="str">
        <f>IFERROR(__xludf.DUMMYFUNCTION("IFERROR(TRIM(INDEX(SPLIT(E246,"" + ""),1)),"""")"),"Kesny")</f>
        <v>Kesny</v>
      </c>
      <c r="I246" s="3" t="str">
        <f>IFERROR(__xludf.DUMMYFUNCTION("IFERROR(TRIM(INDEX(SPLIT(E246,"" + ""),2)),"""")"),"Nebus.")</f>
        <v>Nebus.</v>
      </c>
      <c r="J246" s="5" t="str">
        <f>IFERROR(__xludf.DUMMYFUNCTION("IFERROR(TRIM(INDEX(SPLIT(E246,"" + ""),3)),"""")"),"ZeroO")</f>
        <v>ZeroO</v>
      </c>
      <c r="K246" s="3">
        <f>IFERROR(__xludf.DUMMYFUNCTION("IFERROR(IF(H246="""",0,INDEX(FILTER($Q$2:Q245,$C$2:C245=H246,$G$2:G245=G246),ROWS(FILTER($Q$2:Q245,$C$2:C245=H246,$G$2:G245=G246)),1)),1500)"),1441.0)</f>
        <v>1441</v>
      </c>
      <c r="L246" s="3">
        <f>IFERROR(__xludf.DUMMYFUNCTION("IFERROR(IF(I246="""",0,INDEX(FILTER($Q$2:Q245,$C$2:C245=I246,$G$2:G245=G246),ROWS(FILTER($Q$2:Q245,$C$2:C245=I246,$G$2:G245=G246)),1)),1500)"),1582.0)</f>
        <v>1582</v>
      </c>
      <c r="M246" s="3">
        <f>IFERROR(__xludf.DUMMYFUNCTION("IFERROR(IF(J246="""",0,INDEX(FILTER($Q$2:Q245,$C$2:C245=J246,$G$2:G245=G246),ROWS(FILTER($Q$2:Q245,$C$2:C245=J246,$G$2:G245=G246)),1)),1500)"),1510.0)</f>
        <v>1510</v>
      </c>
      <c r="N246" s="3">
        <f>IFERROR(__xludf.DUMMYFUNCTION("IFERROR(INDEX(FILTER($Q$2:Q245,$C$2:C245=C246,$G$2:G245=G246),ROWS(FILTER($Q$2:Q245,$C$2:C245=C246,$G$2:G245=G246)),1),1500)"),1527.0)</f>
        <v>1527</v>
      </c>
      <c r="O246" s="3">
        <f t="shared" si="3"/>
        <v>1511</v>
      </c>
      <c r="P246" s="9">
        <f t="shared" si="1"/>
        <v>-17</v>
      </c>
      <c r="Q246" s="5">
        <f t="shared" si="2"/>
        <v>1510</v>
      </c>
    </row>
    <row r="247">
      <c r="A247" s="3" t="str">
        <f>IFERROR(__xludf.DUMMYFUNCTION("""COMPUTED_VALUE"""),"1eNnOMMNlVxAq8kXPtKHyDI8fOrLtq6UF")</f>
        <v>1eNnOMMNlVxAq8kXPtKHyDI8fOrLtq6UF</v>
      </c>
      <c r="B247" s="13">
        <f>IFERROR(__xludf.DUMMYFUNCTION("""COMPUTED_VALUE"""),45976.0)</f>
        <v>45976</v>
      </c>
      <c r="C247" s="3" t="str">
        <f>IFERROR(__xludf.DUMMYFUNCTION("""COMPUTED_VALUE"""),"ZeroO")</f>
        <v>ZeroO</v>
      </c>
      <c r="D247" s="3" t="str">
        <f>IFERROR(__xludf.DUMMYFUNCTION("""COMPUTED_VALUE"""),"Kesny + Nebus. + ZeroO")</f>
        <v>Kesny + Nebus. + ZeroO</v>
      </c>
      <c r="E247" s="3" t="str">
        <f>IFERROR(__xludf.DUMMYFUNCTION("""COMPUTED_VALUE"""),"Aferdita + Malena + Tess1509")</f>
        <v>Aferdita + Malena + Tess1509</v>
      </c>
      <c r="F247" s="3" t="str">
        <f>IFERROR(__xludf.DUMMYFUNCTION("""COMPUTED_VALUE"""),"win")</f>
        <v>win</v>
      </c>
      <c r="G247" s="3" t="str">
        <f>IFERROR(__xludf.DUMMYFUNCTION("""COMPUTED_VALUE"""),"3v3")</f>
        <v>3v3</v>
      </c>
      <c r="H247" s="3" t="str">
        <f>IFERROR(__xludf.DUMMYFUNCTION("IFERROR(TRIM(INDEX(SPLIT(E247,"" + ""),1)),"""")"),"Aferdita")</f>
        <v>Aferdita</v>
      </c>
      <c r="I247" s="3" t="str">
        <f>IFERROR(__xludf.DUMMYFUNCTION("IFERROR(TRIM(INDEX(SPLIT(E247,"" + ""),2)),"""")"),"Malena")</f>
        <v>Malena</v>
      </c>
      <c r="J247" s="5" t="str">
        <f>IFERROR(__xludf.DUMMYFUNCTION("IFERROR(TRIM(INDEX(SPLIT(E247,"" + ""),3)),"""")"),"Tess1509")</f>
        <v>Tess1509</v>
      </c>
      <c r="K247" s="3">
        <f>IFERROR(__xludf.DUMMYFUNCTION("IFERROR(IF(H247="""",0,INDEX(FILTER($Q$2:Q246,$C$2:C246=H247,$G$2:G246=G247),ROWS(FILTER($Q$2:Q246,$C$2:C246=H247,$G$2:G246=G247)),1)),1500)"),1510.0)</f>
        <v>1510</v>
      </c>
      <c r="L247" s="3">
        <f>IFERROR(__xludf.DUMMYFUNCTION("IFERROR(IF(I247="""",0,INDEX(FILTER($Q$2:Q246,$C$2:C246=I247,$G$2:G246=G247),ROWS(FILTER($Q$2:Q246,$C$2:C246=I247,$G$2:G246=G247)),1)),1500)"),1505.0)</f>
        <v>1505</v>
      </c>
      <c r="M247" s="3">
        <f>IFERROR(__xludf.DUMMYFUNCTION("IFERROR(IF(J247="""",0,INDEX(FILTER($Q$2:Q246,$C$2:C246=J247,$G$2:G246=G247),ROWS(FILTER($Q$2:Q246,$C$2:C246=J247,$G$2:G246=G247)),1)),1500)"),1412.0)</f>
        <v>1412</v>
      </c>
      <c r="N247" s="3">
        <f>IFERROR(__xludf.DUMMYFUNCTION("IFERROR(INDEX(FILTER($Q$2:Q246,$C$2:C246=C247,$G$2:G246=G247),ROWS(FILTER($Q$2:Q246,$C$2:C246=C247,$G$2:G246=G247)),1),1500)"),1510.0)</f>
        <v>1510</v>
      </c>
      <c r="O247" s="3">
        <f t="shared" si="3"/>
        <v>1475.666667</v>
      </c>
      <c r="P247" s="9">
        <f t="shared" si="1"/>
        <v>14</v>
      </c>
      <c r="Q247" s="5">
        <f t="shared" si="2"/>
        <v>1524</v>
      </c>
    </row>
    <row r="248">
      <c r="A248" s="3" t="str">
        <f>IFERROR(__xludf.DUMMYFUNCTION("""COMPUTED_VALUE"""),"1eNnOMMNlVxAq8kXPtKHyDI8fOrLtq6UF")</f>
        <v>1eNnOMMNlVxAq8kXPtKHyDI8fOrLtq6UF</v>
      </c>
      <c r="B248" s="13">
        <f>IFERROR(__xludf.DUMMYFUNCTION("""COMPUTED_VALUE"""),45976.0)</f>
        <v>45976</v>
      </c>
      <c r="C248" s="3" t="str">
        <f>IFERROR(__xludf.DUMMYFUNCTION("""COMPUTED_VALUE"""),"Nebus.")</f>
        <v>Nebus.</v>
      </c>
      <c r="D248" s="3" t="str">
        <f>IFERROR(__xludf.DUMMYFUNCTION("""COMPUTED_VALUE"""),"Kesny + Nebus. + ZeroO")</f>
        <v>Kesny + Nebus. + ZeroO</v>
      </c>
      <c r="E248" s="3" t="str">
        <f>IFERROR(__xludf.DUMMYFUNCTION("""COMPUTED_VALUE"""),"Aferdita + Malena + Tess1509")</f>
        <v>Aferdita + Malena + Tess1509</v>
      </c>
      <c r="F248" s="3" t="str">
        <f>IFERROR(__xludf.DUMMYFUNCTION("""COMPUTED_VALUE"""),"win")</f>
        <v>win</v>
      </c>
      <c r="G248" s="3" t="str">
        <f>IFERROR(__xludf.DUMMYFUNCTION("""COMPUTED_VALUE"""),"3v3")</f>
        <v>3v3</v>
      </c>
      <c r="H248" s="3" t="str">
        <f>IFERROR(__xludf.DUMMYFUNCTION("IFERROR(TRIM(INDEX(SPLIT(E248,"" + ""),1)),"""")"),"Aferdita")</f>
        <v>Aferdita</v>
      </c>
      <c r="I248" s="3" t="str">
        <f>IFERROR(__xludf.DUMMYFUNCTION("IFERROR(TRIM(INDEX(SPLIT(E248,"" + ""),2)),"""")"),"Malena")</f>
        <v>Malena</v>
      </c>
      <c r="J248" s="5" t="str">
        <f>IFERROR(__xludf.DUMMYFUNCTION("IFERROR(TRIM(INDEX(SPLIT(E248,"" + ""),3)),"""")"),"Tess1509")</f>
        <v>Tess1509</v>
      </c>
      <c r="K248" s="3">
        <f>IFERROR(__xludf.DUMMYFUNCTION("IFERROR(IF(H248="""",0,INDEX(FILTER($Q$2:Q247,$C$2:C247=H248,$G$2:G247=G248),ROWS(FILTER($Q$2:Q247,$C$2:C247=H248,$G$2:G247=G248)),1)),1500)"),1510.0)</f>
        <v>1510</v>
      </c>
      <c r="L248" s="3">
        <f>IFERROR(__xludf.DUMMYFUNCTION("IFERROR(IF(I248="""",0,INDEX(FILTER($Q$2:Q247,$C$2:C247=I248,$G$2:G247=G248),ROWS(FILTER($Q$2:Q247,$C$2:C247=I248,$G$2:G247=G248)),1)),1500)"),1505.0)</f>
        <v>1505</v>
      </c>
      <c r="M248" s="3">
        <f>IFERROR(__xludf.DUMMYFUNCTION("IFERROR(IF(J248="""",0,INDEX(FILTER($Q$2:Q247,$C$2:C247=J248,$G$2:G247=G248),ROWS(FILTER($Q$2:Q247,$C$2:C247=J248,$G$2:G247=G248)),1)),1500)"),1412.0)</f>
        <v>1412</v>
      </c>
      <c r="N248" s="3">
        <f>IFERROR(__xludf.DUMMYFUNCTION("IFERROR(INDEX(FILTER($Q$2:Q247,$C$2:C247=C248,$G$2:G247=G248),ROWS(FILTER($Q$2:Q247,$C$2:C247=C248,$G$2:G247=G248)),1),1500)"),1582.0)</f>
        <v>1582</v>
      </c>
      <c r="O248" s="3">
        <f t="shared" si="3"/>
        <v>1475.666667</v>
      </c>
      <c r="P248" s="9">
        <f t="shared" si="1"/>
        <v>11</v>
      </c>
      <c r="Q248" s="5">
        <f t="shared" si="2"/>
        <v>1593</v>
      </c>
    </row>
    <row r="249">
      <c r="A249" s="3" t="str">
        <f>IFERROR(__xludf.DUMMYFUNCTION("""COMPUTED_VALUE"""),"1eNnOMMNlVxAq8kXPtKHyDI8fOrLtq6UF")</f>
        <v>1eNnOMMNlVxAq8kXPtKHyDI8fOrLtq6UF</v>
      </c>
      <c r="B249" s="13">
        <f>IFERROR(__xludf.DUMMYFUNCTION("""COMPUTED_VALUE"""),45976.0)</f>
        <v>45976</v>
      </c>
      <c r="C249" s="3" t="str">
        <f>IFERROR(__xludf.DUMMYFUNCTION("""COMPUTED_VALUE"""),"Kesny")</f>
        <v>Kesny</v>
      </c>
      <c r="D249" s="3" t="str">
        <f>IFERROR(__xludf.DUMMYFUNCTION("""COMPUTED_VALUE"""),"Kesny + Nebus. + ZeroO")</f>
        <v>Kesny + Nebus. + ZeroO</v>
      </c>
      <c r="E249" s="3" t="str">
        <f>IFERROR(__xludf.DUMMYFUNCTION("""COMPUTED_VALUE"""),"Aferdita + Malena + Tess1509")</f>
        <v>Aferdita + Malena + Tess1509</v>
      </c>
      <c r="F249" s="3" t="str">
        <f>IFERROR(__xludf.DUMMYFUNCTION("""COMPUTED_VALUE"""),"win")</f>
        <v>win</v>
      </c>
      <c r="G249" s="3" t="str">
        <f>IFERROR(__xludf.DUMMYFUNCTION("""COMPUTED_VALUE"""),"3v3")</f>
        <v>3v3</v>
      </c>
      <c r="H249" s="3" t="str">
        <f>IFERROR(__xludf.DUMMYFUNCTION("IFERROR(TRIM(INDEX(SPLIT(E249,"" + ""),1)),"""")"),"Aferdita")</f>
        <v>Aferdita</v>
      </c>
      <c r="I249" s="3" t="str">
        <f>IFERROR(__xludf.DUMMYFUNCTION("IFERROR(TRIM(INDEX(SPLIT(E249,"" + ""),2)),"""")"),"Malena")</f>
        <v>Malena</v>
      </c>
      <c r="J249" s="5" t="str">
        <f>IFERROR(__xludf.DUMMYFUNCTION("IFERROR(TRIM(INDEX(SPLIT(E249,"" + ""),3)),"""")"),"Tess1509")</f>
        <v>Tess1509</v>
      </c>
      <c r="K249" s="3">
        <f>IFERROR(__xludf.DUMMYFUNCTION("IFERROR(IF(H249="""",0,INDEX(FILTER($Q$2:Q248,$C$2:C248=H249,$G$2:G248=G249),ROWS(FILTER($Q$2:Q248,$C$2:C248=H249,$G$2:G248=G249)),1)),1500)"),1510.0)</f>
        <v>1510</v>
      </c>
      <c r="L249" s="3">
        <f>IFERROR(__xludf.DUMMYFUNCTION("IFERROR(IF(I249="""",0,INDEX(FILTER($Q$2:Q248,$C$2:C248=I249,$G$2:G248=G249),ROWS(FILTER($Q$2:Q248,$C$2:C248=I249,$G$2:G248=G249)),1)),1500)"),1505.0)</f>
        <v>1505</v>
      </c>
      <c r="M249" s="3">
        <f>IFERROR(__xludf.DUMMYFUNCTION("IFERROR(IF(J249="""",0,INDEX(FILTER($Q$2:Q248,$C$2:C248=J249,$G$2:G248=G249),ROWS(FILTER($Q$2:Q248,$C$2:C248=J249,$G$2:G248=G249)),1)),1500)"),1412.0)</f>
        <v>1412</v>
      </c>
      <c r="N249" s="3">
        <f>IFERROR(__xludf.DUMMYFUNCTION("IFERROR(INDEX(FILTER($Q$2:Q248,$C$2:C248=C249,$G$2:G248=G249),ROWS(FILTER($Q$2:Q248,$C$2:C248=C249,$G$2:G248=G249)),1),1500)"),1441.0)</f>
        <v>1441</v>
      </c>
      <c r="O249" s="3">
        <f t="shared" si="3"/>
        <v>1475.666667</v>
      </c>
      <c r="P249" s="9">
        <f t="shared" si="1"/>
        <v>18</v>
      </c>
      <c r="Q249" s="5">
        <f t="shared" si="2"/>
        <v>1459</v>
      </c>
    </row>
    <row r="250">
      <c r="A250" s="3" t="str">
        <f>IFERROR(__xludf.DUMMYFUNCTION("""COMPUTED_VALUE"""),"12GTqEyX9_Ew_Jr0YIRDSwl7f9MOhdkXU")</f>
        <v>12GTqEyX9_Ew_Jr0YIRDSwl7f9MOhdkXU</v>
      </c>
      <c r="B250" s="13">
        <f>IFERROR(__xludf.DUMMYFUNCTION("""COMPUTED_VALUE"""),45976.0)</f>
        <v>45976</v>
      </c>
      <c r="C250" s="3" t="str">
        <f>IFERROR(__xludf.DUMMYFUNCTION("""COMPUTED_VALUE"""),"Kesny")</f>
        <v>Kesny</v>
      </c>
      <c r="D250" s="3" t="str">
        <f>IFERROR(__xludf.DUMMYFUNCTION("""COMPUTED_VALUE"""),"Kesny + Nebus. + Tess1509")</f>
        <v>Kesny + Nebus. + Tess1509</v>
      </c>
      <c r="E250" s="3" t="str">
        <f>IFERROR(__xludf.DUMMYFUNCTION("""COMPUTED_VALUE"""),"Aferdita + Malena + ZeroO")</f>
        <v>Aferdita + Malena + ZeroO</v>
      </c>
      <c r="F250" s="3" t="str">
        <f>IFERROR(__xludf.DUMMYFUNCTION("""COMPUTED_VALUE"""),"loss")</f>
        <v>loss</v>
      </c>
      <c r="G250" s="3" t="str">
        <f>IFERROR(__xludf.DUMMYFUNCTION("""COMPUTED_VALUE"""),"3v3")</f>
        <v>3v3</v>
      </c>
      <c r="H250" s="3" t="str">
        <f>IFERROR(__xludf.DUMMYFUNCTION("IFERROR(TRIM(INDEX(SPLIT(E250,"" + ""),1)),"""")"),"Aferdita")</f>
        <v>Aferdita</v>
      </c>
      <c r="I250" s="3" t="str">
        <f>IFERROR(__xludf.DUMMYFUNCTION("IFERROR(TRIM(INDEX(SPLIT(E250,"" + ""),2)),"""")"),"Malena")</f>
        <v>Malena</v>
      </c>
      <c r="J250" s="5" t="str">
        <f>IFERROR(__xludf.DUMMYFUNCTION("IFERROR(TRIM(INDEX(SPLIT(E250,"" + ""),3)),"""")"),"ZeroO")</f>
        <v>ZeroO</v>
      </c>
      <c r="K250" s="3">
        <f>IFERROR(__xludf.DUMMYFUNCTION("IFERROR(IF(H250="""",0,INDEX(FILTER($Q$2:Q249,$C$2:C249=H250,$G$2:G249=G250),ROWS(FILTER($Q$2:Q249,$C$2:C249=H250,$G$2:G249=G250)),1)),1500)"),1510.0)</f>
        <v>1510</v>
      </c>
      <c r="L250" s="3">
        <f>IFERROR(__xludf.DUMMYFUNCTION("IFERROR(IF(I250="""",0,INDEX(FILTER($Q$2:Q249,$C$2:C249=I250,$G$2:G249=G250),ROWS(FILTER($Q$2:Q249,$C$2:C249=I250,$G$2:G249=G250)),1)),1500)"),1505.0)</f>
        <v>1505</v>
      </c>
      <c r="M250" s="3">
        <f>IFERROR(__xludf.DUMMYFUNCTION("IFERROR(IF(J250="""",0,INDEX(FILTER($Q$2:Q249,$C$2:C249=J250,$G$2:G249=G250),ROWS(FILTER($Q$2:Q249,$C$2:C249=J250,$G$2:G249=G250)),1)),1500)"),1524.0)</f>
        <v>1524</v>
      </c>
      <c r="N250" s="3">
        <f>IFERROR(__xludf.DUMMYFUNCTION("IFERROR(INDEX(FILTER($Q$2:Q249,$C$2:C249=C250,$G$2:G249=G250),ROWS(FILTER($Q$2:Q249,$C$2:C249=C250,$G$2:G249=G250)),1),1500)"),1459.0)</f>
        <v>1459</v>
      </c>
      <c r="O250" s="3">
        <f t="shared" si="3"/>
        <v>1513</v>
      </c>
      <c r="P250" s="9">
        <f t="shared" si="1"/>
        <v>-14</v>
      </c>
      <c r="Q250" s="5">
        <f t="shared" si="2"/>
        <v>1445</v>
      </c>
    </row>
    <row r="251">
      <c r="A251" s="3" t="str">
        <f>IFERROR(__xludf.DUMMYFUNCTION("""COMPUTED_VALUE"""),"12GTqEyX9_Ew_Jr0YIRDSwl7f9MOhdkXU")</f>
        <v>12GTqEyX9_Ew_Jr0YIRDSwl7f9MOhdkXU</v>
      </c>
      <c r="B251" s="13">
        <f>IFERROR(__xludf.DUMMYFUNCTION("""COMPUTED_VALUE"""),45976.0)</f>
        <v>45976</v>
      </c>
      <c r="C251" s="3" t="str">
        <f>IFERROR(__xludf.DUMMYFUNCTION("""COMPUTED_VALUE"""),"Tess1509")</f>
        <v>Tess1509</v>
      </c>
      <c r="D251" s="3" t="str">
        <f>IFERROR(__xludf.DUMMYFUNCTION("""COMPUTED_VALUE"""),"Kesny + Nebus. + Tess1509")</f>
        <v>Kesny + Nebus. + Tess1509</v>
      </c>
      <c r="E251" s="3" t="str">
        <f>IFERROR(__xludf.DUMMYFUNCTION("""COMPUTED_VALUE"""),"Aferdita + Malena + ZeroO")</f>
        <v>Aferdita + Malena + ZeroO</v>
      </c>
      <c r="F251" s="3" t="str">
        <f>IFERROR(__xludf.DUMMYFUNCTION("""COMPUTED_VALUE"""),"loss")</f>
        <v>loss</v>
      </c>
      <c r="G251" s="3" t="str">
        <f>IFERROR(__xludf.DUMMYFUNCTION("""COMPUTED_VALUE"""),"3v3")</f>
        <v>3v3</v>
      </c>
      <c r="H251" s="3" t="str">
        <f>IFERROR(__xludf.DUMMYFUNCTION("IFERROR(TRIM(INDEX(SPLIT(E251,"" + ""),1)),"""")"),"Aferdita")</f>
        <v>Aferdita</v>
      </c>
      <c r="I251" s="3" t="str">
        <f>IFERROR(__xludf.DUMMYFUNCTION("IFERROR(TRIM(INDEX(SPLIT(E251,"" + ""),2)),"""")"),"Malena")</f>
        <v>Malena</v>
      </c>
      <c r="J251" s="5" t="str">
        <f>IFERROR(__xludf.DUMMYFUNCTION("IFERROR(TRIM(INDEX(SPLIT(E251,"" + ""),3)),"""")"),"ZeroO")</f>
        <v>ZeroO</v>
      </c>
      <c r="K251" s="3">
        <f>IFERROR(__xludf.DUMMYFUNCTION("IFERROR(IF(H251="""",0,INDEX(FILTER($Q$2:Q250,$C$2:C250=H251,$G$2:G250=G251),ROWS(FILTER($Q$2:Q250,$C$2:C250=H251,$G$2:G250=G251)),1)),1500)"),1510.0)</f>
        <v>1510</v>
      </c>
      <c r="L251" s="3">
        <f>IFERROR(__xludf.DUMMYFUNCTION("IFERROR(IF(I251="""",0,INDEX(FILTER($Q$2:Q250,$C$2:C250=I251,$G$2:G250=G251),ROWS(FILTER($Q$2:Q250,$C$2:C250=I251,$G$2:G250=G251)),1)),1500)"),1505.0)</f>
        <v>1505</v>
      </c>
      <c r="M251" s="3">
        <f>IFERROR(__xludf.DUMMYFUNCTION("IFERROR(IF(J251="""",0,INDEX(FILTER($Q$2:Q250,$C$2:C250=J251,$G$2:G250=G251),ROWS(FILTER($Q$2:Q250,$C$2:C250=J251,$G$2:G250=G251)),1)),1500)"),1524.0)</f>
        <v>1524</v>
      </c>
      <c r="N251" s="3">
        <f>IFERROR(__xludf.DUMMYFUNCTION("IFERROR(INDEX(FILTER($Q$2:Q250,$C$2:C250=C251,$G$2:G250=G251),ROWS(FILTER($Q$2:Q250,$C$2:C250=C251,$G$2:G250=G251)),1),1500)"),1412.0)</f>
        <v>1412</v>
      </c>
      <c r="O251" s="3">
        <f t="shared" si="3"/>
        <v>1513</v>
      </c>
      <c r="P251" s="9">
        <f t="shared" si="1"/>
        <v>-11</v>
      </c>
      <c r="Q251" s="5">
        <f t="shared" si="2"/>
        <v>1401</v>
      </c>
    </row>
    <row r="252">
      <c r="A252" s="3" t="str">
        <f>IFERROR(__xludf.DUMMYFUNCTION("""COMPUTED_VALUE"""),"12GTqEyX9_Ew_Jr0YIRDSwl7f9MOhdkXU")</f>
        <v>12GTqEyX9_Ew_Jr0YIRDSwl7f9MOhdkXU</v>
      </c>
      <c r="B252" s="13">
        <f>IFERROR(__xludf.DUMMYFUNCTION("""COMPUTED_VALUE"""),45976.0)</f>
        <v>45976</v>
      </c>
      <c r="C252" s="3" t="str">
        <f>IFERROR(__xludf.DUMMYFUNCTION("""COMPUTED_VALUE"""),"Nebus.")</f>
        <v>Nebus.</v>
      </c>
      <c r="D252" s="3" t="str">
        <f>IFERROR(__xludf.DUMMYFUNCTION("""COMPUTED_VALUE"""),"Kesny + Nebus. + Tess1509")</f>
        <v>Kesny + Nebus. + Tess1509</v>
      </c>
      <c r="E252" s="3" t="str">
        <f>IFERROR(__xludf.DUMMYFUNCTION("""COMPUTED_VALUE"""),"Aferdita + Malena + ZeroO")</f>
        <v>Aferdita + Malena + ZeroO</v>
      </c>
      <c r="F252" s="3" t="str">
        <f>IFERROR(__xludf.DUMMYFUNCTION("""COMPUTED_VALUE"""),"loss")</f>
        <v>loss</v>
      </c>
      <c r="G252" s="3" t="str">
        <f>IFERROR(__xludf.DUMMYFUNCTION("""COMPUTED_VALUE"""),"3v3")</f>
        <v>3v3</v>
      </c>
      <c r="H252" s="3" t="str">
        <f>IFERROR(__xludf.DUMMYFUNCTION("IFERROR(TRIM(INDEX(SPLIT(E252,"" + ""),1)),"""")"),"Aferdita")</f>
        <v>Aferdita</v>
      </c>
      <c r="I252" s="3" t="str">
        <f>IFERROR(__xludf.DUMMYFUNCTION("IFERROR(TRIM(INDEX(SPLIT(E252,"" + ""),2)),"""")"),"Malena")</f>
        <v>Malena</v>
      </c>
      <c r="J252" s="5" t="str">
        <f>IFERROR(__xludf.DUMMYFUNCTION("IFERROR(TRIM(INDEX(SPLIT(E252,"" + ""),3)),"""")"),"ZeroO")</f>
        <v>ZeroO</v>
      </c>
      <c r="K252" s="3">
        <f>IFERROR(__xludf.DUMMYFUNCTION("IFERROR(IF(H252="""",0,INDEX(FILTER($Q$2:Q251,$C$2:C251=H252,$G$2:G251=G252),ROWS(FILTER($Q$2:Q251,$C$2:C251=H252,$G$2:G251=G252)),1)),1500)"),1510.0)</f>
        <v>1510</v>
      </c>
      <c r="L252" s="3">
        <f>IFERROR(__xludf.DUMMYFUNCTION("IFERROR(IF(I252="""",0,INDEX(FILTER($Q$2:Q251,$C$2:C251=I252,$G$2:G251=G252),ROWS(FILTER($Q$2:Q251,$C$2:C251=I252,$G$2:G251=G252)),1)),1500)"),1505.0)</f>
        <v>1505</v>
      </c>
      <c r="M252" s="3">
        <f>IFERROR(__xludf.DUMMYFUNCTION("IFERROR(IF(J252="""",0,INDEX(FILTER($Q$2:Q251,$C$2:C251=J252,$G$2:G251=G252),ROWS(FILTER($Q$2:Q251,$C$2:C251=J252,$G$2:G251=G252)),1)),1500)"),1524.0)</f>
        <v>1524</v>
      </c>
      <c r="N252" s="3">
        <f>IFERROR(__xludf.DUMMYFUNCTION("IFERROR(INDEX(FILTER($Q$2:Q251,$C$2:C251=C252,$G$2:G251=G252),ROWS(FILTER($Q$2:Q251,$C$2:C251=C252,$G$2:G251=G252)),1),1500)"),1593.0)</f>
        <v>1593</v>
      </c>
      <c r="O252" s="3">
        <f t="shared" si="3"/>
        <v>1513</v>
      </c>
      <c r="P252" s="9">
        <f t="shared" si="1"/>
        <v>-20</v>
      </c>
      <c r="Q252" s="5">
        <f t="shared" si="2"/>
        <v>1573</v>
      </c>
    </row>
    <row r="253">
      <c r="A253" s="3" t="str">
        <f>IFERROR(__xludf.DUMMYFUNCTION("""COMPUTED_VALUE"""),"12GTqEyX9_Ew_Jr0YIRDSwl7f9MOhdkXU")</f>
        <v>12GTqEyX9_Ew_Jr0YIRDSwl7f9MOhdkXU</v>
      </c>
      <c r="B253" s="13">
        <f>IFERROR(__xludf.DUMMYFUNCTION("""COMPUTED_VALUE"""),45976.0)</f>
        <v>45976</v>
      </c>
      <c r="C253" s="3" t="str">
        <f>IFERROR(__xludf.DUMMYFUNCTION("""COMPUTED_VALUE"""),"ZeroO")</f>
        <v>ZeroO</v>
      </c>
      <c r="D253" s="3" t="str">
        <f>IFERROR(__xludf.DUMMYFUNCTION("""COMPUTED_VALUE"""),"Aferdita + Malena + ZeroO")</f>
        <v>Aferdita + Malena + ZeroO</v>
      </c>
      <c r="E253" s="3" t="str">
        <f>IFERROR(__xludf.DUMMYFUNCTION("""COMPUTED_VALUE"""),"Kesny + Nebus. + Tess1509")</f>
        <v>Kesny + Nebus. + Tess1509</v>
      </c>
      <c r="F253" s="3" t="str">
        <f>IFERROR(__xludf.DUMMYFUNCTION("""COMPUTED_VALUE"""),"win")</f>
        <v>win</v>
      </c>
      <c r="G253" s="3" t="str">
        <f>IFERROR(__xludf.DUMMYFUNCTION("""COMPUTED_VALUE"""),"3v3")</f>
        <v>3v3</v>
      </c>
      <c r="H253" s="3" t="str">
        <f>IFERROR(__xludf.DUMMYFUNCTION("IFERROR(TRIM(INDEX(SPLIT(E253,"" + ""),1)),"""")"),"Kesny")</f>
        <v>Kesny</v>
      </c>
      <c r="I253" s="3" t="str">
        <f>IFERROR(__xludf.DUMMYFUNCTION("IFERROR(TRIM(INDEX(SPLIT(E253,"" + ""),2)),"""")"),"Nebus.")</f>
        <v>Nebus.</v>
      </c>
      <c r="J253" s="5" t="str">
        <f>IFERROR(__xludf.DUMMYFUNCTION("IFERROR(TRIM(INDEX(SPLIT(E253,"" + ""),3)),"""")"),"Tess1509")</f>
        <v>Tess1509</v>
      </c>
      <c r="K253" s="3">
        <f>IFERROR(__xludf.DUMMYFUNCTION("IFERROR(IF(H253="""",0,INDEX(FILTER($Q$2:Q252,$C$2:C252=H253,$G$2:G252=G253),ROWS(FILTER($Q$2:Q252,$C$2:C252=H253,$G$2:G252=G253)),1)),1500)"),1445.0)</f>
        <v>1445</v>
      </c>
      <c r="L253" s="3">
        <f>IFERROR(__xludf.DUMMYFUNCTION("IFERROR(IF(I253="""",0,INDEX(FILTER($Q$2:Q252,$C$2:C252=I253,$G$2:G252=G253),ROWS(FILTER($Q$2:Q252,$C$2:C252=I253,$G$2:G252=G253)),1)),1500)"),1573.0)</f>
        <v>1573</v>
      </c>
      <c r="M253" s="3">
        <f>IFERROR(__xludf.DUMMYFUNCTION("IFERROR(IF(J253="""",0,INDEX(FILTER($Q$2:Q252,$C$2:C252=J253,$G$2:G252=G253),ROWS(FILTER($Q$2:Q252,$C$2:C252=J253,$G$2:G252=G253)),1)),1500)"),1401.0)</f>
        <v>1401</v>
      </c>
      <c r="N253" s="3">
        <f>IFERROR(__xludf.DUMMYFUNCTION("IFERROR(INDEX(FILTER($Q$2:Q252,$C$2:C252=C253,$G$2:G252=G253),ROWS(FILTER($Q$2:Q252,$C$2:C252=C253,$G$2:G252=G253)),1),1500)"),1524.0)</f>
        <v>1524</v>
      </c>
      <c r="O253" s="3">
        <f t="shared" si="3"/>
        <v>1473</v>
      </c>
      <c r="P253" s="9">
        <f t="shared" si="1"/>
        <v>14</v>
      </c>
      <c r="Q253" s="5">
        <f t="shared" si="2"/>
        <v>1538</v>
      </c>
    </row>
    <row r="254">
      <c r="A254" s="3" t="str">
        <f>IFERROR(__xludf.DUMMYFUNCTION("""COMPUTED_VALUE"""),"12GTqEyX9_Ew_Jr0YIRDSwl7f9MOhdkXU")</f>
        <v>12GTqEyX9_Ew_Jr0YIRDSwl7f9MOhdkXU</v>
      </c>
      <c r="B254" s="13">
        <f>IFERROR(__xludf.DUMMYFUNCTION("""COMPUTED_VALUE"""),45976.0)</f>
        <v>45976</v>
      </c>
      <c r="C254" s="3" t="str">
        <f>IFERROR(__xludf.DUMMYFUNCTION("""COMPUTED_VALUE"""),"Malena")</f>
        <v>Malena</v>
      </c>
      <c r="D254" s="3" t="str">
        <f>IFERROR(__xludf.DUMMYFUNCTION("""COMPUTED_VALUE"""),"Aferdita + Malena + ZeroO")</f>
        <v>Aferdita + Malena + ZeroO</v>
      </c>
      <c r="E254" s="3" t="str">
        <f>IFERROR(__xludf.DUMMYFUNCTION("""COMPUTED_VALUE"""),"Kesny + Nebus. + Tess1509")</f>
        <v>Kesny + Nebus. + Tess1509</v>
      </c>
      <c r="F254" s="3" t="str">
        <f>IFERROR(__xludf.DUMMYFUNCTION("""COMPUTED_VALUE"""),"win")</f>
        <v>win</v>
      </c>
      <c r="G254" s="3" t="str">
        <f>IFERROR(__xludf.DUMMYFUNCTION("""COMPUTED_VALUE"""),"3v3")</f>
        <v>3v3</v>
      </c>
      <c r="H254" s="3" t="str">
        <f>IFERROR(__xludf.DUMMYFUNCTION("IFERROR(TRIM(INDEX(SPLIT(E254,"" + ""),1)),"""")"),"Kesny")</f>
        <v>Kesny</v>
      </c>
      <c r="I254" s="3" t="str">
        <f>IFERROR(__xludf.DUMMYFUNCTION("IFERROR(TRIM(INDEX(SPLIT(E254,"" + ""),2)),"""")"),"Nebus.")</f>
        <v>Nebus.</v>
      </c>
      <c r="J254" s="5" t="str">
        <f>IFERROR(__xludf.DUMMYFUNCTION("IFERROR(TRIM(INDEX(SPLIT(E254,"" + ""),3)),"""")"),"Tess1509")</f>
        <v>Tess1509</v>
      </c>
      <c r="K254" s="3">
        <f>IFERROR(__xludf.DUMMYFUNCTION("IFERROR(IF(H254="""",0,INDEX(FILTER($Q$2:Q253,$C$2:C253=H254,$G$2:G253=G254),ROWS(FILTER($Q$2:Q253,$C$2:C253=H254,$G$2:G253=G254)),1)),1500)"),1445.0)</f>
        <v>1445</v>
      </c>
      <c r="L254" s="3">
        <f>IFERROR(__xludf.DUMMYFUNCTION("IFERROR(IF(I254="""",0,INDEX(FILTER($Q$2:Q253,$C$2:C253=I254,$G$2:G253=G254),ROWS(FILTER($Q$2:Q253,$C$2:C253=I254,$G$2:G253=G254)),1)),1500)"),1573.0)</f>
        <v>1573</v>
      </c>
      <c r="M254" s="3">
        <f>IFERROR(__xludf.DUMMYFUNCTION("IFERROR(IF(J254="""",0,INDEX(FILTER($Q$2:Q253,$C$2:C253=J254,$G$2:G253=G254),ROWS(FILTER($Q$2:Q253,$C$2:C253=J254,$G$2:G253=G254)),1)),1500)"),1401.0)</f>
        <v>1401</v>
      </c>
      <c r="N254" s="3">
        <f>IFERROR(__xludf.DUMMYFUNCTION("IFERROR(INDEX(FILTER($Q$2:Q253,$C$2:C253=C254,$G$2:G253=G254),ROWS(FILTER($Q$2:Q253,$C$2:C253=C254,$G$2:G253=G254)),1),1500)"),1505.0)</f>
        <v>1505</v>
      </c>
      <c r="O254" s="3">
        <f t="shared" si="3"/>
        <v>1473</v>
      </c>
      <c r="P254" s="9">
        <f t="shared" si="1"/>
        <v>15</v>
      </c>
      <c r="Q254" s="5">
        <f t="shared" si="2"/>
        <v>1520</v>
      </c>
    </row>
    <row r="255">
      <c r="A255" s="3" t="str">
        <f>IFERROR(__xludf.DUMMYFUNCTION("""COMPUTED_VALUE"""),"12GTqEyX9_Ew_Jr0YIRDSwl7f9MOhdkXU")</f>
        <v>12GTqEyX9_Ew_Jr0YIRDSwl7f9MOhdkXU</v>
      </c>
      <c r="B255" s="13">
        <f>IFERROR(__xludf.DUMMYFUNCTION("""COMPUTED_VALUE"""),45976.0)</f>
        <v>45976</v>
      </c>
      <c r="C255" s="3" t="str">
        <f>IFERROR(__xludf.DUMMYFUNCTION("""COMPUTED_VALUE"""),"Aferdita")</f>
        <v>Aferdita</v>
      </c>
      <c r="D255" s="3" t="str">
        <f>IFERROR(__xludf.DUMMYFUNCTION("""COMPUTED_VALUE"""),"Aferdita + Malena + ZeroO")</f>
        <v>Aferdita + Malena + ZeroO</v>
      </c>
      <c r="E255" s="3" t="str">
        <f>IFERROR(__xludf.DUMMYFUNCTION("""COMPUTED_VALUE"""),"Kesny + Nebus. + Tess1509")</f>
        <v>Kesny + Nebus. + Tess1509</v>
      </c>
      <c r="F255" s="3" t="str">
        <f>IFERROR(__xludf.DUMMYFUNCTION("""COMPUTED_VALUE"""),"win")</f>
        <v>win</v>
      </c>
      <c r="G255" s="3" t="str">
        <f>IFERROR(__xludf.DUMMYFUNCTION("""COMPUTED_VALUE"""),"3v3")</f>
        <v>3v3</v>
      </c>
      <c r="H255" s="3" t="str">
        <f>IFERROR(__xludf.DUMMYFUNCTION("IFERROR(TRIM(INDEX(SPLIT(E255,"" + ""),1)),"""")"),"Kesny")</f>
        <v>Kesny</v>
      </c>
      <c r="I255" s="3" t="str">
        <f>IFERROR(__xludf.DUMMYFUNCTION("IFERROR(TRIM(INDEX(SPLIT(E255,"" + ""),2)),"""")"),"Nebus.")</f>
        <v>Nebus.</v>
      </c>
      <c r="J255" s="5" t="str">
        <f>IFERROR(__xludf.DUMMYFUNCTION("IFERROR(TRIM(INDEX(SPLIT(E255,"" + ""),3)),"""")"),"Tess1509")</f>
        <v>Tess1509</v>
      </c>
      <c r="K255" s="3">
        <f>IFERROR(__xludf.DUMMYFUNCTION("IFERROR(IF(H255="""",0,INDEX(FILTER($Q$2:Q254,$C$2:C254=H255,$G$2:G254=G255),ROWS(FILTER($Q$2:Q254,$C$2:C254=H255,$G$2:G254=G255)),1)),1500)"),1445.0)</f>
        <v>1445</v>
      </c>
      <c r="L255" s="3">
        <f>IFERROR(__xludf.DUMMYFUNCTION("IFERROR(IF(I255="""",0,INDEX(FILTER($Q$2:Q254,$C$2:C254=I255,$G$2:G254=G255),ROWS(FILTER($Q$2:Q254,$C$2:C254=I255,$G$2:G254=G255)),1)),1500)"),1573.0)</f>
        <v>1573</v>
      </c>
      <c r="M255" s="3">
        <f>IFERROR(__xludf.DUMMYFUNCTION("IFERROR(IF(J255="""",0,INDEX(FILTER($Q$2:Q254,$C$2:C254=J255,$G$2:G254=G255),ROWS(FILTER($Q$2:Q254,$C$2:C254=J255,$G$2:G254=G255)),1)),1500)"),1401.0)</f>
        <v>1401</v>
      </c>
      <c r="N255" s="3">
        <f>IFERROR(__xludf.DUMMYFUNCTION("IFERROR(INDEX(FILTER($Q$2:Q254,$C$2:C254=C255,$G$2:G254=G255),ROWS(FILTER($Q$2:Q254,$C$2:C254=C255,$G$2:G254=G255)),1),1500)"),1510.0)</f>
        <v>1510</v>
      </c>
      <c r="O255" s="3">
        <f t="shared" si="3"/>
        <v>1473</v>
      </c>
      <c r="P255" s="9">
        <f t="shared" si="1"/>
        <v>14</v>
      </c>
      <c r="Q255" s="5">
        <f t="shared" si="2"/>
        <v>1524</v>
      </c>
    </row>
    <row r="256">
      <c r="A256" s="3" t="str">
        <f>IFERROR(__xludf.DUMMYFUNCTION("""COMPUTED_VALUE"""),"1IROlwyyrilHTZdhBoUbQYxZ-F8iQCg7I")</f>
        <v>1IROlwyyrilHTZdhBoUbQYxZ-F8iQCg7I</v>
      </c>
      <c r="B256" s="13">
        <f>IFERROR(__xludf.DUMMYFUNCTION("""COMPUTED_VALUE"""),45976.0)</f>
        <v>45976</v>
      </c>
      <c r="C256" s="3" t="str">
        <f>IFERROR(__xludf.DUMMYFUNCTION("""COMPUTED_VALUE"""),"Nebus.")</f>
        <v>Nebus.</v>
      </c>
      <c r="D256" s="3" t="str">
        <f>IFERROR(__xludf.DUMMYFUNCTION("""COMPUTED_VALUE"""),"Nebus. + Tess1509")</f>
        <v>Nebus. + Tess1509</v>
      </c>
      <c r="E256" s="3" t="str">
        <f>IFERROR(__xludf.DUMMYFUNCTION("""COMPUTED_VALUE"""),"Malena + ZeroO")</f>
        <v>Malena + ZeroO</v>
      </c>
      <c r="F256" s="3" t="str">
        <f>IFERROR(__xludf.DUMMYFUNCTION("""COMPUTED_VALUE"""),"loss")</f>
        <v>loss</v>
      </c>
      <c r="G256" s="3" t="str">
        <f>IFERROR(__xludf.DUMMYFUNCTION("""COMPUTED_VALUE"""),"2v2")</f>
        <v>2v2</v>
      </c>
      <c r="H256" s="3" t="str">
        <f>IFERROR(__xludf.DUMMYFUNCTION("IFERROR(TRIM(INDEX(SPLIT(E256,"" + ""),1)),"""")"),"Malena")</f>
        <v>Malena</v>
      </c>
      <c r="I256" s="3" t="str">
        <f>IFERROR(__xludf.DUMMYFUNCTION("IFERROR(TRIM(INDEX(SPLIT(E256,"" + ""),2)),"""")"),"ZeroO")</f>
        <v>ZeroO</v>
      </c>
      <c r="J256" s="5" t="str">
        <f>IFERROR(__xludf.DUMMYFUNCTION("IFERROR(TRIM(INDEX(SPLIT(E256,"" + ""),3)),"""")"),"")</f>
        <v/>
      </c>
      <c r="K256" s="3">
        <f>IFERROR(__xludf.DUMMYFUNCTION("IFERROR(IF(H256="""",0,INDEX(FILTER($Q$2:Q255,$C$2:C255=H256,$G$2:G255=G256),ROWS(FILTER($Q$2:Q255,$C$2:C255=H256,$G$2:G255=G256)),1)),1500)"),1568.0)</f>
        <v>1568</v>
      </c>
      <c r="L256" s="3">
        <f>IFERROR(__xludf.DUMMYFUNCTION("IFERROR(IF(I256="""",0,INDEX(FILTER($Q$2:Q255,$C$2:C255=I256,$G$2:G255=G256),ROWS(FILTER($Q$2:Q255,$C$2:C255=I256,$G$2:G255=G256)),1)),1500)"),1512.0)</f>
        <v>1512</v>
      </c>
      <c r="M256" s="3">
        <f>IFERROR(__xludf.DUMMYFUNCTION("IFERROR(IF(J256="""",0,INDEX(FILTER($Q$2:Q255,$C$2:C255=J256,$G$2:G255=G256),ROWS(FILTER($Q$2:Q255,$C$2:C255=J256,$G$2:G255=G256)),1)),1500)"),0.0)</f>
        <v>0</v>
      </c>
      <c r="N256" s="3">
        <f>IFERROR(__xludf.DUMMYFUNCTION("IFERROR(INDEX(FILTER($Q$2:Q255,$C$2:C255=C256,$G$2:G255=G256),ROWS(FILTER($Q$2:Q255,$C$2:C255=C256,$G$2:G255=G256)),1),1500)"),1581.0)</f>
        <v>1581</v>
      </c>
      <c r="O256" s="3">
        <f t="shared" si="3"/>
        <v>1540</v>
      </c>
      <c r="P256" s="9">
        <f t="shared" si="1"/>
        <v>-18</v>
      </c>
      <c r="Q256" s="5">
        <f t="shared" si="2"/>
        <v>1563</v>
      </c>
    </row>
    <row r="257">
      <c r="A257" s="3" t="str">
        <f>IFERROR(__xludf.DUMMYFUNCTION("""COMPUTED_VALUE"""),"1IROlwyyrilHTZdhBoUbQYxZ-F8iQCg7I")</f>
        <v>1IROlwyyrilHTZdhBoUbQYxZ-F8iQCg7I</v>
      </c>
      <c r="B257" s="13">
        <f>IFERROR(__xludf.DUMMYFUNCTION("""COMPUTED_VALUE"""),45976.0)</f>
        <v>45976</v>
      </c>
      <c r="C257" s="3" t="str">
        <f>IFERROR(__xludf.DUMMYFUNCTION("""COMPUTED_VALUE"""),"Tess1509")</f>
        <v>Tess1509</v>
      </c>
      <c r="D257" s="3" t="str">
        <f>IFERROR(__xludf.DUMMYFUNCTION("""COMPUTED_VALUE"""),"Nebus. + Tess1509")</f>
        <v>Nebus. + Tess1509</v>
      </c>
      <c r="E257" s="3" t="str">
        <f>IFERROR(__xludf.DUMMYFUNCTION("""COMPUTED_VALUE"""),"Malena + ZeroO")</f>
        <v>Malena + ZeroO</v>
      </c>
      <c r="F257" s="3" t="str">
        <f>IFERROR(__xludf.DUMMYFUNCTION("""COMPUTED_VALUE"""),"loss")</f>
        <v>loss</v>
      </c>
      <c r="G257" s="3" t="str">
        <f>IFERROR(__xludf.DUMMYFUNCTION("""COMPUTED_VALUE"""),"2v2")</f>
        <v>2v2</v>
      </c>
      <c r="H257" s="3" t="str">
        <f>IFERROR(__xludf.DUMMYFUNCTION("IFERROR(TRIM(INDEX(SPLIT(E257,"" + ""),1)),"""")"),"Malena")</f>
        <v>Malena</v>
      </c>
      <c r="I257" s="3" t="str">
        <f>IFERROR(__xludf.DUMMYFUNCTION("IFERROR(TRIM(INDEX(SPLIT(E257,"" + ""),2)),"""")"),"ZeroO")</f>
        <v>ZeroO</v>
      </c>
      <c r="J257" s="5" t="str">
        <f>IFERROR(__xludf.DUMMYFUNCTION("IFERROR(TRIM(INDEX(SPLIT(E257,"" + ""),3)),"""")"),"")</f>
        <v/>
      </c>
      <c r="K257" s="3">
        <f>IFERROR(__xludf.DUMMYFUNCTION("IFERROR(IF(H257="""",0,INDEX(FILTER($Q$2:Q256,$C$2:C256=H257,$G$2:G256=G257),ROWS(FILTER($Q$2:Q256,$C$2:C256=H257,$G$2:G256=G257)),1)),1500)"),1568.0)</f>
        <v>1568</v>
      </c>
      <c r="L257" s="3">
        <f>IFERROR(__xludf.DUMMYFUNCTION("IFERROR(IF(I257="""",0,INDEX(FILTER($Q$2:Q256,$C$2:C256=I257,$G$2:G256=G257),ROWS(FILTER($Q$2:Q256,$C$2:C256=I257,$G$2:G256=G257)),1)),1500)"),1512.0)</f>
        <v>1512</v>
      </c>
      <c r="M257" s="3">
        <f>IFERROR(__xludf.DUMMYFUNCTION("IFERROR(IF(J257="""",0,INDEX(FILTER($Q$2:Q256,$C$2:C256=J257,$G$2:G256=G257),ROWS(FILTER($Q$2:Q256,$C$2:C256=J257,$G$2:G256=G257)),1)),1500)"),0.0)</f>
        <v>0</v>
      </c>
      <c r="N257" s="3">
        <f>IFERROR(__xludf.DUMMYFUNCTION("IFERROR(INDEX(FILTER($Q$2:Q256,$C$2:C256=C257,$G$2:G256=G257),ROWS(FILTER($Q$2:Q256,$C$2:C256=C257,$G$2:G256=G257)),1),1500)"),1396.0)</f>
        <v>1396</v>
      </c>
      <c r="O257" s="3">
        <f t="shared" si="3"/>
        <v>1540</v>
      </c>
      <c r="P257" s="9">
        <f t="shared" si="1"/>
        <v>-10</v>
      </c>
      <c r="Q257" s="5">
        <f t="shared" si="2"/>
        <v>1386</v>
      </c>
    </row>
    <row r="258">
      <c r="A258" s="3" t="str">
        <f>IFERROR(__xludf.DUMMYFUNCTION("""COMPUTED_VALUE"""),"1IROlwyyrilHTZdhBoUbQYxZ-F8iQCg7I")</f>
        <v>1IROlwyyrilHTZdhBoUbQYxZ-F8iQCg7I</v>
      </c>
      <c r="B258" s="13">
        <f>IFERROR(__xludf.DUMMYFUNCTION("""COMPUTED_VALUE"""),45976.0)</f>
        <v>45976</v>
      </c>
      <c r="C258" s="3" t="str">
        <f>IFERROR(__xludf.DUMMYFUNCTION("""COMPUTED_VALUE"""),"Malena")</f>
        <v>Malena</v>
      </c>
      <c r="D258" s="3" t="str">
        <f>IFERROR(__xludf.DUMMYFUNCTION("""COMPUTED_VALUE"""),"Malena + ZeroO")</f>
        <v>Malena + ZeroO</v>
      </c>
      <c r="E258" s="3" t="str">
        <f>IFERROR(__xludf.DUMMYFUNCTION("""COMPUTED_VALUE"""),"Nebus. + Tess1509")</f>
        <v>Nebus. + Tess1509</v>
      </c>
      <c r="F258" s="3" t="str">
        <f>IFERROR(__xludf.DUMMYFUNCTION("""COMPUTED_VALUE"""),"win")</f>
        <v>win</v>
      </c>
      <c r="G258" s="3" t="str">
        <f>IFERROR(__xludf.DUMMYFUNCTION("""COMPUTED_VALUE"""),"2v2")</f>
        <v>2v2</v>
      </c>
      <c r="H258" s="3" t="str">
        <f>IFERROR(__xludf.DUMMYFUNCTION("IFERROR(TRIM(INDEX(SPLIT(E258,"" + ""),1)),"""")"),"Nebus.")</f>
        <v>Nebus.</v>
      </c>
      <c r="I258" s="3" t="str">
        <f>IFERROR(__xludf.DUMMYFUNCTION("IFERROR(TRIM(INDEX(SPLIT(E258,"" + ""),2)),"""")"),"Tess1509")</f>
        <v>Tess1509</v>
      </c>
      <c r="J258" s="5" t="str">
        <f>IFERROR(__xludf.DUMMYFUNCTION("IFERROR(TRIM(INDEX(SPLIT(E258,"" + ""),3)),"""")"),"")</f>
        <v/>
      </c>
      <c r="K258" s="3">
        <f>IFERROR(__xludf.DUMMYFUNCTION("IFERROR(IF(H258="""",0,INDEX(FILTER($Q$2:Q257,$C$2:C257=H258,$G$2:G257=G258),ROWS(FILTER($Q$2:Q257,$C$2:C257=H258,$G$2:G257=G258)),1)),1500)"),1563.0)</f>
        <v>1563</v>
      </c>
      <c r="L258" s="3">
        <f>IFERROR(__xludf.DUMMYFUNCTION("IFERROR(IF(I258="""",0,INDEX(FILTER($Q$2:Q257,$C$2:C257=I258,$G$2:G257=G258),ROWS(FILTER($Q$2:Q257,$C$2:C257=I258,$G$2:G257=G258)),1)),1500)"),1386.0)</f>
        <v>1386</v>
      </c>
      <c r="M258" s="3">
        <f>IFERROR(__xludf.DUMMYFUNCTION("IFERROR(IF(J258="""",0,INDEX(FILTER($Q$2:Q257,$C$2:C257=J258,$G$2:G257=G258),ROWS(FILTER($Q$2:Q257,$C$2:C257=J258,$G$2:G257=G258)),1)),1500)"),0.0)</f>
        <v>0</v>
      </c>
      <c r="N258" s="3">
        <f>IFERROR(__xludf.DUMMYFUNCTION("IFERROR(INDEX(FILTER($Q$2:Q257,$C$2:C257=C258,$G$2:G257=G258),ROWS(FILTER($Q$2:Q257,$C$2:C257=C258,$G$2:G257=G258)),1),1500)"),1568.0)</f>
        <v>1568</v>
      </c>
      <c r="O258" s="3">
        <f t="shared" si="3"/>
        <v>1474.5</v>
      </c>
      <c r="P258" s="9">
        <f t="shared" si="1"/>
        <v>12</v>
      </c>
      <c r="Q258" s="5">
        <f t="shared" si="2"/>
        <v>1580</v>
      </c>
    </row>
    <row r="259">
      <c r="A259" s="3" t="str">
        <f>IFERROR(__xludf.DUMMYFUNCTION("""COMPUTED_VALUE"""),"1IROlwyyrilHTZdhBoUbQYxZ-F8iQCg7I")</f>
        <v>1IROlwyyrilHTZdhBoUbQYxZ-F8iQCg7I</v>
      </c>
      <c r="B259" s="13">
        <f>IFERROR(__xludf.DUMMYFUNCTION("""COMPUTED_VALUE"""),45976.0)</f>
        <v>45976</v>
      </c>
      <c r="C259" s="3" t="str">
        <f>IFERROR(__xludf.DUMMYFUNCTION("""COMPUTED_VALUE"""),"ZeroO")</f>
        <v>ZeroO</v>
      </c>
      <c r="D259" s="3" t="str">
        <f>IFERROR(__xludf.DUMMYFUNCTION("""COMPUTED_VALUE"""),"Malena + ZeroO")</f>
        <v>Malena + ZeroO</v>
      </c>
      <c r="E259" s="3" t="str">
        <f>IFERROR(__xludf.DUMMYFUNCTION("""COMPUTED_VALUE"""),"Nebus. + Tess1509")</f>
        <v>Nebus. + Tess1509</v>
      </c>
      <c r="F259" s="3" t="str">
        <f>IFERROR(__xludf.DUMMYFUNCTION("""COMPUTED_VALUE"""),"win")</f>
        <v>win</v>
      </c>
      <c r="G259" s="3" t="str">
        <f>IFERROR(__xludf.DUMMYFUNCTION("""COMPUTED_VALUE"""),"2v2")</f>
        <v>2v2</v>
      </c>
      <c r="H259" s="3" t="str">
        <f>IFERROR(__xludf.DUMMYFUNCTION("IFERROR(TRIM(INDEX(SPLIT(E259,"" + ""),1)),"""")"),"Nebus.")</f>
        <v>Nebus.</v>
      </c>
      <c r="I259" s="3" t="str">
        <f>IFERROR(__xludf.DUMMYFUNCTION("IFERROR(TRIM(INDEX(SPLIT(E259,"" + ""),2)),"""")"),"Tess1509")</f>
        <v>Tess1509</v>
      </c>
      <c r="J259" s="5" t="str">
        <f>IFERROR(__xludf.DUMMYFUNCTION("IFERROR(TRIM(INDEX(SPLIT(E259,"" + ""),3)),"""")"),"")</f>
        <v/>
      </c>
      <c r="K259" s="3">
        <f>IFERROR(__xludf.DUMMYFUNCTION("IFERROR(IF(H259="""",0,INDEX(FILTER($Q$2:Q258,$C$2:C258=H259,$G$2:G258=G259),ROWS(FILTER($Q$2:Q258,$C$2:C258=H259,$G$2:G258=G259)),1)),1500)"),1563.0)</f>
        <v>1563</v>
      </c>
      <c r="L259" s="3">
        <f>IFERROR(__xludf.DUMMYFUNCTION("IFERROR(IF(I259="""",0,INDEX(FILTER($Q$2:Q258,$C$2:C258=I259,$G$2:G258=G259),ROWS(FILTER($Q$2:Q258,$C$2:C258=I259,$G$2:G258=G259)),1)),1500)"),1386.0)</f>
        <v>1386</v>
      </c>
      <c r="M259" s="3">
        <f>IFERROR(__xludf.DUMMYFUNCTION("IFERROR(IF(J259="""",0,INDEX(FILTER($Q$2:Q258,$C$2:C258=J259,$G$2:G258=G259),ROWS(FILTER($Q$2:Q258,$C$2:C258=J259,$G$2:G258=G259)),1)),1500)"),0.0)</f>
        <v>0</v>
      </c>
      <c r="N259" s="3">
        <f>IFERROR(__xludf.DUMMYFUNCTION("IFERROR(INDEX(FILTER($Q$2:Q258,$C$2:C258=C259,$G$2:G258=G259),ROWS(FILTER($Q$2:Q258,$C$2:C258=C259,$G$2:G258=G259)),1),1500)"),1512.0)</f>
        <v>1512</v>
      </c>
      <c r="O259" s="3">
        <f t="shared" si="3"/>
        <v>1474.5</v>
      </c>
      <c r="P259" s="9">
        <f t="shared" si="1"/>
        <v>14</v>
      </c>
      <c r="Q259" s="5">
        <f t="shared" si="2"/>
        <v>1526</v>
      </c>
    </row>
    <row r="260">
      <c r="A260" s="3" t="str">
        <f>IFERROR(__xludf.DUMMYFUNCTION("""COMPUTED_VALUE"""),"1WI0p2jBCtATYXe9GyTaRLZ5K8f5Yi3c6")</f>
        <v>1WI0p2jBCtATYXe9GyTaRLZ5K8f5Yi3c6</v>
      </c>
      <c r="B260" s="13">
        <f>IFERROR(__xludf.DUMMYFUNCTION("""COMPUTED_VALUE"""),45976.0)</f>
        <v>45976</v>
      </c>
      <c r="C260" s="3" t="str">
        <f>IFERROR(__xludf.DUMMYFUNCTION("""COMPUTED_VALUE"""),"Malena")</f>
        <v>Malena</v>
      </c>
      <c r="D260" s="3" t="str">
        <f>IFERROR(__xludf.DUMMYFUNCTION("""COMPUTED_VALUE"""),"Malena + Tess1509")</f>
        <v>Malena + Tess1509</v>
      </c>
      <c r="E260" s="3" t="str">
        <f>IFERROR(__xludf.DUMMYFUNCTION("""COMPUTED_VALUE"""),"Nebus. + ZeroO")</f>
        <v>Nebus. + ZeroO</v>
      </c>
      <c r="F260" s="3" t="str">
        <f>IFERROR(__xludf.DUMMYFUNCTION("""COMPUTED_VALUE"""),"win")</f>
        <v>win</v>
      </c>
      <c r="G260" s="3" t="str">
        <f>IFERROR(__xludf.DUMMYFUNCTION("""COMPUTED_VALUE"""),"2v2")</f>
        <v>2v2</v>
      </c>
      <c r="H260" s="3" t="str">
        <f>IFERROR(__xludf.DUMMYFUNCTION("IFERROR(TRIM(INDEX(SPLIT(E260,"" + ""),1)),"""")"),"Nebus.")</f>
        <v>Nebus.</v>
      </c>
      <c r="I260" s="3" t="str">
        <f>IFERROR(__xludf.DUMMYFUNCTION("IFERROR(TRIM(INDEX(SPLIT(E260,"" + ""),2)),"""")"),"ZeroO")</f>
        <v>ZeroO</v>
      </c>
      <c r="J260" s="5" t="str">
        <f>IFERROR(__xludf.DUMMYFUNCTION("IFERROR(TRIM(INDEX(SPLIT(E260,"" + ""),3)),"""")"),"")</f>
        <v/>
      </c>
      <c r="K260" s="3">
        <f>IFERROR(__xludf.DUMMYFUNCTION("IFERROR(IF(H260="""",0,INDEX(FILTER($Q$2:Q259,$C$2:C259=H260,$G$2:G259=G260),ROWS(FILTER($Q$2:Q259,$C$2:C259=H260,$G$2:G259=G260)),1)),1500)"),1563.0)</f>
        <v>1563</v>
      </c>
      <c r="L260" s="3">
        <f>IFERROR(__xludf.DUMMYFUNCTION("IFERROR(IF(I260="""",0,INDEX(FILTER($Q$2:Q259,$C$2:C259=I260,$G$2:G259=G260),ROWS(FILTER($Q$2:Q259,$C$2:C259=I260,$G$2:G259=G260)),1)),1500)"),1526.0)</f>
        <v>1526</v>
      </c>
      <c r="M260" s="3">
        <f>IFERROR(__xludf.DUMMYFUNCTION("IFERROR(IF(J260="""",0,INDEX(FILTER($Q$2:Q259,$C$2:C259=J260,$G$2:G259=G260),ROWS(FILTER($Q$2:Q259,$C$2:C259=J260,$G$2:G259=G260)),1)),1500)"),0.0)</f>
        <v>0</v>
      </c>
      <c r="N260" s="3">
        <f>IFERROR(__xludf.DUMMYFUNCTION("IFERROR(INDEX(FILTER($Q$2:Q259,$C$2:C259=C260,$G$2:G259=G260),ROWS(FILTER($Q$2:Q259,$C$2:C259=C260,$G$2:G259=G260)),1),1500)"),1580.0)</f>
        <v>1580</v>
      </c>
      <c r="O260" s="3">
        <f t="shared" si="3"/>
        <v>1544.5</v>
      </c>
      <c r="P260" s="9">
        <f t="shared" si="1"/>
        <v>14</v>
      </c>
      <c r="Q260" s="5">
        <f t="shared" si="2"/>
        <v>1594</v>
      </c>
    </row>
    <row r="261">
      <c r="A261" s="3" t="str">
        <f>IFERROR(__xludf.DUMMYFUNCTION("""COMPUTED_VALUE"""),"1WI0p2jBCtATYXe9GyTaRLZ5K8f5Yi3c6")</f>
        <v>1WI0p2jBCtATYXe9GyTaRLZ5K8f5Yi3c6</v>
      </c>
      <c r="B261" s="13">
        <f>IFERROR(__xludf.DUMMYFUNCTION("""COMPUTED_VALUE"""),45976.0)</f>
        <v>45976</v>
      </c>
      <c r="C261" s="3" t="str">
        <f>IFERROR(__xludf.DUMMYFUNCTION("""COMPUTED_VALUE"""),"Tess1509")</f>
        <v>Tess1509</v>
      </c>
      <c r="D261" s="3" t="str">
        <f>IFERROR(__xludf.DUMMYFUNCTION("""COMPUTED_VALUE"""),"Malena + Tess1509")</f>
        <v>Malena + Tess1509</v>
      </c>
      <c r="E261" s="3" t="str">
        <f>IFERROR(__xludf.DUMMYFUNCTION("""COMPUTED_VALUE"""),"Nebus. + ZeroO")</f>
        <v>Nebus. + ZeroO</v>
      </c>
      <c r="F261" s="3" t="str">
        <f>IFERROR(__xludf.DUMMYFUNCTION("""COMPUTED_VALUE"""),"win")</f>
        <v>win</v>
      </c>
      <c r="G261" s="3" t="str">
        <f>IFERROR(__xludf.DUMMYFUNCTION("""COMPUTED_VALUE"""),"2v2")</f>
        <v>2v2</v>
      </c>
      <c r="H261" s="3" t="str">
        <f>IFERROR(__xludf.DUMMYFUNCTION("IFERROR(TRIM(INDEX(SPLIT(E261,"" + ""),1)),"""")"),"Nebus.")</f>
        <v>Nebus.</v>
      </c>
      <c r="I261" s="3" t="str">
        <f>IFERROR(__xludf.DUMMYFUNCTION("IFERROR(TRIM(INDEX(SPLIT(E261,"" + ""),2)),"""")"),"ZeroO")</f>
        <v>ZeroO</v>
      </c>
      <c r="J261" s="5" t="str">
        <f>IFERROR(__xludf.DUMMYFUNCTION("IFERROR(TRIM(INDEX(SPLIT(E261,"" + ""),3)),"""")"),"")</f>
        <v/>
      </c>
      <c r="K261" s="3">
        <f>IFERROR(__xludf.DUMMYFUNCTION("IFERROR(IF(H261="""",0,INDEX(FILTER($Q$2:Q260,$C$2:C260=H261,$G$2:G260=G261),ROWS(FILTER($Q$2:Q260,$C$2:C260=H261,$G$2:G260=G261)),1)),1500)"),1563.0)</f>
        <v>1563</v>
      </c>
      <c r="L261" s="3">
        <f>IFERROR(__xludf.DUMMYFUNCTION("IFERROR(IF(I261="""",0,INDEX(FILTER($Q$2:Q260,$C$2:C260=I261,$G$2:G260=G261),ROWS(FILTER($Q$2:Q260,$C$2:C260=I261,$G$2:G260=G261)),1)),1500)"),1526.0)</f>
        <v>1526</v>
      </c>
      <c r="M261" s="3">
        <f>IFERROR(__xludf.DUMMYFUNCTION("IFERROR(IF(J261="""",0,INDEX(FILTER($Q$2:Q260,$C$2:C260=J261,$G$2:G260=G261),ROWS(FILTER($Q$2:Q260,$C$2:C260=J261,$G$2:G260=G261)),1)),1500)"),0.0)</f>
        <v>0</v>
      </c>
      <c r="N261" s="3">
        <f>IFERROR(__xludf.DUMMYFUNCTION("IFERROR(INDEX(FILTER($Q$2:Q260,$C$2:C260=C261,$G$2:G260=G261),ROWS(FILTER($Q$2:Q260,$C$2:C260=C261,$G$2:G260=G261)),1),1500)"),1386.0)</f>
        <v>1386</v>
      </c>
      <c r="O261" s="3">
        <f t="shared" si="3"/>
        <v>1544.5</v>
      </c>
      <c r="P261" s="9">
        <f t="shared" si="1"/>
        <v>23</v>
      </c>
      <c r="Q261" s="5">
        <f t="shared" si="2"/>
        <v>1409</v>
      </c>
    </row>
    <row r="262">
      <c r="A262" s="3" t="str">
        <f>IFERROR(__xludf.DUMMYFUNCTION("""COMPUTED_VALUE"""),"1WI0p2jBCtATYXe9GyTaRLZ5K8f5Yi3c6")</f>
        <v>1WI0p2jBCtATYXe9GyTaRLZ5K8f5Yi3c6</v>
      </c>
      <c r="B262" s="13">
        <f>IFERROR(__xludf.DUMMYFUNCTION("""COMPUTED_VALUE"""),45976.0)</f>
        <v>45976</v>
      </c>
      <c r="C262" s="3" t="str">
        <f>IFERROR(__xludf.DUMMYFUNCTION("""COMPUTED_VALUE"""),"Nebus.")</f>
        <v>Nebus.</v>
      </c>
      <c r="D262" s="3" t="str">
        <f>IFERROR(__xludf.DUMMYFUNCTION("""COMPUTED_VALUE"""),"Nebus. + ZeroO")</f>
        <v>Nebus. + ZeroO</v>
      </c>
      <c r="E262" s="3" t="str">
        <f>IFERROR(__xludf.DUMMYFUNCTION("""COMPUTED_VALUE"""),"Malena + Tess1509")</f>
        <v>Malena + Tess1509</v>
      </c>
      <c r="F262" s="3" t="str">
        <f>IFERROR(__xludf.DUMMYFUNCTION("""COMPUTED_VALUE"""),"loss")</f>
        <v>loss</v>
      </c>
      <c r="G262" s="3" t="str">
        <f>IFERROR(__xludf.DUMMYFUNCTION("""COMPUTED_VALUE"""),"2v2")</f>
        <v>2v2</v>
      </c>
      <c r="H262" s="3" t="str">
        <f>IFERROR(__xludf.DUMMYFUNCTION("IFERROR(TRIM(INDEX(SPLIT(E262,"" + ""),1)),"""")"),"Malena")</f>
        <v>Malena</v>
      </c>
      <c r="I262" s="3" t="str">
        <f>IFERROR(__xludf.DUMMYFUNCTION("IFERROR(TRIM(INDEX(SPLIT(E262,"" + ""),2)),"""")"),"Tess1509")</f>
        <v>Tess1509</v>
      </c>
      <c r="J262" s="5" t="str">
        <f>IFERROR(__xludf.DUMMYFUNCTION("IFERROR(TRIM(INDEX(SPLIT(E262,"" + ""),3)),"""")"),"")</f>
        <v/>
      </c>
      <c r="K262" s="3">
        <f>IFERROR(__xludf.DUMMYFUNCTION("IFERROR(IF(H262="""",0,INDEX(FILTER($Q$2:Q261,$C$2:C261=H262,$G$2:G261=G262),ROWS(FILTER($Q$2:Q261,$C$2:C261=H262,$G$2:G261=G262)),1)),1500)"),1594.0)</f>
        <v>1594</v>
      </c>
      <c r="L262" s="3">
        <f>IFERROR(__xludf.DUMMYFUNCTION("IFERROR(IF(I262="""",0,INDEX(FILTER($Q$2:Q261,$C$2:C261=I262,$G$2:G261=G262),ROWS(FILTER($Q$2:Q261,$C$2:C261=I262,$G$2:G261=G262)),1)),1500)"),1409.0)</f>
        <v>1409</v>
      </c>
      <c r="M262" s="3">
        <f>IFERROR(__xludf.DUMMYFUNCTION("IFERROR(IF(J262="""",0,INDEX(FILTER($Q$2:Q261,$C$2:C261=J262,$G$2:G261=G262),ROWS(FILTER($Q$2:Q261,$C$2:C261=J262,$G$2:G261=G262)),1)),1500)"),0.0)</f>
        <v>0</v>
      </c>
      <c r="N262" s="3">
        <f>IFERROR(__xludf.DUMMYFUNCTION("IFERROR(INDEX(FILTER($Q$2:Q261,$C$2:C261=C262,$G$2:G261=G262),ROWS(FILTER($Q$2:Q261,$C$2:C261=C262,$G$2:G261=G262)),1),1500)"),1563.0)</f>
        <v>1563</v>
      </c>
      <c r="O262" s="3">
        <f t="shared" si="3"/>
        <v>1501.5</v>
      </c>
      <c r="P262" s="9">
        <f t="shared" si="1"/>
        <v>-19</v>
      </c>
      <c r="Q262" s="5">
        <f t="shared" si="2"/>
        <v>1544</v>
      </c>
    </row>
    <row r="263">
      <c r="A263" s="3" t="str">
        <f>IFERROR(__xludf.DUMMYFUNCTION("""COMPUTED_VALUE"""),"1WI0p2jBCtATYXe9GyTaRLZ5K8f5Yi3c6")</f>
        <v>1WI0p2jBCtATYXe9GyTaRLZ5K8f5Yi3c6</v>
      </c>
      <c r="B263" s="13">
        <f>IFERROR(__xludf.DUMMYFUNCTION("""COMPUTED_VALUE"""),45976.0)</f>
        <v>45976</v>
      </c>
      <c r="C263" s="3" t="str">
        <f>IFERROR(__xludf.DUMMYFUNCTION("""COMPUTED_VALUE"""),"ZeroO")</f>
        <v>ZeroO</v>
      </c>
      <c r="D263" s="3" t="str">
        <f>IFERROR(__xludf.DUMMYFUNCTION("""COMPUTED_VALUE"""),"Nebus. + ZeroO")</f>
        <v>Nebus. + ZeroO</v>
      </c>
      <c r="E263" s="3" t="str">
        <f>IFERROR(__xludf.DUMMYFUNCTION("""COMPUTED_VALUE"""),"Malena + Tess1509")</f>
        <v>Malena + Tess1509</v>
      </c>
      <c r="F263" s="3" t="str">
        <f>IFERROR(__xludf.DUMMYFUNCTION("""COMPUTED_VALUE"""),"loss")</f>
        <v>loss</v>
      </c>
      <c r="G263" s="3" t="str">
        <f>IFERROR(__xludf.DUMMYFUNCTION("""COMPUTED_VALUE"""),"2v2")</f>
        <v>2v2</v>
      </c>
      <c r="H263" s="3" t="str">
        <f>IFERROR(__xludf.DUMMYFUNCTION("IFERROR(TRIM(INDEX(SPLIT(E263,"" + ""),1)),"""")"),"Malena")</f>
        <v>Malena</v>
      </c>
      <c r="I263" s="3" t="str">
        <f>IFERROR(__xludf.DUMMYFUNCTION("IFERROR(TRIM(INDEX(SPLIT(E263,"" + ""),2)),"""")"),"Tess1509")</f>
        <v>Tess1509</v>
      </c>
      <c r="J263" s="5" t="str">
        <f>IFERROR(__xludf.DUMMYFUNCTION("IFERROR(TRIM(INDEX(SPLIT(E263,"" + ""),3)),"""")"),"")</f>
        <v/>
      </c>
      <c r="K263" s="3">
        <f>IFERROR(__xludf.DUMMYFUNCTION("IFERROR(IF(H263="""",0,INDEX(FILTER($Q$2:Q262,$C$2:C262=H263,$G$2:G262=G263),ROWS(FILTER($Q$2:Q262,$C$2:C262=H263,$G$2:G262=G263)),1)),1500)"),1594.0)</f>
        <v>1594</v>
      </c>
      <c r="L263" s="3">
        <f>IFERROR(__xludf.DUMMYFUNCTION("IFERROR(IF(I263="""",0,INDEX(FILTER($Q$2:Q262,$C$2:C262=I263,$G$2:G262=G263),ROWS(FILTER($Q$2:Q262,$C$2:C262=I263,$G$2:G262=G263)),1)),1500)"),1409.0)</f>
        <v>1409</v>
      </c>
      <c r="M263" s="3">
        <f>IFERROR(__xludf.DUMMYFUNCTION("IFERROR(IF(J263="""",0,INDEX(FILTER($Q$2:Q262,$C$2:C262=J263,$G$2:G262=G263),ROWS(FILTER($Q$2:Q262,$C$2:C262=J263,$G$2:G262=G263)),1)),1500)"),0.0)</f>
        <v>0</v>
      </c>
      <c r="N263" s="3">
        <f>IFERROR(__xludf.DUMMYFUNCTION("IFERROR(INDEX(FILTER($Q$2:Q262,$C$2:C262=C263,$G$2:G262=G263),ROWS(FILTER($Q$2:Q262,$C$2:C262=C263,$G$2:G262=G263)),1),1500)"),1526.0)</f>
        <v>1526</v>
      </c>
      <c r="O263" s="3">
        <f t="shared" si="3"/>
        <v>1501.5</v>
      </c>
      <c r="P263" s="9">
        <f t="shared" si="1"/>
        <v>-17</v>
      </c>
      <c r="Q263" s="5">
        <f t="shared" si="2"/>
        <v>1509</v>
      </c>
    </row>
    <row r="264">
      <c r="A264" s="3" t="str">
        <f>IFERROR(__xludf.DUMMYFUNCTION("""COMPUTED_VALUE"""),"1LNAAXOqvykE3BlE4bNMMApOOwouOb0Jn")</f>
        <v>1LNAAXOqvykE3BlE4bNMMApOOwouOb0Jn</v>
      </c>
      <c r="B264" s="13">
        <f>IFERROR(__xludf.DUMMYFUNCTION("""COMPUTED_VALUE"""),45976.0)</f>
        <v>45976</v>
      </c>
      <c r="C264" s="3" t="str">
        <f>IFERROR(__xludf.DUMMYFUNCTION("""COMPUTED_VALUE"""),"Malena")</f>
        <v>Malena</v>
      </c>
      <c r="D264" s="3" t="str">
        <f>IFERROR(__xludf.DUMMYFUNCTION("""COMPUTED_VALUE"""),"Malena + Tess1509")</f>
        <v>Malena + Tess1509</v>
      </c>
      <c r="E264" s="3" t="str">
        <f>IFERROR(__xludf.DUMMYFUNCTION("""COMPUTED_VALUE"""),"Nebus. + ZeroO")</f>
        <v>Nebus. + ZeroO</v>
      </c>
      <c r="F264" s="3" t="str">
        <f>IFERROR(__xludf.DUMMYFUNCTION("""COMPUTED_VALUE"""),"loss")</f>
        <v>loss</v>
      </c>
      <c r="G264" s="3" t="str">
        <f>IFERROR(__xludf.DUMMYFUNCTION("""COMPUTED_VALUE"""),"2v2")</f>
        <v>2v2</v>
      </c>
      <c r="H264" s="3" t="str">
        <f>IFERROR(__xludf.DUMMYFUNCTION("IFERROR(TRIM(INDEX(SPLIT(E264,"" + ""),1)),"""")"),"Nebus.")</f>
        <v>Nebus.</v>
      </c>
      <c r="I264" s="3" t="str">
        <f>IFERROR(__xludf.DUMMYFUNCTION("IFERROR(TRIM(INDEX(SPLIT(E264,"" + ""),2)),"""")"),"ZeroO")</f>
        <v>ZeroO</v>
      </c>
      <c r="J264" s="5" t="str">
        <f>IFERROR(__xludf.DUMMYFUNCTION("IFERROR(TRIM(INDEX(SPLIT(E264,"" + ""),3)),"""")"),"")</f>
        <v/>
      </c>
      <c r="K264" s="3">
        <f>IFERROR(__xludf.DUMMYFUNCTION("IFERROR(IF(H264="""",0,INDEX(FILTER($Q$2:Q263,$C$2:C263=H264,$G$2:G263=G264),ROWS(FILTER($Q$2:Q263,$C$2:C263=H264,$G$2:G263=G264)),1)),1500)"),1544.0)</f>
        <v>1544</v>
      </c>
      <c r="L264" s="3">
        <f>IFERROR(__xludf.DUMMYFUNCTION("IFERROR(IF(I264="""",0,INDEX(FILTER($Q$2:Q263,$C$2:C263=I264,$G$2:G263=G264),ROWS(FILTER($Q$2:Q263,$C$2:C263=I264,$G$2:G263=G264)),1)),1500)"),1509.0)</f>
        <v>1509</v>
      </c>
      <c r="M264" s="3">
        <f>IFERROR(__xludf.DUMMYFUNCTION("IFERROR(IF(J264="""",0,INDEX(FILTER($Q$2:Q263,$C$2:C263=J264,$G$2:G263=G264),ROWS(FILTER($Q$2:Q263,$C$2:C263=J264,$G$2:G263=G264)),1)),1500)"),0.0)</f>
        <v>0</v>
      </c>
      <c r="N264" s="3">
        <f>IFERROR(__xludf.DUMMYFUNCTION("IFERROR(INDEX(FILTER($Q$2:Q263,$C$2:C263=C264,$G$2:G263=G264),ROWS(FILTER($Q$2:Q263,$C$2:C263=C264,$G$2:G263=G264)),1),1500)"),1594.0)</f>
        <v>1594</v>
      </c>
      <c r="O264" s="3">
        <f t="shared" si="3"/>
        <v>1526.5</v>
      </c>
      <c r="P264" s="9">
        <f t="shared" si="1"/>
        <v>-19</v>
      </c>
      <c r="Q264" s="5">
        <f t="shared" si="2"/>
        <v>1575</v>
      </c>
    </row>
    <row r="265">
      <c r="A265" s="3" t="str">
        <f>IFERROR(__xludf.DUMMYFUNCTION("""COMPUTED_VALUE"""),"1LNAAXOqvykE3BlE4bNMMApOOwouOb0Jn")</f>
        <v>1LNAAXOqvykE3BlE4bNMMApOOwouOb0Jn</v>
      </c>
      <c r="B265" s="13">
        <f>IFERROR(__xludf.DUMMYFUNCTION("""COMPUTED_VALUE"""),45976.0)</f>
        <v>45976</v>
      </c>
      <c r="C265" s="3" t="str">
        <f>IFERROR(__xludf.DUMMYFUNCTION("""COMPUTED_VALUE"""),"Tess1509")</f>
        <v>Tess1509</v>
      </c>
      <c r="D265" s="3" t="str">
        <f>IFERROR(__xludf.DUMMYFUNCTION("""COMPUTED_VALUE"""),"Malena + Tess1509")</f>
        <v>Malena + Tess1509</v>
      </c>
      <c r="E265" s="3" t="str">
        <f>IFERROR(__xludf.DUMMYFUNCTION("""COMPUTED_VALUE"""),"Nebus. + ZeroO")</f>
        <v>Nebus. + ZeroO</v>
      </c>
      <c r="F265" s="3" t="str">
        <f>IFERROR(__xludf.DUMMYFUNCTION("""COMPUTED_VALUE"""),"loss")</f>
        <v>loss</v>
      </c>
      <c r="G265" s="3" t="str">
        <f>IFERROR(__xludf.DUMMYFUNCTION("""COMPUTED_VALUE"""),"2v2")</f>
        <v>2v2</v>
      </c>
      <c r="H265" s="3" t="str">
        <f>IFERROR(__xludf.DUMMYFUNCTION("IFERROR(TRIM(INDEX(SPLIT(E265,"" + ""),1)),"""")"),"Nebus.")</f>
        <v>Nebus.</v>
      </c>
      <c r="I265" s="3" t="str">
        <f>IFERROR(__xludf.DUMMYFUNCTION("IFERROR(TRIM(INDEX(SPLIT(E265,"" + ""),2)),"""")"),"ZeroO")</f>
        <v>ZeroO</v>
      </c>
      <c r="J265" s="5" t="str">
        <f>IFERROR(__xludf.DUMMYFUNCTION("IFERROR(TRIM(INDEX(SPLIT(E265,"" + ""),3)),"""")"),"")</f>
        <v/>
      </c>
      <c r="K265" s="3">
        <f>IFERROR(__xludf.DUMMYFUNCTION("IFERROR(IF(H265="""",0,INDEX(FILTER($Q$2:Q264,$C$2:C264=H265,$G$2:G264=G265),ROWS(FILTER($Q$2:Q264,$C$2:C264=H265,$G$2:G264=G265)),1)),1500)"),1544.0)</f>
        <v>1544</v>
      </c>
      <c r="L265" s="3">
        <f>IFERROR(__xludf.DUMMYFUNCTION("IFERROR(IF(I265="""",0,INDEX(FILTER($Q$2:Q264,$C$2:C264=I265,$G$2:G264=G265),ROWS(FILTER($Q$2:Q264,$C$2:C264=I265,$G$2:G264=G265)),1)),1500)"),1509.0)</f>
        <v>1509</v>
      </c>
      <c r="M265" s="3">
        <f>IFERROR(__xludf.DUMMYFUNCTION("IFERROR(IF(J265="""",0,INDEX(FILTER($Q$2:Q264,$C$2:C264=J265,$G$2:G264=G265),ROWS(FILTER($Q$2:Q264,$C$2:C264=J265,$G$2:G264=G265)),1)),1500)"),0.0)</f>
        <v>0</v>
      </c>
      <c r="N265" s="3">
        <f>IFERROR(__xludf.DUMMYFUNCTION("IFERROR(INDEX(FILTER($Q$2:Q264,$C$2:C264=C265,$G$2:G264=G265),ROWS(FILTER($Q$2:Q264,$C$2:C264=C265,$G$2:G264=G265)),1),1500)"),1409.0)</f>
        <v>1409</v>
      </c>
      <c r="O265" s="3">
        <f t="shared" si="3"/>
        <v>1526.5</v>
      </c>
      <c r="P265" s="9">
        <f t="shared" si="1"/>
        <v>-11</v>
      </c>
      <c r="Q265" s="5">
        <f t="shared" si="2"/>
        <v>1398</v>
      </c>
    </row>
    <row r="266">
      <c r="A266" s="3" t="str">
        <f>IFERROR(__xludf.DUMMYFUNCTION("""COMPUTED_VALUE"""),"1LNAAXOqvykE3BlE4bNMMApOOwouOb0Jn")</f>
        <v>1LNAAXOqvykE3BlE4bNMMApOOwouOb0Jn</v>
      </c>
      <c r="B266" s="13">
        <f>IFERROR(__xludf.DUMMYFUNCTION("""COMPUTED_VALUE"""),45976.0)</f>
        <v>45976</v>
      </c>
      <c r="C266" s="3" t="str">
        <f>IFERROR(__xludf.DUMMYFUNCTION("""COMPUTED_VALUE"""),"Nebus.")</f>
        <v>Nebus.</v>
      </c>
      <c r="D266" s="3" t="str">
        <f>IFERROR(__xludf.DUMMYFUNCTION("""COMPUTED_VALUE"""),"Nebus. + ZeroO")</f>
        <v>Nebus. + ZeroO</v>
      </c>
      <c r="E266" s="3" t="str">
        <f>IFERROR(__xludf.DUMMYFUNCTION("""COMPUTED_VALUE"""),"Malena + Tess1509")</f>
        <v>Malena + Tess1509</v>
      </c>
      <c r="F266" s="3" t="str">
        <f>IFERROR(__xludf.DUMMYFUNCTION("""COMPUTED_VALUE"""),"win")</f>
        <v>win</v>
      </c>
      <c r="G266" s="3" t="str">
        <f>IFERROR(__xludf.DUMMYFUNCTION("""COMPUTED_VALUE"""),"2v2")</f>
        <v>2v2</v>
      </c>
      <c r="H266" s="3" t="str">
        <f>IFERROR(__xludf.DUMMYFUNCTION("IFERROR(TRIM(INDEX(SPLIT(E266,"" + ""),1)),"""")"),"Malena")</f>
        <v>Malena</v>
      </c>
      <c r="I266" s="3" t="str">
        <f>IFERROR(__xludf.DUMMYFUNCTION("IFERROR(TRIM(INDEX(SPLIT(E266,"" + ""),2)),"""")"),"Tess1509")</f>
        <v>Tess1509</v>
      </c>
      <c r="J266" s="5" t="str">
        <f>IFERROR(__xludf.DUMMYFUNCTION("IFERROR(TRIM(INDEX(SPLIT(E266,"" + ""),3)),"""")"),"")</f>
        <v/>
      </c>
      <c r="K266" s="3">
        <f>IFERROR(__xludf.DUMMYFUNCTION("IFERROR(IF(H266="""",0,INDEX(FILTER($Q$2:Q265,$C$2:C265=H266,$G$2:G265=G266),ROWS(FILTER($Q$2:Q265,$C$2:C265=H266,$G$2:G265=G266)),1)),1500)"),1575.0)</f>
        <v>1575</v>
      </c>
      <c r="L266" s="3">
        <f>IFERROR(__xludf.DUMMYFUNCTION("IFERROR(IF(I266="""",0,INDEX(FILTER($Q$2:Q265,$C$2:C265=I266,$G$2:G265=G266),ROWS(FILTER($Q$2:Q265,$C$2:C265=I266,$G$2:G265=G266)),1)),1500)"),1398.0)</f>
        <v>1398</v>
      </c>
      <c r="M266" s="3">
        <f>IFERROR(__xludf.DUMMYFUNCTION("IFERROR(IF(J266="""",0,INDEX(FILTER($Q$2:Q265,$C$2:C265=J266,$G$2:G265=G266),ROWS(FILTER($Q$2:Q265,$C$2:C265=J266,$G$2:G265=G266)),1)),1500)"),0.0)</f>
        <v>0</v>
      </c>
      <c r="N266" s="3">
        <f>IFERROR(__xludf.DUMMYFUNCTION("IFERROR(INDEX(FILTER($Q$2:Q265,$C$2:C265=C266,$G$2:G265=G266),ROWS(FILTER($Q$2:Q265,$C$2:C265=C266,$G$2:G265=G266)),1),1500)"),1544.0)</f>
        <v>1544</v>
      </c>
      <c r="O266" s="3">
        <f t="shared" si="3"/>
        <v>1486.5</v>
      </c>
      <c r="P266" s="9">
        <f t="shared" si="1"/>
        <v>13</v>
      </c>
      <c r="Q266" s="5">
        <f t="shared" si="2"/>
        <v>1557</v>
      </c>
    </row>
    <row r="267">
      <c r="A267" s="3" t="str">
        <f>IFERROR(__xludf.DUMMYFUNCTION("""COMPUTED_VALUE"""),"1LNAAXOqvykE3BlE4bNMMApOOwouOb0Jn")</f>
        <v>1LNAAXOqvykE3BlE4bNMMApOOwouOb0Jn</v>
      </c>
      <c r="B267" s="13">
        <f>IFERROR(__xludf.DUMMYFUNCTION("""COMPUTED_VALUE"""),45976.0)</f>
        <v>45976</v>
      </c>
      <c r="C267" s="3" t="str">
        <f>IFERROR(__xludf.DUMMYFUNCTION("""COMPUTED_VALUE"""),"ZeroO")</f>
        <v>ZeroO</v>
      </c>
      <c r="D267" s="3" t="str">
        <f>IFERROR(__xludf.DUMMYFUNCTION("""COMPUTED_VALUE"""),"Nebus. + ZeroO")</f>
        <v>Nebus. + ZeroO</v>
      </c>
      <c r="E267" s="3" t="str">
        <f>IFERROR(__xludf.DUMMYFUNCTION("""COMPUTED_VALUE"""),"Malena + Tess1509")</f>
        <v>Malena + Tess1509</v>
      </c>
      <c r="F267" s="3" t="str">
        <f>IFERROR(__xludf.DUMMYFUNCTION("""COMPUTED_VALUE"""),"win")</f>
        <v>win</v>
      </c>
      <c r="G267" s="3" t="str">
        <f>IFERROR(__xludf.DUMMYFUNCTION("""COMPUTED_VALUE"""),"2v2")</f>
        <v>2v2</v>
      </c>
      <c r="H267" s="3" t="str">
        <f>IFERROR(__xludf.DUMMYFUNCTION("IFERROR(TRIM(INDEX(SPLIT(E267,"" + ""),1)),"""")"),"Malena")</f>
        <v>Malena</v>
      </c>
      <c r="I267" s="3" t="str">
        <f>IFERROR(__xludf.DUMMYFUNCTION("IFERROR(TRIM(INDEX(SPLIT(E267,"" + ""),2)),"""")"),"Tess1509")</f>
        <v>Tess1509</v>
      </c>
      <c r="J267" s="5" t="str">
        <f>IFERROR(__xludf.DUMMYFUNCTION("IFERROR(TRIM(INDEX(SPLIT(E267,"" + ""),3)),"""")"),"")</f>
        <v/>
      </c>
      <c r="K267" s="3">
        <f>IFERROR(__xludf.DUMMYFUNCTION("IFERROR(IF(H267="""",0,INDEX(FILTER($Q$2:Q266,$C$2:C266=H267,$G$2:G266=G267),ROWS(FILTER($Q$2:Q266,$C$2:C266=H267,$G$2:G266=G267)),1)),1500)"),1575.0)</f>
        <v>1575</v>
      </c>
      <c r="L267" s="3">
        <f>IFERROR(__xludf.DUMMYFUNCTION("IFERROR(IF(I267="""",0,INDEX(FILTER($Q$2:Q266,$C$2:C266=I267,$G$2:G266=G267),ROWS(FILTER($Q$2:Q266,$C$2:C266=I267,$G$2:G266=G267)),1)),1500)"),1398.0)</f>
        <v>1398</v>
      </c>
      <c r="M267" s="3">
        <f>IFERROR(__xludf.DUMMYFUNCTION("IFERROR(IF(J267="""",0,INDEX(FILTER($Q$2:Q266,$C$2:C266=J267,$G$2:G266=G267),ROWS(FILTER($Q$2:Q266,$C$2:C266=J267,$G$2:G266=G267)),1)),1500)"),0.0)</f>
        <v>0</v>
      </c>
      <c r="N267" s="3">
        <f>IFERROR(__xludf.DUMMYFUNCTION("IFERROR(INDEX(FILTER($Q$2:Q266,$C$2:C266=C267,$G$2:G266=G267),ROWS(FILTER($Q$2:Q266,$C$2:C266=C267,$G$2:G266=G267)),1),1500)"),1509.0)</f>
        <v>1509</v>
      </c>
      <c r="O267" s="3">
        <f t="shared" si="3"/>
        <v>1486.5</v>
      </c>
      <c r="P267" s="9">
        <f t="shared" si="1"/>
        <v>15</v>
      </c>
      <c r="Q267" s="5">
        <f t="shared" si="2"/>
        <v>1524</v>
      </c>
    </row>
    <row r="268">
      <c r="A268" s="3" t="str">
        <f>IFERROR(__xludf.DUMMYFUNCTION("""COMPUTED_VALUE"""),"1H91-ItuUaSVbeobthLJATqAPeXOpMVBz")</f>
        <v>1H91-ItuUaSVbeobthLJATqAPeXOpMVBz</v>
      </c>
      <c r="B268" s="13">
        <f>IFERROR(__xludf.DUMMYFUNCTION("""COMPUTED_VALUE"""),45976.0)</f>
        <v>45976</v>
      </c>
      <c r="C268" s="3" t="str">
        <f>IFERROR(__xludf.DUMMYFUNCTION("""COMPUTED_VALUE"""),"Nebus.")</f>
        <v>Nebus.</v>
      </c>
      <c r="D268" s="3" t="str">
        <f>IFERROR(__xludf.DUMMYFUNCTION("""COMPUTED_VALUE"""),"Malena + Nebus.")</f>
        <v>Malena + Nebus.</v>
      </c>
      <c r="E268" s="3" t="str">
        <f>IFERROR(__xludf.DUMMYFUNCTION("""COMPUTED_VALUE"""),"Tess1509 + ZeroO")</f>
        <v>Tess1509 + ZeroO</v>
      </c>
      <c r="F268" s="3" t="str">
        <f>IFERROR(__xludf.DUMMYFUNCTION("""COMPUTED_VALUE"""),"win")</f>
        <v>win</v>
      </c>
      <c r="G268" s="3" t="str">
        <f>IFERROR(__xludf.DUMMYFUNCTION("""COMPUTED_VALUE"""),"2v2")</f>
        <v>2v2</v>
      </c>
      <c r="H268" s="3" t="str">
        <f>IFERROR(__xludf.DUMMYFUNCTION("IFERROR(TRIM(INDEX(SPLIT(E268,"" + ""),1)),"""")"),"Tess1509")</f>
        <v>Tess1509</v>
      </c>
      <c r="I268" s="3" t="str">
        <f>IFERROR(__xludf.DUMMYFUNCTION("IFERROR(TRIM(INDEX(SPLIT(E268,"" + ""),2)),"""")"),"ZeroO")</f>
        <v>ZeroO</v>
      </c>
      <c r="J268" s="5" t="str">
        <f>IFERROR(__xludf.DUMMYFUNCTION("IFERROR(TRIM(INDEX(SPLIT(E268,"" + ""),3)),"""")"),"")</f>
        <v/>
      </c>
      <c r="K268" s="3">
        <f>IFERROR(__xludf.DUMMYFUNCTION("IFERROR(IF(H268="""",0,INDEX(FILTER($Q$2:Q267,$C$2:C267=H268,$G$2:G267=G268),ROWS(FILTER($Q$2:Q267,$C$2:C267=H268,$G$2:G267=G268)),1)),1500)"),1398.0)</f>
        <v>1398</v>
      </c>
      <c r="L268" s="3">
        <f>IFERROR(__xludf.DUMMYFUNCTION("IFERROR(IF(I268="""",0,INDEX(FILTER($Q$2:Q267,$C$2:C267=I268,$G$2:G267=G268),ROWS(FILTER($Q$2:Q267,$C$2:C267=I268,$G$2:G267=G268)),1)),1500)"),1524.0)</f>
        <v>1524</v>
      </c>
      <c r="M268" s="3">
        <f>IFERROR(__xludf.DUMMYFUNCTION("IFERROR(IF(J268="""",0,INDEX(FILTER($Q$2:Q267,$C$2:C267=J268,$G$2:G267=G268),ROWS(FILTER($Q$2:Q267,$C$2:C267=J268,$G$2:G267=G268)),1)),1500)"),0.0)</f>
        <v>0</v>
      </c>
      <c r="N268" s="3">
        <f>IFERROR(__xludf.DUMMYFUNCTION("IFERROR(INDEX(FILTER($Q$2:Q267,$C$2:C267=C268,$G$2:G267=G268),ROWS(FILTER($Q$2:Q267,$C$2:C267=C268,$G$2:G267=G268)),1),1500)"),1557.0)</f>
        <v>1557</v>
      </c>
      <c r="O268" s="3">
        <f t="shared" si="3"/>
        <v>1461</v>
      </c>
      <c r="P268" s="9">
        <f t="shared" si="1"/>
        <v>12</v>
      </c>
      <c r="Q268" s="5">
        <f t="shared" si="2"/>
        <v>1569</v>
      </c>
    </row>
    <row r="269">
      <c r="A269" s="3" t="str">
        <f>IFERROR(__xludf.DUMMYFUNCTION("""COMPUTED_VALUE"""),"1H91-ItuUaSVbeobthLJATqAPeXOpMVBz")</f>
        <v>1H91-ItuUaSVbeobthLJATqAPeXOpMVBz</v>
      </c>
      <c r="B269" s="13">
        <f>IFERROR(__xludf.DUMMYFUNCTION("""COMPUTED_VALUE"""),45976.0)</f>
        <v>45976</v>
      </c>
      <c r="C269" s="3" t="str">
        <f>IFERROR(__xludf.DUMMYFUNCTION("""COMPUTED_VALUE"""),"Malena")</f>
        <v>Malena</v>
      </c>
      <c r="D269" s="3" t="str">
        <f>IFERROR(__xludf.DUMMYFUNCTION("""COMPUTED_VALUE"""),"Malena + Nebus.")</f>
        <v>Malena + Nebus.</v>
      </c>
      <c r="E269" s="3" t="str">
        <f>IFERROR(__xludf.DUMMYFUNCTION("""COMPUTED_VALUE"""),"Tess1509 + ZeroO")</f>
        <v>Tess1509 + ZeroO</v>
      </c>
      <c r="F269" s="3" t="str">
        <f>IFERROR(__xludf.DUMMYFUNCTION("""COMPUTED_VALUE"""),"win")</f>
        <v>win</v>
      </c>
      <c r="G269" s="3" t="str">
        <f>IFERROR(__xludf.DUMMYFUNCTION("""COMPUTED_VALUE"""),"2v2")</f>
        <v>2v2</v>
      </c>
      <c r="H269" s="3" t="str">
        <f>IFERROR(__xludf.DUMMYFUNCTION("IFERROR(TRIM(INDEX(SPLIT(E269,"" + ""),1)),"""")"),"Tess1509")</f>
        <v>Tess1509</v>
      </c>
      <c r="I269" s="3" t="str">
        <f>IFERROR(__xludf.DUMMYFUNCTION("IFERROR(TRIM(INDEX(SPLIT(E269,"" + ""),2)),"""")"),"ZeroO")</f>
        <v>ZeroO</v>
      </c>
      <c r="J269" s="5" t="str">
        <f>IFERROR(__xludf.DUMMYFUNCTION("IFERROR(TRIM(INDEX(SPLIT(E269,"" + ""),3)),"""")"),"")</f>
        <v/>
      </c>
      <c r="K269" s="3">
        <f>IFERROR(__xludf.DUMMYFUNCTION("IFERROR(IF(H269="""",0,INDEX(FILTER($Q$2:Q268,$C$2:C268=H269,$G$2:G268=G269),ROWS(FILTER($Q$2:Q268,$C$2:C268=H269,$G$2:G268=G269)),1)),1500)"),1398.0)</f>
        <v>1398</v>
      </c>
      <c r="L269" s="3">
        <f>IFERROR(__xludf.DUMMYFUNCTION("IFERROR(IF(I269="""",0,INDEX(FILTER($Q$2:Q268,$C$2:C268=I269,$G$2:G268=G269),ROWS(FILTER($Q$2:Q268,$C$2:C268=I269,$G$2:G268=G269)),1)),1500)"),1524.0)</f>
        <v>1524</v>
      </c>
      <c r="M269" s="3">
        <f>IFERROR(__xludf.DUMMYFUNCTION("IFERROR(IF(J269="""",0,INDEX(FILTER($Q$2:Q268,$C$2:C268=J269,$G$2:G268=G269),ROWS(FILTER($Q$2:Q268,$C$2:C268=J269,$G$2:G268=G269)),1)),1500)"),0.0)</f>
        <v>0</v>
      </c>
      <c r="N269" s="3">
        <f>IFERROR(__xludf.DUMMYFUNCTION("IFERROR(INDEX(FILTER($Q$2:Q268,$C$2:C268=C269,$G$2:G268=G269),ROWS(FILTER($Q$2:Q268,$C$2:C268=C269,$G$2:G268=G269)),1),1500)"),1575.0)</f>
        <v>1575</v>
      </c>
      <c r="O269" s="3">
        <f t="shared" si="3"/>
        <v>1461</v>
      </c>
      <c r="P269" s="9">
        <f t="shared" si="1"/>
        <v>11</v>
      </c>
      <c r="Q269" s="5">
        <f t="shared" si="2"/>
        <v>1586</v>
      </c>
    </row>
    <row r="270">
      <c r="A270" s="3" t="str">
        <f>IFERROR(__xludf.DUMMYFUNCTION("""COMPUTED_VALUE"""),"1H91-ItuUaSVbeobthLJATqAPeXOpMVBz")</f>
        <v>1H91-ItuUaSVbeobthLJATqAPeXOpMVBz</v>
      </c>
      <c r="B270" s="13">
        <f>IFERROR(__xludf.DUMMYFUNCTION("""COMPUTED_VALUE"""),45976.0)</f>
        <v>45976</v>
      </c>
      <c r="C270" s="3" t="str">
        <f>IFERROR(__xludf.DUMMYFUNCTION("""COMPUTED_VALUE"""),"ZeroO")</f>
        <v>ZeroO</v>
      </c>
      <c r="D270" s="3" t="str">
        <f>IFERROR(__xludf.DUMMYFUNCTION("""COMPUTED_VALUE"""),"Tess1509 + ZeroO")</f>
        <v>Tess1509 + ZeroO</v>
      </c>
      <c r="E270" s="3" t="str">
        <f>IFERROR(__xludf.DUMMYFUNCTION("""COMPUTED_VALUE"""),"Malena + Nebus.")</f>
        <v>Malena + Nebus.</v>
      </c>
      <c r="F270" s="3" t="str">
        <f>IFERROR(__xludf.DUMMYFUNCTION("""COMPUTED_VALUE"""),"loss")</f>
        <v>loss</v>
      </c>
      <c r="G270" s="3" t="str">
        <f>IFERROR(__xludf.DUMMYFUNCTION("""COMPUTED_VALUE"""),"2v2")</f>
        <v>2v2</v>
      </c>
      <c r="H270" s="3" t="str">
        <f>IFERROR(__xludf.DUMMYFUNCTION("IFERROR(TRIM(INDEX(SPLIT(E270,"" + ""),1)),"""")"),"Malena")</f>
        <v>Malena</v>
      </c>
      <c r="I270" s="3" t="str">
        <f>IFERROR(__xludf.DUMMYFUNCTION("IFERROR(TRIM(INDEX(SPLIT(E270,"" + ""),2)),"""")"),"Nebus.")</f>
        <v>Nebus.</v>
      </c>
      <c r="J270" s="5" t="str">
        <f>IFERROR(__xludf.DUMMYFUNCTION("IFERROR(TRIM(INDEX(SPLIT(E270,"" + ""),3)),"""")"),"")</f>
        <v/>
      </c>
      <c r="K270" s="3">
        <f>IFERROR(__xludf.DUMMYFUNCTION("IFERROR(IF(H270="""",0,INDEX(FILTER($Q$2:Q269,$C$2:C269=H270,$G$2:G269=G270),ROWS(FILTER($Q$2:Q269,$C$2:C269=H270,$G$2:G269=G270)),1)),1500)"),1586.0)</f>
        <v>1586</v>
      </c>
      <c r="L270" s="3">
        <f>IFERROR(__xludf.DUMMYFUNCTION("IFERROR(IF(I270="""",0,INDEX(FILTER($Q$2:Q269,$C$2:C269=I270,$G$2:G269=G270),ROWS(FILTER($Q$2:Q269,$C$2:C269=I270,$G$2:G269=G270)),1)),1500)"),1569.0)</f>
        <v>1569</v>
      </c>
      <c r="M270" s="3">
        <f>IFERROR(__xludf.DUMMYFUNCTION("IFERROR(IF(J270="""",0,INDEX(FILTER($Q$2:Q269,$C$2:C269=J270,$G$2:G269=G270),ROWS(FILTER($Q$2:Q269,$C$2:C269=J270,$G$2:G269=G270)),1)),1500)"),0.0)</f>
        <v>0</v>
      </c>
      <c r="N270" s="3">
        <f>IFERROR(__xludf.DUMMYFUNCTION("IFERROR(INDEX(FILTER($Q$2:Q269,$C$2:C269=C270,$G$2:G269=G270),ROWS(FILTER($Q$2:Q269,$C$2:C269=C270,$G$2:G269=G270)),1),1500)"),1524.0)</f>
        <v>1524</v>
      </c>
      <c r="O270" s="3">
        <f t="shared" si="3"/>
        <v>1577.5</v>
      </c>
      <c r="P270" s="9">
        <f t="shared" si="1"/>
        <v>-14</v>
      </c>
      <c r="Q270" s="5">
        <f t="shared" si="2"/>
        <v>1510</v>
      </c>
    </row>
    <row r="271">
      <c r="A271" s="3" t="str">
        <f>IFERROR(__xludf.DUMMYFUNCTION("""COMPUTED_VALUE"""),"1H91-ItuUaSVbeobthLJATqAPeXOpMVBz")</f>
        <v>1H91-ItuUaSVbeobthLJATqAPeXOpMVBz</v>
      </c>
      <c r="B271" s="13">
        <f>IFERROR(__xludf.DUMMYFUNCTION("""COMPUTED_VALUE"""),45976.0)</f>
        <v>45976</v>
      </c>
      <c r="C271" s="3" t="str">
        <f>IFERROR(__xludf.DUMMYFUNCTION("""COMPUTED_VALUE"""),"Tess1509")</f>
        <v>Tess1509</v>
      </c>
      <c r="D271" s="3" t="str">
        <f>IFERROR(__xludf.DUMMYFUNCTION("""COMPUTED_VALUE"""),"Tess1509 + ZeroO")</f>
        <v>Tess1509 + ZeroO</v>
      </c>
      <c r="E271" s="3" t="str">
        <f>IFERROR(__xludf.DUMMYFUNCTION("""COMPUTED_VALUE"""),"Malena + Nebus.")</f>
        <v>Malena + Nebus.</v>
      </c>
      <c r="F271" s="3" t="str">
        <f>IFERROR(__xludf.DUMMYFUNCTION("""COMPUTED_VALUE"""),"loss")</f>
        <v>loss</v>
      </c>
      <c r="G271" s="3" t="str">
        <f>IFERROR(__xludf.DUMMYFUNCTION("""COMPUTED_VALUE"""),"2v2")</f>
        <v>2v2</v>
      </c>
      <c r="H271" s="3" t="str">
        <f>IFERROR(__xludf.DUMMYFUNCTION("IFERROR(TRIM(INDEX(SPLIT(E271,"" + ""),1)),"""")"),"Malena")</f>
        <v>Malena</v>
      </c>
      <c r="I271" s="3" t="str">
        <f>IFERROR(__xludf.DUMMYFUNCTION("IFERROR(TRIM(INDEX(SPLIT(E271,"" + ""),2)),"""")"),"Nebus.")</f>
        <v>Nebus.</v>
      </c>
      <c r="J271" s="5" t="str">
        <f>IFERROR(__xludf.DUMMYFUNCTION("IFERROR(TRIM(INDEX(SPLIT(E271,"" + ""),3)),"""")"),"")</f>
        <v/>
      </c>
      <c r="K271" s="3">
        <f>IFERROR(__xludf.DUMMYFUNCTION("IFERROR(IF(H271="""",0,INDEX(FILTER($Q$2:Q270,$C$2:C270=H271,$G$2:G270=G271),ROWS(FILTER($Q$2:Q270,$C$2:C270=H271,$G$2:G270=G271)),1)),1500)"),1586.0)</f>
        <v>1586</v>
      </c>
      <c r="L271" s="3">
        <f>IFERROR(__xludf.DUMMYFUNCTION("IFERROR(IF(I271="""",0,INDEX(FILTER($Q$2:Q270,$C$2:C270=I271,$G$2:G270=G271),ROWS(FILTER($Q$2:Q270,$C$2:C270=I271,$G$2:G270=G271)),1)),1500)"),1569.0)</f>
        <v>1569</v>
      </c>
      <c r="M271" s="3">
        <f>IFERROR(__xludf.DUMMYFUNCTION("IFERROR(IF(J271="""",0,INDEX(FILTER($Q$2:Q270,$C$2:C270=J271,$G$2:G270=G271),ROWS(FILTER($Q$2:Q270,$C$2:C270=J271,$G$2:G270=G271)),1)),1500)"),0.0)</f>
        <v>0</v>
      </c>
      <c r="N271" s="3">
        <f>IFERROR(__xludf.DUMMYFUNCTION("IFERROR(INDEX(FILTER($Q$2:Q270,$C$2:C270=C271,$G$2:G270=G271),ROWS(FILTER($Q$2:Q270,$C$2:C270=C271,$G$2:G270=G271)),1),1500)"),1398.0)</f>
        <v>1398</v>
      </c>
      <c r="O271" s="3">
        <f t="shared" si="3"/>
        <v>1577.5</v>
      </c>
      <c r="P271" s="9">
        <f t="shared" si="1"/>
        <v>-8</v>
      </c>
      <c r="Q271" s="5">
        <f t="shared" si="2"/>
        <v>1390</v>
      </c>
    </row>
    <row r="272">
      <c r="A272" s="3" t="str">
        <f>IFERROR(__xludf.DUMMYFUNCTION("""COMPUTED_VALUE"""),"1OCEB3ErFsPgV3DhbKXjRRnOFFvecHNyv")</f>
        <v>1OCEB3ErFsPgV3DhbKXjRRnOFFvecHNyv</v>
      </c>
      <c r="B272" s="13">
        <f>IFERROR(__xludf.DUMMYFUNCTION("""COMPUTED_VALUE"""),45976.0)</f>
        <v>45976</v>
      </c>
      <c r="C272" s="3" t="str">
        <f>IFERROR(__xludf.DUMMYFUNCTION("""COMPUTED_VALUE"""),"Malena")</f>
        <v>Malena</v>
      </c>
      <c r="D272" s="3" t="str">
        <f>IFERROR(__xludf.DUMMYFUNCTION("""COMPUTED_VALUE"""),"Malena + Nebus.")</f>
        <v>Malena + Nebus.</v>
      </c>
      <c r="E272" s="3" t="str">
        <f>IFERROR(__xludf.DUMMYFUNCTION("""COMPUTED_VALUE"""),"Tess1509 + ZeroO")</f>
        <v>Tess1509 + ZeroO</v>
      </c>
      <c r="F272" s="3" t="str">
        <f>IFERROR(__xludf.DUMMYFUNCTION("""COMPUTED_VALUE"""),"loss")</f>
        <v>loss</v>
      </c>
      <c r="G272" s="3" t="str">
        <f>IFERROR(__xludf.DUMMYFUNCTION("""COMPUTED_VALUE"""),"2v2")</f>
        <v>2v2</v>
      </c>
      <c r="H272" s="3" t="str">
        <f>IFERROR(__xludf.DUMMYFUNCTION("IFERROR(TRIM(INDEX(SPLIT(E272,"" + ""),1)),"""")"),"Tess1509")</f>
        <v>Tess1509</v>
      </c>
      <c r="I272" s="3" t="str">
        <f>IFERROR(__xludf.DUMMYFUNCTION("IFERROR(TRIM(INDEX(SPLIT(E272,"" + ""),2)),"""")"),"ZeroO")</f>
        <v>ZeroO</v>
      </c>
      <c r="J272" s="5" t="str">
        <f>IFERROR(__xludf.DUMMYFUNCTION("IFERROR(TRIM(INDEX(SPLIT(E272,"" + ""),3)),"""")"),"")</f>
        <v/>
      </c>
      <c r="K272" s="3">
        <f>IFERROR(__xludf.DUMMYFUNCTION("IFERROR(IF(H272="""",0,INDEX(FILTER($Q$2:Q271,$C$2:C271=H272,$G$2:G271=G272),ROWS(FILTER($Q$2:Q271,$C$2:C271=H272,$G$2:G271=G272)),1)),1500)"),1390.0)</f>
        <v>1390</v>
      </c>
      <c r="L272" s="3">
        <f>IFERROR(__xludf.DUMMYFUNCTION("IFERROR(IF(I272="""",0,INDEX(FILTER($Q$2:Q271,$C$2:C271=I272,$G$2:G271=G272),ROWS(FILTER($Q$2:Q271,$C$2:C271=I272,$G$2:G271=G272)),1)),1500)"),1510.0)</f>
        <v>1510</v>
      </c>
      <c r="M272" s="3">
        <f>IFERROR(__xludf.DUMMYFUNCTION("IFERROR(IF(J272="""",0,INDEX(FILTER($Q$2:Q271,$C$2:C271=J272,$G$2:G271=G272),ROWS(FILTER($Q$2:Q271,$C$2:C271=J272,$G$2:G271=G272)),1)),1500)"),0.0)</f>
        <v>0</v>
      </c>
      <c r="N272" s="3">
        <f>IFERROR(__xludf.DUMMYFUNCTION("IFERROR(INDEX(FILTER($Q$2:Q271,$C$2:C271=C272,$G$2:G271=G272),ROWS(FILTER($Q$2:Q271,$C$2:C271=C272,$G$2:G271=G272)),1),1500)"),1586.0)</f>
        <v>1586</v>
      </c>
      <c r="O272" s="3">
        <f t="shared" si="3"/>
        <v>1450</v>
      </c>
      <c r="P272" s="9">
        <f t="shared" si="1"/>
        <v>-22</v>
      </c>
      <c r="Q272" s="5">
        <f t="shared" si="2"/>
        <v>1564</v>
      </c>
    </row>
    <row r="273">
      <c r="A273" s="3" t="str">
        <f>IFERROR(__xludf.DUMMYFUNCTION("""COMPUTED_VALUE"""),"1OCEB3ErFsPgV3DhbKXjRRnOFFvecHNyv")</f>
        <v>1OCEB3ErFsPgV3DhbKXjRRnOFFvecHNyv</v>
      </c>
      <c r="B273" s="13">
        <f>IFERROR(__xludf.DUMMYFUNCTION("""COMPUTED_VALUE"""),45976.0)</f>
        <v>45976</v>
      </c>
      <c r="C273" s="3" t="str">
        <f>IFERROR(__xludf.DUMMYFUNCTION("""COMPUTED_VALUE"""),"Nebus.")</f>
        <v>Nebus.</v>
      </c>
      <c r="D273" s="3" t="str">
        <f>IFERROR(__xludf.DUMMYFUNCTION("""COMPUTED_VALUE"""),"Malena + Nebus.")</f>
        <v>Malena + Nebus.</v>
      </c>
      <c r="E273" s="3" t="str">
        <f>IFERROR(__xludf.DUMMYFUNCTION("""COMPUTED_VALUE"""),"Tess1509 + ZeroO")</f>
        <v>Tess1509 + ZeroO</v>
      </c>
      <c r="F273" s="3" t="str">
        <f>IFERROR(__xludf.DUMMYFUNCTION("""COMPUTED_VALUE"""),"loss")</f>
        <v>loss</v>
      </c>
      <c r="G273" s="3" t="str">
        <f>IFERROR(__xludf.DUMMYFUNCTION("""COMPUTED_VALUE"""),"2v2")</f>
        <v>2v2</v>
      </c>
      <c r="H273" s="3" t="str">
        <f>IFERROR(__xludf.DUMMYFUNCTION("IFERROR(TRIM(INDEX(SPLIT(E273,"" + ""),1)),"""")"),"Tess1509")</f>
        <v>Tess1509</v>
      </c>
      <c r="I273" s="3" t="str">
        <f>IFERROR(__xludf.DUMMYFUNCTION("IFERROR(TRIM(INDEX(SPLIT(E273,"" + ""),2)),"""")"),"ZeroO")</f>
        <v>ZeroO</v>
      </c>
      <c r="J273" s="5" t="str">
        <f>IFERROR(__xludf.DUMMYFUNCTION("IFERROR(TRIM(INDEX(SPLIT(E273,"" + ""),3)),"""")"),"")</f>
        <v/>
      </c>
      <c r="K273" s="3">
        <f>IFERROR(__xludf.DUMMYFUNCTION("IFERROR(IF(H273="""",0,INDEX(FILTER($Q$2:Q272,$C$2:C272=H273,$G$2:G272=G273),ROWS(FILTER($Q$2:Q272,$C$2:C272=H273,$G$2:G272=G273)),1)),1500)"),1390.0)</f>
        <v>1390</v>
      </c>
      <c r="L273" s="3">
        <f>IFERROR(__xludf.DUMMYFUNCTION("IFERROR(IF(I273="""",0,INDEX(FILTER($Q$2:Q272,$C$2:C272=I273,$G$2:G272=G273),ROWS(FILTER($Q$2:Q272,$C$2:C272=I273,$G$2:G272=G273)),1)),1500)"),1510.0)</f>
        <v>1510</v>
      </c>
      <c r="M273" s="3">
        <f>IFERROR(__xludf.DUMMYFUNCTION("IFERROR(IF(J273="""",0,INDEX(FILTER($Q$2:Q272,$C$2:C272=J273,$G$2:G272=G273),ROWS(FILTER($Q$2:Q272,$C$2:C272=J273,$G$2:G272=G273)),1)),1500)"),0.0)</f>
        <v>0</v>
      </c>
      <c r="N273" s="3">
        <f>IFERROR(__xludf.DUMMYFUNCTION("IFERROR(INDEX(FILTER($Q$2:Q272,$C$2:C272=C273,$G$2:G272=G273),ROWS(FILTER($Q$2:Q272,$C$2:C272=C273,$G$2:G272=G273)),1),1500)"),1569.0)</f>
        <v>1569</v>
      </c>
      <c r="O273" s="3">
        <f t="shared" si="3"/>
        <v>1450</v>
      </c>
      <c r="P273" s="9">
        <f t="shared" si="1"/>
        <v>-21</v>
      </c>
      <c r="Q273" s="5">
        <f t="shared" si="2"/>
        <v>1548</v>
      </c>
    </row>
    <row r="274">
      <c r="A274" s="3" t="str">
        <f>IFERROR(__xludf.DUMMYFUNCTION("""COMPUTED_VALUE"""),"1OCEB3ErFsPgV3DhbKXjRRnOFFvecHNyv")</f>
        <v>1OCEB3ErFsPgV3DhbKXjRRnOFFvecHNyv</v>
      </c>
      <c r="B274" s="13">
        <f>IFERROR(__xludf.DUMMYFUNCTION("""COMPUTED_VALUE"""),45976.0)</f>
        <v>45976</v>
      </c>
      <c r="C274" s="3" t="str">
        <f>IFERROR(__xludf.DUMMYFUNCTION("""COMPUTED_VALUE"""),"ZeroO")</f>
        <v>ZeroO</v>
      </c>
      <c r="D274" s="3" t="str">
        <f>IFERROR(__xludf.DUMMYFUNCTION("""COMPUTED_VALUE"""),"Tess1509 + ZeroO")</f>
        <v>Tess1509 + ZeroO</v>
      </c>
      <c r="E274" s="3" t="str">
        <f>IFERROR(__xludf.DUMMYFUNCTION("""COMPUTED_VALUE"""),"Malena + Nebus.")</f>
        <v>Malena + Nebus.</v>
      </c>
      <c r="F274" s="3" t="str">
        <f>IFERROR(__xludf.DUMMYFUNCTION("""COMPUTED_VALUE"""),"win")</f>
        <v>win</v>
      </c>
      <c r="G274" s="3" t="str">
        <f>IFERROR(__xludf.DUMMYFUNCTION("""COMPUTED_VALUE"""),"2v2")</f>
        <v>2v2</v>
      </c>
      <c r="H274" s="3" t="str">
        <f>IFERROR(__xludf.DUMMYFUNCTION("IFERROR(TRIM(INDEX(SPLIT(E274,"" + ""),1)),"""")"),"Malena")</f>
        <v>Malena</v>
      </c>
      <c r="I274" s="3" t="str">
        <f>IFERROR(__xludf.DUMMYFUNCTION("IFERROR(TRIM(INDEX(SPLIT(E274,"" + ""),2)),"""")"),"Nebus.")</f>
        <v>Nebus.</v>
      </c>
      <c r="J274" s="5" t="str">
        <f>IFERROR(__xludf.DUMMYFUNCTION("IFERROR(TRIM(INDEX(SPLIT(E274,"" + ""),3)),"""")"),"")</f>
        <v/>
      </c>
      <c r="K274" s="3">
        <f>IFERROR(__xludf.DUMMYFUNCTION("IFERROR(IF(H274="""",0,INDEX(FILTER($Q$2:Q273,$C$2:C273=H274,$G$2:G273=G274),ROWS(FILTER($Q$2:Q273,$C$2:C273=H274,$G$2:G273=G274)),1)),1500)"),1564.0)</f>
        <v>1564</v>
      </c>
      <c r="L274" s="3">
        <f>IFERROR(__xludf.DUMMYFUNCTION("IFERROR(IF(I274="""",0,INDEX(FILTER($Q$2:Q273,$C$2:C273=I274,$G$2:G273=G274),ROWS(FILTER($Q$2:Q273,$C$2:C273=I274,$G$2:G273=G274)),1)),1500)"),1548.0)</f>
        <v>1548</v>
      </c>
      <c r="M274" s="3">
        <f>IFERROR(__xludf.DUMMYFUNCTION("IFERROR(IF(J274="""",0,INDEX(FILTER($Q$2:Q273,$C$2:C273=J274,$G$2:G273=G274),ROWS(FILTER($Q$2:Q273,$C$2:C273=J274,$G$2:G273=G274)),1)),1500)"),0.0)</f>
        <v>0</v>
      </c>
      <c r="N274" s="3">
        <f>IFERROR(__xludf.DUMMYFUNCTION("IFERROR(INDEX(FILTER($Q$2:Q273,$C$2:C273=C274,$G$2:G273=G274),ROWS(FILTER($Q$2:Q273,$C$2:C273=C274,$G$2:G273=G274)),1),1500)"),1510.0)</f>
        <v>1510</v>
      </c>
      <c r="O274" s="3">
        <f t="shared" si="3"/>
        <v>1556</v>
      </c>
      <c r="P274" s="9">
        <f t="shared" si="1"/>
        <v>18</v>
      </c>
      <c r="Q274" s="5">
        <f t="shared" si="2"/>
        <v>1528</v>
      </c>
    </row>
    <row r="275">
      <c r="A275" s="3" t="str">
        <f>IFERROR(__xludf.DUMMYFUNCTION("""COMPUTED_VALUE"""),"1OCEB3ErFsPgV3DhbKXjRRnOFFvecHNyv")</f>
        <v>1OCEB3ErFsPgV3DhbKXjRRnOFFvecHNyv</v>
      </c>
      <c r="B275" s="13">
        <f>IFERROR(__xludf.DUMMYFUNCTION("""COMPUTED_VALUE"""),45976.0)</f>
        <v>45976</v>
      </c>
      <c r="C275" s="3" t="str">
        <f>IFERROR(__xludf.DUMMYFUNCTION("""COMPUTED_VALUE"""),"Tess1509")</f>
        <v>Tess1509</v>
      </c>
      <c r="D275" s="3" t="str">
        <f>IFERROR(__xludf.DUMMYFUNCTION("""COMPUTED_VALUE"""),"Tess1509 + ZeroO")</f>
        <v>Tess1509 + ZeroO</v>
      </c>
      <c r="E275" s="3" t="str">
        <f>IFERROR(__xludf.DUMMYFUNCTION("""COMPUTED_VALUE"""),"Malena + Nebus.")</f>
        <v>Malena + Nebus.</v>
      </c>
      <c r="F275" s="3" t="str">
        <f>IFERROR(__xludf.DUMMYFUNCTION("""COMPUTED_VALUE"""),"win")</f>
        <v>win</v>
      </c>
      <c r="G275" s="3" t="str">
        <f>IFERROR(__xludf.DUMMYFUNCTION("""COMPUTED_VALUE"""),"2v2")</f>
        <v>2v2</v>
      </c>
      <c r="H275" s="3" t="str">
        <f>IFERROR(__xludf.DUMMYFUNCTION("IFERROR(TRIM(INDEX(SPLIT(E275,"" + ""),1)),"""")"),"Malena")</f>
        <v>Malena</v>
      </c>
      <c r="I275" s="3" t="str">
        <f>IFERROR(__xludf.DUMMYFUNCTION("IFERROR(TRIM(INDEX(SPLIT(E275,"" + ""),2)),"""")"),"Nebus.")</f>
        <v>Nebus.</v>
      </c>
      <c r="J275" s="5" t="str">
        <f>IFERROR(__xludf.DUMMYFUNCTION("IFERROR(TRIM(INDEX(SPLIT(E275,"" + ""),3)),"""")"),"")</f>
        <v/>
      </c>
      <c r="K275" s="3">
        <f>IFERROR(__xludf.DUMMYFUNCTION("IFERROR(IF(H275="""",0,INDEX(FILTER($Q$2:Q274,$C$2:C274=H275,$G$2:G274=G275),ROWS(FILTER($Q$2:Q274,$C$2:C274=H275,$G$2:G274=G275)),1)),1500)"),1564.0)</f>
        <v>1564</v>
      </c>
      <c r="L275" s="3">
        <f>IFERROR(__xludf.DUMMYFUNCTION("IFERROR(IF(I275="""",0,INDEX(FILTER($Q$2:Q274,$C$2:C274=I275,$G$2:G274=G275),ROWS(FILTER($Q$2:Q274,$C$2:C274=I275,$G$2:G274=G275)),1)),1500)"),1548.0)</f>
        <v>1548</v>
      </c>
      <c r="M275" s="3">
        <f>IFERROR(__xludf.DUMMYFUNCTION("IFERROR(IF(J275="""",0,INDEX(FILTER($Q$2:Q274,$C$2:C274=J275,$G$2:G274=G275),ROWS(FILTER($Q$2:Q274,$C$2:C274=J275,$G$2:G274=G275)),1)),1500)"),0.0)</f>
        <v>0</v>
      </c>
      <c r="N275" s="3">
        <f>IFERROR(__xludf.DUMMYFUNCTION("IFERROR(INDEX(FILTER($Q$2:Q274,$C$2:C274=C275,$G$2:G274=G275),ROWS(FILTER($Q$2:Q274,$C$2:C274=C275,$G$2:G274=G275)),1),1500)"),1390.0)</f>
        <v>1390</v>
      </c>
      <c r="O275" s="3">
        <f t="shared" si="3"/>
        <v>1556</v>
      </c>
      <c r="P275" s="9">
        <f t="shared" si="1"/>
        <v>23</v>
      </c>
      <c r="Q275" s="5">
        <f t="shared" si="2"/>
        <v>1413</v>
      </c>
    </row>
    <row r="276">
      <c r="A276" s="3" t="str">
        <f>IFERROR(__xludf.DUMMYFUNCTION("""COMPUTED_VALUE"""),"1Ml5ww_3jeX1_RNJuVG5DleYGwmr6osgT")</f>
        <v>1Ml5ww_3jeX1_RNJuVG5DleYGwmr6osgT</v>
      </c>
      <c r="B276" s="13">
        <f>IFERROR(__xludf.DUMMYFUNCTION("""COMPUTED_VALUE"""),45976.0)</f>
        <v>45976</v>
      </c>
      <c r="C276" s="3" t="str">
        <f>IFERROR(__xludf.DUMMYFUNCTION("""COMPUTED_VALUE"""),"Malena")</f>
        <v>Malena</v>
      </c>
      <c r="D276" s="3" t="str">
        <f>IFERROR(__xludf.DUMMYFUNCTION("""COMPUTED_VALUE"""),"Malena + Nebus.")</f>
        <v>Malena + Nebus.</v>
      </c>
      <c r="E276" s="3" t="str">
        <f>IFERROR(__xludf.DUMMYFUNCTION("""COMPUTED_VALUE"""),"Tess1509 + ZeroO")</f>
        <v>Tess1509 + ZeroO</v>
      </c>
      <c r="F276" s="3" t="str">
        <f>IFERROR(__xludf.DUMMYFUNCTION("""COMPUTED_VALUE"""),"win")</f>
        <v>win</v>
      </c>
      <c r="G276" s="3" t="str">
        <f>IFERROR(__xludf.DUMMYFUNCTION("""COMPUTED_VALUE"""),"2v2")</f>
        <v>2v2</v>
      </c>
      <c r="H276" s="3" t="str">
        <f>IFERROR(__xludf.DUMMYFUNCTION("IFERROR(TRIM(INDEX(SPLIT(E276,"" + ""),1)),"""")"),"Tess1509")</f>
        <v>Tess1509</v>
      </c>
      <c r="I276" s="3" t="str">
        <f>IFERROR(__xludf.DUMMYFUNCTION("IFERROR(TRIM(INDEX(SPLIT(E276,"" + ""),2)),"""")"),"ZeroO")</f>
        <v>ZeroO</v>
      </c>
      <c r="J276" s="5" t="str">
        <f>IFERROR(__xludf.DUMMYFUNCTION("IFERROR(TRIM(INDEX(SPLIT(E276,"" + ""),3)),"""")"),"")</f>
        <v/>
      </c>
      <c r="K276" s="3">
        <f>IFERROR(__xludf.DUMMYFUNCTION("IFERROR(IF(H276="""",0,INDEX(FILTER($Q$2:Q275,$C$2:C275=H276,$G$2:G275=G276),ROWS(FILTER($Q$2:Q275,$C$2:C275=H276,$G$2:G275=G276)),1)),1500)"),1413.0)</f>
        <v>1413</v>
      </c>
      <c r="L276" s="3">
        <f>IFERROR(__xludf.DUMMYFUNCTION("IFERROR(IF(I276="""",0,INDEX(FILTER($Q$2:Q275,$C$2:C275=I276,$G$2:G275=G276),ROWS(FILTER($Q$2:Q275,$C$2:C275=I276,$G$2:G275=G276)),1)),1500)"),1528.0)</f>
        <v>1528</v>
      </c>
      <c r="M276" s="3">
        <f>IFERROR(__xludf.DUMMYFUNCTION("IFERROR(IF(J276="""",0,INDEX(FILTER($Q$2:Q275,$C$2:C275=J276,$G$2:G275=G276),ROWS(FILTER($Q$2:Q275,$C$2:C275=J276,$G$2:G275=G276)),1)),1500)"),0.0)</f>
        <v>0</v>
      </c>
      <c r="N276" s="3">
        <f>IFERROR(__xludf.DUMMYFUNCTION("IFERROR(INDEX(FILTER($Q$2:Q275,$C$2:C275=C276,$G$2:G275=G276),ROWS(FILTER($Q$2:Q275,$C$2:C275=C276,$G$2:G275=G276)),1),1500)"),1564.0)</f>
        <v>1564</v>
      </c>
      <c r="O276" s="3">
        <f t="shared" si="3"/>
        <v>1470.5</v>
      </c>
      <c r="P276" s="9">
        <f t="shared" si="1"/>
        <v>12</v>
      </c>
      <c r="Q276" s="5">
        <f t="shared" si="2"/>
        <v>1576</v>
      </c>
    </row>
    <row r="277">
      <c r="A277" s="3" t="str">
        <f>IFERROR(__xludf.DUMMYFUNCTION("""COMPUTED_VALUE"""),"1Ml5ww_3jeX1_RNJuVG5DleYGwmr6osgT")</f>
        <v>1Ml5ww_3jeX1_RNJuVG5DleYGwmr6osgT</v>
      </c>
      <c r="B277" s="13">
        <f>IFERROR(__xludf.DUMMYFUNCTION("""COMPUTED_VALUE"""),45976.0)</f>
        <v>45976</v>
      </c>
      <c r="C277" s="3" t="str">
        <f>IFERROR(__xludf.DUMMYFUNCTION("""COMPUTED_VALUE"""),"Nebus.")</f>
        <v>Nebus.</v>
      </c>
      <c r="D277" s="3" t="str">
        <f>IFERROR(__xludf.DUMMYFUNCTION("""COMPUTED_VALUE"""),"Malena + Nebus.")</f>
        <v>Malena + Nebus.</v>
      </c>
      <c r="E277" s="3" t="str">
        <f>IFERROR(__xludf.DUMMYFUNCTION("""COMPUTED_VALUE"""),"Tess1509 + ZeroO")</f>
        <v>Tess1509 + ZeroO</v>
      </c>
      <c r="F277" s="3" t="str">
        <f>IFERROR(__xludf.DUMMYFUNCTION("""COMPUTED_VALUE"""),"win")</f>
        <v>win</v>
      </c>
      <c r="G277" s="3" t="str">
        <f>IFERROR(__xludf.DUMMYFUNCTION("""COMPUTED_VALUE"""),"2v2")</f>
        <v>2v2</v>
      </c>
      <c r="H277" s="3" t="str">
        <f>IFERROR(__xludf.DUMMYFUNCTION("IFERROR(TRIM(INDEX(SPLIT(E277,"" + ""),1)),"""")"),"Tess1509")</f>
        <v>Tess1509</v>
      </c>
      <c r="I277" s="3" t="str">
        <f>IFERROR(__xludf.DUMMYFUNCTION("IFERROR(TRIM(INDEX(SPLIT(E277,"" + ""),2)),"""")"),"ZeroO")</f>
        <v>ZeroO</v>
      </c>
      <c r="J277" s="5" t="str">
        <f>IFERROR(__xludf.DUMMYFUNCTION("IFERROR(TRIM(INDEX(SPLIT(E277,"" + ""),3)),"""")"),"")</f>
        <v/>
      </c>
      <c r="K277" s="3">
        <f>IFERROR(__xludf.DUMMYFUNCTION("IFERROR(IF(H277="""",0,INDEX(FILTER($Q$2:Q276,$C$2:C276=H277,$G$2:G276=G277),ROWS(FILTER($Q$2:Q276,$C$2:C276=H277,$G$2:G276=G277)),1)),1500)"),1413.0)</f>
        <v>1413</v>
      </c>
      <c r="L277" s="3">
        <f>IFERROR(__xludf.DUMMYFUNCTION("IFERROR(IF(I277="""",0,INDEX(FILTER($Q$2:Q276,$C$2:C276=I277,$G$2:G276=G277),ROWS(FILTER($Q$2:Q276,$C$2:C276=I277,$G$2:G276=G277)),1)),1500)"),1528.0)</f>
        <v>1528</v>
      </c>
      <c r="M277" s="3">
        <f>IFERROR(__xludf.DUMMYFUNCTION("IFERROR(IF(J277="""",0,INDEX(FILTER($Q$2:Q276,$C$2:C276=J277,$G$2:G276=G277),ROWS(FILTER($Q$2:Q276,$C$2:C276=J277,$G$2:G276=G277)),1)),1500)"),0.0)</f>
        <v>0</v>
      </c>
      <c r="N277" s="3">
        <f>IFERROR(__xludf.DUMMYFUNCTION("IFERROR(INDEX(FILTER($Q$2:Q276,$C$2:C276=C277,$G$2:G276=G277),ROWS(FILTER($Q$2:Q276,$C$2:C276=C277,$G$2:G276=G277)),1),1500)"),1548.0)</f>
        <v>1548</v>
      </c>
      <c r="O277" s="3">
        <f t="shared" si="3"/>
        <v>1470.5</v>
      </c>
      <c r="P277" s="9">
        <f t="shared" si="1"/>
        <v>12</v>
      </c>
      <c r="Q277" s="5">
        <f t="shared" si="2"/>
        <v>1560</v>
      </c>
    </row>
    <row r="278">
      <c r="A278" s="3" t="str">
        <f>IFERROR(__xludf.DUMMYFUNCTION("""COMPUTED_VALUE"""),"1Ml5ww_3jeX1_RNJuVG5DleYGwmr6osgT")</f>
        <v>1Ml5ww_3jeX1_RNJuVG5DleYGwmr6osgT</v>
      </c>
      <c r="B278" s="13">
        <f>IFERROR(__xludf.DUMMYFUNCTION("""COMPUTED_VALUE"""),45976.0)</f>
        <v>45976</v>
      </c>
      <c r="C278" s="3" t="str">
        <f>IFERROR(__xludf.DUMMYFUNCTION("""COMPUTED_VALUE"""),"ZeroO")</f>
        <v>ZeroO</v>
      </c>
      <c r="D278" s="3" t="str">
        <f>IFERROR(__xludf.DUMMYFUNCTION("""COMPUTED_VALUE"""),"Tess1509 + ZeroO")</f>
        <v>Tess1509 + ZeroO</v>
      </c>
      <c r="E278" s="3" t="str">
        <f>IFERROR(__xludf.DUMMYFUNCTION("""COMPUTED_VALUE"""),"Malena + Nebus.")</f>
        <v>Malena + Nebus.</v>
      </c>
      <c r="F278" s="3" t="str">
        <f>IFERROR(__xludf.DUMMYFUNCTION("""COMPUTED_VALUE"""),"loss")</f>
        <v>loss</v>
      </c>
      <c r="G278" s="3" t="str">
        <f>IFERROR(__xludf.DUMMYFUNCTION("""COMPUTED_VALUE"""),"2v2")</f>
        <v>2v2</v>
      </c>
      <c r="H278" s="3" t="str">
        <f>IFERROR(__xludf.DUMMYFUNCTION("IFERROR(TRIM(INDEX(SPLIT(E278,"" + ""),1)),"""")"),"Malena")</f>
        <v>Malena</v>
      </c>
      <c r="I278" s="3" t="str">
        <f>IFERROR(__xludf.DUMMYFUNCTION("IFERROR(TRIM(INDEX(SPLIT(E278,"" + ""),2)),"""")"),"Nebus.")</f>
        <v>Nebus.</v>
      </c>
      <c r="J278" s="5" t="str">
        <f>IFERROR(__xludf.DUMMYFUNCTION("IFERROR(TRIM(INDEX(SPLIT(E278,"" + ""),3)),"""")"),"")</f>
        <v/>
      </c>
      <c r="K278" s="3">
        <f>IFERROR(__xludf.DUMMYFUNCTION("IFERROR(IF(H278="""",0,INDEX(FILTER($Q$2:Q277,$C$2:C277=H278,$G$2:G277=G278),ROWS(FILTER($Q$2:Q277,$C$2:C277=H278,$G$2:G277=G278)),1)),1500)"),1576.0)</f>
        <v>1576</v>
      </c>
      <c r="L278" s="3">
        <f>IFERROR(__xludf.DUMMYFUNCTION("IFERROR(IF(I278="""",0,INDEX(FILTER($Q$2:Q277,$C$2:C277=I278,$G$2:G277=G278),ROWS(FILTER($Q$2:Q277,$C$2:C277=I278,$G$2:G277=G278)),1)),1500)"),1560.0)</f>
        <v>1560</v>
      </c>
      <c r="M278" s="3">
        <f>IFERROR(__xludf.DUMMYFUNCTION("IFERROR(IF(J278="""",0,INDEX(FILTER($Q$2:Q277,$C$2:C277=J278,$G$2:G277=G278),ROWS(FILTER($Q$2:Q277,$C$2:C277=J278,$G$2:G277=G278)),1)),1500)"),0.0)</f>
        <v>0</v>
      </c>
      <c r="N278" s="3">
        <f>IFERROR(__xludf.DUMMYFUNCTION("IFERROR(INDEX(FILTER($Q$2:Q277,$C$2:C277=C278,$G$2:G277=G278),ROWS(FILTER($Q$2:Q277,$C$2:C277=C278,$G$2:G277=G278)),1),1500)"),1528.0)</f>
        <v>1528</v>
      </c>
      <c r="O278" s="3">
        <f t="shared" si="3"/>
        <v>1568</v>
      </c>
      <c r="P278" s="9">
        <f t="shared" si="1"/>
        <v>-14</v>
      </c>
      <c r="Q278" s="5">
        <f t="shared" si="2"/>
        <v>1514</v>
      </c>
    </row>
    <row r="279">
      <c r="A279" s="3" t="str">
        <f>IFERROR(__xludf.DUMMYFUNCTION("""COMPUTED_VALUE"""),"1Ml5ww_3jeX1_RNJuVG5DleYGwmr6osgT")</f>
        <v>1Ml5ww_3jeX1_RNJuVG5DleYGwmr6osgT</v>
      </c>
      <c r="B279" s="13">
        <f>IFERROR(__xludf.DUMMYFUNCTION("""COMPUTED_VALUE"""),45976.0)</f>
        <v>45976</v>
      </c>
      <c r="C279" s="3" t="str">
        <f>IFERROR(__xludf.DUMMYFUNCTION("""COMPUTED_VALUE"""),"Tess1509")</f>
        <v>Tess1509</v>
      </c>
      <c r="D279" s="3" t="str">
        <f>IFERROR(__xludf.DUMMYFUNCTION("""COMPUTED_VALUE"""),"Tess1509 + ZeroO")</f>
        <v>Tess1509 + ZeroO</v>
      </c>
      <c r="E279" s="3" t="str">
        <f>IFERROR(__xludf.DUMMYFUNCTION("""COMPUTED_VALUE"""),"Malena + Nebus.")</f>
        <v>Malena + Nebus.</v>
      </c>
      <c r="F279" s="3" t="str">
        <f>IFERROR(__xludf.DUMMYFUNCTION("""COMPUTED_VALUE"""),"loss")</f>
        <v>loss</v>
      </c>
      <c r="G279" s="3" t="str">
        <f>IFERROR(__xludf.DUMMYFUNCTION("""COMPUTED_VALUE"""),"2v2")</f>
        <v>2v2</v>
      </c>
      <c r="H279" s="3" t="str">
        <f>IFERROR(__xludf.DUMMYFUNCTION("IFERROR(TRIM(INDEX(SPLIT(E279,"" + ""),1)),"""")"),"Malena")</f>
        <v>Malena</v>
      </c>
      <c r="I279" s="3" t="str">
        <f>IFERROR(__xludf.DUMMYFUNCTION("IFERROR(TRIM(INDEX(SPLIT(E279,"" + ""),2)),"""")"),"Nebus.")</f>
        <v>Nebus.</v>
      </c>
      <c r="J279" s="5" t="str">
        <f>IFERROR(__xludf.DUMMYFUNCTION("IFERROR(TRIM(INDEX(SPLIT(E279,"" + ""),3)),"""")"),"")</f>
        <v/>
      </c>
      <c r="K279" s="3">
        <f>IFERROR(__xludf.DUMMYFUNCTION("IFERROR(IF(H279="""",0,INDEX(FILTER($Q$2:Q278,$C$2:C278=H279,$G$2:G278=G279),ROWS(FILTER($Q$2:Q278,$C$2:C278=H279,$G$2:G278=G279)),1)),1500)"),1576.0)</f>
        <v>1576</v>
      </c>
      <c r="L279" s="3">
        <f>IFERROR(__xludf.DUMMYFUNCTION("IFERROR(IF(I279="""",0,INDEX(FILTER($Q$2:Q278,$C$2:C278=I279,$G$2:G278=G279),ROWS(FILTER($Q$2:Q278,$C$2:C278=I279,$G$2:G278=G279)),1)),1500)"),1560.0)</f>
        <v>1560</v>
      </c>
      <c r="M279" s="3">
        <f>IFERROR(__xludf.DUMMYFUNCTION("IFERROR(IF(J279="""",0,INDEX(FILTER($Q$2:Q278,$C$2:C278=J279,$G$2:G278=G279),ROWS(FILTER($Q$2:Q278,$C$2:C278=J279,$G$2:G278=G279)),1)),1500)"),0.0)</f>
        <v>0</v>
      </c>
      <c r="N279" s="3">
        <f>IFERROR(__xludf.DUMMYFUNCTION("IFERROR(INDEX(FILTER($Q$2:Q278,$C$2:C278=C279,$G$2:G278=G279),ROWS(FILTER($Q$2:Q278,$C$2:C278=C279,$G$2:G278=G279)),1),1500)"),1413.0)</f>
        <v>1413</v>
      </c>
      <c r="O279" s="3">
        <f t="shared" si="3"/>
        <v>1568</v>
      </c>
      <c r="P279" s="9">
        <f t="shared" si="1"/>
        <v>-9</v>
      </c>
      <c r="Q279" s="5">
        <f t="shared" si="2"/>
        <v>1404</v>
      </c>
    </row>
    <row r="280">
      <c r="A280" s="3" t="str">
        <f>IFERROR(__xludf.DUMMYFUNCTION("""COMPUTED_VALUE"""),"1tj-96qpFt3PuaIKmcOm4sFYurvI1TiIs")</f>
        <v>1tj-96qpFt3PuaIKmcOm4sFYurvI1TiIs</v>
      </c>
      <c r="B280" s="13">
        <f>IFERROR(__xludf.DUMMYFUNCTION("""COMPUTED_VALUE"""),45976.0)</f>
        <v>45976</v>
      </c>
      <c r="C280" s="3" t="str">
        <f>IFERROR(__xludf.DUMMYFUNCTION("""COMPUTED_VALUE"""),"Tess1509")</f>
        <v>Tess1509</v>
      </c>
      <c r="D280" s="3" t="str">
        <f>IFERROR(__xludf.DUMMYFUNCTION("""COMPUTED_VALUE"""),"Malena + Tess1509")</f>
        <v>Malena + Tess1509</v>
      </c>
      <c r="E280" s="3" t="str">
        <f>IFERROR(__xludf.DUMMYFUNCTION("""COMPUTED_VALUE"""),"Nebus. + ZeroO")</f>
        <v>Nebus. + ZeroO</v>
      </c>
      <c r="F280" s="3" t="str">
        <f>IFERROR(__xludf.DUMMYFUNCTION("""COMPUTED_VALUE"""),"loss")</f>
        <v>loss</v>
      </c>
      <c r="G280" s="3" t="str">
        <f>IFERROR(__xludf.DUMMYFUNCTION("""COMPUTED_VALUE"""),"2v2")</f>
        <v>2v2</v>
      </c>
      <c r="H280" s="3" t="str">
        <f>IFERROR(__xludf.DUMMYFUNCTION("IFERROR(TRIM(INDEX(SPLIT(E280,"" + ""),1)),"""")"),"Nebus.")</f>
        <v>Nebus.</v>
      </c>
      <c r="I280" s="3" t="str">
        <f>IFERROR(__xludf.DUMMYFUNCTION("IFERROR(TRIM(INDEX(SPLIT(E280,"" + ""),2)),"""")"),"ZeroO")</f>
        <v>ZeroO</v>
      </c>
      <c r="J280" s="5" t="str">
        <f>IFERROR(__xludf.DUMMYFUNCTION("IFERROR(TRIM(INDEX(SPLIT(E280,"" + ""),3)),"""")"),"")</f>
        <v/>
      </c>
      <c r="K280" s="3">
        <f>IFERROR(__xludf.DUMMYFUNCTION("IFERROR(IF(H280="""",0,INDEX(FILTER($Q$2:Q279,$C$2:C279=H280,$G$2:G279=G280),ROWS(FILTER($Q$2:Q279,$C$2:C279=H280,$G$2:G279=G280)),1)),1500)"),1560.0)</f>
        <v>1560</v>
      </c>
      <c r="L280" s="3">
        <f>IFERROR(__xludf.DUMMYFUNCTION("IFERROR(IF(I280="""",0,INDEX(FILTER($Q$2:Q279,$C$2:C279=I280,$G$2:G279=G280),ROWS(FILTER($Q$2:Q279,$C$2:C279=I280,$G$2:G279=G280)),1)),1500)"),1514.0)</f>
        <v>1514</v>
      </c>
      <c r="M280" s="3">
        <f>IFERROR(__xludf.DUMMYFUNCTION("IFERROR(IF(J280="""",0,INDEX(FILTER($Q$2:Q279,$C$2:C279=J280,$G$2:G279=G280),ROWS(FILTER($Q$2:Q279,$C$2:C279=J280,$G$2:G279=G280)),1)),1500)"),0.0)</f>
        <v>0</v>
      </c>
      <c r="N280" s="3">
        <f>IFERROR(__xludf.DUMMYFUNCTION("IFERROR(INDEX(FILTER($Q$2:Q279,$C$2:C279=C280,$G$2:G279=G280),ROWS(FILTER($Q$2:Q279,$C$2:C279=C280,$G$2:G279=G280)),1),1500)"),1404.0)</f>
        <v>1404</v>
      </c>
      <c r="O280" s="3">
        <f t="shared" si="3"/>
        <v>1537</v>
      </c>
      <c r="P280" s="9">
        <f t="shared" si="1"/>
        <v>-10</v>
      </c>
      <c r="Q280" s="5">
        <f t="shared" si="2"/>
        <v>1394</v>
      </c>
    </row>
    <row r="281">
      <c r="A281" s="3" t="str">
        <f>IFERROR(__xludf.DUMMYFUNCTION("""COMPUTED_VALUE"""),"1tj-96qpFt3PuaIKmcOm4sFYurvI1TiIs")</f>
        <v>1tj-96qpFt3PuaIKmcOm4sFYurvI1TiIs</v>
      </c>
      <c r="B281" s="13">
        <f>IFERROR(__xludf.DUMMYFUNCTION("""COMPUTED_VALUE"""),45976.0)</f>
        <v>45976</v>
      </c>
      <c r="C281" s="3" t="str">
        <f>IFERROR(__xludf.DUMMYFUNCTION("""COMPUTED_VALUE"""),"Malena")</f>
        <v>Malena</v>
      </c>
      <c r="D281" s="3" t="str">
        <f>IFERROR(__xludf.DUMMYFUNCTION("""COMPUTED_VALUE"""),"Malena + Tess1509")</f>
        <v>Malena + Tess1509</v>
      </c>
      <c r="E281" s="3" t="str">
        <f>IFERROR(__xludf.DUMMYFUNCTION("""COMPUTED_VALUE"""),"Nebus. + ZeroO")</f>
        <v>Nebus. + ZeroO</v>
      </c>
      <c r="F281" s="3" t="str">
        <f>IFERROR(__xludf.DUMMYFUNCTION("""COMPUTED_VALUE"""),"loss")</f>
        <v>loss</v>
      </c>
      <c r="G281" s="3" t="str">
        <f>IFERROR(__xludf.DUMMYFUNCTION("""COMPUTED_VALUE"""),"2v2")</f>
        <v>2v2</v>
      </c>
      <c r="H281" s="3" t="str">
        <f>IFERROR(__xludf.DUMMYFUNCTION("IFERROR(TRIM(INDEX(SPLIT(E281,"" + ""),1)),"""")"),"Nebus.")</f>
        <v>Nebus.</v>
      </c>
      <c r="I281" s="3" t="str">
        <f>IFERROR(__xludf.DUMMYFUNCTION("IFERROR(TRIM(INDEX(SPLIT(E281,"" + ""),2)),"""")"),"ZeroO")</f>
        <v>ZeroO</v>
      </c>
      <c r="J281" s="5" t="str">
        <f>IFERROR(__xludf.DUMMYFUNCTION("IFERROR(TRIM(INDEX(SPLIT(E281,"" + ""),3)),"""")"),"")</f>
        <v/>
      </c>
      <c r="K281" s="3">
        <f>IFERROR(__xludf.DUMMYFUNCTION("IFERROR(IF(H281="""",0,INDEX(FILTER($Q$2:Q280,$C$2:C280=H281,$G$2:G280=G281),ROWS(FILTER($Q$2:Q280,$C$2:C280=H281,$G$2:G280=G281)),1)),1500)"),1560.0)</f>
        <v>1560</v>
      </c>
      <c r="L281" s="3">
        <f>IFERROR(__xludf.DUMMYFUNCTION("IFERROR(IF(I281="""",0,INDEX(FILTER($Q$2:Q280,$C$2:C280=I281,$G$2:G280=G281),ROWS(FILTER($Q$2:Q280,$C$2:C280=I281,$G$2:G280=G281)),1)),1500)"),1514.0)</f>
        <v>1514</v>
      </c>
      <c r="M281" s="3">
        <f>IFERROR(__xludf.DUMMYFUNCTION("IFERROR(IF(J281="""",0,INDEX(FILTER($Q$2:Q280,$C$2:C280=J281,$G$2:G280=G281),ROWS(FILTER($Q$2:Q280,$C$2:C280=J281,$G$2:G280=G281)),1)),1500)"),0.0)</f>
        <v>0</v>
      </c>
      <c r="N281" s="3">
        <f>IFERROR(__xludf.DUMMYFUNCTION("IFERROR(INDEX(FILTER($Q$2:Q280,$C$2:C280=C281,$G$2:G280=G281),ROWS(FILTER($Q$2:Q280,$C$2:C280=C281,$G$2:G280=G281)),1),1500)"),1576.0)</f>
        <v>1576</v>
      </c>
      <c r="O281" s="3">
        <f t="shared" si="3"/>
        <v>1537</v>
      </c>
      <c r="P281" s="9">
        <f t="shared" si="1"/>
        <v>-18</v>
      </c>
      <c r="Q281" s="5">
        <f t="shared" si="2"/>
        <v>1558</v>
      </c>
    </row>
    <row r="282">
      <c r="A282" s="3" t="str">
        <f>IFERROR(__xludf.DUMMYFUNCTION("""COMPUTED_VALUE"""),"1tj-96qpFt3PuaIKmcOm4sFYurvI1TiIs")</f>
        <v>1tj-96qpFt3PuaIKmcOm4sFYurvI1TiIs</v>
      </c>
      <c r="B282" s="13">
        <f>IFERROR(__xludf.DUMMYFUNCTION("""COMPUTED_VALUE"""),45976.0)</f>
        <v>45976</v>
      </c>
      <c r="C282" s="3" t="str">
        <f>IFERROR(__xludf.DUMMYFUNCTION("""COMPUTED_VALUE"""),"ZeroO")</f>
        <v>ZeroO</v>
      </c>
      <c r="D282" s="3" t="str">
        <f>IFERROR(__xludf.DUMMYFUNCTION("""COMPUTED_VALUE"""),"Nebus. + ZeroO")</f>
        <v>Nebus. + ZeroO</v>
      </c>
      <c r="E282" s="3" t="str">
        <f>IFERROR(__xludf.DUMMYFUNCTION("""COMPUTED_VALUE"""),"Malena + Tess1509")</f>
        <v>Malena + Tess1509</v>
      </c>
      <c r="F282" s="3" t="str">
        <f>IFERROR(__xludf.DUMMYFUNCTION("""COMPUTED_VALUE"""),"win")</f>
        <v>win</v>
      </c>
      <c r="G282" s="3" t="str">
        <f>IFERROR(__xludf.DUMMYFUNCTION("""COMPUTED_VALUE"""),"2v2")</f>
        <v>2v2</v>
      </c>
      <c r="H282" s="3" t="str">
        <f>IFERROR(__xludf.DUMMYFUNCTION("IFERROR(TRIM(INDEX(SPLIT(E282,"" + ""),1)),"""")"),"Malena")</f>
        <v>Malena</v>
      </c>
      <c r="I282" s="3" t="str">
        <f>IFERROR(__xludf.DUMMYFUNCTION("IFERROR(TRIM(INDEX(SPLIT(E282,"" + ""),2)),"""")"),"Tess1509")</f>
        <v>Tess1509</v>
      </c>
      <c r="J282" s="5" t="str">
        <f>IFERROR(__xludf.DUMMYFUNCTION("IFERROR(TRIM(INDEX(SPLIT(E282,"" + ""),3)),"""")"),"")</f>
        <v/>
      </c>
      <c r="K282" s="3">
        <f>IFERROR(__xludf.DUMMYFUNCTION("IFERROR(IF(H282="""",0,INDEX(FILTER($Q$2:Q281,$C$2:C281=H282,$G$2:G281=G282),ROWS(FILTER($Q$2:Q281,$C$2:C281=H282,$G$2:G281=G282)),1)),1500)"),1558.0)</f>
        <v>1558</v>
      </c>
      <c r="L282" s="3">
        <f>IFERROR(__xludf.DUMMYFUNCTION("IFERROR(IF(I282="""",0,INDEX(FILTER($Q$2:Q281,$C$2:C281=I282,$G$2:G281=G282),ROWS(FILTER($Q$2:Q281,$C$2:C281=I282,$G$2:G281=G282)),1)),1500)"),1394.0)</f>
        <v>1394</v>
      </c>
      <c r="M282" s="3">
        <f>IFERROR(__xludf.DUMMYFUNCTION("IFERROR(IF(J282="""",0,INDEX(FILTER($Q$2:Q281,$C$2:C281=J282,$G$2:G281=G282),ROWS(FILTER($Q$2:Q281,$C$2:C281=J282,$G$2:G281=G282)),1)),1500)"),0.0)</f>
        <v>0</v>
      </c>
      <c r="N282" s="3">
        <f>IFERROR(__xludf.DUMMYFUNCTION("IFERROR(INDEX(FILTER($Q$2:Q281,$C$2:C281=C282,$G$2:G281=G282),ROWS(FILTER($Q$2:Q281,$C$2:C281=C282,$G$2:G281=G282)),1),1500)"),1514.0)</f>
        <v>1514</v>
      </c>
      <c r="O282" s="3">
        <f t="shared" si="3"/>
        <v>1476</v>
      </c>
      <c r="P282" s="9">
        <f t="shared" si="1"/>
        <v>14</v>
      </c>
      <c r="Q282" s="5">
        <f t="shared" si="2"/>
        <v>1528</v>
      </c>
    </row>
    <row r="283">
      <c r="A283" s="3" t="str">
        <f>IFERROR(__xludf.DUMMYFUNCTION("""COMPUTED_VALUE"""),"1tj-96qpFt3PuaIKmcOm4sFYurvI1TiIs")</f>
        <v>1tj-96qpFt3PuaIKmcOm4sFYurvI1TiIs</v>
      </c>
      <c r="B283" s="13">
        <f>IFERROR(__xludf.DUMMYFUNCTION("""COMPUTED_VALUE"""),45976.0)</f>
        <v>45976</v>
      </c>
      <c r="C283" s="3" t="str">
        <f>IFERROR(__xludf.DUMMYFUNCTION("""COMPUTED_VALUE"""),"Nebus.")</f>
        <v>Nebus.</v>
      </c>
      <c r="D283" s="3" t="str">
        <f>IFERROR(__xludf.DUMMYFUNCTION("""COMPUTED_VALUE"""),"Nebus. + ZeroO")</f>
        <v>Nebus. + ZeroO</v>
      </c>
      <c r="E283" s="3" t="str">
        <f>IFERROR(__xludf.DUMMYFUNCTION("""COMPUTED_VALUE"""),"Malena + Tess1509")</f>
        <v>Malena + Tess1509</v>
      </c>
      <c r="F283" s="3" t="str">
        <f>IFERROR(__xludf.DUMMYFUNCTION("""COMPUTED_VALUE"""),"win")</f>
        <v>win</v>
      </c>
      <c r="G283" s="3" t="str">
        <f>IFERROR(__xludf.DUMMYFUNCTION("""COMPUTED_VALUE"""),"2v2")</f>
        <v>2v2</v>
      </c>
      <c r="H283" s="3" t="str">
        <f>IFERROR(__xludf.DUMMYFUNCTION("IFERROR(TRIM(INDEX(SPLIT(E283,"" + ""),1)),"""")"),"Malena")</f>
        <v>Malena</v>
      </c>
      <c r="I283" s="3" t="str">
        <f>IFERROR(__xludf.DUMMYFUNCTION("IFERROR(TRIM(INDEX(SPLIT(E283,"" + ""),2)),"""")"),"Tess1509")</f>
        <v>Tess1509</v>
      </c>
      <c r="J283" s="5" t="str">
        <f>IFERROR(__xludf.DUMMYFUNCTION("IFERROR(TRIM(INDEX(SPLIT(E283,"" + ""),3)),"""")"),"")</f>
        <v/>
      </c>
      <c r="K283" s="3">
        <f>IFERROR(__xludf.DUMMYFUNCTION("IFERROR(IF(H283="""",0,INDEX(FILTER($Q$2:Q282,$C$2:C282=H283,$G$2:G282=G283),ROWS(FILTER($Q$2:Q282,$C$2:C282=H283,$G$2:G282=G283)),1)),1500)"),1558.0)</f>
        <v>1558</v>
      </c>
      <c r="L283" s="3">
        <f>IFERROR(__xludf.DUMMYFUNCTION("IFERROR(IF(I283="""",0,INDEX(FILTER($Q$2:Q282,$C$2:C282=I283,$G$2:G282=G283),ROWS(FILTER($Q$2:Q282,$C$2:C282=I283,$G$2:G282=G283)),1)),1500)"),1394.0)</f>
        <v>1394</v>
      </c>
      <c r="M283" s="3">
        <f>IFERROR(__xludf.DUMMYFUNCTION("IFERROR(IF(J283="""",0,INDEX(FILTER($Q$2:Q282,$C$2:C282=J283,$G$2:G282=G283),ROWS(FILTER($Q$2:Q282,$C$2:C282=J283,$G$2:G282=G283)),1)),1500)"),0.0)</f>
        <v>0</v>
      </c>
      <c r="N283" s="3">
        <f>IFERROR(__xludf.DUMMYFUNCTION("IFERROR(INDEX(FILTER($Q$2:Q282,$C$2:C282=C283,$G$2:G282=G283),ROWS(FILTER($Q$2:Q282,$C$2:C282=C283,$G$2:G282=G283)),1),1500)"),1560.0)</f>
        <v>1560</v>
      </c>
      <c r="O283" s="3">
        <f t="shared" si="3"/>
        <v>1476</v>
      </c>
      <c r="P283" s="9">
        <f t="shared" si="1"/>
        <v>12</v>
      </c>
      <c r="Q283" s="5">
        <f t="shared" si="2"/>
        <v>1572</v>
      </c>
    </row>
    <row r="284">
      <c r="A284" s="3" t="str">
        <f>IFERROR(__xludf.DUMMYFUNCTION("""COMPUTED_VALUE"""),"1Cq5seXdoycjSHc0CVKD9vrFGbuLlrWyI")</f>
        <v>1Cq5seXdoycjSHc0CVKD9vrFGbuLlrWyI</v>
      </c>
      <c r="B284" s="13">
        <f>IFERROR(__xludf.DUMMYFUNCTION("""COMPUTED_VALUE"""),45976.0)</f>
        <v>45976</v>
      </c>
      <c r="C284" s="3" t="str">
        <f>IFERROR(__xludf.DUMMYFUNCTION("""COMPUTED_VALUE"""),"Malena")</f>
        <v>Malena</v>
      </c>
      <c r="D284" s="3" t="str">
        <f>IFERROR(__xludf.DUMMYFUNCTION("""COMPUTED_VALUE"""),"Malena + Tess1509")</f>
        <v>Malena + Tess1509</v>
      </c>
      <c r="E284" s="3" t="str">
        <f>IFERROR(__xludf.DUMMYFUNCTION("""COMPUTED_VALUE"""),"Nebus. + ZeroO")</f>
        <v>Nebus. + ZeroO</v>
      </c>
      <c r="F284" s="3" t="str">
        <f>IFERROR(__xludf.DUMMYFUNCTION("""COMPUTED_VALUE"""),"loss")</f>
        <v>loss</v>
      </c>
      <c r="G284" s="3" t="str">
        <f>IFERROR(__xludf.DUMMYFUNCTION("""COMPUTED_VALUE"""),"2v2")</f>
        <v>2v2</v>
      </c>
      <c r="H284" s="3" t="str">
        <f>IFERROR(__xludf.DUMMYFUNCTION("IFERROR(TRIM(INDEX(SPLIT(E284,"" + ""),1)),"""")"),"Nebus.")</f>
        <v>Nebus.</v>
      </c>
      <c r="I284" s="3" t="str">
        <f>IFERROR(__xludf.DUMMYFUNCTION("IFERROR(TRIM(INDEX(SPLIT(E284,"" + ""),2)),"""")"),"ZeroO")</f>
        <v>ZeroO</v>
      </c>
      <c r="J284" s="5" t="str">
        <f>IFERROR(__xludf.DUMMYFUNCTION("IFERROR(TRIM(INDEX(SPLIT(E284,"" + ""),3)),"""")"),"")</f>
        <v/>
      </c>
      <c r="K284" s="3">
        <f>IFERROR(__xludf.DUMMYFUNCTION("IFERROR(IF(H284="""",0,INDEX(FILTER($Q$2:Q283,$C$2:C283=H284,$G$2:G283=G284),ROWS(FILTER($Q$2:Q283,$C$2:C283=H284,$G$2:G283=G284)),1)),1500)"),1572.0)</f>
        <v>1572</v>
      </c>
      <c r="L284" s="3">
        <f>IFERROR(__xludf.DUMMYFUNCTION("IFERROR(IF(I284="""",0,INDEX(FILTER($Q$2:Q283,$C$2:C283=I284,$G$2:G283=G284),ROWS(FILTER($Q$2:Q283,$C$2:C283=I284,$G$2:G283=G284)),1)),1500)"),1528.0)</f>
        <v>1528</v>
      </c>
      <c r="M284" s="3">
        <f>IFERROR(__xludf.DUMMYFUNCTION("IFERROR(IF(J284="""",0,INDEX(FILTER($Q$2:Q283,$C$2:C283=J284,$G$2:G283=G284),ROWS(FILTER($Q$2:Q283,$C$2:C283=J284,$G$2:G283=G284)),1)),1500)"),0.0)</f>
        <v>0</v>
      </c>
      <c r="N284" s="3">
        <f>IFERROR(__xludf.DUMMYFUNCTION("IFERROR(INDEX(FILTER($Q$2:Q283,$C$2:C283=C284,$G$2:G283=G284),ROWS(FILTER($Q$2:Q283,$C$2:C283=C284,$G$2:G283=G284)),1),1500)"),1558.0)</f>
        <v>1558</v>
      </c>
      <c r="O284" s="3">
        <f t="shared" si="3"/>
        <v>1550</v>
      </c>
      <c r="P284" s="9">
        <f t="shared" si="1"/>
        <v>-16</v>
      </c>
      <c r="Q284" s="5">
        <f t="shared" si="2"/>
        <v>1542</v>
      </c>
    </row>
    <row r="285">
      <c r="A285" s="3" t="str">
        <f>IFERROR(__xludf.DUMMYFUNCTION("""COMPUTED_VALUE"""),"1Cq5seXdoycjSHc0CVKD9vrFGbuLlrWyI")</f>
        <v>1Cq5seXdoycjSHc0CVKD9vrFGbuLlrWyI</v>
      </c>
      <c r="B285" s="13">
        <f>IFERROR(__xludf.DUMMYFUNCTION("""COMPUTED_VALUE"""),45976.0)</f>
        <v>45976</v>
      </c>
      <c r="C285" s="3" t="str">
        <f>IFERROR(__xludf.DUMMYFUNCTION("""COMPUTED_VALUE"""),"Tess1509")</f>
        <v>Tess1509</v>
      </c>
      <c r="D285" s="3" t="str">
        <f>IFERROR(__xludf.DUMMYFUNCTION("""COMPUTED_VALUE"""),"Malena + Tess1509")</f>
        <v>Malena + Tess1509</v>
      </c>
      <c r="E285" s="3" t="str">
        <f>IFERROR(__xludf.DUMMYFUNCTION("""COMPUTED_VALUE"""),"Nebus. + ZeroO")</f>
        <v>Nebus. + ZeroO</v>
      </c>
      <c r="F285" s="3" t="str">
        <f>IFERROR(__xludf.DUMMYFUNCTION("""COMPUTED_VALUE"""),"loss")</f>
        <v>loss</v>
      </c>
      <c r="G285" s="3" t="str">
        <f>IFERROR(__xludf.DUMMYFUNCTION("""COMPUTED_VALUE"""),"2v2")</f>
        <v>2v2</v>
      </c>
      <c r="H285" s="3" t="str">
        <f>IFERROR(__xludf.DUMMYFUNCTION("IFERROR(TRIM(INDEX(SPLIT(E285,"" + ""),1)),"""")"),"Nebus.")</f>
        <v>Nebus.</v>
      </c>
      <c r="I285" s="3" t="str">
        <f>IFERROR(__xludf.DUMMYFUNCTION("IFERROR(TRIM(INDEX(SPLIT(E285,"" + ""),2)),"""")"),"ZeroO")</f>
        <v>ZeroO</v>
      </c>
      <c r="J285" s="5" t="str">
        <f>IFERROR(__xludf.DUMMYFUNCTION("IFERROR(TRIM(INDEX(SPLIT(E285,"" + ""),3)),"""")"),"")</f>
        <v/>
      </c>
      <c r="K285" s="3">
        <f>IFERROR(__xludf.DUMMYFUNCTION("IFERROR(IF(H285="""",0,INDEX(FILTER($Q$2:Q284,$C$2:C284=H285,$G$2:G284=G285),ROWS(FILTER($Q$2:Q284,$C$2:C284=H285,$G$2:G284=G285)),1)),1500)"),1572.0)</f>
        <v>1572</v>
      </c>
      <c r="L285" s="3">
        <f>IFERROR(__xludf.DUMMYFUNCTION("IFERROR(IF(I285="""",0,INDEX(FILTER($Q$2:Q284,$C$2:C284=I285,$G$2:G284=G285),ROWS(FILTER($Q$2:Q284,$C$2:C284=I285,$G$2:G284=G285)),1)),1500)"),1528.0)</f>
        <v>1528</v>
      </c>
      <c r="M285" s="3">
        <f>IFERROR(__xludf.DUMMYFUNCTION("IFERROR(IF(J285="""",0,INDEX(FILTER($Q$2:Q284,$C$2:C284=J285,$G$2:G284=G285),ROWS(FILTER($Q$2:Q284,$C$2:C284=J285,$G$2:G284=G285)),1)),1500)"),0.0)</f>
        <v>0</v>
      </c>
      <c r="N285" s="3">
        <f>IFERROR(__xludf.DUMMYFUNCTION("IFERROR(INDEX(FILTER($Q$2:Q284,$C$2:C284=C285,$G$2:G284=G285),ROWS(FILTER($Q$2:Q284,$C$2:C284=C285,$G$2:G284=G285)),1),1500)"),1394.0)</f>
        <v>1394</v>
      </c>
      <c r="O285" s="3">
        <f t="shared" si="3"/>
        <v>1550</v>
      </c>
      <c r="P285" s="9">
        <f t="shared" si="1"/>
        <v>-9</v>
      </c>
      <c r="Q285" s="5">
        <f t="shared" si="2"/>
        <v>1385</v>
      </c>
    </row>
    <row r="286">
      <c r="A286" s="3" t="str">
        <f>IFERROR(__xludf.DUMMYFUNCTION("""COMPUTED_VALUE"""),"1Cq5seXdoycjSHc0CVKD9vrFGbuLlrWyI")</f>
        <v>1Cq5seXdoycjSHc0CVKD9vrFGbuLlrWyI</v>
      </c>
      <c r="B286" s="13">
        <f>IFERROR(__xludf.DUMMYFUNCTION("""COMPUTED_VALUE"""),45976.0)</f>
        <v>45976</v>
      </c>
      <c r="C286" s="3" t="str">
        <f>IFERROR(__xludf.DUMMYFUNCTION("""COMPUTED_VALUE"""),"ZeroO")</f>
        <v>ZeroO</v>
      </c>
      <c r="D286" s="3" t="str">
        <f>IFERROR(__xludf.DUMMYFUNCTION("""COMPUTED_VALUE"""),"Nebus. + ZeroO")</f>
        <v>Nebus. + ZeroO</v>
      </c>
      <c r="E286" s="3" t="str">
        <f>IFERROR(__xludf.DUMMYFUNCTION("""COMPUTED_VALUE"""),"Malena + Tess1509")</f>
        <v>Malena + Tess1509</v>
      </c>
      <c r="F286" s="3" t="str">
        <f>IFERROR(__xludf.DUMMYFUNCTION("""COMPUTED_VALUE"""),"win")</f>
        <v>win</v>
      </c>
      <c r="G286" s="3" t="str">
        <f>IFERROR(__xludf.DUMMYFUNCTION("""COMPUTED_VALUE"""),"2v2")</f>
        <v>2v2</v>
      </c>
      <c r="H286" s="3" t="str">
        <f>IFERROR(__xludf.DUMMYFUNCTION("IFERROR(TRIM(INDEX(SPLIT(E286,"" + ""),1)),"""")"),"Malena")</f>
        <v>Malena</v>
      </c>
      <c r="I286" s="3" t="str">
        <f>IFERROR(__xludf.DUMMYFUNCTION("IFERROR(TRIM(INDEX(SPLIT(E286,"" + ""),2)),"""")"),"Tess1509")</f>
        <v>Tess1509</v>
      </c>
      <c r="J286" s="5" t="str">
        <f>IFERROR(__xludf.DUMMYFUNCTION("IFERROR(TRIM(INDEX(SPLIT(E286,"" + ""),3)),"""")"),"")</f>
        <v/>
      </c>
      <c r="K286" s="3">
        <f>IFERROR(__xludf.DUMMYFUNCTION("IFERROR(IF(H286="""",0,INDEX(FILTER($Q$2:Q285,$C$2:C285=H286,$G$2:G285=G286),ROWS(FILTER($Q$2:Q285,$C$2:C285=H286,$G$2:G285=G286)),1)),1500)"),1542.0)</f>
        <v>1542</v>
      </c>
      <c r="L286" s="3">
        <f>IFERROR(__xludf.DUMMYFUNCTION("IFERROR(IF(I286="""",0,INDEX(FILTER($Q$2:Q285,$C$2:C285=I286,$G$2:G285=G286),ROWS(FILTER($Q$2:Q285,$C$2:C285=I286,$G$2:G285=G286)),1)),1500)"),1385.0)</f>
        <v>1385</v>
      </c>
      <c r="M286" s="3">
        <f>IFERROR(__xludf.DUMMYFUNCTION("IFERROR(IF(J286="""",0,INDEX(FILTER($Q$2:Q285,$C$2:C285=J286,$G$2:G285=G286),ROWS(FILTER($Q$2:Q285,$C$2:C285=J286,$G$2:G285=G286)),1)),1500)"),0.0)</f>
        <v>0</v>
      </c>
      <c r="N286" s="3">
        <f>IFERROR(__xludf.DUMMYFUNCTION("IFERROR(INDEX(FILTER($Q$2:Q285,$C$2:C285=C286,$G$2:G285=G286),ROWS(FILTER($Q$2:Q285,$C$2:C285=C286,$G$2:G285=G286)),1),1500)"),1528.0)</f>
        <v>1528</v>
      </c>
      <c r="O286" s="3">
        <f t="shared" si="3"/>
        <v>1463.5</v>
      </c>
      <c r="P286" s="9">
        <f t="shared" si="1"/>
        <v>13</v>
      </c>
      <c r="Q286" s="5">
        <f t="shared" si="2"/>
        <v>1541</v>
      </c>
    </row>
    <row r="287">
      <c r="A287" s="3" t="str">
        <f>IFERROR(__xludf.DUMMYFUNCTION("""COMPUTED_VALUE"""),"1Cq5seXdoycjSHc0CVKD9vrFGbuLlrWyI")</f>
        <v>1Cq5seXdoycjSHc0CVKD9vrFGbuLlrWyI</v>
      </c>
      <c r="B287" s="13">
        <f>IFERROR(__xludf.DUMMYFUNCTION("""COMPUTED_VALUE"""),45976.0)</f>
        <v>45976</v>
      </c>
      <c r="C287" s="3" t="str">
        <f>IFERROR(__xludf.DUMMYFUNCTION("""COMPUTED_VALUE"""),"Nebus.")</f>
        <v>Nebus.</v>
      </c>
      <c r="D287" s="3" t="str">
        <f>IFERROR(__xludf.DUMMYFUNCTION("""COMPUTED_VALUE"""),"Nebus. + ZeroO")</f>
        <v>Nebus. + ZeroO</v>
      </c>
      <c r="E287" s="3" t="str">
        <f>IFERROR(__xludf.DUMMYFUNCTION("""COMPUTED_VALUE"""),"Malena + Tess1509")</f>
        <v>Malena + Tess1509</v>
      </c>
      <c r="F287" s="3" t="str">
        <f>IFERROR(__xludf.DUMMYFUNCTION("""COMPUTED_VALUE"""),"win")</f>
        <v>win</v>
      </c>
      <c r="G287" s="3" t="str">
        <f>IFERROR(__xludf.DUMMYFUNCTION("""COMPUTED_VALUE"""),"2v2")</f>
        <v>2v2</v>
      </c>
      <c r="H287" s="3" t="str">
        <f>IFERROR(__xludf.DUMMYFUNCTION("IFERROR(TRIM(INDEX(SPLIT(E287,"" + ""),1)),"""")"),"Malena")</f>
        <v>Malena</v>
      </c>
      <c r="I287" s="3" t="str">
        <f>IFERROR(__xludf.DUMMYFUNCTION("IFERROR(TRIM(INDEX(SPLIT(E287,"" + ""),2)),"""")"),"Tess1509")</f>
        <v>Tess1509</v>
      </c>
      <c r="J287" s="5" t="str">
        <f>IFERROR(__xludf.DUMMYFUNCTION("IFERROR(TRIM(INDEX(SPLIT(E287,"" + ""),3)),"""")"),"")</f>
        <v/>
      </c>
      <c r="K287" s="3">
        <f>IFERROR(__xludf.DUMMYFUNCTION("IFERROR(IF(H287="""",0,INDEX(FILTER($Q$2:Q286,$C$2:C286=H287,$G$2:G286=G287),ROWS(FILTER($Q$2:Q286,$C$2:C286=H287,$G$2:G286=G287)),1)),1500)"),1542.0)</f>
        <v>1542</v>
      </c>
      <c r="L287" s="3">
        <f>IFERROR(__xludf.DUMMYFUNCTION("IFERROR(IF(I287="""",0,INDEX(FILTER($Q$2:Q286,$C$2:C286=I287,$G$2:G286=G287),ROWS(FILTER($Q$2:Q286,$C$2:C286=I287,$G$2:G286=G287)),1)),1500)"),1385.0)</f>
        <v>1385</v>
      </c>
      <c r="M287" s="3">
        <f>IFERROR(__xludf.DUMMYFUNCTION("IFERROR(IF(J287="""",0,INDEX(FILTER($Q$2:Q286,$C$2:C286=J287,$G$2:G286=G287),ROWS(FILTER($Q$2:Q286,$C$2:C286=J287,$G$2:G286=G287)),1)),1500)"),0.0)</f>
        <v>0</v>
      </c>
      <c r="N287" s="3">
        <f>IFERROR(__xludf.DUMMYFUNCTION("IFERROR(INDEX(FILTER($Q$2:Q286,$C$2:C286=C287,$G$2:G286=G287),ROWS(FILTER($Q$2:Q286,$C$2:C286=C287,$G$2:G286=G287)),1),1500)"),1572.0)</f>
        <v>1572</v>
      </c>
      <c r="O287" s="3">
        <f t="shared" si="3"/>
        <v>1463.5</v>
      </c>
      <c r="P287" s="9">
        <f t="shared" si="1"/>
        <v>11</v>
      </c>
      <c r="Q287" s="5">
        <f t="shared" si="2"/>
        <v>1583</v>
      </c>
    </row>
    <row r="288">
      <c r="A288" s="3" t="str">
        <f>IFERROR(__xludf.DUMMYFUNCTION("""COMPUTED_VALUE"""),"1rU5l-awxrHtM52KZEzU5gqfPNOUCoiow")</f>
        <v>1rU5l-awxrHtM52KZEzU5gqfPNOUCoiow</v>
      </c>
      <c r="B288" s="13">
        <f>IFERROR(__xludf.DUMMYFUNCTION("""COMPUTED_VALUE"""),45976.0)</f>
        <v>45976</v>
      </c>
      <c r="C288" s="3" t="str">
        <f>IFERROR(__xludf.DUMMYFUNCTION("""COMPUTED_VALUE"""),"Malena")</f>
        <v>Malena</v>
      </c>
      <c r="D288" s="3" t="str">
        <f>IFERROR(__xludf.DUMMYFUNCTION("""COMPUTED_VALUE"""),"Malena + Tess1509")</f>
        <v>Malena + Tess1509</v>
      </c>
      <c r="E288" s="3" t="str">
        <f>IFERROR(__xludf.DUMMYFUNCTION("""COMPUTED_VALUE"""),"Nebus. + ZeroO")</f>
        <v>Nebus. + ZeroO</v>
      </c>
      <c r="F288" s="3" t="str">
        <f>IFERROR(__xludf.DUMMYFUNCTION("""COMPUTED_VALUE"""),"win")</f>
        <v>win</v>
      </c>
      <c r="G288" s="3" t="str">
        <f>IFERROR(__xludf.DUMMYFUNCTION("""COMPUTED_VALUE"""),"2v2")</f>
        <v>2v2</v>
      </c>
      <c r="H288" s="3" t="str">
        <f>IFERROR(__xludf.DUMMYFUNCTION("IFERROR(TRIM(INDEX(SPLIT(E288,"" + ""),1)),"""")"),"Nebus.")</f>
        <v>Nebus.</v>
      </c>
      <c r="I288" s="3" t="str">
        <f>IFERROR(__xludf.DUMMYFUNCTION("IFERROR(TRIM(INDEX(SPLIT(E288,"" + ""),2)),"""")"),"ZeroO")</f>
        <v>ZeroO</v>
      </c>
      <c r="J288" s="5" t="str">
        <f>IFERROR(__xludf.DUMMYFUNCTION("IFERROR(TRIM(INDEX(SPLIT(E288,"" + ""),3)),"""")"),"")</f>
        <v/>
      </c>
      <c r="K288" s="3">
        <f>IFERROR(__xludf.DUMMYFUNCTION("IFERROR(IF(H288="""",0,INDEX(FILTER($Q$2:Q287,$C$2:C287=H288,$G$2:G287=G288),ROWS(FILTER($Q$2:Q287,$C$2:C287=H288,$G$2:G287=G288)),1)),1500)"),1583.0)</f>
        <v>1583</v>
      </c>
      <c r="L288" s="3">
        <f>IFERROR(__xludf.DUMMYFUNCTION("IFERROR(IF(I288="""",0,INDEX(FILTER($Q$2:Q287,$C$2:C287=I288,$G$2:G287=G288),ROWS(FILTER($Q$2:Q287,$C$2:C287=I288,$G$2:G287=G288)),1)),1500)"),1541.0)</f>
        <v>1541</v>
      </c>
      <c r="M288" s="3">
        <f>IFERROR(__xludf.DUMMYFUNCTION("IFERROR(IF(J288="""",0,INDEX(FILTER($Q$2:Q287,$C$2:C287=J288,$G$2:G287=G288),ROWS(FILTER($Q$2:Q287,$C$2:C287=J288,$G$2:G287=G288)),1)),1500)"),0.0)</f>
        <v>0</v>
      </c>
      <c r="N288" s="3">
        <f>IFERROR(__xludf.DUMMYFUNCTION("IFERROR(INDEX(FILTER($Q$2:Q287,$C$2:C287=C288,$G$2:G287=G288),ROWS(FILTER($Q$2:Q287,$C$2:C287=C288,$G$2:G287=G288)),1),1500)"),1542.0)</f>
        <v>1542</v>
      </c>
      <c r="O288" s="3">
        <f t="shared" si="3"/>
        <v>1562</v>
      </c>
      <c r="P288" s="9">
        <f t="shared" si="1"/>
        <v>17</v>
      </c>
      <c r="Q288" s="5">
        <f t="shared" si="2"/>
        <v>1559</v>
      </c>
    </row>
    <row r="289">
      <c r="A289" s="3" t="str">
        <f>IFERROR(__xludf.DUMMYFUNCTION("""COMPUTED_VALUE"""),"1rU5l-awxrHtM52KZEzU5gqfPNOUCoiow")</f>
        <v>1rU5l-awxrHtM52KZEzU5gqfPNOUCoiow</v>
      </c>
      <c r="B289" s="13">
        <f>IFERROR(__xludf.DUMMYFUNCTION("""COMPUTED_VALUE"""),45976.0)</f>
        <v>45976</v>
      </c>
      <c r="C289" s="3" t="str">
        <f>IFERROR(__xludf.DUMMYFUNCTION("""COMPUTED_VALUE"""),"Tess1509")</f>
        <v>Tess1509</v>
      </c>
      <c r="D289" s="3" t="str">
        <f>IFERROR(__xludf.DUMMYFUNCTION("""COMPUTED_VALUE"""),"Malena + Tess1509")</f>
        <v>Malena + Tess1509</v>
      </c>
      <c r="E289" s="3" t="str">
        <f>IFERROR(__xludf.DUMMYFUNCTION("""COMPUTED_VALUE"""),"Nebus. + ZeroO")</f>
        <v>Nebus. + ZeroO</v>
      </c>
      <c r="F289" s="3" t="str">
        <f>IFERROR(__xludf.DUMMYFUNCTION("""COMPUTED_VALUE"""),"win")</f>
        <v>win</v>
      </c>
      <c r="G289" s="3" t="str">
        <f>IFERROR(__xludf.DUMMYFUNCTION("""COMPUTED_VALUE"""),"2v2")</f>
        <v>2v2</v>
      </c>
      <c r="H289" s="3" t="str">
        <f>IFERROR(__xludf.DUMMYFUNCTION("IFERROR(TRIM(INDEX(SPLIT(E289,"" + ""),1)),"""")"),"Nebus.")</f>
        <v>Nebus.</v>
      </c>
      <c r="I289" s="3" t="str">
        <f>IFERROR(__xludf.DUMMYFUNCTION("IFERROR(TRIM(INDEX(SPLIT(E289,"" + ""),2)),"""")"),"ZeroO")</f>
        <v>ZeroO</v>
      </c>
      <c r="J289" s="5" t="str">
        <f>IFERROR(__xludf.DUMMYFUNCTION("IFERROR(TRIM(INDEX(SPLIT(E289,"" + ""),3)),"""")"),"")</f>
        <v/>
      </c>
      <c r="K289" s="3">
        <f>IFERROR(__xludf.DUMMYFUNCTION("IFERROR(IF(H289="""",0,INDEX(FILTER($Q$2:Q288,$C$2:C288=H289,$G$2:G288=G289),ROWS(FILTER($Q$2:Q288,$C$2:C288=H289,$G$2:G288=G289)),1)),1500)"),1583.0)</f>
        <v>1583</v>
      </c>
      <c r="L289" s="3">
        <f>IFERROR(__xludf.DUMMYFUNCTION("IFERROR(IF(I289="""",0,INDEX(FILTER($Q$2:Q288,$C$2:C288=I289,$G$2:G288=G289),ROWS(FILTER($Q$2:Q288,$C$2:C288=I289,$G$2:G288=G289)),1)),1500)"),1541.0)</f>
        <v>1541</v>
      </c>
      <c r="M289" s="3">
        <f>IFERROR(__xludf.DUMMYFUNCTION("IFERROR(IF(J289="""",0,INDEX(FILTER($Q$2:Q288,$C$2:C288=J289,$G$2:G288=G289),ROWS(FILTER($Q$2:Q288,$C$2:C288=J289,$G$2:G288=G289)),1)),1500)"),0.0)</f>
        <v>0</v>
      </c>
      <c r="N289" s="3">
        <f>IFERROR(__xludf.DUMMYFUNCTION("IFERROR(INDEX(FILTER($Q$2:Q288,$C$2:C288=C289,$G$2:G288=G289),ROWS(FILTER($Q$2:Q288,$C$2:C288=C289,$G$2:G288=G289)),1),1500)"),1385.0)</f>
        <v>1385</v>
      </c>
      <c r="O289" s="3">
        <f t="shared" si="3"/>
        <v>1562</v>
      </c>
      <c r="P289" s="9">
        <f t="shared" si="1"/>
        <v>24</v>
      </c>
      <c r="Q289" s="5">
        <f t="shared" si="2"/>
        <v>1409</v>
      </c>
    </row>
    <row r="290">
      <c r="A290" s="3" t="str">
        <f>IFERROR(__xludf.DUMMYFUNCTION("""COMPUTED_VALUE"""),"1rU5l-awxrHtM52KZEzU5gqfPNOUCoiow")</f>
        <v>1rU5l-awxrHtM52KZEzU5gqfPNOUCoiow</v>
      </c>
      <c r="B290" s="13">
        <f>IFERROR(__xludf.DUMMYFUNCTION("""COMPUTED_VALUE"""),45976.0)</f>
        <v>45976</v>
      </c>
      <c r="C290" s="3" t="str">
        <f>IFERROR(__xludf.DUMMYFUNCTION("""COMPUTED_VALUE"""),"Nebus.")</f>
        <v>Nebus.</v>
      </c>
      <c r="D290" s="3" t="str">
        <f>IFERROR(__xludf.DUMMYFUNCTION("""COMPUTED_VALUE"""),"Nebus. + ZeroO")</f>
        <v>Nebus. + ZeroO</v>
      </c>
      <c r="E290" s="3" t="str">
        <f>IFERROR(__xludf.DUMMYFUNCTION("""COMPUTED_VALUE"""),"Malena + Tess1509")</f>
        <v>Malena + Tess1509</v>
      </c>
      <c r="F290" s="3" t="str">
        <f>IFERROR(__xludf.DUMMYFUNCTION("""COMPUTED_VALUE"""),"loss")</f>
        <v>loss</v>
      </c>
      <c r="G290" s="3" t="str">
        <f>IFERROR(__xludf.DUMMYFUNCTION("""COMPUTED_VALUE"""),"2v2")</f>
        <v>2v2</v>
      </c>
      <c r="H290" s="3" t="str">
        <f>IFERROR(__xludf.DUMMYFUNCTION("IFERROR(TRIM(INDEX(SPLIT(E290,"" + ""),1)),"""")"),"Malena")</f>
        <v>Malena</v>
      </c>
      <c r="I290" s="3" t="str">
        <f>IFERROR(__xludf.DUMMYFUNCTION("IFERROR(TRIM(INDEX(SPLIT(E290,"" + ""),2)),"""")"),"Tess1509")</f>
        <v>Tess1509</v>
      </c>
      <c r="J290" s="5" t="str">
        <f>IFERROR(__xludf.DUMMYFUNCTION("IFERROR(TRIM(INDEX(SPLIT(E290,"" + ""),3)),"""")"),"")</f>
        <v/>
      </c>
      <c r="K290" s="3">
        <f>IFERROR(__xludf.DUMMYFUNCTION("IFERROR(IF(H290="""",0,INDEX(FILTER($Q$2:Q289,$C$2:C289=H290,$G$2:G289=G290),ROWS(FILTER($Q$2:Q289,$C$2:C289=H290,$G$2:G289=G290)),1)),1500)"),1559.0)</f>
        <v>1559</v>
      </c>
      <c r="L290" s="3">
        <f>IFERROR(__xludf.DUMMYFUNCTION("IFERROR(IF(I290="""",0,INDEX(FILTER($Q$2:Q289,$C$2:C289=I290,$G$2:G289=G290),ROWS(FILTER($Q$2:Q289,$C$2:C289=I290,$G$2:G289=G290)),1)),1500)"),1409.0)</f>
        <v>1409</v>
      </c>
      <c r="M290" s="3">
        <f>IFERROR(__xludf.DUMMYFUNCTION("IFERROR(IF(J290="""",0,INDEX(FILTER($Q$2:Q289,$C$2:C289=J290,$G$2:G289=G290),ROWS(FILTER($Q$2:Q289,$C$2:C289=J290,$G$2:G289=G290)),1)),1500)"),0.0)</f>
        <v>0</v>
      </c>
      <c r="N290" s="3">
        <f>IFERROR(__xludf.DUMMYFUNCTION("IFERROR(INDEX(FILTER($Q$2:Q289,$C$2:C289=C290,$G$2:G289=G290),ROWS(FILTER($Q$2:Q289,$C$2:C289=C290,$G$2:G289=G290)),1),1500)"),1583.0)</f>
        <v>1583</v>
      </c>
      <c r="O290" s="3">
        <f t="shared" si="3"/>
        <v>1484</v>
      </c>
      <c r="P290" s="9">
        <f t="shared" si="1"/>
        <v>-20</v>
      </c>
      <c r="Q290" s="5">
        <f t="shared" si="2"/>
        <v>1563</v>
      </c>
    </row>
    <row r="291">
      <c r="A291" s="3" t="str">
        <f>IFERROR(__xludf.DUMMYFUNCTION("""COMPUTED_VALUE"""),"1rU5l-awxrHtM52KZEzU5gqfPNOUCoiow")</f>
        <v>1rU5l-awxrHtM52KZEzU5gqfPNOUCoiow</v>
      </c>
      <c r="B291" s="13">
        <f>IFERROR(__xludf.DUMMYFUNCTION("""COMPUTED_VALUE"""),45976.0)</f>
        <v>45976</v>
      </c>
      <c r="C291" s="3" t="str">
        <f>IFERROR(__xludf.DUMMYFUNCTION("""COMPUTED_VALUE"""),"ZeroO")</f>
        <v>ZeroO</v>
      </c>
      <c r="D291" s="3" t="str">
        <f>IFERROR(__xludf.DUMMYFUNCTION("""COMPUTED_VALUE"""),"Nebus. + ZeroO")</f>
        <v>Nebus. + ZeroO</v>
      </c>
      <c r="E291" s="3" t="str">
        <f>IFERROR(__xludf.DUMMYFUNCTION("""COMPUTED_VALUE"""),"Malena + Tess1509")</f>
        <v>Malena + Tess1509</v>
      </c>
      <c r="F291" s="3" t="str">
        <f>IFERROR(__xludf.DUMMYFUNCTION("""COMPUTED_VALUE"""),"loss")</f>
        <v>loss</v>
      </c>
      <c r="G291" s="3" t="str">
        <f>IFERROR(__xludf.DUMMYFUNCTION("""COMPUTED_VALUE"""),"2v2")</f>
        <v>2v2</v>
      </c>
      <c r="H291" s="3" t="str">
        <f>IFERROR(__xludf.DUMMYFUNCTION("IFERROR(TRIM(INDEX(SPLIT(E291,"" + ""),1)),"""")"),"Malena")</f>
        <v>Malena</v>
      </c>
      <c r="I291" s="3" t="str">
        <f>IFERROR(__xludf.DUMMYFUNCTION("IFERROR(TRIM(INDEX(SPLIT(E291,"" + ""),2)),"""")"),"Tess1509")</f>
        <v>Tess1509</v>
      </c>
      <c r="J291" s="5" t="str">
        <f>IFERROR(__xludf.DUMMYFUNCTION("IFERROR(TRIM(INDEX(SPLIT(E291,"" + ""),3)),"""")"),"")</f>
        <v/>
      </c>
      <c r="K291" s="3">
        <f>IFERROR(__xludf.DUMMYFUNCTION("IFERROR(IF(H291="""",0,INDEX(FILTER($Q$2:Q290,$C$2:C290=H291,$G$2:G290=G291),ROWS(FILTER($Q$2:Q290,$C$2:C290=H291,$G$2:G290=G291)),1)),1500)"),1559.0)</f>
        <v>1559</v>
      </c>
      <c r="L291" s="3">
        <f>IFERROR(__xludf.DUMMYFUNCTION("IFERROR(IF(I291="""",0,INDEX(FILTER($Q$2:Q290,$C$2:C290=I291,$G$2:G290=G291),ROWS(FILTER($Q$2:Q290,$C$2:C290=I291,$G$2:G290=G291)),1)),1500)"),1409.0)</f>
        <v>1409</v>
      </c>
      <c r="M291" s="3">
        <f>IFERROR(__xludf.DUMMYFUNCTION("IFERROR(IF(J291="""",0,INDEX(FILTER($Q$2:Q290,$C$2:C290=J291,$G$2:G290=G291),ROWS(FILTER($Q$2:Q290,$C$2:C290=J291,$G$2:G290=G291)),1)),1500)"),0.0)</f>
        <v>0</v>
      </c>
      <c r="N291" s="3">
        <f>IFERROR(__xludf.DUMMYFUNCTION("IFERROR(INDEX(FILTER($Q$2:Q290,$C$2:C290=C291,$G$2:G290=G291),ROWS(FILTER($Q$2:Q290,$C$2:C290=C291,$G$2:G290=G291)),1),1500)"),1541.0)</f>
        <v>1541</v>
      </c>
      <c r="O291" s="3">
        <f t="shared" si="3"/>
        <v>1484</v>
      </c>
      <c r="P291" s="9">
        <f t="shared" si="1"/>
        <v>-19</v>
      </c>
      <c r="Q291" s="5">
        <f t="shared" si="2"/>
        <v>1522</v>
      </c>
    </row>
    <row r="292">
      <c r="A292" s="3" t="str">
        <f>IFERROR(__xludf.DUMMYFUNCTION("""COMPUTED_VALUE"""),"1H6OnTmN2_gbvoaEi5hqXco4iCzvnjaVU")</f>
        <v>1H6OnTmN2_gbvoaEi5hqXco4iCzvnjaVU</v>
      </c>
      <c r="B292" s="13">
        <f>IFERROR(__xludf.DUMMYFUNCTION("""COMPUTED_VALUE"""),45976.0)</f>
        <v>45976</v>
      </c>
      <c r="C292" s="3" t="str">
        <f>IFERROR(__xludf.DUMMYFUNCTION("""COMPUTED_VALUE"""),"Malena")</f>
        <v>Malena</v>
      </c>
      <c r="D292" s="3" t="str">
        <f>IFERROR(__xludf.DUMMYFUNCTION("""COMPUTED_VALUE"""),"Malena + Tess1509")</f>
        <v>Malena + Tess1509</v>
      </c>
      <c r="E292" s="3" t="str">
        <f>IFERROR(__xludf.DUMMYFUNCTION("""COMPUTED_VALUE"""),"Nebus. + ZeroO")</f>
        <v>Nebus. + ZeroO</v>
      </c>
      <c r="F292" s="3" t="str">
        <f>IFERROR(__xludf.DUMMYFUNCTION("""COMPUTED_VALUE"""),"loss")</f>
        <v>loss</v>
      </c>
      <c r="G292" s="3" t="str">
        <f>IFERROR(__xludf.DUMMYFUNCTION("""COMPUTED_VALUE"""),"2v2")</f>
        <v>2v2</v>
      </c>
      <c r="H292" s="3" t="str">
        <f>IFERROR(__xludf.DUMMYFUNCTION("IFERROR(TRIM(INDEX(SPLIT(E292,"" + ""),1)),"""")"),"Nebus.")</f>
        <v>Nebus.</v>
      </c>
      <c r="I292" s="3" t="str">
        <f>IFERROR(__xludf.DUMMYFUNCTION("IFERROR(TRIM(INDEX(SPLIT(E292,"" + ""),2)),"""")"),"ZeroO")</f>
        <v>ZeroO</v>
      </c>
      <c r="J292" s="5" t="str">
        <f>IFERROR(__xludf.DUMMYFUNCTION("IFERROR(TRIM(INDEX(SPLIT(E292,"" + ""),3)),"""")"),"")</f>
        <v/>
      </c>
      <c r="K292" s="3">
        <f>IFERROR(__xludf.DUMMYFUNCTION("IFERROR(IF(H292="""",0,INDEX(FILTER($Q$2:Q291,$C$2:C291=H292,$G$2:G291=G292),ROWS(FILTER($Q$2:Q291,$C$2:C291=H292,$G$2:G291=G292)),1)),1500)"),1563.0)</f>
        <v>1563</v>
      </c>
      <c r="L292" s="3">
        <f>IFERROR(__xludf.DUMMYFUNCTION("IFERROR(IF(I292="""",0,INDEX(FILTER($Q$2:Q291,$C$2:C291=I292,$G$2:G291=G292),ROWS(FILTER($Q$2:Q291,$C$2:C291=I292,$G$2:G291=G292)),1)),1500)"),1522.0)</f>
        <v>1522</v>
      </c>
      <c r="M292" s="3">
        <f>IFERROR(__xludf.DUMMYFUNCTION("IFERROR(IF(J292="""",0,INDEX(FILTER($Q$2:Q291,$C$2:C291=J292,$G$2:G291=G292),ROWS(FILTER($Q$2:Q291,$C$2:C291=J292,$G$2:G291=G292)),1)),1500)"),0.0)</f>
        <v>0</v>
      </c>
      <c r="N292" s="3">
        <f>IFERROR(__xludf.DUMMYFUNCTION("IFERROR(INDEX(FILTER($Q$2:Q291,$C$2:C291=C292,$G$2:G291=G292),ROWS(FILTER($Q$2:Q291,$C$2:C291=C292,$G$2:G291=G292)),1),1500)"),1559.0)</f>
        <v>1559</v>
      </c>
      <c r="O292" s="3">
        <f t="shared" si="3"/>
        <v>1542.5</v>
      </c>
      <c r="P292" s="9">
        <f t="shared" si="1"/>
        <v>-17</v>
      </c>
      <c r="Q292" s="5">
        <f t="shared" si="2"/>
        <v>1542</v>
      </c>
    </row>
    <row r="293">
      <c r="A293" s="3" t="str">
        <f>IFERROR(__xludf.DUMMYFUNCTION("""COMPUTED_VALUE"""),"1H6OnTmN2_gbvoaEi5hqXco4iCzvnjaVU")</f>
        <v>1H6OnTmN2_gbvoaEi5hqXco4iCzvnjaVU</v>
      </c>
      <c r="B293" s="13">
        <f>IFERROR(__xludf.DUMMYFUNCTION("""COMPUTED_VALUE"""),45976.0)</f>
        <v>45976</v>
      </c>
      <c r="C293" s="3" t="str">
        <f>IFERROR(__xludf.DUMMYFUNCTION("""COMPUTED_VALUE"""),"Tess1509")</f>
        <v>Tess1509</v>
      </c>
      <c r="D293" s="3" t="str">
        <f>IFERROR(__xludf.DUMMYFUNCTION("""COMPUTED_VALUE"""),"Malena + Tess1509")</f>
        <v>Malena + Tess1509</v>
      </c>
      <c r="E293" s="3" t="str">
        <f>IFERROR(__xludf.DUMMYFUNCTION("""COMPUTED_VALUE"""),"Nebus. + ZeroO")</f>
        <v>Nebus. + ZeroO</v>
      </c>
      <c r="F293" s="3" t="str">
        <f>IFERROR(__xludf.DUMMYFUNCTION("""COMPUTED_VALUE"""),"loss")</f>
        <v>loss</v>
      </c>
      <c r="G293" s="3" t="str">
        <f>IFERROR(__xludf.DUMMYFUNCTION("""COMPUTED_VALUE"""),"2v2")</f>
        <v>2v2</v>
      </c>
      <c r="H293" s="3" t="str">
        <f>IFERROR(__xludf.DUMMYFUNCTION("IFERROR(TRIM(INDEX(SPLIT(E293,"" + ""),1)),"""")"),"Nebus.")</f>
        <v>Nebus.</v>
      </c>
      <c r="I293" s="3" t="str">
        <f>IFERROR(__xludf.DUMMYFUNCTION("IFERROR(TRIM(INDEX(SPLIT(E293,"" + ""),2)),"""")"),"ZeroO")</f>
        <v>ZeroO</v>
      </c>
      <c r="J293" s="5" t="str">
        <f>IFERROR(__xludf.DUMMYFUNCTION("IFERROR(TRIM(INDEX(SPLIT(E293,"" + ""),3)),"""")"),"")</f>
        <v/>
      </c>
      <c r="K293" s="3">
        <f>IFERROR(__xludf.DUMMYFUNCTION("IFERROR(IF(H293="""",0,INDEX(FILTER($Q$2:Q292,$C$2:C292=H293,$G$2:G292=G293),ROWS(FILTER($Q$2:Q292,$C$2:C292=H293,$G$2:G292=G293)),1)),1500)"),1563.0)</f>
        <v>1563</v>
      </c>
      <c r="L293" s="3">
        <f>IFERROR(__xludf.DUMMYFUNCTION("IFERROR(IF(I293="""",0,INDEX(FILTER($Q$2:Q292,$C$2:C292=I293,$G$2:G292=G293),ROWS(FILTER($Q$2:Q292,$C$2:C292=I293,$G$2:G292=G293)),1)),1500)"),1522.0)</f>
        <v>1522</v>
      </c>
      <c r="M293" s="3">
        <f>IFERROR(__xludf.DUMMYFUNCTION("IFERROR(IF(J293="""",0,INDEX(FILTER($Q$2:Q292,$C$2:C292=J293,$G$2:G292=G293),ROWS(FILTER($Q$2:Q292,$C$2:C292=J293,$G$2:G292=G293)),1)),1500)"),0.0)</f>
        <v>0</v>
      </c>
      <c r="N293" s="3">
        <f>IFERROR(__xludf.DUMMYFUNCTION("IFERROR(INDEX(FILTER($Q$2:Q292,$C$2:C292=C293,$G$2:G292=G293),ROWS(FILTER($Q$2:Q292,$C$2:C292=C293,$G$2:G292=G293)),1),1500)"),1409.0)</f>
        <v>1409</v>
      </c>
      <c r="O293" s="3">
        <f t="shared" si="3"/>
        <v>1542.5</v>
      </c>
      <c r="P293" s="9">
        <f t="shared" si="1"/>
        <v>-10</v>
      </c>
      <c r="Q293" s="5">
        <f t="shared" si="2"/>
        <v>1399</v>
      </c>
    </row>
    <row r="294">
      <c r="A294" s="3" t="str">
        <f>IFERROR(__xludf.DUMMYFUNCTION("""COMPUTED_VALUE"""),"1H6OnTmN2_gbvoaEi5hqXco4iCzvnjaVU")</f>
        <v>1H6OnTmN2_gbvoaEi5hqXco4iCzvnjaVU</v>
      </c>
      <c r="B294" s="13">
        <f>IFERROR(__xludf.DUMMYFUNCTION("""COMPUTED_VALUE"""),45976.0)</f>
        <v>45976</v>
      </c>
      <c r="C294" s="3" t="str">
        <f>IFERROR(__xludf.DUMMYFUNCTION("""COMPUTED_VALUE"""),"Nebus.")</f>
        <v>Nebus.</v>
      </c>
      <c r="D294" s="3" t="str">
        <f>IFERROR(__xludf.DUMMYFUNCTION("""COMPUTED_VALUE"""),"Nebus. + ZeroO")</f>
        <v>Nebus. + ZeroO</v>
      </c>
      <c r="E294" s="3" t="str">
        <f>IFERROR(__xludf.DUMMYFUNCTION("""COMPUTED_VALUE"""),"Malena + Tess1509")</f>
        <v>Malena + Tess1509</v>
      </c>
      <c r="F294" s="3" t="str">
        <f>IFERROR(__xludf.DUMMYFUNCTION("""COMPUTED_VALUE"""),"win")</f>
        <v>win</v>
      </c>
      <c r="G294" s="3" t="str">
        <f>IFERROR(__xludf.DUMMYFUNCTION("""COMPUTED_VALUE"""),"2v2")</f>
        <v>2v2</v>
      </c>
      <c r="H294" s="3" t="str">
        <f>IFERROR(__xludf.DUMMYFUNCTION("IFERROR(TRIM(INDEX(SPLIT(E294,"" + ""),1)),"""")"),"Malena")</f>
        <v>Malena</v>
      </c>
      <c r="I294" s="3" t="str">
        <f>IFERROR(__xludf.DUMMYFUNCTION("IFERROR(TRIM(INDEX(SPLIT(E294,"" + ""),2)),"""")"),"Tess1509")</f>
        <v>Tess1509</v>
      </c>
      <c r="J294" s="5" t="str">
        <f>IFERROR(__xludf.DUMMYFUNCTION("IFERROR(TRIM(INDEX(SPLIT(E294,"" + ""),3)),"""")"),"")</f>
        <v/>
      </c>
      <c r="K294" s="3">
        <f>IFERROR(__xludf.DUMMYFUNCTION("IFERROR(IF(H294="""",0,INDEX(FILTER($Q$2:Q293,$C$2:C293=H294,$G$2:G293=G294),ROWS(FILTER($Q$2:Q293,$C$2:C293=H294,$G$2:G293=G294)),1)),1500)"),1542.0)</f>
        <v>1542</v>
      </c>
      <c r="L294" s="3">
        <f>IFERROR(__xludf.DUMMYFUNCTION("IFERROR(IF(I294="""",0,INDEX(FILTER($Q$2:Q293,$C$2:C293=I294,$G$2:G293=G294),ROWS(FILTER($Q$2:Q293,$C$2:C293=I294,$G$2:G293=G294)),1)),1500)"),1399.0)</f>
        <v>1399</v>
      </c>
      <c r="M294" s="3">
        <f>IFERROR(__xludf.DUMMYFUNCTION("IFERROR(IF(J294="""",0,INDEX(FILTER($Q$2:Q293,$C$2:C293=J294,$G$2:G293=G294),ROWS(FILTER($Q$2:Q293,$C$2:C293=J294,$G$2:G293=G294)),1)),1500)"),0.0)</f>
        <v>0</v>
      </c>
      <c r="N294" s="3">
        <f>IFERROR(__xludf.DUMMYFUNCTION("IFERROR(INDEX(FILTER($Q$2:Q293,$C$2:C293=C294,$G$2:G293=G294),ROWS(FILTER($Q$2:Q293,$C$2:C293=C294,$G$2:G293=G294)),1),1500)"),1563.0)</f>
        <v>1563</v>
      </c>
      <c r="O294" s="3">
        <f t="shared" si="3"/>
        <v>1470.5</v>
      </c>
      <c r="P294" s="9">
        <f t="shared" si="1"/>
        <v>12</v>
      </c>
      <c r="Q294" s="5">
        <f t="shared" si="2"/>
        <v>1575</v>
      </c>
    </row>
    <row r="295">
      <c r="A295" s="3" t="str">
        <f>IFERROR(__xludf.DUMMYFUNCTION("""COMPUTED_VALUE"""),"1H6OnTmN2_gbvoaEi5hqXco4iCzvnjaVU")</f>
        <v>1H6OnTmN2_gbvoaEi5hqXco4iCzvnjaVU</v>
      </c>
      <c r="B295" s="13">
        <f>IFERROR(__xludf.DUMMYFUNCTION("""COMPUTED_VALUE"""),45976.0)</f>
        <v>45976</v>
      </c>
      <c r="C295" s="3" t="str">
        <f>IFERROR(__xludf.DUMMYFUNCTION("""COMPUTED_VALUE"""),"ZeroO")</f>
        <v>ZeroO</v>
      </c>
      <c r="D295" s="3" t="str">
        <f>IFERROR(__xludf.DUMMYFUNCTION("""COMPUTED_VALUE"""),"Nebus. + ZeroO")</f>
        <v>Nebus. + ZeroO</v>
      </c>
      <c r="E295" s="3" t="str">
        <f>IFERROR(__xludf.DUMMYFUNCTION("""COMPUTED_VALUE"""),"Malena + Tess1509")</f>
        <v>Malena + Tess1509</v>
      </c>
      <c r="F295" s="3" t="str">
        <f>IFERROR(__xludf.DUMMYFUNCTION("""COMPUTED_VALUE"""),"win")</f>
        <v>win</v>
      </c>
      <c r="G295" s="3" t="str">
        <f>IFERROR(__xludf.DUMMYFUNCTION("""COMPUTED_VALUE"""),"2v2")</f>
        <v>2v2</v>
      </c>
      <c r="H295" s="3" t="str">
        <f>IFERROR(__xludf.DUMMYFUNCTION("IFERROR(TRIM(INDEX(SPLIT(E295,"" + ""),1)),"""")"),"Malena")</f>
        <v>Malena</v>
      </c>
      <c r="I295" s="3" t="str">
        <f>IFERROR(__xludf.DUMMYFUNCTION("IFERROR(TRIM(INDEX(SPLIT(E295,"" + ""),2)),"""")"),"Tess1509")</f>
        <v>Tess1509</v>
      </c>
      <c r="J295" s="5" t="str">
        <f>IFERROR(__xludf.DUMMYFUNCTION("IFERROR(TRIM(INDEX(SPLIT(E295,"" + ""),3)),"""")"),"")</f>
        <v/>
      </c>
      <c r="K295" s="3">
        <f>IFERROR(__xludf.DUMMYFUNCTION("IFERROR(IF(H295="""",0,INDEX(FILTER($Q$2:Q294,$C$2:C294=H295,$G$2:G294=G295),ROWS(FILTER($Q$2:Q294,$C$2:C294=H295,$G$2:G294=G295)),1)),1500)"),1542.0)</f>
        <v>1542</v>
      </c>
      <c r="L295" s="3">
        <f>IFERROR(__xludf.DUMMYFUNCTION("IFERROR(IF(I295="""",0,INDEX(FILTER($Q$2:Q294,$C$2:C294=I295,$G$2:G294=G295),ROWS(FILTER($Q$2:Q294,$C$2:C294=I295,$G$2:G294=G295)),1)),1500)"),1399.0)</f>
        <v>1399</v>
      </c>
      <c r="M295" s="3">
        <f>IFERROR(__xludf.DUMMYFUNCTION("IFERROR(IF(J295="""",0,INDEX(FILTER($Q$2:Q294,$C$2:C294=J295,$G$2:G294=G295),ROWS(FILTER($Q$2:Q294,$C$2:C294=J295,$G$2:G294=G295)),1)),1500)"),0.0)</f>
        <v>0</v>
      </c>
      <c r="N295" s="3">
        <f>IFERROR(__xludf.DUMMYFUNCTION("IFERROR(INDEX(FILTER($Q$2:Q294,$C$2:C294=C295,$G$2:G294=G295),ROWS(FILTER($Q$2:Q294,$C$2:C294=C295,$G$2:G294=G295)),1),1500)"),1522.0)</f>
        <v>1522</v>
      </c>
      <c r="O295" s="3">
        <f t="shared" si="3"/>
        <v>1470.5</v>
      </c>
      <c r="P295" s="9">
        <f t="shared" si="1"/>
        <v>14</v>
      </c>
      <c r="Q295" s="5">
        <f t="shared" si="2"/>
        <v>1536</v>
      </c>
    </row>
    <row r="296">
      <c r="A296" s="3" t="str">
        <f>IFERROR(__xludf.DUMMYFUNCTION("""COMPUTED_VALUE"""),"1-r6S_UKlJEnN7PSkTYe-rDt9GaLXsC0V")</f>
        <v>1-r6S_UKlJEnN7PSkTYe-rDt9GaLXsC0V</v>
      </c>
      <c r="B296" s="13">
        <f>IFERROR(__xludf.DUMMYFUNCTION("""COMPUTED_VALUE"""),45976.0)</f>
        <v>45976</v>
      </c>
      <c r="C296" s="3" t="str">
        <f>IFERROR(__xludf.DUMMYFUNCTION("""COMPUTED_VALUE"""),"Nebus.")</f>
        <v>Nebus.</v>
      </c>
      <c r="D296" s="3" t="str">
        <f>IFERROR(__xludf.DUMMYFUNCTION("""COMPUTED_VALUE"""),"Kesny + Nebus. + ZeroO")</f>
        <v>Kesny + Nebus. + ZeroO</v>
      </c>
      <c r="E296" s="3" t="str">
        <f>IFERROR(__xludf.DUMMYFUNCTION("""COMPUTED_VALUE"""),"Aferdita + Malena + Tess1509")</f>
        <v>Aferdita + Malena + Tess1509</v>
      </c>
      <c r="F296" s="3" t="str">
        <f>IFERROR(__xludf.DUMMYFUNCTION("""COMPUTED_VALUE"""),"win")</f>
        <v>win</v>
      </c>
      <c r="G296" s="3" t="str">
        <f>IFERROR(__xludf.DUMMYFUNCTION("""COMPUTED_VALUE"""),"3v3")</f>
        <v>3v3</v>
      </c>
      <c r="H296" s="3" t="str">
        <f>IFERROR(__xludf.DUMMYFUNCTION("IFERROR(TRIM(INDEX(SPLIT(E296,"" + ""),1)),"""")"),"Aferdita")</f>
        <v>Aferdita</v>
      </c>
      <c r="I296" s="3" t="str">
        <f>IFERROR(__xludf.DUMMYFUNCTION("IFERROR(TRIM(INDEX(SPLIT(E296,"" + ""),2)),"""")"),"Malena")</f>
        <v>Malena</v>
      </c>
      <c r="J296" s="5" t="str">
        <f>IFERROR(__xludf.DUMMYFUNCTION("IFERROR(TRIM(INDEX(SPLIT(E296,"" + ""),3)),"""")"),"Tess1509")</f>
        <v>Tess1509</v>
      </c>
      <c r="K296" s="3">
        <f>IFERROR(__xludf.DUMMYFUNCTION("IFERROR(IF(H296="""",0,INDEX(FILTER($Q$2:Q295,$C$2:C295=H296,$G$2:G295=G296),ROWS(FILTER($Q$2:Q295,$C$2:C295=H296,$G$2:G295=G296)),1)),1500)"),1524.0)</f>
        <v>1524</v>
      </c>
      <c r="L296" s="3">
        <f>IFERROR(__xludf.DUMMYFUNCTION("IFERROR(IF(I296="""",0,INDEX(FILTER($Q$2:Q295,$C$2:C295=I296,$G$2:G295=G296),ROWS(FILTER($Q$2:Q295,$C$2:C295=I296,$G$2:G295=G296)),1)),1500)"),1520.0)</f>
        <v>1520</v>
      </c>
      <c r="M296" s="3">
        <f>IFERROR(__xludf.DUMMYFUNCTION("IFERROR(IF(J296="""",0,INDEX(FILTER($Q$2:Q295,$C$2:C295=J296,$G$2:G295=G296),ROWS(FILTER($Q$2:Q295,$C$2:C295=J296,$G$2:G295=G296)),1)),1500)"),1401.0)</f>
        <v>1401</v>
      </c>
      <c r="N296" s="3">
        <f>IFERROR(__xludf.DUMMYFUNCTION("IFERROR(INDEX(FILTER($Q$2:Q295,$C$2:C295=C296,$G$2:G295=G296),ROWS(FILTER($Q$2:Q295,$C$2:C295=C296,$G$2:G295=G296)),1),1500)"),1573.0)</f>
        <v>1573</v>
      </c>
      <c r="O296" s="3">
        <f t="shared" si="3"/>
        <v>1481.666667</v>
      </c>
      <c r="P296" s="9">
        <f t="shared" si="1"/>
        <v>12</v>
      </c>
      <c r="Q296" s="5">
        <f t="shared" si="2"/>
        <v>1585</v>
      </c>
    </row>
    <row r="297">
      <c r="A297" s="3" t="str">
        <f>IFERROR(__xludf.DUMMYFUNCTION("""COMPUTED_VALUE"""),"1-r6S_UKlJEnN7PSkTYe-rDt9GaLXsC0V")</f>
        <v>1-r6S_UKlJEnN7PSkTYe-rDt9GaLXsC0V</v>
      </c>
      <c r="B297" s="13">
        <f>IFERROR(__xludf.DUMMYFUNCTION("""COMPUTED_VALUE"""),45976.0)</f>
        <v>45976</v>
      </c>
      <c r="C297" s="3" t="str">
        <f>IFERROR(__xludf.DUMMYFUNCTION("""COMPUTED_VALUE"""),"ZeroO")</f>
        <v>ZeroO</v>
      </c>
      <c r="D297" s="3" t="str">
        <f>IFERROR(__xludf.DUMMYFUNCTION("""COMPUTED_VALUE"""),"Kesny + Nebus. + ZeroO")</f>
        <v>Kesny + Nebus. + ZeroO</v>
      </c>
      <c r="E297" s="3" t="str">
        <f>IFERROR(__xludf.DUMMYFUNCTION("""COMPUTED_VALUE"""),"Aferdita + Malena + Tess1509")</f>
        <v>Aferdita + Malena + Tess1509</v>
      </c>
      <c r="F297" s="3" t="str">
        <f>IFERROR(__xludf.DUMMYFUNCTION("""COMPUTED_VALUE"""),"win")</f>
        <v>win</v>
      </c>
      <c r="G297" s="3" t="str">
        <f>IFERROR(__xludf.DUMMYFUNCTION("""COMPUTED_VALUE"""),"3v3")</f>
        <v>3v3</v>
      </c>
      <c r="H297" s="3" t="str">
        <f>IFERROR(__xludf.DUMMYFUNCTION("IFERROR(TRIM(INDEX(SPLIT(E297,"" + ""),1)),"""")"),"Aferdita")</f>
        <v>Aferdita</v>
      </c>
      <c r="I297" s="3" t="str">
        <f>IFERROR(__xludf.DUMMYFUNCTION("IFERROR(TRIM(INDEX(SPLIT(E297,"" + ""),2)),"""")"),"Malena")</f>
        <v>Malena</v>
      </c>
      <c r="J297" s="5" t="str">
        <f>IFERROR(__xludf.DUMMYFUNCTION("IFERROR(TRIM(INDEX(SPLIT(E297,"" + ""),3)),"""")"),"Tess1509")</f>
        <v>Tess1509</v>
      </c>
      <c r="K297" s="3">
        <f>IFERROR(__xludf.DUMMYFUNCTION("IFERROR(IF(H297="""",0,INDEX(FILTER($Q$2:Q296,$C$2:C296=H297,$G$2:G296=G297),ROWS(FILTER($Q$2:Q296,$C$2:C296=H297,$G$2:G296=G297)),1)),1500)"),1524.0)</f>
        <v>1524</v>
      </c>
      <c r="L297" s="3">
        <f>IFERROR(__xludf.DUMMYFUNCTION("IFERROR(IF(I297="""",0,INDEX(FILTER($Q$2:Q296,$C$2:C296=I297,$G$2:G296=G297),ROWS(FILTER($Q$2:Q296,$C$2:C296=I297,$G$2:G296=G297)),1)),1500)"),1520.0)</f>
        <v>1520</v>
      </c>
      <c r="M297" s="3">
        <f>IFERROR(__xludf.DUMMYFUNCTION("IFERROR(IF(J297="""",0,INDEX(FILTER($Q$2:Q296,$C$2:C296=J297,$G$2:G296=G297),ROWS(FILTER($Q$2:Q296,$C$2:C296=J297,$G$2:G296=G297)),1)),1500)"),1401.0)</f>
        <v>1401</v>
      </c>
      <c r="N297" s="3">
        <f>IFERROR(__xludf.DUMMYFUNCTION("IFERROR(INDEX(FILTER($Q$2:Q296,$C$2:C296=C297,$G$2:G296=G297),ROWS(FILTER($Q$2:Q296,$C$2:C296=C297,$G$2:G296=G297)),1),1500)"),1538.0)</f>
        <v>1538</v>
      </c>
      <c r="O297" s="3">
        <f t="shared" si="3"/>
        <v>1481.666667</v>
      </c>
      <c r="P297" s="9">
        <f t="shared" si="1"/>
        <v>13</v>
      </c>
      <c r="Q297" s="5">
        <f t="shared" si="2"/>
        <v>1551</v>
      </c>
    </row>
    <row r="298">
      <c r="A298" s="3" t="str">
        <f>IFERROR(__xludf.DUMMYFUNCTION("""COMPUTED_VALUE"""),"1-r6S_UKlJEnN7PSkTYe-rDt9GaLXsC0V")</f>
        <v>1-r6S_UKlJEnN7PSkTYe-rDt9GaLXsC0V</v>
      </c>
      <c r="B298" s="13">
        <f>IFERROR(__xludf.DUMMYFUNCTION("""COMPUTED_VALUE"""),45976.0)</f>
        <v>45976</v>
      </c>
      <c r="C298" s="3" t="str">
        <f>IFERROR(__xludf.DUMMYFUNCTION("""COMPUTED_VALUE"""),"Kesny")</f>
        <v>Kesny</v>
      </c>
      <c r="D298" s="3" t="str">
        <f>IFERROR(__xludf.DUMMYFUNCTION("""COMPUTED_VALUE"""),"Kesny + Nebus. + ZeroO")</f>
        <v>Kesny + Nebus. + ZeroO</v>
      </c>
      <c r="E298" s="3" t="str">
        <f>IFERROR(__xludf.DUMMYFUNCTION("""COMPUTED_VALUE"""),"Aferdita + Malena + Tess1509")</f>
        <v>Aferdita + Malena + Tess1509</v>
      </c>
      <c r="F298" s="3" t="str">
        <f>IFERROR(__xludf.DUMMYFUNCTION("""COMPUTED_VALUE"""),"win")</f>
        <v>win</v>
      </c>
      <c r="G298" s="3" t="str">
        <f>IFERROR(__xludf.DUMMYFUNCTION("""COMPUTED_VALUE"""),"3v3")</f>
        <v>3v3</v>
      </c>
      <c r="H298" s="3" t="str">
        <f>IFERROR(__xludf.DUMMYFUNCTION("IFERROR(TRIM(INDEX(SPLIT(E298,"" + ""),1)),"""")"),"Aferdita")</f>
        <v>Aferdita</v>
      </c>
      <c r="I298" s="3" t="str">
        <f>IFERROR(__xludf.DUMMYFUNCTION("IFERROR(TRIM(INDEX(SPLIT(E298,"" + ""),2)),"""")"),"Malena")</f>
        <v>Malena</v>
      </c>
      <c r="J298" s="5" t="str">
        <f>IFERROR(__xludf.DUMMYFUNCTION("IFERROR(TRIM(INDEX(SPLIT(E298,"" + ""),3)),"""")"),"Tess1509")</f>
        <v>Tess1509</v>
      </c>
      <c r="K298" s="3">
        <f>IFERROR(__xludf.DUMMYFUNCTION("IFERROR(IF(H298="""",0,INDEX(FILTER($Q$2:Q297,$C$2:C297=H298,$G$2:G297=G298),ROWS(FILTER($Q$2:Q297,$C$2:C297=H298,$G$2:G297=G298)),1)),1500)"),1524.0)</f>
        <v>1524</v>
      </c>
      <c r="L298" s="3">
        <f>IFERROR(__xludf.DUMMYFUNCTION("IFERROR(IF(I298="""",0,INDEX(FILTER($Q$2:Q297,$C$2:C297=I298,$G$2:G297=G298),ROWS(FILTER($Q$2:Q297,$C$2:C297=I298,$G$2:G297=G298)),1)),1500)"),1520.0)</f>
        <v>1520</v>
      </c>
      <c r="M298" s="3">
        <f>IFERROR(__xludf.DUMMYFUNCTION("IFERROR(IF(J298="""",0,INDEX(FILTER($Q$2:Q297,$C$2:C297=J298,$G$2:G297=G298),ROWS(FILTER($Q$2:Q297,$C$2:C297=J298,$G$2:G297=G298)),1)),1500)"),1401.0)</f>
        <v>1401</v>
      </c>
      <c r="N298" s="3">
        <f>IFERROR(__xludf.DUMMYFUNCTION("IFERROR(INDEX(FILTER($Q$2:Q297,$C$2:C297=C298,$G$2:G297=G298),ROWS(FILTER($Q$2:Q297,$C$2:C297=C298,$G$2:G297=G298)),1),1500)"),1445.0)</f>
        <v>1445</v>
      </c>
      <c r="O298" s="3">
        <f t="shared" si="3"/>
        <v>1481.666667</v>
      </c>
      <c r="P298" s="9">
        <f t="shared" si="1"/>
        <v>18</v>
      </c>
      <c r="Q298" s="5">
        <f t="shared" si="2"/>
        <v>1463</v>
      </c>
    </row>
    <row r="299">
      <c r="A299" s="3" t="str">
        <f>IFERROR(__xludf.DUMMYFUNCTION("""COMPUTED_VALUE"""),"1-r6S_UKlJEnN7PSkTYe-rDt9GaLXsC0V")</f>
        <v>1-r6S_UKlJEnN7PSkTYe-rDt9GaLXsC0V</v>
      </c>
      <c r="B299" s="13">
        <f>IFERROR(__xludf.DUMMYFUNCTION("""COMPUTED_VALUE"""),45976.0)</f>
        <v>45976</v>
      </c>
      <c r="C299" s="3" t="str">
        <f>IFERROR(__xludf.DUMMYFUNCTION("""COMPUTED_VALUE"""),"Malena")</f>
        <v>Malena</v>
      </c>
      <c r="D299" s="3" t="str">
        <f>IFERROR(__xludf.DUMMYFUNCTION("""COMPUTED_VALUE"""),"Aferdita + Malena + Tess1509")</f>
        <v>Aferdita + Malena + Tess1509</v>
      </c>
      <c r="E299" s="3" t="str">
        <f>IFERROR(__xludf.DUMMYFUNCTION("""COMPUTED_VALUE"""),"Kesny + Nebus. + ZeroO")</f>
        <v>Kesny + Nebus. + ZeroO</v>
      </c>
      <c r="F299" s="3" t="str">
        <f>IFERROR(__xludf.DUMMYFUNCTION("""COMPUTED_VALUE"""),"loss")</f>
        <v>loss</v>
      </c>
      <c r="G299" s="3" t="str">
        <f>IFERROR(__xludf.DUMMYFUNCTION("""COMPUTED_VALUE"""),"3v3")</f>
        <v>3v3</v>
      </c>
      <c r="H299" s="3" t="str">
        <f>IFERROR(__xludf.DUMMYFUNCTION("IFERROR(TRIM(INDEX(SPLIT(E299,"" + ""),1)),"""")"),"Kesny")</f>
        <v>Kesny</v>
      </c>
      <c r="I299" s="3" t="str">
        <f>IFERROR(__xludf.DUMMYFUNCTION("IFERROR(TRIM(INDEX(SPLIT(E299,"" + ""),2)),"""")"),"Nebus.")</f>
        <v>Nebus.</v>
      </c>
      <c r="J299" s="5" t="str">
        <f>IFERROR(__xludf.DUMMYFUNCTION("IFERROR(TRIM(INDEX(SPLIT(E299,"" + ""),3)),"""")"),"ZeroO")</f>
        <v>ZeroO</v>
      </c>
      <c r="K299" s="3">
        <f>IFERROR(__xludf.DUMMYFUNCTION("IFERROR(IF(H299="""",0,INDEX(FILTER($Q$2:Q298,$C$2:C298=H299,$G$2:G298=G299),ROWS(FILTER($Q$2:Q298,$C$2:C298=H299,$G$2:G298=G299)),1)),1500)"),1463.0)</f>
        <v>1463</v>
      </c>
      <c r="L299" s="3">
        <f>IFERROR(__xludf.DUMMYFUNCTION("IFERROR(IF(I299="""",0,INDEX(FILTER($Q$2:Q298,$C$2:C298=I299,$G$2:G298=G299),ROWS(FILTER($Q$2:Q298,$C$2:C298=I299,$G$2:G298=G299)),1)),1500)"),1585.0)</f>
        <v>1585</v>
      </c>
      <c r="M299" s="3">
        <f>IFERROR(__xludf.DUMMYFUNCTION("IFERROR(IF(J299="""",0,INDEX(FILTER($Q$2:Q298,$C$2:C298=J299,$G$2:G298=G299),ROWS(FILTER($Q$2:Q298,$C$2:C298=J299,$G$2:G298=G299)),1)),1500)"),1551.0)</f>
        <v>1551</v>
      </c>
      <c r="N299" s="3">
        <f>IFERROR(__xludf.DUMMYFUNCTION("IFERROR(INDEX(FILTER($Q$2:Q298,$C$2:C298=C299,$G$2:G298=G299),ROWS(FILTER($Q$2:Q298,$C$2:C298=C299,$G$2:G298=G299)),1),1500)"),1520.0)</f>
        <v>1520</v>
      </c>
      <c r="O299" s="3">
        <f t="shared" si="3"/>
        <v>1533</v>
      </c>
      <c r="P299" s="9">
        <f t="shared" si="1"/>
        <v>-15</v>
      </c>
      <c r="Q299" s="5">
        <f t="shared" si="2"/>
        <v>1505</v>
      </c>
    </row>
    <row r="300">
      <c r="A300" s="3" t="str">
        <f>IFERROR(__xludf.DUMMYFUNCTION("""COMPUTED_VALUE"""),"1-r6S_UKlJEnN7PSkTYe-rDt9GaLXsC0V")</f>
        <v>1-r6S_UKlJEnN7PSkTYe-rDt9GaLXsC0V</v>
      </c>
      <c r="B300" s="13">
        <f>IFERROR(__xludf.DUMMYFUNCTION("""COMPUTED_VALUE"""),45976.0)</f>
        <v>45976</v>
      </c>
      <c r="C300" s="3" t="str">
        <f>IFERROR(__xludf.DUMMYFUNCTION("""COMPUTED_VALUE"""),"Tess1509")</f>
        <v>Tess1509</v>
      </c>
      <c r="D300" s="3" t="str">
        <f>IFERROR(__xludf.DUMMYFUNCTION("""COMPUTED_VALUE"""),"Aferdita + Malena + Tess1509")</f>
        <v>Aferdita + Malena + Tess1509</v>
      </c>
      <c r="E300" s="3" t="str">
        <f>IFERROR(__xludf.DUMMYFUNCTION("""COMPUTED_VALUE"""),"Kesny + Nebus. + ZeroO")</f>
        <v>Kesny + Nebus. + ZeroO</v>
      </c>
      <c r="F300" s="3" t="str">
        <f>IFERROR(__xludf.DUMMYFUNCTION("""COMPUTED_VALUE"""),"loss")</f>
        <v>loss</v>
      </c>
      <c r="G300" s="3" t="str">
        <f>IFERROR(__xludf.DUMMYFUNCTION("""COMPUTED_VALUE"""),"3v3")</f>
        <v>3v3</v>
      </c>
      <c r="H300" s="3" t="str">
        <f>IFERROR(__xludf.DUMMYFUNCTION("IFERROR(TRIM(INDEX(SPLIT(E300,"" + ""),1)),"""")"),"Kesny")</f>
        <v>Kesny</v>
      </c>
      <c r="I300" s="3" t="str">
        <f>IFERROR(__xludf.DUMMYFUNCTION("IFERROR(TRIM(INDEX(SPLIT(E300,"" + ""),2)),"""")"),"Nebus.")</f>
        <v>Nebus.</v>
      </c>
      <c r="J300" s="5" t="str">
        <f>IFERROR(__xludf.DUMMYFUNCTION("IFERROR(TRIM(INDEX(SPLIT(E300,"" + ""),3)),"""")"),"ZeroO")</f>
        <v>ZeroO</v>
      </c>
      <c r="K300" s="3">
        <f>IFERROR(__xludf.DUMMYFUNCTION("IFERROR(IF(H300="""",0,INDEX(FILTER($Q$2:Q299,$C$2:C299=H300,$G$2:G299=G300),ROWS(FILTER($Q$2:Q299,$C$2:C299=H300,$G$2:G299=G300)),1)),1500)"),1463.0)</f>
        <v>1463</v>
      </c>
      <c r="L300" s="3">
        <f>IFERROR(__xludf.DUMMYFUNCTION("IFERROR(IF(I300="""",0,INDEX(FILTER($Q$2:Q299,$C$2:C299=I300,$G$2:G299=G300),ROWS(FILTER($Q$2:Q299,$C$2:C299=I300,$G$2:G299=G300)),1)),1500)"),1585.0)</f>
        <v>1585</v>
      </c>
      <c r="M300" s="3">
        <f>IFERROR(__xludf.DUMMYFUNCTION("IFERROR(IF(J300="""",0,INDEX(FILTER($Q$2:Q299,$C$2:C299=J300,$G$2:G299=G300),ROWS(FILTER($Q$2:Q299,$C$2:C299=J300,$G$2:G299=G300)),1)),1500)"),1551.0)</f>
        <v>1551</v>
      </c>
      <c r="N300" s="3">
        <f>IFERROR(__xludf.DUMMYFUNCTION("IFERROR(INDEX(FILTER($Q$2:Q299,$C$2:C299=C300,$G$2:G299=G300),ROWS(FILTER($Q$2:Q299,$C$2:C299=C300,$G$2:G299=G300)),1),1500)"),1401.0)</f>
        <v>1401</v>
      </c>
      <c r="O300" s="3">
        <f t="shared" si="3"/>
        <v>1533</v>
      </c>
      <c r="P300" s="9">
        <f t="shared" si="1"/>
        <v>-10</v>
      </c>
      <c r="Q300" s="5">
        <f t="shared" si="2"/>
        <v>1391</v>
      </c>
    </row>
    <row r="301">
      <c r="A301" s="3" t="str">
        <f>IFERROR(__xludf.DUMMYFUNCTION("""COMPUTED_VALUE"""),"1-r6S_UKlJEnN7PSkTYe-rDt9GaLXsC0V")</f>
        <v>1-r6S_UKlJEnN7PSkTYe-rDt9GaLXsC0V</v>
      </c>
      <c r="B301" s="13">
        <f>IFERROR(__xludf.DUMMYFUNCTION("""COMPUTED_VALUE"""),45976.0)</f>
        <v>45976</v>
      </c>
      <c r="C301" s="3" t="str">
        <f>IFERROR(__xludf.DUMMYFUNCTION("""COMPUTED_VALUE"""),"Aferdita")</f>
        <v>Aferdita</v>
      </c>
      <c r="D301" s="3" t="str">
        <f>IFERROR(__xludf.DUMMYFUNCTION("""COMPUTED_VALUE"""),"Aferdita + Malena + Tess1509")</f>
        <v>Aferdita + Malena + Tess1509</v>
      </c>
      <c r="E301" s="3" t="str">
        <f>IFERROR(__xludf.DUMMYFUNCTION("""COMPUTED_VALUE"""),"Kesny + Nebus. + ZeroO")</f>
        <v>Kesny + Nebus. + ZeroO</v>
      </c>
      <c r="F301" s="3" t="str">
        <f>IFERROR(__xludf.DUMMYFUNCTION("""COMPUTED_VALUE"""),"loss")</f>
        <v>loss</v>
      </c>
      <c r="G301" s="3" t="str">
        <f>IFERROR(__xludf.DUMMYFUNCTION("""COMPUTED_VALUE"""),"3v3")</f>
        <v>3v3</v>
      </c>
      <c r="H301" s="3" t="str">
        <f>IFERROR(__xludf.DUMMYFUNCTION("IFERROR(TRIM(INDEX(SPLIT(E301,"" + ""),1)),"""")"),"Kesny")</f>
        <v>Kesny</v>
      </c>
      <c r="I301" s="3" t="str">
        <f>IFERROR(__xludf.DUMMYFUNCTION("IFERROR(TRIM(INDEX(SPLIT(E301,"" + ""),2)),"""")"),"Nebus.")</f>
        <v>Nebus.</v>
      </c>
      <c r="J301" s="5" t="str">
        <f>IFERROR(__xludf.DUMMYFUNCTION("IFERROR(TRIM(INDEX(SPLIT(E301,"" + ""),3)),"""")"),"ZeroO")</f>
        <v>ZeroO</v>
      </c>
      <c r="K301" s="3">
        <f>IFERROR(__xludf.DUMMYFUNCTION("IFERROR(IF(H301="""",0,INDEX(FILTER($Q$2:Q300,$C$2:C300=H301,$G$2:G300=G301),ROWS(FILTER($Q$2:Q300,$C$2:C300=H301,$G$2:G300=G301)),1)),1500)"),1463.0)</f>
        <v>1463</v>
      </c>
      <c r="L301" s="3">
        <f>IFERROR(__xludf.DUMMYFUNCTION("IFERROR(IF(I301="""",0,INDEX(FILTER($Q$2:Q300,$C$2:C300=I301,$G$2:G300=G301),ROWS(FILTER($Q$2:Q300,$C$2:C300=I301,$G$2:G300=G301)),1)),1500)"),1585.0)</f>
        <v>1585</v>
      </c>
      <c r="M301" s="3">
        <f>IFERROR(__xludf.DUMMYFUNCTION("IFERROR(IF(J301="""",0,INDEX(FILTER($Q$2:Q300,$C$2:C300=J301,$G$2:G300=G301),ROWS(FILTER($Q$2:Q300,$C$2:C300=J301,$G$2:G300=G301)),1)),1500)"),1551.0)</f>
        <v>1551</v>
      </c>
      <c r="N301" s="3">
        <f>IFERROR(__xludf.DUMMYFUNCTION("IFERROR(INDEX(FILTER($Q$2:Q300,$C$2:C300=C301,$G$2:G300=G301),ROWS(FILTER($Q$2:Q300,$C$2:C300=C301,$G$2:G300=G301)),1),1500)"),1524.0)</f>
        <v>1524</v>
      </c>
      <c r="O301" s="3">
        <f t="shared" si="3"/>
        <v>1533</v>
      </c>
      <c r="P301" s="9">
        <f t="shared" si="1"/>
        <v>-16</v>
      </c>
      <c r="Q301" s="5">
        <f t="shared" si="2"/>
        <v>1508</v>
      </c>
    </row>
    <row r="302">
      <c r="A302" s="3" t="str">
        <f>IFERROR(__xludf.DUMMYFUNCTION("""COMPUTED_VALUE"""),"1lDy3Um4YK8NScQ57URqWiruLMRmLwJ3b")</f>
        <v>1lDy3Um4YK8NScQ57URqWiruLMRmLwJ3b</v>
      </c>
      <c r="B302" s="13">
        <f>IFERROR(__xludf.DUMMYFUNCTION("""COMPUTED_VALUE"""),45976.0)</f>
        <v>45976</v>
      </c>
      <c r="C302" s="3" t="str">
        <f>IFERROR(__xludf.DUMMYFUNCTION("""COMPUTED_VALUE"""),"Malena")</f>
        <v>Malena</v>
      </c>
      <c r="D302" s="3" t="str">
        <f>IFERROR(__xludf.DUMMYFUNCTION("""COMPUTED_VALUE"""),"Aferdita + Malena + Tess1509")</f>
        <v>Aferdita + Malena + Tess1509</v>
      </c>
      <c r="E302" s="3" t="str">
        <f>IFERROR(__xludf.DUMMYFUNCTION("""COMPUTED_VALUE"""),"Kesny + Nebus. + ZeroO")</f>
        <v>Kesny + Nebus. + ZeroO</v>
      </c>
      <c r="F302" s="3" t="str">
        <f>IFERROR(__xludf.DUMMYFUNCTION("""COMPUTED_VALUE"""),"loss")</f>
        <v>loss</v>
      </c>
      <c r="G302" s="3" t="str">
        <f>IFERROR(__xludf.DUMMYFUNCTION("""COMPUTED_VALUE"""),"3v3")</f>
        <v>3v3</v>
      </c>
      <c r="H302" s="3" t="str">
        <f>IFERROR(__xludf.DUMMYFUNCTION("IFERROR(TRIM(INDEX(SPLIT(E302,"" + ""),1)),"""")"),"Kesny")</f>
        <v>Kesny</v>
      </c>
      <c r="I302" s="3" t="str">
        <f>IFERROR(__xludf.DUMMYFUNCTION("IFERROR(TRIM(INDEX(SPLIT(E302,"" + ""),2)),"""")"),"Nebus.")</f>
        <v>Nebus.</v>
      </c>
      <c r="J302" s="5" t="str">
        <f>IFERROR(__xludf.DUMMYFUNCTION("IFERROR(TRIM(INDEX(SPLIT(E302,"" + ""),3)),"""")"),"ZeroO")</f>
        <v>ZeroO</v>
      </c>
      <c r="K302" s="3">
        <f>IFERROR(__xludf.DUMMYFUNCTION("IFERROR(IF(H302="""",0,INDEX(FILTER($Q$2:Q301,$C$2:C301=H302,$G$2:G301=G302),ROWS(FILTER($Q$2:Q301,$C$2:C301=H302,$G$2:G301=G302)),1)),1500)"),1463.0)</f>
        <v>1463</v>
      </c>
      <c r="L302" s="3">
        <f>IFERROR(__xludf.DUMMYFUNCTION("IFERROR(IF(I302="""",0,INDEX(FILTER($Q$2:Q301,$C$2:C301=I302,$G$2:G301=G302),ROWS(FILTER($Q$2:Q301,$C$2:C301=I302,$G$2:G301=G302)),1)),1500)"),1585.0)</f>
        <v>1585</v>
      </c>
      <c r="M302" s="3">
        <f>IFERROR(__xludf.DUMMYFUNCTION("IFERROR(IF(J302="""",0,INDEX(FILTER($Q$2:Q301,$C$2:C301=J302,$G$2:G301=G302),ROWS(FILTER($Q$2:Q301,$C$2:C301=J302,$G$2:G301=G302)),1)),1500)"),1551.0)</f>
        <v>1551</v>
      </c>
      <c r="N302" s="3">
        <f>IFERROR(__xludf.DUMMYFUNCTION("IFERROR(INDEX(FILTER($Q$2:Q301,$C$2:C301=C302,$G$2:G301=G302),ROWS(FILTER($Q$2:Q301,$C$2:C301=C302,$G$2:G301=G302)),1),1500)"),1505.0)</f>
        <v>1505</v>
      </c>
      <c r="O302" s="3">
        <f t="shared" si="3"/>
        <v>1533</v>
      </c>
      <c r="P302" s="9">
        <f t="shared" si="1"/>
        <v>-15</v>
      </c>
      <c r="Q302" s="5">
        <f t="shared" si="2"/>
        <v>1490</v>
      </c>
    </row>
    <row r="303">
      <c r="A303" s="3" t="str">
        <f>IFERROR(__xludf.DUMMYFUNCTION("""COMPUTED_VALUE"""),"1lDy3Um4YK8NScQ57URqWiruLMRmLwJ3b")</f>
        <v>1lDy3Um4YK8NScQ57URqWiruLMRmLwJ3b</v>
      </c>
      <c r="B303" s="13">
        <f>IFERROR(__xludf.DUMMYFUNCTION("""COMPUTED_VALUE"""),45976.0)</f>
        <v>45976</v>
      </c>
      <c r="C303" s="3" t="str">
        <f>IFERROR(__xludf.DUMMYFUNCTION("""COMPUTED_VALUE"""),"Tess1509")</f>
        <v>Tess1509</v>
      </c>
      <c r="D303" s="3" t="str">
        <f>IFERROR(__xludf.DUMMYFUNCTION("""COMPUTED_VALUE"""),"Aferdita + Malena + Tess1509")</f>
        <v>Aferdita + Malena + Tess1509</v>
      </c>
      <c r="E303" s="3" t="str">
        <f>IFERROR(__xludf.DUMMYFUNCTION("""COMPUTED_VALUE"""),"Kesny + Nebus. + ZeroO")</f>
        <v>Kesny + Nebus. + ZeroO</v>
      </c>
      <c r="F303" s="3" t="str">
        <f>IFERROR(__xludf.DUMMYFUNCTION("""COMPUTED_VALUE"""),"loss")</f>
        <v>loss</v>
      </c>
      <c r="G303" s="3" t="str">
        <f>IFERROR(__xludf.DUMMYFUNCTION("""COMPUTED_VALUE"""),"3v3")</f>
        <v>3v3</v>
      </c>
      <c r="H303" s="3" t="str">
        <f>IFERROR(__xludf.DUMMYFUNCTION("IFERROR(TRIM(INDEX(SPLIT(E303,"" + ""),1)),"""")"),"Kesny")</f>
        <v>Kesny</v>
      </c>
      <c r="I303" s="3" t="str">
        <f>IFERROR(__xludf.DUMMYFUNCTION("IFERROR(TRIM(INDEX(SPLIT(E303,"" + ""),2)),"""")"),"Nebus.")</f>
        <v>Nebus.</v>
      </c>
      <c r="J303" s="5" t="str">
        <f>IFERROR(__xludf.DUMMYFUNCTION("IFERROR(TRIM(INDEX(SPLIT(E303,"" + ""),3)),"""")"),"ZeroO")</f>
        <v>ZeroO</v>
      </c>
      <c r="K303" s="3">
        <f>IFERROR(__xludf.DUMMYFUNCTION("IFERROR(IF(H303="""",0,INDEX(FILTER($Q$2:Q302,$C$2:C302=H303,$G$2:G302=G303),ROWS(FILTER($Q$2:Q302,$C$2:C302=H303,$G$2:G302=G303)),1)),1500)"),1463.0)</f>
        <v>1463</v>
      </c>
      <c r="L303" s="3">
        <f>IFERROR(__xludf.DUMMYFUNCTION("IFERROR(IF(I303="""",0,INDEX(FILTER($Q$2:Q302,$C$2:C302=I303,$G$2:G302=G303),ROWS(FILTER($Q$2:Q302,$C$2:C302=I303,$G$2:G302=G303)),1)),1500)"),1585.0)</f>
        <v>1585</v>
      </c>
      <c r="M303" s="3">
        <f>IFERROR(__xludf.DUMMYFUNCTION("IFERROR(IF(J303="""",0,INDEX(FILTER($Q$2:Q302,$C$2:C302=J303,$G$2:G302=G303),ROWS(FILTER($Q$2:Q302,$C$2:C302=J303,$G$2:G302=G303)),1)),1500)"),1551.0)</f>
        <v>1551</v>
      </c>
      <c r="N303" s="3">
        <f>IFERROR(__xludf.DUMMYFUNCTION("IFERROR(INDEX(FILTER($Q$2:Q302,$C$2:C302=C303,$G$2:G302=G303),ROWS(FILTER($Q$2:Q302,$C$2:C302=C303,$G$2:G302=G303)),1),1500)"),1391.0)</f>
        <v>1391</v>
      </c>
      <c r="O303" s="3">
        <f t="shared" si="3"/>
        <v>1533</v>
      </c>
      <c r="P303" s="9">
        <f t="shared" si="1"/>
        <v>-10</v>
      </c>
      <c r="Q303" s="5">
        <f t="shared" si="2"/>
        <v>1381</v>
      </c>
    </row>
    <row r="304">
      <c r="A304" s="3" t="str">
        <f>IFERROR(__xludf.DUMMYFUNCTION("""COMPUTED_VALUE"""),"1lDy3Um4YK8NScQ57URqWiruLMRmLwJ3b")</f>
        <v>1lDy3Um4YK8NScQ57URqWiruLMRmLwJ3b</v>
      </c>
      <c r="B304" s="13">
        <f>IFERROR(__xludf.DUMMYFUNCTION("""COMPUTED_VALUE"""),45976.0)</f>
        <v>45976</v>
      </c>
      <c r="C304" s="3" t="str">
        <f>IFERROR(__xludf.DUMMYFUNCTION("""COMPUTED_VALUE"""),"Aferdita")</f>
        <v>Aferdita</v>
      </c>
      <c r="D304" s="3" t="str">
        <f>IFERROR(__xludf.DUMMYFUNCTION("""COMPUTED_VALUE"""),"Aferdita + Malena + Tess1509")</f>
        <v>Aferdita + Malena + Tess1509</v>
      </c>
      <c r="E304" s="3" t="str">
        <f>IFERROR(__xludf.DUMMYFUNCTION("""COMPUTED_VALUE"""),"Kesny + Nebus. + ZeroO")</f>
        <v>Kesny + Nebus. + ZeroO</v>
      </c>
      <c r="F304" s="3" t="str">
        <f>IFERROR(__xludf.DUMMYFUNCTION("""COMPUTED_VALUE"""),"loss")</f>
        <v>loss</v>
      </c>
      <c r="G304" s="3" t="str">
        <f>IFERROR(__xludf.DUMMYFUNCTION("""COMPUTED_VALUE"""),"3v3")</f>
        <v>3v3</v>
      </c>
      <c r="H304" s="3" t="str">
        <f>IFERROR(__xludf.DUMMYFUNCTION("IFERROR(TRIM(INDEX(SPLIT(E304,"" + ""),1)),"""")"),"Kesny")</f>
        <v>Kesny</v>
      </c>
      <c r="I304" s="3" t="str">
        <f>IFERROR(__xludf.DUMMYFUNCTION("IFERROR(TRIM(INDEX(SPLIT(E304,"" + ""),2)),"""")"),"Nebus.")</f>
        <v>Nebus.</v>
      </c>
      <c r="J304" s="5" t="str">
        <f>IFERROR(__xludf.DUMMYFUNCTION("IFERROR(TRIM(INDEX(SPLIT(E304,"" + ""),3)),"""")"),"ZeroO")</f>
        <v>ZeroO</v>
      </c>
      <c r="K304" s="3">
        <f>IFERROR(__xludf.DUMMYFUNCTION("IFERROR(IF(H304="""",0,INDEX(FILTER($Q$2:Q303,$C$2:C303=H304,$G$2:G303=G304),ROWS(FILTER($Q$2:Q303,$C$2:C303=H304,$G$2:G303=G304)),1)),1500)"),1463.0)</f>
        <v>1463</v>
      </c>
      <c r="L304" s="3">
        <f>IFERROR(__xludf.DUMMYFUNCTION("IFERROR(IF(I304="""",0,INDEX(FILTER($Q$2:Q303,$C$2:C303=I304,$G$2:G303=G304),ROWS(FILTER($Q$2:Q303,$C$2:C303=I304,$G$2:G303=G304)),1)),1500)"),1585.0)</f>
        <v>1585</v>
      </c>
      <c r="M304" s="3">
        <f>IFERROR(__xludf.DUMMYFUNCTION("IFERROR(IF(J304="""",0,INDEX(FILTER($Q$2:Q303,$C$2:C303=J304,$G$2:G303=G304),ROWS(FILTER($Q$2:Q303,$C$2:C303=J304,$G$2:G303=G304)),1)),1500)"),1551.0)</f>
        <v>1551</v>
      </c>
      <c r="N304" s="3">
        <f>IFERROR(__xludf.DUMMYFUNCTION("IFERROR(INDEX(FILTER($Q$2:Q303,$C$2:C303=C304,$G$2:G303=G304),ROWS(FILTER($Q$2:Q303,$C$2:C303=C304,$G$2:G303=G304)),1),1500)"),1508.0)</f>
        <v>1508</v>
      </c>
      <c r="O304" s="3">
        <f t="shared" si="3"/>
        <v>1533</v>
      </c>
      <c r="P304" s="9">
        <f t="shared" si="1"/>
        <v>-15</v>
      </c>
      <c r="Q304" s="5">
        <f t="shared" si="2"/>
        <v>1493</v>
      </c>
    </row>
    <row r="305">
      <c r="A305" s="3" t="str">
        <f>IFERROR(__xludf.DUMMYFUNCTION("""COMPUTED_VALUE"""),"1lDy3Um4YK8NScQ57URqWiruLMRmLwJ3b")</f>
        <v>1lDy3Um4YK8NScQ57URqWiruLMRmLwJ3b</v>
      </c>
      <c r="B305" s="13">
        <f>IFERROR(__xludf.DUMMYFUNCTION("""COMPUTED_VALUE"""),45976.0)</f>
        <v>45976</v>
      </c>
      <c r="C305" s="3" t="str">
        <f>IFERROR(__xludf.DUMMYFUNCTION("""COMPUTED_VALUE"""),"Kesny")</f>
        <v>Kesny</v>
      </c>
      <c r="D305" s="3" t="str">
        <f>IFERROR(__xludf.DUMMYFUNCTION("""COMPUTED_VALUE"""),"Kesny + Nebus. + ZeroO")</f>
        <v>Kesny + Nebus. + ZeroO</v>
      </c>
      <c r="E305" s="3" t="str">
        <f>IFERROR(__xludf.DUMMYFUNCTION("""COMPUTED_VALUE"""),"Aferdita + Malena + Tess1509")</f>
        <v>Aferdita + Malena + Tess1509</v>
      </c>
      <c r="F305" s="3" t="str">
        <f>IFERROR(__xludf.DUMMYFUNCTION("""COMPUTED_VALUE"""),"win")</f>
        <v>win</v>
      </c>
      <c r="G305" s="3" t="str">
        <f>IFERROR(__xludf.DUMMYFUNCTION("""COMPUTED_VALUE"""),"3v3")</f>
        <v>3v3</v>
      </c>
      <c r="H305" s="3" t="str">
        <f>IFERROR(__xludf.DUMMYFUNCTION("IFERROR(TRIM(INDEX(SPLIT(E305,"" + ""),1)),"""")"),"Aferdita")</f>
        <v>Aferdita</v>
      </c>
      <c r="I305" s="3" t="str">
        <f>IFERROR(__xludf.DUMMYFUNCTION("IFERROR(TRIM(INDEX(SPLIT(E305,"" + ""),2)),"""")"),"Malena")</f>
        <v>Malena</v>
      </c>
      <c r="J305" s="5" t="str">
        <f>IFERROR(__xludf.DUMMYFUNCTION("IFERROR(TRIM(INDEX(SPLIT(E305,"" + ""),3)),"""")"),"Tess1509")</f>
        <v>Tess1509</v>
      </c>
      <c r="K305" s="3">
        <f>IFERROR(__xludf.DUMMYFUNCTION("IFERROR(IF(H305="""",0,INDEX(FILTER($Q$2:Q304,$C$2:C304=H305,$G$2:G304=G305),ROWS(FILTER($Q$2:Q304,$C$2:C304=H305,$G$2:G304=G305)),1)),1500)"),1493.0)</f>
        <v>1493</v>
      </c>
      <c r="L305" s="3">
        <f>IFERROR(__xludf.DUMMYFUNCTION("IFERROR(IF(I305="""",0,INDEX(FILTER($Q$2:Q304,$C$2:C304=I305,$G$2:G304=G305),ROWS(FILTER($Q$2:Q304,$C$2:C304=I305,$G$2:G304=G305)),1)),1500)"),1490.0)</f>
        <v>1490</v>
      </c>
      <c r="M305" s="3">
        <f>IFERROR(__xludf.DUMMYFUNCTION("IFERROR(IF(J305="""",0,INDEX(FILTER($Q$2:Q304,$C$2:C304=J305,$G$2:G304=G305),ROWS(FILTER($Q$2:Q304,$C$2:C304=J305,$G$2:G304=G305)),1)),1500)"),1381.0)</f>
        <v>1381</v>
      </c>
      <c r="N305" s="3">
        <f>IFERROR(__xludf.DUMMYFUNCTION("IFERROR(INDEX(FILTER($Q$2:Q304,$C$2:C304=C305,$G$2:G304=G305),ROWS(FILTER($Q$2:Q304,$C$2:C304=C305,$G$2:G304=G305)),1),1500)"),1463.0)</f>
        <v>1463</v>
      </c>
      <c r="O305" s="3">
        <f t="shared" si="3"/>
        <v>1454.666667</v>
      </c>
      <c r="P305" s="9">
        <f t="shared" si="1"/>
        <v>16</v>
      </c>
      <c r="Q305" s="5">
        <f t="shared" si="2"/>
        <v>1479</v>
      </c>
    </row>
    <row r="306">
      <c r="A306" s="3" t="str">
        <f>IFERROR(__xludf.DUMMYFUNCTION("""COMPUTED_VALUE"""),"1lDy3Um4YK8NScQ57URqWiruLMRmLwJ3b")</f>
        <v>1lDy3Um4YK8NScQ57URqWiruLMRmLwJ3b</v>
      </c>
      <c r="B306" s="13">
        <f>IFERROR(__xludf.DUMMYFUNCTION("""COMPUTED_VALUE"""),45976.0)</f>
        <v>45976</v>
      </c>
      <c r="C306" s="3" t="str">
        <f>IFERROR(__xludf.DUMMYFUNCTION("""COMPUTED_VALUE"""),"ZeroO")</f>
        <v>ZeroO</v>
      </c>
      <c r="D306" s="3" t="str">
        <f>IFERROR(__xludf.DUMMYFUNCTION("""COMPUTED_VALUE"""),"Kesny + Nebus. + ZeroO")</f>
        <v>Kesny + Nebus. + ZeroO</v>
      </c>
      <c r="E306" s="3" t="str">
        <f>IFERROR(__xludf.DUMMYFUNCTION("""COMPUTED_VALUE"""),"Aferdita + Malena + Tess1509")</f>
        <v>Aferdita + Malena + Tess1509</v>
      </c>
      <c r="F306" s="3" t="str">
        <f>IFERROR(__xludf.DUMMYFUNCTION("""COMPUTED_VALUE"""),"win")</f>
        <v>win</v>
      </c>
      <c r="G306" s="3" t="str">
        <f>IFERROR(__xludf.DUMMYFUNCTION("""COMPUTED_VALUE"""),"3v3")</f>
        <v>3v3</v>
      </c>
      <c r="H306" s="3" t="str">
        <f>IFERROR(__xludf.DUMMYFUNCTION("IFERROR(TRIM(INDEX(SPLIT(E306,"" + ""),1)),"""")"),"Aferdita")</f>
        <v>Aferdita</v>
      </c>
      <c r="I306" s="3" t="str">
        <f>IFERROR(__xludf.DUMMYFUNCTION("IFERROR(TRIM(INDEX(SPLIT(E306,"" + ""),2)),"""")"),"Malena")</f>
        <v>Malena</v>
      </c>
      <c r="J306" s="5" t="str">
        <f>IFERROR(__xludf.DUMMYFUNCTION("IFERROR(TRIM(INDEX(SPLIT(E306,"" + ""),3)),"""")"),"Tess1509")</f>
        <v>Tess1509</v>
      </c>
      <c r="K306" s="3">
        <f>IFERROR(__xludf.DUMMYFUNCTION("IFERROR(IF(H306="""",0,INDEX(FILTER($Q$2:Q305,$C$2:C305=H306,$G$2:G305=G306),ROWS(FILTER($Q$2:Q305,$C$2:C305=H306,$G$2:G305=G306)),1)),1500)"),1493.0)</f>
        <v>1493</v>
      </c>
      <c r="L306" s="3">
        <f>IFERROR(__xludf.DUMMYFUNCTION("IFERROR(IF(I306="""",0,INDEX(FILTER($Q$2:Q305,$C$2:C305=I306,$G$2:G305=G306),ROWS(FILTER($Q$2:Q305,$C$2:C305=I306,$G$2:G305=G306)),1)),1500)"),1490.0)</f>
        <v>1490</v>
      </c>
      <c r="M306" s="3">
        <f>IFERROR(__xludf.DUMMYFUNCTION("IFERROR(IF(J306="""",0,INDEX(FILTER($Q$2:Q305,$C$2:C305=J306,$G$2:G305=G306),ROWS(FILTER($Q$2:Q305,$C$2:C305=J306,$G$2:G305=G306)),1)),1500)"),1381.0)</f>
        <v>1381</v>
      </c>
      <c r="N306" s="3">
        <f>IFERROR(__xludf.DUMMYFUNCTION("IFERROR(INDEX(FILTER($Q$2:Q305,$C$2:C305=C306,$G$2:G305=G306),ROWS(FILTER($Q$2:Q305,$C$2:C305=C306,$G$2:G305=G306)),1),1500)"),1551.0)</f>
        <v>1551</v>
      </c>
      <c r="O306" s="3">
        <f t="shared" si="3"/>
        <v>1454.666667</v>
      </c>
      <c r="P306" s="9">
        <f t="shared" si="1"/>
        <v>12</v>
      </c>
      <c r="Q306" s="5">
        <f t="shared" si="2"/>
        <v>1563</v>
      </c>
    </row>
    <row r="307">
      <c r="A307" s="3" t="str">
        <f>IFERROR(__xludf.DUMMYFUNCTION("""COMPUTED_VALUE"""),"1lDy3Um4YK8NScQ57URqWiruLMRmLwJ3b")</f>
        <v>1lDy3Um4YK8NScQ57URqWiruLMRmLwJ3b</v>
      </c>
      <c r="B307" s="13">
        <f>IFERROR(__xludf.DUMMYFUNCTION("""COMPUTED_VALUE"""),45976.0)</f>
        <v>45976</v>
      </c>
      <c r="C307" s="3" t="str">
        <f>IFERROR(__xludf.DUMMYFUNCTION("""COMPUTED_VALUE"""),"Nebus.")</f>
        <v>Nebus.</v>
      </c>
      <c r="D307" s="3" t="str">
        <f>IFERROR(__xludf.DUMMYFUNCTION("""COMPUTED_VALUE"""),"Kesny + Nebus. + ZeroO")</f>
        <v>Kesny + Nebus. + ZeroO</v>
      </c>
      <c r="E307" s="3" t="str">
        <f>IFERROR(__xludf.DUMMYFUNCTION("""COMPUTED_VALUE"""),"Aferdita + Malena + Tess1509")</f>
        <v>Aferdita + Malena + Tess1509</v>
      </c>
      <c r="F307" s="3" t="str">
        <f>IFERROR(__xludf.DUMMYFUNCTION("""COMPUTED_VALUE"""),"win")</f>
        <v>win</v>
      </c>
      <c r="G307" s="3" t="str">
        <f>IFERROR(__xludf.DUMMYFUNCTION("""COMPUTED_VALUE"""),"3v3")</f>
        <v>3v3</v>
      </c>
      <c r="H307" s="3" t="str">
        <f>IFERROR(__xludf.DUMMYFUNCTION("IFERROR(TRIM(INDEX(SPLIT(E307,"" + ""),1)),"""")"),"Aferdita")</f>
        <v>Aferdita</v>
      </c>
      <c r="I307" s="3" t="str">
        <f>IFERROR(__xludf.DUMMYFUNCTION("IFERROR(TRIM(INDEX(SPLIT(E307,"" + ""),2)),"""")"),"Malena")</f>
        <v>Malena</v>
      </c>
      <c r="J307" s="5" t="str">
        <f>IFERROR(__xludf.DUMMYFUNCTION("IFERROR(TRIM(INDEX(SPLIT(E307,"" + ""),3)),"""")"),"Tess1509")</f>
        <v>Tess1509</v>
      </c>
      <c r="K307" s="3">
        <f>IFERROR(__xludf.DUMMYFUNCTION("IFERROR(IF(H307="""",0,INDEX(FILTER($Q$2:Q306,$C$2:C306=H307,$G$2:G306=G307),ROWS(FILTER($Q$2:Q306,$C$2:C306=H307,$G$2:G306=G307)),1)),1500)"),1493.0)</f>
        <v>1493</v>
      </c>
      <c r="L307" s="3">
        <f>IFERROR(__xludf.DUMMYFUNCTION("IFERROR(IF(I307="""",0,INDEX(FILTER($Q$2:Q306,$C$2:C306=I307,$G$2:G306=G307),ROWS(FILTER($Q$2:Q306,$C$2:C306=I307,$G$2:G306=G307)),1)),1500)"),1490.0)</f>
        <v>1490</v>
      </c>
      <c r="M307" s="3">
        <f>IFERROR(__xludf.DUMMYFUNCTION("IFERROR(IF(J307="""",0,INDEX(FILTER($Q$2:Q306,$C$2:C306=J307,$G$2:G306=G307),ROWS(FILTER($Q$2:Q306,$C$2:C306=J307,$G$2:G306=G307)),1)),1500)"),1381.0)</f>
        <v>1381</v>
      </c>
      <c r="N307" s="3">
        <f>IFERROR(__xludf.DUMMYFUNCTION("IFERROR(INDEX(FILTER($Q$2:Q306,$C$2:C306=C307,$G$2:G306=G307),ROWS(FILTER($Q$2:Q306,$C$2:C306=C307,$G$2:G306=G307)),1),1500)"),1585.0)</f>
        <v>1585</v>
      </c>
      <c r="O307" s="3">
        <f t="shared" si="3"/>
        <v>1454.666667</v>
      </c>
      <c r="P307" s="9">
        <f t="shared" si="1"/>
        <v>10</v>
      </c>
      <c r="Q307" s="5">
        <f t="shared" si="2"/>
        <v>1595</v>
      </c>
    </row>
    <row r="308">
      <c r="A308" s="3" t="str">
        <f>IFERROR(__xludf.DUMMYFUNCTION("""COMPUTED_VALUE"""),"1bp3dcM0ooycmcj6I-RrsUB0zUj9woj4w")</f>
        <v>1bp3dcM0ooycmcj6I-RrsUB0zUj9woj4w</v>
      </c>
      <c r="B308" s="13">
        <f>IFERROR(__xludf.DUMMYFUNCTION("""COMPUTED_VALUE"""),45976.0)</f>
        <v>45976</v>
      </c>
      <c r="C308" s="3" t="str">
        <f>IFERROR(__xludf.DUMMYFUNCTION("""COMPUTED_VALUE"""),"Malena")</f>
        <v>Malena</v>
      </c>
      <c r="D308" s="3" t="str">
        <f>IFERROR(__xludf.DUMMYFUNCTION("""COMPUTED_VALUE"""),"Kesny + Malena + Tess1509")</f>
        <v>Kesny + Malena + Tess1509</v>
      </c>
      <c r="E308" s="3" t="str">
        <f>IFERROR(__xludf.DUMMYFUNCTION("""COMPUTED_VALUE"""),"Aferdita + Nebus. + ZeroO")</f>
        <v>Aferdita + Nebus. + ZeroO</v>
      </c>
      <c r="F308" s="3" t="str">
        <f>IFERROR(__xludf.DUMMYFUNCTION("""COMPUTED_VALUE"""),"loss")</f>
        <v>loss</v>
      </c>
      <c r="G308" s="3" t="str">
        <f>IFERROR(__xludf.DUMMYFUNCTION("""COMPUTED_VALUE"""),"3v3")</f>
        <v>3v3</v>
      </c>
      <c r="H308" s="3" t="str">
        <f>IFERROR(__xludf.DUMMYFUNCTION("IFERROR(TRIM(INDEX(SPLIT(E308,"" + ""),1)),"""")"),"Aferdita")</f>
        <v>Aferdita</v>
      </c>
      <c r="I308" s="3" t="str">
        <f>IFERROR(__xludf.DUMMYFUNCTION("IFERROR(TRIM(INDEX(SPLIT(E308,"" + ""),2)),"""")"),"Nebus.")</f>
        <v>Nebus.</v>
      </c>
      <c r="J308" s="5" t="str">
        <f>IFERROR(__xludf.DUMMYFUNCTION("IFERROR(TRIM(INDEX(SPLIT(E308,"" + ""),3)),"""")"),"ZeroO")</f>
        <v>ZeroO</v>
      </c>
      <c r="K308" s="3">
        <f>IFERROR(__xludf.DUMMYFUNCTION("IFERROR(IF(H308="""",0,INDEX(FILTER($Q$2:Q307,$C$2:C307=H308,$G$2:G307=G308),ROWS(FILTER($Q$2:Q307,$C$2:C307=H308,$G$2:G307=G308)),1)),1500)"),1493.0)</f>
        <v>1493</v>
      </c>
      <c r="L308" s="3">
        <f>IFERROR(__xludf.DUMMYFUNCTION("IFERROR(IF(I308="""",0,INDEX(FILTER($Q$2:Q307,$C$2:C307=I308,$G$2:G307=G308),ROWS(FILTER($Q$2:Q307,$C$2:C307=I308,$G$2:G307=G308)),1)),1500)"),1595.0)</f>
        <v>1595</v>
      </c>
      <c r="M308" s="3">
        <f>IFERROR(__xludf.DUMMYFUNCTION("IFERROR(IF(J308="""",0,INDEX(FILTER($Q$2:Q307,$C$2:C307=J308,$G$2:G307=G308),ROWS(FILTER($Q$2:Q307,$C$2:C307=J308,$G$2:G307=G308)),1)),1500)"),1563.0)</f>
        <v>1563</v>
      </c>
      <c r="N308" s="3">
        <f>IFERROR(__xludf.DUMMYFUNCTION("IFERROR(INDEX(FILTER($Q$2:Q307,$C$2:C307=C308,$G$2:G307=G308),ROWS(FILTER($Q$2:Q307,$C$2:C307=C308,$G$2:G307=G308)),1),1500)"),1490.0)</f>
        <v>1490</v>
      </c>
      <c r="O308" s="3">
        <f t="shared" si="3"/>
        <v>1550.333333</v>
      </c>
      <c r="P308" s="9">
        <f t="shared" si="1"/>
        <v>-13</v>
      </c>
      <c r="Q308" s="5">
        <f t="shared" si="2"/>
        <v>1477</v>
      </c>
    </row>
    <row r="309">
      <c r="A309" s="3" t="str">
        <f>IFERROR(__xludf.DUMMYFUNCTION("""COMPUTED_VALUE"""),"1bp3dcM0ooycmcj6I-RrsUB0zUj9woj4w")</f>
        <v>1bp3dcM0ooycmcj6I-RrsUB0zUj9woj4w</v>
      </c>
      <c r="B309" s="13">
        <f>IFERROR(__xludf.DUMMYFUNCTION("""COMPUTED_VALUE"""),45976.0)</f>
        <v>45976</v>
      </c>
      <c r="C309" s="3" t="str">
        <f>IFERROR(__xludf.DUMMYFUNCTION("""COMPUTED_VALUE"""),"Kesny")</f>
        <v>Kesny</v>
      </c>
      <c r="D309" s="3" t="str">
        <f>IFERROR(__xludf.DUMMYFUNCTION("""COMPUTED_VALUE"""),"Kesny + Malena + Tess1509")</f>
        <v>Kesny + Malena + Tess1509</v>
      </c>
      <c r="E309" s="3" t="str">
        <f>IFERROR(__xludf.DUMMYFUNCTION("""COMPUTED_VALUE"""),"Aferdita + Nebus. + ZeroO")</f>
        <v>Aferdita + Nebus. + ZeroO</v>
      </c>
      <c r="F309" s="3" t="str">
        <f>IFERROR(__xludf.DUMMYFUNCTION("""COMPUTED_VALUE"""),"loss")</f>
        <v>loss</v>
      </c>
      <c r="G309" s="3" t="str">
        <f>IFERROR(__xludf.DUMMYFUNCTION("""COMPUTED_VALUE"""),"3v3")</f>
        <v>3v3</v>
      </c>
      <c r="H309" s="3" t="str">
        <f>IFERROR(__xludf.DUMMYFUNCTION("IFERROR(TRIM(INDEX(SPLIT(E309,"" + ""),1)),"""")"),"Aferdita")</f>
        <v>Aferdita</v>
      </c>
      <c r="I309" s="3" t="str">
        <f>IFERROR(__xludf.DUMMYFUNCTION("IFERROR(TRIM(INDEX(SPLIT(E309,"" + ""),2)),"""")"),"Nebus.")</f>
        <v>Nebus.</v>
      </c>
      <c r="J309" s="5" t="str">
        <f>IFERROR(__xludf.DUMMYFUNCTION("IFERROR(TRIM(INDEX(SPLIT(E309,"" + ""),3)),"""")"),"ZeroO")</f>
        <v>ZeroO</v>
      </c>
      <c r="K309" s="3">
        <f>IFERROR(__xludf.DUMMYFUNCTION("IFERROR(IF(H309="""",0,INDEX(FILTER($Q$2:Q308,$C$2:C308=H309,$G$2:G308=G309),ROWS(FILTER($Q$2:Q308,$C$2:C308=H309,$G$2:G308=G309)),1)),1500)"),1493.0)</f>
        <v>1493</v>
      </c>
      <c r="L309" s="3">
        <f>IFERROR(__xludf.DUMMYFUNCTION("IFERROR(IF(I309="""",0,INDEX(FILTER($Q$2:Q308,$C$2:C308=I309,$G$2:G308=G309),ROWS(FILTER($Q$2:Q308,$C$2:C308=I309,$G$2:G308=G309)),1)),1500)"),1595.0)</f>
        <v>1595</v>
      </c>
      <c r="M309" s="3">
        <f>IFERROR(__xludf.DUMMYFUNCTION("IFERROR(IF(J309="""",0,INDEX(FILTER($Q$2:Q308,$C$2:C308=J309,$G$2:G308=G309),ROWS(FILTER($Q$2:Q308,$C$2:C308=J309,$G$2:G308=G309)),1)),1500)"),1563.0)</f>
        <v>1563</v>
      </c>
      <c r="N309" s="3">
        <f>IFERROR(__xludf.DUMMYFUNCTION("IFERROR(INDEX(FILTER($Q$2:Q308,$C$2:C308=C309,$G$2:G308=G309),ROWS(FILTER($Q$2:Q308,$C$2:C308=C309,$G$2:G308=G309)),1),1500)"),1479.0)</f>
        <v>1479</v>
      </c>
      <c r="O309" s="3">
        <f t="shared" si="3"/>
        <v>1550.333333</v>
      </c>
      <c r="P309" s="9">
        <f t="shared" si="1"/>
        <v>-13</v>
      </c>
      <c r="Q309" s="5">
        <f t="shared" si="2"/>
        <v>1466</v>
      </c>
    </row>
    <row r="310">
      <c r="A310" s="3" t="str">
        <f>IFERROR(__xludf.DUMMYFUNCTION("""COMPUTED_VALUE"""),"1bp3dcM0ooycmcj6I-RrsUB0zUj9woj4w")</f>
        <v>1bp3dcM0ooycmcj6I-RrsUB0zUj9woj4w</v>
      </c>
      <c r="B310" s="13">
        <f>IFERROR(__xludf.DUMMYFUNCTION("""COMPUTED_VALUE"""),45976.0)</f>
        <v>45976</v>
      </c>
      <c r="C310" s="3" t="str">
        <f>IFERROR(__xludf.DUMMYFUNCTION("""COMPUTED_VALUE"""),"Tess1509")</f>
        <v>Tess1509</v>
      </c>
      <c r="D310" s="3" t="str">
        <f>IFERROR(__xludf.DUMMYFUNCTION("""COMPUTED_VALUE"""),"Kesny + Malena + Tess1509")</f>
        <v>Kesny + Malena + Tess1509</v>
      </c>
      <c r="E310" s="3" t="str">
        <f>IFERROR(__xludf.DUMMYFUNCTION("""COMPUTED_VALUE"""),"Aferdita + Nebus. + ZeroO")</f>
        <v>Aferdita + Nebus. + ZeroO</v>
      </c>
      <c r="F310" s="3" t="str">
        <f>IFERROR(__xludf.DUMMYFUNCTION("""COMPUTED_VALUE"""),"loss")</f>
        <v>loss</v>
      </c>
      <c r="G310" s="3" t="str">
        <f>IFERROR(__xludf.DUMMYFUNCTION("""COMPUTED_VALUE"""),"3v3")</f>
        <v>3v3</v>
      </c>
      <c r="H310" s="3" t="str">
        <f>IFERROR(__xludf.DUMMYFUNCTION("IFERROR(TRIM(INDEX(SPLIT(E310,"" + ""),1)),"""")"),"Aferdita")</f>
        <v>Aferdita</v>
      </c>
      <c r="I310" s="3" t="str">
        <f>IFERROR(__xludf.DUMMYFUNCTION("IFERROR(TRIM(INDEX(SPLIT(E310,"" + ""),2)),"""")"),"Nebus.")</f>
        <v>Nebus.</v>
      </c>
      <c r="J310" s="5" t="str">
        <f>IFERROR(__xludf.DUMMYFUNCTION("IFERROR(TRIM(INDEX(SPLIT(E310,"" + ""),3)),"""")"),"ZeroO")</f>
        <v>ZeroO</v>
      </c>
      <c r="K310" s="3">
        <f>IFERROR(__xludf.DUMMYFUNCTION("IFERROR(IF(H310="""",0,INDEX(FILTER($Q$2:Q309,$C$2:C309=H310,$G$2:G309=G310),ROWS(FILTER($Q$2:Q309,$C$2:C309=H310,$G$2:G309=G310)),1)),1500)"),1493.0)</f>
        <v>1493</v>
      </c>
      <c r="L310" s="3">
        <f>IFERROR(__xludf.DUMMYFUNCTION("IFERROR(IF(I310="""",0,INDEX(FILTER($Q$2:Q309,$C$2:C309=I310,$G$2:G309=G310),ROWS(FILTER($Q$2:Q309,$C$2:C309=I310,$G$2:G309=G310)),1)),1500)"),1595.0)</f>
        <v>1595</v>
      </c>
      <c r="M310" s="3">
        <f>IFERROR(__xludf.DUMMYFUNCTION("IFERROR(IF(J310="""",0,INDEX(FILTER($Q$2:Q309,$C$2:C309=J310,$G$2:G309=G310),ROWS(FILTER($Q$2:Q309,$C$2:C309=J310,$G$2:G309=G310)),1)),1500)"),1563.0)</f>
        <v>1563</v>
      </c>
      <c r="N310" s="3">
        <f>IFERROR(__xludf.DUMMYFUNCTION("IFERROR(INDEX(FILTER($Q$2:Q309,$C$2:C309=C310,$G$2:G309=G310),ROWS(FILTER($Q$2:Q309,$C$2:C309=C310,$G$2:G309=G310)),1),1500)"),1381.0)</f>
        <v>1381</v>
      </c>
      <c r="O310" s="3">
        <f t="shared" si="3"/>
        <v>1550.333333</v>
      </c>
      <c r="P310" s="9">
        <f t="shared" si="1"/>
        <v>-9</v>
      </c>
      <c r="Q310" s="5">
        <f t="shared" si="2"/>
        <v>1372</v>
      </c>
    </row>
    <row r="311">
      <c r="A311" s="3" t="str">
        <f>IFERROR(__xludf.DUMMYFUNCTION("""COMPUTED_VALUE"""),"1bp3dcM0ooycmcj6I-RrsUB0zUj9woj4w")</f>
        <v>1bp3dcM0ooycmcj6I-RrsUB0zUj9woj4w</v>
      </c>
      <c r="B311" s="13">
        <f>IFERROR(__xludf.DUMMYFUNCTION("""COMPUTED_VALUE"""),45976.0)</f>
        <v>45976</v>
      </c>
      <c r="C311" s="3" t="str">
        <f>IFERROR(__xludf.DUMMYFUNCTION("""COMPUTED_VALUE"""),"ZeroO")</f>
        <v>ZeroO</v>
      </c>
      <c r="D311" s="3" t="str">
        <f>IFERROR(__xludf.DUMMYFUNCTION("""COMPUTED_VALUE"""),"Aferdita + Nebus. + ZeroO")</f>
        <v>Aferdita + Nebus. + ZeroO</v>
      </c>
      <c r="E311" s="3" t="str">
        <f>IFERROR(__xludf.DUMMYFUNCTION("""COMPUTED_VALUE"""),"Kesny + Malena + Tess1509")</f>
        <v>Kesny + Malena + Tess1509</v>
      </c>
      <c r="F311" s="3" t="str">
        <f>IFERROR(__xludf.DUMMYFUNCTION("""COMPUTED_VALUE"""),"win")</f>
        <v>win</v>
      </c>
      <c r="G311" s="3" t="str">
        <f>IFERROR(__xludf.DUMMYFUNCTION("""COMPUTED_VALUE"""),"3v3")</f>
        <v>3v3</v>
      </c>
      <c r="H311" s="3" t="str">
        <f>IFERROR(__xludf.DUMMYFUNCTION("IFERROR(TRIM(INDEX(SPLIT(E311,"" + ""),1)),"""")"),"Kesny")</f>
        <v>Kesny</v>
      </c>
      <c r="I311" s="3" t="str">
        <f>IFERROR(__xludf.DUMMYFUNCTION("IFERROR(TRIM(INDEX(SPLIT(E311,"" + ""),2)),"""")"),"Malena")</f>
        <v>Malena</v>
      </c>
      <c r="J311" s="5" t="str">
        <f>IFERROR(__xludf.DUMMYFUNCTION("IFERROR(TRIM(INDEX(SPLIT(E311,"" + ""),3)),"""")"),"Tess1509")</f>
        <v>Tess1509</v>
      </c>
      <c r="K311" s="3">
        <f>IFERROR(__xludf.DUMMYFUNCTION("IFERROR(IF(H311="""",0,INDEX(FILTER($Q$2:Q310,$C$2:C310=H311,$G$2:G310=G311),ROWS(FILTER($Q$2:Q310,$C$2:C310=H311,$G$2:G310=G311)),1)),1500)"),1466.0)</f>
        <v>1466</v>
      </c>
      <c r="L311" s="3">
        <f>IFERROR(__xludf.DUMMYFUNCTION("IFERROR(IF(I311="""",0,INDEX(FILTER($Q$2:Q310,$C$2:C310=I311,$G$2:G310=G311),ROWS(FILTER($Q$2:Q310,$C$2:C310=I311,$G$2:G310=G311)),1)),1500)"),1477.0)</f>
        <v>1477</v>
      </c>
      <c r="M311" s="3">
        <f>IFERROR(__xludf.DUMMYFUNCTION("IFERROR(IF(J311="""",0,INDEX(FILTER($Q$2:Q310,$C$2:C310=J311,$G$2:G310=G311),ROWS(FILTER($Q$2:Q310,$C$2:C310=J311,$G$2:G310=G311)),1)),1500)"),1372.0)</f>
        <v>1372</v>
      </c>
      <c r="N311" s="3">
        <f>IFERROR(__xludf.DUMMYFUNCTION("IFERROR(INDEX(FILTER($Q$2:Q310,$C$2:C310=C311,$G$2:G310=G311),ROWS(FILTER($Q$2:Q310,$C$2:C310=C311,$G$2:G310=G311)),1),1500)"),1563.0)</f>
        <v>1563</v>
      </c>
      <c r="O311" s="3">
        <f t="shared" si="3"/>
        <v>1438.333333</v>
      </c>
      <c r="P311" s="9">
        <f t="shared" si="1"/>
        <v>10</v>
      </c>
      <c r="Q311" s="5">
        <f t="shared" si="2"/>
        <v>1573</v>
      </c>
    </row>
    <row r="312">
      <c r="A312" s="3" t="str">
        <f>IFERROR(__xludf.DUMMYFUNCTION("""COMPUTED_VALUE"""),"1bp3dcM0ooycmcj6I-RrsUB0zUj9woj4w")</f>
        <v>1bp3dcM0ooycmcj6I-RrsUB0zUj9woj4w</v>
      </c>
      <c r="B312" s="13">
        <f>IFERROR(__xludf.DUMMYFUNCTION("""COMPUTED_VALUE"""),45976.0)</f>
        <v>45976</v>
      </c>
      <c r="C312" s="3" t="str">
        <f>IFERROR(__xludf.DUMMYFUNCTION("""COMPUTED_VALUE"""),"Nebus.")</f>
        <v>Nebus.</v>
      </c>
      <c r="D312" s="3" t="str">
        <f>IFERROR(__xludf.DUMMYFUNCTION("""COMPUTED_VALUE"""),"Aferdita + Nebus. + ZeroO")</f>
        <v>Aferdita + Nebus. + ZeroO</v>
      </c>
      <c r="E312" s="3" t="str">
        <f>IFERROR(__xludf.DUMMYFUNCTION("""COMPUTED_VALUE"""),"Kesny + Malena + Tess1509")</f>
        <v>Kesny + Malena + Tess1509</v>
      </c>
      <c r="F312" s="3" t="str">
        <f>IFERROR(__xludf.DUMMYFUNCTION("""COMPUTED_VALUE"""),"win")</f>
        <v>win</v>
      </c>
      <c r="G312" s="3" t="str">
        <f>IFERROR(__xludf.DUMMYFUNCTION("""COMPUTED_VALUE"""),"3v3")</f>
        <v>3v3</v>
      </c>
      <c r="H312" s="3" t="str">
        <f>IFERROR(__xludf.DUMMYFUNCTION("IFERROR(TRIM(INDEX(SPLIT(E312,"" + ""),1)),"""")"),"Kesny")</f>
        <v>Kesny</v>
      </c>
      <c r="I312" s="3" t="str">
        <f>IFERROR(__xludf.DUMMYFUNCTION("IFERROR(TRIM(INDEX(SPLIT(E312,"" + ""),2)),"""")"),"Malena")</f>
        <v>Malena</v>
      </c>
      <c r="J312" s="5" t="str">
        <f>IFERROR(__xludf.DUMMYFUNCTION("IFERROR(TRIM(INDEX(SPLIT(E312,"" + ""),3)),"""")"),"Tess1509")</f>
        <v>Tess1509</v>
      </c>
      <c r="K312" s="3">
        <f>IFERROR(__xludf.DUMMYFUNCTION("IFERROR(IF(H312="""",0,INDEX(FILTER($Q$2:Q311,$C$2:C311=H312,$G$2:G311=G312),ROWS(FILTER($Q$2:Q311,$C$2:C311=H312,$G$2:G311=G312)),1)),1500)"),1466.0)</f>
        <v>1466</v>
      </c>
      <c r="L312" s="3">
        <f>IFERROR(__xludf.DUMMYFUNCTION("IFERROR(IF(I312="""",0,INDEX(FILTER($Q$2:Q311,$C$2:C311=I312,$G$2:G311=G312),ROWS(FILTER($Q$2:Q311,$C$2:C311=I312,$G$2:G311=G312)),1)),1500)"),1477.0)</f>
        <v>1477</v>
      </c>
      <c r="M312" s="3">
        <f>IFERROR(__xludf.DUMMYFUNCTION("IFERROR(IF(J312="""",0,INDEX(FILTER($Q$2:Q311,$C$2:C311=J312,$G$2:G311=G312),ROWS(FILTER($Q$2:Q311,$C$2:C311=J312,$G$2:G311=G312)),1)),1500)"),1372.0)</f>
        <v>1372</v>
      </c>
      <c r="N312" s="3">
        <f>IFERROR(__xludf.DUMMYFUNCTION("IFERROR(INDEX(FILTER($Q$2:Q311,$C$2:C311=C312,$G$2:G311=G312),ROWS(FILTER($Q$2:Q311,$C$2:C311=C312,$G$2:G311=G312)),1),1500)"),1595.0)</f>
        <v>1595</v>
      </c>
      <c r="O312" s="3">
        <f t="shared" si="3"/>
        <v>1438.333333</v>
      </c>
      <c r="P312" s="9">
        <f t="shared" si="1"/>
        <v>9</v>
      </c>
      <c r="Q312" s="5">
        <f t="shared" si="2"/>
        <v>1604</v>
      </c>
    </row>
    <row r="313">
      <c r="A313" s="3" t="str">
        <f>IFERROR(__xludf.DUMMYFUNCTION("""COMPUTED_VALUE"""),"1bp3dcM0ooycmcj6I-RrsUB0zUj9woj4w")</f>
        <v>1bp3dcM0ooycmcj6I-RrsUB0zUj9woj4w</v>
      </c>
      <c r="B313" s="13">
        <f>IFERROR(__xludf.DUMMYFUNCTION("""COMPUTED_VALUE"""),45976.0)</f>
        <v>45976</v>
      </c>
      <c r="C313" s="3" t="str">
        <f>IFERROR(__xludf.DUMMYFUNCTION("""COMPUTED_VALUE"""),"Aferdita")</f>
        <v>Aferdita</v>
      </c>
      <c r="D313" s="3" t="str">
        <f>IFERROR(__xludf.DUMMYFUNCTION("""COMPUTED_VALUE"""),"Aferdita + Nebus. + ZeroO")</f>
        <v>Aferdita + Nebus. + ZeroO</v>
      </c>
      <c r="E313" s="3" t="str">
        <f>IFERROR(__xludf.DUMMYFUNCTION("""COMPUTED_VALUE"""),"Kesny + Malena + Tess1509")</f>
        <v>Kesny + Malena + Tess1509</v>
      </c>
      <c r="F313" s="3" t="str">
        <f>IFERROR(__xludf.DUMMYFUNCTION("""COMPUTED_VALUE"""),"win")</f>
        <v>win</v>
      </c>
      <c r="G313" s="3" t="str">
        <f>IFERROR(__xludf.DUMMYFUNCTION("""COMPUTED_VALUE"""),"3v3")</f>
        <v>3v3</v>
      </c>
      <c r="H313" s="3" t="str">
        <f>IFERROR(__xludf.DUMMYFUNCTION("IFERROR(TRIM(INDEX(SPLIT(E313,"" + ""),1)),"""")"),"Kesny")</f>
        <v>Kesny</v>
      </c>
      <c r="I313" s="3" t="str">
        <f>IFERROR(__xludf.DUMMYFUNCTION("IFERROR(TRIM(INDEX(SPLIT(E313,"" + ""),2)),"""")"),"Malena")</f>
        <v>Malena</v>
      </c>
      <c r="J313" s="5" t="str">
        <f>IFERROR(__xludf.DUMMYFUNCTION("IFERROR(TRIM(INDEX(SPLIT(E313,"" + ""),3)),"""")"),"Tess1509")</f>
        <v>Tess1509</v>
      </c>
      <c r="K313" s="3">
        <f>IFERROR(__xludf.DUMMYFUNCTION("IFERROR(IF(H313="""",0,INDEX(FILTER($Q$2:Q312,$C$2:C312=H313,$G$2:G312=G313),ROWS(FILTER($Q$2:Q312,$C$2:C312=H313,$G$2:G312=G313)),1)),1500)"),1466.0)</f>
        <v>1466</v>
      </c>
      <c r="L313" s="3">
        <f>IFERROR(__xludf.DUMMYFUNCTION("IFERROR(IF(I313="""",0,INDEX(FILTER($Q$2:Q312,$C$2:C312=I313,$G$2:G312=G313),ROWS(FILTER($Q$2:Q312,$C$2:C312=I313,$G$2:G312=G313)),1)),1500)"),1477.0)</f>
        <v>1477</v>
      </c>
      <c r="M313" s="3">
        <f>IFERROR(__xludf.DUMMYFUNCTION("IFERROR(IF(J313="""",0,INDEX(FILTER($Q$2:Q312,$C$2:C312=J313,$G$2:G312=G313),ROWS(FILTER($Q$2:Q312,$C$2:C312=J313,$G$2:G312=G313)),1)),1500)"),1372.0)</f>
        <v>1372</v>
      </c>
      <c r="N313" s="3">
        <f>IFERROR(__xludf.DUMMYFUNCTION("IFERROR(INDEX(FILTER($Q$2:Q312,$C$2:C312=C313,$G$2:G312=G313),ROWS(FILTER($Q$2:Q312,$C$2:C312=C313,$G$2:G312=G313)),1),1500)"),1493.0)</f>
        <v>1493</v>
      </c>
      <c r="O313" s="3">
        <f t="shared" si="3"/>
        <v>1438.333333</v>
      </c>
      <c r="P313" s="9">
        <f t="shared" si="1"/>
        <v>14</v>
      </c>
      <c r="Q313" s="5">
        <f t="shared" si="2"/>
        <v>1507</v>
      </c>
    </row>
    <row r="314">
      <c r="A314" s="3" t="str">
        <f>IFERROR(__xludf.DUMMYFUNCTION("""COMPUTED_VALUE"""),"1VyQt_5jGUyldwBNSB61lOO6rRWBKSE0b")</f>
        <v>1VyQt_5jGUyldwBNSB61lOO6rRWBKSE0b</v>
      </c>
      <c r="B314" s="13">
        <f>IFERROR(__xludf.DUMMYFUNCTION("""COMPUTED_VALUE"""),45976.0)</f>
        <v>45976</v>
      </c>
      <c r="C314" s="3" t="str">
        <f>IFERROR(__xludf.DUMMYFUNCTION("""COMPUTED_VALUE"""),"Malena")</f>
        <v>Malena</v>
      </c>
      <c r="D314" s="3" t="str">
        <f>IFERROR(__xludf.DUMMYFUNCTION("""COMPUTED_VALUE"""),"Aferdita + Kesny + Malena")</f>
        <v>Aferdita + Kesny + Malena</v>
      </c>
      <c r="E314" s="3" t="str">
        <f>IFERROR(__xludf.DUMMYFUNCTION("""COMPUTED_VALUE"""),"Nebus. + Tess1509 + ZeroO")</f>
        <v>Nebus. + Tess1509 + ZeroO</v>
      </c>
      <c r="F314" s="3" t="str">
        <f>IFERROR(__xludf.DUMMYFUNCTION("""COMPUTED_VALUE"""),"loss")</f>
        <v>loss</v>
      </c>
      <c r="G314" s="3" t="str">
        <f>IFERROR(__xludf.DUMMYFUNCTION("""COMPUTED_VALUE"""),"3v3")</f>
        <v>3v3</v>
      </c>
      <c r="H314" s="3" t="str">
        <f>IFERROR(__xludf.DUMMYFUNCTION("IFERROR(TRIM(INDEX(SPLIT(E314,"" + ""),1)),"""")"),"Nebus.")</f>
        <v>Nebus.</v>
      </c>
      <c r="I314" s="3" t="str">
        <f>IFERROR(__xludf.DUMMYFUNCTION("IFERROR(TRIM(INDEX(SPLIT(E314,"" + ""),2)),"""")"),"Tess1509")</f>
        <v>Tess1509</v>
      </c>
      <c r="J314" s="5" t="str">
        <f>IFERROR(__xludf.DUMMYFUNCTION("IFERROR(TRIM(INDEX(SPLIT(E314,"" + ""),3)),"""")"),"ZeroO")</f>
        <v>ZeroO</v>
      </c>
      <c r="K314" s="3">
        <f>IFERROR(__xludf.DUMMYFUNCTION("IFERROR(IF(H314="""",0,INDEX(FILTER($Q$2:Q313,$C$2:C313=H314,$G$2:G313=G314),ROWS(FILTER($Q$2:Q313,$C$2:C313=H314,$G$2:G313=G314)),1)),1500)"),1604.0)</f>
        <v>1604</v>
      </c>
      <c r="L314" s="3">
        <f>IFERROR(__xludf.DUMMYFUNCTION("IFERROR(IF(I314="""",0,INDEX(FILTER($Q$2:Q313,$C$2:C313=I314,$G$2:G313=G314),ROWS(FILTER($Q$2:Q313,$C$2:C313=I314,$G$2:G313=G314)),1)),1500)"),1372.0)</f>
        <v>1372</v>
      </c>
      <c r="M314" s="3">
        <f>IFERROR(__xludf.DUMMYFUNCTION("IFERROR(IF(J314="""",0,INDEX(FILTER($Q$2:Q313,$C$2:C313=J314,$G$2:G313=G314),ROWS(FILTER($Q$2:Q313,$C$2:C313=J314,$G$2:G313=G314)),1)),1500)"),1573.0)</f>
        <v>1573</v>
      </c>
      <c r="N314" s="3">
        <f>IFERROR(__xludf.DUMMYFUNCTION("IFERROR(INDEX(FILTER($Q$2:Q313,$C$2:C313=C314,$G$2:G313=G314),ROWS(FILTER($Q$2:Q313,$C$2:C313=C314,$G$2:G313=G314)),1),1500)"),1477.0)</f>
        <v>1477</v>
      </c>
      <c r="O314" s="3">
        <f t="shared" si="3"/>
        <v>1516.333333</v>
      </c>
      <c r="P314" s="9">
        <f t="shared" si="1"/>
        <v>-14</v>
      </c>
      <c r="Q314" s="5">
        <f t="shared" si="2"/>
        <v>1463</v>
      </c>
    </row>
    <row r="315">
      <c r="A315" s="3" t="str">
        <f>IFERROR(__xludf.DUMMYFUNCTION("""COMPUTED_VALUE"""),"1VyQt_5jGUyldwBNSB61lOO6rRWBKSE0b")</f>
        <v>1VyQt_5jGUyldwBNSB61lOO6rRWBKSE0b</v>
      </c>
      <c r="B315" s="13">
        <f>IFERROR(__xludf.DUMMYFUNCTION("""COMPUTED_VALUE"""),45976.0)</f>
        <v>45976</v>
      </c>
      <c r="C315" s="3" t="str">
        <f>IFERROR(__xludf.DUMMYFUNCTION("""COMPUTED_VALUE"""),"Aferdita")</f>
        <v>Aferdita</v>
      </c>
      <c r="D315" s="3" t="str">
        <f>IFERROR(__xludf.DUMMYFUNCTION("""COMPUTED_VALUE"""),"Aferdita + Kesny + Malena")</f>
        <v>Aferdita + Kesny + Malena</v>
      </c>
      <c r="E315" s="3" t="str">
        <f>IFERROR(__xludf.DUMMYFUNCTION("""COMPUTED_VALUE"""),"Nebus. + Tess1509 + ZeroO")</f>
        <v>Nebus. + Tess1509 + ZeroO</v>
      </c>
      <c r="F315" s="3" t="str">
        <f>IFERROR(__xludf.DUMMYFUNCTION("""COMPUTED_VALUE"""),"loss")</f>
        <v>loss</v>
      </c>
      <c r="G315" s="3" t="str">
        <f>IFERROR(__xludf.DUMMYFUNCTION("""COMPUTED_VALUE"""),"3v3")</f>
        <v>3v3</v>
      </c>
      <c r="H315" s="3" t="str">
        <f>IFERROR(__xludf.DUMMYFUNCTION("IFERROR(TRIM(INDEX(SPLIT(E315,"" + ""),1)),"""")"),"Nebus.")</f>
        <v>Nebus.</v>
      </c>
      <c r="I315" s="3" t="str">
        <f>IFERROR(__xludf.DUMMYFUNCTION("IFERROR(TRIM(INDEX(SPLIT(E315,"" + ""),2)),"""")"),"Tess1509")</f>
        <v>Tess1509</v>
      </c>
      <c r="J315" s="5" t="str">
        <f>IFERROR(__xludf.DUMMYFUNCTION("IFERROR(TRIM(INDEX(SPLIT(E315,"" + ""),3)),"""")"),"ZeroO")</f>
        <v>ZeroO</v>
      </c>
      <c r="K315" s="3">
        <f>IFERROR(__xludf.DUMMYFUNCTION("IFERROR(IF(H315="""",0,INDEX(FILTER($Q$2:Q314,$C$2:C314=H315,$G$2:G314=G315),ROWS(FILTER($Q$2:Q314,$C$2:C314=H315,$G$2:G314=G315)),1)),1500)"),1604.0)</f>
        <v>1604</v>
      </c>
      <c r="L315" s="3">
        <f>IFERROR(__xludf.DUMMYFUNCTION("IFERROR(IF(I315="""",0,INDEX(FILTER($Q$2:Q314,$C$2:C314=I315,$G$2:G314=G315),ROWS(FILTER($Q$2:Q314,$C$2:C314=I315,$G$2:G314=G315)),1)),1500)"),1372.0)</f>
        <v>1372</v>
      </c>
      <c r="M315" s="3">
        <f>IFERROR(__xludf.DUMMYFUNCTION("IFERROR(IF(J315="""",0,INDEX(FILTER($Q$2:Q314,$C$2:C314=J315,$G$2:G314=G315),ROWS(FILTER($Q$2:Q314,$C$2:C314=J315,$G$2:G314=G315)),1)),1500)"),1573.0)</f>
        <v>1573</v>
      </c>
      <c r="N315" s="3">
        <f>IFERROR(__xludf.DUMMYFUNCTION("IFERROR(INDEX(FILTER($Q$2:Q314,$C$2:C314=C315,$G$2:G314=G315),ROWS(FILTER($Q$2:Q314,$C$2:C314=C315,$G$2:G314=G315)),1),1500)"),1507.0)</f>
        <v>1507</v>
      </c>
      <c r="O315" s="3">
        <f t="shared" si="3"/>
        <v>1516.333333</v>
      </c>
      <c r="P315" s="9">
        <f t="shared" si="1"/>
        <v>-16</v>
      </c>
      <c r="Q315" s="5">
        <f t="shared" si="2"/>
        <v>1491</v>
      </c>
    </row>
    <row r="316">
      <c r="A316" s="3" t="str">
        <f>IFERROR(__xludf.DUMMYFUNCTION("""COMPUTED_VALUE"""),"1VyQt_5jGUyldwBNSB61lOO6rRWBKSE0b")</f>
        <v>1VyQt_5jGUyldwBNSB61lOO6rRWBKSE0b</v>
      </c>
      <c r="B316" s="13">
        <f>IFERROR(__xludf.DUMMYFUNCTION("""COMPUTED_VALUE"""),45976.0)</f>
        <v>45976</v>
      </c>
      <c r="C316" s="3" t="str">
        <f>IFERROR(__xludf.DUMMYFUNCTION("""COMPUTED_VALUE"""),"Kesny")</f>
        <v>Kesny</v>
      </c>
      <c r="D316" s="3" t="str">
        <f>IFERROR(__xludf.DUMMYFUNCTION("""COMPUTED_VALUE"""),"Aferdita + Kesny + Malena")</f>
        <v>Aferdita + Kesny + Malena</v>
      </c>
      <c r="E316" s="3" t="str">
        <f>IFERROR(__xludf.DUMMYFUNCTION("""COMPUTED_VALUE"""),"Nebus. + Tess1509 + ZeroO")</f>
        <v>Nebus. + Tess1509 + ZeroO</v>
      </c>
      <c r="F316" s="3" t="str">
        <f>IFERROR(__xludf.DUMMYFUNCTION("""COMPUTED_VALUE"""),"loss")</f>
        <v>loss</v>
      </c>
      <c r="G316" s="3" t="str">
        <f>IFERROR(__xludf.DUMMYFUNCTION("""COMPUTED_VALUE"""),"3v3")</f>
        <v>3v3</v>
      </c>
      <c r="H316" s="3" t="str">
        <f>IFERROR(__xludf.DUMMYFUNCTION("IFERROR(TRIM(INDEX(SPLIT(E316,"" + ""),1)),"""")"),"Nebus.")</f>
        <v>Nebus.</v>
      </c>
      <c r="I316" s="3" t="str">
        <f>IFERROR(__xludf.DUMMYFUNCTION("IFERROR(TRIM(INDEX(SPLIT(E316,"" + ""),2)),"""")"),"Tess1509")</f>
        <v>Tess1509</v>
      </c>
      <c r="J316" s="5" t="str">
        <f>IFERROR(__xludf.DUMMYFUNCTION("IFERROR(TRIM(INDEX(SPLIT(E316,"" + ""),3)),"""")"),"ZeroO")</f>
        <v>ZeroO</v>
      </c>
      <c r="K316" s="3">
        <f>IFERROR(__xludf.DUMMYFUNCTION("IFERROR(IF(H316="""",0,INDEX(FILTER($Q$2:Q315,$C$2:C315=H316,$G$2:G315=G316),ROWS(FILTER($Q$2:Q315,$C$2:C315=H316,$G$2:G315=G316)),1)),1500)"),1604.0)</f>
        <v>1604</v>
      </c>
      <c r="L316" s="3">
        <f>IFERROR(__xludf.DUMMYFUNCTION("IFERROR(IF(I316="""",0,INDEX(FILTER($Q$2:Q315,$C$2:C315=I316,$G$2:G315=G316),ROWS(FILTER($Q$2:Q315,$C$2:C315=I316,$G$2:G315=G316)),1)),1500)"),1372.0)</f>
        <v>1372</v>
      </c>
      <c r="M316" s="3">
        <f>IFERROR(__xludf.DUMMYFUNCTION("IFERROR(IF(J316="""",0,INDEX(FILTER($Q$2:Q315,$C$2:C315=J316,$G$2:G315=G316),ROWS(FILTER($Q$2:Q315,$C$2:C315=J316,$G$2:G315=G316)),1)),1500)"),1573.0)</f>
        <v>1573</v>
      </c>
      <c r="N316" s="3">
        <f>IFERROR(__xludf.DUMMYFUNCTION("IFERROR(INDEX(FILTER($Q$2:Q315,$C$2:C315=C316,$G$2:G315=G316),ROWS(FILTER($Q$2:Q315,$C$2:C315=C316,$G$2:G315=G316)),1),1500)"),1466.0)</f>
        <v>1466</v>
      </c>
      <c r="O316" s="3">
        <f t="shared" si="3"/>
        <v>1516.333333</v>
      </c>
      <c r="P316" s="9">
        <f t="shared" si="1"/>
        <v>-14</v>
      </c>
      <c r="Q316" s="5">
        <f t="shared" si="2"/>
        <v>1452</v>
      </c>
    </row>
    <row r="317">
      <c r="A317" s="3" t="str">
        <f>IFERROR(__xludf.DUMMYFUNCTION("""COMPUTED_VALUE"""),"1VyQt_5jGUyldwBNSB61lOO6rRWBKSE0b")</f>
        <v>1VyQt_5jGUyldwBNSB61lOO6rRWBKSE0b</v>
      </c>
      <c r="B317" s="13">
        <f>IFERROR(__xludf.DUMMYFUNCTION("""COMPUTED_VALUE"""),45976.0)</f>
        <v>45976</v>
      </c>
      <c r="C317" s="3" t="str">
        <f>IFERROR(__xludf.DUMMYFUNCTION("""COMPUTED_VALUE"""),"Nebus.")</f>
        <v>Nebus.</v>
      </c>
      <c r="D317" s="3" t="str">
        <f>IFERROR(__xludf.DUMMYFUNCTION("""COMPUTED_VALUE"""),"Nebus. + Tess1509 + ZeroO")</f>
        <v>Nebus. + Tess1509 + ZeroO</v>
      </c>
      <c r="E317" s="3" t="str">
        <f>IFERROR(__xludf.DUMMYFUNCTION("""COMPUTED_VALUE"""),"Aferdita + Kesny + Malena")</f>
        <v>Aferdita + Kesny + Malena</v>
      </c>
      <c r="F317" s="3" t="str">
        <f>IFERROR(__xludf.DUMMYFUNCTION("""COMPUTED_VALUE"""),"win")</f>
        <v>win</v>
      </c>
      <c r="G317" s="3" t="str">
        <f>IFERROR(__xludf.DUMMYFUNCTION("""COMPUTED_VALUE"""),"3v3")</f>
        <v>3v3</v>
      </c>
      <c r="H317" s="3" t="str">
        <f>IFERROR(__xludf.DUMMYFUNCTION("IFERROR(TRIM(INDEX(SPLIT(E317,"" + ""),1)),"""")"),"Aferdita")</f>
        <v>Aferdita</v>
      </c>
      <c r="I317" s="3" t="str">
        <f>IFERROR(__xludf.DUMMYFUNCTION("IFERROR(TRIM(INDEX(SPLIT(E317,"" + ""),2)),"""")"),"Kesny")</f>
        <v>Kesny</v>
      </c>
      <c r="J317" s="5" t="str">
        <f>IFERROR(__xludf.DUMMYFUNCTION("IFERROR(TRIM(INDEX(SPLIT(E317,"" + ""),3)),"""")"),"Malena")</f>
        <v>Malena</v>
      </c>
      <c r="K317" s="3">
        <f>IFERROR(__xludf.DUMMYFUNCTION("IFERROR(IF(H317="""",0,INDEX(FILTER($Q$2:Q316,$C$2:C316=H317,$G$2:G316=G317),ROWS(FILTER($Q$2:Q316,$C$2:C316=H317,$G$2:G316=G317)),1)),1500)"),1491.0)</f>
        <v>1491</v>
      </c>
      <c r="L317" s="3">
        <f>IFERROR(__xludf.DUMMYFUNCTION("IFERROR(IF(I317="""",0,INDEX(FILTER($Q$2:Q316,$C$2:C316=I317,$G$2:G316=G317),ROWS(FILTER($Q$2:Q316,$C$2:C316=I317,$G$2:G316=G317)),1)),1500)"),1452.0)</f>
        <v>1452</v>
      </c>
      <c r="M317" s="3">
        <f>IFERROR(__xludf.DUMMYFUNCTION("IFERROR(IF(J317="""",0,INDEX(FILTER($Q$2:Q316,$C$2:C316=J317,$G$2:G316=G317),ROWS(FILTER($Q$2:Q316,$C$2:C316=J317,$G$2:G316=G317)),1)),1500)"),1463.0)</f>
        <v>1463</v>
      </c>
      <c r="N317" s="3">
        <f>IFERROR(__xludf.DUMMYFUNCTION("IFERROR(INDEX(FILTER($Q$2:Q316,$C$2:C316=C317,$G$2:G316=G317),ROWS(FILTER($Q$2:Q316,$C$2:C316=C317,$G$2:G316=G317)),1),1500)"),1604.0)</f>
        <v>1604</v>
      </c>
      <c r="O317" s="3">
        <f t="shared" si="3"/>
        <v>1468.666667</v>
      </c>
      <c r="P317" s="9">
        <f t="shared" si="1"/>
        <v>10</v>
      </c>
      <c r="Q317" s="5">
        <f t="shared" si="2"/>
        <v>1614</v>
      </c>
    </row>
    <row r="318">
      <c r="A318" s="3" t="str">
        <f>IFERROR(__xludf.DUMMYFUNCTION("""COMPUTED_VALUE"""),"1VyQt_5jGUyldwBNSB61lOO6rRWBKSE0b")</f>
        <v>1VyQt_5jGUyldwBNSB61lOO6rRWBKSE0b</v>
      </c>
      <c r="B318" s="13">
        <f>IFERROR(__xludf.DUMMYFUNCTION("""COMPUTED_VALUE"""),45976.0)</f>
        <v>45976</v>
      </c>
      <c r="C318" s="3" t="str">
        <f>IFERROR(__xludf.DUMMYFUNCTION("""COMPUTED_VALUE"""),"ZeroO")</f>
        <v>ZeroO</v>
      </c>
      <c r="D318" s="3" t="str">
        <f>IFERROR(__xludf.DUMMYFUNCTION("""COMPUTED_VALUE"""),"Nebus. + Tess1509 + ZeroO")</f>
        <v>Nebus. + Tess1509 + ZeroO</v>
      </c>
      <c r="E318" s="3" t="str">
        <f>IFERROR(__xludf.DUMMYFUNCTION("""COMPUTED_VALUE"""),"Aferdita + Kesny + Malena")</f>
        <v>Aferdita + Kesny + Malena</v>
      </c>
      <c r="F318" s="3" t="str">
        <f>IFERROR(__xludf.DUMMYFUNCTION("""COMPUTED_VALUE"""),"win")</f>
        <v>win</v>
      </c>
      <c r="G318" s="3" t="str">
        <f>IFERROR(__xludf.DUMMYFUNCTION("""COMPUTED_VALUE"""),"3v3")</f>
        <v>3v3</v>
      </c>
      <c r="H318" s="3" t="str">
        <f>IFERROR(__xludf.DUMMYFUNCTION("IFERROR(TRIM(INDEX(SPLIT(E318,"" + ""),1)),"""")"),"Aferdita")</f>
        <v>Aferdita</v>
      </c>
      <c r="I318" s="3" t="str">
        <f>IFERROR(__xludf.DUMMYFUNCTION("IFERROR(TRIM(INDEX(SPLIT(E318,"" + ""),2)),"""")"),"Kesny")</f>
        <v>Kesny</v>
      </c>
      <c r="J318" s="5" t="str">
        <f>IFERROR(__xludf.DUMMYFUNCTION("IFERROR(TRIM(INDEX(SPLIT(E318,"" + ""),3)),"""")"),"Malena")</f>
        <v>Malena</v>
      </c>
      <c r="K318" s="3">
        <f>IFERROR(__xludf.DUMMYFUNCTION("IFERROR(IF(H318="""",0,INDEX(FILTER($Q$2:Q317,$C$2:C317=H318,$G$2:G317=G318),ROWS(FILTER($Q$2:Q317,$C$2:C317=H318,$G$2:G317=G318)),1)),1500)"),1491.0)</f>
        <v>1491</v>
      </c>
      <c r="L318" s="3">
        <f>IFERROR(__xludf.DUMMYFUNCTION("IFERROR(IF(I318="""",0,INDEX(FILTER($Q$2:Q317,$C$2:C317=I318,$G$2:G317=G318),ROWS(FILTER($Q$2:Q317,$C$2:C317=I318,$G$2:G317=G318)),1)),1500)"),1452.0)</f>
        <v>1452</v>
      </c>
      <c r="M318" s="3">
        <f>IFERROR(__xludf.DUMMYFUNCTION("IFERROR(IF(J318="""",0,INDEX(FILTER($Q$2:Q317,$C$2:C317=J318,$G$2:G317=G318),ROWS(FILTER($Q$2:Q317,$C$2:C317=J318,$G$2:G317=G318)),1)),1500)"),1463.0)</f>
        <v>1463</v>
      </c>
      <c r="N318" s="3">
        <f>IFERROR(__xludf.DUMMYFUNCTION("IFERROR(INDEX(FILTER($Q$2:Q317,$C$2:C317=C318,$G$2:G317=G318),ROWS(FILTER($Q$2:Q317,$C$2:C317=C318,$G$2:G317=G318)),1),1500)"),1573.0)</f>
        <v>1573</v>
      </c>
      <c r="O318" s="3">
        <f t="shared" si="3"/>
        <v>1468.666667</v>
      </c>
      <c r="P318" s="9">
        <f t="shared" si="1"/>
        <v>11</v>
      </c>
      <c r="Q318" s="5">
        <f t="shared" si="2"/>
        <v>1584</v>
      </c>
    </row>
    <row r="319">
      <c r="A319" s="3" t="str">
        <f>IFERROR(__xludf.DUMMYFUNCTION("""COMPUTED_VALUE"""),"1VyQt_5jGUyldwBNSB61lOO6rRWBKSE0b")</f>
        <v>1VyQt_5jGUyldwBNSB61lOO6rRWBKSE0b</v>
      </c>
      <c r="B319" s="13">
        <f>IFERROR(__xludf.DUMMYFUNCTION("""COMPUTED_VALUE"""),45976.0)</f>
        <v>45976</v>
      </c>
      <c r="C319" s="3" t="str">
        <f>IFERROR(__xludf.DUMMYFUNCTION("""COMPUTED_VALUE"""),"Tess1509")</f>
        <v>Tess1509</v>
      </c>
      <c r="D319" s="3" t="str">
        <f>IFERROR(__xludf.DUMMYFUNCTION("""COMPUTED_VALUE"""),"Nebus. + Tess1509 + ZeroO")</f>
        <v>Nebus. + Tess1509 + ZeroO</v>
      </c>
      <c r="E319" s="3" t="str">
        <f>IFERROR(__xludf.DUMMYFUNCTION("""COMPUTED_VALUE"""),"Aferdita + Kesny + Malena")</f>
        <v>Aferdita + Kesny + Malena</v>
      </c>
      <c r="F319" s="3" t="str">
        <f>IFERROR(__xludf.DUMMYFUNCTION("""COMPUTED_VALUE"""),"win")</f>
        <v>win</v>
      </c>
      <c r="G319" s="3" t="str">
        <f>IFERROR(__xludf.DUMMYFUNCTION("""COMPUTED_VALUE"""),"3v3")</f>
        <v>3v3</v>
      </c>
      <c r="H319" s="3" t="str">
        <f>IFERROR(__xludf.DUMMYFUNCTION("IFERROR(TRIM(INDEX(SPLIT(E319,"" + ""),1)),"""")"),"Aferdita")</f>
        <v>Aferdita</v>
      </c>
      <c r="I319" s="3" t="str">
        <f>IFERROR(__xludf.DUMMYFUNCTION("IFERROR(TRIM(INDEX(SPLIT(E319,"" + ""),2)),"""")"),"Kesny")</f>
        <v>Kesny</v>
      </c>
      <c r="J319" s="5" t="str">
        <f>IFERROR(__xludf.DUMMYFUNCTION("IFERROR(TRIM(INDEX(SPLIT(E319,"" + ""),3)),"""")"),"Malena")</f>
        <v>Malena</v>
      </c>
      <c r="K319" s="3">
        <f>IFERROR(__xludf.DUMMYFUNCTION("IFERROR(IF(H319="""",0,INDEX(FILTER($Q$2:Q318,$C$2:C318=H319,$G$2:G318=G319),ROWS(FILTER($Q$2:Q318,$C$2:C318=H319,$G$2:G318=G319)),1)),1500)"),1491.0)</f>
        <v>1491</v>
      </c>
      <c r="L319" s="3">
        <f>IFERROR(__xludf.DUMMYFUNCTION("IFERROR(IF(I319="""",0,INDEX(FILTER($Q$2:Q318,$C$2:C318=I319,$G$2:G318=G319),ROWS(FILTER($Q$2:Q318,$C$2:C318=I319,$G$2:G318=G319)),1)),1500)"),1452.0)</f>
        <v>1452</v>
      </c>
      <c r="M319" s="3">
        <f>IFERROR(__xludf.DUMMYFUNCTION("IFERROR(IF(J319="""",0,INDEX(FILTER($Q$2:Q318,$C$2:C318=J319,$G$2:G318=G319),ROWS(FILTER($Q$2:Q318,$C$2:C318=J319,$G$2:G318=G319)),1)),1500)"),1463.0)</f>
        <v>1463</v>
      </c>
      <c r="N319" s="3">
        <f>IFERROR(__xludf.DUMMYFUNCTION("IFERROR(INDEX(FILTER($Q$2:Q318,$C$2:C318=C319,$G$2:G318=G319),ROWS(FILTER($Q$2:Q318,$C$2:C318=C319,$G$2:G318=G319)),1),1500)"),1372.0)</f>
        <v>1372</v>
      </c>
      <c r="O319" s="3">
        <f t="shared" si="3"/>
        <v>1468.666667</v>
      </c>
      <c r="P319" s="9">
        <f t="shared" si="1"/>
        <v>20</v>
      </c>
      <c r="Q319" s="5">
        <f t="shared" si="2"/>
        <v>1392</v>
      </c>
    </row>
    <row r="320">
      <c r="A320" s="3" t="str">
        <f>IFERROR(__xludf.DUMMYFUNCTION("""COMPUTED_VALUE"""),"1Ii6CC26vOHOsaSeltqNnql5LvNoUt4mP")</f>
        <v>1Ii6CC26vOHOsaSeltqNnql5LvNoUt4mP</v>
      </c>
      <c r="B320" s="13">
        <f>IFERROR(__xludf.DUMMYFUNCTION("""COMPUTED_VALUE"""),45976.0)</f>
        <v>45976</v>
      </c>
      <c r="C320" s="3" t="str">
        <f>IFERROR(__xludf.DUMMYFUNCTION("""COMPUTED_VALUE"""),"Nebus.")</f>
        <v>Nebus.</v>
      </c>
      <c r="D320" s="3" t="str">
        <f>IFERROR(__xludf.DUMMYFUNCTION("""COMPUTED_VALUE"""),"Malena + Nebus. + Tess1509")</f>
        <v>Malena + Nebus. + Tess1509</v>
      </c>
      <c r="E320" s="3" t="str">
        <f>IFERROR(__xludf.DUMMYFUNCTION("""COMPUTED_VALUE"""),"Aferdita + Kesny + ZeroO")</f>
        <v>Aferdita + Kesny + ZeroO</v>
      </c>
      <c r="F320" s="3" t="str">
        <f>IFERROR(__xludf.DUMMYFUNCTION("""COMPUTED_VALUE"""),"win")</f>
        <v>win</v>
      </c>
      <c r="G320" s="3" t="str">
        <f>IFERROR(__xludf.DUMMYFUNCTION("""COMPUTED_VALUE"""),"3v3")</f>
        <v>3v3</v>
      </c>
      <c r="H320" s="3" t="str">
        <f>IFERROR(__xludf.DUMMYFUNCTION("IFERROR(TRIM(INDEX(SPLIT(E320,"" + ""),1)),"""")"),"Aferdita")</f>
        <v>Aferdita</v>
      </c>
      <c r="I320" s="3" t="str">
        <f>IFERROR(__xludf.DUMMYFUNCTION("IFERROR(TRIM(INDEX(SPLIT(E320,"" + ""),2)),"""")"),"Kesny")</f>
        <v>Kesny</v>
      </c>
      <c r="J320" s="5" t="str">
        <f>IFERROR(__xludf.DUMMYFUNCTION("IFERROR(TRIM(INDEX(SPLIT(E320,"" + ""),3)),"""")"),"ZeroO")</f>
        <v>ZeroO</v>
      </c>
      <c r="K320" s="3">
        <f>IFERROR(__xludf.DUMMYFUNCTION("IFERROR(IF(H320="""",0,INDEX(FILTER($Q$2:Q319,$C$2:C319=H320,$G$2:G319=G320),ROWS(FILTER($Q$2:Q319,$C$2:C319=H320,$G$2:G319=G320)),1)),1500)"),1491.0)</f>
        <v>1491</v>
      </c>
      <c r="L320" s="3">
        <f>IFERROR(__xludf.DUMMYFUNCTION("IFERROR(IF(I320="""",0,INDEX(FILTER($Q$2:Q319,$C$2:C319=I320,$G$2:G319=G320),ROWS(FILTER($Q$2:Q319,$C$2:C319=I320,$G$2:G319=G320)),1)),1500)"),1452.0)</f>
        <v>1452</v>
      </c>
      <c r="M320" s="3">
        <f>IFERROR(__xludf.DUMMYFUNCTION("IFERROR(IF(J320="""",0,INDEX(FILTER($Q$2:Q319,$C$2:C319=J320,$G$2:G319=G320),ROWS(FILTER($Q$2:Q319,$C$2:C319=J320,$G$2:G319=G320)),1)),1500)"),1584.0)</f>
        <v>1584</v>
      </c>
      <c r="N320" s="3">
        <f>IFERROR(__xludf.DUMMYFUNCTION("IFERROR(INDEX(FILTER($Q$2:Q319,$C$2:C319=C320,$G$2:G319=G320),ROWS(FILTER($Q$2:Q319,$C$2:C319=C320,$G$2:G319=G320)),1),1500)"),1614.0)</f>
        <v>1614</v>
      </c>
      <c r="O320" s="3">
        <f t="shared" si="3"/>
        <v>1509</v>
      </c>
      <c r="P320" s="9">
        <f t="shared" si="1"/>
        <v>11</v>
      </c>
      <c r="Q320" s="5">
        <f t="shared" si="2"/>
        <v>1625</v>
      </c>
    </row>
    <row r="321">
      <c r="A321" s="3" t="str">
        <f>IFERROR(__xludf.DUMMYFUNCTION("""COMPUTED_VALUE"""),"1Ii6CC26vOHOsaSeltqNnql5LvNoUt4mP")</f>
        <v>1Ii6CC26vOHOsaSeltqNnql5LvNoUt4mP</v>
      </c>
      <c r="B321" s="13">
        <f>IFERROR(__xludf.DUMMYFUNCTION("""COMPUTED_VALUE"""),45976.0)</f>
        <v>45976</v>
      </c>
      <c r="C321" s="3" t="str">
        <f>IFERROR(__xludf.DUMMYFUNCTION("""COMPUTED_VALUE"""),"Malena")</f>
        <v>Malena</v>
      </c>
      <c r="D321" s="3" t="str">
        <f>IFERROR(__xludf.DUMMYFUNCTION("""COMPUTED_VALUE"""),"Malena + Nebus. + Tess1509")</f>
        <v>Malena + Nebus. + Tess1509</v>
      </c>
      <c r="E321" s="3" t="str">
        <f>IFERROR(__xludf.DUMMYFUNCTION("""COMPUTED_VALUE"""),"Aferdita + Kesny + ZeroO")</f>
        <v>Aferdita + Kesny + ZeroO</v>
      </c>
      <c r="F321" s="3" t="str">
        <f>IFERROR(__xludf.DUMMYFUNCTION("""COMPUTED_VALUE"""),"win")</f>
        <v>win</v>
      </c>
      <c r="G321" s="3" t="str">
        <f>IFERROR(__xludf.DUMMYFUNCTION("""COMPUTED_VALUE"""),"3v3")</f>
        <v>3v3</v>
      </c>
      <c r="H321" s="3" t="str">
        <f>IFERROR(__xludf.DUMMYFUNCTION("IFERROR(TRIM(INDEX(SPLIT(E321,"" + ""),1)),"""")"),"Aferdita")</f>
        <v>Aferdita</v>
      </c>
      <c r="I321" s="3" t="str">
        <f>IFERROR(__xludf.DUMMYFUNCTION("IFERROR(TRIM(INDEX(SPLIT(E321,"" + ""),2)),"""")"),"Kesny")</f>
        <v>Kesny</v>
      </c>
      <c r="J321" s="5" t="str">
        <f>IFERROR(__xludf.DUMMYFUNCTION("IFERROR(TRIM(INDEX(SPLIT(E321,"" + ""),3)),"""")"),"ZeroO")</f>
        <v>ZeroO</v>
      </c>
      <c r="K321" s="3">
        <f>IFERROR(__xludf.DUMMYFUNCTION("IFERROR(IF(H321="""",0,INDEX(FILTER($Q$2:Q320,$C$2:C320=H321,$G$2:G320=G321),ROWS(FILTER($Q$2:Q320,$C$2:C320=H321,$G$2:G320=G321)),1)),1500)"),1491.0)</f>
        <v>1491</v>
      </c>
      <c r="L321" s="3">
        <f>IFERROR(__xludf.DUMMYFUNCTION("IFERROR(IF(I321="""",0,INDEX(FILTER($Q$2:Q320,$C$2:C320=I321,$G$2:G320=G321),ROWS(FILTER($Q$2:Q320,$C$2:C320=I321,$G$2:G320=G321)),1)),1500)"),1452.0)</f>
        <v>1452</v>
      </c>
      <c r="M321" s="3">
        <f>IFERROR(__xludf.DUMMYFUNCTION("IFERROR(IF(J321="""",0,INDEX(FILTER($Q$2:Q320,$C$2:C320=J321,$G$2:G320=G321),ROWS(FILTER($Q$2:Q320,$C$2:C320=J321,$G$2:G320=G321)),1)),1500)"),1584.0)</f>
        <v>1584</v>
      </c>
      <c r="N321" s="3">
        <f>IFERROR(__xludf.DUMMYFUNCTION("IFERROR(INDEX(FILTER($Q$2:Q320,$C$2:C320=C321,$G$2:G320=G321),ROWS(FILTER($Q$2:Q320,$C$2:C320=C321,$G$2:G320=G321)),1),1500)"),1463.0)</f>
        <v>1463</v>
      </c>
      <c r="O321" s="3">
        <f t="shared" si="3"/>
        <v>1509</v>
      </c>
      <c r="P321" s="9">
        <f t="shared" si="1"/>
        <v>18</v>
      </c>
      <c r="Q321" s="5">
        <f t="shared" si="2"/>
        <v>1481</v>
      </c>
    </row>
    <row r="322">
      <c r="A322" s="3" t="str">
        <f>IFERROR(__xludf.DUMMYFUNCTION("""COMPUTED_VALUE"""),"1Ii6CC26vOHOsaSeltqNnql5LvNoUt4mP")</f>
        <v>1Ii6CC26vOHOsaSeltqNnql5LvNoUt4mP</v>
      </c>
      <c r="B322" s="13">
        <f>IFERROR(__xludf.DUMMYFUNCTION("""COMPUTED_VALUE"""),45976.0)</f>
        <v>45976</v>
      </c>
      <c r="C322" s="3" t="str">
        <f>IFERROR(__xludf.DUMMYFUNCTION("""COMPUTED_VALUE"""),"Tess1509")</f>
        <v>Tess1509</v>
      </c>
      <c r="D322" s="3" t="str">
        <f>IFERROR(__xludf.DUMMYFUNCTION("""COMPUTED_VALUE"""),"Malena + Nebus. + Tess1509")</f>
        <v>Malena + Nebus. + Tess1509</v>
      </c>
      <c r="E322" s="3" t="str">
        <f>IFERROR(__xludf.DUMMYFUNCTION("""COMPUTED_VALUE"""),"Aferdita + Kesny + ZeroO")</f>
        <v>Aferdita + Kesny + ZeroO</v>
      </c>
      <c r="F322" s="3" t="str">
        <f>IFERROR(__xludf.DUMMYFUNCTION("""COMPUTED_VALUE"""),"win")</f>
        <v>win</v>
      </c>
      <c r="G322" s="3" t="str">
        <f>IFERROR(__xludf.DUMMYFUNCTION("""COMPUTED_VALUE"""),"3v3")</f>
        <v>3v3</v>
      </c>
      <c r="H322" s="3" t="str">
        <f>IFERROR(__xludf.DUMMYFUNCTION("IFERROR(TRIM(INDEX(SPLIT(E322,"" + ""),1)),"""")"),"Aferdita")</f>
        <v>Aferdita</v>
      </c>
      <c r="I322" s="3" t="str">
        <f>IFERROR(__xludf.DUMMYFUNCTION("IFERROR(TRIM(INDEX(SPLIT(E322,"" + ""),2)),"""")"),"Kesny")</f>
        <v>Kesny</v>
      </c>
      <c r="J322" s="5" t="str">
        <f>IFERROR(__xludf.DUMMYFUNCTION("IFERROR(TRIM(INDEX(SPLIT(E322,"" + ""),3)),"""")"),"ZeroO")</f>
        <v>ZeroO</v>
      </c>
      <c r="K322" s="3">
        <f>IFERROR(__xludf.DUMMYFUNCTION("IFERROR(IF(H322="""",0,INDEX(FILTER($Q$2:Q321,$C$2:C321=H322,$G$2:G321=G322),ROWS(FILTER($Q$2:Q321,$C$2:C321=H322,$G$2:G321=G322)),1)),1500)"),1491.0)</f>
        <v>1491</v>
      </c>
      <c r="L322" s="3">
        <f>IFERROR(__xludf.DUMMYFUNCTION("IFERROR(IF(I322="""",0,INDEX(FILTER($Q$2:Q321,$C$2:C321=I322,$G$2:G321=G322),ROWS(FILTER($Q$2:Q321,$C$2:C321=I322,$G$2:G321=G322)),1)),1500)"),1452.0)</f>
        <v>1452</v>
      </c>
      <c r="M322" s="3">
        <f>IFERROR(__xludf.DUMMYFUNCTION("IFERROR(IF(J322="""",0,INDEX(FILTER($Q$2:Q321,$C$2:C321=J322,$G$2:G321=G322),ROWS(FILTER($Q$2:Q321,$C$2:C321=J322,$G$2:G321=G322)),1)),1500)"),1584.0)</f>
        <v>1584</v>
      </c>
      <c r="N322" s="3">
        <f>IFERROR(__xludf.DUMMYFUNCTION("IFERROR(INDEX(FILTER($Q$2:Q321,$C$2:C321=C322,$G$2:G321=G322),ROWS(FILTER($Q$2:Q321,$C$2:C321=C322,$G$2:G321=G322)),1),1500)"),1392.0)</f>
        <v>1392</v>
      </c>
      <c r="O322" s="3">
        <f t="shared" si="3"/>
        <v>1509</v>
      </c>
      <c r="P322" s="9">
        <f t="shared" si="1"/>
        <v>21</v>
      </c>
      <c r="Q322" s="5">
        <f t="shared" si="2"/>
        <v>1413</v>
      </c>
    </row>
    <row r="323">
      <c r="A323" s="3" t="str">
        <f>IFERROR(__xludf.DUMMYFUNCTION("""COMPUTED_VALUE"""),"1Ii6CC26vOHOsaSeltqNnql5LvNoUt4mP")</f>
        <v>1Ii6CC26vOHOsaSeltqNnql5LvNoUt4mP</v>
      </c>
      <c r="B323" s="13">
        <f>IFERROR(__xludf.DUMMYFUNCTION("""COMPUTED_VALUE"""),45976.0)</f>
        <v>45976</v>
      </c>
      <c r="C323" s="3" t="str">
        <f>IFERROR(__xludf.DUMMYFUNCTION("""COMPUTED_VALUE"""),"ZeroO")</f>
        <v>ZeroO</v>
      </c>
      <c r="D323" s="3" t="str">
        <f>IFERROR(__xludf.DUMMYFUNCTION("""COMPUTED_VALUE"""),"Aferdita + Kesny + ZeroO")</f>
        <v>Aferdita + Kesny + ZeroO</v>
      </c>
      <c r="E323" s="3" t="str">
        <f>IFERROR(__xludf.DUMMYFUNCTION("""COMPUTED_VALUE"""),"Malena + Nebus. + Tess1509")</f>
        <v>Malena + Nebus. + Tess1509</v>
      </c>
      <c r="F323" s="3" t="str">
        <f>IFERROR(__xludf.DUMMYFUNCTION("""COMPUTED_VALUE"""),"loss")</f>
        <v>loss</v>
      </c>
      <c r="G323" s="3" t="str">
        <f>IFERROR(__xludf.DUMMYFUNCTION("""COMPUTED_VALUE"""),"3v3")</f>
        <v>3v3</v>
      </c>
      <c r="H323" s="3" t="str">
        <f>IFERROR(__xludf.DUMMYFUNCTION("IFERROR(TRIM(INDEX(SPLIT(E323,"" + ""),1)),"""")"),"Malena")</f>
        <v>Malena</v>
      </c>
      <c r="I323" s="3" t="str">
        <f>IFERROR(__xludf.DUMMYFUNCTION("IFERROR(TRIM(INDEX(SPLIT(E323,"" + ""),2)),"""")"),"Nebus.")</f>
        <v>Nebus.</v>
      </c>
      <c r="J323" s="5" t="str">
        <f>IFERROR(__xludf.DUMMYFUNCTION("IFERROR(TRIM(INDEX(SPLIT(E323,"" + ""),3)),"""")"),"Tess1509")</f>
        <v>Tess1509</v>
      </c>
      <c r="K323" s="3">
        <f>IFERROR(__xludf.DUMMYFUNCTION("IFERROR(IF(H323="""",0,INDEX(FILTER($Q$2:Q322,$C$2:C322=H323,$G$2:G322=G323),ROWS(FILTER($Q$2:Q322,$C$2:C322=H323,$G$2:G322=G323)),1)),1500)"),1481.0)</f>
        <v>1481</v>
      </c>
      <c r="L323" s="3">
        <f>IFERROR(__xludf.DUMMYFUNCTION("IFERROR(IF(I323="""",0,INDEX(FILTER($Q$2:Q322,$C$2:C322=I323,$G$2:G322=G323),ROWS(FILTER($Q$2:Q322,$C$2:C322=I323,$G$2:G322=G323)),1)),1500)"),1625.0)</f>
        <v>1625</v>
      </c>
      <c r="M323" s="3">
        <f>IFERROR(__xludf.DUMMYFUNCTION("IFERROR(IF(J323="""",0,INDEX(FILTER($Q$2:Q322,$C$2:C322=J323,$G$2:G322=G323),ROWS(FILTER($Q$2:Q322,$C$2:C322=J323,$G$2:G322=G323)),1)),1500)"),1413.0)</f>
        <v>1413</v>
      </c>
      <c r="N323" s="3">
        <f>IFERROR(__xludf.DUMMYFUNCTION("IFERROR(INDEX(FILTER($Q$2:Q322,$C$2:C322=C323,$G$2:G322=G323),ROWS(FILTER($Q$2:Q322,$C$2:C322=C323,$G$2:G322=G323)),1),1500)"),1584.0)</f>
        <v>1584</v>
      </c>
      <c r="O323" s="3">
        <f t="shared" si="3"/>
        <v>1506.333333</v>
      </c>
      <c r="P323" s="9">
        <f t="shared" si="1"/>
        <v>-20</v>
      </c>
      <c r="Q323" s="5">
        <f t="shared" si="2"/>
        <v>1564</v>
      </c>
    </row>
    <row r="324">
      <c r="A324" s="3" t="str">
        <f>IFERROR(__xludf.DUMMYFUNCTION("""COMPUTED_VALUE"""),"1Ii6CC26vOHOsaSeltqNnql5LvNoUt4mP")</f>
        <v>1Ii6CC26vOHOsaSeltqNnql5LvNoUt4mP</v>
      </c>
      <c r="B324" s="13">
        <f>IFERROR(__xludf.DUMMYFUNCTION("""COMPUTED_VALUE"""),45976.0)</f>
        <v>45976</v>
      </c>
      <c r="C324" s="3" t="str">
        <f>IFERROR(__xludf.DUMMYFUNCTION("""COMPUTED_VALUE"""),"Kesny")</f>
        <v>Kesny</v>
      </c>
      <c r="D324" s="3" t="str">
        <f>IFERROR(__xludf.DUMMYFUNCTION("""COMPUTED_VALUE"""),"Aferdita + Kesny + ZeroO")</f>
        <v>Aferdita + Kesny + ZeroO</v>
      </c>
      <c r="E324" s="3" t="str">
        <f>IFERROR(__xludf.DUMMYFUNCTION("""COMPUTED_VALUE"""),"Malena + Nebus. + Tess1509")</f>
        <v>Malena + Nebus. + Tess1509</v>
      </c>
      <c r="F324" s="3" t="str">
        <f>IFERROR(__xludf.DUMMYFUNCTION("""COMPUTED_VALUE"""),"loss")</f>
        <v>loss</v>
      </c>
      <c r="G324" s="3" t="str">
        <f>IFERROR(__xludf.DUMMYFUNCTION("""COMPUTED_VALUE"""),"3v3")</f>
        <v>3v3</v>
      </c>
      <c r="H324" s="3" t="str">
        <f>IFERROR(__xludf.DUMMYFUNCTION("IFERROR(TRIM(INDEX(SPLIT(E324,"" + ""),1)),"""")"),"Malena")</f>
        <v>Malena</v>
      </c>
      <c r="I324" s="3" t="str">
        <f>IFERROR(__xludf.DUMMYFUNCTION("IFERROR(TRIM(INDEX(SPLIT(E324,"" + ""),2)),"""")"),"Nebus.")</f>
        <v>Nebus.</v>
      </c>
      <c r="J324" s="5" t="str">
        <f>IFERROR(__xludf.DUMMYFUNCTION("IFERROR(TRIM(INDEX(SPLIT(E324,"" + ""),3)),"""")"),"Tess1509")</f>
        <v>Tess1509</v>
      </c>
      <c r="K324" s="3">
        <f>IFERROR(__xludf.DUMMYFUNCTION("IFERROR(IF(H324="""",0,INDEX(FILTER($Q$2:Q323,$C$2:C323=H324,$G$2:G323=G324),ROWS(FILTER($Q$2:Q323,$C$2:C323=H324,$G$2:G323=G324)),1)),1500)"),1481.0)</f>
        <v>1481</v>
      </c>
      <c r="L324" s="3">
        <f>IFERROR(__xludf.DUMMYFUNCTION("IFERROR(IF(I324="""",0,INDEX(FILTER($Q$2:Q323,$C$2:C323=I324,$G$2:G323=G324),ROWS(FILTER($Q$2:Q323,$C$2:C323=I324,$G$2:G323=G324)),1)),1500)"),1625.0)</f>
        <v>1625</v>
      </c>
      <c r="M324" s="3">
        <f>IFERROR(__xludf.DUMMYFUNCTION("IFERROR(IF(J324="""",0,INDEX(FILTER($Q$2:Q323,$C$2:C323=J324,$G$2:G323=G324),ROWS(FILTER($Q$2:Q323,$C$2:C323=J324,$G$2:G323=G324)),1)),1500)"),1413.0)</f>
        <v>1413</v>
      </c>
      <c r="N324" s="3">
        <f>IFERROR(__xludf.DUMMYFUNCTION("IFERROR(INDEX(FILTER($Q$2:Q323,$C$2:C323=C324,$G$2:G323=G324),ROWS(FILTER($Q$2:Q323,$C$2:C323=C324,$G$2:G323=G324)),1),1500)"),1452.0)</f>
        <v>1452</v>
      </c>
      <c r="O324" s="3">
        <f t="shared" si="3"/>
        <v>1506.333333</v>
      </c>
      <c r="P324" s="9">
        <f t="shared" si="1"/>
        <v>-14</v>
      </c>
      <c r="Q324" s="5">
        <f t="shared" si="2"/>
        <v>1438</v>
      </c>
    </row>
    <row r="325">
      <c r="A325" s="3" t="str">
        <f>IFERROR(__xludf.DUMMYFUNCTION("""COMPUTED_VALUE"""),"1Ii6CC26vOHOsaSeltqNnql5LvNoUt4mP")</f>
        <v>1Ii6CC26vOHOsaSeltqNnql5LvNoUt4mP</v>
      </c>
      <c r="B325" s="13">
        <f>IFERROR(__xludf.DUMMYFUNCTION("""COMPUTED_VALUE"""),45976.0)</f>
        <v>45976</v>
      </c>
      <c r="C325" s="3" t="str">
        <f>IFERROR(__xludf.DUMMYFUNCTION("""COMPUTED_VALUE"""),"Aferdita")</f>
        <v>Aferdita</v>
      </c>
      <c r="D325" s="3" t="str">
        <f>IFERROR(__xludf.DUMMYFUNCTION("""COMPUTED_VALUE"""),"Aferdita + Kesny + ZeroO")</f>
        <v>Aferdita + Kesny + ZeroO</v>
      </c>
      <c r="E325" s="3" t="str">
        <f>IFERROR(__xludf.DUMMYFUNCTION("""COMPUTED_VALUE"""),"Malena + Nebus. + Tess1509")</f>
        <v>Malena + Nebus. + Tess1509</v>
      </c>
      <c r="F325" s="3" t="str">
        <f>IFERROR(__xludf.DUMMYFUNCTION("""COMPUTED_VALUE"""),"loss")</f>
        <v>loss</v>
      </c>
      <c r="G325" s="3" t="str">
        <f>IFERROR(__xludf.DUMMYFUNCTION("""COMPUTED_VALUE"""),"3v3")</f>
        <v>3v3</v>
      </c>
      <c r="H325" s="3" t="str">
        <f>IFERROR(__xludf.DUMMYFUNCTION("IFERROR(TRIM(INDEX(SPLIT(E325,"" + ""),1)),"""")"),"Malena")</f>
        <v>Malena</v>
      </c>
      <c r="I325" s="3" t="str">
        <f>IFERROR(__xludf.DUMMYFUNCTION("IFERROR(TRIM(INDEX(SPLIT(E325,"" + ""),2)),"""")"),"Nebus.")</f>
        <v>Nebus.</v>
      </c>
      <c r="J325" s="5" t="str">
        <f>IFERROR(__xludf.DUMMYFUNCTION("IFERROR(TRIM(INDEX(SPLIT(E325,"" + ""),3)),"""")"),"Tess1509")</f>
        <v>Tess1509</v>
      </c>
      <c r="K325" s="3">
        <f>IFERROR(__xludf.DUMMYFUNCTION("IFERROR(IF(H325="""",0,INDEX(FILTER($Q$2:Q324,$C$2:C324=H325,$G$2:G324=G325),ROWS(FILTER($Q$2:Q324,$C$2:C324=H325,$G$2:G324=G325)),1)),1500)"),1481.0)</f>
        <v>1481</v>
      </c>
      <c r="L325" s="3">
        <f>IFERROR(__xludf.DUMMYFUNCTION("IFERROR(IF(I325="""",0,INDEX(FILTER($Q$2:Q324,$C$2:C324=I325,$G$2:G324=G325),ROWS(FILTER($Q$2:Q324,$C$2:C324=I325,$G$2:G324=G325)),1)),1500)"),1625.0)</f>
        <v>1625</v>
      </c>
      <c r="M325" s="3">
        <f>IFERROR(__xludf.DUMMYFUNCTION("IFERROR(IF(J325="""",0,INDEX(FILTER($Q$2:Q324,$C$2:C324=J325,$G$2:G324=G325),ROWS(FILTER($Q$2:Q324,$C$2:C324=J325,$G$2:G324=G325)),1)),1500)"),1413.0)</f>
        <v>1413</v>
      </c>
      <c r="N325" s="3">
        <f>IFERROR(__xludf.DUMMYFUNCTION("IFERROR(INDEX(FILTER($Q$2:Q324,$C$2:C324=C325,$G$2:G324=G325),ROWS(FILTER($Q$2:Q324,$C$2:C324=C325,$G$2:G324=G325)),1),1500)"),1491.0)</f>
        <v>1491</v>
      </c>
      <c r="O325" s="3">
        <f t="shared" si="3"/>
        <v>1506.333333</v>
      </c>
      <c r="P325" s="9">
        <f t="shared" si="1"/>
        <v>-15</v>
      </c>
      <c r="Q325" s="5">
        <f t="shared" si="2"/>
        <v>1476</v>
      </c>
    </row>
    <row r="326">
      <c r="A326" s="3" t="str">
        <f>IFERROR(__xludf.DUMMYFUNCTION("""COMPUTED_VALUE"""),"1qEM_sCAyTqTVQpLS3lsjOfwkbGtLlRQ9")</f>
        <v>1qEM_sCAyTqTVQpLS3lsjOfwkbGtLlRQ9</v>
      </c>
      <c r="B326" s="13">
        <f>IFERROR(__xludf.DUMMYFUNCTION("""COMPUTED_VALUE"""),45976.0)</f>
        <v>45976</v>
      </c>
      <c r="C326" s="3" t="str">
        <f>IFERROR(__xludf.DUMMYFUNCTION("""COMPUTED_VALUE"""),"Malena")</f>
        <v>Malena</v>
      </c>
      <c r="D326" s="3" t="str">
        <f>IFERROR(__xludf.DUMMYFUNCTION("""COMPUTED_VALUE"""),"Malena + Tess1509")</f>
        <v>Malena + Tess1509</v>
      </c>
      <c r="E326" s="3" t="str">
        <f>IFERROR(__xludf.DUMMYFUNCTION("""COMPUTED_VALUE"""),"Nebus. + ZeroO")</f>
        <v>Nebus. + ZeroO</v>
      </c>
      <c r="F326" s="3" t="str">
        <f>IFERROR(__xludf.DUMMYFUNCTION("""COMPUTED_VALUE"""),"loss")</f>
        <v>loss</v>
      </c>
      <c r="G326" s="3" t="str">
        <f>IFERROR(__xludf.DUMMYFUNCTION("""COMPUTED_VALUE"""),"2v2")</f>
        <v>2v2</v>
      </c>
      <c r="H326" s="3" t="str">
        <f>IFERROR(__xludf.DUMMYFUNCTION("IFERROR(TRIM(INDEX(SPLIT(E326,"" + ""),1)),"""")"),"Nebus.")</f>
        <v>Nebus.</v>
      </c>
      <c r="I326" s="3" t="str">
        <f>IFERROR(__xludf.DUMMYFUNCTION("IFERROR(TRIM(INDEX(SPLIT(E326,"" + ""),2)),"""")"),"ZeroO")</f>
        <v>ZeroO</v>
      </c>
      <c r="J326" s="5" t="str">
        <f>IFERROR(__xludf.DUMMYFUNCTION("IFERROR(TRIM(INDEX(SPLIT(E326,"" + ""),3)),"""")"),"")</f>
        <v/>
      </c>
      <c r="K326" s="3">
        <f>IFERROR(__xludf.DUMMYFUNCTION("IFERROR(IF(H326="""",0,INDEX(FILTER($Q$2:Q325,$C$2:C325=H326,$G$2:G325=G326),ROWS(FILTER($Q$2:Q325,$C$2:C325=H326,$G$2:G325=G326)),1)),1500)"),1575.0)</f>
        <v>1575</v>
      </c>
      <c r="L326" s="3">
        <f>IFERROR(__xludf.DUMMYFUNCTION("IFERROR(IF(I326="""",0,INDEX(FILTER($Q$2:Q325,$C$2:C325=I326,$G$2:G325=G326),ROWS(FILTER($Q$2:Q325,$C$2:C325=I326,$G$2:G325=G326)),1)),1500)"),1536.0)</f>
        <v>1536</v>
      </c>
      <c r="M326" s="3">
        <f>IFERROR(__xludf.DUMMYFUNCTION("IFERROR(IF(J326="""",0,INDEX(FILTER($Q$2:Q325,$C$2:C325=J326,$G$2:G325=G326),ROWS(FILTER($Q$2:Q325,$C$2:C325=J326,$G$2:G325=G326)),1)),1500)"),0.0)</f>
        <v>0</v>
      </c>
      <c r="N326" s="3">
        <f>IFERROR(__xludf.DUMMYFUNCTION("IFERROR(INDEX(FILTER($Q$2:Q325,$C$2:C325=C326,$G$2:G325=G326),ROWS(FILTER($Q$2:Q325,$C$2:C325=C326,$G$2:G325=G326)),1),1500)"),1542.0)</f>
        <v>1542</v>
      </c>
      <c r="O326" s="3">
        <f t="shared" si="3"/>
        <v>1555.5</v>
      </c>
      <c r="P326" s="9">
        <f t="shared" si="1"/>
        <v>-15</v>
      </c>
      <c r="Q326" s="5">
        <f t="shared" si="2"/>
        <v>1527</v>
      </c>
    </row>
    <row r="327">
      <c r="A327" s="3" t="str">
        <f>IFERROR(__xludf.DUMMYFUNCTION("""COMPUTED_VALUE"""),"1qEM_sCAyTqTVQpLS3lsjOfwkbGtLlRQ9")</f>
        <v>1qEM_sCAyTqTVQpLS3lsjOfwkbGtLlRQ9</v>
      </c>
      <c r="B327" s="13">
        <f>IFERROR(__xludf.DUMMYFUNCTION("""COMPUTED_VALUE"""),45976.0)</f>
        <v>45976</v>
      </c>
      <c r="C327" s="3" t="str">
        <f>IFERROR(__xludf.DUMMYFUNCTION("""COMPUTED_VALUE"""),"Tess1509")</f>
        <v>Tess1509</v>
      </c>
      <c r="D327" s="3" t="str">
        <f>IFERROR(__xludf.DUMMYFUNCTION("""COMPUTED_VALUE"""),"Malena + Tess1509")</f>
        <v>Malena + Tess1509</v>
      </c>
      <c r="E327" s="3" t="str">
        <f>IFERROR(__xludf.DUMMYFUNCTION("""COMPUTED_VALUE"""),"Nebus. + ZeroO")</f>
        <v>Nebus. + ZeroO</v>
      </c>
      <c r="F327" s="3" t="str">
        <f>IFERROR(__xludf.DUMMYFUNCTION("""COMPUTED_VALUE"""),"loss")</f>
        <v>loss</v>
      </c>
      <c r="G327" s="3" t="str">
        <f>IFERROR(__xludf.DUMMYFUNCTION("""COMPUTED_VALUE"""),"2v2")</f>
        <v>2v2</v>
      </c>
      <c r="H327" s="3" t="str">
        <f>IFERROR(__xludf.DUMMYFUNCTION("IFERROR(TRIM(INDEX(SPLIT(E327,"" + ""),1)),"""")"),"Nebus.")</f>
        <v>Nebus.</v>
      </c>
      <c r="I327" s="3" t="str">
        <f>IFERROR(__xludf.DUMMYFUNCTION("IFERROR(TRIM(INDEX(SPLIT(E327,"" + ""),2)),"""")"),"ZeroO")</f>
        <v>ZeroO</v>
      </c>
      <c r="J327" s="5" t="str">
        <f>IFERROR(__xludf.DUMMYFUNCTION("IFERROR(TRIM(INDEX(SPLIT(E327,"" + ""),3)),"""")"),"")</f>
        <v/>
      </c>
      <c r="K327" s="3">
        <f>IFERROR(__xludf.DUMMYFUNCTION("IFERROR(IF(H327="""",0,INDEX(FILTER($Q$2:Q326,$C$2:C326=H327,$G$2:G326=G327),ROWS(FILTER($Q$2:Q326,$C$2:C326=H327,$G$2:G326=G327)),1)),1500)"),1575.0)</f>
        <v>1575</v>
      </c>
      <c r="L327" s="3">
        <f>IFERROR(__xludf.DUMMYFUNCTION("IFERROR(IF(I327="""",0,INDEX(FILTER($Q$2:Q326,$C$2:C326=I327,$G$2:G326=G327),ROWS(FILTER($Q$2:Q326,$C$2:C326=I327,$G$2:G326=G327)),1)),1500)"),1536.0)</f>
        <v>1536</v>
      </c>
      <c r="M327" s="3">
        <f>IFERROR(__xludf.DUMMYFUNCTION("IFERROR(IF(J327="""",0,INDEX(FILTER($Q$2:Q326,$C$2:C326=J327,$G$2:G326=G327),ROWS(FILTER($Q$2:Q326,$C$2:C326=J327,$G$2:G326=G327)),1)),1500)"),0.0)</f>
        <v>0</v>
      </c>
      <c r="N327" s="3">
        <f>IFERROR(__xludf.DUMMYFUNCTION("IFERROR(INDEX(FILTER($Q$2:Q326,$C$2:C326=C327,$G$2:G326=G327),ROWS(FILTER($Q$2:Q326,$C$2:C326=C327,$G$2:G326=G327)),1),1500)"),1399.0)</f>
        <v>1399</v>
      </c>
      <c r="O327" s="3">
        <f t="shared" si="3"/>
        <v>1555.5</v>
      </c>
      <c r="P327" s="9">
        <f t="shared" si="1"/>
        <v>-9</v>
      </c>
      <c r="Q327" s="5">
        <f t="shared" si="2"/>
        <v>1390</v>
      </c>
    </row>
    <row r="328">
      <c r="A328" s="3" t="str">
        <f>IFERROR(__xludf.DUMMYFUNCTION("""COMPUTED_VALUE"""),"1qEM_sCAyTqTVQpLS3lsjOfwkbGtLlRQ9")</f>
        <v>1qEM_sCAyTqTVQpLS3lsjOfwkbGtLlRQ9</v>
      </c>
      <c r="B328" s="13">
        <f>IFERROR(__xludf.DUMMYFUNCTION("""COMPUTED_VALUE"""),45976.0)</f>
        <v>45976</v>
      </c>
      <c r="C328" s="3" t="str">
        <f>IFERROR(__xludf.DUMMYFUNCTION("""COMPUTED_VALUE"""),"ZeroO")</f>
        <v>ZeroO</v>
      </c>
      <c r="D328" s="3" t="str">
        <f>IFERROR(__xludf.DUMMYFUNCTION("""COMPUTED_VALUE"""),"Nebus. + ZeroO")</f>
        <v>Nebus. + ZeroO</v>
      </c>
      <c r="E328" s="3" t="str">
        <f>IFERROR(__xludf.DUMMYFUNCTION("""COMPUTED_VALUE"""),"Malena + Tess1509")</f>
        <v>Malena + Tess1509</v>
      </c>
      <c r="F328" s="3" t="str">
        <f>IFERROR(__xludf.DUMMYFUNCTION("""COMPUTED_VALUE"""),"win")</f>
        <v>win</v>
      </c>
      <c r="G328" s="3" t="str">
        <f>IFERROR(__xludf.DUMMYFUNCTION("""COMPUTED_VALUE"""),"2v2")</f>
        <v>2v2</v>
      </c>
      <c r="H328" s="3" t="str">
        <f>IFERROR(__xludf.DUMMYFUNCTION("IFERROR(TRIM(INDEX(SPLIT(E328,"" + ""),1)),"""")"),"Malena")</f>
        <v>Malena</v>
      </c>
      <c r="I328" s="3" t="str">
        <f>IFERROR(__xludf.DUMMYFUNCTION("IFERROR(TRIM(INDEX(SPLIT(E328,"" + ""),2)),"""")"),"Tess1509")</f>
        <v>Tess1509</v>
      </c>
      <c r="J328" s="5" t="str">
        <f>IFERROR(__xludf.DUMMYFUNCTION("IFERROR(TRIM(INDEX(SPLIT(E328,"" + ""),3)),"""")"),"")</f>
        <v/>
      </c>
      <c r="K328" s="3">
        <f>IFERROR(__xludf.DUMMYFUNCTION("IFERROR(IF(H328="""",0,INDEX(FILTER($Q$2:Q327,$C$2:C327=H328,$G$2:G327=G328),ROWS(FILTER($Q$2:Q327,$C$2:C327=H328,$G$2:G327=G328)),1)),1500)"),1527.0)</f>
        <v>1527</v>
      </c>
      <c r="L328" s="3">
        <f>IFERROR(__xludf.DUMMYFUNCTION("IFERROR(IF(I328="""",0,INDEX(FILTER($Q$2:Q327,$C$2:C327=I328,$G$2:G327=G328),ROWS(FILTER($Q$2:Q327,$C$2:C327=I328,$G$2:G327=G328)),1)),1500)"),1390.0)</f>
        <v>1390</v>
      </c>
      <c r="M328" s="3">
        <f>IFERROR(__xludf.DUMMYFUNCTION("IFERROR(IF(J328="""",0,INDEX(FILTER($Q$2:Q327,$C$2:C327=J328,$G$2:G327=G328),ROWS(FILTER($Q$2:Q327,$C$2:C327=J328,$G$2:G327=G328)),1)),1500)"),0.0)</f>
        <v>0</v>
      </c>
      <c r="N328" s="3">
        <f>IFERROR(__xludf.DUMMYFUNCTION("IFERROR(INDEX(FILTER($Q$2:Q327,$C$2:C327=C328,$G$2:G327=G328),ROWS(FILTER($Q$2:Q327,$C$2:C327=C328,$G$2:G327=G328)),1),1500)"),1536.0)</f>
        <v>1536</v>
      </c>
      <c r="O328" s="3">
        <f t="shared" si="3"/>
        <v>1458.5</v>
      </c>
      <c r="P328" s="9">
        <f t="shared" si="1"/>
        <v>12</v>
      </c>
      <c r="Q328" s="5">
        <f t="shared" si="2"/>
        <v>1548</v>
      </c>
    </row>
    <row r="329">
      <c r="A329" s="3" t="str">
        <f>IFERROR(__xludf.DUMMYFUNCTION("""COMPUTED_VALUE"""),"1qEM_sCAyTqTVQpLS3lsjOfwkbGtLlRQ9")</f>
        <v>1qEM_sCAyTqTVQpLS3lsjOfwkbGtLlRQ9</v>
      </c>
      <c r="B329" s="13">
        <f>IFERROR(__xludf.DUMMYFUNCTION("""COMPUTED_VALUE"""),45976.0)</f>
        <v>45976</v>
      </c>
      <c r="C329" s="3" t="str">
        <f>IFERROR(__xludf.DUMMYFUNCTION("""COMPUTED_VALUE"""),"Nebus.")</f>
        <v>Nebus.</v>
      </c>
      <c r="D329" s="3" t="str">
        <f>IFERROR(__xludf.DUMMYFUNCTION("""COMPUTED_VALUE"""),"Nebus. + ZeroO")</f>
        <v>Nebus. + ZeroO</v>
      </c>
      <c r="E329" s="3" t="str">
        <f>IFERROR(__xludf.DUMMYFUNCTION("""COMPUTED_VALUE"""),"Malena + Tess1509")</f>
        <v>Malena + Tess1509</v>
      </c>
      <c r="F329" s="3" t="str">
        <f>IFERROR(__xludf.DUMMYFUNCTION("""COMPUTED_VALUE"""),"win")</f>
        <v>win</v>
      </c>
      <c r="G329" s="3" t="str">
        <f>IFERROR(__xludf.DUMMYFUNCTION("""COMPUTED_VALUE"""),"2v2")</f>
        <v>2v2</v>
      </c>
      <c r="H329" s="3" t="str">
        <f>IFERROR(__xludf.DUMMYFUNCTION("IFERROR(TRIM(INDEX(SPLIT(E329,"" + ""),1)),"""")"),"Malena")</f>
        <v>Malena</v>
      </c>
      <c r="I329" s="3" t="str">
        <f>IFERROR(__xludf.DUMMYFUNCTION("IFERROR(TRIM(INDEX(SPLIT(E329,"" + ""),2)),"""")"),"Tess1509")</f>
        <v>Tess1509</v>
      </c>
      <c r="J329" s="5" t="str">
        <f>IFERROR(__xludf.DUMMYFUNCTION("IFERROR(TRIM(INDEX(SPLIT(E329,"" + ""),3)),"""")"),"")</f>
        <v/>
      </c>
      <c r="K329" s="3">
        <f>IFERROR(__xludf.DUMMYFUNCTION("IFERROR(IF(H329="""",0,INDEX(FILTER($Q$2:Q328,$C$2:C328=H329,$G$2:G328=G329),ROWS(FILTER($Q$2:Q328,$C$2:C328=H329,$G$2:G328=G329)),1)),1500)"),1527.0)</f>
        <v>1527</v>
      </c>
      <c r="L329" s="3">
        <f>IFERROR(__xludf.DUMMYFUNCTION("IFERROR(IF(I329="""",0,INDEX(FILTER($Q$2:Q328,$C$2:C328=I329,$G$2:G328=G329),ROWS(FILTER($Q$2:Q328,$C$2:C328=I329,$G$2:G328=G329)),1)),1500)"),1390.0)</f>
        <v>1390</v>
      </c>
      <c r="M329" s="3">
        <f>IFERROR(__xludf.DUMMYFUNCTION("IFERROR(IF(J329="""",0,INDEX(FILTER($Q$2:Q328,$C$2:C328=J329,$G$2:G328=G329),ROWS(FILTER($Q$2:Q328,$C$2:C328=J329,$G$2:G328=G329)),1)),1500)"),0.0)</f>
        <v>0</v>
      </c>
      <c r="N329" s="3">
        <f>IFERROR(__xludf.DUMMYFUNCTION("IFERROR(INDEX(FILTER($Q$2:Q328,$C$2:C328=C329,$G$2:G328=G329),ROWS(FILTER($Q$2:Q328,$C$2:C328=C329,$G$2:G328=G329)),1),1500)"),1575.0)</f>
        <v>1575</v>
      </c>
      <c r="O329" s="3">
        <f t="shared" si="3"/>
        <v>1458.5</v>
      </c>
      <c r="P329" s="9">
        <f t="shared" si="1"/>
        <v>11</v>
      </c>
      <c r="Q329" s="5">
        <f t="shared" si="2"/>
        <v>1586</v>
      </c>
    </row>
    <row r="330">
      <c r="A330" s="3" t="str">
        <f>IFERROR(__xludf.DUMMYFUNCTION("""COMPUTED_VALUE"""),"1X3WfINxa3bWxuutb1cjLH1pgDbU75K0E")</f>
        <v>1X3WfINxa3bWxuutb1cjLH1pgDbU75K0E</v>
      </c>
      <c r="B330" s="13">
        <f>IFERROR(__xludf.DUMMYFUNCTION("""COMPUTED_VALUE"""),45976.0)</f>
        <v>45976</v>
      </c>
      <c r="C330" s="3" t="str">
        <f>IFERROR(__xludf.DUMMYFUNCTION("""COMPUTED_VALUE"""),"Malena")</f>
        <v>Malena</v>
      </c>
      <c r="D330" s="3" t="str">
        <f>IFERROR(__xludf.DUMMYFUNCTION("""COMPUTED_VALUE"""),"Malena + Tess1509")</f>
        <v>Malena + Tess1509</v>
      </c>
      <c r="E330" s="3" t="str">
        <f>IFERROR(__xludf.DUMMYFUNCTION("""COMPUTED_VALUE"""),"Nebus. + ZeroO")</f>
        <v>Nebus. + ZeroO</v>
      </c>
      <c r="F330" s="3" t="str">
        <f>IFERROR(__xludf.DUMMYFUNCTION("""COMPUTED_VALUE"""),"win")</f>
        <v>win</v>
      </c>
      <c r="G330" s="3" t="str">
        <f>IFERROR(__xludf.DUMMYFUNCTION("""COMPUTED_VALUE"""),"2v2")</f>
        <v>2v2</v>
      </c>
      <c r="H330" s="3" t="str">
        <f>IFERROR(__xludf.DUMMYFUNCTION("IFERROR(TRIM(INDEX(SPLIT(E330,"" + ""),1)),"""")"),"Nebus.")</f>
        <v>Nebus.</v>
      </c>
      <c r="I330" s="3" t="str">
        <f>IFERROR(__xludf.DUMMYFUNCTION("IFERROR(TRIM(INDEX(SPLIT(E330,"" + ""),2)),"""")"),"ZeroO")</f>
        <v>ZeroO</v>
      </c>
      <c r="J330" s="5" t="str">
        <f>IFERROR(__xludf.DUMMYFUNCTION("IFERROR(TRIM(INDEX(SPLIT(E330,"" + ""),3)),"""")"),"")</f>
        <v/>
      </c>
      <c r="K330" s="3">
        <f>IFERROR(__xludf.DUMMYFUNCTION("IFERROR(IF(H330="""",0,INDEX(FILTER($Q$2:Q329,$C$2:C329=H330,$G$2:G329=G330),ROWS(FILTER($Q$2:Q329,$C$2:C329=H330,$G$2:G329=G330)),1)),1500)"),1586.0)</f>
        <v>1586</v>
      </c>
      <c r="L330" s="3">
        <f>IFERROR(__xludf.DUMMYFUNCTION("IFERROR(IF(I330="""",0,INDEX(FILTER($Q$2:Q329,$C$2:C329=I330,$G$2:G329=G330),ROWS(FILTER($Q$2:Q329,$C$2:C329=I330,$G$2:G329=G330)),1)),1500)"),1548.0)</f>
        <v>1548</v>
      </c>
      <c r="M330" s="3">
        <f>IFERROR(__xludf.DUMMYFUNCTION("IFERROR(IF(J330="""",0,INDEX(FILTER($Q$2:Q329,$C$2:C329=J330,$G$2:G329=G330),ROWS(FILTER($Q$2:Q329,$C$2:C329=J330,$G$2:G329=G330)),1)),1500)"),0.0)</f>
        <v>0</v>
      </c>
      <c r="N330" s="3">
        <f>IFERROR(__xludf.DUMMYFUNCTION("IFERROR(INDEX(FILTER($Q$2:Q329,$C$2:C329=C330,$G$2:G329=G330),ROWS(FILTER($Q$2:Q329,$C$2:C329=C330,$G$2:G329=G330)),1),1500)"),1527.0)</f>
        <v>1527</v>
      </c>
      <c r="O330" s="3">
        <f t="shared" si="3"/>
        <v>1567</v>
      </c>
      <c r="P330" s="9">
        <f t="shared" si="1"/>
        <v>18</v>
      </c>
      <c r="Q330" s="5">
        <f t="shared" si="2"/>
        <v>1545</v>
      </c>
    </row>
    <row r="331">
      <c r="A331" s="3" t="str">
        <f>IFERROR(__xludf.DUMMYFUNCTION("""COMPUTED_VALUE"""),"1X3WfINxa3bWxuutb1cjLH1pgDbU75K0E")</f>
        <v>1X3WfINxa3bWxuutb1cjLH1pgDbU75K0E</v>
      </c>
      <c r="B331" s="13">
        <f>IFERROR(__xludf.DUMMYFUNCTION("""COMPUTED_VALUE"""),45976.0)</f>
        <v>45976</v>
      </c>
      <c r="C331" s="3" t="str">
        <f>IFERROR(__xludf.DUMMYFUNCTION("""COMPUTED_VALUE"""),"Tess1509")</f>
        <v>Tess1509</v>
      </c>
      <c r="D331" s="3" t="str">
        <f>IFERROR(__xludf.DUMMYFUNCTION("""COMPUTED_VALUE"""),"Malena + Tess1509")</f>
        <v>Malena + Tess1509</v>
      </c>
      <c r="E331" s="3" t="str">
        <f>IFERROR(__xludf.DUMMYFUNCTION("""COMPUTED_VALUE"""),"Nebus. + ZeroO")</f>
        <v>Nebus. + ZeroO</v>
      </c>
      <c r="F331" s="3" t="str">
        <f>IFERROR(__xludf.DUMMYFUNCTION("""COMPUTED_VALUE"""),"win")</f>
        <v>win</v>
      </c>
      <c r="G331" s="3" t="str">
        <f>IFERROR(__xludf.DUMMYFUNCTION("""COMPUTED_VALUE"""),"2v2")</f>
        <v>2v2</v>
      </c>
      <c r="H331" s="3" t="str">
        <f>IFERROR(__xludf.DUMMYFUNCTION("IFERROR(TRIM(INDEX(SPLIT(E331,"" + ""),1)),"""")"),"Nebus.")</f>
        <v>Nebus.</v>
      </c>
      <c r="I331" s="3" t="str">
        <f>IFERROR(__xludf.DUMMYFUNCTION("IFERROR(TRIM(INDEX(SPLIT(E331,"" + ""),2)),"""")"),"ZeroO")</f>
        <v>ZeroO</v>
      </c>
      <c r="J331" s="5" t="str">
        <f>IFERROR(__xludf.DUMMYFUNCTION("IFERROR(TRIM(INDEX(SPLIT(E331,"" + ""),3)),"""")"),"")</f>
        <v/>
      </c>
      <c r="K331" s="3">
        <f>IFERROR(__xludf.DUMMYFUNCTION("IFERROR(IF(H331="""",0,INDEX(FILTER($Q$2:Q330,$C$2:C330=H331,$G$2:G330=G331),ROWS(FILTER($Q$2:Q330,$C$2:C330=H331,$G$2:G330=G331)),1)),1500)"),1586.0)</f>
        <v>1586</v>
      </c>
      <c r="L331" s="3">
        <f>IFERROR(__xludf.DUMMYFUNCTION("IFERROR(IF(I331="""",0,INDEX(FILTER($Q$2:Q330,$C$2:C330=I331,$G$2:G330=G331),ROWS(FILTER($Q$2:Q330,$C$2:C330=I331,$G$2:G330=G331)),1)),1500)"),1548.0)</f>
        <v>1548</v>
      </c>
      <c r="M331" s="3">
        <f>IFERROR(__xludf.DUMMYFUNCTION("IFERROR(IF(J331="""",0,INDEX(FILTER($Q$2:Q330,$C$2:C330=J331,$G$2:G330=G331),ROWS(FILTER($Q$2:Q330,$C$2:C330=J331,$G$2:G330=G331)),1)),1500)"),0.0)</f>
        <v>0</v>
      </c>
      <c r="N331" s="3">
        <f>IFERROR(__xludf.DUMMYFUNCTION("IFERROR(INDEX(FILTER($Q$2:Q330,$C$2:C330=C331,$G$2:G330=G331),ROWS(FILTER($Q$2:Q330,$C$2:C330=C331,$G$2:G330=G331)),1),1500)"),1390.0)</f>
        <v>1390</v>
      </c>
      <c r="O331" s="3">
        <f t="shared" si="3"/>
        <v>1567</v>
      </c>
      <c r="P331" s="9">
        <f t="shared" si="1"/>
        <v>24</v>
      </c>
      <c r="Q331" s="5">
        <f t="shared" si="2"/>
        <v>1414</v>
      </c>
    </row>
    <row r="332">
      <c r="A332" s="3" t="str">
        <f>IFERROR(__xludf.DUMMYFUNCTION("""COMPUTED_VALUE"""),"1X3WfINxa3bWxuutb1cjLH1pgDbU75K0E")</f>
        <v>1X3WfINxa3bWxuutb1cjLH1pgDbU75K0E</v>
      </c>
      <c r="B332" s="13">
        <f>IFERROR(__xludf.DUMMYFUNCTION("""COMPUTED_VALUE"""),45976.0)</f>
        <v>45976</v>
      </c>
      <c r="C332" s="3" t="str">
        <f>IFERROR(__xludf.DUMMYFUNCTION("""COMPUTED_VALUE"""),"ZeroO")</f>
        <v>ZeroO</v>
      </c>
      <c r="D332" s="3" t="str">
        <f>IFERROR(__xludf.DUMMYFUNCTION("""COMPUTED_VALUE"""),"Nebus. + ZeroO")</f>
        <v>Nebus. + ZeroO</v>
      </c>
      <c r="E332" s="3" t="str">
        <f>IFERROR(__xludf.DUMMYFUNCTION("""COMPUTED_VALUE"""),"Malena + Tess1509")</f>
        <v>Malena + Tess1509</v>
      </c>
      <c r="F332" s="3" t="str">
        <f>IFERROR(__xludf.DUMMYFUNCTION("""COMPUTED_VALUE"""),"loss")</f>
        <v>loss</v>
      </c>
      <c r="G332" s="3" t="str">
        <f>IFERROR(__xludf.DUMMYFUNCTION("""COMPUTED_VALUE"""),"2v2")</f>
        <v>2v2</v>
      </c>
      <c r="H332" s="3" t="str">
        <f>IFERROR(__xludf.DUMMYFUNCTION("IFERROR(TRIM(INDEX(SPLIT(E332,"" + ""),1)),"""")"),"Malena")</f>
        <v>Malena</v>
      </c>
      <c r="I332" s="3" t="str">
        <f>IFERROR(__xludf.DUMMYFUNCTION("IFERROR(TRIM(INDEX(SPLIT(E332,"" + ""),2)),"""")"),"Tess1509")</f>
        <v>Tess1509</v>
      </c>
      <c r="J332" s="5" t="str">
        <f>IFERROR(__xludf.DUMMYFUNCTION("IFERROR(TRIM(INDEX(SPLIT(E332,"" + ""),3)),"""")"),"")</f>
        <v/>
      </c>
      <c r="K332" s="3">
        <f>IFERROR(__xludf.DUMMYFUNCTION("IFERROR(IF(H332="""",0,INDEX(FILTER($Q$2:Q331,$C$2:C331=H332,$G$2:G331=G332),ROWS(FILTER($Q$2:Q331,$C$2:C331=H332,$G$2:G331=G332)),1)),1500)"),1545.0)</f>
        <v>1545</v>
      </c>
      <c r="L332" s="3">
        <f>IFERROR(__xludf.DUMMYFUNCTION("IFERROR(IF(I332="""",0,INDEX(FILTER($Q$2:Q331,$C$2:C331=I332,$G$2:G331=G332),ROWS(FILTER($Q$2:Q331,$C$2:C331=I332,$G$2:G331=G332)),1)),1500)"),1414.0)</f>
        <v>1414</v>
      </c>
      <c r="M332" s="3">
        <f>IFERROR(__xludf.DUMMYFUNCTION("IFERROR(IF(J332="""",0,INDEX(FILTER($Q$2:Q331,$C$2:C331=J332,$G$2:G331=G332),ROWS(FILTER($Q$2:Q331,$C$2:C331=J332,$G$2:G331=G332)),1)),1500)"),0.0)</f>
        <v>0</v>
      </c>
      <c r="N332" s="3">
        <f>IFERROR(__xludf.DUMMYFUNCTION("IFERROR(INDEX(FILTER($Q$2:Q331,$C$2:C331=C332,$G$2:G331=G332),ROWS(FILTER($Q$2:Q331,$C$2:C331=C332,$G$2:G331=G332)),1),1500)"),1548.0)</f>
        <v>1548</v>
      </c>
      <c r="O332" s="3">
        <f t="shared" si="3"/>
        <v>1479.5</v>
      </c>
      <c r="P332" s="9">
        <f t="shared" si="1"/>
        <v>-19</v>
      </c>
      <c r="Q332" s="5">
        <f t="shared" si="2"/>
        <v>1529</v>
      </c>
    </row>
    <row r="333">
      <c r="A333" s="3" t="str">
        <f>IFERROR(__xludf.DUMMYFUNCTION("""COMPUTED_VALUE"""),"1X3WfINxa3bWxuutb1cjLH1pgDbU75K0E")</f>
        <v>1X3WfINxa3bWxuutb1cjLH1pgDbU75K0E</v>
      </c>
      <c r="B333" s="13">
        <f>IFERROR(__xludf.DUMMYFUNCTION("""COMPUTED_VALUE"""),45976.0)</f>
        <v>45976</v>
      </c>
      <c r="C333" s="3" t="str">
        <f>IFERROR(__xludf.DUMMYFUNCTION("""COMPUTED_VALUE"""),"Nebus.")</f>
        <v>Nebus.</v>
      </c>
      <c r="D333" s="3" t="str">
        <f>IFERROR(__xludf.DUMMYFUNCTION("""COMPUTED_VALUE"""),"Nebus. + ZeroO")</f>
        <v>Nebus. + ZeroO</v>
      </c>
      <c r="E333" s="3" t="str">
        <f>IFERROR(__xludf.DUMMYFUNCTION("""COMPUTED_VALUE"""),"Malena + Tess1509")</f>
        <v>Malena + Tess1509</v>
      </c>
      <c r="F333" s="3" t="str">
        <f>IFERROR(__xludf.DUMMYFUNCTION("""COMPUTED_VALUE"""),"loss")</f>
        <v>loss</v>
      </c>
      <c r="G333" s="3" t="str">
        <f>IFERROR(__xludf.DUMMYFUNCTION("""COMPUTED_VALUE"""),"2v2")</f>
        <v>2v2</v>
      </c>
      <c r="H333" s="3" t="str">
        <f>IFERROR(__xludf.DUMMYFUNCTION("IFERROR(TRIM(INDEX(SPLIT(E333,"" + ""),1)),"""")"),"Malena")</f>
        <v>Malena</v>
      </c>
      <c r="I333" s="3" t="str">
        <f>IFERROR(__xludf.DUMMYFUNCTION("IFERROR(TRIM(INDEX(SPLIT(E333,"" + ""),2)),"""")"),"Tess1509")</f>
        <v>Tess1509</v>
      </c>
      <c r="J333" s="5" t="str">
        <f>IFERROR(__xludf.DUMMYFUNCTION("IFERROR(TRIM(INDEX(SPLIT(E333,"" + ""),3)),"""")"),"")</f>
        <v/>
      </c>
      <c r="K333" s="3">
        <f>IFERROR(__xludf.DUMMYFUNCTION("IFERROR(IF(H333="""",0,INDEX(FILTER($Q$2:Q332,$C$2:C332=H333,$G$2:G332=G333),ROWS(FILTER($Q$2:Q332,$C$2:C332=H333,$G$2:G332=G333)),1)),1500)"),1545.0)</f>
        <v>1545</v>
      </c>
      <c r="L333" s="3">
        <f>IFERROR(__xludf.DUMMYFUNCTION("IFERROR(IF(I333="""",0,INDEX(FILTER($Q$2:Q332,$C$2:C332=I333,$G$2:G332=G333),ROWS(FILTER($Q$2:Q332,$C$2:C332=I333,$G$2:G332=G333)),1)),1500)"),1414.0)</f>
        <v>1414</v>
      </c>
      <c r="M333" s="3">
        <f>IFERROR(__xludf.DUMMYFUNCTION("IFERROR(IF(J333="""",0,INDEX(FILTER($Q$2:Q332,$C$2:C332=J333,$G$2:G332=G333),ROWS(FILTER($Q$2:Q332,$C$2:C332=J333,$G$2:G332=G333)),1)),1500)"),0.0)</f>
        <v>0</v>
      </c>
      <c r="N333" s="3">
        <f>IFERROR(__xludf.DUMMYFUNCTION("IFERROR(INDEX(FILTER($Q$2:Q332,$C$2:C332=C333,$G$2:G332=G333),ROWS(FILTER($Q$2:Q332,$C$2:C332=C333,$G$2:G332=G333)),1),1500)"),1586.0)</f>
        <v>1586</v>
      </c>
      <c r="O333" s="3">
        <f t="shared" si="3"/>
        <v>1479.5</v>
      </c>
      <c r="P333" s="9">
        <f t="shared" si="1"/>
        <v>-21</v>
      </c>
      <c r="Q333" s="5">
        <f t="shared" si="2"/>
        <v>1565</v>
      </c>
    </row>
    <row r="334">
      <c r="A334" s="3" t="str">
        <f>IFERROR(__xludf.DUMMYFUNCTION("""COMPUTED_VALUE"""),"1dKWfW-F3FR6bLIXgKPwSiVDHBVk4csIz")</f>
        <v>1dKWfW-F3FR6bLIXgKPwSiVDHBVk4csIz</v>
      </c>
      <c r="B334" s="13">
        <f>IFERROR(__xludf.DUMMYFUNCTION("""COMPUTED_VALUE"""),45976.0)</f>
        <v>45976</v>
      </c>
      <c r="C334" s="3" t="str">
        <f>IFERROR(__xludf.DUMMYFUNCTION("""COMPUTED_VALUE"""),"Malena")</f>
        <v>Malena</v>
      </c>
      <c r="D334" s="3" t="str">
        <f>IFERROR(__xludf.DUMMYFUNCTION("""COMPUTED_VALUE"""),"Malena + Tess1509")</f>
        <v>Malena + Tess1509</v>
      </c>
      <c r="E334" s="3" t="str">
        <f>IFERROR(__xludf.DUMMYFUNCTION("""COMPUTED_VALUE"""),"Nebus. + ZeroO")</f>
        <v>Nebus. + ZeroO</v>
      </c>
      <c r="F334" s="3" t="str">
        <f>IFERROR(__xludf.DUMMYFUNCTION("""COMPUTED_VALUE"""),"win")</f>
        <v>win</v>
      </c>
      <c r="G334" s="3" t="str">
        <f>IFERROR(__xludf.DUMMYFUNCTION("""COMPUTED_VALUE"""),"2v2")</f>
        <v>2v2</v>
      </c>
      <c r="H334" s="3" t="str">
        <f>IFERROR(__xludf.DUMMYFUNCTION("IFERROR(TRIM(INDEX(SPLIT(E334,"" + ""),1)),"""")"),"Nebus.")</f>
        <v>Nebus.</v>
      </c>
      <c r="I334" s="3" t="str">
        <f>IFERROR(__xludf.DUMMYFUNCTION("IFERROR(TRIM(INDEX(SPLIT(E334,"" + ""),2)),"""")"),"ZeroO")</f>
        <v>ZeroO</v>
      </c>
      <c r="J334" s="5" t="str">
        <f>IFERROR(__xludf.DUMMYFUNCTION("IFERROR(TRIM(INDEX(SPLIT(E334,"" + ""),3)),"""")"),"")</f>
        <v/>
      </c>
      <c r="K334" s="3">
        <f>IFERROR(__xludf.DUMMYFUNCTION("IFERROR(IF(H334="""",0,INDEX(FILTER($Q$2:Q333,$C$2:C333=H334,$G$2:G333=G334),ROWS(FILTER($Q$2:Q333,$C$2:C333=H334,$G$2:G333=G334)),1)),1500)"),1565.0)</f>
        <v>1565</v>
      </c>
      <c r="L334" s="3">
        <f>IFERROR(__xludf.DUMMYFUNCTION("IFERROR(IF(I334="""",0,INDEX(FILTER($Q$2:Q333,$C$2:C333=I334,$G$2:G333=G334),ROWS(FILTER($Q$2:Q333,$C$2:C333=I334,$G$2:G333=G334)),1)),1500)"),1529.0)</f>
        <v>1529</v>
      </c>
      <c r="M334" s="3">
        <f>IFERROR(__xludf.DUMMYFUNCTION("IFERROR(IF(J334="""",0,INDEX(FILTER($Q$2:Q333,$C$2:C333=J334,$G$2:G333=G334),ROWS(FILTER($Q$2:Q333,$C$2:C333=J334,$G$2:G333=G334)),1)),1500)"),0.0)</f>
        <v>0</v>
      </c>
      <c r="N334" s="3">
        <f>IFERROR(__xludf.DUMMYFUNCTION("IFERROR(INDEX(FILTER($Q$2:Q333,$C$2:C333=C334,$G$2:G333=G334),ROWS(FILTER($Q$2:Q333,$C$2:C333=C334,$G$2:G333=G334)),1),1500)"),1545.0)</f>
        <v>1545</v>
      </c>
      <c r="O334" s="3">
        <f t="shared" si="3"/>
        <v>1547</v>
      </c>
      <c r="P334" s="9">
        <f t="shared" si="1"/>
        <v>16</v>
      </c>
      <c r="Q334" s="5">
        <f t="shared" si="2"/>
        <v>1561</v>
      </c>
    </row>
    <row r="335">
      <c r="A335" s="3" t="str">
        <f>IFERROR(__xludf.DUMMYFUNCTION("""COMPUTED_VALUE"""),"1dKWfW-F3FR6bLIXgKPwSiVDHBVk4csIz")</f>
        <v>1dKWfW-F3FR6bLIXgKPwSiVDHBVk4csIz</v>
      </c>
      <c r="B335" s="13">
        <f>IFERROR(__xludf.DUMMYFUNCTION("""COMPUTED_VALUE"""),45976.0)</f>
        <v>45976</v>
      </c>
      <c r="C335" s="3" t="str">
        <f>IFERROR(__xludf.DUMMYFUNCTION("""COMPUTED_VALUE"""),"Tess1509")</f>
        <v>Tess1509</v>
      </c>
      <c r="D335" s="3" t="str">
        <f>IFERROR(__xludf.DUMMYFUNCTION("""COMPUTED_VALUE"""),"Malena + Tess1509")</f>
        <v>Malena + Tess1509</v>
      </c>
      <c r="E335" s="3" t="str">
        <f>IFERROR(__xludf.DUMMYFUNCTION("""COMPUTED_VALUE"""),"Nebus. + ZeroO")</f>
        <v>Nebus. + ZeroO</v>
      </c>
      <c r="F335" s="3" t="str">
        <f>IFERROR(__xludf.DUMMYFUNCTION("""COMPUTED_VALUE"""),"win")</f>
        <v>win</v>
      </c>
      <c r="G335" s="3" t="str">
        <f>IFERROR(__xludf.DUMMYFUNCTION("""COMPUTED_VALUE"""),"2v2")</f>
        <v>2v2</v>
      </c>
      <c r="H335" s="3" t="str">
        <f>IFERROR(__xludf.DUMMYFUNCTION("IFERROR(TRIM(INDEX(SPLIT(E335,"" + ""),1)),"""")"),"Nebus.")</f>
        <v>Nebus.</v>
      </c>
      <c r="I335" s="3" t="str">
        <f>IFERROR(__xludf.DUMMYFUNCTION("IFERROR(TRIM(INDEX(SPLIT(E335,"" + ""),2)),"""")"),"ZeroO")</f>
        <v>ZeroO</v>
      </c>
      <c r="J335" s="5" t="str">
        <f>IFERROR(__xludf.DUMMYFUNCTION("IFERROR(TRIM(INDEX(SPLIT(E335,"" + ""),3)),"""")"),"")</f>
        <v/>
      </c>
      <c r="K335" s="3">
        <f>IFERROR(__xludf.DUMMYFUNCTION("IFERROR(IF(H335="""",0,INDEX(FILTER($Q$2:Q334,$C$2:C334=H335,$G$2:G334=G335),ROWS(FILTER($Q$2:Q334,$C$2:C334=H335,$G$2:G334=G335)),1)),1500)"),1565.0)</f>
        <v>1565</v>
      </c>
      <c r="L335" s="3">
        <f>IFERROR(__xludf.DUMMYFUNCTION("IFERROR(IF(I335="""",0,INDEX(FILTER($Q$2:Q334,$C$2:C334=I335,$G$2:G334=G335),ROWS(FILTER($Q$2:Q334,$C$2:C334=I335,$G$2:G334=G335)),1)),1500)"),1529.0)</f>
        <v>1529</v>
      </c>
      <c r="M335" s="3">
        <f>IFERROR(__xludf.DUMMYFUNCTION("IFERROR(IF(J335="""",0,INDEX(FILTER($Q$2:Q334,$C$2:C334=J335,$G$2:G334=G335),ROWS(FILTER($Q$2:Q334,$C$2:C334=J335,$G$2:G334=G335)),1)),1500)"),0.0)</f>
        <v>0</v>
      </c>
      <c r="N335" s="3">
        <f>IFERROR(__xludf.DUMMYFUNCTION("IFERROR(INDEX(FILTER($Q$2:Q334,$C$2:C334=C335,$G$2:G334=G335),ROWS(FILTER($Q$2:Q334,$C$2:C334=C335,$G$2:G334=G335)),1),1500)"),1414.0)</f>
        <v>1414</v>
      </c>
      <c r="O335" s="3">
        <f t="shared" si="3"/>
        <v>1547</v>
      </c>
      <c r="P335" s="9">
        <f t="shared" si="1"/>
        <v>22</v>
      </c>
      <c r="Q335" s="5">
        <f t="shared" si="2"/>
        <v>1436</v>
      </c>
    </row>
    <row r="336">
      <c r="A336" s="3" t="str">
        <f>IFERROR(__xludf.DUMMYFUNCTION("""COMPUTED_VALUE"""),"1dKWfW-F3FR6bLIXgKPwSiVDHBVk4csIz")</f>
        <v>1dKWfW-F3FR6bLIXgKPwSiVDHBVk4csIz</v>
      </c>
      <c r="B336" s="13">
        <f>IFERROR(__xludf.DUMMYFUNCTION("""COMPUTED_VALUE"""),45976.0)</f>
        <v>45976</v>
      </c>
      <c r="C336" s="3" t="str">
        <f>IFERROR(__xludf.DUMMYFUNCTION("""COMPUTED_VALUE"""),"ZeroO")</f>
        <v>ZeroO</v>
      </c>
      <c r="D336" s="3" t="str">
        <f>IFERROR(__xludf.DUMMYFUNCTION("""COMPUTED_VALUE"""),"Nebus. + ZeroO")</f>
        <v>Nebus. + ZeroO</v>
      </c>
      <c r="E336" s="3" t="str">
        <f>IFERROR(__xludf.DUMMYFUNCTION("""COMPUTED_VALUE"""),"Malena + Tess1509")</f>
        <v>Malena + Tess1509</v>
      </c>
      <c r="F336" s="3" t="str">
        <f>IFERROR(__xludf.DUMMYFUNCTION("""COMPUTED_VALUE"""),"loss")</f>
        <v>loss</v>
      </c>
      <c r="G336" s="3" t="str">
        <f>IFERROR(__xludf.DUMMYFUNCTION("""COMPUTED_VALUE"""),"2v2")</f>
        <v>2v2</v>
      </c>
      <c r="H336" s="3" t="str">
        <f>IFERROR(__xludf.DUMMYFUNCTION("IFERROR(TRIM(INDEX(SPLIT(E336,"" + ""),1)),"""")"),"Malena")</f>
        <v>Malena</v>
      </c>
      <c r="I336" s="3" t="str">
        <f>IFERROR(__xludf.DUMMYFUNCTION("IFERROR(TRIM(INDEX(SPLIT(E336,"" + ""),2)),"""")"),"Tess1509")</f>
        <v>Tess1509</v>
      </c>
      <c r="J336" s="5" t="str">
        <f>IFERROR(__xludf.DUMMYFUNCTION("IFERROR(TRIM(INDEX(SPLIT(E336,"" + ""),3)),"""")"),"")</f>
        <v/>
      </c>
      <c r="K336" s="3">
        <f>IFERROR(__xludf.DUMMYFUNCTION("IFERROR(IF(H336="""",0,INDEX(FILTER($Q$2:Q335,$C$2:C335=H336,$G$2:G335=G336),ROWS(FILTER($Q$2:Q335,$C$2:C335=H336,$G$2:G335=G336)),1)),1500)"),1561.0)</f>
        <v>1561</v>
      </c>
      <c r="L336" s="3">
        <f>IFERROR(__xludf.DUMMYFUNCTION("IFERROR(IF(I336="""",0,INDEX(FILTER($Q$2:Q335,$C$2:C335=I336,$G$2:G335=G336),ROWS(FILTER($Q$2:Q335,$C$2:C335=I336,$G$2:G335=G336)),1)),1500)"),1436.0)</f>
        <v>1436</v>
      </c>
      <c r="M336" s="3">
        <f>IFERROR(__xludf.DUMMYFUNCTION("IFERROR(IF(J336="""",0,INDEX(FILTER($Q$2:Q335,$C$2:C335=J336,$G$2:G335=G336),ROWS(FILTER($Q$2:Q335,$C$2:C335=J336,$G$2:G335=G336)),1)),1500)"),0.0)</f>
        <v>0</v>
      </c>
      <c r="N336" s="3">
        <f>IFERROR(__xludf.DUMMYFUNCTION("IFERROR(INDEX(FILTER($Q$2:Q335,$C$2:C335=C336,$G$2:G335=G336),ROWS(FILTER($Q$2:Q335,$C$2:C335=C336,$G$2:G335=G336)),1),1500)"),1529.0)</f>
        <v>1529</v>
      </c>
      <c r="O336" s="3">
        <f t="shared" si="3"/>
        <v>1498.5</v>
      </c>
      <c r="P336" s="9">
        <f t="shared" si="1"/>
        <v>-17</v>
      </c>
      <c r="Q336" s="5">
        <f t="shared" si="2"/>
        <v>1512</v>
      </c>
    </row>
    <row r="337">
      <c r="A337" s="3" t="str">
        <f>IFERROR(__xludf.DUMMYFUNCTION("""COMPUTED_VALUE"""),"1dKWfW-F3FR6bLIXgKPwSiVDHBVk4csIz")</f>
        <v>1dKWfW-F3FR6bLIXgKPwSiVDHBVk4csIz</v>
      </c>
      <c r="B337" s="13">
        <f>IFERROR(__xludf.DUMMYFUNCTION("""COMPUTED_VALUE"""),45976.0)</f>
        <v>45976</v>
      </c>
      <c r="C337" s="3" t="str">
        <f>IFERROR(__xludf.DUMMYFUNCTION("""COMPUTED_VALUE"""),"Nebus.")</f>
        <v>Nebus.</v>
      </c>
      <c r="D337" s="3" t="str">
        <f>IFERROR(__xludf.DUMMYFUNCTION("""COMPUTED_VALUE"""),"Nebus. + ZeroO")</f>
        <v>Nebus. + ZeroO</v>
      </c>
      <c r="E337" s="3" t="str">
        <f>IFERROR(__xludf.DUMMYFUNCTION("""COMPUTED_VALUE"""),"Malena + Tess1509")</f>
        <v>Malena + Tess1509</v>
      </c>
      <c r="F337" s="3" t="str">
        <f>IFERROR(__xludf.DUMMYFUNCTION("""COMPUTED_VALUE"""),"loss")</f>
        <v>loss</v>
      </c>
      <c r="G337" s="3" t="str">
        <f>IFERROR(__xludf.DUMMYFUNCTION("""COMPUTED_VALUE"""),"2v2")</f>
        <v>2v2</v>
      </c>
      <c r="H337" s="3" t="str">
        <f>IFERROR(__xludf.DUMMYFUNCTION("IFERROR(TRIM(INDEX(SPLIT(E337,"" + ""),1)),"""")"),"Malena")</f>
        <v>Malena</v>
      </c>
      <c r="I337" s="3" t="str">
        <f>IFERROR(__xludf.DUMMYFUNCTION("IFERROR(TRIM(INDEX(SPLIT(E337,"" + ""),2)),"""")"),"Tess1509")</f>
        <v>Tess1509</v>
      </c>
      <c r="J337" s="5" t="str">
        <f>IFERROR(__xludf.DUMMYFUNCTION("IFERROR(TRIM(INDEX(SPLIT(E337,"" + ""),3)),"""")"),"")</f>
        <v/>
      </c>
      <c r="K337" s="3">
        <f>IFERROR(__xludf.DUMMYFUNCTION("IFERROR(IF(H337="""",0,INDEX(FILTER($Q$2:Q336,$C$2:C336=H337,$G$2:G336=G337),ROWS(FILTER($Q$2:Q336,$C$2:C336=H337,$G$2:G336=G337)),1)),1500)"),1561.0)</f>
        <v>1561</v>
      </c>
      <c r="L337" s="3">
        <f>IFERROR(__xludf.DUMMYFUNCTION("IFERROR(IF(I337="""",0,INDEX(FILTER($Q$2:Q336,$C$2:C336=I337,$G$2:G336=G337),ROWS(FILTER($Q$2:Q336,$C$2:C336=I337,$G$2:G336=G337)),1)),1500)"),1436.0)</f>
        <v>1436</v>
      </c>
      <c r="M337" s="3">
        <f>IFERROR(__xludf.DUMMYFUNCTION("IFERROR(IF(J337="""",0,INDEX(FILTER($Q$2:Q336,$C$2:C336=J337,$G$2:G336=G337),ROWS(FILTER($Q$2:Q336,$C$2:C336=J337,$G$2:G336=G337)),1)),1500)"),0.0)</f>
        <v>0</v>
      </c>
      <c r="N337" s="3">
        <f>IFERROR(__xludf.DUMMYFUNCTION("IFERROR(INDEX(FILTER($Q$2:Q336,$C$2:C336=C337,$G$2:G336=G337),ROWS(FILTER($Q$2:Q336,$C$2:C336=C337,$G$2:G336=G337)),1),1500)"),1565.0)</f>
        <v>1565</v>
      </c>
      <c r="O337" s="3">
        <f t="shared" si="3"/>
        <v>1498.5</v>
      </c>
      <c r="P337" s="9">
        <f t="shared" si="1"/>
        <v>-19</v>
      </c>
      <c r="Q337" s="5">
        <f t="shared" si="2"/>
        <v>1546</v>
      </c>
    </row>
    <row r="338">
      <c r="A338" s="3" t="str">
        <f>IFERROR(__xludf.DUMMYFUNCTION("""COMPUTED_VALUE"""),"1kktzYJypIJgm6Eh6CdsXfBDqH4otuvz-")</f>
        <v>1kktzYJypIJgm6Eh6CdsXfBDqH4otuvz-</v>
      </c>
      <c r="B338" s="13">
        <f>IFERROR(__xludf.DUMMYFUNCTION("""COMPUTED_VALUE"""),45976.0)</f>
        <v>45976</v>
      </c>
      <c r="C338" s="3" t="str">
        <f>IFERROR(__xludf.DUMMYFUNCTION("""COMPUTED_VALUE"""),"Tess1509")</f>
        <v>Tess1509</v>
      </c>
      <c r="D338" s="3" t="str">
        <f>IFERROR(__xludf.DUMMYFUNCTION("""COMPUTED_VALUE"""),"Malena + Tess1509")</f>
        <v>Malena + Tess1509</v>
      </c>
      <c r="E338" s="3" t="str">
        <f>IFERROR(__xludf.DUMMYFUNCTION("""COMPUTED_VALUE"""),"Nebus. + ZeroO")</f>
        <v>Nebus. + ZeroO</v>
      </c>
      <c r="F338" s="3" t="str">
        <f>IFERROR(__xludf.DUMMYFUNCTION("""COMPUTED_VALUE"""),"loss")</f>
        <v>loss</v>
      </c>
      <c r="G338" s="3" t="str">
        <f>IFERROR(__xludf.DUMMYFUNCTION("""COMPUTED_VALUE"""),"2v2")</f>
        <v>2v2</v>
      </c>
      <c r="H338" s="3" t="str">
        <f>IFERROR(__xludf.DUMMYFUNCTION("IFERROR(TRIM(INDEX(SPLIT(E338,"" + ""),1)),"""")"),"Nebus.")</f>
        <v>Nebus.</v>
      </c>
      <c r="I338" s="3" t="str">
        <f>IFERROR(__xludf.DUMMYFUNCTION("IFERROR(TRIM(INDEX(SPLIT(E338,"" + ""),2)),"""")"),"ZeroO")</f>
        <v>ZeroO</v>
      </c>
      <c r="J338" s="5" t="str">
        <f>IFERROR(__xludf.DUMMYFUNCTION("IFERROR(TRIM(INDEX(SPLIT(E338,"" + ""),3)),"""")"),"")</f>
        <v/>
      </c>
      <c r="K338" s="3">
        <f>IFERROR(__xludf.DUMMYFUNCTION("IFERROR(IF(H338="""",0,INDEX(FILTER($Q$2:Q337,$C$2:C337=H338,$G$2:G337=G338),ROWS(FILTER($Q$2:Q337,$C$2:C337=H338,$G$2:G337=G338)),1)),1500)"),1546.0)</f>
        <v>1546</v>
      </c>
      <c r="L338" s="3">
        <f>IFERROR(__xludf.DUMMYFUNCTION("IFERROR(IF(I338="""",0,INDEX(FILTER($Q$2:Q337,$C$2:C337=I338,$G$2:G337=G338),ROWS(FILTER($Q$2:Q337,$C$2:C337=I338,$G$2:G337=G338)),1)),1500)"),1512.0)</f>
        <v>1512</v>
      </c>
      <c r="M338" s="3">
        <f>IFERROR(__xludf.DUMMYFUNCTION("IFERROR(IF(J338="""",0,INDEX(FILTER($Q$2:Q337,$C$2:C337=J338,$G$2:G337=G338),ROWS(FILTER($Q$2:Q337,$C$2:C337=J338,$G$2:G337=G338)),1)),1500)"),0.0)</f>
        <v>0</v>
      </c>
      <c r="N338" s="3">
        <f>IFERROR(__xludf.DUMMYFUNCTION("IFERROR(INDEX(FILTER($Q$2:Q337,$C$2:C337=C338,$G$2:G337=G338),ROWS(FILTER($Q$2:Q337,$C$2:C337=C338,$G$2:G337=G338)),1),1500)"),1436.0)</f>
        <v>1436</v>
      </c>
      <c r="O338" s="3">
        <f t="shared" si="3"/>
        <v>1529</v>
      </c>
      <c r="P338" s="9">
        <f t="shared" si="1"/>
        <v>-12</v>
      </c>
      <c r="Q338" s="5">
        <f t="shared" si="2"/>
        <v>1424</v>
      </c>
    </row>
    <row r="339">
      <c r="A339" s="3" t="str">
        <f>IFERROR(__xludf.DUMMYFUNCTION("""COMPUTED_VALUE"""),"1kktzYJypIJgm6Eh6CdsXfBDqH4otuvz-")</f>
        <v>1kktzYJypIJgm6Eh6CdsXfBDqH4otuvz-</v>
      </c>
      <c r="B339" s="13">
        <f>IFERROR(__xludf.DUMMYFUNCTION("""COMPUTED_VALUE"""),45976.0)</f>
        <v>45976</v>
      </c>
      <c r="C339" s="3" t="str">
        <f>IFERROR(__xludf.DUMMYFUNCTION("""COMPUTED_VALUE"""),"Malena")</f>
        <v>Malena</v>
      </c>
      <c r="D339" s="3" t="str">
        <f>IFERROR(__xludf.DUMMYFUNCTION("""COMPUTED_VALUE"""),"Malena + Tess1509")</f>
        <v>Malena + Tess1509</v>
      </c>
      <c r="E339" s="3" t="str">
        <f>IFERROR(__xludf.DUMMYFUNCTION("""COMPUTED_VALUE"""),"Nebus. + ZeroO")</f>
        <v>Nebus. + ZeroO</v>
      </c>
      <c r="F339" s="3" t="str">
        <f>IFERROR(__xludf.DUMMYFUNCTION("""COMPUTED_VALUE"""),"loss")</f>
        <v>loss</v>
      </c>
      <c r="G339" s="3" t="str">
        <f>IFERROR(__xludf.DUMMYFUNCTION("""COMPUTED_VALUE"""),"2v2")</f>
        <v>2v2</v>
      </c>
      <c r="H339" s="3" t="str">
        <f>IFERROR(__xludf.DUMMYFUNCTION("IFERROR(TRIM(INDEX(SPLIT(E339,"" + ""),1)),"""")"),"Nebus.")</f>
        <v>Nebus.</v>
      </c>
      <c r="I339" s="3" t="str">
        <f>IFERROR(__xludf.DUMMYFUNCTION("IFERROR(TRIM(INDEX(SPLIT(E339,"" + ""),2)),"""")"),"ZeroO")</f>
        <v>ZeroO</v>
      </c>
      <c r="J339" s="5" t="str">
        <f>IFERROR(__xludf.DUMMYFUNCTION("IFERROR(TRIM(INDEX(SPLIT(E339,"" + ""),3)),"""")"),"")</f>
        <v/>
      </c>
      <c r="K339" s="3">
        <f>IFERROR(__xludf.DUMMYFUNCTION("IFERROR(IF(H339="""",0,INDEX(FILTER($Q$2:Q338,$C$2:C338=H339,$G$2:G338=G339),ROWS(FILTER($Q$2:Q338,$C$2:C338=H339,$G$2:G338=G339)),1)),1500)"),1546.0)</f>
        <v>1546</v>
      </c>
      <c r="L339" s="3">
        <f>IFERROR(__xludf.DUMMYFUNCTION("IFERROR(IF(I339="""",0,INDEX(FILTER($Q$2:Q338,$C$2:C338=I339,$G$2:G338=G339),ROWS(FILTER($Q$2:Q338,$C$2:C338=I339,$G$2:G338=G339)),1)),1500)"),1512.0)</f>
        <v>1512</v>
      </c>
      <c r="M339" s="3">
        <f>IFERROR(__xludf.DUMMYFUNCTION("IFERROR(IF(J339="""",0,INDEX(FILTER($Q$2:Q338,$C$2:C338=J339,$G$2:G338=G339),ROWS(FILTER($Q$2:Q338,$C$2:C338=J339,$G$2:G338=G339)),1)),1500)"),0.0)</f>
        <v>0</v>
      </c>
      <c r="N339" s="3">
        <f>IFERROR(__xludf.DUMMYFUNCTION("IFERROR(INDEX(FILTER($Q$2:Q338,$C$2:C338=C339,$G$2:G338=G339),ROWS(FILTER($Q$2:Q338,$C$2:C338=C339,$G$2:G338=G339)),1),1500)"),1561.0)</f>
        <v>1561</v>
      </c>
      <c r="O339" s="3">
        <f t="shared" si="3"/>
        <v>1529</v>
      </c>
      <c r="P339" s="9">
        <f t="shared" si="1"/>
        <v>-17</v>
      </c>
      <c r="Q339" s="5">
        <f t="shared" si="2"/>
        <v>1544</v>
      </c>
    </row>
    <row r="340">
      <c r="A340" s="3" t="str">
        <f>IFERROR(__xludf.DUMMYFUNCTION("""COMPUTED_VALUE"""),"1kktzYJypIJgm6Eh6CdsXfBDqH4otuvz-")</f>
        <v>1kktzYJypIJgm6Eh6CdsXfBDqH4otuvz-</v>
      </c>
      <c r="B340" s="13">
        <f>IFERROR(__xludf.DUMMYFUNCTION("""COMPUTED_VALUE"""),45976.0)</f>
        <v>45976</v>
      </c>
      <c r="C340" s="3" t="str">
        <f>IFERROR(__xludf.DUMMYFUNCTION("""COMPUTED_VALUE"""),"ZeroO")</f>
        <v>ZeroO</v>
      </c>
      <c r="D340" s="3" t="str">
        <f>IFERROR(__xludf.DUMMYFUNCTION("""COMPUTED_VALUE"""),"Nebus. + ZeroO")</f>
        <v>Nebus. + ZeroO</v>
      </c>
      <c r="E340" s="3" t="str">
        <f>IFERROR(__xludf.DUMMYFUNCTION("""COMPUTED_VALUE"""),"Malena + Tess1509")</f>
        <v>Malena + Tess1509</v>
      </c>
      <c r="F340" s="3" t="str">
        <f>IFERROR(__xludf.DUMMYFUNCTION("""COMPUTED_VALUE"""),"win")</f>
        <v>win</v>
      </c>
      <c r="G340" s="3" t="str">
        <f>IFERROR(__xludf.DUMMYFUNCTION("""COMPUTED_VALUE"""),"2v2")</f>
        <v>2v2</v>
      </c>
      <c r="H340" s="3" t="str">
        <f>IFERROR(__xludf.DUMMYFUNCTION("IFERROR(TRIM(INDEX(SPLIT(E340,"" + ""),1)),"""")"),"Malena")</f>
        <v>Malena</v>
      </c>
      <c r="I340" s="3" t="str">
        <f>IFERROR(__xludf.DUMMYFUNCTION("IFERROR(TRIM(INDEX(SPLIT(E340,"" + ""),2)),"""")"),"Tess1509")</f>
        <v>Tess1509</v>
      </c>
      <c r="J340" s="5" t="str">
        <f>IFERROR(__xludf.DUMMYFUNCTION("IFERROR(TRIM(INDEX(SPLIT(E340,"" + ""),3)),"""")"),"")</f>
        <v/>
      </c>
      <c r="K340" s="3">
        <f>IFERROR(__xludf.DUMMYFUNCTION("IFERROR(IF(H340="""",0,INDEX(FILTER($Q$2:Q339,$C$2:C339=H340,$G$2:G339=G340),ROWS(FILTER($Q$2:Q339,$C$2:C339=H340,$G$2:G339=G340)),1)),1500)"),1544.0)</f>
        <v>1544</v>
      </c>
      <c r="L340" s="3">
        <f>IFERROR(__xludf.DUMMYFUNCTION("IFERROR(IF(I340="""",0,INDEX(FILTER($Q$2:Q339,$C$2:C339=I340,$G$2:G339=G340),ROWS(FILTER($Q$2:Q339,$C$2:C339=I340,$G$2:G339=G340)),1)),1500)"),1424.0)</f>
        <v>1424</v>
      </c>
      <c r="M340" s="3">
        <f>IFERROR(__xludf.DUMMYFUNCTION("IFERROR(IF(J340="""",0,INDEX(FILTER($Q$2:Q339,$C$2:C339=J340,$G$2:G339=G340),ROWS(FILTER($Q$2:Q339,$C$2:C339=J340,$G$2:G339=G340)),1)),1500)"),0.0)</f>
        <v>0</v>
      </c>
      <c r="N340" s="3">
        <f>IFERROR(__xludf.DUMMYFUNCTION("IFERROR(INDEX(FILTER($Q$2:Q339,$C$2:C339=C340,$G$2:G339=G340),ROWS(FILTER($Q$2:Q339,$C$2:C339=C340,$G$2:G339=G340)),1),1500)"),1512.0)</f>
        <v>1512</v>
      </c>
      <c r="O340" s="3">
        <f t="shared" si="3"/>
        <v>1484</v>
      </c>
      <c r="P340" s="9">
        <f t="shared" si="1"/>
        <v>15</v>
      </c>
      <c r="Q340" s="5">
        <f t="shared" si="2"/>
        <v>1527</v>
      </c>
    </row>
    <row r="341">
      <c r="A341" s="3" t="str">
        <f>IFERROR(__xludf.DUMMYFUNCTION("""COMPUTED_VALUE"""),"1kktzYJypIJgm6Eh6CdsXfBDqH4otuvz-")</f>
        <v>1kktzYJypIJgm6Eh6CdsXfBDqH4otuvz-</v>
      </c>
      <c r="B341" s="13">
        <f>IFERROR(__xludf.DUMMYFUNCTION("""COMPUTED_VALUE"""),45976.0)</f>
        <v>45976</v>
      </c>
      <c r="C341" s="3" t="str">
        <f>IFERROR(__xludf.DUMMYFUNCTION("""COMPUTED_VALUE"""),"Nebus.")</f>
        <v>Nebus.</v>
      </c>
      <c r="D341" s="3" t="str">
        <f>IFERROR(__xludf.DUMMYFUNCTION("""COMPUTED_VALUE"""),"Nebus. + ZeroO")</f>
        <v>Nebus. + ZeroO</v>
      </c>
      <c r="E341" s="3" t="str">
        <f>IFERROR(__xludf.DUMMYFUNCTION("""COMPUTED_VALUE"""),"Malena + Tess1509")</f>
        <v>Malena + Tess1509</v>
      </c>
      <c r="F341" s="3" t="str">
        <f>IFERROR(__xludf.DUMMYFUNCTION("""COMPUTED_VALUE"""),"win")</f>
        <v>win</v>
      </c>
      <c r="G341" s="3" t="str">
        <f>IFERROR(__xludf.DUMMYFUNCTION("""COMPUTED_VALUE"""),"2v2")</f>
        <v>2v2</v>
      </c>
      <c r="H341" s="3" t="str">
        <f>IFERROR(__xludf.DUMMYFUNCTION("IFERROR(TRIM(INDEX(SPLIT(E341,"" + ""),1)),"""")"),"Malena")</f>
        <v>Malena</v>
      </c>
      <c r="I341" s="3" t="str">
        <f>IFERROR(__xludf.DUMMYFUNCTION("IFERROR(TRIM(INDEX(SPLIT(E341,"" + ""),2)),"""")"),"Tess1509")</f>
        <v>Tess1509</v>
      </c>
      <c r="J341" s="5" t="str">
        <f>IFERROR(__xludf.DUMMYFUNCTION("IFERROR(TRIM(INDEX(SPLIT(E341,"" + ""),3)),"""")"),"")</f>
        <v/>
      </c>
      <c r="K341" s="3">
        <f>IFERROR(__xludf.DUMMYFUNCTION("IFERROR(IF(H341="""",0,INDEX(FILTER($Q$2:Q340,$C$2:C340=H341,$G$2:G340=G341),ROWS(FILTER($Q$2:Q340,$C$2:C340=H341,$G$2:G340=G341)),1)),1500)"),1544.0)</f>
        <v>1544</v>
      </c>
      <c r="L341" s="3">
        <f>IFERROR(__xludf.DUMMYFUNCTION("IFERROR(IF(I341="""",0,INDEX(FILTER($Q$2:Q340,$C$2:C340=I341,$G$2:G340=G341),ROWS(FILTER($Q$2:Q340,$C$2:C340=I341,$G$2:G340=G341)),1)),1500)"),1424.0)</f>
        <v>1424</v>
      </c>
      <c r="M341" s="3">
        <f>IFERROR(__xludf.DUMMYFUNCTION("IFERROR(IF(J341="""",0,INDEX(FILTER($Q$2:Q340,$C$2:C340=J341,$G$2:G340=G341),ROWS(FILTER($Q$2:Q340,$C$2:C340=J341,$G$2:G340=G341)),1)),1500)"),0.0)</f>
        <v>0</v>
      </c>
      <c r="N341" s="3">
        <f>IFERROR(__xludf.DUMMYFUNCTION("IFERROR(INDEX(FILTER($Q$2:Q340,$C$2:C340=C341,$G$2:G340=G341),ROWS(FILTER($Q$2:Q340,$C$2:C340=C341,$G$2:G340=G341)),1),1500)"),1546.0)</f>
        <v>1546</v>
      </c>
      <c r="O341" s="3">
        <f t="shared" si="3"/>
        <v>1484</v>
      </c>
      <c r="P341" s="9">
        <f t="shared" si="1"/>
        <v>13</v>
      </c>
      <c r="Q341" s="5">
        <f t="shared" si="2"/>
        <v>1559</v>
      </c>
    </row>
    <row r="342">
      <c r="A342" s="3" t="str">
        <f>IFERROR(__xludf.DUMMYFUNCTION("""COMPUTED_VALUE"""),"13XwfKCEBEuWtF7ppyfNHFnRvrYWk4n0d")</f>
        <v>13XwfKCEBEuWtF7ppyfNHFnRvrYWk4n0d</v>
      </c>
      <c r="B342" s="13">
        <f>IFERROR(__xludf.DUMMYFUNCTION("""COMPUTED_VALUE"""),45976.0)</f>
        <v>45976</v>
      </c>
      <c r="C342" s="3" t="str">
        <f>IFERROR(__xludf.DUMMYFUNCTION("""COMPUTED_VALUE"""),"Malena")</f>
        <v>Malena</v>
      </c>
      <c r="D342" s="3" t="str">
        <f>IFERROR(__xludf.DUMMYFUNCTION("""COMPUTED_VALUE"""),"Malena + Nebus.")</f>
        <v>Malena + Nebus.</v>
      </c>
      <c r="E342" s="3" t="str">
        <f>IFERROR(__xludf.DUMMYFUNCTION("""COMPUTED_VALUE"""),"Tess1509 + ZeroO")</f>
        <v>Tess1509 + ZeroO</v>
      </c>
      <c r="F342" s="3" t="str">
        <f>IFERROR(__xludf.DUMMYFUNCTION("""COMPUTED_VALUE"""),"win")</f>
        <v>win</v>
      </c>
      <c r="G342" s="3" t="str">
        <f>IFERROR(__xludf.DUMMYFUNCTION("""COMPUTED_VALUE"""),"2v2")</f>
        <v>2v2</v>
      </c>
      <c r="H342" s="3" t="str">
        <f>IFERROR(__xludf.DUMMYFUNCTION("IFERROR(TRIM(INDEX(SPLIT(E342,"" + ""),1)),"""")"),"Tess1509")</f>
        <v>Tess1509</v>
      </c>
      <c r="I342" s="3" t="str">
        <f>IFERROR(__xludf.DUMMYFUNCTION("IFERROR(TRIM(INDEX(SPLIT(E342,"" + ""),2)),"""")"),"ZeroO")</f>
        <v>ZeroO</v>
      </c>
      <c r="J342" s="5" t="str">
        <f>IFERROR(__xludf.DUMMYFUNCTION("IFERROR(TRIM(INDEX(SPLIT(E342,"" + ""),3)),"""")"),"")</f>
        <v/>
      </c>
      <c r="K342" s="3">
        <f>IFERROR(__xludf.DUMMYFUNCTION("IFERROR(IF(H342="""",0,INDEX(FILTER($Q$2:Q341,$C$2:C341=H342,$G$2:G341=G342),ROWS(FILTER($Q$2:Q341,$C$2:C341=H342,$G$2:G341=G342)),1)),1500)"),1424.0)</f>
        <v>1424</v>
      </c>
      <c r="L342" s="3">
        <f>IFERROR(__xludf.DUMMYFUNCTION("IFERROR(IF(I342="""",0,INDEX(FILTER($Q$2:Q341,$C$2:C341=I342,$G$2:G341=G342),ROWS(FILTER($Q$2:Q341,$C$2:C341=I342,$G$2:G341=G342)),1)),1500)"),1527.0)</f>
        <v>1527</v>
      </c>
      <c r="M342" s="3">
        <f>IFERROR(__xludf.DUMMYFUNCTION("IFERROR(IF(J342="""",0,INDEX(FILTER($Q$2:Q341,$C$2:C341=J342,$G$2:G341=G342),ROWS(FILTER($Q$2:Q341,$C$2:C341=J342,$G$2:G341=G342)),1)),1500)"),0.0)</f>
        <v>0</v>
      </c>
      <c r="N342" s="3">
        <f>IFERROR(__xludf.DUMMYFUNCTION("IFERROR(INDEX(FILTER($Q$2:Q341,$C$2:C341=C342,$G$2:G341=G342),ROWS(FILTER($Q$2:Q341,$C$2:C341=C342,$G$2:G341=G342)),1),1500)"),1544.0)</f>
        <v>1544</v>
      </c>
      <c r="O342" s="3">
        <f t="shared" si="3"/>
        <v>1475.5</v>
      </c>
      <c r="P342" s="9">
        <f t="shared" si="1"/>
        <v>13</v>
      </c>
      <c r="Q342" s="5">
        <f t="shared" si="2"/>
        <v>1557</v>
      </c>
    </row>
    <row r="343">
      <c r="A343" s="3" t="str">
        <f>IFERROR(__xludf.DUMMYFUNCTION("""COMPUTED_VALUE"""),"13XwfKCEBEuWtF7ppyfNHFnRvrYWk4n0d")</f>
        <v>13XwfKCEBEuWtF7ppyfNHFnRvrYWk4n0d</v>
      </c>
      <c r="B343" s="13">
        <f>IFERROR(__xludf.DUMMYFUNCTION("""COMPUTED_VALUE"""),45976.0)</f>
        <v>45976</v>
      </c>
      <c r="C343" s="3" t="str">
        <f>IFERROR(__xludf.DUMMYFUNCTION("""COMPUTED_VALUE"""),"Nebus.")</f>
        <v>Nebus.</v>
      </c>
      <c r="D343" s="3" t="str">
        <f>IFERROR(__xludf.DUMMYFUNCTION("""COMPUTED_VALUE"""),"Malena + Nebus.")</f>
        <v>Malena + Nebus.</v>
      </c>
      <c r="E343" s="3" t="str">
        <f>IFERROR(__xludf.DUMMYFUNCTION("""COMPUTED_VALUE"""),"Tess1509 + ZeroO")</f>
        <v>Tess1509 + ZeroO</v>
      </c>
      <c r="F343" s="3" t="str">
        <f>IFERROR(__xludf.DUMMYFUNCTION("""COMPUTED_VALUE"""),"win")</f>
        <v>win</v>
      </c>
      <c r="G343" s="3" t="str">
        <f>IFERROR(__xludf.DUMMYFUNCTION("""COMPUTED_VALUE"""),"2v2")</f>
        <v>2v2</v>
      </c>
      <c r="H343" s="3" t="str">
        <f>IFERROR(__xludf.DUMMYFUNCTION("IFERROR(TRIM(INDEX(SPLIT(E343,"" + ""),1)),"""")"),"Tess1509")</f>
        <v>Tess1509</v>
      </c>
      <c r="I343" s="3" t="str">
        <f>IFERROR(__xludf.DUMMYFUNCTION("IFERROR(TRIM(INDEX(SPLIT(E343,"" + ""),2)),"""")"),"ZeroO")</f>
        <v>ZeroO</v>
      </c>
      <c r="J343" s="5" t="str">
        <f>IFERROR(__xludf.DUMMYFUNCTION("IFERROR(TRIM(INDEX(SPLIT(E343,"" + ""),3)),"""")"),"")</f>
        <v/>
      </c>
      <c r="K343" s="3">
        <f>IFERROR(__xludf.DUMMYFUNCTION("IFERROR(IF(H343="""",0,INDEX(FILTER($Q$2:Q342,$C$2:C342=H343,$G$2:G342=G343),ROWS(FILTER($Q$2:Q342,$C$2:C342=H343,$G$2:G342=G343)),1)),1500)"),1424.0)</f>
        <v>1424</v>
      </c>
      <c r="L343" s="3">
        <f>IFERROR(__xludf.DUMMYFUNCTION("IFERROR(IF(I343="""",0,INDEX(FILTER($Q$2:Q342,$C$2:C342=I343,$G$2:G342=G343),ROWS(FILTER($Q$2:Q342,$C$2:C342=I343,$G$2:G342=G343)),1)),1500)"),1527.0)</f>
        <v>1527</v>
      </c>
      <c r="M343" s="3">
        <f>IFERROR(__xludf.DUMMYFUNCTION("IFERROR(IF(J343="""",0,INDEX(FILTER($Q$2:Q342,$C$2:C342=J343,$G$2:G342=G343),ROWS(FILTER($Q$2:Q342,$C$2:C342=J343,$G$2:G342=G343)),1)),1500)"),0.0)</f>
        <v>0</v>
      </c>
      <c r="N343" s="3">
        <f>IFERROR(__xludf.DUMMYFUNCTION("IFERROR(INDEX(FILTER($Q$2:Q342,$C$2:C342=C343,$G$2:G342=G343),ROWS(FILTER($Q$2:Q342,$C$2:C342=C343,$G$2:G342=G343)),1),1500)"),1559.0)</f>
        <v>1559</v>
      </c>
      <c r="O343" s="3">
        <f t="shared" si="3"/>
        <v>1475.5</v>
      </c>
      <c r="P343" s="9">
        <f t="shared" si="1"/>
        <v>12</v>
      </c>
      <c r="Q343" s="5">
        <f t="shared" si="2"/>
        <v>1571</v>
      </c>
    </row>
    <row r="344">
      <c r="A344" s="3" t="str">
        <f>IFERROR(__xludf.DUMMYFUNCTION("""COMPUTED_VALUE"""),"13XwfKCEBEuWtF7ppyfNHFnRvrYWk4n0d")</f>
        <v>13XwfKCEBEuWtF7ppyfNHFnRvrYWk4n0d</v>
      </c>
      <c r="B344" s="13">
        <f>IFERROR(__xludf.DUMMYFUNCTION("""COMPUTED_VALUE"""),45976.0)</f>
        <v>45976</v>
      </c>
      <c r="C344" s="3" t="str">
        <f>IFERROR(__xludf.DUMMYFUNCTION("""COMPUTED_VALUE"""),"ZeroO")</f>
        <v>ZeroO</v>
      </c>
      <c r="D344" s="3" t="str">
        <f>IFERROR(__xludf.DUMMYFUNCTION("""COMPUTED_VALUE"""),"Tess1509 + ZeroO")</f>
        <v>Tess1509 + ZeroO</v>
      </c>
      <c r="E344" s="3" t="str">
        <f>IFERROR(__xludf.DUMMYFUNCTION("""COMPUTED_VALUE"""),"Malena + Nebus.")</f>
        <v>Malena + Nebus.</v>
      </c>
      <c r="F344" s="3" t="str">
        <f>IFERROR(__xludf.DUMMYFUNCTION("""COMPUTED_VALUE"""),"loss")</f>
        <v>loss</v>
      </c>
      <c r="G344" s="3" t="str">
        <f>IFERROR(__xludf.DUMMYFUNCTION("""COMPUTED_VALUE"""),"2v2")</f>
        <v>2v2</v>
      </c>
      <c r="H344" s="3" t="str">
        <f>IFERROR(__xludf.DUMMYFUNCTION("IFERROR(TRIM(INDEX(SPLIT(E344,"" + ""),1)),"""")"),"Malena")</f>
        <v>Malena</v>
      </c>
      <c r="I344" s="3" t="str">
        <f>IFERROR(__xludf.DUMMYFUNCTION("IFERROR(TRIM(INDEX(SPLIT(E344,"" + ""),2)),"""")"),"Nebus.")</f>
        <v>Nebus.</v>
      </c>
      <c r="J344" s="5" t="str">
        <f>IFERROR(__xludf.DUMMYFUNCTION("IFERROR(TRIM(INDEX(SPLIT(E344,"" + ""),3)),"""")"),"")</f>
        <v/>
      </c>
      <c r="K344" s="3">
        <f>IFERROR(__xludf.DUMMYFUNCTION("IFERROR(IF(H344="""",0,INDEX(FILTER($Q$2:Q343,$C$2:C343=H344,$G$2:G343=G344),ROWS(FILTER($Q$2:Q343,$C$2:C343=H344,$G$2:G343=G344)),1)),1500)"),1557.0)</f>
        <v>1557</v>
      </c>
      <c r="L344" s="3">
        <f>IFERROR(__xludf.DUMMYFUNCTION("IFERROR(IF(I344="""",0,INDEX(FILTER($Q$2:Q343,$C$2:C343=I344,$G$2:G343=G344),ROWS(FILTER($Q$2:Q343,$C$2:C343=I344,$G$2:G343=G344)),1)),1500)"),1571.0)</f>
        <v>1571</v>
      </c>
      <c r="M344" s="3">
        <f>IFERROR(__xludf.DUMMYFUNCTION("IFERROR(IF(J344="""",0,INDEX(FILTER($Q$2:Q343,$C$2:C343=J344,$G$2:G343=G344),ROWS(FILTER($Q$2:Q343,$C$2:C343=J344,$G$2:G343=G344)),1)),1500)"),0.0)</f>
        <v>0</v>
      </c>
      <c r="N344" s="3">
        <f>IFERROR(__xludf.DUMMYFUNCTION("IFERROR(INDEX(FILTER($Q$2:Q343,$C$2:C343=C344,$G$2:G343=G344),ROWS(FILTER($Q$2:Q343,$C$2:C343=C344,$G$2:G343=G344)),1),1500)"),1527.0)</f>
        <v>1527</v>
      </c>
      <c r="O344" s="3">
        <f t="shared" si="3"/>
        <v>1564</v>
      </c>
      <c r="P344" s="9">
        <f t="shared" si="1"/>
        <v>-14</v>
      </c>
      <c r="Q344" s="5">
        <f t="shared" si="2"/>
        <v>1513</v>
      </c>
    </row>
    <row r="345">
      <c r="A345" s="3" t="str">
        <f>IFERROR(__xludf.DUMMYFUNCTION("""COMPUTED_VALUE"""),"13XwfKCEBEuWtF7ppyfNHFnRvrYWk4n0d")</f>
        <v>13XwfKCEBEuWtF7ppyfNHFnRvrYWk4n0d</v>
      </c>
      <c r="B345" s="13">
        <f>IFERROR(__xludf.DUMMYFUNCTION("""COMPUTED_VALUE"""),45976.0)</f>
        <v>45976</v>
      </c>
      <c r="C345" s="3" t="str">
        <f>IFERROR(__xludf.DUMMYFUNCTION("""COMPUTED_VALUE"""),"Tess1509")</f>
        <v>Tess1509</v>
      </c>
      <c r="D345" s="3" t="str">
        <f>IFERROR(__xludf.DUMMYFUNCTION("""COMPUTED_VALUE"""),"Tess1509 + ZeroO")</f>
        <v>Tess1509 + ZeroO</v>
      </c>
      <c r="E345" s="3" t="str">
        <f>IFERROR(__xludf.DUMMYFUNCTION("""COMPUTED_VALUE"""),"Malena + Nebus.")</f>
        <v>Malena + Nebus.</v>
      </c>
      <c r="F345" s="3" t="str">
        <f>IFERROR(__xludf.DUMMYFUNCTION("""COMPUTED_VALUE"""),"loss")</f>
        <v>loss</v>
      </c>
      <c r="G345" s="3" t="str">
        <f>IFERROR(__xludf.DUMMYFUNCTION("""COMPUTED_VALUE"""),"2v2")</f>
        <v>2v2</v>
      </c>
      <c r="H345" s="3" t="str">
        <f>IFERROR(__xludf.DUMMYFUNCTION("IFERROR(TRIM(INDEX(SPLIT(E345,"" + ""),1)),"""")"),"Malena")</f>
        <v>Malena</v>
      </c>
      <c r="I345" s="3" t="str">
        <f>IFERROR(__xludf.DUMMYFUNCTION("IFERROR(TRIM(INDEX(SPLIT(E345,"" + ""),2)),"""")"),"Nebus.")</f>
        <v>Nebus.</v>
      </c>
      <c r="J345" s="5" t="str">
        <f>IFERROR(__xludf.DUMMYFUNCTION("IFERROR(TRIM(INDEX(SPLIT(E345,"" + ""),3)),"""")"),"")</f>
        <v/>
      </c>
      <c r="K345" s="3">
        <f>IFERROR(__xludf.DUMMYFUNCTION("IFERROR(IF(H345="""",0,INDEX(FILTER($Q$2:Q344,$C$2:C344=H345,$G$2:G344=G345),ROWS(FILTER($Q$2:Q344,$C$2:C344=H345,$G$2:G344=G345)),1)),1500)"),1557.0)</f>
        <v>1557</v>
      </c>
      <c r="L345" s="3">
        <f>IFERROR(__xludf.DUMMYFUNCTION("IFERROR(IF(I345="""",0,INDEX(FILTER($Q$2:Q344,$C$2:C344=I345,$G$2:G344=G345),ROWS(FILTER($Q$2:Q344,$C$2:C344=I345,$G$2:G344=G345)),1)),1500)"),1571.0)</f>
        <v>1571</v>
      </c>
      <c r="M345" s="3">
        <f>IFERROR(__xludf.DUMMYFUNCTION("IFERROR(IF(J345="""",0,INDEX(FILTER($Q$2:Q344,$C$2:C344=J345,$G$2:G344=G345),ROWS(FILTER($Q$2:Q344,$C$2:C344=J345,$G$2:G344=G345)),1)),1500)"),0.0)</f>
        <v>0</v>
      </c>
      <c r="N345" s="3">
        <f>IFERROR(__xludf.DUMMYFUNCTION("IFERROR(INDEX(FILTER($Q$2:Q344,$C$2:C344=C345,$G$2:G344=G345),ROWS(FILTER($Q$2:Q344,$C$2:C344=C345,$G$2:G344=G345)),1),1500)"),1424.0)</f>
        <v>1424</v>
      </c>
      <c r="O345" s="3">
        <f t="shared" si="3"/>
        <v>1564</v>
      </c>
      <c r="P345" s="9">
        <f t="shared" si="1"/>
        <v>-10</v>
      </c>
      <c r="Q345" s="5">
        <f t="shared" si="2"/>
        <v>1414</v>
      </c>
    </row>
    <row r="346">
      <c r="A346" s="3" t="str">
        <f>IFERROR(__xludf.DUMMYFUNCTION("""COMPUTED_VALUE"""),"1vuNsi_S7TD_cVbVaXijC23oEMVmZLHXW")</f>
        <v>1vuNsi_S7TD_cVbVaXijC23oEMVmZLHXW</v>
      </c>
      <c r="B346" s="13">
        <f>IFERROR(__xludf.DUMMYFUNCTION("""COMPUTED_VALUE"""),45976.0)</f>
        <v>45976</v>
      </c>
      <c r="C346" s="3" t="str">
        <f>IFERROR(__xludf.DUMMYFUNCTION("""COMPUTED_VALUE"""),"Malena")</f>
        <v>Malena</v>
      </c>
      <c r="D346" s="3" t="str">
        <f>IFERROR(__xludf.DUMMYFUNCTION("""COMPUTED_VALUE"""),"Malena + Tess1509")</f>
        <v>Malena + Tess1509</v>
      </c>
      <c r="E346" s="3" t="str">
        <f>IFERROR(__xludf.DUMMYFUNCTION("""COMPUTED_VALUE"""),"Nebus. + ZeroO")</f>
        <v>Nebus. + ZeroO</v>
      </c>
      <c r="F346" s="3" t="str">
        <f>IFERROR(__xludf.DUMMYFUNCTION("""COMPUTED_VALUE"""),"loss")</f>
        <v>loss</v>
      </c>
      <c r="G346" s="3" t="str">
        <f>IFERROR(__xludf.DUMMYFUNCTION("""COMPUTED_VALUE"""),"2v2")</f>
        <v>2v2</v>
      </c>
      <c r="H346" s="3" t="str">
        <f>IFERROR(__xludf.DUMMYFUNCTION("IFERROR(TRIM(INDEX(SPLIT(E346,"" + ""),1)),"""")"),"Nebus.")</f>
        <v>Nebus.</v>
      </c>
      <c r="I346" s="3" t="str">
        <f>IFERROR(__xludf.DUMMYFUNCTION("IFERROR(TRIM(INDEX(SPLIT(E346,"" + ""),2)),"""")"),"ZeroO")</f>
        <v>ZeroO</v>
      </c>
      <c r="J346" s="5" t="str">
        <f>IFERROR(__xludf.DUMMYFUNCTION("IFERROR(TRIM(INDEX(SPLIT(E346,"" + ""),3)),"""")"),"")</f>
        <v/>
      </c>
      <c r="K346" s="3">
        <f>IFERROR(__xludf.DUMMYFUNCTION("IFERROR(IF(H346="""",0,INDEX(FILTER($Q$2:Q345,$C$2:C345=H346,$G$2:G345=G346),ROWS(FILTER($Q$2:Q345,$C$2:C345=H346,$G$2:G345=G346)),1)),1500)"),1571.0)</f>
        <v>1571</v>
      </c>
      <c r="L346" s="3">
        <f>IFERROR(__xludf.DUMMYFUNCTION("IFERROR(IF(I346="""",0,INDEX(FILTER($Q$2:Q345,$C$2:C345=I346,$G$2:G345=G346),ROWS(FILTER($Q$2:Q345,$C$2:C345=I346,$G$2:G345=G346)),1)),1500)"),1513.0)</f>
        <v>1513</v>
      </c>
      <c r="M346" s="3">
        <f>IFERROR(__xludf.DUMMYFUNCTION("IFERROR(IF(J346="""",0,INDEX(FILTER($Q$2:Q345,$C$2:C345=J346,$G$2:G345=G346),ROWS(FILTER($Q$2:Q345,$C$2:C345=J346,$G$2:G345=G346)),1)),1500)"),0.0)</f>
        <v>0</v>
      </c>
      <c r="N346" s="3">
        <f>IFERROR(__xludf.DUMMYFUNCTION("IFERROR(INDEX(FILTER($Q$2:Q345,$C$2:C345=C346,$G$2:G345=G346),ROWS(FILTER($Q$2:Q345,$C$2:C345=C346,$G$2:G345=G346)),1),1500)"),1557.0)</f>
        <v>1557</v>
      </c>
      <c r="O346" s="3">
        <f t="shared" si="3"/>
        <v>1542</v>
      </c>
      <c r="P346" s="9">
        <f t="shared" si="1"/>
        <v>-17</v>
      </c>
      <c r="Q346" s="5">
        <f t="shared" si="2"/>
        <v>1540</v>
      </c>
    </row>
    <row r="347">
      <c r="A347" s="3" t="str">
        <f>IFERROR(__xludf.DUMMYFUNCTION("""COMPUTED_VALUE"""),"1vuNsi_S7TD_cVbVaXijC23oEMVmZLHXW")</f>
        <v>1vuNsi_S7TD_cVbVaXijC23oEMVmZLHXW</v>
      </c>
      <c r="B347" s="13">
        <f>IFERROR(__xludf.DUMMYFUNCTION("""COMPUTED_VALUE"""),45976.0)</f>
        <v>45976</v>
      </c>
      <c r="C347" s="3" t="str">
        <f>IFERROR(__xludf.DUMMYFUNCTION("""COMPUTED_VALUE"""),"Tess1509")</f>
        <v>Tess1509</v>
      </c>
      <c r="D347" s="3" t="str">
        <f>IFERROR(__xludf.DUMMYFUNCTION("""COMPUTED_VALUE"""),"Malena + Tess1509")</f>
        <v>Malena + Tess1509</v>
      </c>
      <c r="E347" s="3" t="str">
        <f>IFERROR(__xludf.DUMMYFUNCTION("""COMPUTED_VALUE"""),"Nebus. + ZeroO")</f>
        <v>Nebus. + ZeroO</v>
      </c>
      <c r="F347" s="3" t="str">
        <f>IFERROR(__xludf.DUMMYFUNCTION("""COMPUTED_VALUE"""),"loss")</f>
        <v>loss</v>
      </c>
      <c r="G347" s="3" t="str">
        <f>IFERROR(__xludf.DUMMYFUNCTION("""COMPUTED_VALUE"""),"2v2")</f>
        <v>2v2</v>
      </c>
      <c r="H347" s="3" t="str">
        <f>IFERROR(__xludf.DUMMYFUNCTION("IFERROR(TRIM(INDEX(SPLIT(E347,"" + ""),1)),"""")"),"Nebus.")</f>
        <v>Nebus.</v>
      </c>
      <c r="I347" s="3" t="str">
        <f>IFERROR(__xludf.DUMMYFUNCTION("IFERROR(TRIM(INDEX(SPLIT(E347,"" + ""),2)),"""")"),"ZeroO")</f>
        <v>ZeroO</v>
      </c>
      <c r="J347" s="5" t="str">
        <f>IFERROR(__xludf.DUMMYFUNCTION("IFERROR(TRIM(INDEX(SPLIT(E347,"" + ""),3)),"""")"),"")</f>
        <v/>
      </c>
      <c r="K347" s="3">
        <f>IFERROR(__xludf.DUMMYFUNCTION("IFERROR(IF(H347="""",0,INDEX(FILTER($Q$2:Q346,$C$2:C346=H347,$G$2:G346=G347),ROWS(FILTER($Q$2:Q346,$C$2:C346=H347,$G$2:G346=G347)),1)),1500)"),1571.0)</f>
        <v>1571</v>
      </c>
      <c r="L347" s="3">
        <f>IFERROR(__xludf.DUMMYFUNCTION("IFERROR(IF(I347="""",0,INDEX(FILTER($Q$2:Q346,$C$2:C346=I347,$G$2:G346=G347),ROWS(FILTER($Q$2:Q346,$C$2:C346=I347,$G$2:G346=G347)),1)),1500)"),1513.0)</f>
        <v>1513</v>
      </c>
      <c r="M347" s="3">
        <f>IFERROR(__xludf.DUMMYFUNCTION("IFERROR(IF(J347="""",0,INDEX(FILTER($Q$2:Q346,$C$2:C346=J347,$G$2:G346=G347),ROWS(FILTER($Q$2:Q346,$C$2:C346=J347,$G$2:G346=G347)),1)),1500)"),0.0)</f>
        <v>0</v>
      </c>
      <c r="N347" s="3">
        <f>IFERROR(__xludf.DUMMYFUNCTION("IFERROR(INDEX(FILTER($Q$2:Q346,$C$2:C346=C347,$G$2:G346=G347),ROWS(FILTER($Q$2:Q346,$C$2:C346=C347,$G$2:G346=G347)),1),1500)"),1414.0)</f>
        <v>1414</v>
      </c>
      <c r="O347" s="3">
        <f t="shared" si="3"/>
        <v>1542</v>
      </c>
      <c r="P347" s="9">
        <f t="shared" si="1"/>
        <v>-10</v>
      </c>
      <c r="Q347" s="5">
        <f t="shared" si="2"/>
        <v>1404</v>
      </c>
    </row>
    <row r="348">
      <c r="A348" s="3" t="str">
        <f>IFERROR(__xludf.DUMMYFUNCTION("""COMPUTED_VALUE"""),"1vuNsi_S7TD_cVbVaXijC23oEMVmZLHXW")</f>
        <v>1vuNsi_S7TD_cVbVaXijC23oEMVmZLHXW</v>
      </c>
      <c r="B348" s="13">
        <f>IFERROR(__xludf.DUMMYFUNCTION("""COMPUTED_VALUE"""),45976.0)</f>
        <v>45976</v>
      </c>
      <c r="C348" s="3" t="str">
        <f>IFERROR(__xludf.DUMMYFUNCTION("""COMPUTED_VALUE"""),"ZeroO")</f>
        <v>ZeroO</v>
      </c>
      <c r="D348" s="3" t="str">
        <f>IFERROR(__xludf.DUMMYFUNCTION("""COMPUTED_VALUE"""),"Nebus. + ZeroO")</f>
        <v>Nebus. + ZeroO</v>
      </c>
      <c r="E348" s="3" t="str">
        <f>IFERROR(__xludf.DUMMYFUNCTION("""COMPUTED_VALUE"""),"Malena + Tess1509")</f>
        <v>Malena + Tess1509</v>
      </c>
      <c r="F348" s="3" t="str">
        <f>IFERROR(__xludf.DUMMYFUNCTION("""COMPUTED_VALUE"""),"win")</f>
        <v>win</v>
      </c>
      <c r="G348" s="3" t="str">
        <f>IFERROR(__xludf.DUMMYFUNCTION("""COMPUTED_VALUE"""),"2v2")</f>
        <v>2v2</v>
      </c>
      <c r="H348" s="3" t="str">
        <f>IFERROR(__xludf.DUMMYFUNCTION("IFERROR(TRIM(INDEX(SPLIT(E348,"" + ""),1)),"""")"),"Malena")</f>
        <v>Malena</v>
      </c>
      <c r="I348" s="3" t="str">
        <f>IFERROR(__xludf.DUMMYFUNCTION("IFERROR(TRIM(INDEX(SPLIT(E348,"" + ""),2)),"""")"),"Tess1509")</f>
        <v>Tess1509</v>
      </c>
      <c r="J348" s="5" t="str">
        <f>IFERROR(__xludf.DUMMYFUNCTION("IFERROR(TRIM(INDEX(SPLIT(E348,"" + ""),3)),"""")"),"")</f>
        <v/>
      </c>
      <c r="K348" s="3">
        <f>IFERROR(__xludf.DUMMYFUNCTION("IFERROR(IF(H348="""",0,INDEX(FILTER($Q$2:Q347,$C$2:C347=H348,$G$2:G347=G348),ROWS(FILTER($Q$2:Q347,$C$2:C347=H348,$G$2:G347=G348)),1)),1500)"),1540.0)</f>
        <v>1540</v>
      </c>
      <c r="L348" s="3">
        <f>IFERROR(__xludf.DUMMYFUNCTION("IFERROR(IF(I348="""",0,INDEX(FILTER($Q$2:Q347,$C$2:C347=I348,$G$2:G347=G348),ROWS(FILTER($Q$2:Q347,$C$2:C347=I348,$G$2:G347=G348)),1)),1500)"),1404.0)</f>
        <v>1404</v>
      </c>
      <c r="M348" s="3">
        <f>IFERROR(__xludf.DUMMYFUNCTION("IFERROR(IF(J348="""",0,INDEX(FILTER($Q$2:Q347,$C$2:C347=J348,$G$2:G347=G348),ROWS(FILTER($Q$2:Q347,$C$2:C347=J348,$G$2:G347=G348)),1)),1500)"),0.0)</f>
        <v>0</v>
      </c>
      <c r="N348" s="3">
        <f>IFERROR(__xludf.DUMMYFUNCTION("IFERROR(INDEX(FILTER($Q$2:Q347,$C$2:C347=C348,$G$2:G347=G348),ROWS(FILTER($Q$2:Q347,$C$2:C347=C348,$G$2:G347=G348)),1),1500)"),1513.0)</f>
        <v>1513</v>
      </c>
      <c r="O348" s="3">
        <f t="shared" si="3"/>
        <v>1472</v>
      </c>
      <c r="P348" s="9">
        <f t="shared" si="1"/>
        <v>14</v>
      </c>
      <c r="Q348" s="5">
        <f t="shared" si="2"/>
        <v>1527</v>
      </c>
    </row>
    <row r="349">
      <c r="A349" s="3" t="str">
        <f>IFERROR(__xludf.DUMMYFUNCTION("""COMPUTED_VALUE"""),"1vuNsi_S7TD_cVbVaXijC23oEMVmZLHXW")</f>
        <v>1vuNsi_S7TD_cVbVaXijC23oEMVmZLHXW</v>
      </c>
      <c r="B349" s="13">
        <f>IFERROR(__xludf.DUMMYFUNCTION("""COMPUTED_VALUE"""),45976.0)</f>
        <v>45976</v>
      </c>
      <c r="C349" s="3" t="str">
        <f>IFERROR(__xludf.DUMMYFUNCTION("""COMPUTED_VALUE"""),"Nebus.")</f>
        <v>Nebus.</v>
      </c>
      <c r="D349" s="3" t="str">
        <f>IFERROR(__xludf.DUMMYFUNCTION("""COMPUTED_VALUE"""),"Nebus. + ZeroO")</f>
        <v>Nebus. + ZeroO</v>
      </c>
      <c r="E349" s="3" t="str">
        <f>IFERROR(__xludf.DUMMYFUNCTION("""COMPUTED_VALUE"""),"Malena + Tess1509")</f>
        <v>Malena + Tess1509</v>
      </c>
      <c r="F349" s="3" t="str">
        <f>IFERROR(__xludf.DUMMYFUNCTION("""COMPUTED_VALUE"""),"win")</f>
        <v>win</v>
      </c>
      <c r="G349" s="3" t="str">
        <f>IFERROR(__xludf.DUMMYFUNCTION("""COMPUTED_VALUE"""),"2v2")</f>
        <v>2v2</v>
      </c>
      <c r="H349" s="3" t="str">
        <f>IFERROR(__xludf.DUMMYFUNCTION("IFERROR(TRIM(INDEX(SPLIT(E349,"" + ""),1)),"""")"),"Malena")</f>
        <v>Malena</v>
      </c>
      <c r="I349" s="3" t="str">
        <f>IFERROR(__xludf.DUMMYFUNCTION("IFERROR(TRIM(INDEX(SPLIT(E349,"" + ""),2)),"""")"),"Tess1509")</f>
        <v>Tess1509</v>
      </c>
      <c r="J349" s="5" t="str">
        <f>IFERROR(__xludf.DUMMYFUNCTION("IFERROR(TRIM(INDEX(SPLIT(E349,"" + ""),3)),"""")"),"")</f>
        <v/>
      </c>
      <c r="K349" s="3">
        <f>IFERROR(__xludf.DUMMYFUNCTION("IFERROR(IF(H349="""",0,INDEX(FILTER($Q$2:Q348,$C$2:C348=H349,$G$2:G348=G349),ROWS(FILTER($Q$2:Q348,$C$2:C348=H349,$G$2:G348=G349)),1)),1500)"),1540.0)</f>
        <v>1540</v>
      </c>
      <c r="L349" s="3">
        <f>IFERROR(__xludf.DUMMYFUNCTION("IFERROR(IF(I349="""",0,INDEX(FILTER($Q$2:Q348,$C$2:C348=I349,$G$2:G348=G349),ROWS(FILTER($Q$2:Q348,$C$2:C348=I349,$G$2:G348=G349)),1)),1500)"),1404.0)</f>
        <v>1404</v>
      </c>
      <c r="M349" s="3">
        <f>IFERROR(__xludf.DUMMYFUNCTION("IFERROR(IF(J349="""",0,INDEX(FILTER($Q$2:Q348,$C$2:C348=J349,$G$2:G348=G349),ROWS(FILTER($Q$2:Q348,$C$2:C348=J349,$G$2:G348=G349)),1)),1500)"),0.0)</f>
        <v>0</v>
      </c>
      <c r="N349" s="3">
        <f>IFERROR(__xludf.DUMMYFUNCTION("IFERROR(INDEX(FILTER($Q$2:Q348,$C$2:C348=C349,$G$2:G348=G349),ROWS(FILTER($Q$2:Q348,$C$2:C348=C349,$G$2:G348=G349)),1),1500)"),1571.0)</f>
        <v>1571</v>
      </c>
      <c r="O349" s="3">
        <f t="shared" si="3"/>
        <v>1472</v>
      </c>
      <c r="P349" s="9">
        <f t="shared" si="1"/>
        <v>12</v>
      </c>
      <c r="Q349" s="5">
        <f t="shared" si="2"/>
        <v>1583</v>
      </c>
    </row>
    <row r="350">
      <c r="A350" s="3" t="str">
        <f>IFERROR(__xludf.DUMMYFUNCTION("""COMPUTED_VALUE"""),"1ZBKOJE-hw8pTB7GbQeWCQ2dTJ7DhfFoA")</f>
        <v>1ZBKOJE-hw8pTB7GbQeWCQ2dTJ7DhfFoA</v>
      </c>
      <c r="B350" s="13">
        <f>IFERROR(__xludf.DUMMYFUNCTION("""COMPUTED_VALUE"""),45976.0)</f>
        <v>45976</v>
      </c>
      <c r="C350" s="3" t="str">
        <f>IFERROR(__xludf.DUMMYFUNCTION("""COMPUTED_VALUE"""),"Nebus.")</f>
        <v>Nebus.</v>
      </c>
      <c r="D350" s="3" t="str">
        <f>IFERROR(__xludf.DUMMYFUNCTION("""COMPUTED_VALUE"""),"Nebus. + Tess1509")</f>
        <v>Nebus. + Tess1509</v>
      </c>
      <c r="E350" s="3" t="str">
        <f>IFERROR(__xludf.DUMMYFUNCTION("""COMPUTED_VALUE"""),"Malena + ZeroO")</f>
        <v>Malena + ZeroO</v>
      </c>
      <c r="F350" s="3" t="str">
        <f>IFERROR(__xludf.DUMMYFUNCTION("""COMPUTED_VALUE"""),"loss")</f>
        <v>loss</v>
      </c>
      <c r="G350" s="3" t="str">
        <f>IFERROR(__xludf.DUMMYFUNCTION("""COMPUTED_VALUE"""),"2v2")</f>
        <v>2v2</v>
      </c>
      <c r="H350" s="3" t="str">
        <f>IFERROR(__xludf.DUMMYFUNCTION("IFERROR(TRIM(INDEX(SPLIT(E350,"" + ""),1)),"""")"),"Malena")</f>
        <v>Malena</v>
      </c>
      <c r="I350" s="3" t="str">
        <f>IFERROR(__xludf.DUMMYFUNCTION("IFERROR(TRIM(INDEX(SPLIT(E350,"" + ""),2)),"""")"),"ZeroO")</f>
        <v>ZeroO</v>
      </c>
      <c r="J350" s="5" t="str">
        <f>IFERROR(__xludf.DUMMYFUNCTION("IFERROR(TRIM(INDEX(SPLIT(E350,"" + ""),3)),"""")"),"")</f>
        <v/>
      </c>
      <c r="K350" s="3">
        <f>IFERROR(__xludf.DUMMYFUNCTION("IFERROR(IF(H350="""",0,INDEX(FILTER($Q$2:Q349,$C$2:C349=H350,$G$2:G349=G350),ROWS(FILTER($Q$2:Q349,$C$2:C349=H350,$G$2:G349=G350)),1)),1500)"),1540.0)</f>
        <v>1540</v>
      </c>
      <c r="L350" s="3">
        <f>IFERROR(__xludf.DUMMYFUNCTION("IFERROR(IF(I350="""",0,INDEX(FILTER($Q$2:Q349,$C$2:C349=I350,$G$2:G349=G350),ROWS(FILTER($Q$2:Q349,$C$2:C349=I350,$G$2:G349=G350)),1)),1500)"),1527.0)</f>
        <v>1527</v>
      </c>
      <c r="M350" s="3">
        <f>IFERROR(__xludf.DUMMYFUNCTION("IFERROR(IF(J350="""",0,INDEX(FILTER($Q$2:Q349,$C$2:C349=J350,$G$2:G349=G350),ROWS(FILTER($Q$2:Q349,$C$2:C349=J350,$G$2:G349=G350)),1)),1500)"),0.0)</f>
        <v>0</v>
      </c>
      <c r="N350" s="3">
        <f>IFERROR(__xludf.DUMMYFUNCTION("IFERROR(INDEX(FILTER($Q$2:Q349,$C$2:C349=C350,$G$2:G349=G350),ROWS(FILTER($Q$2:Q349,$C$2:C349=C350,$G$2:G349=G350)),1),1500)"),1583.0)</f>
        <v>1583</v>
      </c>
      <c r="O350" s="3">
        <f t="shared" si="3"/>
        <v>1533.5</v>
      </c>
      <c r="P350" s="9">
        <f t="shared" si="1"/>
        <v>-18</v>
      </c>
      <c r="Q350" s="5">
        <f t="shared" si="2"/>
        <v>1565</v>
      </c>
    </row>
    <row r="351">
      <c r="A351" s="3" t="str">
        <f>IFERROR(__xludf.DUMMYFUNCTION("""COMPUTED_VALUE"""),"1ZBKOJE-hw8pTB7GbQeWCQ2dTJ7DhfFoA")</f>
        <v>1ZBKOJE-hw8pTB7GbQeWCQ2dTJ7DhfFoA</v>
      </c>
      <c r="B351" s="13">
        <f>IFERROR(__xludf.DUMMYFUNCTION("""COMPUTED_VALUE"""),45976.0)</f>
        <v>45976</v>
      </c>
      <c r="C351" s="3" t="str">
        <f>IFERROR(__xludf.DUMMYFUNCTION("""COMPUTED_VALUE"""),"Tess1509")</f>
        <v>Tess1509</v>
      </c>
      <c r="D351" s="3" t="str">
        <f>IFERROR(__xludf.DUMMYFUNCTION("""COMPUTED_VALUE"""),"Nebus. + Tess1509")</f>
        <v>Nebus. + Tess1509</v>
      </c>
      <c r="E351" s="3" t="str">
        <f>IFERROR(__xludf.DUMMYFUNCTION("""COMPUTED_VALUE"""),"Malena + ZeroO")</f>
        <v>Malena + ZeroO</v>
      </c>
      <c r="F351" s="3" t="str">
        <f>IFERROR(__xludf.DUMMYFUNCTION("""COMPUTED_VALUE"""),"loss")</f>
        <v>loss</v>
      </c>
      <c r="G351" s="3" t="str">
        <f>IFERROR(__xludf.DUMMYFUNCTION("""COMPUTED_VALUE"""),"2v2")</f>
        <v>2v2</v>
      </c>
      <c r="H351" s="3" t="str">
        <f>IFERROR(__xludf.DUMMYFUNCTION("IFERROR(TRIM(INDEX(SPLIT(E351,"" + ""),1)),"""")"),"Malena")</f>
        <v>Malena</v>
      </c>
      <c r="I351" s="3" t="str">
        <f>IFERROR(__xludf.DUMMYFUNCTION("IFERROR(TRIM(INDEX(SPLIT(E351,"" + ""),2)),"""")"),"ZeroO")</f>
        <v>ZeroO</v>
      </c>
      <c r="J351" s="5" t="str">
        <f>IFERROR(__xludf.DUMMYFUNCTION("IFERROR(TRIM(INDEX(SPLIT(E351,"" + ""),3)),"""")"),"")</f>
        <v/>
      </c>
      <c r="K351" s="3">
        <f>IFERROR(__xludf.DUMMYFUNCTION("IFERROR(IF(H351="""",0,INDEX(FILTER($Q$2:Q350,$C$2:C350=H351,$G$2:G350=G351),ROWS(FILTER($Q$2:Q350,$C$2:C350=H351,$G$2:G350=G351)),1)),1500)"),1540.0)</f>
        <v>1540</v>
      </c>
      <c r="L351" s="3">
        <f>IFERROR(__xludf.DUMMYFUNCTION("IFERROR(IF(I351="""",0,INDEX(FILTER($Q$2:Q350,$C$2:C350=I351,$G$2:G350=G351),ROWS(FILTER($Q$2:Q350,$C$2:C350=I351,$G$2:G350=G351)),1)),1500)"),1527.0)</f>
        <v>1527</v>
      </c>
      <c r="M351" s="3">
        <f>IFERROR(__xludf.DUMMYFUNCTION("IFERROR(IF(J351="""",0,INDEX(FILTER($Q$2:Q350,$C$2:C350=J351,$G$2:G350=G351),ROWS(FILTER($Q$2:Q350,$C$2:C350=J351,$G$2:G350=G351)),1)),1500)"),0.0)</f>
        <v>0</v>
      </c>
      <c r="N351" s="3">
        <f>IFERROR(__xludf.DUMMYFUNCTION("IFERROR(INDEX(FILTER($Q$2:Q350,$C$2:C350=C351,$G$2:G350=G351),ROWS(FILTER($Q$2:Q350,$C$2:C350=C351,$G$2:G350=G351)),1),1500)"),1404.0)</f>
        <v>1404</v>
      </c>
      <c r="O351" s="3">
        <f t="shared" si="3"/>
        <v>1533.5</v>
      </c>
      <c r="P351" s="9">
        <f t="shared" si="1"/>
        <v>-10</v>
      </c>
      <c r="Q351" s="5">
        <f t="shared" si="2"/>
        <v>1394</v>
      </c>
    </row>
    <row r="352">
      <c r="A352" s="3" t="str">
        <f>IFERROR(__xludf.DUMMYFUNCTION("""COMPUTED_VALUE"""),"1ZBKOJE-hw8pTB7GbQeWCQ2dTJ7DhfFoA")</f>
        <v>1ZBKOJE-hw8pTB7GbQeWCQ2dTJ7DhfFoA</v>
      </c>
      <c r="B352" s="13">
        <f>IFERROR(__xludf.DUMMYFUNCTION("""COMPUTED_VALUE"""),45976.0)</f>
        <v>45976</v>
      </c>
      <c r="C352" s="3" t="str">
        <f>IFERROR(__xludf.DUMMYFUNCTION("""COMPUTED_VALUE"""),"Malena")</f>
        <v>Malena</v>
      </c>
      <c r="D352" s="3" t="str">
        <f>IFERROR(__xludf.DUMMYFUNCTION("""COMPUTED_VALUE"""),"Malena + ZeroO")</f>
        <v>Malena + ZeroO</v>
      </c>
      <c r="E352" s="3" t="str">
        <f>IFERROR(__xludf.DUMMYFUNCTION("""COMPUTED_VALUE"""),"Nebus. + Tess1509")</f>
        <v>Nebus. + Tess1509</v>
      </c>
      <c r="F352" s="3" t="str">
        <f>IFERROR(__xludf.DUMMYFUNCTION("""COMPUTED_VALUE"""),"win")</f>
        <v>win</v>
      </c>
      <c r="G352" s="3" t="str">
        <f>IFERROR(__xludf.DUMMYFUNCTION("""COMPUTED_VALUE"""),"2v2")</f>
        <v>2v2</v>
      </c>
      <c r="H352" s="3" t="str">
        <f>IFERROR(__xludf.DUMMYFUNCTION("IFERROR(TRIM(INDEX(SPLIT(E352,"" + ""),1)),"""")"),"Nebus.")</f>
        <v>Nebus.</v>
      </c>
      <c r="I352" s="3" t="str">
        <f>IFERROR(__xludf.DUMMYFUNCTION("IFERROR(TRIM(INDEX(SPLIT(E352,"" + ""),2)),"""")"),"Tess1509")</f>
        <v>Tess1509</v>
      </c>
      <c r="J352" s="5" t="str">
        <f>IFERROR(__xludf.DUMMYFUNCTION("IFERROR(TRIM(INDEX(SPLIT(E352,"" + ""),3)),"""")"),"")</f>
        <v/>
      </c>
      <c r="K352" s="3">
        <f>IFERROR(__xludf.DUMMYFUNCTION("IFERROR(IF(H352="""",0,INDEX(FILTER($Q$2:Q351,$C$2:C351=H352,$G$2:G351=G352),ROWS(FILTER($Q$2:Q351,$C$2:C351=H352,$G$2:G351=G352)),1)),1500)"),1565.0)</f>
        <v>1565</v>
      </c>
      <c r="L352" s="3">
        <f>IFERROR(__xludf.DUMMYFUNCTION("IFERROR(IF(I352="""",0,INDEX(FILTER($Q$2:Q351,$C$2:C351=I352,$G$2:G351=G352),ROWS(FILTER($Q$2:Q351,$C$2:C351=I352,$G$2:G351=G352)),1)),1500)"),1394.0)</f>
        <v>1394</v>
      </c>
      <c r="M352" s="3">
        <f>IFERROR(__xludf.DUMMYFUNCTION("IFERROR(IF(J352="""",0,INDEX(FILTER($Q$2:Q351,$C$2:C351=J352,$G$2:G351=G352),ROWS(FILTER($Q$2:Q351,$C$2:C351=J352,$G$2:G351=G352)),1)),1500)"),0.0)</f>
        <v>0</v>
      </c>
      <c r="N352" s="3">
        <f>IFERROR(__xludf.DUMMYFUNCTION("IFERROR(INDEX(FILTER($Q$2:Q351,$C$2:C351=C352,$G$2:G351=G352),ROWS(FILTER($Q$2:Q351,$C$2:C351=C352,$G$2:G351=G352)),1),1500)"),1540.0)</f>
        <v>1540</v>
      </c>
      <c r="O352" s="3">
        <f t="shared" si="3"/>
        <v>1479.5</v>
      </c>
      <c r="P352" s="9">
        <f t="shared" si="1"/>
        <v>13</v>
      </c>
      <c r="Q352" s="5">
        <f t="shared" si="2"/>
        <v>1553</v>
      </c>
    </row>
    <row r="353">
      <c r="A353" s="3" t="str">
        <f>IFERROR(__xludf.DUMMYFUNCTION("""COMPUTED_VALUE"""),"1ZBKOJE-hw8pTB7GbQeWCQ2dTJ7DhfFoA")</f>
        <v>1ZBKOJE-hw8pTB7GbQeWCQ2dTJ7DhfFoA</v>
      </c>
      <c r="B353" s="13">
        <f>IFERROR(__xludf.DUMMYFUNCTION("""COMPUTED_VALUE"""),45976.0)</f>
        <v>45976</v>
      </c>
      <c r="C353" s="3" t="str">
        <f>IFERROR(__xludf.DUMMYFUNCTION("""COMPUTED_VALUE"""),"ZeroO")</f>
        <v>ZeroO</v>
      </c>
      <c r="D353" s="3" t="str">
        <f>IFERROR(__xludf.DUMMYFUNCTION("""COMPUTED_VALUE"""),"Malena + ZeroO")</f>
        <v>Malena + ZeroO</v>
      </c>
      <c r="E353" s="3" t="str">
        <f>IFERROR(__xludf.DUMMYFUNCTION("""COMPUTED_VALUE"""),"Nebus. + Tess1509")</f>
        <v>Nebus. + Tess1509</v>
      </c>
      <c r="F353" s="3" t="str">
        <f>IFERROR(__xludf.DUMMYFUNCTION("""COMPUTED_VALUE"""),"win")</f>
        <v>win</v>
      </c>
      <c r="G353" s="3" t="str">
        <f>IFERROR(__xludf.DUMMYFUNCTION("""COMPUTED_VALUE"""),"2v2")</f>
        <v>2v2</v>
      </c>
      <c r="H353" s="3" t="str">
        <f>IFERROR(__xludf.DUMMYFUNCTION("IFERROR(TRIM(INDEX(SPLIT(E353,"" + ""),1)),"""")"),"Nebus.")</f>
        <v>Nebus.</v>
      </c>
      <c r="I353" s="3" t="str">
        <f>IFERROR(__xludf.DUMMYFUNCTION("IFERROR(TRIM(INDEX(SPLIT(E353,"" + ""),2)),"""")"),"Tess1509")</f>
        <v>Tess1509</v>
      </c>
      <c r="J353" s="5" t="str">
        <f>IFERROR(__xludf.DUMMYFUNCTION("IFERROR(TRIM(INDEX(SPLIT(E353,"" + ""),3)),"""")"),"")</f>
        <v/>
      </c>
      <c r="K353" s="3">
        <f>IFERROR(__xludf.DUMMYFUNCTION("IFERROR(IF(H353="""",0,INDEX(FILTER($Q$2:Q352,$C$2:C352=H353,$G$2:G352=G353),ROWS(FILTER($Q$2:Q352,$C$2:C352=H353,$G$2:G352=G353)),1)),1500)"),1565.0)</f>
        <v>1565</v>
      </c>
      <c r="L353" s="3">
        <f>IFERROR(__xludf.DUMMYFUNCTION("IFERROR(IF(I353="""",0,INDEX(FILTER($Q$2:Q352,$C$2:C352=I353,$G$2:G352=G353),ROWS(FILTER($Q$2:Q352,$C$2:C352=I353,$G$2:G352=G353)),1)),1500)"),1394.0)</f>
        <v>1394</v>
      </c>
      <c r="M353" s="3">
        <f>IFERROR(__xludf.DUMMYFUNCTION("IFERROR(IF(J353="""",0,INDEX(FILTER($Q$2:Q352,$C$2:C352=J353,$G$2:G352=G353),ROWS(FILTER($Q$2:Q352,$C$2:C352=J353,$G$2:G352=G353)),1)),1500)"),0.0)</f>
        <v>0</v>
      </c>
      <c r="N353" s="3">
        <f>IFERROR(__xludf.DUMMYFUNCTION("IFERROR(INDEX(FILTER($Q$2:Q352,$C$2:C352=C353,$G$2:G352=G353),ROWS(FILTER($Q$2:Q352,$C$2:C352=C353,$G$2:G352=G353)),1),1500)"),1527.0)</f>
        <v>1527</v>
      </c>
      <c r="O353" s="3">
        <f t="shared" si="3"/>
        <v>1479.5</v>
      </c>
      <c r="P353" s="9">
        <f t="shared" si="1"/>
        <v>14</v>
      </c>
      <c r="Q353" s="5">
        <f t="shared" si="2"/>
        <v>1541</v>
      </c>
    </row>
    <row r="354">
      <c r="A354" s="3" t="str">
        <f>IFERROR(__xludf.DUMMYFUNCTION("""COMPUTED_VALUE"""),"1l6ATanb2MsyXlpTuFAbfa5T0TRIOuGPl")</f>
        <v>1l6ATanb2MsyXlpTuFAbfa5T0TRIOuGPl</v>
      </c>
      <c r="B354" s="13">
        <f>IFERROR(__xludf.DUMMYFUNCTION("""COMPUTED_VALUE"""),45976.0)</f>
        <v>45976</v>
      </c>
      <c r="C354" s="3" t="str">
        <f>IFERROR(__xludf.DUMMYFUNCTION("""COMPUTED_VALUE"""),"Nebus.")</f>
        <v>Nebus.</v>
      </c>
      <c r="D354" s="3" t="str">
        <f>IFERROR(__xludf.DUMMYFUNCTION("""COMPUTED_VALUE"""),"Nebus. + Tess1509")</f>
        <v>Nebus. + Tess1509</v>
      </c>
      <c r="E354" s="3" t="str">
        <f>IFERROR(__xludf.DUMMYFUNCTION("""COMPUTED_VALUE"""),"Malena + ZeroO")</f>
        <v>Malena + ZeroO</v>
      </c>
      <c r="F354" s="3" t="str">
        <f>IFERROR(__xludf.DUMMYFUNCTION("""COMPUTED_VALUE"""),"loss")</f>
        <v>loss</v>
      </c>
      <c r="G354" s="3" t="str">
        <f>IFERROR(__xludf.DUMMYFUNCTION("""COMPUTED_VALUE"""),"2v2")</f>
        <v>2v2</v>
      </c>
      <c r="H354" s="3" t="str">
        <f>IFERROR(__xludf.DUMMYFUNCTION("IFERROR(TRIM(INDEX(SPLIT(E354,"" + ""),1)),"""")"),"Malena")</f>
        <v>Malena</v>
      </c>
      <c r="I354" s="3" t="str">
        <f>IFERROR(__xludf.DUMMYFUNCTION("IFERROR(TRIM(INDEX(SPLIT(E354,"" + ""),2)),"""")"),"ZeroO")</f>
        <v>ZeroO</v>
      </c>
      <c r="J354" s="5" t="str">
        <f>IFERROR(__xludf.DUMMYFUNCTION("IFERROR(TRIM(INDEX(SPLIT(E354,"" + ""),3)),"""")"),"")</f>
        <v/>
      </c>
      <c r="K354" s="3">
        <f>IFERROR(__xludf.DUMMYFUNCTION("IFERROR(IF(H354="""",0,INDEX(FILTER($Q$2:Q353,$C$2:C353=H354,$G$2:G353=G354),ROWS(FILTER($Q$2:Q353,$C$2:C353=H354,$G$2:G353=G354)),1)),1500)"),1553.0)</f>
        <v>1553</v>
      </c>
      <c r="L354" s="3">
        <f>IFERROR(__xludf.DUMMYFUNCTION("IFERROR(IF(I354="""",0,INDEX(FILTER($Q$2:Q353,$C$2:C353=I354,$G$2:G353=G354),ROWS(FILTER($Q$2:Q353,$C$2:C353=I354,$G$2:G353=G354)),1)),1500)"),1541.0)</f>
        <v>1541</v>
      </c>
      <c r="M354" s="3">
        <f>IFERROR(__xludf.DUMMYFUNCTION("IFERROR(IF(J354="""",0,INDEX(FILTER($Q$2:Q353,$C$2:C353=J354,$G$2:G353=G354),ROWS(FILTER($Q$2:Q353,$C$2:C353=J354,$G$2:G353=G354)),1)),1500)"),0.0)</f>
        <v>0</v>
      </c>
      <c r="N354" s="3">
        <f>IFERROR(__xludf.DUMMYFUNCTION("IFERROR(INDEX(FILTER($Q$2:Q353,$C$2:C353=C354,$G$2:G353=G354),ROWS(FILTER($Q$2:Q353,$C$2:C353=C354,$G$2:G353=G354)),1),1500)"),1565.0)</f>
        <v>1565</v>
      </c>
      <c r="O354" s="3">
        <f t="shared" si="3"/>
        <v>1547</v>
      </c>
      <c r="P354" s="9">
        <f t="shared" si="1"/>
        <v>-17</v>
      </c>
      <c r="Q354" s="5">
        <f t="shared" si="2"/>
        <v>1548</v>
      </c>
    </row>
    <row r="355">
      <c r="A355" s="3" t="str">
        <f>IFERROR(__xludf.DUMMYFUNCTION("""COMPUTED_VALUE"""),"1l6ATanb2MsyXlpTuFAbfa5T0TRIOuGPl")</f>
        <v>1l6ATanb2MsyXlpTuFAbfa5T0TRIOuGPl</v>
      </c>
      <c r="B355" s="13">
        <f>IFERROR(__xludf.DUMMYFUNCTION("""COMPUTED_VALUE"""),45976.0)</f>
        <v>45976</v>
      </c>
      <c r="C355" s="3" t="str">
        <f>IFERROR(__xludf.DUMMYFUNCTION("""COMPUTED_VALUE"""),"Tess1509")</f>
        <v>Tess1509</v>
      </c>
      <c r="D355" s="3" t="str">
        <f>IFERROR(__xludf.DUMMYFUNCTION("""COMPUTED_VALUE"""),"Nebus. + Tess1509")</f>
        <v>Nebus. + Tess1509</v>
      </c>
      <c r="E355" s="3" t="str">
        <f>IFERROR(__xludf.DUMMYFUNCTION("""COMPUTED_VALUE"""),"Malena + ZeroO")</f>
        <v>Malena + ZeroO</v>
      </c>
      <c r="F355" s="3" t="str">
        <f>IFERROR(__xludf.DUMMYFUNCTION("""COMPUTED_VALUE"""),"loss")</f>
        <v>loss</v>
      </c>
      <c r="G355" s="3" t="str">
        <f>IFERROR(__xludf.DUMMYFUNCTION("""COMPUTED_VALUE"""),"2v2")</f>
        <v>2v2</v>
      </c>
      <c r="H355" s="3" t="str">
        <f>IFERROR(__xludf.DUMMYFUNCTION("IFERROR(TRIM(INDEX(SPLIT(E355,"" + ""),1)),"""")"),"Malena")</f>
        <v>Malena</v>
      </c>
      <c r="I355" s="3" t="str">
        <f>IFERROR(__xludf.DUMMYFUNCTION("IFERROR(TRIM(INDEX(SPLIT(E355,"" + ""),2)),"""")"),"ZeroO")</f>
        <v>ZeroO</v>
      </c>
      <c r="J355" s="5" t="str">
        <f>IFERROR(__xludf.DUMMYFUNCTION("IFERROR(TRIM(INDEX(SPLIT(E355,"" + ""),3)),"""")"),"")</f>
        <v/>
      </c>
      <c r="K355" s="3">
        <f>IFERROR(__xludf.DUMMYFUNCTION("IFERROR(IF(H355="""",0,INDEX(FILTER($Q$2:Q354,$C$2:C354=H355,$G$2:G354=G355),ROWS(FILTER($Q$2:Q354,$C$2:C354=H355,$G$2:G354=G355)),1)),1500)"),1553.0)</f>
        <v>1553</v>
      </c>
      <c r="L355" s="3">
        <f>IFERROR(__xludf.DUMMYFUNCTION("IFERROR(IF(I355="""",0,INDEX(FILTER($Q$2:Q354,$C$2:C354=I355,$G$2:G354=G355),ROWS(FILTER($Q$2:Q354,$C$2:C354=I355,$G$2:G354=G355)),1)),1500)"),1541.0)</f>
        <v>1541</v>
      </c>
      <c r="M355" s="3">
        <f>IFERROR(__xludf.DUMMYFUNCTION("IFERROR(IF(J355="""",0,INDEX(FILTER($Q$2:Q354,$C$2:C354=J355,$G$2:G354=G355),ROWS(FILTER($Q$2:Q354,$C$2:C354=J355,$G$2:G354=G355)),1)),1500)"),0.0)</f>
        <v>0</v>
      </c>
      <c r="N355" s="3">
        <f>IFERROR(__xludf.DUMMYFUNCTION("IFERROR(INDEX(FILTER($Q$2:Q354,$C$2:C354=C355,$G$2:G354=G355),ROWS(FILTER($Q$2:Q354,$C$2:C354=C355,$G$2:G354=G355)),1),1500)"),1394.0)</f>
        <v>1394</v>
      </c>
      <c r="O355" s="3">
        <f t="shared" si="3"/>
        <v>1547</v>
      </c>
      <c r="P355" s="9">
        <f t="shared" si="1"/>
        <v>-9</v>
      </c>
      <c r="Q355" s="5">
        <f t="shared" si="2"/>
        <v>1385</v>
      </c>
    </row>
    <row r="356">
      <c r="A356" s="3" t="str">
        <f>IFERROR(__xludf.DUMMYFUNCTION("""COMPUTED_VALUE"""),"1l6ATanb2MsyXlpTuFAbfa5T0TRIOuGPl")</f>
        <v>1l6ATanb2MsyXlpTuFAbfa5T0TRIOuGPl</v>
      </c>
      <c r="B356" s="13">
        <f>IFERROR(__xludf.DUMMYFUNCTION("""COMPUTED_VALUE"""),45976.0)</f>
        <v>45976</v>
      </c>
      <c r="C356" s="3" t="str">
        <f>IFERROR(__xludf.DUMMYFUNCTION("""COMPUTED_VALUE"""),"ZeroO")</f>
        <v>ZeroO</v>
      </c>
      <c r="D356" s="3" t="str">
        <f>IFERROR(__xludf.DUMMYFUNCTION("""COMPUTED_VALUE"""),"Malena + ZeroO")</f>
        <v>Malena + ZeroO</v>
      </c>
      <c r="E356" s="3" t="str">
        <f>IFERROR(__xludf.DUMMYFUNCTION("""COMPUTED_VALUE"""),"Nebus. + Tess1509")</f>
        <v>Nebus. + Tess1509</v>
      </c>
      <c r="F356" s="3" t="str">
        <f>IFERROR(__xludf.DUMMYFUNCTION("""COMPUTED_VALUE"""),"win")</f>
        <v>win</v>
      </c>
      <c r="G356" s="3" t="str">
        <f>IFERROR(__xludf.DUMMYFUNCTION("""COMPUTED_VALUE"""),"2v2")</f>
        <v>2v2</v>
      </c>
      <c r="H356" s="3" t="str">
        <f>IFERROR(__xludf.DUMMYFUNCTION("IFERROR(TRIM(INDEX(SPLIT(E356,"" + ""),1)),"""")"),"Nebus.")</f>
        <v>Nebus.</v>
      </c>
      <c r="I356" s="3" t="str">
        <f>IFERROR(__xludf.DUMMYFUNCTION("IFERROR(TRIM(INDEX(SPLIT(E356,"" + ""),2)),"""")"),"Tess1509")</f>
        <v>Tess1509</v>
      </c>
      <c r="J356" s="5" t="str">
        <f>IFERROR(__xludf.DUMMYFUNCTION("IFERROR(TRIM(INDEX(SPLIT(E356,"" + ""),3)),"""")"),"")</f>
        <v/>
      </c>
      <c r="K356" s="3">
        <f>IFERROR(__xludf.DUMMYFUNCTION("IFERROR(IF(H356="""",0,INDEX(FILTER($Q$2:Q355,$C$2:C355=H356,$G$2:G355=G356),ROWS(FILTER($Q$2:Q355,$C$2:C355=H356,$G$2:G355=G356)),1)),1500)"),1548.0)</f>
        <v>1548</v>
      </c>
      <c r="L356" s="3">
        <f>IFERROR(__xludf.DUMMYFUNCTION("IFERROR(IF(I356="""",0,INDEX(FILTER($Q$2:Q355,$C$2:C355=I356,$G$2:G355=G356),ROWS(FILTER($Q$2:Q355,$C$2:C355=I356,$G$2:G355=G356)),1)),1500)"),1385.0)</f>
        <v>1385</v>
      </c>
      <c r="M356" s="3">
        <f>IFERROR(__xludf.DUMMYFUNCTION("IFERROR(IF(J356="""",0,INDEX(FILTER($Q$2:Q355,$C$2:C355=J356,$G$2:G355=G356),ROWS(FILTER($Q$2:Q355,$C$2:C355=J356,$G$2:G355=G356)),1)),1500)"),0.0)</f>
        <v>0</v>
      </c>
      <c r="N356" s="3">
        <f>IFERROR(__xludf.DUMMYFUNCTION("IFERROR(INDEX(FILTER($Q$2:Q355,$C$2:C355=C356,$G$2:G355=G356),ROWS(FILTER($Q$2:Q355,$C$2:C355=C356,$G$2:G355=G356)),1),1500)"),1541.0)</f>
        <v>1541</v>
      </c>
      <c r="O356" s="3">
        <f t="shared" si="3"/>
        <v>1466.5</v>
      </c>
      <c r="P356" s="9">
        <f t="shared" si="1"/>
        <v>13</v>
      </c>
      <c r="Q356" s="5">
        <f t="shared" si="2"/>
        <v>1554</v>
      </c>
    </row>
    <row r="357">
      <c r="A357" s="3" t="str">
        <f>IFERROR(__xludf.DUMMYFUNCTION("""COMPUTED_VALUE"""),"1l6ATanb2MsyXlpTuFAbfa5T0TRIOuGPl")</f>
        <v>1l6ATanb2MsyXlpTuFAbfa5T0TRIOuGPl</v>
      </c>
      <c r="B357" s="13">
        <f>IFERROR(__xludf.DUMMYFUNCTION("""COMPUTED_VALUE"""),45976.0)</f>
        <v>45976</v>
      </c>
      <c r="C357" s="3" t="str">
        <f>IFERROR(__xludf.DUMMYFUNCTION("""COMPUTED_VALUE"""),"Malena")</f>
        <v>Malena</v>
      </c>
      <c r="D357" s="3" t="str">
        <f>IFERROR(__xludf.DUMMYFUNCTION("""COMPUTED_VALUE"""),"Malena + ZeroO")</f>
        <v>Malena + ZeroO</v>
      </c>
      <c r="E357" s="3" t="str">
        <f>IFERROR(__xludf.DUMMYFUNCTION("""COMPUTED_VALUE"""),"Nebus. + Tess1509")</f>
        <v>Nebus. + Tess1509</v>
      </c>
      <c r="F357" s="3" t="str">
        <f>IFERROR(__xludf.DUMMYFUNCTION("""COMPUTED_VALUE"""),"win")</f>
        <v>win</v>
      </c>
      <c r="G357" s="3" t="str">
        <f>IFERROR(__xludf.DUMMYFUNCTION("""COMPUTED_VALUE"""),"2v2")</f>
        <v>2v2</v>
      </c>
      <c r="H357" s="3" t="str">
        <f>IFERROR(__xludf.DUMMYFUNCTION("IFERROR(TRIM(INDEX(SPLIT(E357,"" + ""),1)),"""")"),"Nebus.")</f>
        <v>Nebus.</v>
      </c>
      <c r="I357" s="3" t="str">
        <f>IFERROR(__xludf.DUMMYFUNCTION("IFERROR(TRIM(INDEX(SPLIT(E357,"" + ""),2)),"""")"),"Tess1509")</f>
        <v>Tess1509</v>
      </c>
      <c r="J357" s="5" t="str">
        <f>IFERROR(__xludf.DUMMYFUNCTION("IFERROR(TRIM(INDEX(SPLIT(E357,"" + ""),3)),"""")"),"")</f>
        <v/>
      </c>
      <c r="K357" s="3">
        <f>IFERROR(__xludf.DUMMYFUNCTION("IFERROR(IF(H357="""",0,INDEX(FILTER($Q$2:Q356,$C$2:C356=H357,$G$2:G356=G357),ROWS(FILTER($Q$2:Q356,$C$2:C356=H357,$G$2:G356=G357)),1)),1500)"),1548.0)</f>
        <v>1548</v>
      </c>
      <c r="L357" s="3">
        <f>IFERROR(__xludf.DUMMYFUNCTION("IFERROR(IF(I357="""",0,INDEX(FILTER($Q$2:Q356,$C$2:C356=I357,$G$2:G356=G357),ROWS(FILTER($Q$2:Q356,$C$2:C356=I357,$G$2:G356=G357)),1)),1500)"),1385.0)</f>
        <v>1385</v>
      </c>
      <c r="M357" s="3">
        <f>IFERROR(__xludf.DUMMYFUNCTION("IFERROR(IF(J357="""",0,INDEX(FILTER($Q$2:Q356,$C$2:C356=J357,$G$2:G356=G357),ROWS(FILTER($Q$2:Q356,$C$2:C356=J357,$G$2:G356=G357)),1)),1500)"),0.0)</f>
        <v>0</v>
      </c>
      <c r="N357" s="3">
        <f>IFERROR(__xludf.DUMMYFUNCTION("IFERROR(INDEX(FILTER($Q$2:Q356,$C$2:C356=C357,$G$2:G356=G357),ROWS(FILTER($Q$2:Q356,$C$2:C356=C357,$G$2:G356=G357)),1),1500)"),1553.0)</f>
        <v>1553</v>
      </c>
      <c r="O357" s="3">
        <f t="shared" si="3"/>
        <v>1466.5</v>
      </c>
      <c r="P357" s="9">
        <f t="shared" si="1"/>
        <v>12</v>
      </c>
      <c r="Q357" s="5">
        <f t="shared" si="2"/>
        <v>1565</v>
      </c>
    </row>
    <row r="358">
      <c r="A358" s="3" t="str">
        <f>IFERROR(__xludf.DUMMYFUNCTION("""COMPUTED_VALUE"""),"1iPcLXDKlNRVmRTZWlZRkhfy6SbudRAXH")</f>
        <v>1iPcLXDKlNRVmRTZWlZRkhfy6SbudRAXH</v>
      </c>
      <c r="B358" s="13">
        <f>IFERROR(__xludf.DUMMYFUNCTION("""COMPUTED_VALUE"""),45976.0)</f>
        <v>45976</v>
      </c>
      <c r="C358" s="3" t="str">
        <f>IFERROR(__xludf.DUMMYFUNCTION("""COMPUTED_VALUE"""),"Malena")</f>
        <v>Malena</v>
      </c>
      <c r="D358" s="3" t="str">
        <f>IFERROR(__xludf.DUMMYFUNCTION("""COMPUTED_VALUE"""),"Malena + Nebus.")</f>
        <v>Malena + Nebus.</v>
      </c>
      <c r="E358" s="3" t="str">
        <f>IFERROR(__xludf.DUMMYFUNCTION("""COMPUTED_VALUE"""),"Tess1509 + ZeroO")</f>
        <v>Tess1509 + ZeroO</v>
      </c>
      <c r="F358" s="3" t="str">
        <f>IFERROR(__xludf.DUMMYFUNCTION("""COMPUTED_VALUE"""),"win")</f>
        <v>win</v>
      </c>
      <c r="G358" s="3" t="str">
        <f>IFERROR(__xludf.DUMMYFUNCTION("""COMPUTED_VALUE"""),"2v2")</f>
        <v>2v2</v>
      </c>
      <c r="H358" s="3" t="str">
        <f>IFERROR(__xludf.DUMMYFUNCTION("IFERROR(TRIM(INDEX(SPLIT(E358,"" + ""),1)),"""")"),"Tess1509")</f>
        <v>Tess1509</v>
      </c>
      <c r="I358" s="3" t="str">
        <f>IFERROR(__xludf.DUMMYFUNCTION("IFERROR(TRIM(INDEX(SPLIT(E358,"" + ""),2)),"""")"),"ZeroO")</f>
        <v>ZeroO</v>
      </c>
      <c r="J358" s="5" t="str">
        <f>IFERROR(__xludf.DUMMYFUNCTION("IFERROR(TRIM(INDEX(SPLIT(E358,"" + ""),3)),"""")"),"")</f>
        <v/>
      </c>
      <c r="K358" s="3">
        <f>IFERROR(__xludf.DUMMYFUNCTION("IFERROR(IF(H358="""",0,INDEX(FILTER($Q$2:Q357,$C$2:C357=H358,$G$2:G357=G358),ROWS(FILTER($Q$2:Q357,$C$2:C357=H358,$G$2:G357=G358)),1)),1500)"),1385.0)</f>
        <v>1385</v>
      </c>
      <c r="L358" s="3">
        <f>IFERROR(__xludf.DUMMYFUNCTION("IFERROR(IF(I358="""",0,INDEX(FILTER($Q$2:Q357,$C$2:C357=I358,$G$2:G357=G358),ROWS(FILTER($Q$2:Q357,$C$2:C357=I358,$G$2:G357=G358)),1)),1500)"),1554.0)</f>
        <v>1554</v>
      </c>
      <c r="M358" s="3">
        <f>IFERROR(__xludf.DUMMYFUNCTION("IFERROR(IF(J358="""",0,INDEX(FILTER($Q$2:Q357,$C$2:C357=J358,$G$2:G357=G358),ROWS(FILTER($Q$2:Q357,$C$2:C357=J358,$G$2:G357=G358)),1)),1500)"),0.0)</f>
        <v>0</v>
      </c>
      <c r="N358" s="3">
        <f>IFERROR(__xludf.DUMMYFUNCTION("IFERROR(INDEX(FILTER($Q$2:Q357,$C$2:C357=C358,$G$2:G357=G358),ROWS(FILTER($Q$2:Q357,$C$2:C357=C358,$G$2:G357=G358)),1),1500)"),1565.0)</f>
        <v>1565</v>
      </c>
      <c r="O358" s="3">
        <f t="shared" si="3"/>
        <v>1469.5</v>
      </c>
      <c r="P358" s="9">
        <f t="shared" si="1"/>
        <v>12</v>
      </c>
      <c r="Q358" s="5">
        <f t="shared" si="2"/>
        <v>1577</v>
      </c>
    </row>
    <row r="359">
      <c r="A359" s="3" t="str">
        <f>IFERROR(__xludf.DUMMYFUNCTION("""COMPUTED_VALUE"""),"1iPcLXDKlNRVmRTZWlZRkhfy6SbudRAXH")</f>
        <v>1iPcLXDKlNRVmRTZWlZRkhfy6SbudRAXH</v>
      </c>
      <c r="B359" s="13">
        <f>IFERROR(__xludf.DUMMYFUNCTION("""COMPUTED_VALUE"""),45976.0)</f>
        <v>45976</v>
      </c>
      <c r="C359" s="3" t="str">
        <f>IFERROR(__xludf.DUMMYFUNCTION("""COMPUTED_VALUE"""),"Nebus.")</f>
        <v>Nebus.</v>
      </c>
      <c r="D359" s="3" t="str">
        <f>IFERROR(__xludf.DUMMYFUNCTION("""COMPUTED_VALUE"""),"Malena + Nebus.")</f>
        <v>Malena + Nebus.</v>
      </c>
      <c r="E359" s="3" t="str">
        <f>IFERROR(__xludf.DUMMYFUNCTION("""COMPUTED_VALUE"""),"Tess1509 + ZeroO")</f>
        <v>Tess1509 + ZeroO</v>
      </c>
      <c r="F359" s="3" t="str">
        <f>IFERROR(__xludf.DUMMYFUNCTION("""COMPUTED_VALUE"""),"win")</f>
        <v>win</v>
      </c>
      <c r="G359" s="3" t="str">
        <f>IFERROR(__xludf.DUMMYFUNCTION("""COMPUTED_VALUE"""),"2v2")</f>
        <v>2v2</v>
      </c>
      <c r="H359" s="3" t="str">
        <f>IFERROR(__xludf.DUMMYFUNCTION("IFERROR(TRIM(INDEX(SPLIT(E359,"" + ""),1)),"""")"),"Tess1509")</f>
        <v>Tess1509</v>
      </c>
      <c r="I359" s="3" t="str">
        <f>IFERROR(__xludf.DUMMYFUNCTION("IFERROR(TRIM(INDEX(SPLIT(E359,"" + ""),2)),"""")"),"ZeroO")</f>
        <v>ZeroO</v>
      </c>
      <c r="J359" s="5" t="str">
        <f>IFERROR(__xludf.DUMMYFUNCTION("IFERROR(TRIM(INDEX(SPLIT(E359,"" + ""),3)),"""")"),"")</f>
        <v/>
      </c>
      <c r="K359" s="3">
        <f>IFERROR(__xludf.DUMMYFUNCTION("IFERROR(IF(H359="""",0,INDEX(FILTER($Q$2:Q358,$C$2:C358=H359,$G$2:G358=G359),ROWS(FILTER($Q$2:Q358,$C$2:C358=H359,$G$2:G358=G359)),1)),1500)"),1385.0)</f>
        <v>1385</v>
      </c>
      <c r="L359" s="3">
        <f>IFERROR(__xludf.DUMMYFUNCTION("IFERROR(IF(I359="""",0,INDEX(FILTER($Q$2:Q358,$C$2:C358=I359,$G$2:G358=G359),ROWS(FILTER($Q$2:Q358,$C$2:C358=I359,$G$2:G358=G359)),1)),1500)"),1554.0)</f>
        <v>1554</v>
      </c>
      <c r="M359" s="3">
        <f>IFERROR(__xludf.DUMMYFUNCTION("IFERROR(IF(J359="""",0,INDEX(FILTER($Q$2:Q358,$C$2:C358=J359,$G$2:G358=G359),ROWS(FILTER($Q$2:Q358,$C$2:C358=J359,$G$2:G358=G359)),1)),1500)"),0.0)</f>
        <v>0</v>
      </c>
      <c r="N359" s="3">
        <f>IFERROR(__xludf.DUMMYFUNCTION("IFERROR(INDEX(FILTER($Q$2:Q358,$C$2:C358=C359,$G$2:G358=G359),ROWS(FILTER($Q$2:Q358,$C$2:C358=C359,$G$2:G358=G359)),1),1500)"),1548.0)</f>
        <v>1548</v>
      </c>
      <c r="O359" s="3">
        <f t="shared" si="3"/>
        <v>1469.5</v>
      </c>
      <c r="P359" s="9">
        <f t="shared" si="1"/>
        <v>12</v>
      </c>
      <c r="Q359" s="5">
        <f t="shared" si="2"/>
        <v>1560</v>
      </c>
    </row>
    <row r="360">
      <c r="A360" s="3" t="str">
        <f>IFERROR(__xludf.DUMMYFUNCTION("""COMPUTED_VALUE"""),"1iPcLXDKlNRVmRTZWlZRkhfy6SbudRAXH")</f>
        <v>1iPcLXDKlNRVmRTZWlZRkhfy6SbudRAXH</v>
      </c>
      <c r="B360" s="13">
        <f>IFERROR(__xludf.DUMMYFUNCTION("""COMPUTED_VALUE"""),45976.0)</f>
        <v>45976</v>
      </c>
      <c r="C360" s="3" t="str">
        <f>IFERROR(__xludf.DUMMYFUNCTION("""COMPUTED_VALUE"""),"ZeroO")</f>
        <v>ZeroO</v>
      </c>
      <c r="D360" s="3" t="str">
        <f>IFERROR(__xludf.DUMMYFUNCTION("""COMPUTED_VALUE"""),"Tess1509 + ZeroO")</f>
        <v>Tess1509 + ZeroO</v>
      </c>
      <c r="E360" s="3" t="str">
        <f>IFERROR(__xludf.DUMMYFUNCTION("""COMPUTED_VALUE"""),"Malena + Nebus.")</f>
        <v>Malena + Nebus.</v>
      </c>
      <c r="F360" s="3" t="str">
        <f>IFERROR(__xludf.DUMMYFUNCTION("""COMPUTED_VALUE"""),"loss")</f>
        <v>loss</v>
      </c>
      <c r="G360" s="3" t="str">
        <f>IFERROR(__xludf.DUMMYFUNCTION("""COMPUTED_VALUE"""),"2v2")</f>
        <v>2v2</v>
      </c>
      <c r="H360" s="3" t="str">
        <f>IFERROR(__xludf.DUMMYFUNCTION("IFERROR(TRIM(INDEX(SPLIT(E360,"" + ""),1)),"""")"),"Malena")</f>
        <v>Malena</v>
      </c>
      <c r="I360" s="3" t="str">
        <f>IFERROR(__xludf.DUMMYFUNCTION("IFERROR(TRIM(INDEX(SPLIT(E360,"" + ""),2)),"""")"),"Nebus.")</f>
        <v>Nebus.</v>
      </c>
      <c r="J360" s="5" t="str">
        <f>IFERROR(__xludf.DUMMYFUNCTION("IFERROR(TRIM(INDEX(SPLIT(E360,"" + ""),3)),"""")"),"")</f>
        <v/>
      </c>
      <c r="K360" s="3">
        <f>IFERROR(__xludf.DUMMYFUNCTION("IFERROR(IF(H360="""",0,INDEX(FILTER($Q$2:Q359,$C$2:C359=H360,$G$2:G359=G360),ROWS(FILTER($Q$2:Q359,$C$2:C359=H360,$G$2:G359=G360)),1)),1500)"),1577.0)</f>
        <v>1577</v>
      </c>
      <c r="L360" s="3">
        <f>IFERROR(__xludf.DUMMYFUNCTION("IFERROR(IF(I360="""",0,INDEX(FILTER($Q$2:Q359,$C$2:C359=I360,$G$2:G359=G360),ROWS(FILTER($Q$2:Q359,$C$2:C359=I360,$G$2:G359=G360)),1)),1500)"),1560.0)</f>
        <v>1560</v>
      </c>
      <c r="M360" s="3">
        <f>IFERROR(__xludf.DUMMYFUNCTION("IFERROR(IF(J360="""",0,INDEX(FILTER($Q$2:Q359,$C$2:C359=J360,$G$2:G359=G360),ROWS(FILTER($Q$2:Q359,$C$2:C359=J360,$G$2:G359=G360)),1)),1500)"),0.0)</f>
        <v>0</v>
      </c>
      <c r="N360" s="3">
        <f>IFERROR(__xludf.DUMMYFUNCTION("IFERROR(INDEX(FILTER($Q$2:Q359,$C$2:C359=C360,$G$2:G359=G360),ROWS(FILTER($Q$2:Q359,$C$2:C359=C360,$G$2:G359=G360)),1),1500)"),1554.0)</f>
        <v>1554</v>
      </c>
      <c r="O360" s="3">
        <f t="shared" si="3"/>
        <v>1568.5</v>
      </c>
      <c r="P360" s="9">
        <f t="shared" si="1"/>
        <v>-15</v>
      </c>
      <c r="Q360" s="5">
        <f t="shared" si="2"/>
        <v>1539</v>
      </c>
    </row>
    <row r="361">
      <c r="A361" s="3" t="str">
        <f>IFERROR(__xludf.DUMMYFUNCTION("""COMPUTED_VALUE"""),"1iPcLXDKlNRVmRTZWlZRkhfy6SbudRAXH")</f>
        <v>1iPcLXDKlNRVmRTZWlZRkhfy6SbudRAXH</v>
      </c>
      <c r="B361" s="13">
        <f>IFERROR(__xludf.DUMMYFUNCTION("""COMPUTED_VALUE"""),45976.0)</f>
        <v>45976</v>
      </c>
      <c r="C361" s="3" t="str">
        <f>IFERROR(__xludf.DUMMYFUNCTION("""COMPUTED_VALUE"""),"Tess1509")</f>
        <v>Tess1509</v>
      </c>
      <c r="D361" s="3" t="str">
        <f>IFERROR(__xludf.DUMMYFUNCTION("""COMPUTED_VALUE"""),"Tess1509 + ZeroO")</f>
        <v>Tess1509 + ZeroO</v>
      </c>
      <c r="E361" s="3" t="str">
        <f>IFERROR(__xludf.DUMMYFUNCTION("""COMPUTED_VALUE"""),"Malena + Nebus.")</f>
        <v>Malena + Nebus.</v>
      </c>
      <c r="F361" s="3" t="str">
        <f>IFERROR(__xludf.DUMMYFUNCTION("""COMPUTED_VALUE"""),"loss")</f>
        <v>loss</v>
      </c>
      <c r="G361" s="3" t="str">
        <f>IFERROR(__xludf.DUMMYFUNCTION("""COMPUTED_VALUE"""),"2v2")</f>
        <v>2v2</v>
      </c>
      <c r="H361" s="3" t="str">
        <f>IFERROR(__xludf.DUMMYFUNCTION("IFERROR(TRIM(INDEX(SPLIT(E361,"" + ""),1)),"""")"),"Malena")</f>
        <v>Malena</v>
      </c>
      <c r="I361" s="3" t="str">
        <f>IFERROR(__xludf.DUMMYFUNCTION("IFERROR(TRIM(INDEX(SPLIT(E361,"" + ""),2)),"""")"),"Nebus.")</f>
        <v>Nebus.</v>
      </c>
      <c r="J361" s="5" t="str">
        <f>IFERROR(__xludf.DUMMYFUNCTION("IFERROR(TRIM(INDEX(SPLIT(E361,"" + ""),3)),"""")"),"")</f>
        <v/>
      </c>
      <c r="K361" s="3">
        <f>IFERROR(__xludf.DUMMYFUNCTION("IFERROR(IF(H361="""",0,INDEX(FILTER($Q$2:Q360,$C$2:C360=H361,$G$2:G360=G361),ROWS(FILTER($Q$2:Q360,$C$2:C360=H361,$G$2:G360=G361)),1)),1500)"),1577.0)</f>
        <v>1577</v>
      </c>
      <c r="L361" s="3">
        <f>IFERROR(__xludf.DUMMYFUNCTION("IFERROR(IF(I361="""",0,INDEX(FILTER($Q$2:Q360,$C$2:C360=I361,$G$2:G360=G361),ROWS(FILTER($Q$2:Q360,$C$2:C360=I361,$G$2:G360=G361)),1)),1500)"),1560.0)</f>
        <v>1560</v>
      </c>
      <c r="M361" s="3">
        <f>IFERROR(__xludf.DUMMYFUNCTION("IFERROR(IF(J361="""",0,INDEX(FILTER($Q$2:Q360,$C$2:C360=J361,$G$2:G360=G361),ROWS(FILTER($Q$2:Q360,$C$2:C360=J361,$G$2:G360=G361)),1)),1500)"),0.0)</f>
        <v>0</v>
      </c>
      <c r="N361" s="3">
        <f>IFERROR(__xludf.DUMMYFUNCTION("IFERROR(INDEX(FILTER($Q$2:Q360,$C$2:C360=C361,$G$2:G360=G361),ROWS(FILTER($Q$2:Q360,$C$2:C360=C361,$G$2:G360=G361)),1),1500)"),1385.0)</f>
        <v>1385</v>
      </c>
      <c r="O361" s="3">
        <f t="shared" si="3"/>
        <v>1568.5</v>
      </c>
      <c r="P361" s="9">
        <f t="shared" si="1"/>
        <v>-8</v>
      </c>
      <c r="Q361" s="5">
        <f t="shared" si="2"/>
        <v>1377</v>
      </c>
    </row>
    <row r="362">
      <c r="A362" s="3" t="str">
        <f>IFERROR(__xludf.DUMMYFUNCTION("""COMPUTED_VALUE"""),"1JYyzprpMUeK27KByugbS72YUTF8qYpb7")</f>
        <v>1JYyzprpMUeK27KByugbS72YUTF8qYpb7</v>
      </c>
      <c r="B362" s="13">
        <f>IFERROR(__xludf.DUMMYFUNCTION("""COMPUTED_VALUE"""),45976.0)</f>
        <v>45976</v>
      </c>
      <c r="C362" s="3" t="str">
        <f>IFERROR(__xludf.DUMMYFUNCTION("""COMPUTED_VALUE"""),"Malena")</f>
        <v>Malena</v>
      </c>
      <c r="D362" s="3" t="str">
        <f>IFERROR(__xludf.DUMMYFUNCTION("""COMPUTED_VALUE"""),"Malena + Tess1509")</f>
        <v>Malena + Tess1509</v>
      </c>
      <c r="E362" s="3" t="str">
        <f>IFERROR(__xludf.DUMMYFUNCTION("""COMPUTED_VALUE"""),"Nebus. + ZeroO")</f>
        <v>Nebus. + ZeroO</v>
      </c>
      <c r="F362" s="3" t="str">
        <f>IFERROR(__xludf.DUMMYFUNCTION("""COMPUTED_VALUE"""),"loss")</f>
        <v>loss</v>
      </c>
      <c r="G362" s="3" t="str">
        <f>IFERROR(__xludf.DUMMYFUNCTION("""COMPUTED_VALUE"""),"2v2")</f>
        <v>2v2</v>
      </c>
      <c r="H362" s="3" t="str">
        <f>IFERROR(__xludf.DUMMYFUNCTION("IFERROR(TRIM(INDEX(SPLIT(E362,"" + ""),1)),"""")"),"Nebus.")</f>
        <v>Nebus.</v>
      </c>
      <c r="I362" s="3" t="str">
        <f>IFERROR(__xludf.DUMMYFUNCTION("IFERROR(TRIM(INDEX(SPLIT(E362,"" + ""),2)),"""")"),"ZeroO")</f>
        <v>ZeroO</v>
      </c>
      <c r="J362" s="5" t="str">
        <f>IFERROR(__xludf.DUMMYFUNCTION("IFERROR(TRIM(INDEX(SPLIT(E362,"" + ""),3)),"""")"),"")</f>
        <v/>
      </c>
      <c r="K362" s="3">
        <f>IFERROR(__xludf.DUMMYFUNCTION("IFERROR(IF(H362="""",0,INDEX(FILTER($Q$2:Q361,$C$2:C361=H362,$G$2:G361=G362),ROWS(FILTER($Q$2:Q361,$C$2:C361=H362,$G$2:G361=G362)),1)),1500)"),1560.0)</f>
        <v>1560</v>
      </c>
      <c r="L362" s="3">
        <f>IFERROR(__xludf.DUMMYFUNCTION("IFERROR(IF(I362="""",0,INDEX(FILTER($Q$2:Q361,$C$2:C361=I362,$G$2:G361=G362),ROWS(FILTER($Q$2:Q361,$C$2:C361=I362,$G$2:G361=G362)),1)),1500)"),1539.0)</f>
        <v>1539</v>
      </c>
      <c r="M362" s="3">
        <f>IFERROR(__xludf.DUMMYFUNCTION("IFERROR(IF(J362="""",0,INDEX(FILTER($Q$2:Q361,$C$2:C361=J362,$G$2:G361=G362),ROWS(FILTER($Q$2:Q361,$C$2:C361=J362,$G$2:G361=G362)),1)),1500)"),0.0)</f>
        <v>0</v>
      </c>
      <c r="N362" s="3">
        <f>IFERROR(__xludf.DUMMYFUNCTION("IFERROR(INDEX(FILTER($Q$2:Q361,$C$2:C361=C362,$G$2:G361=G362),ROWS(FILTER($Q$2:Q361,$C$2:C361=C362,$G$2:G361=G362)),1),1500)"),1577.0)</f>
        <v>1577</v>
      </c>
      <c r="O362" s="3">
        <f t="shared" si="3"/>
        <v>1549.5</v>
      </c>
      <c r="P362" s="9">
        <f t="shared" si="1"/>
        <v>-17</v>
      </c>
      <c r="Q362" s="5">
        <f t="shared" si="2"/>
        <v>1560</v>
      </c>
    </row>
    <row r="363">
      <c r="A363" s="3" t="str">
        <f>IFERROR(__xludf.DUMMYFUNCTION("""COMPUTED_VALUE"""),"1JYyzprpMUeK27KByugbS72YUTF8qYpb7")</f>
        <v>1JYyzprpMUeK27KByugbS72YUTF8qYpb7</v>
      </c>
      <c r="B363" s="13">
        <f>IFERROR(__xludf.DUMMYFUNCTION("""COMPUTED_VALUE"""),45976.0)</f>
        <v>45976</v>
      </c>
      <c r="C363" s="3" t="str">
        <f>IFERROR(__xludf.DUMMYFUNCTION("""COMPUTED_VALUE"""),"Tess1509")</f>
        <v>Tess1509</v>
      </c>
      <c r="D363" s="3" t="str">
        <f>IFERROR(__xludf.DUMMYFUNCTION("""COMPUTED_VALUE"""),"Malena + Tess1509")</f>
        <v>Malena + Tess1509</v>
      </c>
      <c r="E363" s="3" t="str">
        <f>IFERROR(__xludf.DUMMYFUNCTION("""COMPUTED_VALUE"""),"Nebus. + ZeroO")</f>
        <v>Nebus. + ZeroO</v>
      </c>
      <c r="F363" s="3" t="str">
        <f>IFERROR(__xludf.DUMMYFUNCTION("""COMPUTED_VALUE"""),"loss")</f>
        <v>loss</v>
      </c>
      <c r="G363" s="3" t="str">
        <f>IFERROR(__xludf.DUMMYFUNCTION("""COMPUTED_VALUE"""),"2v2")</f>
        <v>2v2</v>
      </c>
      <c r="H363" s="3" t="str">
        <f>IFERROR(__xludf.DUMMYFUNCTION("IFERROR(TRIM(INDEX(SPLIT(E363,"" + ""),1)),"""")"),"Nebus.")</f>
        <v>Nebus.</v>
      </c>
      <c r="I363" s="3" t="str">
        <f>IFERROR(__xludf.DUMMYFUNCTION("IFERROR(TRIM(INDEX(SPLIT(E363,"" + ""),2)),"""")"),"ZeroO")</f>
        <v>ZeroO</v>
      </c>
      <c r="J363" s="5" t="str">
        <f>IFERROR(__xludf.DUMMYFUNCTION("IFERROR(TRIM(INDEX(SPLIT(E363,"" + ""),3)),"""")"),"")</f>
        <v/>
      </c>
      <c r="K363" s="3">
        <f>IFERROR(__xludf.DUMMYFUNCTION("IFERROR(IF(H363="""",0,INDEX(FILTER($Q$2:Q362,$C$2:C362=H363,$G$2:G362=G363),ROWS(FILTER($Q$2:Q362,$C$2:C362=H363,$G$2:G362=G363)),1)),1500)"),1560.0)</f>
        <v>1560</v>
      </c>
      <c r="L363" s="3">
        <f>IFERROR(__xludf.DUMMYFUNCTION("IFERROR(IF(I363="""",0,INDEX(FILTER($Q$2:Q362,$C$2:C362=I363,$G$2:G362=G363),ROWS(FILTER($Q$2:Q362,$C$2:C362=I363,$G$2:G362=G363)),1)),1500)"),1539.0)</f>
        <v>1539</v>
      </c>
      <c r="M363" s="3">
        <f>IFERROR(__xludf.DUMMYFUNCTION("IFERROR(IF(J363="""",0,INDEX(FILTER($Q$2:Q362,$C$2:C362=J363,$G$2:G362=G363),ROWS(FILTER($Q$2:Q362,$C$2:C362=J363,$G$2:G362=G363)),1)),1500)"),0.0)</f>
        <v>0</v>
      </c>
      <c r="N363" s="3">
        <f>IFERROR(__xludf.DUMMYFUNCTION("IFERROR(INDEX(FILTER($Q$2:Q362,$C$2:C362=C363,$G$2:G362=G363),ROWS(FILTER($Q$2:Q362,$C$2:C362=C363,$G$2:G362=G363)),1),1500)"),1377.0)</f>
        <v>1377</v>
      </c>
      <c r="O363" s="3">
        <f t="shared" si="3"/>
        <v>1549.5</v>
      </c>
      <c r="P363" s="9">
        <f t="shared" si="1"/>
        <v>-9</v>
      </c>
      <c r="Q363" s="5">
        <f t="shared" si="2"/>
        <v>1368</v>
      </c>
    </row>
    <row r="364">
      <c r="A364" s="3" t="str">
        <f>IFERROR(__xludf.DUMMYFUNCTION("""COMPUTED_VALUE"""),"1JYyzprpMUeK27KByugbS72YUTF8qYpb7")</f>
        <v>1JYyzprpMUeK27KByugbS72YUTF8qYpb7</v>
      </c>
      <c r="B364" s="13">
        <f>IFERROR(__xludf.DUMMYFUNCTION("""COMPUTED_VALUE"""),45976.0)</f>
        <v>45976</v>
      </c>
      <c r="C364" s="3" t="str">
        <f>IFERROR(__xludf.DUMMYFUNCTION("""COMPUTED_VALUE"""),"Nebus.")</f>
        <v>Nebus.</v>
      </c>
      <c r="D364" s="3" t="str">
        <f>IFERROR(__xludf.DUMMYFUNCTION("""COMPUTED_VALUE"""),"Nebus. + ZeroO")</f>
        <v>Nebus. + ZeroO</v>
      </c>
      <c r="E364" s="3" t="str">
        <f>IFERROR(__xludf.DUMMYFUNCTION("""COMPUTED_VALUE"""),"Malena + Tess1509")</f>
        <v>Malena + Tess1509</v>
      </c>
      <c r="F364" s="3" t="str">
        <f>IFERROR(__xludf.DUMMYFUNCTION("""COMPUTED_VALUE"""),"win")</f>
        <v>win</v>
      </c>
      <c r="G364" s="3" t="str">
        <f>IFERROR(__xludf.DUMMYFUNCTION("""COMPUTED_VALUE"""),"2v2")</f>
        <v>2v2</v>
      </c>
      <c r="H364" s="3" t="str">
        <f>IFERROR(__xludf.DUMMYFUNCTION("IFERROR(TRIM(INDEX(SPLIT(E364,"" + ""),1)),"""")"),"Malena")</f>
        <v>Malena</v>
      </c>
      <c r="I364" s="3" t="str">
        <f>IFERROR(__xludf.DUMMYFUNCTION("IFERROR(TRIM(INDEX(SPLIT(E364,"" + ""),2)),"""")"),"Tess1509")</f>
        <v>Tess1509</v>
      </c>
      <c r="J364" s="5" t="str">
        <f>IFERROR(__xludf.DUMMYFUNCTION("IFERROR(TRIM(INDEX(SPLIT(E364,"" + ""),3)),"""")"),"")</f>
        <v/>
      </c>
      <c r="K364" s="3">
        <f>IFERROR(__xludf.DUMMYFUNCTION("IFERROR(IF(H364="""",0,INDEX(FILTER($Q$2:Q363,$C$2:C363=H364,$G$2:G363=G364),ROWS(FILTER($Q$2:Q363,$C$2:C363=H364,$G$2:G363=G364)),1)),1500)"),1560.0)</f>
        <v>1560</v>
      </c>
      <c r="L364" s="3">
        <f>IFERROR(__xludf.DUMMYFUNCTION("IFERROR(IF(I364="""",0,INDEX(FILTER($Q$2:Q363,$C$2:C363=I364,$G$2:G363=G364),ROWS(FILTER($Q$2:Q363,$C$2:C363=I364,$G$2:G363=G364)),1)),1500)"),1368.0)</f>
        <v>1368</v>
      </c>
      <c r="M364" s="3">
        <f>IFERROR(__xludf.DUMMYFUNCTION("IFERROR(IF(J364="""",0,INDEX(FILTER($Q$2:Q363,$C$2:C363=J364,$G$2:G363=G364),ROWS(FILTER($Q$2:Q363,$C$2:C363=J364,$G$2:G363=G364)),1)),1500)"),0.0)</f>
        <v>0</v>
      </c>
      <c r="N364" s="3">
        <f>IFERROR(__xludf.DUMMYFUNCTION("IFERROR(INDEX(FILTER($Q$2:Q363,$C$2:C363=C364,$G$2:G363=G364),ROWS(FILTER($Q$2:Q363,$C$2:C363=C364,$G$2:G363=G364)),1),1500)"),1560.0)</f>
        <v>1560</v>
      </c>
      <c r="O364" s="3">
        <f t="shared" si="3"/>
        <v>1464</v>
      </c>
      <c r="P364" s="9">
        <f t="shared" si="1"/>
        <v>12</v>
      </c>
      <c r="Q364" s="5">
        <f t="shared" si="2"/>
        <v>1572</v>
      </c>
    </row>
    <row r="365">
      <c r="A365" s="3" t="str">
        <f>IFERROR(__xludf.DUMMYFUNCTION("""COMPUTED_VALUE"""),"1JYyzprpMUeK27KByugbS72YUTF8qYpb7")</f>
        <v>1JYyzprpMUeK27KByugbS72YUTF8qYpb7</v>
      </c>
      <c r="B365" s="13">
        <f>IFERROR(__xludf.DUMMYFUNCTION("""COMPUTED_VALUE"""),45976.0)</f>
        <v>45976</v>
      </c>
      <c r="C365" s="3" t="str">
        <f>IFERROR(__xludf.DUMMYFUNCTION("""COMPUTED_VALUE"""),"ZeroO")</f>
        <v>ZeroO</v>
      </c>
      <c r="D365" s="3" t="str">
        <f>IFERROR(__xludf.DUMMYFUNCTION("""COMPUTED_VALUE"""),"Nebus. + ZeroO")</f>
        <v>Nebus. + ZeroO</v>
      </c>
      <c r="E365" s="3" t="str">
        <f>IFERROR(__xludf.DUMMYFUNCTION("""COMPUTED_VALUE"""),"Malena + Tess1509")</f>
        <v>Malena + Tess1509</v>
      </c>
      <c r="F365" s="3" t="str">
        <f>IFERROR(__xludf.DUMMYFUNCTION("""COMPUTED_VALUE"""),"win")</f>
        <v>win</v>
      </c>
      <c r="G365" s="3" t="str">
        <f>IFERROR(__xludf.DUMMYFUNCTION("""COMPUTED_VALUE"""),"2v2")</f>
        <v>2v2</v>
      </c>
      <c r="H365" s="3" t="str">
        <f>IFERROR(__xludf.DUMMYFUNCTION("IFERROR(TRIM(INDEX(SPLIT(E365,"" + ""),1)),"""")"),"Malena")</f>
        <v>Malena</v>
      </c>
      <c r="I365" s="3" t="str">
        <f>IFERROR(__xludf.DUMMYFUNCTION("IFERROR(TRIM(INDEX(SPLIT(E365,"" + ""),2)),"""")"),"Tess1509")</f>
        <v>Tess1509</v>
      </c>
      <c r="J365" s="5" t="str">
        <f>IFERROR(__xludf.DUMMYFUNCTION("IFERROR(TRIM(INDEX(SPLIT(E365,"" + ""),3)),"""")"),"")</f>
        <v/>
      </c>
      <c r="K365" s="3">
        <f>IFERROR(__xludf.DUMMYFUNCTION("IFERROR(IF(H365="""",0,INDEX(FILTER($Q$2:Q364,$C$2:C364=H365,$G$2:G364=G365),ROWS(FILTER($Q$2:Q364,$C$2:C364=H365,$G$2:G364=G365)),1)),1500)"),1560.0)</f>
        <v>1560</v>
      </c>
      <c r="L365" s="3">
        <f>IFERROR(__xludf.DUMMYFUNCTION("IFERROR(IF(I365="""",0,INDEX(FILTER($Q$2:Q364,$C$2:C364=I365,$G$2:G364=G365),ROWS(FILTER($Q$2:Q364,$C$2:C364=I365,$G$2:G364=G365)),1)),1500)"),1368.0)</f>
        <v>1368</v>
      </c>
      <c r="M365" s="3">
        <f>IFERROR(__xludf.DUMMYFUNCTION("IFERROR(IF(J365="""",0,INDEX(FILTER($Q$2:Q364,$C$2:C364=J365,$G$2:G364=G365),ROWS(FILTER($Q$2:Q364,$C$2:C364=J365,$G$2:G364=G365)),1)),1500)"),0.0)</f>
        <v>0</v>
      </c>
      <c r="N365" s="3">
        <f>IFERROR(__xludf.DUMMYFUNCTION("IFERROR(INDEX(FILTER($Q$2:Q364,$C$2:C364=C365,$G$2:G364=G365),ROWS(FILTER($Q$2:Q364,$C$2:C364=C365,$G$2:G364=G365)),1),1500)"),1539.0)</f>
        <v>1539</v>
      </c>
      <c r="O365" s="3">
        <f t="shared" si="3"/>
        <v>1464</v>
      </c>
      <c r="P365" s="9">
        <f t="shared" si="1"/>
        <v>13</v>
      </c>
      <c r="Q365" s="5">
        <f t="shared" si="2"/>
        <v>1552</v>
      </c>
    </row>
    <row r="366">
      <c r="A366" s="3" t="str">
        <f>IFERROR(__xludf.DUMMYFUNCTION("""COMPUTED_VALUE"""),"1wQT049_4nrNepdVncG5Thc6IQcHfzKHG")</f>
        <v>1wQT049_4nrNepdVncG5Thc6IQcHfzKHG</v>
      </c>
      <c r="B366" s="13">
        <f>IFERROR(__xludf.DUMMYFUNCTION("""COMPUTED_VALUE"""),45976.0)</f>
        <v>45976</v>
      </c>
      <c r="C366" s="3" t="str">
        <f>IFERROR(__xludf.DUMMYFUNCTION("""COMPUTED_VALUE"""),"Malena")</f>
        <v>Malena</v>
      </c>
      <c r="D366" s="3" t="str">
        <f>IFERROR(__xludf.DUMMYFUNCTION("""COMPUTED_VALUE"""),"Malena + Tess1509")</f>
        <v>Malena + Tess1509</v>
      </c>
      <c r="E366" s="3" t="str">
        <f>IFERROR(__xludf.DUMMYFUNCTION("""COMPUTED_VALUE"""),"Nebus. + ZeroO")</f>
        <v>Nebus. + ZeroO</v>
      </c>
      <c r="F366" s="3" t="str">
        <f>IFERROR(__xludf.DUMMYFUNCTION("""COMPUTED_VALUE"""),"win")</f>
        <v>win</v>
      </c>
      <c r="G366" s="3" t="str">
        <f>IFERROR(__xludf.DUMMYFUNCTION("""COMPUTED_VALUE"""),"2v2")</f>
        <v>2v2</v>
      </c>
      <c r="H366" s="3" t="str">
        <f>IFERROR(__xludf.DUMMYFUNCTION("IFERROR(TRIM(INDEX(SPLIT(E366,"" + ""),1)),"""")"),"Nebus.")</f>
        <v>Nebus.</v>
      </c>
      <c r="I366" s="3" t="str">
        <f>IFERROR(__xludf.DUMMYFUNCTION("IFERROR(TRIM(INDEX(SPLIT(E366,"" + ""),2)),"""")"),"ZeroO")</f>
        <v>ZeroO</v>
      </c>
      <c r="J366" s="5" t="str">
        <f>IFERROR(__xludf.DUMMYFUNCTION("IFERROR(TRIM(INDEX(SPLIT(E366,"" + ""),3)),"""")"),"")</f>
        <v/>
      </c>
      <c r="K366" s="3">
        <f>IFERROR(__xludf.DUMMYFUNCTION("IFERROR(IF(H366="""",0,INDEX(FILTER($Q$2:Q365,$C$2:C365=H366,$G$2:G365=G366),ROWS(FILTER($Q$2:Q365,$C$2:C365=H366,$G$2:G365=G366)),1)),1500)"),1572.0)</f>
        <v>1572</v>
      </c>
      <c r="L366" s="3">
        <f>IFERROR(__xludf.DUMMYFUNCTION("IFERROR(IF(I366="""",0,INDEX(FILTER($Q$2:Q365,$C$2:C365=I366,$G$2:G365=G366),ROWS(FILTER($Q$2:Q365,$C$2:C365=I366,$G$2:G365=G366)),1)),1500)"),1552.0)</f>
        <v>1552</v>
      </c>
      <c r="M366" s="3">
        <f>IFERROR(__xludf.DUMMYFUNCTION("IFERROR(IF(J366="""",0,INDEX(FILTER($Q$2:Q365,$C$2:C365=J366,$G$2:G365=G366),ROWS(FILTER($Q$2:Q365,$C$2:C365=J366,$G$2:G365=G366)),1)),1500)"),0.0)</f>
        <v>0</v>
      </c>
      <c r="N366" s="3">
        <f>IFERROR(__xludf.DUMMYFUNCTION("IFERROR(INDEX(FILTER($Q$2:Q365,$C$2:C365=C366,$G$2:G365=G366),ROWS(FILTER($Q$2:Q365,$C$2:C365=C366,$G$2:G365=G366)),1),1500)"),1560.0)</f>
        <v>1560</v>
      </c>
      <c r="O366" s="3">
        <f t="shared" si="3"/>
        <v>1562</v>
      </c>
      <c r="P366" s="9">
        <f t="shared" si="1"/>
        <v>16</v>
      </c>
      <c r="Q366" s="5">
        <f t="shared" si="2"/>
        <v>1576</v>
      </c>
    </row>
    <row r="367">
      <c r="A367" s="3" t="str">
        <f>IFERROR(__xludf.DUMMYFUNCTION("""COMPUTED_VALUE"""),"1wQT049_4nrNepdVncG5Thc6IQcHfzKHG")</f>
        <v>1wQT049_4nrNepdVncG5Thc6IQcHfzKHG</v>
      </c>
      <c r="B367" s="13">
        <f>IFERROR(__xludf.DUMMYFUNCTION("""COMPUTED_VALUE"""),45976.0)</f>
        <v>45976</v>
      </c>
      <c r="C367" s="3" t="str">
        <f>IFERROR(__xludf.DUMMYFUNCTION("""COMPUTED_VALUE"""),"Tess1509")</f>
        <v>Tess1509</v>
      </c>
      <c r="D367" s="3" t="str">
        <f>IFERROR(__xludf.DUMMYFUNCTION("""COMPUTED_VALUE"""),"Malena + Tess1509")</f>
        <v>Malena + Tess1509</v>
      </c>
      <c r="E367" s="3" t="str">
        <f>IFERROR(__xludf.DUMMYFUNCTION("""COMPUTED_VALUE"""),"Nebus. + ZeroO")</f>
        <v>Nebus. + ZeroO</v>
      </c>
      <c r="F367" s="3" t="str">
        <f>IFERROR(__xludf.DUMMYFUNCTION("""COMPUTED_VALUE"""),"win")</f>
        <v>win</v>
      </c>
      <c r="G367" s="3" t="str">
        <f>IFERROR(__xludf.DUMMYFUNCTION("""COMPUTED_VALUE"""),"2v2")</f>
        <v>2v2</v>
      </c>
      <c r="H367" s="3" t="str">
        <f>IFERROR(__xludf.DUMMYFUNCTION("IFERROR(TRIM(INDEX(SPLIT(E367,"" + ""),1)),"""")"),"Nebus.")</f>
        <v>Nebus.</v>
      </c>
      <c r="I367" s="3" t="str">
        <f>IFERROR(__xludf.DUMMYFUNCTION("IFERROR(TRIM(INDEX(SPLIT(E367,"" + ""),2)),"""")"),"ZeroO")</f>
        <v>ZeroO</v>
      </c>
      <c r="J367" s="5" t="str">
        <f>IFERROR(__xludf.DUMMYFUNCTION("IFERROR(TRIM(INDEX(SPLIT(E367,"" + ""),3)),"""")"),"")</f>
        <v/>
      </c>
      <c r="K367" s="3">
        <f>IFERROR(__xludf.DUMMYFUNCTION("IFERROR(IF(H367="""",0,INDEX(FILTER($Q$2:Q366,$C$2:C366=H367,$G$2:G366=G367),ROWS(FILTER($Q$2:Q366,$C$2:C366=H367,$G$2:G366=G367)),1)),1500)"),1572.0)</f>
        <v>1572</v>
      </c>
      <c r="L367" s="3">
        <f>IFERROR(__xludf.DUMMYFUNCTION("IFERROR(IF(I367="""",0,INDEX(FILTER($Q$2:Q366,$C$2:C366=I367,$G$2:G366=G367),ROWS(FILTER($Q$2:Q366,$C$2:C366=I367,$G$2:G366=G367)),1)),1500)"),1552.0)</f>
        <v>1552</v>
      </c>
      <c r="M367" s="3">
        <f>IFERROR(__xludf.DUMMYFUNCTION("IFERROR(IF(J367="""",0,INDEX(FILTER($Q$2:Q366,$C$2:C366=J367,$G$2:G366=G367),ROWS(FILTER($Q$2:Q366,$C$2:C366=J367,$G$2:G366=G367)),1)),1500)"),0.0)</f>
        <v>0</v>
      </c>
      <c r="N367" s="3">
        <f>IFERROR(__xludf.DUMMYFUNCTION("IFERROR(INDEX(FILTER($Q$2:Q366,$C$2:C366=C367,$G$2:G366=G367),ROWS(FILTER($Q$2:Q366,$C$2:C366=C367,$G$2:G366=G367)),1),1500)"),1368.0)</f>
        <v>1368</v>
      </c>
      <c r="O367" s="3">
        <f t="shared" si="3"/>
        <v>1562</v>
      </c>
      <c r="P367" s="9">
        <f t="shared" si="1"/>
        <v>24</v>
      </c>
      <c r="Q367" s="5">
        <f t="shared" si="2"/>
        <v>1392</v>
      </c>
    </row>
    <row r="368">
      <c r="A368" s="3" t="str">
        <f>IFERROR(__xludf.DUMMYFUNCTION("""COMPUTED_VALUE"""),"1wQT049_4nrNepdVncG5Thc6IQcHfzKHG")</f>
        <v>1wQT049_4nrNepdVncG5Thc6IQcHfzKHG</v>
      </c>
      <c r="B368" s="13">
        <f>IFERROR(__xludf.DUMMYFUNCTION("""COMPUTED_VALUE"""),45976.0)</f>
        <v>45976</v>
      </c>
      <c r="C368" s="3" t="str">
        <f>IFERROR(__xludf.DUMMYFUNCTION("""COMPUTED_VALUE"""),"ZeroO")</f>
        <v>ZeroO</v>
      </c>
      <c r="D368" s="3" t="str">
        <f>IFERROR(__xludf.DUMMYFUNCTION("""COMPUTED_VALUE"""),"Nebus. + ZeroO")</f>
        <v>Nebus. + ZeroO</v>
      </c>
      <c r="E368" s="3" t="str">
        <f>IFERROR(__xludf.DUMMYFUNCTION("""COMPUTED_VALUE"""),"Malena + Tess1509")</f>
        <v>Malena + Tess1509</v>
      </c>
      <c r="F368" s="3" t="str">
        <f>IFERROR(__xludf.DUMMYFUNCTION("""COMPUTED_VALUE"""),"loss")</f>
        <v>loss</v>
      </c>
      <c r="G368" s="3" t="str">
        <f>IFERROR(__xludf.DUMMYFUNCTION("""COMPUTED_VALUE"""),"2v2")</f>
        <v>2v2</v>
      </c>
      <c r="H368" s="3" t="str">
        <f>IFERROR(__xludf.DUMMYFUNCTION("IFERROR(TRIM(INDEX(SPLIT(E368,"" + ""),1)),"""")"),"Malena")</f>
        <v>Malena</v>
      </c>
      <c r="I368" s="3" t="str">
        <f>IFERROR(__xludf.DUMMYFUNCTION("IFERROR(TRIM(INDEX(SPLIT(E368,"" + ""),2)),"""")"),"Tess1509")</f>
        <v>Tess1509</v>
      </c>
      <c r="J368" s="5" t="str">
        <f>IFERROR(__xludf.DUMMYFUNCTION("IFERROR(TRIM(INDEX(SPLIT(E368,"" + ""),3)),"""")"),"")</f>
        <v/>
      </c>
      <c r="K368" s="3">
        <f>IFERROR(__xludf.DUMMYFUNCTION("IFERROR(IF(H368="""",0,INDEX(FILTER($Q$2:Q367,$C$2:C367=H368,$G$2:G367=G368),ROWS(FILTER($Q$2:Q367,$C$2:C367=H368,$G$2:G367=G368)),1)),1500)"),1576.0)</f>
        <v>1576</v>
      </c>
      <c r="L368" s="3">
        <f>IFERROR(__xludf.DUMMYFUNCTION("IFERROR(IF(I368="""",0,INDEX(FILTER($Q$2:Q367,$C$2:C367=I368,$G$2:G367=G368),ROWS(FILTER($Q$2:Q367,$C$2:C367=I368,$G$2:G367=G368)),1)),1500)"),1392.0)</f>
        <v>1392</v>
      </c>
      <c r="M368" s="3">
        <f>IFERROR(__xludf.DUMMYFUNCTION("IFERROR(IF(J368="""",0,INDEX(FILTER($Q$2:Q367,$C$2:C367=J368,$G$2:G367=G368),ROWS(FILTER($Q$2:Q367,$C$2:C367=J368,$G$2:G367=G368)),1)),1500)"),0.0)</f>
        <v>0</v>
      </c>
      <c r="N368" s="3">
        <f>IFERROR(__xludf.DUMMYFUNCTION("IFERROR(INDEX(FILTER($Q$2:Q367,$C$2:C367=C368,$G$2:G367=G368),ROWS(FILTER($Q$2:Q367,$C$2:C367=C368,$G$2:G367=G368)),1),1500)"),1552.0)</f>
        <v>1552</v>
      </c>
      <c r="O368" s="3">
        <f t="shared" si="3"/>
        <v>1484</v>
      </c>
      <c r="P368" s="9">
        <f t="shared" si="1"/>
        <v>-19</v>
      </c>
      <c r="Q368" s="5">
        <f t="shared" si="2"/>
        <v>1533</v>
      </c>
    </row>
    <row r="369">
      <c r="A369" s="3" t="str">
        <f>IFERROR(__xludf.DUMMYFUNCTION("""COMPUTED_VALUE"""),"1wQT049_4nrNepdVncG5Thc6IQcHfzKHG")</f>
        <v>1wQT049_4nrNepdVncG5Thc6IQcHfzKHG</v>
      </c>
      <c r="B369" s="13">
        <f>IFERROR(__xludf.DUMMYFUNCTION("""COMPUTED_VALUE"""),45976.0)</f>
        <v>45976</v>
      </c>
      <c r="C369" s="3" t="str">
        <f>IFERROR(__xludf.DUMMYFUNCTION("""COMPUTED_VALUE"""),"Nebus.")</f>
        <v>Nebus.</v>
      </c>
      <c r="D369" s="3" t="str">
        <f>IFERROR(__xludf.DUMMYFUNCTION("""COMPUTED_VALUE"""),"Nebus. + ZeroO")</f>
        <v>Nebus. + ZeroO</v>
      </c>
      <c r="E369" s="3" t="str">
        <f>IFERROR(__xludf.DUMMYFUNCTION("""COMPUTED_VALUE"""),"Malena + Tess1509")</f>
        <v>Malena + Tess1509</v>
      </c>
      <c r="F369" s="3" t="str">
        <f>IFERROR(__xludf.DUMMYFUNCTION("""COMPUTED_VALUE"""),"loss")</f>
        <v>loss</v>
      </c>
      <c r="G369" s="3" t="str">
        <f>IFERROR(__xludf.DUMMYFUNCTION("""COMPUTED_VALUE"""),"2v2")</f>
        <v>2v2</v>
      </c>
      <c r="H369" s="3" t="str">
        <f>IFERROR(__xludf.DUMMYFUNCTION("IFERROR(TRIM(INDEX(SPLIT(E369,"" + ""),1)),"""")"),"Malena")</f>
        <v>Malena</v>
      </c>
      <c r="I369" s="3" t="str">
        <f>IFERROR(__xludf.DUMMYFUNCTION("IFERROR(TRIM(INDEX(SPLIT(E369,"" + ""),2)),"""")"),"Tess1509")</f>
        <v>Tess1509</v>
      </c>
      <c r="J369" s="5" t="str">
        <f>IFERROR(__xludf.DUMMYFUNCTION("IFERROR(TRIM(INDEX(SPLIT(E369,"" + ""),3)),"""")"),"")</f>
        <v/>
      </c>
      <c r="K369" s="3">
        <f>IFERROR(__xludf.DUMMYFUNCTION("IFERROR(IF(H369="""",0,INDEX(FILTER($Q$2:Q368,$C$2:C368=H369,$G$2:G368=G369),ROWS(FILTER($Q$2:Q368,$C$2:C368=H369,$G$2:G368=G369)),1)),1500)"),1576.0)</f>
        <v>1576</v>
      </c>
      <c r="L369" s="3">
        <f>IFERROR(__xludf.DUMMYFUNCTION("IFERROR(IF(I369="""",0,INDEX(FILTER($Q$2:Q368,$C$2:C368=I369,$G$2:G368=G369),ROWS(FILTER($Q$2:Q368,$C$2:C368=I369,$G$2:G368=G369)),1)),1500)"),1392.0)</f>
        <v>1392</v>
      </c>
      <c r="M369" s="3">
        <f>IFERROR(__xludf.DUMMYFUNCTION("IFERROR(IF(J369="""",0,INDEX(FILTER($Q$2:Q368,$C$2:C368=J369,$G$2:G368=G369),ROWS(FILTER($Q$2:Q368,$C$2:C368=J369,$G$2:G368=G369)),1)),1500)"),0.0)</f>
        <v>0</v>
      </c>
      <c r="N369" s="3">
        <f>IFERROR(__xludf.DUMMYFUNCTION("IFERROR(INDEX(FILTER($Q$2:Q368,$C$2:C368=C369,$G$2:G368=G369),ROWS(FILTER($Q$2:Q368,$C$2:C368=C369,$G$2:G368=G369)),1),1500)"),1572.0)</f>
        <v>1572</v>
      </c>
      <c r="O369" s="3">
        <f t="shared" si="3"/>
        <v>1484</v>
      </c>
      <c r="P369" s="9">
        <f t="shared" si="1"/>
        <v>-20</v>
      </c>
      <c r="Q369" s="5">
        <f t="shared" si="2"/>
        <v>1552</v>
      </c>
    </row>
    <row r="370">
      <c r="A370" s="3" t="str">
        <f>IFERROR(__xludf.DUMMYFUNCTION("""COMPUTED_VALUE"""),"1ThOZTqVuNQJU_254I-q8wAJD3XI3OCpu")</f>
        <v>1ThOZTqVuNQJU_254I-q8wAJD3XI3OCpu</v>
      </c>
      <c r="B370" s="13">
        <f>IFERROR(__xludf.DUMMYFUNCTION("""COMPUTED_VALUE"""),45976.0)</f>
        <v>45976</v>
      </c>
      <c r="C370" s="3" t="str">
        <f>IFERROR(__xludf.DUMMYFUNCTION("""COMPUTED_VALUE"""),"Malena")</f>
        <v>Malena</v>
      </c>
      <c r="D370" s="3" t="str">
        <f>IFERROR(__xludf.DUMMYFUNCTION("""COMPUTED_VALUE"""),"Malena + Tess1509")</f>
        <v>Malena + Tess1509</v>
      </c>
      <c r="E370" s="3" t="str">
        <f>IFERROR(__xludf.DUMMYFUNCTION("""COMPUTED_VALUE"""),"Nebus. + ZeroO")</f>
        <v>Nebus. + ZeroO</v>
      </c>
      <c r="F370" s="3" t="str">
        <f>IFERROR(__xludf.DUMMYFUNCTION("""COMPUTED_VALUE"""),"loss")</f>
        <v>loss</v>
      </c>
      <c r="G370" s="3" t="str">
        <f>IFERROR(__xludf.DUMMYFUNCTION("""COMPUTED_VALUE"""),"2v2")</f>
        <v>2v2</v>
      </c>
      <c r="H370" s="3" t="str">
        <f>IFERROR(__xludf.DUMMYFUNCTION("IFERROR(TRIM(INDEX(SPLIT(E370,"" + ""),1)),"""")"),"Nebus.")</f>
        <v>Nebus.</v>
      </c>
      <c r="I370" s="3" t="str">
        <f>IFERROR(__xludf.DUMMYFUNCTION("IFERROR(TRIM(INDEX(SPLIT(E370,"" + ""),2)),"""")"),"ZeroO")</f>
        <v>ZeroO</v>
      </c>
      <c r="J370" s="5" t="str">
        <f>IFERROR(__xludf.DUMMYFUNCTION("IFERROR(TRIM(INDEX(SPLIT(E370,"" + ""),3)),"""")"),"")</f>
        <v/>
      </c>
      <c r="K370" s="3">
        <f>IFERROR(__xludf.DUMMYFUNCTION("IFERROR(IF(H370="""",0,INDEX(FILTER($Q$2:Q369,$C$2:C369=H370,$G$2:G369=G370),ROWS(FILTER($Q$2:Q369,$C$2:C369=H370,$G$2:G369=G370)),1)),1500)"),1552.0)</f>
        <v>1552</v>
      </c>
      <c r="L370" s="3">
        <f>IFERROR(__xludf.DUMMYFUNCTION("IFERROR(IF(I370="""",0,INDEX(FILTER($Q$2:Q369,$C$2:C369=I370,$G$2:G369=G370),ROWS(FILTER($Q$2:Q369,$C$2:C369=I370,$G$2:G369=G370)),1)),1500)"),1533.0)</f>
        <v>1533</v>
      </c>
      <c r="M370" s="3">
        <f>IFERROR(__xludf.DUMMYFUNCTION("IFERROR(IF(J370="""",0,INDEX(FILTER($Q$2:Q369,$C$2:C369=J370,$G$2:G369=G370),ROWS(FILTER($Q$2:Q369,$C$2:C369=J370,$G$2:G369=G370)),1)),1500)"),0.0)</f>
        <v>0</v>
      </c>
      <c r="N370" s="3">
        <f>IFERROR(__xludf.DUMMYFUNCTION("IFERROR(INDEX(FILTER($Q$2:Q369,$C$2:C369=C370,$G$2:G369=G370),ROWS(FILTER($Q$2:Q369,$C$2:C369=C370,$G$2:G369=G370)),1),1500)"),1576.0)</f>
        <v>1576</v>
      </c>
      <c r="O370" s="3">
        <f t="shared" si="3"/>
        <v>1542.5</v>
      </c>
      <c r="P370" s="9">
        <f t="shared" si="1"/>
        <v>-18</v>
      </c>
      <c r="Q370" s="5">
        <f t="shared" si="2"/>
        <v>1558</v>
      </c>
    </row>
    <row r="371">
      <c r="A371" s="3" t="str">
        <f>IFERROR(__xludf.DUMMYFUNCTION("""COMPUTED_VALUE"""),"1ThOZTqVuNQJU_254I-q8wAJD3XI3OCpu")</f>
        <v>1ThOZTqVuNQJU_254I-q8wAJD3XI3OCpu</v>
      </c>
      <c r="B371" s="13">
        <f>IFERROR(__xludf.DUMMYFUNCTION("""COMPUTED_VALUE"""),45976.0)</f>
        <v>45976</v>
      </c>
      <c r="C371" s="3" t="str">
        <f>IFERROR(__xludf.DUMMYFUNCTION("""COMPUTED_VALUE"""),"Tess1509")</f>
        <v>Tess1509</v>
      </c>
      <c r="D371" s="3" t="str">
        <f>IFERROR(__xludf.DUMMYFUNCTION("""COMPUTED_VALUE"""),"Malena + Tess1509")</f>
        <v>Malena + Tess1509</v>
      </c>
      <c r="E371" s="3" t="str">
        <f>IFERROR(__xludf.DUMMYFUNCTION("""COMPUTED_VALUE"""),"Nebus. + ZeroO")</f>
        <v>Nebus. + ZeroO</v>
      </c>
      <c r="F371" s="3" t="str">
        <f>IFERROR(__xludf.DUMMYFUNCTION("""COMPUTED_VALUE"""),"loss")</f>
        <v>loss</v>
      </c>
      <c r="G371" s="3" t="str">
        <f>IFERROR(__xludf.DUMMYFUNCTION("""COMPUTED_VALUE"""),"2v2")</f>
        <v>2v2</v>
      </c>
      <c r="H371" s="3" t="str">
        <f>IFERROR(__xludf.DUMMYFUNCTION("IFERROR(TRIM(INDEX(SPLIT(E371,"" + ""),1)),"""")"),"Nebus.")</f>
        <v>Nebus.</v>
      </c>
      <c r="I371" s="3" t="str">
        <f>IFERROR(__xludf.DUMMYFUNCTION("IFERROR(TRIM(INDEX(SPLIT(E371,"" + ""),2)),"""")"),"ZeroO")</f>
        <v>ZeroO</v>
      </c>
      <c r="J371" s="5" t="str">
        <f>IFERROR(__xludf.DUMMYFUNCTION("IFERROR(TRIM(INDEX(SPLIT(E371,"" + ""),3)),"""")"),"")</f>
        <v/>
      </c>
      <c r="K371" s="3">
        <f>IFERROR(__xludf.DUMMYFUNCTION("IFERROR(IF(H371="""",0,INDEX(FILTER($Q$2:Q370,$C$2:C370=H371,$G$2:G370=G371),ROWS(FILTER($Q$2:Q370,$C$2:C370=H371,$G$2:G370=G371)),1)),1500)"),1552.0)</f>
        <v>1552</v>
      </c>
      <c r="L371" s="3">
        <f>IFERROR(__xludf.DUMMYFUNCTION("IFERROR(IF(I371="""",0,INDEX(FILTER($Q$2:Q370,$C$2:C370=I371,$G$2:G370=G371),ROWS(FILTER($Q$2:Q370,$C$2:C370=I371,$G$2:G370=G371)),1)),1500)"),1533.0)</f>
        <v>1533</v>
      </c>
      <c r="M371" s="3">
        <f>IFERROR(__xludf.DUMMYFUNCTION("IFERROR(IF(J371="""",0,INDEX(FILTER($Q$2:Q370,$C$2:C370=J371,$G$2:G370=G371),ROWS(FILTER($Q$2:Q370,$C$2:C370=J371,$G$2:G370=G371)),1)),1500)"),0.0)</f>
        <v>0</v>
      </c>
      <c r="N371" s="3">
        <f>IFERROR(__xludf.DUMMYFUNCTION("IFERROR(INDEX(FILTER($Q$2:Q370,$C$2:C370=C371,$G$2:G370=G371),ROWS(FILTER($Q$2:Q370,$C$2:C370=C371,$G$2:G370=G371)),1),1500)"),1392.0)</f>
        <v>1392</v>
      </c>
      <c r="O371" s="3">
        <f t="shared" si="3"/>
        <v>1542.5</v>
      </c>
      <c r="P371" s="9">
        <f t="shared" si="1"/>
        <v>-9</v>
      </c>
      <c r="Q371" s="5">
        <f t="shared" si="2"/>
        <v>1383</v>
      </c>
    </row>
    <row r="372">
      <c r="A372" s="3" t="str">
        <f>IFERROR(__xludf.DUMMYFUNCTION("""COMPUTED_VALUE"""),"1ThOZTqVuNQJU_254I-q8wAJD3XI3OCpu")</f>
        <v>1ThOZTqVuNQJU_254I-q8wAJD3XI3OCpu</v>
      </c>
      <c r="B372" s="13">
        <f>IFERROR(__xludf.DUMMYFUNCTION("""COMPUTED_VALUE"""),45976.0)</f>
        <v>45976</v>
      </c>
      <c r="C372" s="3" t="str">
        <f>IFERROR(__xludf.DUMMYFUNCTION("""COMPUTED_VALUE"""),"ZeroO")</f>
        <v>ZeroO</v>
      </c>
      <c r="D372" s="3" t="str">
        <f>IFERROR(__xludf.DUMMYFUNCTION("""COMPUTED_VALUE"""),"Nebus. + ZeroO")</f>
        <v>Nebus. + ZeroO</v>
      </c>
      <c r="E372" s="3" t="str">
        <f>IFERROR(__xludf.DUMMYFUNCTION("""COMPUTED_VALUE"""),"Malena + Tess1509")</f>
        <v>Malena + Tess1509</v>
      </c>
      <c r="F372" s="3" t="str">
        <f>IFERROR(__xludf.DUMMYFUNCTION("""COMPUTED_VALUE"""),"win")</f>
        <v>win</v>
      </c>
      <c r="G372" s="3" t="str">
        <f>IFERROR(__xludf.DUMMYFUNCTION("""COMPUTED_VALUE"""),"2v2")</f>
        <v>2v2</v>
      </c>
      <c r="H372" s="3" t="str">
        <f>IFERROR(__xludf.DUMMYFUNCTION("IFERROR(TRIM(INDEX(SPLIT(E372,"" + ""),1)),"""")"),"Malena")</f>
        <v>Malena</v>
      </c>
      <c r="I372" s="3" t="str">
        <f>IFERROR(__xludf.DUMMYFUNCTION("IFERROR(TRIM(INDEX(SPLIT(E372,"" + ""),2)),"""")"),"Tess1509")</f>
        <v>Tess1509</v>
      </c>
      <c r="J372" s="5" t="str">
        <f>IFERROR(__xludf.DUMMYFUNCTION("IFERROR(TRIM(INDEX(SPLIT(E372,"" + ""),3)),"""")"),"")</f>
        <v/>
      </c>
      <c r="K372" s="3">
        <f>IFERROR(__xludf.DUMMYFUNCTION("IFERROR(IF(H372="""",0,INDEX(FILTER($Q$2:Q371,$C$2:C371=H372,$G$2:G371=G372),ROWS(FILTER($Q$2:Q371,$C$2:C371=H372,$G$2:G371=G372)),1)),1500)"),1558.0)</f>
        <v>1558</v>
      </c>
      <c r="L372" s="3">
        <f>IFERROR(__xludf.DUMMYFUNCTION("IFERROR(IF(I372="""",0,INDEX(FILTER($Q$2:Q371,$C$2:C371=I372,$G$2:G371=G372),ROWS(FILTER($Q$2:Q371,$C$2:C371=I372,$G$2:G371=G372)),1)),1500)"),1383.0)</f>
        <v>1383</v>
      </c>
      <c r="M372" s="3">
        <f>IFERROR(__xludf.DUMMYFUNCTION("IFERROR(IF(J372="""",0,INDEX(FILTER($Q$2:Q371,$C$2:C371=J372,$G$2:G371=G372),ROWS(FILTER($Q$2:Q371,$C$2:C371=J372,$G$2:G371=G372)),1)),1500)"),0.0)</f>
        <v>0</v>
      </c>
      <c r="N372" s="3">
        <f>IFERROR(__xludf.DUMMYFUNCTION("IFERROR(INDEX(FILTER($Q$2:Q371,$C$2:C371=C372,$G$2:G371=G372),ROWS(FILTER($Q$2:Q371,$C$2:C371=C372,$G$2:G371=G372)),1),1500)"),1533.0)</f>
        <v>1533</v>
      </c>
      <c r="O372" s="3">
        <f t="shared" si="3"/>
        <v>1470.5</v>
      </c>
      <c r="P372" s="9">
        <f t="shared" si="1"/>
        <v>13</v>
      </c>
      <c r="Q372" s="5">
        <f t="shared" si="2"/>
        <v>1546</v>
      </c>
    </row>
    <row r="373">
      <c r="A373" s="3" t="str">
        <f>IFERROR(__xludf.DUMMYFUNCTION("""COMPUTED_VALUE"""),"1ThOZTqVuNQJU_254I-q8wAJD3XI3OCpu")</f>
        <v>1ThOZTqVuNQJU_254I-q8wAJD3XI3OCpu</v>
      </c>
      <c r="B373" s="13">
        <f>IFERROR(__xludf.DUMMYFUNCTION("""COMPUTED_VALUE"""),45976.0)</f>
        <v>45976</v>
      </c>
      <c r="C373" s="3" t="str">
        <f>IFERROR(__xludf.DUMMYFUNCTION("""COMPUTED_VALUE"""),"Nebus.")</f>
        <v>Nebus.</v>
      </c>
      <c r="D373" s="3" t="str">
        <f>IFERROR(__xludf.DUMMYFUNCTION("""COMPUTED_VALUE"""),"Nebus. + ZeroO")</f>
        <v>Nebus. + ZeroO</v>
      </c>
      <c r="E373" s="3" t="str">
        <f>IFERROR(__xludf.DUMMYFUNCTION("""COMPUTED_VALUE"""),"Malena + Tess1509")</f>
        <v>Malena + Tess1509</v>
      </c>
      <c r="F373" s="3" t="str">
        <f>IFERROR(__xludf.DUMMYFUNCTION("""COMPUTED_VALUE"""),"win")</f>
        <v>win</v>
      </c>
      <c r="G373" s="3" t="str">
        <f>IFERROR(__xludf.DUMMYFUNCTION("""COMPUTED_VALUE"""),"2v2")</f>
        <v>2v2</v>
      </c>
      <c r="H373" s="3" t="str">
        <f>IFERROR(__xludf.DUMMYFUNCTION("IFERROR(TRIM(INDEX(SPLIT(E373,"" + ""),1)),"""")"),"Malena")</f>
        <v>Malena</v>
      </c>
      <c r="I373" s="3" t="str">
        <f>IFERROR(__xludf.DUMMYFUNCTION("IFERROR(TRIM(INDEX(SPLIT(E373,"" + ""),2)),"""")"),"Tess1509")</f>
        <v>Tess1509</v>
      </c>
      <c r="J373" s="5" t="str">
        <f>IFERROR(__xludf.DUMMYFUNCTION("IFERROR(TRIM(INDEX(SPLIT(E373,"" + ""),3)),"""")"),"")</f>
        <v/>
      </c>
      <c r="K373" s="3">
        <f>IFERROR(__xludf.DUMMYFUNCTION("IFERROR(IF(H373="""",0,INDEX(FILTER($Q$2:Q372,$C$2:C372=H373,$G$2:G372=G373),ROWS(FILTER($Q$2:Q372,$C$2:C372=H373,$G$2:G372=G373)),1)),1500)"),1558.0)</f>
        <v>1558</v>
      </c>
      <c r="L373" s="3">
        <f>IFERROR(__xludf.DUMMYFUNCTION("IFERROR(IF(I373="""",0,INDEX(FILTER($Q$2:Q372,$C$2:C372=I373,$G$2:G372=G373),ROWS(FILTER($Q$2:Q372,$C$2:C372=I373,$G$2:G372=G373)),1)),1500)"),1383.0)</f>
        <v>1383</v>
      </c>
      <c r="M373" s="3">
        <f>IFERROR(__xludf.DUMMYFUNCTION("IFERROR(IF(J373="""",0,INDEX(FILTER($Q$2:Q372,$C$2:C372=J373,$G$2:G372=G373),ROWS(FILTER($Q$2:Q372,$C$2:C372=J373,$G$2:G372=G373)),1)),1500)"),0.0)</f>
        <v>0</v>
      </c>
      <c r="N373" s="3">
        <f>IFERROR(__xludf.DUMMYFUNCTION("IFERROR(INDEX(FILTER($Q$2:Q372,$C$2:C372=C373,$G$2:G372=G373),ROWS(FILTER($Q$2:Q372,$C$2:C372=C373,$G$2:G372=G373)),1),1500)"),1552.0)</f>
        <v>1552</v>
      </c>
      <c r="O373" s="3">
        <f t="shared" si="3"/>
        <v>1470.5</v>
      </c>
      <c r="P373" s="9">
        <f t="shared" si="1"/>
        <v>12</v>
      </c>
      <c r="Q373" s="5">
        <f t="shared" si="2"/>
        <v>1564</v>
      </c>
    </row>
    <row r="374">
      <c r="A374" s="3" t="str">
        <f>IFERROR(__xludf.DUMMYFUNCTION("""COMPUTED_VALUE"""),"1zjXfWoLwK_LmziZUFnJf4nV5Qo74ekN4")</f>
        <v>1zjXfWoLwK_LmziZUFnJf4nV5Qo74ekN4</v>
      </c>
      <c r="B374" s="13">
        <f>IFERROR(__xludf.DUMMYFUNCTION("""COMPUTED_VALUE"""),45976.0)</f>
        <v>45976</v>
      </c>
      <c r="C374" s="3" t="str">
        <f>IFERROR(__xludf.DUMMYFUNCTION("""COMPUTED_VALUE"""),"Malena")</f>
        <v>Malena</v>
      </c>
      <c r="D374" s="3" t="str">
        <f>IFERROR(__xludf.DUMMYFUNCTION("""COMPUTED_VALUE"""),"Malena + Tess1509")</f>
        <v>Malena + Tess1509</v>
      </c>
      <c r="E374" s="3" t="str">
        <f>IFERROR(__xludf.DUMMYFUNCTION("""COMPUTED_VALUE"""),"Nebus. + ZeroO")</f>
        <v>Nebus. + ZeroO</v>
      </c>
      <c r="F374" s="3" t="str">
        <f>IFERROR(__xludf.DUMMYFUNCTION("""COMPUTED_VALUE"""),"loss")</f>
        <v>loss</v>
      </c>
      <c r="G374" s="3" t="str">
        <f>IFERROR(__xludf.DUMMYFUNCTION("""COMPUTED_VALUE"""),"2v2")</f>
        <v>2v2</v>
      </c>
      <c r="H374" s="3" t="str">
        <f>IFERROR(__xludf.DUMMYFUNCTION("IFERROR(TRIM(INDEX(SPLIT(E374,"" + ""),1)),"""")"),"Nebus.")</f>
        <v>Nebus.</v>
      </c>
      <c r="I374" s="3" t="str">
        <f>IFERROR(__xludf.DUMMYFUNCTION("IFERROR(TRIM(INDEX(SPLIT(E374,"" + ""),2)),"""")"),"ZeroO")</f>
        <v>ZeroO</v>
      </c>
      <c r="J374" s="5" t="str">
        <f>IFERROR(__xludf.DUMMYFUNCTION("IFERROR(TRIM(INDEX(SPLIT(E374,"" + ""),3)),"""")"),"")</f>
        <v/>
      </c>
      <c r="K374" s="3">
        <f>IFERROR(__xludf.DUMMYFUNCTION("IFERROR(IF(H374="""",0,INDEX(FILTER($Q$2:Q373,$C$2:C373=H374,$G$2:G373=G374),ROWS(FILTER($Q$2:Q373,$C$2:C373=H374,$G$2:G373=G374)),1)),1500)"),1564.0)</f>
        <v>1564</v>
      </c>
      <c r="L374" s="3">
        <f>IFERROR(__xludf.DUMMYFUNCTION("IFERROR(IF(I374="""",0,INDEX(FILTER($Q$2:Q373,$C$2:C373=I374,$G$2:G373=G374),ROWS(FILTER($Q$2:Q373,$C$2:C373=I374,$G$2:G373=G374)),1)),1500)"),1546.0)</f>
        <v>1546</v>
      </c>
      <c r="M374" s="3">
        <f>IFERROR(__xludf.DUMMYFUNCTION("IFERROR(IF(J374="""",0,INDEX(FILTER($Q$2:Q373,$C$2:C373=J374,$G$2:G373=G374),ROWS(FILTER($Q$2:Q373,$C$2:C373=J374,$G$2:G373=G374)),1)),1500)"),0.0)</f>
        <v>0</v>
      </c>
      <c r="N374" s="3">
        <f>IFERROR(__xludf.DUMMYFUNCTION("IFERROR(INDEX(FILTER($Q$2:Q373,$C$2:C373=C374,$G$2:G373=G374),ROWS(FILTER($Q$2:Q373,$C$2:C373=C374,$G$2:G373=G374)),1),1500)"),1558.0)</f>
        <v>1558</v>
      </c>
      <c r="O374" s="3">
        <f t="shared" si="3"/>
        <v>1555</v>
      </c>
      <c r="P374" s="9">
        <f t="shared" si="1"/>
        <v>-16</v>
      </c>
      <c r="Q374" s="5">
        <f t="shared" si="2"/>
        <v>1542</v>
      </c>
    </row>
    <row r="375">
      <c r="A375" s="3" t="str">
        <f>IFERROR(__xludf.DUMMYFUNCTION("""COMPUTED_VALUE"""),"1zjXfWoLwK_LmziZUFnJf4nV5Qo74ekN4")</f>
        <v>1zjXfWoLwK_LmziZUFnJf4nV5Qo74ekN4</v>
      </c>
      <c r="B375" s="13">
        <f>IFERROR(__xludf.DUMMYFUNCTION("""COMPUTED_VALUE"""),45976.0)</f>
        <v>45976</v>
      </c>
      <c r="C375" s="3" t="str">
        <f>IFERROR(__xludf.DUMMYFUNCTION("""COMPUTED_VALUE"""),"Tess1509")</f>
        <v>Tess1509</v>
      </c>
      <c r="D375" s="3" t="str">
        <f>IFERROR(__xludf.DUMMYFUNCTION("""COMPUTED_VALUE"""),"Malena + Tess1509")</f>
        <v>Malena + Tess1509</v>
      </c>
      <c r="E375" s="3" t="str">
        <f>IFERROR(__xludf.DUMMYFUNCTION("""COMPUTED_VALUE"""),"Nebus. + ZeroO")</f>
        <v>Nebus. + ZeroO</v>
      </c>
      <c r="F375" s="3" t="str">
        <f>IFERROR(__xludf.DUMMYFUNCTION("""COMPUTED_VALUE"""),"loss")</f>
        <v>loss</v>
      </c>
      <c r="G375" s="3" t="str">
        <f>IFERROR(__xludf.DUMMYFUNCTION("""COMPUTED_VALUE"""),"2v2")</f>
        <v>2v2</v>
      </c>
      <c r="H375" s="3" t="str">
        <f>IFERROR(__xludf.DUMMYFUNCTION("IFERROR(TRIM(INDEX(SPLIT(E375,"" + ""),1)),"""")"),"Nebus.")</f>
        <v>Nebus.</v>
      </c>
      <c r="I375" s="3" t="str">
        <f>IFERROR(__xludf.DUMMYFUNCTION("IFERROR(TRIM(INDEX(SPLIT(E375,"" + ""),2)),"""")"),"ZeroO")</f>
        <v>ZeroO</v>
      </c>
      <c r="J375" s="5" t="str">
        <f>IFERROR(__xludf.DUMMYFUNCTION("IFERROR(TRIM(INDEX(SPLIT(E375,"" + ""),3)),"""")"),"")</f>
        <v/>
      </c>
      <c r="K375" s="3">
        <f>IFERROR(__xludf.DUMMYFUNCTION("IFERROR(IF(H375="""",0,INDEX(FILTER($Q$2:Q374,$C$2:C374=H375,$G$2:G374=G375),ROWS(FILTER($Q$2:Q374,$C$2:C374=H375,$G$2:G374=G375)),1)),1500)"),1564.0)</f>
        <v>1564</v>
      </c>
      <c r="L375" s="3">
        <f>IFERROR(__xludf.DUMMYFUNCTION("IFERROR(IF(I375="""",0,INDEX(FILTER($Q$2:Q374,$C$2:C374=I375,$G$2:G374=G375),ROWS(FILTER($Q$2:Q374,$C$2:C374=I375,$G$2:G374=G375)),1)),1500)"),1546.0)</f>
        <v>1546</v>
      </c>
      <c r="M375" s="3">
        <f>IFERROR(__xludf.DUMMYFUNCTION("IFERROR(IF(J375="""",0,INDEX(FILTER($Q$2:Q374,$C$2:C374=J375,$G$2:G374=G375),ROWS(FILTER($Q$2:Q374,$C$2:C374=J375,$G$2:G374=G375)),1)),1500)"),0.0)</f>
        <v>0</v>
      </c>
      <c r="N375" s="3">
        <f>IFERROR(__xludf.DUMMYFUNCTION("IFERROR(INDEX(FILTER($Q$2:Q374,$C$2:C374=C375,$G$2:G374=G375),ROWS(FILTER($Q$2:Q374,$C$2:C374=C375,$G$2:G374=G375)),1),1500)"),1383.0)</f>
        <v>1383</v>
      </c>
      <c r="O375" s="3">
        <f t="shared" si="3"/>
        <v>1555</v>
      </c>
      <c r="P375" s="9">
        <f t="shared" si="1"/>
        <v>-9</v>
      </c>
      <c r="Q375" s="5">
        <f t="shared" si="2"/>
        <v>1374</v>
      </c>
    </row>
    <row r="376">
      <c r="A376" s="3" t="str">
        <f>IFERROR(__xludf.DUMMYFUNCTION("""COMPUTED_VALUE"""),"1zjXfWoLwK_LmziZUFnJf4nV5Qo74ekN4")</f>
        <v>1zjXfWoLwK_LmziZUFnJf4nV5Qo74ekN4</v>
      </c>
      <c r="B376" s="13">
        <f>IFERROR(__xludf.DUMMYFUNCTION("""COMPUTED_VALUE"""),45976.0)</f>
        <v>45976</v>
      </c>
      <c r="C376" s="3" t="str">
        <f>IFERROR(__xludf.DUMMYFUNCTION("""COMPUTED_VALUE"""),"ZeroO")</f>
        <v>ZeroO</v>
      </c>
      <c r="D376" s="3" t="str">
        <f>IFERROR(__xludf.DUMMYFUNCTION("""COMPUTED_VALUE"""),"Nebus. + ZeroO")</f>
        <v>Nebus. + ZeroO</v>
      </c>
      <c r="E376" s="3" t="str">
        <f>IFERROR(__xludf.DUMMYFUNCTION("""COMPUTED_VALUE"""),"Malena + Tess1509")</f>
        <v>Malena + Tess1509</v>
      </c>
      <c r="F376" s="3" t="str">
        <f>IFERROR(__xludf.DUMMYFUNCTION("""COMPUTED_VALUE"""),"win")</f>
        <v>win</v>
      </c>
      <c r="G376" s="3" t="str">
        <f>IFERROR(__xludf.DUMMYFUNCTION("""COMPUTED_VALUE"""),"2v2")</f>
        <v>2v2</v>
      </c>
      <c r="H376" s="3" t="str">
        <f>IFERROR(__xludf.DUMMYFUNCTION("IFERROR(TRIM(INDEX(SPLIT(E376,"" + ""),1)),"""")"),"Malena")</f>
        <v>Malena</v>
      </c>
      <c r="I376" s="3" t="str">
        <f>IFERROR(__xludf.DUMMYFUNCTION("IFERROR(TRIM(INDEX(SPLIT(E376,"" + ""),2)),"""")"),"Tess1509")</f>
        <v>Tess1509</v>
      </c>
      <c r="J376" s="5" t="str">
        <f>IFERROR(__xludf.DUMMYFUNCTION("IFERROR(TRIM(INDEX(SPLIT(E376,"" + ""),3)),"""")"),"")</f>
        <v/>
      </c>
      <c r="K376" s="3">
        <f>IFERROR(__xludf.DUMMYFUNCTION("IFERROR(IF(H376="""",0,INDEX(FILTER($Q$2:Q375,$C$2:C375=H376,$G$2:G375=G376),ROWS(FILTER($Q$2:Q375,$C$2:C375=H376,$G$2:G375=G376)),1)),1500)"),1542.0)</f>
        <v>1542</v>
      </c>
      <c r="L376" s="3">
        <f>IFERROR(__xludf.DUMMYFUNCTION("IFERROR(IF(I376="""",0,INDEX(FILTER($Q$2:Q375,$C$2:C375=I376,$G$2:G375=G376),ROWS(FILTER($Q$2:Q375,$C$2:C375=I376,$G$2:G375=G376)),1)),1500)"),1374.0)</f>
        <v>1374</v>
      </c>
      <c r="M376" s="3">
        <f>IFERROR(__xludf.DUMMYFUNCTION("IFERROR(IF(J376="""",0,INDEX(FILTER($Q$2:Q375,$C$2:C375=J376,$G$2:G375=G376),ROWS(FILTER($Q$2:Q375,$C$2:C375=J376,$G$2:G375=G376)),1)),1500)"),0.0)</f>
        <v>0</v>
      </c>
      <c r="N376" s="3">
        <f>IFERROR(__xludf.DUMMYFUNCTION("IFERROR(INDEX(FILTER($Q$2:Q375,$C$2:C375=C376,$G$2:G375=G376),ROWS(FILTER($Q$2:Q375,$C$2:C375=C376,$G$2:G375=G376)),1),1500)"),1546.0)</f>
        <v>1546</v>
      </c>
      <c r="O376" s="3">
        <f t="shared" si="3"/>
        <v>1458</v>
      </c>
      <c r="P376" s="9">
        <f t="shared" si="1"/>
        <v>12</v>
      </c>
      <c r="Q376" s="5">
        <f t="shared" si="2"/>
        <v>1558</v>
      </c>
    </row>
    <row r="377">
      <c r="A377" s="3" t="str">
        <f>IFERROR(__xludf.DUMMYFUNCTION("""COMPUTED_VALUE"""),"1zjXfWoLwK_LmziZUFnJf4nV5Qo74ekN4")</f>
        <v>1zjXfWoLwK_LmziZUFnJf4nV5Qo74ekN4</v>
      </c>
      <c r="B377" s="13">
        <f>IFERROR(__xludf.DUMMYFUNCTION("""COMPUTED_VALUE"""),45976.0)</f>
        <v>45976</v>
      </c>
      <c r="C377" s="3" t="str">
        <f>IFERROR(__xludf.DUMMYFUNCTION("""COMPUTED_VALUE"""),"Nebus.")</f>
        <v>Nebus.</v>
      </c>
      <c r="D377" s="3" t="str">
        <f>IFERROR(__xludf.DUMMYFUNCTION("""COMPUTED_VALUE"""),"Nebus. + ZeroO")</f>
        <v>Nebus. + ZeroO</v>
      </c>
      <c r="E377" s="3" t="str">
        <f>IFERROR(__xludf.DUMMYFUNCTION("""COMPUTED_VALUE"""),"Malena + Tess1509")</f>
        <v>Malena + Tess1509</v>
      </c>
      <c r="F377" s="3" t="str">
        <f>IFERROR(__xludf.DUMMYFUNCTION("""COMPUTED_VALUE"""),"win")</f>
        <v>win</v>
      </c>
      <c r="G377" s="3" t="str">
        <f>IFERROR(__xludf.DUMMYFUNCTION("""COMPUTED_VALUE"""),"2v2")</f>
        <v>2v2</v>
      </c>
      <c r="H377" s="3" t="str">
        <f>IFERROR(__xludf.DUMMYFUNCTION("IFERROR(TRIM(INDEX(SPLIT(E377,"" + ""),1)),"""")"),"Malena")</f>
        <v>Malena</v>
      </c>
      <c r="I377" s="3" t="str">
        <f>IFERROR(__xludf.DUMMYFUNCTION("IFERROR(TRIM(INDEX(SPLIT(E377,"" + ""),2)),"""")"),"Tess1509")</f>
        <v>Tess1509</v>
      </c>
      <c r="J377" s="5" t="str">
        <f>IFERROR(__xludf.DUMMYFUNCTION("IFERROR(TRIM(INDEX(SPLIT(E377,"" + ""),3)),"""")"),"")</f>
        <v/>
      </c>
      <c r="K377" s="3">
        <f>IFERROR(__xludf.DUMMYFUNCTION("IFERROR(IF(H377="""",0,INDEX(FILTER($Q$2:Q376,$C$2:C376=H377,$G$2:G376=G377),ROWS(FILTER($Q$2:Q376,$C$2:C376=H377,$G$2:G376=G377)),1)),1500)"),1542.0)</f>
        <v>1542</v>
      </c>
      <c r="L377" s="3">
        <f>IFERROR(__xludf.DUMMYFUNCTION("IFERROR(IF(I377="""",0,INDEX(FILTER($Q$2:Q376,$C$2:C376=I377,$G$2:G376=G377),ROWS(FILTER($Q$2:Q376,$C$2:C376=I377,$G$2:G376=G377)),1)),1500)"),1374.0)</f>
        <v>1374</v>
      </c>
      <c r="M377" s="3">
        <f>IFERROR(__xludf.DUMMYFUNCTION("IFERROR(IF(J377="""",0,INDEX(FILTER($Q$2:Q376,$C$2:C376=J377,$G$2:G376=G377),ROWS(FILTER($Q$2:Q376,$C$2:C376=J377,$G$2:G376=G377)),1)),1500)"),0.0)</f>
        <v>0</v>
      </c>
      <c r="N377" s="3">
        <f>IFERROR(__xludf.DUMMYFUNCTION("IFERROR(INDEX(FILTER($Q$2:Q376,$C$2:C376=C377,$G$2:G376=G377),ROWS(FILTER($Q$2:Q376,$C$2:C376=C377,$G$2:G376=G377)),1),1500)"),1564.0)</f>
        <v>1564</v>
      </c>
      <c r="O377" s="3">
        <f t="shared" si="3"/>
        <v>1458</v>
      </c>
      <c r="P377" s="9">
        <f t="shared" si="1"/>
        <v>11</v>
      </c>
      <c r="Q377" s="5">
        <f t="shared" si="2"/>
        <v>1575</v>
      </c>
    </row>
    <row r="378">
      <c r="A378" s="3" t="str">
        <f>IFERROR(__xludf.DUMMYFUNCTION("""COMPUTED_VALUE"""),"15-usRPJAX9yKiSo93uGJ_XbTAzqGNwnn")</f>
        <v>15-usRPJAX9yKiSo93uGJ_XbTAzqGNwnn</v>
      </c>
      <c r="B378" s="13">
        <f>IFERROR(__xludf.DUMMYFUNCTION("""COMPUTED_VALUE"""),45976.0)</f>
        <v>45976</v>
      </c>
      <c r="C378" s="3" t="str">
        <f>IFERROR(__xludf.DUMMYFUNCTION("""COMPUTED_VALUE"""),"Malena")</f>
        <v>Malena</v>
      </c>
      <c r="D378" s="3" t="str">
        <f>IFERROR(__xludf.DUMMYFUNCTION("""COMPUTED_VALUE"""),"Malena + Tess1509")</f>
        <v>Malena + Tess1509</v>
      </c>
      <c r="E378" s="3" t="str">
        <f>IFERROR(__xludf.DUMMYFUNCTION("""COMPUTED_VALUE"""),"Nebus. + ZeroO")</f>
        <v>Nebus. + ZeroO</v>
      </c>
      <c r="F378" s="3" t="str">
        <f>IFERROR(__xludf.DUMMYFUNCTION("""COMPUTED_VALUE"""),"loss")</f>
        <v>loss</v>
      </c>
      <c r="G378" s="3" t="str">
        <f>IFERROR(__xludf.DUMMYFUNCTION("""COMPUTED_VALUE"""),"2v2")</f>
        <v>2v2</v>
      </c>
      <c r="H378" s="3" t="str">
        <f>IFERROR(__xludf.DUMMYFUNCTION("IFERROR(TRIM(INDEX(SPLIT(E378,"" + ""),1)),"""")"),"Nebus.")</f>
        <v>Nebus.</v>
      </c>
      <c r="I378" s="3" t="str">
        <f>IFERROR(__xludf.DUMMYFUNCTION("IFERROR(TRIM(INDEX(SPLIT(E378,"" + ""),2)),"""")"),"ZeroO")</f>
        <v>ZeroO</v>
      </c>
      <c r="J378" s="5" t="str">
        <f>IFERROR(__xludf.DUMMYFUNCTION("IFERROR(TRIM(INDEX(SPLIT(E378,"" + ""),3)),"""")"),"")</f>
        <v/>
      </c>
      <c r="K378" s="3">
        <f>IFERROR(__xludf.DUMMYFUNCTION("IFERROR(IF(H378="""",0,INDEX(FILTER($Q$2:Q377,$C$2:C377=H378,$G$2:G377=G378),ROWS(FILTER($Q$2:Q377,$C$2:C377=H378,$G$2:G377=G378)),1)),1500)"),1575.0)</f>
        <v>1575</v>
      </c>
      <c r="L378" s="3">
        <f>IFERROR(__xludf.DUMMYFUNCTION("IFERROR(IF(I378="""",0,INDEX(FILTER($Q$2:Q377,$C$2:C377=I378,$G$2:G377=G378),ROWS(FILTER($Q$2:Q377,$C$2:C377=I378,$G$2:G377=G378)),1)),1500)"),1558.0)</f>
        <v>1558</v>
      </c>
      <c r="M378" s="3">
        <f>IFERROR(__xludf.DUMMYFUNCTION("IFERROR(IF(J378="""",0,INDEX(FILTER($Q$2:Q377,$C$2:C377=J378,$G$2:G377=G378),ROWS(FILTER($Q$2:Q377,$C$2:C377=J378,$G$2:G377=G378)),1)),1500)"),0.0)</f>
        <v>0</v>
      </c>
      <c r="N378" s="3">
        <f>IFERROR(__xludf.DUMMYFUNCTION("IFERROR(INDEX(FILTER($Q$2:Q377,$C$2:C377=C378,$G$2:G377=G378),ROWS(FILTER($Q$2:Q377,$C$2:C377=C378,$G$2:G377=G378)),1),1500)"),1542.0)</f>
        <v>1542</v>
      </c>
      <c r="O378" s="3">
        <f t="shared" si="3"/>
        <v>1566.5</v>
      </c>
      <c r="P378" s="9">
        <f t="shared" si="1"/>
        <v>-15</v>
      </c>
      <c r="Q378" s="5">
        <f t="shared" si="2"/>
        <v>1527</v>
      </c>
    </row>
    <row r="379">
      <c r="A379" s="3" t="str">
        <f>IFERROR(__xludf.DUMMYFUNCTION("""COMPUTED_VALUE"""),"15-usRPJAX9yKiSo93uGJ_XbTAzqGNwnn")</f>
        <v>15-usRPJAX9yKiSo93uGJ_XbTAzqGNwnn</v>
      </c>
      <c r="B379" s="13">
        <f>IFERROR(__xludf.DUMMYFUNCTION("""COMPUTED_VALUE"""),45976.0)</f>
        <v>45976</v>
      </c>
      <c r="C379" s="3" t="str">
        <f>IFERROR(__xludf.DUMMYFUNCTION("""COMPUTED_VALUE"""),"Tess1509")</f>
        <v>Tess1509</v>
      </c>
      <c r="D379" s="3" t="str">
        <f>IFERROR(__xludf.DUMMYFUNCTION("""COMPUTED_VALUE"""),"Malena + Tess1509")</f>
        <v>Malena + Tess1509</v>
      </c>
      <c r="E379" s="3" t="str">
        <f>IFERROR(__xludf.DUMMYFUNCTION("""COMPUTED_VALUE"""),"Nebus. + ZeroO")</f>
        <v>Nebus. + ZeroO</v>
      </c>
      <c r="F379" s="3" t="str">
        <f>IFERROR(__xludf.DUMMYFUNCTION("""COMPUTED_VALUE"""),"loss")</f>
        <v>loss</v>
      </c>
      <c r="G379" s="3" t="str">
        <f>IFERROR(__xludf.DUMMYFUNCTION("""COMPUTED_VALUE"""),"2v2")</f>
        <v>2v2</v>
      </c>
      <c r="H379" s="3" t="str">
        <f>IFERROR(__xludf.DUMMYFUNCTION("IFERROR(TRIM(INDEX(SPLIT(E379,"" + ""),1)),"""")"),"Nebus.")</f>
        <v>Nebus.</v>
      </c>
      <c r="I379" s="3" t="str">
        <f>IFERROR(__xludf.DUMMYFUNCTION("IFERROR(TRIM(INDEX(SPLIT(E379,"" + ""),2)),"""")"),"ZeroO")</f>
        <v>ZeroO</v>
      </c>
      <c r="J379" s="5" t="str">
        <f>IFERROR(__xludf.DUMMYFUNCTION("IFERROR(TRIM(INDEX(SPLIT(E379,"" + ""),3)),"""")"),"")</f>
        <v/>
      </c>
      <c r="K379" s="3">
        <f>IFERROR(__xludf.DUMMYFUNCTION("IFERROR(IF(H379="""",0,INDEX(FILTER($Q$2:Q378,$C$2:C378=H379,$G$2:G378=G379),ROWS(FILTER($Q$2:Q378,$C$2:C378=H379,$G$2:G378=G379)),1)),1500)"),1575.0)</f>
        <v>1575</v>
      </c>
      <c r="L379" s="3">
        <f>IFERROR(__xludf.DUMMYFUNCTION("IFERROR(IF(I379="""",0,INDEX(FILTER($Q$2:Q378,$C$2:C378=I379,$G$2:G378=G379),ROWS(FILTER($Q$2:Q378,$C$2:C378=I379,$G$2:G378=G379)),1)),1500)"),1558.0)</f>
        <v>1558</v>
      </c>
      <c r="M379" s="3">
        <f>IFERROR(__xludf.DUMMYFUNCTION("IFERROR(IF(J379="""",0,INDEX(FILTER($Q$2:Q378,$C$2:C378=J379,$G$2:G378=G379),ROWS(FILTER($Q$2:Q378,$C$2:C378=J379,$G$2:G378=G379)),1)),1500)"),0.0)</f>
        <v>0</v>
      </c>
      <c r="N379" s="3">
        <f>IFERROR(__xludf.DUMMYFUNCTION("IFERROR(INDEX(FILTER($Q$2:Q378,$C$2:C378=C379,$G$2:G378=G379),ROWS(FILTER($Q$2:Q378,$C$2:C378=C379,$G$2:G378=G379)),1),1500)"),1374.0)</f>
        <v>1374</v>
      </c>
      <c r="O379" s="3">
        <f t="shared" si="3"/>
        <v>1566.5</v>
      </c>
      <c r="P379" s="9">
        <f t="shared" si="1"/>
        <v>-8</v>
      </c>
      <c r="Q379" s="5">
        <f t="shared" si="2"/>
        <v>1366</v>
      </c>
    </row>
    <row r="380">
      <c r="A380" s="3" t="str">
        <f>IFERROR(__xludf.DUMMYFUNCTION("""COMPUTED_VALUE"""),"15-usRPJAX9yKiSo93uGJ_XbTAzqGNwnn")</f>
        <v>15-usRPJAX9yKiSo93uGJ_XbTAzqGNwnn</v>
      </c>
      <c r="B380" s="13">
        <f>IFERROR(__xludf.DUMMYFUNCTION("""COMPUTED_VALUE"""),45976.0)</f>
        <v>45976</v>
      </c>
      <c r="C380" s="3" t="str">
        <f>IFERROR(__xludf.DUMMYFUNCTION("""COMPUTED_VALUE"""),"Nebus.")</f>
        <v>Nebus.</v>
      </c>
      <c r="D380" s="3" t="str">
        <f>IFERROR(__xludf.DUMMYFUNCTION("""COMPUTED_VALUE"""),"Nebus. + ZeroO")</f>
        <v>Nebus. + ZeroO</v>
      </c>
      <c r="E380" s="3" t="str">
        <f>IFERROR(__xludf.DUMMYFUNCTION("""COMPUTED_VALUE"""),"Malena + Tess1509")</f>
        <v>Malena + Tess1509</v>
      </c>
      <c r="F380" s="3" t="str">
        <f>IFERROR(__xludf.DUMMYFUNCTION("""COMPUTED_VALUE"""),"win")</f>
        <v>win</v>
      </c>
      <c r="G380" s="3" t="str">
        <f>IFERROR(__xludf.DUMMYFUNCTION("""COMPUTED_VALUE"""),"2v2")</f>
        <v>2v2</v>
      </c>
      <c r="H380" s="3" t="str">
        <f>IFERROR(__xludf.DUMMYFUNCTION("IFERROR(TRIM(INDEX(SPLIT(E380,"" + ""),1)),"""")"),"Malena")</f>
        <v>Malena</v>
      </c>
      <c r="I380" s="3" t="str">
        <f>IFERROR(__xludf.DUMMYFUNCTION("IFERROR(TRIM(INDEX(SPLIT(E380,"" + ""),2)),"""")"),"Tess1509")</f>
        <v>Tess1509</v>
      </c>
      <c r="J380" s="5" t="str">
        <f>IFERROR(__xludf.DUMMYFUNCTION("IFERROR(TRIM(INDEX(SPLIT(E380,"" + ""),3)),"""")"),"")</f>
        <v/>
      </c>
      <c r="K380" s="3">
        <f>IFERROR(__xludf.DUMMYFUNCTION("IFERROR(IF(H380="""",0,INDEX(FILTER($Q$2:Q379,$C$2:C379=H380,$G$2:G379=G380),ROWS(FILTER($Q$2:Q379,$C$2:C379=H380,$G$2:G379=G380)),1)),1500)"),1527.0)</f>
        <v>1527</v>
      </c>
      <c r="L380" s="3">
        <f>IFERROR(__xludf.DUMMYFUNCTION("IFERROR(IF(I380="""",0,INDEX(FILTER($Q$2:Q379,$C$2:C379=I380,$G$2:G379=G380),ROWS(FILTER($Q$2:Q379,$C$2:C379=I380,$G$2:G379=G380)),1)),1500)"),1366.0)</f>
        <v>1366</v>
      </c>
      <c r="M380" s="3">
        <f>IFERROR(__xludf.DUMMYFUNCTION("IFERROR(IF(J380="""",0,INDEX(FILTER($Q$2:Q379,$C$2:C379=J380,$G$2:G379=G380),ROWS(FILTER($Q$2:Q379,$C$2:C379=J380,$G$2:G379=G380)),1)),1500)"),0.0)</f>
        <v>0</v>
      </c>
      <c r="N380" s="3">
        <f>IFERROR(__xludf.DUMMYFUNCTION("IFERROR(INDEX(FILTER($Q$2:Q379,$C$2:C379=C380,$G$2:G379=G380),ROWS(FILTER($Q$2:Q379,$C$2:C379=C380,$G$2:G379=G380)),1),1500)"),1575.0)</f>
        <v>1575</v>
      </c>
      <c r="O380" s="3">
        <f t="shared" si="3"/>
        <v>1446.5</v>
      </c>
      <c r="P380" s="9">
        <f t="shared" si="1"/>
        <v>10</v>
      </c>
      <c r="Q380" s="5">
        <f t="shared" si="2"/>
        <v>1585</v>
      </c>
    </row>
    <row r="381">
      <c r="A381" s="3" t="str">
        <f>IFERROR(__xludf.DUMMYFUNCTION("""COMPUTED_VALUE"""),"15-usRPJAX9yKiSo93uGJ_XbTAzqGNwnn")</f>
        <v>15-usRPJAX9yKiSo93uGJ_XbTAzqGNwnn</v>
      </c>
      <c r="B381" s="13">
        <f>IFERROR(__xludf.DUMMYFUNCTION("""COMPUTED_VALUE"""),45976.0)</f>
        <v>45976</v>
      </c>
      <c r="C381" s="3" t="str">
        <f>IFERROR(__xludf.DUMMYFUNCTION("""COMPUTED_VALUE"""),"ZeroO")</f>
        <v>ZeroO</v>
      </c>
      <c r="D381" s="3" t="str">
        <f>IFERROR(__xludf.DUMMYFUNCTION("""COMPUTED_VALUE"""),"Nebus. + ZeroO")</f>
        <v>Nebus. + ZeroO</v>
      </c>
      <c r="E381" s="3" t="str">
        <f>IFERROR(__xludf.DUMMYFUNCTION("""COMPUTED_VALUE"""),"Malena + Tess1509")</f>
        <v>Malena + Tess1509</v>
      </c>
      <c r="F381" s="3" t="str">
        <f>IFERROR(__xludf.DUMMYFUNCTION("""COMPUTED_VALUE"""),"win")</f>
        <v>win</v>
      </c>
      <c r="G381" s="3" t="str">
        <f>IFERROR(__xludf.DUMMYFUNCTION("""COMPUTED_VALUE"""),"2v2")</f>
        <v>2v2</v>
      </c>
      <c r="H381" s="3" t="str">
        <f>IFERROR(__xludf.DUMMYFUNCTION("IFERROR(TRIM(INDEX(SPLIT(E381,"" + ""),1)),"""")"),"Malena")</f>
        <v>Malena</v>
      </c>
      <c r="I381" s="3" t="str">
        <f>IFERROR(__xludf.DUMMYFUNCTION("IFERROR(TRIM(INDEX(SPLIT(E381,"" + ""),2)),"""")"),"Tess1509")</f>
        <v>Tess1509</v>
      </c>
      <c r="J381" s="5" t="str">
        <f>IFERROR(__xludf.DUMMYFUNCTION("IFERROR(TRIM(INDEX(SPLIT(E381,"" + ""),3)),"""")"),"")</f>
        <v/>
      </c>
      <c r="K381" s="3">
        <f>IFERROR(__xludf.DUMMYFUNCTION("IFERROR(IF(H381="""",0,INDEX(FILTER($Q$2:Q380,$C$2:C380=H381,$G$2:G380=G381),ROWS(FILTER($Q$2:Q380,$C$2:C380=H381,$G$2:G380=G381)),1)),1500)"),1527.0)</f>
        <v>1527</v>
      </c>
      <c r="L381" s="3">
        <f>IFERROR(__xludf.DUMMYFUNCTION("IFERROR(IF(I381="""",0,INDEX(FILTER($Q$2:Q380,$C$2:C380=I381,$G$2:G380=G381),ROWS(FILTER($Q$2:Q380,$C$2:C380=I381,$G$2:G380=G381)),1)),1500)"),1366.0)</f>
        <v>1366</v>
      </c>
      <c r="M381" s="3">
        <f>IFERROR(__xludf.DUMMYFUNCTION("IFERROR(IF(J381="""",0,INDEX(FILTER($Q$2:Q380,$C$2:C380=J381,$G$2:G380=G381),ROWS(FILTER($Q$2:Q380,$C$2:C380=J381,$G$2:G380=G381)),1)),1500)"),0.0)</f>
        <v>0</v>
      </c>
      <c r="N381" s="3">
        <f>IFERROR(__xludf.DUMMYFUNCTION("IFERROR(INDEX(FILTER($Q$2:Q380,$C$2:C380=C381,$G$2:G380=G381),ROWS(FILTER($Q$2:Q380,$C$2:C380=C381,$G$2:G380=G381)),1),1500)"),1558.0)</f>
        <v>1558</v>
      </c>
      <c r="O381" s="3">
        <f t="shared" si="3"/>
        <v>1446.5</v>
      </c>
      <c r="P381" s="9">
        <f t="shared" si="1"/>
        <v>11</v>
      </c>
      <c r="Q381" s="5">
        <f t="shared" si="2"/>
        <v>1569</v>
      </c>
    </row>
    <row r="382">
      <c r="A382" s="3" t="str">
        <f>IFERROR(__xludf.DUMMYFUNCTION("""COMPUTED_VALUE"""),"1J_mq63qXxQw59zvUTIXkjMZly4-_uqeX")</f>
        <v>1J_mq63qXxQw59zvUTIXkjMZly4-_uqeX</v>
      </c>
      <c r="B382" s="13">
        <f>IFERROR(__xludf.DUMMYFUNCTION("""COMPUTED_VALUE"""),45976.0)</f>
        <v>45976</v>
      </c>
      <c r="C382" s="3" t="str">
        <f>IFERROR(__xludf.DUMMYFUNCTION("""COMPUTED_VALUE"""),"Kesny")</f>
        <v>Kesny</v>
      </c>
      <c r="D382" s="3" t="str">
        <f>IFERROR(__xludf.DUMMYFUNCTION("""COMPUTED_VALUE"""),"Kesny + Malena")</f>
        <v>Kesny + Malena</v>
      </c>
      <c r="E382" s="3" t="str">
        <f>IFERROR(__xludf.DUMMYFUNCTION("""COMPUTED_VALUE"""),"Aferdita + ZeroO")</f>
        <v>Aferdita + ZeroO</v>
      </c>
      <c r="F382" s="3" t="str">
        <f>IFERROR(__xludf.DUMMYFUNCTION("""COMPUTED_VALUE"""),"win")</f>
        <v>win</v>
      </c>
      <c r="G382" s="3" t="str">
        <f>IFERROR(__xludf.DUMMYFUNCTION("""COMPUTED_VALUE"""),"2v2")</f>
        <v>2v2</v>
      </c>
      <c r="H382" s="3" t="str">
        <f>IFERROR(__xludf.DUMMYFUNCTION("IFERROR(TRIM(INDEX(SPLIT(E382,"" + ""),1)),"""")"),"Aferdita")</f>
        <v>Aferdita</v>
      </c>
      <c r="I382" s="3" t="str">
        <f>IFERROR(__xludf.DUMMYFUNCTION("IFERROR(TRIM(INDEX(SPLIT(E382,"" + ""),2)),"""")"),"ZeroO")</f>
        <v>ZeroO</v>
      </c>
      <c r="J382" s="5" t="str">
        <f>IFERROR(__xludf.DUMMYFUNCTION("IFERROR(TRIM(INDEX(SPLIT(E382,"" + ""),3)),"""")"),"")</f>
        <v/>
      </c>
      <c r="K382" s="3">
        <f>IFERROR(__xludf.DUMMYFUNCTION("IFERROR(IF(H382="""",0,INDEX(FILTER($Q$2:Q381,$C$2:C381=H382,$G$2:G381=G382),ROWS(FILTER($Q$2:Q381,$C$2:C381=H382,$G$2:G381=G382)),1)),1500)"),1500.0)</f>
        <v>1500</v>
      </c>
      <c r="L382" s="3">
        <f>IFERROR(__xludf.DUMMYFUNCTION("IFERROR(IF(I382="""",0,INDEX(FILTER($Q$2:Q381,$C$2:C381=I382,$G$2:G381=G382),ROWS(FILTER($Q$2:Q381,$C$2:C381=I382,$G$2:G381=G382)),1)),1500)"),1569.0)</f>
        <v>1569</v>
      </c>
      <c r="M382" s="3">
        <f>IFERROR(__xludf.DUMMYFUNCTION("IFERROR(IF(J382="""",0,INDEX(FILTER($Q$2:Q381,$C$2:C381=J382,$G$2:G381=G382),ROWS(FILTER($Q$2:Q381,$C$2:C381=J382,$G$2:G381=G382)),1)),1500)"),0.0)</f>
        <v>0</v>
      </c>
      <c r="N382" s="3">
        <f>IFERROR(__xludf.DUMMYFUNCTION("IFERROR(INDEX(FILTER($Q$2:Q381,$C$2:C381=C382,$G$2:G381=G382),ROWS(FILTER($Q$2:Q381,$C$2:C381=C382,$G$2:G381=G382)),1),1500)"),1444.0)</f>
        <v>1444</v>
      </c>
      <c r="O382" s="3">
        <f t="shared" si="3"/>
        <v>1534.5</v>
      </c>
      <c r="P382" s="9">
        <f t="shared" si="1"/>
        <v>20</v>
      </c>
      <c r="Q382" s="5">
        <f t="shared" si="2"/>
        <v>1464</v>
      </c>
    </row>
    <row r="383">
      <c r="A383" s="3" t="str">
        <f>IFERROR(__xludf.DUMMYFUNCTION("""COMPUTED_VALUE"""),"1J_mq63qXxQw59zvUTIXkjMZly4-_uqeX")</f>
        <v>1J_mq63qXxQw59zvUTIXkjMZly4-_uqeX</v>
      </c>
      <c r="B383" s="13">
        <f>IFERROR(__xludf.DUMMYFUNCTION("""COMPUTED_VALUE"""),45976.0)</f>
        <v>45976</v>
      </c>
      <c r="C383" s="3" t="str">
        <f>IFERROR(__xludf.DUMMYFUNCTION("""COMPUTED_VALUE"""),"Malena")</f>
        <v>Malena</v>
      </c>
      <c r="D383" s="3" t="str">
        <f>IFERROR(__xludf.DUMMYFUNCTION("""COMPUTED_VALUE"""),"Kesny + Malena")</f>
        <v>Kesny + Malena</v>
      </c>
      <c r="E383" s="3" t="str">
        <f>IFERROR(__xludf.DUMMYFUNCTION("""COMPUTED_VALUE"""),"Aferdita + ZeroO")</f>
        <v>Aferdita + ZeroO</v>
      </c>
      <c r="F383" s="3" t="str">
        <f>IFERROR(__xludf.DUMMYFUNCTION("""COMPUTED_VALUE"""),"win")</f>
        <v>win</v>
      </c>
      <c r="G383" s="3" t="str">
        <f>IFERROR(__xludf.DUMMYFUNCTION("""COMPUTED_VALUE"""),"2v2")</f>
        <v>2v2</v>
      </c>
      <c r="H383" s="3" t="str">
        <f>IFERROR(__xludf.DUMMYFUNCTION("IFERROR(TRIM(INDEX(SPLIT(E383,"" + ""),1)),"""")"),"Aferdita")</f>
        <v>Aferdita</v>
      </c>
      <c r="I383" s="3" t="str">
        <f>IFERROR(__xludf.DUMMYFUNCTION("IFERROR(TRIM(INDEX(SPLIT(E383,"" + ""),2)),"""")"),"ZeroO")</f>
        <v>ZeroO</v>
      </c>
      <c r="J383" s="5" t="str">
        <f>IFERROR(__xludf.DUMMYFUNCTION("IFERROR(TRIM(INDEX(SPLIT(E383,"" + ""),3)),"""")"),"")</f>
        <v/>
      </c>
      <c r="K383" s="3">
        <f>IFERROR(__xludf.DUMMYFUNCTION("IFERROR(IF(H383="""",0,INDEX(FILTER($Q$2:Q382,$C$2:C382=H383,$G$2:G382=G383),ROWS(FILTER($Q$2:Q382,$C$2:C382=H383,$G$2:G382=G383)),1)),1500)"),1500.0)</f>
        <v>1500</v>
      </c>
      <c r="L383" s="3">
        <f>IFERROR(__xludf.DUMMYFUNCTION("IFERROR(IF(I383="""",0,INDEX(FILTER($Q$2:Q382,$C$2:C382=I383,$G$2:G382=G383),ROWS(FILTER($Q$2:Q382,$C$2:C382=I383,$G$2:G382=G383)),1)),1500)"),1569.0)</f>
        <v>1569</v>
      </c>
      <c r="M383" s="3">
        <f>IFERROR(__xludf.DUMMYFUNCTION("IFERROR(IF(J383="""",0,INDEX(FILTER($Q$2:Q382,$C$2:C382=J383,$G$2:G382=G383),ROWS(FILTER($Q$2:Q382,$C$2:C382=J383,$G$2:G382=G383)),1)),1500)"),0.0)</f>
        <v>0</v>
      </c>
      <c r="N383" s="3">
        <f>IFERROR(__xludf.DUMMYFUNCTION("IFERROR(INDEX(FILTER($Q$2:Q382,$C$2:C382=C383,$G$2:G382=G383),ROWS(FILTER($Q$2:Q382,$C$2:C382=C383,$G$2:G382=G383)),1),1500)"),1527.0)</f>
        <v>1527</v>
      </c>
      <c r="O383" s="3">
        <f t="shared" si="3"/>
        <v>1534.5</v>
      </c>
      <c r="P383" s="9">
        <f t="shared" si="1"/>
        <v>16</v>
      </c>
      <c r="Q383" s="5">
        <f t="shared" si="2"/>
        <v>1543</v>
      </c>
    </row>
    <row r="384">
      <c r="A384" s="3" t="str">
        <f>IFERROR(__xludf.DUMMYFUNCTION("""COMPUTED_VALUE"""),"1J_mq63qXxQw59zvUTIXkjMZly4-_uqeX")</f>
        <v>1J_mq63qXxQw59zvUTIXkjMZly4-_uqeX</v>
      </c>
      <c r="B384" s="13">
        <f>IFERROR(__xludf.DUMMYFUNCTION("""COMPUTED_VALUE"""),45976.0)</f>
        <v>45976</v>
      </c>
      <c r="C384" s="3" t="str">
        <f>IFERROR(__xludf.DUMMYFUNCTION("""COMPUTED_VALUE"""),"ZeroO")</f>
        <v>ZeroO</v>
      </c>
      <c r="D384" s="3" t="str">
        <f>IFERROR(__xludf.DUMMYFUNCTION("""COMPUTED_VALUE"""),"Aferdita + ZeroO")</f>
        <v>Aferdita + ZeroO</v>
      </c>
      <c r="E384" s="3" t="str">
        <f>IFERROR(__xludf.DUMMYFUNCTION("""COMPUTED_VALUE"""),"Kesny + Malena")</f>
        <v>Kesny + Malena</v>
      </c>
      <c r="F384" s="3" t="str">
        <f>IFERROR(__xludf.DUMMYFUNCTION("""COMPUTED_VALUE"""),"loss")</f>
        <v>loss</v>
      </c>
      <c r="G384" s="3" t="str">
        <f>IFERROR(__xludf.DUMMYFUNCTION("""COMPUTED_VALUE"""),"2v2")</f>
        <v>2v2</v>
      </c>
      <c r="H384" s="3" t="str">
        <f>IFERROR(__xludf.DUMMYFUNCTION("IFERROR(TRIM(INDEX(SPLIT(E384,"" + ""),1)),"""")"),"Kesny")</f>
        <v>Kesny</v>
      </c>
      <c r="I384" s="3" t="str">
        <f>IFERROR(__xludf.DUMMYFUNCTION("IFERROR(TRIM(INDEX(SPLIT(E384,"" + ""),2)),"""")"),"Malena")</f>
        <v>Malena</v>
      </c>
      <c r="J384" s="5" t="str">
        <f>IFERROR(__xludf.DUMMYFUNCTION("IFERROR(TRIM(INDEX(SPLIT(E384,"" + ""),3)),"""")"),"")</f>
        <v/>
      </c>
      <c r="K384" s="3">
        <f>IFERROR(__xludf.DUMMYFUNCTION("IFERROR(IF(H384="""",0,INDEX(FILTER($Q$2:Q383,$C$2:C383=H384,$G$2:G383=G384),ROWS(FILTER($Q$2:Q383,$C$2:C383=H384,$G$2:G383=G384)),1)),1500)"),1464.0)</f>
        <v>1464</v>
      </c>
      <c r="L384" s="3">
        <f>IFERROR(__xludf.DUMMYFUNCTION("IFERROR(IF(I384="""",0,INDEX(FILTER($Q$2:Q383,$C$2:C383=I384,$G$2:G383=G384),ROWS(FILTER($Q$2:Q383,$C$2:C383=I384,$G$2:G383=G384)),1)),1500)"),1543.0)</f>
        <v>1543</v>
      </c>
      <c r="M384" s="3">
        <f>IFERROR(__xludf.DUMMYFUNCTION("IFERROR(IF(J384="""",0,INDEX(FILTER($Q$2:Q383,$C$2:C383=J384,$G$2:G383=G384),ROWS(FILTER($Q$2:Q383,$C$2:C383=J384,$G$2:G383=G384)),1)),1500)"),0.0)</f>
        <v>0</v>
      </c>
      <c r="N384" s="3">
        <f>IFERROR(__xludf.DUMMYFUNCTION("IFERROR(INDEX(FILTER($Q$2:Q383,$C$2:C383=C384,$G$2:G383=G384),ROWS(FILTER($Q$2:Q383,$C$2:C383=C384,$G$2:G383=G384)),1),1500)"),1569.0)</f>
        <v>1569</v>
      </c>
      <c r="O384" s="3">
        <f t="shared" si="3"/>
        <v>1503.5</v>
      </c>
      <c r="P384" s="9">
        <f t="shared" si="1"/>
        <v>-19</v>
      </c>
      <c r="Q384" s="5">
        <f t="shared" si="2"/>
        <v>1550</v>
      </c>
    </row>
    <row r="385">
      <c r="A385" s="3" t="str">
        <f>IFERROR(__xludf.DUMMYFUNCTION("""COMPUTED_VALUE"""),"1J_mq63qXxQw59zvUTIXkjMZly4-_uqeX")</f>
        <v>1J_mq63qXxQw59zvUTIXkjMZly4-_uqeX</v>
      </c>
      <c r="B385" s="13">
        <f>IFERROR(__xludf.DUMMYFUNCTION("""COMPUTED_VALUE"""),45976.0)</f>
        <v>45976</v>
      </c>
      <c r="C385" s="3" t="str">
        <f>IFERROR(__xludf.DUMMYFUNCTION("""COMPUTED_VALUE"""),"Aferdita")</f>
        <v>Aferdita</v>
      </c>
      <c r="D385" s="3" t="str">
        <f>IFERROR(__xludf.DUMMYFUNCTION("""COMPUTED_VALUE"""),"Aferdita + ZeroO")</f>
        <v>Aferdita + ZeroO</v>
      </c>
      <c r="E385" s="3" t="str">
        <f>IFERROR(__xludf.DUMMYFUNCTION("""COMPUTED_VALUE"""),"Kesny + Malena")</f>
        <v>Kesny + Malena</v>
      </c>
      <c r="F385" s="3" t="str">
        <f>IFERROR(__xludf.DUMMYFUNCTION("""COMPUTED_VALUE"""),"loss")</f>
        <v>loss</v>
      </c>
      <c r="G385" s="3" t="str">
        <f>IFERROR(__xludf.DUMMYFUNCTION("""COMPUTED_VALUE"""),"2v2")</f>
        <v>2v2</v>
      </c>
      <c r="H385" s="3" t="str">
        <f>IFERROR(__xludf.DUMMYFUNCTION("IFERROR(TRIM(INDEX(SPLIT(E385,"" + ""),1)),"""")"),"Kesny")</f>
        <v>Kesny</v>
      </c>
      <c r="I385" s="3" t="str">
        <f>IFERROR(__xludf.DUMMYFUNCTION("IFERROR(TRIM(INDEX(SPLIT(E385,"" + ""),2)),"""")"),"Malena")</f>
        <v>Malena</v>
      </c>
      <c r="J385" s="5" t="str">
        <f>IFERROR(__xludf.DUMMYFUNCTION("IFERROR(TRIM(INDEX(SPLIT(E385,"" + ""),3)),"""")"),"")</f>
        <v/>
      </c>
      <c r="K385" s="3">
        <f>IFERROR(__xludf.DUMMYFUNCTION("IFERROR(IF(H385="""",0,INDEX(FILTER($Q$2:Q384,$C$2:C384=H385,$G$2:G384=G385),ROWS(FILTER($Q$2:Q384,$C$2:C384=H385,$G$2:G384=G385)),1)),1500)"),1464.0)</f>
        <v>1464</v>
      </c>
      <c r="L385" s="3">
        <f>IFERROR(__xludf.DUMMYFUNCTION("IFERROR(IF(I385="""",0,INDEX(FILTER($Q$2:Q384,$C$2:C384=I385,$G$2:G384=G385),ROWS(FILTER($Q$2:Q384,$C$2:C384=I385,$G$2:G384=G385)),1)),1500)"),1543.0)</f>
        <v>1543</v>
      </c>
      <c r="M385" s="3">
        <f>IFERROR(__xludf.DUMMYFUNCTION("IFERROR(IF(J385="""",0,INDEX(FILTER($Q$2:Q384,$C$2:C384=J385,$G$2:G384=G385),ROWS(FILTER($Q$2:Q384,$C$2:C384=J385,$G$2:G384=G385)),1)),1500)"),0.0)</f>
        <v>0</v>
      </c>
      <c r="N385" s="3">
        <f>IFERROR(__xludf.DUMMYFUNCTION("IFERROR(INDEX(FILTER($Q$2:Q384,$C$2:C384=C385,$G$2:G384=G385),ROWS(FILTER($Q$2:Q384,$C$2:C384=C385,$G$2:G384=G385)),1),1500)"),1500.0)</f>
        <v>1500</v>
      </c>
      <c r="O385" s="3">
        <f t="shared" si="3"/>
        <v>1503.5</v>
      </c>
      <c r="P385" s="9">
        <f t="shared" si="1"/>
        <v>-16</v>
      </c>
      <c r="Q385" s="5">
        <f t="shared" si="2"/>
        <v>1484</v>
      </c>
    </row>
    <row r="386">
      <c r="A386" s="3" t="str">
        <f>IFERROR(__xludf.DUMMYFUNCTION("""COMPUTED_VALUE"""),"1MnaL6th1vSB9WTlvQ0FLx8j4lBUVS0T9")</f>
        <v>1MnaL6th1vSB9WTlvQ0FLx8j4lBUVS0T9</v>
      </c>
      <c r="B386" s="13">
        <f>IFERROR(__xludf.DUMMYFUNCTION("""COMPUTED_VALUE"""),45976.0)</f>
        <v>45976</v>
      </c>
      <c r="C386" s="3" t="str">
        <f>IFERROR(__xludf.DUMMYFUNCTION("""COMPUTED_VALUE"""),"Malena")</f>
        <v>Malena</v>
      </c>
      <c r="D386" s="3" t="str">
        <f>IFERROR(__xludf.DUMMYFUNCTION("""COMPUTED_VALUE"""),"Aferdita + Malena")</f>
        <v>Aferdita + Malena</v>
      </c>
      <c r="E386" s="3" t="str">
        <f>IFERROR(__xludf.DUMMYFUNCTION("""COMPUTED_VALUE"""),"Kesny + ZeroO")</f>
        <v>Kesny + ZeroO</v>
      </c>
      <c r="F386" s="3" t="str">
        <f>IFERROR(__xludf.DUMMYFUNCTION("""COMPUTED_VALUE"""),"win")</f>
        <v>win</v>
      </c>
      <c r="G386" s="3" t="str">
        <f>IFERROR(__xludf.DUMMYFUNCTION("""COMPUTED_VALUE"""),"2v2")</f>
        <v>2v2</v>
      </c>
      <c r="H386" s="3" t="str">
        <f>IFERROR(__xludf.DUMMYFUNCTION("IFERROR(TRIM(INDEX(SPLIT(E386,"" + ""),1)),"""")"),"Kesny")</f>
        <v>Kesny</v>
      </c>
      <c r="I386" s="3" t="str">
        <f>IFERROR(__xludf.DUMMYFUNCTION("IFERROR(TRIM(INDEX(SPLIT(E386,"" + ""),2)),"""")"),"ZeroO")</f>
        <v>ZeroO</v>
      </c>
      <c r="J386" s="5" t="str">
        <f>IFERROR(__xludf.DUMMYFUNCTION("IFERROR(TRIM(INDEX(SPLIT(E386,"" + ""),3)),"""")"),"")</f>
        <v/>
      </c>
      <c r="K386" s="3">
        <f>IFERROR(__xludf.DUMMYFUNCTION("IFERROR(IF(H386="""",0,INDEX(FILTER($Q$2:Q385,$C$2:C385=H386,$G$2:G385=G386),ROWS(FILTER($Q$2:Q385,$C$2:C385=H386,$G$2:G385=G386)),1)),1500)"),1464.0)</f>
        <v>1464</v>
      </c>
      <c r="L386" s="3">
        <f>IFERROR(__xludf.DUMMYFUNCTION("IFERROR(IF(I386="""",0,INDEX(FILTER($Q$2:Q385,$C$2:C385=I386,$G$2:G385=G386),ROWS(FILTER($Q$2:Q385,$C$2:C385=I386,$G$2:G385=G386)),1)),1500)"),1550.0)</f>
        <v>1550</v>
      </c>
      <c r="M386" s="3">
        <f>IFERROR(__xludf.DUMMYFUNCTION("IFERROR(IF(J386="""",0,INDEX(FILTER($Q$2:Q385,$C$2:C385=J386,$G$2:G385=G386),ROWS(FILTER($Q$2:Q385,$C$2:C385=J386,$G$2:G385=G386)),1)),1500)"),0.0)</f>
        <v>0</v>
      </c>
      <c r="N386" s="3">
        <f>IFERROR(__xludf.DUMMYFUNCTION("IFERROR(INDEX(FILTER($Q$2:Q385,$C$2:C385=C386,$G$2:G385=G386),ROWS(FILTER($Q$2:Q385,$C$2:C385=C386,$G$2:G385=G386)),1),1500)"),1543.0)</f>
        <v>1543</v>
      </c>
      <c r="O386" s="3">
        <f t="shared" si="3"/>
        <v>1507</v>
      </c>
      <c r="P386" s="9">
        <f t="shared" si="1"/>
        <v>14</v>
      </c>
      <c r="Q386" s="5">
        <f t="shared" si="2"/>
        <v>1557</v>
      </c>
    </row>
    <row r="387">
      <c r="A387" s="3" t="str">
        <f>IFERROR(__xludf.DUMMYFUNCTION("""COMPUTED_VALUE"""),"1MnaL6th1vSB9WTlvQ0FLx8j4lBUVS0T9")</f>
        <v>1MnaL6th1vSB9WTlvQ0FLx8j4lBUVS0T9</v>
      </c>
      <c r="B387" s="13">
        <f>IFERROR(__xludf.DUMMYFUNCTION("""COMPUTED_VALUE"""),45976.0)</f>
        <v>45976</v>
      </c>
      <c r="C387" s="3" t="str">
        <f>IFERROR(__xludf.DUMMYFUNCTION("""COMPUTED_VALUE"""),"Aferdita")</f>
        <v>Aferdita</v>
      </c>
      <c r="D387" s="3" t="str">
        <f>IFERROR(__xludf.DUMMYFUNCTION("""COMPUTED_VALUE"""),"Aferdita + Malena")</f>
        <v>Aferdita + Malena</v>
      </c>
      <c r="E387" s="3" t="str">
        <f>IFERROR(__xludf.DUMMYFUNCTION("""COMPUTED_VALUE"""),"Kesny + ZeroO")</f>
        <v>Kesny + ZeroO</v>
      </c>
      <c r="F387" s="3" t="str">
        <f>IFERROR(__xludf.DUMMYFUNCTION("""COMPUTED_VALUE"""),"win")</f>
        <v>win</v>
      </c>
      <c r="G387" s="3" t="str">
        <f>IFERROR(__xludf.DUMMYFUNCTION("""COMPUTED_VALUE"""),"2v2")</f>
        <v>2v2</v>
      </c>
      <c r="H387" s="3" t="str">
        <f>IFERROR(__xludf.DUMMYFUNCTION("IFERROR(TRIM(INDEX(SPLIT(E387,"" + ""),1)),"""")"),"Kesny")</f>
        <v>Kesny</v>
      </c>
      <c r="I387" s="3" t="str">
        <f>IFERROR(__xludf.DUMMYFUNCTION("IFERROR(TRIM(INDEX(SPLIT(E387,"" + ""),2)),"""")"),"ZeroO")</f>
        <v>ZeroO</v>
      </c>
      <c r="J387" s="5" t="str">
        <f>IFERROR(__xludf.DUMMYFUNCTION("IFERROR(TRIM(INDEX(SPLIT(E387,"" + ""),3)),"""")"),"")</f>
        <v/>
      </c>
      <c r="K387" s="3">
        <f>IFERROR(__xludf.DUMMYFUNCTION("IFERROR(IF(H387="""",0,INDEX(FILTER($Q$2:Q386,$C$2:C386=H387,$G$2:G386=G387),ROWS(FILTER($Q$2:Q386,$C$2:C386=H387,$G$2:G386=G387)),1)),1500)"),1464.0)</f>
        <v>1464</v>
      </c>
      <c r="L387" s="3">
        <f>IFERROR(__xludf.DUMMYFUNCTION("IFERROR(IF(I387="""",0,INDEX(FILTER($Q$2:Q386,$C$2:C386=I387,$G$2:G386=G387),ROWS(FILTER($Q$2:Q386,$C$2:C386=I387,$G$2:G386=G387)),1)),1500)"),1550.0)</f>
        <v>1550</v>
      </c>
      <c r="M387" s="3">
        <f>IFERROR(__xludf.DUMMYFUNCTION("IFERROR(IF(J387="""",0,INDEX(FILTER($Q$2:Q386,$C$2:C386=J387,$G$2:G386=G387),ROWS(FILTER($Q$2:Q386,$C$2:C386=J387,$G$2:G386=G387)),1)),1500)"),0.0)</f>
        <v>0</v>
      </c>
      <c r="N387" s="3">
        <f>IFERROR(__xludf.DUMMYFUNCTION("IFERROR(INDEX(FILTER($Q$2:Q386,$C$2:C386=C387,$G$2:G386=G387),ROWS(FILTER($Q$2:Q386,$C$2:C386=C387,$G$2:G386=G387)),1),1500)"),1484.0)</f>
        <v>1484</v>
      </c>
      <c r="O387" s="3">
        <f t="shared" si="3"/>
        <v>1507</v>
      </c>
      <c r="P387" s="9">
        <f t="shared" si="1"/>
        <v>17</v>
      </c>
      <c r="Q387" s="5">
        <f t="shared" si="2"/>
        <v>1501</v>
      </c>
    </row>
    <row r="388">
      <c r="A388" s="3" t="str">
        <f>IFERROR(__xludf.DUMMYFUNCTION("""COMPUTED_VALUE"""),"1MnaL6th1vSB9WTlvQ0FLx8j4lBUVS0T9")</f>
        <v>1MnaL6th1vSB9WTlvQ0FLx8j4lBUVS0T9</v>
      </c>
      <c r="B388" s="13">
        <f>IFERROR(__xludf.DUMMYFUNCTION("""COMPUTED_VALUE"""),45976.0)</f>
        <v>45976</v>
      </c>
      <c r="C388" s="3" t="str">
        <f>IFERROR(__xludf.DUMMYFUNCTION("""COMPUTED_VALUE"""),"ZeroO")</f>
        <v>ZeroO</v>
      </c>
      <c r="D388" s="3" t="str">
        <f>IFERROR(__xludf.DUMMYFUNCTION("""COMPUTED_VALUE"""),"Kesny + ZeroO")</f>
        <v>Kesny + ZeroO</v>
      </c>
      <c r="E388" s="3" t="str">
        <f>IFERROR(__xludf.DUMMYFUNCTION("""COMPUTED_VALUE"""),"Aferdita + Malena")</f>
        <v>Aferdita + Malena</v>
      </c>
      <c r="F388" s="3" t="str">
        <f>IFERROR(__xludf.DUMMYFUNCTION("""COMPUTED_VALUE"""),"loss")</f>
        <v>loss</v>
      </c>
      <c r="G388" s="3" t="str">
        <f>IFERROR(__xludf.DUMMYFUNCTION("""COMPUTED_VALUE"""),"2v2")</f>
        <v>2v2</v>
      </c>
      <c r="H388" s="3" t="str">
        <f>IFERROR(__xludf.DUMMYFUNCTION("IFERROR(TRIM(INDEX(SPLIT(E388,"" + ""),1)),"""")"),"Aferdita")</f>
        <v>Aferdita</v>
      </c>
      <c r="I388" s="3" t="str">
        <f>IFERROR(__xludf.DUMMYFUNCTION("IFERROR(TRIM(INDEX(SPLIT(E388,"" + ""),2)),"""")"),"Malena")</f>
        <v>Malena</v>
      </c>
      <c r="J388" s="5" t="str">
        <f>IFERROR(__xludf.DUMMYFUNCTION("IFERROR(TRIM(INDEX(SPLIT(E388,"" + ""),3)),"""")"),"")</f>
        <v/>
      </c>
      <c r="K388" s="3">
        <f>IFERROR(__xludf.DUMMYFUNCTION("IFERROR(IF(H388="""",0,INDEX(FILTER($Q$2:Q387,$C$2:C387=H388,$G$2:G387=G388),ROWS(FILTER($Q$2:Q387,$C$2:C387=H388,$G$2:G387=G388)),1)),1500)"),1501.0)</f>
        <v>1501</v>
      </c>
      <c r="L388" s="3">
        <f>IFERROR(__xludf.DUMMYFUNCTION("IFERROR(IF(I388="""",0,INDEX(FILTER($Q$2:Q387,$C$2:C387=I388,$G$2:G387=G388),ROWS(FILTER($Q$2:Q387,$C$2:C387=I388,$G$2:G387=G388)),1)),1500)"),1557.0)</f>
        <v>1557</v>
      </c>
      <c r="M388" s="3">
        <f>IFERROR(__xludf.DUMMYFUNCTION("IFERROR(IF(J388="""",0,INDEX(FILTER($Q$2:Q387,$C$2:C387=J388,$G$2:G387=G388),ROWS(FILTER($Q$2:Q387,$C$2:C387=J388,$G$2:G387=G388)),1)),1500)"),0.0)</f>
        <v>0</v>
      </c>
      <c r="N388" s="3">
        <f>IFERROR(__xludf.DUMMYFUNCTION("IFERROR(INDEX(FILTER($Q$2:Q387,$C$2:C387=C388,$G$2:G387=G388),ROWS(FILTER($Q$2:Q387,$C$2:C387=C388,$G$2:G387=G388)),1),1500)"),1550.0)</f>
        <v>1550</v>
      </c>
      <c r="O388" s="3">
        <f t="shared" si="3"/>
        <v>1529</v>
      </c>
      <c r="P388" s="9">
        <f t="shared" si="1"/>
        <v>-17</v>
      </c>
      <c r="Q388" s="5">
        <f t="shared" si="2"/>
        <v>1533</v>
      </c>
    </row>
    <row r="389">
      <c r="A389" s="3" t="str">
        <f>IFERROR(__xludf.DUMMYFUNCTION("""COMPUTED_VALUE"""),"1MnaL6th1vSB9WTlvQ0FLx8j4lBUVS0T9")</f>
        <v>1MnaL6th1vSB9WTlvQ0FLx8j4lBUVS0T9</v>
      </c>
      <c r="B389" s="13">
        <f>IFERROR(__xludf.DUMMYFUNCTION("""COMPUTED_VALUE"""),45976.0)</f>
        <v>45976</v>
      </c>
      <c r="C389" s="3" t="str">
        <f>IFERROR(__xludf.DUMMYFUNCTION("""COMPUTED_VALUE"""),"Kesny")</f>
        <v>Kesny</v>
      </c>
      <c r="D389" s="3" t="str">
        <f>IFERROR(__xludf.DUMMYFUNCTION("""COMPUTED_VALUE"""),"Kesny + ZeroO")</f>
        <v>Kesny + ZeroO</v>
      </c>
      <c r="E389" s="3" t="str">
        <f>IFERROR(__xludf.DUMMYFUNCTION("""COMPUTED_VALUE"""),"Aferdita + Malena")</f>
        <v>Aferdita + Malena</v>
      </c>
      <c r="F389" s="3" t="str">
        <f>IFERROR(__xludf.DUMMYFUNCTION("""COMPUTED_VALUE"""),"loss")</f>
        <v>loss</v>
      </c>
      <c r="G389" s="3" t="str">
        <f>IFERROR(__xludf.DUMMYFUNCTION("""COMPUTED_VALUE"""),"2v2")</f>
        <v>2v2</v>
      </c>
      <c r="H389" s="3" t="str">
        <f>IFERROR(__xludf.DUMMYFUNCTION("IFERROR(TRIM(INDEX(SPLIT(E389,"" + ""),1)),"""")"),"Aferdita")</f>
        <v>Aferdita</v>
      </c>
      <c r="I389" s="3" t="str">
        <f>IFERROR(__xludf.DUMMYFUNCTION("IFERROR(TRIM(INDEX(SPLIT(E389,"" + ""),2)),"""")"),"Malena")</f>
        <v>Malena</v>
      </c>
      <c r="J389" s="5" t="str">
        <f>IFERROR(__xludf.DUMMYFUNCTION("IFERROR(TRIM(INDEX(SPLIT(E389,"" + ""),3)),"""")"),"")</f>
        <v/>
      </c>
      <c r="K389" s="3">
        <f>IFERROR(__xludf.DUMMYFUNCTION("IFERROR(IF(H389="""",0,INDEX(FILTER($Q$2:Q388,$C$2:C388=H389,$G$2:G388=G389),ROWS(FILTER($Q$2:Q388,$C$2:C388=H389,$G$2:G388=G389)),1)),1500)"),1501.0)</f>
        <v>1501</v>
      </c>
      <c r="L389" s="3">
        <f>IFERROR(__xludf.DUMMYFUNCTION("IFERROR(IF(I389="""",0,INDEX(FILTER($Q$2:Q388,$C$2:C388=I389,$G$2:G388=G389),ROWS(FILTER($Q$2:Q388,$C$2:C388=I389,$G$2:G388=G389)),1)),1500)"),1557.0)</f>
        <v>1557</v>
      </c>
      <c r="M389" s="3">
        <f>IFERROR(__xludf.DUMMYFUNCTION("IFERROR(IF(J389="""",0,INDEX(FILTER($Q$2:Q388,$C$2:C388=J389,$G$2:G388=G389),ROWS(FILTER($Q$2:Q388,$C$2:C388=J389,$G$2:G388=G389)),1)),1500)"),0.0)</f>
        <v>0</v>
      </c>
      <c r="N389" s="3">
        <f>IFERROR(__xludf.DUMMYFUNCTION("IFERROR(INDEX(FILTER($Q$2:Q388,$C$2:C388=C389,$G$2:G388=G389),ROWS(FILTER($Q$2:Q388,$C$2:C388=C389,$G$2:G388=G389)),1),1500)"),1464.0)</f>
        <v>1464</v>
      </c>
      <c r="O389" s="3">
        <f t="shared" si="3"/>
        <v>1529</v>
      </c>
      <c r="P389" s="9">
        <f t="shared" si="1"/>
        <v>-13</v>
      </c>
      <c r="Q389" s="5">
        <f t="shared" si="2"/>
        <v>1451</v>
      </c>
    </row>
    <row r="390">
      <c r="A390" s="3" t="str">
        <f>IFERROR(__xludf.DUMMYFUNCTION("""COMPUTED_VALUE"""),"1BDru1pSa6KTg0uetwaouhnjoCw8zB9Rx")</f>
        <v>1BDru1pSa6KTg0uetwaouhnjoCw8zB9Rx</v>
      </c>
      <c r="B390" s="13">
        <f>IFERROR(__xludf.DUMMYFUNCTION("""COMPUTED_VALUE"""),45976.0)</f>
        <v>45976</v>
      </c>
      <c r="C390" s="3" t="str">
        <f>IFERROR(__xludf.DUMMYFUNCTION("""COMPUTED_VALUE"""),"Kesny")</f>
        <v>Kesny</v>
      </c>
      <c r="D390" s="3" t="str">
        <f>IFERROR(__xludf.DUMMYFUNCTION("""COMPUTED_VALUE"""),"Aferdita + Kesny")</f>
        <v>Aferdita + Kesny</v>
      </c>
      <c r="E390" s="3" t="str">
        <f>IFERROR(__xludf.DUMMYFUNCTION("""COMPUTED_VALUE"""),"Malena + ZeroO")</f>
        <v>Malena + ZeroO</v>
      </c>
      <c r="F390" s="3" t="str">
        <f>IFERROR(__xludf.DUMMYFUNCTION("""COMPUTED_VALUE"""),"loss")</f>
        <v>loss</v>
      </c>
      <c r="G390" s="3" t="str">
        <f>IFERROR(__xludf.DUMMYFUNCTION("""COMPUTED_VALUE"""),"2v2")</f>
        <v>2v2</v>
      </c>
      <c r="H390" s="3" t="str">
        <f>IFERROR(__xludf.DUMMYFUNCTION("IFERROR(TRIM(INDEX(SPLIT(E390,"" + ""),1)),"""")"),"Malena")</f>
        <v>Malena</v>
      </c>
      <c r="I390" s="3" t="str">
        <f>IFERROR(__xludf.DUMMYFUNCTION("IFERROR(TRIM(INDEX(SPLIT(E390,"" + ""),2)),"""")"),"ZeroO")</f>
        <v>ZeroO</v>
      </c>
      <c r="J390" s="5" t="str">
        <f>IFERROR(__xludf.DUMMYFUNCTION("IFERROR(TRIM(INDEX(SPLIT(E390,"" + ""),3)),"""")"),"")</f>
        <v/>
      </c>
      <c r="K390" s="3">
        <f>IFERROR(__xludf.DUMMYFUNCTION("IFERROR(IF(H390="""",0,INDEX(FILTER($Q$2:Q389,$C$2:C389=H390,$G$2:G389=G390),ROWS(FILTER($Q$2:Q389,$C$2:C389=H390,$G$2:G389=G390)),1)),1500)"),1557.0)</f>
        <v>1557</v>
      </c>
      <c r="L390" s="3">
        <f>IFERROR(__xludf.DUMMYFUNCTION("IFERROR(IF(I390="""",0,INDEX(FILTER($Q$2:Q389,$C$2:C389=I390,$G$2:G389=G390),ROWS(FILTER($Q$2:Q389,$C$2:C389=I390,$G$2:G389=G390)),1)),1500)"),1533.0)</f>
        <v>1533</v>
      </c>
      <c r="M390" s="3">
        <f>IFERROR(__xludf.DUMMYFUNCTION("IFERROR(IF(J390="""",0,INDEX(FILTER($Q$2:Q389,$C$2:C389=J390,$G$2:G389=G390),ROWS(FILTER($Q$2:Q389,$C$2:C389=J390,$G$2:G389=G390)),1)),1500)"),0.0)</f>
        <v>0</v>
      </c>
      <c r="N390" s="3">
        <f>IFERROR(__xludf.DUMMYFUNCTION("IFERROR(INDEX(FILTER($Q$2:Q389,$C$2:C389=C390,$G$2:G389=G390),ROWS(FILTER($Q$2:Q389,$C$2:C389=C390,$G$2:G389=G390)),1),1500)"),1451.0)</f>
        <v>1451</v>
      </c>
      <c r="O390" s="3">
        <f t="shared" si="3"/>
        <v>1545</v>
      </c>
      <c r="P390" s="9">
        <f t="shared" si="1"/>
        <v>-12</v>
      </c>
      <c r="Q390" s="5">
        <f t="shared" si="2"/>
        <v>1439</v>
      </c>
    </row>
    <row r="391">
      <c r="A391" s="3" t="str">
        <f>IFERROR(__xludf.DUMMYFUNCTION("""COMPUTED_VALUE"""),"1BDru1pSa6KTg0uetwaouhnjoCw8zB9Rx")</f>
        <v>1BDru1pSa6KTg0uetwaouhnjoCw8zB9Rx</v>
      </c>
      <c r="B391" s="13">
        <f>IFERROR(__xludf.DUMMYFUNCTION("""COMPUTED_VALUE"""),45976.0)</f>
        <v>45976</v>
      </c>
      <c r="C391" s="3" t="str">
        <f>IFERROR(__xludf.DUMMYFUNCTION("""COMPUTED_VALUE"""),"Aferdita")</f>
        <v>Aferdita</v>
      </c>
      <c r="D391" s="3" t="str">
        <f>IFERROR(__xludf.DUMMYFUNCTION("""COMPUTED_VALUE"""),"Aferdita + Kesny")</f>
        <v>Aferdita + Kesny</v>
      </c>
      <c r="E391" s="3" t="str">
        <f>IFERROR(__xludf.DUMMYFUNCTION("""COMPUTED_VALUE"""),"Malena + ZeroO")</f>
        <v>Malena + ZeroO</v>
      </c>
      <c r="F391" s="3" t="str">
        <f>IFERROR(__xludf.DUMMYFUNCTION("""COMPUTED_VALUE"""),"loss")</f>
        <v>loss</v>
      </c>
      <c r="G391" s="3" t="str">
        <f>IFERROR(__xludf.DUMMYFUNCTION("""COMPUTED_VALUE"""),"2v2")</f>
        <v>2v2</v>
      </c>
      <c r="H391" s="3" t="str">
        <f>IFERROR(__xludf.DUMMYFUNCTION("IFERROR(TRIM(INDEX(SPLIT(E391,"" + ""),1)),"""")"),"Malena")</f>
        <v>Malena</v>
      </c>
      <c r="I391" s="3" t="str">
        <f>IFERROR(__xludf.DUMMYFUNCTION("IFERROR(TRIM(INDEX(SPLIT(E391,"" + ""),2)),"""")"),"ZeroO")</f>
        <v>ZeroO</v>
      </c>
      <c r="J391" s="5" t="str">
        <f>IFERROR(__xludf.DUMMYFUNCTION("IFERROR(TRIM(INDEX(SPLIT(E391,"" + ""),3)),"""")"),"")</f>
        <v/>
      </c>
      <c r="K391" s="3">
        <f>IFERROR(__xludf.DUMMYFUNCTION("IFERROR(IF(H391="""",0,INDEX(FILTER($Q$2:Q390,$C$2:C390=H391,$G$2:G390=G391),ROWS(FILTER($Q$2:Q390,$C$2:C390=H391,$G$2:G390=G391)),1)),1500)"),1557.0)</f>
        <v>1557</v>
      </c>
      <c r="L391" s="3">
        <f>IFERROR(__xludf.DUMMYFUNCTION("IFERROR(IF(I391="""",0,INDEX(FILTER($Q$2:Q390,$C$2:C390=I391,$G$2:G390=G391),ROWS(FILTER($Q$2:Q390,$C$2:C390=I391,$G$2:G390=G391)),1)),1500)"),1533.0)</f>
        <v>1533</v>
      </c>
      <c r="M391" s="3">
        <f>IFERROR(__xludf.DUMMYFUNCTION("IFERROR(IF(J391="""",0,INDEX(FILTER($Q$2:Q390,$C$2:C390=J391,$G$2:G390=G391),ROWS(FILTER($Q$2:Q390,$C$2:C390=J391,$G$2:G390=G391)),1)),1500)"),0.0)</f>
        <v>0</v>
      </c>
      <c r="N391" s="3">
        <f>IFERROR(__xludf.DUMMYFUNCTION("IFERROR(INDEX(FILTER($Q$2:Q390,$C$2:C390=C391,$G$2:G390=G391),ROWS(FILTER($Q$2:Q390,$C$2:C390=C391,$G$2:G390=G391)),1),1500)"),1501.0)</f>
        <v>1501</v>
      </c>
      <c r="O391" s="3">
        <f t="shared" si="3"/>
        <v>1545</v>
      </c>
      <c r="P391" s="9">
        <f t="shared" si="1"/>
        <v>-14</v>
      </c>
      <c r="Q391" s="5">
        <f t="shared" si="2"/>
        <v>1487</v>
      </c>
    </row>
    <row r="392">
      <c r="A392" s="3" t="str">
        <f>IFERROR(__xludf.DUMMYFUNCTION("""COMPUTED_VALUE"""),"1BDru1pSa6KTg0uetwaouhnjoCw8zB9Rx")</f>
        <v>1BDru1pSa6KTg0uetwaouhnjoCw8zB9Rx</v>
      </c>
      <c r="B392" s="13">
        <f>IFERROR(__xludf.DUMMYFUNCTION("""COMPUTED_VALUE"""),45976.0)</f>
        <v>45976</v>
      </c>
      <c r="C392" s="3" t="str">
        <f>IFERROR(__xludf.DUMMYFUNCTION("""COMPUTED_VALUE"""),"Malena")</f>
        <v>Malena</v>
      </c>
      <c r="D392" s="3" t="str">
        <f>IFERROR(__xludf.DUMMYFUNCTION("""COMPUTED_VALUE"""),"Malena + ZeroO")</f>
        <v>Malena + ZeroO</v>
      </c>
      <c r="E392" s="3" t="str">
        <f>IFERROR(__xludf.DUMMYFUNCTION("""COMPUTED_VALUE"""),"Aferdita + Kesny")</f>
        <v>Aferdita + Kesny</v>
      </c>
      <c r="F392" s="3" t="str">
        <f>IFERROR(__xludf.DUMMYFUNCTION("""COMPUTED_VALUE"""),"win")</f>
        <v>win</v>
      </c>
      <c r="G392" s="3" t="str">
        <f>IFERROR(__xludf.DUMMYFUNCTION("""COMPUTED_VALUE"""),"2v2")</f>
        <v>2v2</v>
      </c>
      <c r="H392" s="3" t="str">
        <f>IFERROR(__xludf.DUMMYFUNCTION("IFERROR(TRIM(INDEX(SPLIT(E392,"" + ""),1)),"""")"),"Aferdita")</f>
        <v>Aferdita</v>
      </c>
      <c r="I392" s="3" t="str">
        <f>IFERROR(__xludf.DUMMYFUNCTION("IFERROR(TRIM(INDEX(SPLIT(E392,"" + ""),2)),"""")"),"Kesny")</f>
        <v>Kesny</v>
      </c>
      <c r="J392" s="5" t="str">
        <f>IFERROR(__xludf.DUMMYFUNCTION("IFERROR(TRIM(INDEX(SPLIT(E392,"" + ""),3)),"""")"),"")</f>
        <v/>
      </c>
      <c r="K392" s="3">
        <f>IFERROR(__xludf.DUMMYFUNCTION("IFERROR(IF(H392="""",0,INDEX(FILTER($Q$2:Q391,$C$2:C391=H392,$G$2:G391=G392),ROWS(FILTER($Q$2:Q391,$C$2:C391=H392,$G$2:G391=G392)),1)),1500)"),1487.0)</f>
        <v>1487</v>
      </c>
      <c r="L392" s="3">
        <f>IFERROR(__xludf.DUMMYFUNCTION("IFERROR(IF(I392="""",0,INDEX(FILTER($Q$2:Q391,$C$2:C391=I392,$G$2:G391=G392),ROWS(FILTER($Q$2:Q391,$C$2:C391=I392,$G$2:G391=G392)),1)),1500)"),1439.0)</f>
        <v>1439</v>
      </c>
      <c r="M392" s="3">
        <f>IFERROR(__xludf.DUMMYFUNCTION("IFERROR(IF(J392="""",0,INDEX(FILTER($Q$2:Q391,$C$2:C391=J392,$G$2:G391=G392),ROWS(FILTER($Q$2:Q391,$C$2:C391=J392,$G$2:G391=G392)),1)),1500)"),0.0)</f>
        <v>0</v>
      </c>
      <c r="N392" s="3">
        <f>IFERROR(__xludf.DUMMYFUNCTION("IFERROR(INDEX(FILTER($Q$2:Q391,$C$2:C391=C392,$G$2:G391=G392),ROWS(FILTER($Q$2:Q391,$C$2:C391=C392,$G$2:G391=G392)),1),1500)"),1557.0)</f>
        <v>1557</v>
      </c>
      <c r="O392" s="3">
        <f t="shared" si="3"/>
        <v>1463</v>
      </c>
      <c r="P392" s="9">
        <f t="shared" si="1"/>
        <v>12</v>
      </c>
      <c r="Q392" s="5">
        <f t="shared" si="2"/>
        <v>1569</v>
      </c>
    </row>
    <row r="393">
      <c r="A393" s="3" t="str">
        <f>IFERROR(__xludf.DUMMYFUNCTION("""COMPUTED_VALUE"""),"1BDru1pSa6KTg0uetwaouhnjoCw8zB9Rx")</f>
        <v>1BDru1pSa6KTg0uetwaouhnjoCw8zB9Rx</v>
      </c>
      <c r="B393" s="13">
        <f>IFERROR(__xludf.DUMMYFUNCTION("""COMPUTED_VALUE"""),45976.0)</f>
        <v>45976</v>
      </c>
      <c r="C393" s="3" t="str">
        <f>IFERROR(__xludf.DUMMYFUNCTION("""COMPUTED_VALUE"""),"ZeroO")</f>
        <v>ZeroO</v>
      </c>
      <c r="D393" s="3" t="str">
        <f>IFERROR(__xludf.DUMMYFUNCTION("""COMPUTED_VALUE"""),"Malena + ZeroO")</f>
        <v>Malena + ZeroO</v>
      </c>
      <c r="E393" s="3" t="str">
        <f>IFERROR(__xludf.DUMMYFUNCTION("""COMPUTED_VALUE"""),"Aferdita + Kesny")</f>
        <v>Aferdita + Kesny</v>
      </c>
      <c r="F393" s="3" t="str">
        <f>IFERROR(__xludf.DUMMYFUNCTION("""COMPUTED_VALUE"""),"win")</f>
        <v>win</v>
      </c>
      <c r="G393" s="3" t="str">
        <f>IFERROR(__xludf.DUMMYFUNCTION("""COMPUTED_VALUE"""),"2v2")</f>
        <v>2v2</v>
      </c>
      <c r="H393" s="3" t="str">
        <f>IFERROR(__xludf.DUMMYFUNCTION("IFERROR(TRIM(INDEX(SPLIT(E393,"" + ""),1)),"""")"),"Aferdita")</f>
        <v>Aferdita</v>
      </c>
      <c r="I393" s="3" t="str">
        <f>IFERROR(__xludf.DUMMYFUNCTION("IFERROR(TRIM(INDEX(SPLIT(E393,"" + ""),2)),"""")"),"Kesny")</f>
        <v>Kesny</v>
      </c>
      <c r="J393" s="5" t="str">
        <f>IFERROR(__xludf.DUMMYFUNCTION("IFERROR(TRIM(INDEX(SPLIT(E393,"" + ""),3)),"""")"),"")</f>
        <v/>
      </c>
      <c r="K393" s="3">
        <f>IFERROR(__xludf.DUMMYFUNCTION("IFERROR(IF(H393="""",0,INDEX(FILTER($Q$2:Q392,$C$2:C392=H393,$G$2:G392=G393),ROWS(FILTER($Q$2:Q392,$C$2:C392=H393,$G$2:G392=G393)),1)),1500)"),1487.0)</f>
        <v>1487</v>
      </c>
      <c r="L393" s="3">
        <f>IFERROR(__xludf.DUMMYFUNCTION("IFERROR(IF(I393="""",0,INDEX(FILTER($Q$2:Q392,$C$2:C392=I393,$G$2:G392=G393),ROWS(FILTER($Q$2:Q392,$C$2:C392=I393,$G$2:G392=G393)),1)),1500)"),1439.0)</f>
        <v>1439</v>
      </c>
      <c r="M393" s="3">
        <f>IFERROR(__xludf.DUMMYFUNCTION("IFERROR(IF(J393="""",0,INDEX(FILTER($Q$2:Q392,$C$2:C392=J393,$G$2:G392=G393),ROWS(FILTER($Q$2:Q392,$C$2:C392=J393,$G$2:G392=G393)),1)),1500)"),0.0)</f>
        <v>0</v>
      </c>
      <c r="N393" s="3">
        <f>IFERROR(__xludf.DUMMYFUNCTION("IFERROR(INDEX(FILTER($Q$2:Q392,$C$2:C392=C393,$G$2:G392=G393),ROWS(FILTER($Q$2:Q392,$C$2:C392=C393,$G$2:G392=G393)),1),1500)"),1533.0)</f>
        <v>1533</v>
      </c>
      <c r="O393" s="3">
        <f t="shared" si="3"/>
        <v>1463</v>
      </c>
      <c r="P393" s="9">
        <f t="shared" si="1"/>
        <v>13</v>
      </c>
      <c r="Q393" s="5">
        <f t="shared" si="2"/>
        <v>1546</v>
      </c>
    </row>
    <row r="394">
      <c r="A394" s="3" t="str">
        <f>IFERROR(__xludf.DUMMYFUNCTION("""COMPUTED_VALUE"""),"1x60NFRbYKeIrpOIxrQS8m4S-pJz4p8SO")</f>
        <v>1x60NFRbYKeIrpOIxrQS8m4S-pJz4p8SO</v>
      </c>
      <c r="B394" s="13">
        <f>IFERROR(__xludf.DUMMYFUNCTION("""COMPUTED_VALUE"""),45976.0)</f>
        <v>45976</v>
      </c>
      <c r="C394" s="3" t="str">
        <f>IFERROR(__xludf.DUMMYFUNCTION("""COMPUTED_VALUE"""),"Malena")</f>
        <v>Malena</v>
      </c>
      <c r="D394" s="3" t="str">
        <f>IFERROR(__xludf.DUMMYFUNCTION("""COMPUTED_VALUE"""),"Kesny + Malena")</f>
        <v>Kesny + Malena</v>
      </c>
      <c r="E394" s="3" t="str">
        <f>IFERROR(__xludf.DUMMYFUNCTION("""COMPUTED_VALUE"""),"Nebus. + ZeroO")</f>
        <v>Nebus. + ZeroO</v>
      </c>
      <c r="F394" s="3" t="str">
        <f>IFERROR(__xludf.DUMMYFUNCTION("""COMPUTED_VALUE"""),"loss")</f>
        <v>loss</v>
      </c>
      <c r="G394" s="3" t="str">
        <f>IFERROR(__xludf.DUMMYFUNCTION("""COMPUTED_VALUE"""),"2v2")</f>
        <v>2v2</v>
      </c>
      <c r="H394" s="3" t="str">
        <f>IFERROR(__xludf.DUMMYFUNCTION("IFERROR(TRIM(INDEX(SPLIT(E394,"" + ""),1)),"""")"),"Nebus.")</f>
        <v>Nebus.</v>
      </c>
      <c r="I394" s="3" t="str">
        <f>IFERROR(__xludf.DUMMYFUNCTION("IFERROR(TRIM(INDEX(SPLIT(E394,"" + ""),2)),"""")"),"ZeroO")</f>
        <v>ZeroO</v>
      </c>
      <c r="J394" s="5" t="str">
        <f>IFERROR(__xludf.DUMMYFUNCTION("IFERROR(TRIM(INDEX(SPLIT(E394,"" + ""),3)),"""")"),"")</f>
        <v/>
      </c>
      <c r="K394" s="3">
        <f>IFERROR(__xludf.DUMMYFUNCTION("IFERROR(IF(H394="""",0,INDEX(FILTER($Q$2:Q393,$C$2:C393=H394,$G$2:G393=G394),ROWS(FILTER($Q$2:Q393,$C$2:C393=H394,$G$2:G393=G394)),1)),1500)"),1585.0)</f>
        <v>1585</v>
      </c>
      <c r="L394" s="3">
        <f>IFERROR(__xludf.DUMMYFUNCTION("IFERROR(IF(I394="""",0,INDEX(FILTER($Q$2:Q393,$C$2:C393=I394,$G$2:G393=G394),ROWS(FILTER($Q$2:Q393,$C$2:C393=I394,$G$2:G393=G394)),1)),1500)"),1546.0)</f>
        <v>1546</v>
      </c>
      <c r="M394" s="3">
        <f>IFERROR(__xludf.DUMMYFUNCTION("IFERROR(IF(J394="""",0,INDEX(FILTER($Q$2:Q393,$C$2:C393=J394,$G$2:G393=G394),ROWS(FILTER($Q$2:Q393,$C$2:C393=J394,$G$2:G393=G394)),1)),1500)"),0.0)</f>
        <v>0</v>
      </c>
      <c r="N394" s="3">
        <f>IFERROR(__xludf.DUMMYFUNCTION("IFERROR(INDEX(FILTER($Q$2:Q393,$C$2:C393=C394,$G$2:G393=G394),ROWS(FILTER($Q$2:Q393,$C$2:C393=C394,$G$2:G393=G394)),1),1500)"),1569.0)</f>
        <v>1569</v>
      </c>
      <c r="O394" s="3">
        <f t="shared" si="3"/>
        <v>1565.5</v>
      </c>
      <c r="P394" s="9">
        <f t="shared" si="1"/>
        <v>-16</v>
      </c>
      <c r="Q394" s="5">
        <f t="shared" si="2"/>
        <v>1553</v>
      </c>
    </row>
    <row r="395">
      <c r="A395" s="3" t="str">
        <f>IFERROR(__xludf.DUMMYFUNCTION("""COMPUTED_VALUE"""),"1x60NFRbYKeIrpOIxrQS8m4S-pJz4p8SO")</f>
        <v>1x60NFRbYKeIrpOIxrQS8m4S-pJz4p8SO</v>
      </c>
      <c r="B395" s="13">
        <f>IFERROR(__xludf.DUMMYFUNCTION("""COMPUTED_VALUE"""),45976.0)</f>
        <v>45976</v>
      </c>
      <c r="C395" s="3" t="str">
        <f>IFERROR(__xludf.DUMMYFUNCTION("""COMPUTED_VALUE"""),"Kesny")</f>
        <v>Kesny</v>
      </c>
      <c r="D395" s="3" t="str">
        <f>IFERROR(__xludf.DUMMYFUNCTION("""COMPUTED_VALUE"""),"Kesny + Malena")</f>
        <v>Kesny + Malena</v>
      </c>
      <c r="E395" s="3" t="str">
        <f>IFERROR(__xludf.DUMMYFUNCTION("""COMPUTED_VALUE"""),"Nebus. + ZeroO")</f>
        <v>Nebus. + ZeroO</v>
      </c>
      <c r="F395" s="3" t="str">
        <f>IFERROR(__xludf.DUMMYFUNCTION("""COMPUTED_VALUE"""),"loss")</f>
        <v>loss</v>
      </c>
      <c r="G395" s="3" t="str">
        <f>IFERROR(__xludf.DUMMYFUNCTION("""COMPUTED_VALUE"""),"2v2")</f>
        <v>2v2</v>
      </c>
      <c r="H395" s="3" t="str">
        <f>IFERROR(__xludf.DUMMYFUNCTION("IFERROR(TRIM(INDEX(SPLIT(E395,"" + ""),1)),"""")"),"Nebus.")</f>
        <v>Nebus.</v>
      </c>
      <c r="I395" s="3" t="str">
        <f>IFERROR(__xludf.DUMMYFUNCTION("IFERROR(TRIM(INDEX(SPLIT(E395,"" + ""),2)),"""")"),"ZeroO")</f>
        <v>ZeroO</v>
      </c>
      <c r="J395" s="5" t="str">
        <f>IFERROR(__xludf.DUMMYFUNCTION("IFERROR(TRIM(INDEX(SPLIT(E395,"" + ""),3)),"""")"),"")</f>
        <v/>
      </c>
      <c r="K395" s="3">
        <f>IFERROR(__xludf.DUMMYFUNCTION("IFERROR(IF(H395="""",0,INDEX(FILTER($Q$2:Q394,$C$2:C394=H395,$G$2:G394=G395),ROWS(FILTER($Q$2:Q394,$C$2:C394=H395,$G$2:G394=G395)),1)),1500)"),1585.0)</f>
        <v>1585</v>
      </c>
      <c r="L395" s="3">
        <f>IFERROR(__xludf.DUMMYFUNCTION("IFERROR(IF(I395="""",0,INDEX(FILTER($Q$2:Q394,$C$2:C394=I395,$G$2:G394=G395),ROWS(FILTER($Q$2:Q394,$C$2:C394=I395,$G$2:G394=G395)),1)),1500)"),1546.0)</f>
        <v>1546</v>
      </c>
      <c r="M395" s="3">
        <f>IFERROR(__xludf.DUMMYFUNCTION("IFERROR(IF(J395="""",0,INDEX(FILTER($Q$2:Q394,$C$2:C394=J395,$G$2:G394=G395),ROWS(FILTER($Q$2:Q394,$C$2:C394=J395,$G$2:G394=G395)),1)),1500)"),0.0)</f>
        <v>0</v>
      </c>
      <c r="N395" s="3">
        <f>IFERROR(__xludf.DUMMYFUNCTION("IFERROR(INDEX(FILTER($Q$2:Q394,$C$2:C394=C395,$G$2:G394=G395),ROWS(FILTER($Q$2:Q394,$C$2:C394=C395,$G$2:G394=G395)),1),1500)"),1439.0)</f>
        <v>1439</v>
      </c>
      <c r="O395" s="3">
        <f t="shared" si="3"/>
        <v>1565.5</v>
      </c>
      <c r="P395" s="9">
        <f t="shared" si="1"/>
        <v>-10</v>
      </c>
      <c r="Q395" s="5">
        <f t="shared" si="2"/>
        <v>1429</v>
      </c>
    </row>
    <row r="396">
      <c r="A396" s="3" t="str">
        <f>IFERROR(__xludf.DUMMYFUNCTION("""COMPUTED_VALUE"""),"1x60NFRbYKeIrpOIxrQS8m4S-pJz4p8SO")</f>
        <v>1x60NFRbYKeIrpOIxrQS8m4S-pJz4p8SO</v>
      </c>
      <c r="B396" s="13">
        <f>IFERROR(__xludf.DUMMYFUNCTION("""COMPUTED_VALUE"""),45976.0)</f>
        <v>45976</v>
      </c>
      <c r="C396" s="3" t="str">
        <f>IFERROR(__xludf.DUMMYFUNCTION("""COMPUTED_VALUE"""),"Nebus.")</f>
        <v>Nebus.</v>
      </c>
      <c r="D396" s="3" t="str">
        <f>IFERROR(__xludf.DUMMYFUNCTION("""COMPUTED_VALUE"""),"Nebus. + ZeroO")</f>
        <v>Nebus. + ZeroO</v>
      </c>
      <c r="E396" s="3" t="str">
        <f>IFERROR(__xludf.DUMMYFUNCTION("""COMPUTED_VALUE"""),"Kesny + Malena")</f>
        <v>Kesny + Malena</v>
      </c>
      <c r="F396" s="3" t="str">
        <f>IFERROR(__xludf.DUMMYFUNCTION("""COMPUTED_VALUE"""),"win")</f>
        <v>win</v>
      </c>
      <c r="G396" s="3" t="str">
        <f>IFERROR(__xludf.DUMMYFUNCTION("""COMPUTED_VALUE"""),"2v2")</f>
        <v>2v2</v>
      </c>
      <c r="H396" s="3" t="str">
        <f>IFERROR(__xludf.DUMMYFUNCTION("IFERROR(TRIM(INDEX(SPLIT(E396,"" + ""),1)),"""")"),"Kesny")</f>
        <v>Kesny</v>
      </c>
      <c r="I396" s="3" t="str">
        <f>IFERROR(__xludf.DUMMYFUNCTION("IFERROR(TRIM(INDEX(SPLIT(E396,"" + ""),2)),"""")"),"Malena")</f>
        <v>Malena</v>
      </c>
      <c r="J396" s="5" t="str">
        <f>IFERROR(__xludf.DUMMYFUNCTION("IFERROR(TRIM(INDEX(SPLIT(E396,"" + ""),3)),"""")"),"")</f>
        <v/>
      </c>
      <c r="K396" s="3">
        <f>IFERROR(__xludf.DUMMYFUNCTION("IFERROR(IF(H396="""",0,INDEX(FILTER($Q$2:Q395,$C$2:C395=H396,$G$2:G395=G396),ROWS(FILTER($Q$2:Q395,$C$2:C395=H396,$G$2:G395=G396)),1)),1500)"),1429.0)</f>
        <v>1429</v>
      </c>
      <c r="L396" s="3">
        <f>IFERROR(__xludf.DUMMYFUNCTION("IFERROR(IF(I396="""",0,INDEX(FILTER($Q$2:Q395,$C$2:C395=I396,$G$2:G395=G396),ROWS(FILTER($Q$2:Q395,$C$2:C395=I396,$G$2:G395=G396)),1)),1500)"),1553.0)</f>
        <v>1553</v>
      </c>
      <c r="M396" s="3">
        <f>IFERROR(__xludf.DUMMYFUNCTION("IFERROR(IF(J396="""",0,INDEX(FILTER($Q$2:Q395,$C$2:C395=J396,$G$2:G395=G396),ROWS(FILTER($Q$2:Q395,$C$2:C395=J396,$G$2:G395=G396)),1)),1500)"),0.0)</f>
        <v>0</v>
      </c>
      <c r="N396" s="3">
        <f>IFERROR(__xludf.DUMMYFUNCTION("IFERROR(INDEX(FILTER($Q$2:Q395,$C$2:C395=C396,$G$2:G395=G396),ROWS(FILTER($Q$2:Q395,$C$2:C395=C396,$G$2:G395=G396)),1),1500)"),1585.0)</f>
        <v>1585</v>
      </c>
      <c r="O396" s="3">
        <f t="shared" si="3"/>
        <v>1491</v>
      </c>
      <c r="P396" s="9">
        <f t="shared" si="1"/>
        <v>12</v>
      </c>
      <c r="Q396" s="5">
        <f t="shared" si="2"/>
        <v>1597</v>
      </c>
    </row>
    <row r="397">
      <c r="A397" s="3" t="str">
        <f>IFERROR(__xludf.DUMMYFUNCTION("""COMPUTED_VALUE"""),"1x60NFRbYKeIrpOIxrQS8m4S-pJz4p8SO")</f>
        <v>1x60NFRbYKeIrpOIxrQS8m4S-pJz4p8SO</v>
      </c>
      <c r="B397" s="13">
        <f>IFERROR(__xludf.DUMMYFUNCTION("""COMPUTED_VALUE"""),45976.0)</f>
        <v>45976</v>
      </c>
      <c r="C397" s="3" t="str">
        <f>IFERROR(__xludf.DUMMYFUNCTION("""COMPUTED_VALUE"""),"ZeroO")</f>
        <v>ZeroO</v>
      </c>
      <c r="D397" s="3" t="str">
        <f>IFERROR(__xludf.DUMMYFUNCTION("""COMPUTED_VALUE"""),"Nebus. + ZeroO")</f>
        <v>Nebus. + ZeroO</v>
      </c>
      <c r="E397" s="3" t="str">
        <f>IFERROR(__xludf.DUMMYFUNCTION("""COMPUTED_VALUE"""),"Kesny + Malena")</f>
        <v>Kesny + Malena</v>
      </c>
      <c r="F397" s="3" t="str">
        <f>IFERROR(__xludf.DUMMYFUNCTION("""COMPUTED_VALUE"""),"win")</f>
        <v>win</v>
      </c>
      <c r="G397" s="3" t="str">
        <f>IFERROR(__xludf.DUMMYFUNCTION("""COMPUTED_VALUE"""),"2v2")</f>
        <v>2v2</v>
      </c>
      <c r="H397" s="3" t="str">
        <f>IFERROR(__xludf.DUMMYFUNCTION("IFERROR(TRIM(INDEX(SPLIT(E397,"" + ""),1)),"""")"),"Kesny")</f>
        <v>Kesny</v>
      </c>
      <c r="I397" s="3" t="str">
        <f>IFERROR(__xludf.DUMMYFUNCTION("IFERROR(TRIM(INDEX(SPLIT(E397,"" + ""),2)),"""")"),"Malena")</f>
        <v>Malena</v>
      </c>
      <c r="J397" s="5" t="str">
        <f>IFERROR(__xludf.DUMMYFUNCTION("IFERROR(TRIM(INDEX(SPLIT(E397,"" + ""),3)),"""")"),"")</f>
        <v/>
      </c>
      <c r="K397" s="3">
        <f>IFERROR(__xludf.DUMMYFUNCTION("IFERROR(IF(H397="""",0,INDEX(FILTER($Q$2:Q396,$C$2:C396=H397,$G$2:G396=G397),ROWS(FILTER($Q$2:Q396,$C$2:C396=H397,$G$2:G396=G397)),1)),1500)"),1429.0)</f>
        <v>1429</v>
      </c>
      <c r="L397" s="3">
        <f>IFERROR(__xludf.DUMMYFUNCTION("IFERROR(IF(I397="""",0,INDEX(FILTER($Q$2:Q396,$C$2:C396=I397,$G$2:G396=G397),ROWS(FILTER($Q$2:Q396,$C$2:C396=I397,$G$2:G396=G397)),1)),1500)"),1553.0)</f>
        <v>1553</v>
      </c>
      <c r="M397" s="3">
        <f>IFERROR(__xludf.DUMMYFUNCTION("IFERROR(IF(J397="""",0,INDEX(FILTER($Q$2:Q396,$C$2:C396=J397,$G$2:G396=G397),ROWS(FILTER($Q$2:Q396,$C$2:C396=J397,$G$2:G396=G397)),1)),1500)"),0.0)</f>
        <v>0</v>
      </c>
      <c r="N397" s="3">
        <f>IFERROR(__xludf.DUMMYFUNCTION("IFERROR(INDEX(FILTER($Q$2:Q396,$C$2:C396=C397,$G$2:G396=G397),ROWS(FILTER($Q$2:Q396,$C$2:C396=C397,$G$2:G396=G397)),1),1500)"),1546.0)</f>
        <v>1546</v>
      </c>
      <c r="O397" s="3">
        <f t="shared" si="3"/>
        <v>1491</v>
      </c>
      <c r="P397" s="9">
        <f t="shared" si="1"/>
        <v>13</v>
      </c>
      <c r="Q397" s="5">
        <f t="shared" si="2"/>
        <v>1559</v>
      </c>
    </row>
    <row r="398">
      <c r="A398" s="3" t="str">
        <f>IFERROR(__xludf.DUMMYFUNCTION("""COMPUTED_VALUE"""),"17vLReY8CnO96oxdhQV_AhEcef0HzP7Wq")</f>
        <v>17vLReY8CnO96oxdhQV_AhEcef0HzP7Wq</v>
      </c>
      <c r="B398" s="13">
        <f>IFERROR(__xludf.DUMMYFUNCTION("""COMPUTED_VALUE"""),45976.0)</f>
        <v>45976</v>
      </c>
      <c r="C398" s="3" t="str">
        <f>IFERROR(__xludf.DUMMYFUNCTION("""COMPUTED_VALUE"""),"Nebus.")</f>
        <v>Nebus.</v>
      </c>
      <c r="D398" s="3" t="str">
        <f>IFERROR(__xludf.DUMMYFUNCTION("""COMPUTED_VALUE"""),"Malena + Nebus.")</f>
        <v>Malena + Nebus.</v>
      </c>
      <c r="E398" s="3" t="str">
        <f>IFERROR(__xludf.DUMMYFUNCTION("""COMPUTED_VALUE"""),"Kesny + ZeroO")</f>
        <v>Kesny + ZeroO</v>
      </c>
      <c r="F398" s="3" t="str">
        <f>IFERROR(__xludf.DUMMYFUNCTION("""COMPUTED_VALUE"""),"win")</f>
        <v>win</v>
      </c>
      <c r="G398" s="3" t="str">
        <f>IFERROR(__xludf.DUMMYFUNCTION("""COMPUTED_VALUE"""),"2v2")</f>
        <v>2v2</v>
      </c>
      <c r="H398" s="3" t="str">
        <f>IFERROR(__xludf.DUMMYFUNCTION("IFERROR(TRIM(INDEX(SPLIT(E398,"" + ""),1)),"""")"),"Kesny")</f>
        <v>Kesny</v>
      </c>
      <c r="I398" s="3" t="str">
        <f>IFERROR(__xludf.DUMMYFUNCTION("IFERROR(TRIM(INDEX(SPLIT(E398,"" + ""),2)),"""")"),"ZeroO")</f>
        <v>ZeroO</v>
      </c>
      <c r="J398" s="5" t="str">
        <f>IFERROR(__xludf.DUMMYFUNCTION("IFERROR(TRIM(INDEX(SPLIT(E398,"" + ""),3)),"""")"),"")</f>
        <v/>
      </c>
      <c r="K398" s="3">
        <f>IFERROR(__xludf.DUMMYFUNCTION("IFERROR(IF(H398="""",0,INDEX(FILTER($Q$2:Q397,$C$2:C397=H398,$G$2:G397=G398),ROWS(FILTER($Q$2:Q397,$C$2:C397=H398,$G$2:G397=G398)),1)),1500)"),1429.0)</f>
        <v>1429</v>
      </c>
      <c r="L398" s="3">
        <f>IFERROR(__xludf.DUMMYFUNCTION("IFERROR(IF(I398="""",0,INDEX(FILTER($Q$2:Q397,$C$2:C397=I398,$G$2:G397=G398),ROWS(FILTER($Q$2:Q397,$C$2:C397=I398,$G$2:G397=G398)),1)),1500)"),1559.0)</f>
        <v>1559</v>
      </c>
      <c r="M398" s="3">
        <f>IFERROR(__xludf.DUMMYFUNCTION("IFERROR(IF(J398="""",0,INDEX(FILTER($Q$2:Q397,$C$2:C397=J398,$G$2:G397=G398),ROWS(FILTER($Q$2:Q397,$C$2:C397=J398,$G$2:G397=G398)),1)),1500)"),0.0)</f>
        <v>0</v>
      </c>
      <c r="N398" s="3">
        <f>IFERROR(__xludf.DUMMYFUNCTION("IFERROR(INDEX(FILTER($Q$2:Q397,$C$2:C397=C398,$G$2:G397=G398),ROWS(FILTER($Q$2:Q397,$C$2:C397=C398,$G$2:G397=G398)),1),1500)"),1597.0)</f>
        <v>1597</v>
      </c>
      <c r="O398" s="3">
        <f t="shared" si="3"/>
        <v>1494</v>
      </c>
      <c r="P398" s="9">
        <f t="shared" si="1"/>
        <v>11</v>
      </c>
      <c r="Q398" s="5">
        <f t="shared" si="2"/>
        <v>1608</v>
      </c>
    </row>
    <row r="399">
      <c r="A399" s="3" t="str">
        <f>IFERROR(__xludf.DUMMYFUNCTION("""COMPUTED_VALUE"""),"17vLReY8CnO96oxdhQV_AhEcef0HzP7Wq")</f>
        <v>17vLReY8CnO96oxdhQV_AhEcef0HzP7Wq</v>
      </c>
      <c r="B399" s="13">
        <f>IFERROR(__xludf.DUMMYFUNCTION("""COMPUTED_VALUE"""),45976.0)</f>
        <v>45976</v>
      </c>
      <c r="C399" s="3" t="str">
        <f>IFERROR(__xludf.DUMMYFUNCTION("""COMPUTED_VALUE"""),"Malena")</f>
        <v>Malena</v>
      </c>
      <c r="D399" s="3" t="str">
        <f>IFERROR(__xludf.DUMMYFUNCTION("""COMPUTED_VALUE"""),"Malena + Nebus.")</f>
        <v>Malena + Nebus.</v>
      </c>
      <c r="E399" s="3" t="str">
        <f>IFERROR(__xludf.DUMMYFUNCTION("""COMPUTED_VALUE"""),"Kesny + ZeroO")</f>
        <v>Kesny + ZeroO</v>
      </c>
      <c r="F399" s="3" t="str">
        <f>IFERROR(__xludf.DUMMYFUNCTION("""COMPUTED_VALUE"""),"win")</f>
        <v>win</v>
      </c>
      <c r="G399" s="3" t="str">
        <f>IFERROR(__xludf.DUMMYFUNCTION("""COMPUTED_VALUE"""),"2v2")</f>
        <v>2v2</v>
      </c>
      <c r="H399" s="3" t="str">
        <f>IFERROR(__xludf.DUMMYFUNCTION("IFERROR(TRIM(INDEX(SPLIT(E399,"" + ""),1)),"""")"),"Kesny")</f>
        <v>Kesny</v>
      </c>
      <c r="I399" s="3" t="str">
        <f>IFERROR(__xludf.DUMMYFUNCTION("IFERROR(TRIM(INDEX(SPLIT(E399,"" + ""),2)),"""")"),"ZeroO")</f>
        <v>ZeroO</v>
      </c>
      <c r="J399" s="5" t="str">
        <f>IFERROR(__xludf.DUMMYFUNCTION("IFERROR(TRIM(INDEX(SPLIT(E399,"" + ""),3)),"""")"),"")</f>
        <v/>
      </c>
      <c r="K399" s="3">
        <f>IFERROR(__xludf.DUMMYFUNCTION("IFERROR(IF(H399="""",0,INDEX(FILTER($Q$2:Q398,$C$2:C398=H399,$G$2:G398=G399),ROWS(FILTER($Q$2:Q398,$C$2:C398=H399,$G$2:G398=G399)),1)),1500)"),1429.0)</f>
        <v>1429</v>
      </c>
      <c r="L399" s="3">
        <f>IFERROR(__xludf.DUMMYFUNCTION("IFERROR(IF(I399="""",0,INDEX(FILTER($Q$2:Q398,$C$2:C398=I399,$G$2:G398=G399),ROWS(FILTER($Q$2:Q398,$C$2:C398=I399,$G$2:G398=G399)),1)),1500)"),1559.0)</f>
        <v>1559</v>
      </c>
      <c r="M399" s="3">
        <f>IFERROR(__xludf.DUMMYFUNCTION("IFERROR(IF(J399="""",0,INDEX(FILTER($Q$2:Q398,$C$2:C398=J399,$G$2:G398=G399),ROWS(FILTER($Q$2:Q398,$C$2:C398=J399,$G$2:G398=G399)),1)),1500)"),0.0)</f>
        <v>0</v>
      </c>
      <c r="N399" s="3">
        <f>IFERROR(__xludf.DUMMYFUNCTION("IFERROR(INDEX(FILTER($Q$2:Q398,$C$2:C398=C399,$G$2:G398=G399),ROWS(FILTER($Q$2:Q398,$C$2:C398=C399,$G$2:G398=G399)),1),1500)"),1553.0)</f>
        <v>1553</v>
      </c>
      <c r="O399" s="3">
        <f t="shared" si="3"/>
        <v>1494</v>
      </c>
      <c r="P399" s="9">
        <f t="shared" si="1"/>
        <v>13</v>
      </c>
      <c r="Q399" s="5">
        <f t="shared" si="2"/>
        <v>1566</v>
      </c>
    </row>
    <row r="400">
      <c r="A400" s="3" t="str">
        <f>IFERROR(__xludf.DUMMYFUNCTION("""COMPUTED_VALUE"""),"17vLReY8CnO96oxdhQV_AhEcef0HzP7Wq")</f>
        <v>17vLReY8CnO96oxdhQV_AhEcef0HzP7Wq</v>
      </c>
      <c r="B400" s="13">
        <f>IFERROR(__xludf.DUMMYFUNCTION("""COMPUTED_VALUE"""),45976.0)</f>
        <v>45976</v>
      </c>
      <c r="C400" s="3" t="str">
        <f>IFERROR(__xludf.DUMMYFUNCTION("""COMPUTED_VALUE"""),"ZeroO")</f>
        <v>ZeroO</v>
      </c>
      <c r="D400" s="3" t="str">
        <f>IFERROR(__xludf.DUMMYFUNCTION("""COMPUTED_VALUE"""),"Kesny + ZeroO")</f>
        <v>Kesny + ZeroO</v>
      </c>
      <c r="E400" s="3" t="str">
        <f>IFERROR(__xludf.DUMMYFUNCTION("""COMPUTED_VALUE"""),"Malena + Nebus.")</f>
        <v>Malena + Nebus.</v>
      </c>
      <c r="F400" s="3" t="str">
        <f>IFERROR(__xludf.DUMMYFUNCTION("""COMPUTED_VALUE"""),"loss")</f>
        <v>loss</v>
      </c>
      <c r="G400" s="3" t="str">
        <f>IFERROR(__xludf.DUMMYFUNCTION("""COMPUTED_VALUE"""),"2v2")</f>
        <v>2v2</v>
      </c>
      <c r="H400" s="3" t="str">
        <f>IFERROR(__xludf.DUMMYFUNCTION("IFERROR(TRIM(INDEX(SPLIT(E400,"" + ""),1)),"""")"),"Malena")</f>
        <v>Malena</v>
      </c>
      <c r="I400" s="3" t="str">
        <f>IFERROR(__xludf.DUMMYFUNCTION("IFERROR(TRIM(INDEX(SPLIT(E400,"" + ""),2)),"""")"),"Nebus.")</f>
        <v>Nebus.</v>
      </c>
      <c r="J400" s="5" t="str">
        <f>IFERROR(__xludf.DUMMYFUNCTION("IFERROR(TRIM(INDEX(SPLIT(E400,"" + ""),3)),"""")"),"")</f>
        <v/>
      </c>
      <c r="K400" s="3">
        <f>IFERROR(__xludf.DUMMYFUNCTION("IFERROR(IF(H400="""",0,INDEX(FILTER($Q$2:Q399,$C$2:C399=H400,$G$2:G399=G400),ROWS(FILTER($Q$2:Q399,$C$2:C399=H400,$G$2:G399=G400)),1)),1500)"),1566.0)</f>
        <v>1566</v>
      </c>
      <c r="L400" s="3">
        <f>IFERROR(__xludf.DUMMYFUNCTION("IFERROR(IF(I400="""",0,INDEX(FILTER($Q$2:Q399,$C$2:C399=I400,$G$2:G399=G400),ROWS(FILTER($Q$2:Q399,$C$2:C399=I400,$G$2:G399=G400)),1)),1500)"),1608.0)</f>
        <v>1608</v>
      </c>
      <c r="M400" s="3">
        <f>IFERROR(__xludf.DUMMYFUNCTION("IFERROR(IF(J400="""",0,INDEX(FILTER($Q$2:Q399,$C$2:C399=J400,$G$2:G399=G400),ROWS(FILTER($Q$2:Q399,$C$2:C399=J400,$G$2:G399=G400)),1)),1500)"),0.0)</f>
        <v>0</v>
      </c>
      <c r="N400" s="3">
        <f>IFERROR(__xludf.DUMMYFUNCTION("IFERROR(INDEX(FILTER($Q$2:Q399,$C$2:C399=C400,$G$2:G399=G400),ROWS(FILTER($Q$2:Q399,$C$2:C399=C400,$G$2:G399=G400)),1),1500)"),1559.0)</f>
        <v>1559</v>
      </c>
      <c r="O400" s="3">
        <f t="shared" si="3"/>
        <v>1587</v>
      </c>
      <c r="P400" s="9">
        <f t="shared" si="1"/>
        <v>-15</v>
      </c>
      <c r="Q400" s="5">
        <f t="shared" si="2"/>
        <v>1544</v>
      </c>
    </row>
    <row r="401">
      <c r="A401" s="3" t="str">
        <f>IFERROR(__xludf.DUMMYFUNCTION("""COMPUTED_VALUE"""),"17vLReY8CnO96oxdhQV_AhEcef0HzP7Wq")</f>
        <v>17vLReY8CnO96oxdhQV_AhEcef0HzP7Wq</v>
      </c>
      <c r="B401" s="13">
        <f>IFERROR(__xludf.DUMMYFUNCTION("""COMPUTED_VALUE"""),45976.0)</f>
        <v>45976</v>
      </c>
      <c r="C401" s="3" t="str">
        <f>IFERROR(__xludf.DUMMYFUNCTION("""COMPUTED_VALUE"""),"Kesny")</f>
        <v>Kesny</v>
      </c>
      <c r="D401" s="3" t="str">
        <f>IFERROR(__xludf.DUMMYFUNCTION("""COMPUTED_VALUE"""),"Kesny + ZeroO")</f>
        <v>Kesny + ZeroO</v>
      </c>
      <c r="E401" s="3" t="str">
        <f>IFERROR(__xludf.DUMMYFUNCTION("""COMPUTED_VALUE"""),"Malena + Nebus.")</f>
        <v>Malena + Nebus.</v>
      </c>
      <c r="F401" s="3" t="str">
        <f>IFERROR(__xludf.DUMMYFUNCTION("""COMPUTED_VALUE"""),"loss")</f>
        <v>loss</v>
      </c>
      <c r="G401" s="3" t="str">
        <f>IFERROR(__xludf.DUMMYFUNCTION("""COMPUTED_VALUE"""),"2v2")</f>
        <v>2v2</v>
      </c>
      <c r="H401" s="3" t="str">
        <f>IFERROR(__xludf.DUMMYFUNCTION("IFERROR(TRIM(INDEX(SPLIT(E401,"" + ""),1)),"""")"),"Malena")</f>
        <v>Malena</v>
      </c>
      <c r="I401" s="3" t="str">
        <f>IFERROR(__xludf.DUMMYFUNCTION("IFERROR(TRIM(INDEX(SPLIT(E401,"" + ""),2)),"""")"),"Nebus.")</f>
        <v>Nebus.</v>
      </c>
      <c r="J401" s="5" t="str">
        <f>IFERROR(__xludf.DUMMYFUNCTION("IFERROR(TRIM(INDEX(SPLIT(E401,"" + ""),3)),"""")"),"")</f>
        <v/>
      </c>
      <c r="K401" s="3">
        <f>IFERROR(__xludf.DUMMYFUNCTION("IFERROR(IF(H401="""",0,INDEX(FILTER($Q$2:Q400,$C$2:C400=H401,$G$2:G400=G401),ROWS(FILTER($Q$2:Q400,$C$2:C400=H401,$G$2:G400=G401)),1)),1500)"),1566.0)</f>
        <v>1566</v>
      </c>
      <c r="L401" s="3">
        <f>IFERROR(__xludf.DUMMYFUNCTION("IFERROR(IF(I401="""",0,INDEX(FILTER($Q$2:Q400,$C$2:C400=I401,$G$2:G400=G401),ROWS(FILTER($Q$2:Q400,$C$2:C400=I401,$G$2:G400=G401)),1)),1500)"),1608.0)</f>
        <v>1608</v>
      </c>
      <c r="M401" s="3">
        <f>IFERROR(__xludf.DUMMYFUNCTION("IFERROR(IF(J401="""",0,INDEX(FILTER($Q$2:Q400,$C$2:C400=J401,$G$2:G400=G401),ROWS(FILTER($Q$2:Q400,$C$2:C400=J401,$G$2:G400=G401)),1)),1500)"),0.0)</f>
        <v>0</v>
      </c>
      <c r="N401" s="3">
        <f>IFERROR(__xludf.DUMMYFUNCTION("IFERROR(INDEX(FILTER($Q$2:Q400,$C$2:C400=C401,$G$2:G400=G401),ROWS(FILTER($Q$2:Q400,$C$2:C400=C401,$G$2:G400=G401)),1),1500)"),1429.0)</f>
        <v>1429</v>
      </c>
      <c r="O401" s="3">
        <f t="shared" si="3"/>
        <v>1587</v>
      </c>
      <c r="P401" s="9">
        <f t="shared" si="1"/>
        <v>-9</v>
      </c>
      <c r="Q401" s="5">
        <f t="shared" si="2"/>
        <v>1420</v>
      </c>
    </row>
    <row r="402">
      <c r="A402" s="3" t="str">
        <f>IFERROR(__xludf.DUMMYFUNCTION("""COMPUTED_VALUE"""),"1RZat6Xjvfs931Aq4AFe0mkqBwp4mxLr3")</f>
        <v>1RZat6Xjvfs931Aq4AFe0mkqBwp4mxLr3</v>
      </c>
      <c r="B402" s="13">
        <f>IFERROR(__xludf.DUMMYFUNCTION("""COMPUTED_VALUE"""),45976.0)</f>
        <v>45976</v>
      </c>
      <c r="C402" s="3" t="str">
        <f>IFERROR(__xludf.DUMMYFUNCTION("""COMPUTED_VALUE"""),"Nebus.")</f>
        <v>Nebus.</v>
      </c>
      <c r="D402" s="3" t="str">
        <f>IFERROR(__xludf.DUMMYFUNCTION("""COMPUTED_VALUE"""),"Kesny + Nebus.")</f>
        <v>Kesny + Nebus.</v>
      </c>
      <c r="E402" s="3" t="str">
        <f>IFERROR(__xludf.DUMMYFUNCTION("""COMPUTED_VALUE"""),"Malena + ZeroO")</f>
        <v>Malena + ZeroO</v>
      </c>
      <c r="F402" s="3" t="str">
        <f>IFERROR(__xludf.DUMMYFUNCTION("""COMPUTED_VALUE"""),"loss")</f>
        <v>loss</v>
      </c>
      <c r="G402" s="3" t="str">
        <f>IFERROR(__xludf.DUMMYFUNCTION("""COMPUTED_VALUE"""),"2v2")</f>
        <v>2v2</v>
      </c>
      <c r="H402" s="3" t="str">
        <f>IFERROR(__xludf.DUMMYFUNCTION("IFERROR(TRIM(INDEX(SPLIT(E402,"" + ""),1)),"""")"),"Malena")</f>
        <v>Malena</v>
      </c>
      <c r="I402" s="3" t="str">
        <f>IFERROR(__xludf.DUMMYFUNCTION("IFERROR(TRIM(INDEX(SPLIT(E402,"" + ""),2)),"""")"),"ZeroO")</f>
        <v>ZeroO</v>
      </c>
      <c r="J402" s="5" t="str">
        <f>IFERROR(__xludf.DUMMYFUNCTION("IFERROR(TRIM(INDEX(SPLIT(E402,"" + ""),3)),"""")"),"")</f>
        <v/>
      </c>
      <c r="K402" s="3">
        <f>IFERROR(__xludf.DUMMYFUNCTION("IFERROR(IF(H402="""",0,INDEX(FILTER($Q$2:Q401,$C$2:C401=H402,$G$2:G401=G402),ROWS(FILTER($Q$2:Q401,$C$2:C401=H402,$G$2:G401=G402)),1)),1500)"),1566.0)</f>
        <v>1566</v>
      </c>
      <c r="L402" s="3">
        <f>IFERROR(__xludf.DUMMYFUNCTION("IFERROR(IF(I402="""",0,INDEX(FILTER($Q$2:Q401,$C$2:C401=I402,$G$2:G401=G402),ROWS(FILTER($Q$2:Q401,$C$2:C401=I402,$G$2:G401=G402)),1)),1500)"),1544.0)</f>
        <v>1544</v>
      </c>
      <c r="M402" s="3">
        <f>IFERROR(__xludf.DUMMYFUNCTION("IFERROR(IF(J402="""",0,INDEX(FILTER($Q$2:Q401,$C$2:C401=J402,$G$2:G401=G402),ROWS(FILTER($Q$2:Q401,$C$2:C401=J402,$G$2:G401=G402)),1)),1500)"),0.0)</f>
        <v>0</v>
      </c>
      <c r="N402" s="3">
        <f>IFERROR(__xludf.DUMMYFUNCTION("IFERROR(INDEX(FILTER($Q$2:Q401,$C$2:C401=C402,$G$2:G401=G402),ROWS(FILTER($Q$2:Q401,$C$2:C401=C402,$G$2:G401=G402)),1),1500)"),1608.0)</f>
        <v>1608</v>
      </c>
      <c r="O402" s="3">
        <f t="shared" si="3"/>
        <v>1555</v>
      </c>
      <c r="P402" s="9">
        <f t="shared" si="1"/>
        <v>-18</v>
      </c>
      <c r="Q402" s="5">
        <f t="shared" si="2"/>
        <v>1590</v>
      </c>
    </row>
    <row r="403">
      <c r="A403" s="3" t="str">
        <f>IFERROR(__xludf.DUMMYFUNCTION("""COMPUTED_VALUE"""),"1RZat6Xjvfs931Aq4AFe0mkqBwp4mxLr3")</f>
        <v>1RZat6Xjvfs931Aq4AFe0mkqBwp4mxLr3</v>
      </c>
      <c r="B403" s="13">
        <f>IFERROR(__xludf.DUMMYFUNCTION("""COMPUTED_VALUE"""),45976.0)</f>
        <v>45976</v>
      </c>
      <c r="C403" s="3" t="str">
        <f>IFERROR(__xludf.DUMMYFUNCTION("""COMPUTED_VALUE"""),"Kesny")</f>
        <v>Kesny</v>
      </c>
      <c r="D403" s="3" t="str">
        <f>IFERROR(__xludf.DUMMYFUNCTION("""COMPUTED_VALUE"""),"Kesny + Nebus.")</f>
        <v>Kesny + Nebus.</v>
      </c>
      <c r="E403" s="3" t="str">
        <f>IFERROR(__xludf.DUMMYFUNCTION("""COMPUTED_VALUE"""),"Malena + ZeroO")</f>
        <v>Malena + ZeroO</v>
      </c>
      <c r="F403" s="3" t="str">
        <f>IFERROR(__xludf.DUMMYFUNCTION("""COMPUTED_VALUE"""),"loss")</f>
        <v>loss</v>
      </c>
      <c r="G403" s="3" t="str">
        <f>IFERROR(__xludf.DUMMYFUNCTION("""COMPUTED_VALUE"""),"2v2")</f>
        <v>2v2</v>
      </c>
      <c r="H403" s="3" t="str">
        <f>IFERROR(__xludf.DUMMYFUNCTION("IFERROR(TRIM(INDEX(SPLIT(E403,"" + ""),1)),"""")"),"Malena")</f>
        <v>Malena</v>
      </c>
      <c r="I403" s="3" t="str">
        <f>IFERROR(__xludf.DUMMYFUNCTION("IFERROR(TRIM(INDEX(SPLIT(E403,"" + ""),2)),"""")"),"ZeroO")</f>
        <v>ZeroO</v>
      </c>
      <c r="J403" s="5" t="str">
        <f>IFERROR(__xludf.DUMMYFUNCTION("IFERROR(TRIM(INDEX(SPLIT(E403,"" + ""),3)),"""")"),"")</f>
        <v/>
      </c>
      <c r="K403" s="3">
        <f>IFERROR(__xludf.DUMMYFUNCTION("IFERROR(IF(H403="""",0,INDEX(FILTER($Q$2:Q402,$C$2:C402=H403,$G$2:G402=G403),ROWS(FILTER($Q$2:Q402,$C$2:C402=H403,$G$2:G402=G403)),1)),1500)"),1566.0)</f>
        <v>1566</v>
      </c>
      <c r="L403" s="3">
        <f>IFERROR(__xludf.DUMMYFUNCTION("IFERROR(IF(I403="""",0,INDEX(FILTER($Q$2:Q402,$C$2:C402=I403,$G$2:G402=G403),ROWS(FILTER($Q$2:Q402,$C$2:C402=I403,$G$2:G402=G403)),1)),1500)"),1544.0)</f>
        <v>1544</v>
      </c>
      <c r="M403" s="3">
        <f>IFERROR(__xludf.DUMMYFUNCTION("IFERROR(IF(J403="""",0,INDEX(FILTER($Q$2:Q402,$C$2:C402=J403,$G$2:G402=G403),ROWS(FILTER($Q$2:Q402,$C$2:C402=J403,$G$2:G402=G403)),1)),1500)"),0.0)</f>
        <v>0</v>
      </c>
      <c r="N403" s="3">
        <f>IFERROR(__xludf.DUMMYFUNCTION("IFERROR(INDEX(FILTER($Q$2:Q402,$C$2:C402=C403,$G$2:G402=G403),ROWS(FILTER($Q$2:Q402,$C$2:C402=C403,$G$2:G402=G403)),1),1500)"),1420.0)</f>
        <v>1420</v>
      </c>
      <c r="O403" s="3">
        <f t="shared" si="3"/>
        <v>1555</v>
      </c>
      <c r="P403" s="9">
        <f t="shared" si="1"/>
        <v>-10</v>
      </c>
      <c r="Q403" s="5">
        <f t="shared" si="2"/>
        <v>1410</v>
      </c>
    </row>
    <row r="404">
      <c r="A404" s="3" t="str">
        <f>IFERROR(__xludf.DUMMYFUNCTION("""COMPUTED_VALUE"""),"1RZat6Xjvfs931Aq4AFe0mkqBwp4mxLr3")</f>
        <v>1RZat6Xjvfs931Aq4AFe0mkqBwp4mxLr3</v>
      </c>
      <c r="B404" s="13">
        <f>IFERROR(__xludf.DUMMYFUNCTION("""COMPUTED_VALUE"""),45976.0)</f>
        <v>45976</v>
      </c>
      <c r="C404" s="3" t="str">
        <f>IFERROR(__xludf.DUMMYFUNCTION("""COMPUTED_VALUE"""),"Malena")</f>
        <v>Malena</v>
      </c>
      <c r="D404" s="3" t="str">
        <f>IFERROR(__xludf.DUMMYFUNCTION("""COMPUTED_VALUE"""),"Malena + ZeroO")</f>
        <v>Malena + ZeroO</v>
      </c>
      <c r="E404" s="3" t="str">
        <f>IFERROR(__xludf.DUMMYFUNCTION("""COMPUTED_VALUE"""),"Kesny + Nebus.")</f>
        <v>Kesny + Nebus.</v>
      </c>
      <c r="F404" s="3" t="str">
        <f>IFERROR(__xludf.DUMMYFUNCTION("""COMPUTED_VALUE"""),"win")</f>
        <v>win</v>
      </c>
      <c r="G404" s="3" t="str">
        <f>IFERROR(__xludf.DUMMYFUNCTION("""COMPUTED_VALUE"""),"2v2")</f>
        <v>2v2</v>
      </c>
      <c r="H404" s="3" t="str">
        <f>IFERROR(__xludf.DUMMYFUNCTION("IFERROR(TRIM(INDEX(SPLIT(E404,"" + ""),1)),"""")"),"Kesny")</f>
        <v>Kesny</v>
      </c>
      <c r="I404" s="3" t="str">
        <f>IFERROR(__xludf.DUMMYFUNCTION("IFERROR(TRIM(INDEX(SPLIT(E404,"" + ""),2)),"""")"),"Nebus.")</f>
        <v>Nebus.</v>
      </c>
      <c r="J404" s="5" t="str">
        <f>IFERROR(__xludf.DUMMYFUNCTION("IFERROR(TRIM(INDEX(SPLIT(E404,"" + ""),3)),"""")"),"")</f>
        <v/>
      </c>
      <c r="K404" s="3">
        <f>IFERROR(__xludf.DUMMYFUNCTION("IFERROR(IF(H404="""",0,INDEX(FILTER($Q$2:Q403,$C$2:C403=H404,$G$2:G403=G404),ROWS(FILTER($Q$2:Q403,$C$2:C403=H404,$G$2:G403=G404)),1)),1500)"),1410.0)</f>
        <v>1410</v>
      </c>
      <c r="L404" s="3">
        <f>IFERROR(__xludf.DUMMYFUNCTION("IFERROR(IF(I404="""",0,INDEX(FILTER($Q$2:Q403,$C$2:C403=I404,$G$2:G403=G404),ROWS(FILTER($Q$2:Q403,$C$2:C403=I404,$G$2:G403=G404)),1)),1500)"),1590.0)</f>
        <v>1590</v>
      </c>
      <c r="M404" s="3">
        <f>IFERROR(__xludf.DUMMYFUNCTION("IFERROR(IF(J404="""",0,INDEX(FILTER($Q$2:Q403,$C$2:C403=J404,$G$2:G403=G404),ROWS(FILTER($Q$2:Q403,$C$2:C403=J404,$G$2:G403=G404)),1)),1500)"),0.0)</f>
        <v>0</v>
      </c>
      <c r="N404" s="3">
        <f>IFERROR(__xludf.DUMMYFUNCTION("IFERROR(INDEX(FILTER($Q$2:Q403,$C$2:C403=C404,$G$2:G403=G404),ROWS(FILTER($Q$2:Q403,$C$2:C403=C404,$G$2:G403=G404)),1),1500)"),1566.0)</f>
        <v>1566</v>
      </c>
      <c r="O404" s="3">
        <f t="shared" si="3"/>
        <v>1500</v>
      </c>
      <c r="P404" s="9">
        <f t="shared" si="1"/>
        <v>13</v>
      </c>
      <c r="Q404" s="5">
        <f t="shared" si="2"/>
        <v>1579</v>
      </c>
    </row>
    <row r="405">
      <c r="A405" s="3" t="str">
        <f>IFERROR(__xludf.DUMMYFUNCTION("""COMPUTED_VALUE"""),"1RZat6Xjvfs931Aq4AFe0mkqBwp4mxLr3")</f>
        <v>1RZat6Xjvfs931Aq4AFe0mkqBwp4mxLr3</v>
      </c>
      <c r="B405" s="13">
        <f>IFERROR(__xludf.DUMMYFUNCTION("""COMPUTED_VALUE"""),45976.0)</f>
        <v>45976</v>
      </c>
      <c r="C405" s="3" t="str">
        <f>IFERROR(__xludf.DUMMYFUNCTION("""COMPUTED_VALUE"""),"ZeroO")</f>
        <v>ZeroO</v>
      </c>
      <c r="D405" s="3" t="str">
        <f>IFERROR(__xludf.DUMMYFUNCTION("""COMPUTED_VALUE"""),"Malena + ZeroO")</f>
        <v>Malena + ZeroO</v>
      </c>
      <c r="E405" s="3" t="str">
        <f>IFERROR(__xludf.DUMMYFUNCTION("""COMPUTED_VALUE"""),"Kesny + Nebus.")</f>
        <v>Kesny + Nebus.</v>
      </c>
      <c r="F405" s="3" t="str">
        <f>IFERROR(__xludf.DUMMYFUNCTION("""COMPUTED_VALUE"""),"win")</f>
        <v>win</v>
      </c>
      <c r="G405" s="3" t="str">
        <f>IFERROR(__xludf.DUMMYFUNCTION("""COMPUTED_VALUE"""),"2v2")</f>
        <v>2v2</v>
      </c>
      <c r="H405" s="3" t="str">
        <f>IFERROR(__xludf.DUMMYFUNCTION("IFERROR(TRIM(INDEX(SPLIT(E405,"" + ""),1)),"""")"),"Kesny")</f>
        <v>Kesny</v>
      </c>
      <c r="I405" s="3" t="str">
        <f>IFERROR(__xludf.DUMMYFUNCTION("IFERROR(TRIM(INDEX(SPLIT(E405,"" + ""),2)),"""")"),"Nebus.")</f>
        <v>Nebus.</v>
      </c>
      <c r="J405" s="5" t="str">
        <f>IFERROR(__xludf.DUMMYFUNCTION("IFERROR(TRIM(INDEX(SPLIT(E405,"" + ""),3)),"""")"),"")</f>
        <v/>
      </c>
      <c r="K405" s="3">
        <f>IFERROR(__xludf.DUMMYFUNCTION("IFERROR(IF(H405="""",0,INDEX(FILTER($Q$2:Q404,$C$2:C404=H405,$G$2:G404=G405),ROWS(FILTER($Q$2:Q404,$C$2:C404=H405,$G$2:G404=G405)),1)),1500)"),1410.0)</f>
        <v>1410</v>
      </c>
      <c r="L405" s="3">
        <f>IFERROR(__xludf.DUMMYFUNCTION("IFERROR(IF(I405="""",0,INDEX(FILTER($Q$2:Q404,$C$2:C404=I405,$G$2:G404=G405),ROWS(FILTER($Q$2:Q404,$C$2:C404=I405,$G$2:G404=G405)),1)),1500)"),1590.0)</f>
        <v>1590</v>
      </c>
      <c r="M405" s="3">
        <f>IFERROR(__xludf.DUMMYFUNCTION("IFERROR(IF(J405="""",0,INDEX(FILTER($Q$2:Q404,$C$2:C404=J405,$G$2:G404=G405),ROWS(FILTER($Q$2:Q404,$C$2:C404=J405,$G$2:G404=G405)),1)),1500)"),0.0)</f>
        <v>0</v>
      </c>
      <c r="N405" s="3">
        <f>IFERROR(__xludf.DUMMYFUNCTION("IFERROR(INDEX(FILTER($Q$2:Q404,$C$2:C404=C405,$G$2:G404=G405),ROWS(FILTER($Q$2:Q404,$C$2:C404=C405,$G$2:G404=G405)),1),1500)"),1544.0)</f>
        <v>1544</v>
      </c>
      <c r="O405" s="3">
        <f t="shared" si="3"/>
        <v>1500</v>
      </c>
      <c r="P405" s="9">
        <f t="shared" si="1"/>
        <v>14</v>
      </c>
      <c r="Q405" s="5">
        <f t="shared" si="2"/>
        <v>1558</v>
      </c>
    </row>
    <row r="406">
      <c r="A406" s="3" t="str">
        <f>IFERROR(__xludf.DUMMYFUNCTION("""COMPUTED_VALUE"""),"1Cw3A1rZgRPFArSv_nN4vIR0A5X4PqX8I")</f>
        <v>1Cw3A1rZgRPFArSv_nN4vIR0A5X4PqX8I</v>
      </c>
      <c r="B406" s="13">
        <f>IFERROR(__xludf.DUMMYFUNCTION("""COMPUTED_VALUE"""),45976.0)</f>
        <v>45976</v>
      </c>
      <c r="C406" s="3" t="str">
        <f>IFERROR(__xludf.DUMMYFUNCTION("""COMPUTED_VALUE"""),"Malena")</f>
        <v>Malena</v>
      </c>
      <c r="D406" s="3" t="str">
        <f>IFERROR(__xludf.DUMMYFUNCTION("""COMPUTED_VALUE"""),"Kesny + Malena")</f>
        <v>Kesny + Malena</v>
      </c>
      <c r="E406" s="3" t="str">
        <f>IFERROR(__xludf.DUMMYFUNCTION("""COMPUTED_VALUE"""),"Nebus. + ZeroO")</f>
        <v>Nebus. + ZeroO</v>
      </c>
      <c r="F406" s="3" t="str">
        <f>IFERROR(__xludf.DUMMYFUNCTION("""COMPUTED_VALUE"""),"loss")</f>
        <v>loss</v>
      </c>
      <c r="G406" s="3" t="str">
        <f>IFERROR(__xludf.DUMMYFUNCTION("""COMPUTED_VALUE"""),"2v2")</f>
        <v>2v2</v>
      </c>
      <c r="H406" s="3" t="str">
        <f>IFERROR(__xludf.DUMMYFUNCTION("IFERROR(TRIM(INDEX(SPLIT(E406,"" + ""),1)),"""")"),"Nebus.")</f>
        <v>Nebus.</v>
      </c>
      <c r="I406" s="3" t="str">
        <f>IFERROR(__xludf.DUMMYFUNCTION("IFERROR(TRIM(INDEX(SPLIT(E406,"" + ""),2)),"""")"),"ZeroO")</f>
        <v>ZeroO</v>
      </c>
      <c r="J406" s="5" t="str">
        <f>IFERROR(__xludf.DUMMYFUNCTION("IFERROR(TRIM(INDEX(SPLIT(E406,"" + ""),3)),"""")"),"")</f>
        <v/>
      </c>
      <c r="K406" s="3">
        <f>IFERROR(__xludf.DUMMYFUNCTION("IFERROR(IF(H406="""",0,INDEX(FILTER($Q$2:Q405,$C$2:C405=H406,$G$2:G405=G406),ROWS(FILTER($Q$2:Q405,$C$2:C405=H406,$G$2:G405=G406)),1)),1500)"),1590.0)</f>
        <v>1590</v>
      </c>
      <c r="L406" s="3">
        <f>IFERROR(__xludf.DUMMYFUNCTION("IFERROR(IF(I406="""",0,INDEX(FILTER($Q$2:Q405,$C$2:C405=I406,$G$2:G405=G406),ROWS(FILTER($Q$2:Q405,$C$2:C405=I406,$G$2:G405=G406)),1)),1500)"),1558.0)</f>
        <v>1558</v>
      </c>
      <c r="M406" s="3">
        <f>IFERROR(__xludf.DUMMYFUNCTION("IFERROR(IF(J406="""",0,INDEX(FILTER($Q$2:Q405,$C$2:C405=J406,$G$2:G405=G406),ROWS(FILTER($Q$2:Q405,$C$2:C405=J406,$G$2:G405=G406)),1)),1500)"),0.0)</f>
        <v>0</v>
      </c>
      <c r="N406" s="3">
        <f>IFERROR(__xludf.DUMMYFUNCTION("IFERROR(INDEX(FILTER($Q$2:Q405,$C$2:C405=C406,$G$2:G405=G406),ROWS(FILTER($Q$2:Q405,$C$2:C405=C406,$G$2:G405=G406)),1),1500)"),1579.0)</f>
        <v>1579</v>
      </c>
      <c r="O406" s="3">
        <f t="shared" si="3"/>
        <v>1574</v>
      </c>
      <c r="P406" s="9">
        <f t="shared" si="1"/>
        <v>-16</v>
      </c>
      <c r="Q406" s="5">
        <f t="shared" si="2"/>
        <v>1563</v>
      </c>
    </row>
    <row r="407">
      <c r="A407" s="3" t="str">
        <f>IFERROR(__xludf.DUMMYFUNCTION("""COMPUTED_VALUE"""),"1Cw3A1rZgRPFArSv_nN4vIR0A5X4PqX8I")</f>
        <v>1Cw3A1rZgRPFArSv_nN4vIR0A5X4PqX8I</v>
      </c>
      <c r="B407" s="13">
        <f>IFERROR(__xludf.DUMMYFUNCTION("""COMPUTED_VALUE"""),45976.0)</f>
        <v>45976</v>
      </c>
      <c r="C407" s="3" t="str">
        <f>IFERROR(__xludf.DUMMYFUNCTION("""COMPUTED_VALUE"""),"Kesny")</f>
        <v>Kesny</v>
      </c>
      <c r="D407" s="3" t="str">
        <f>IFERROR(__xludf.DUMMYFUNCTION("""COMPUTED_VALUE"""),"Kesny + Malena")</f>
        <v>Kesny + Malena</v>
      </c>
      <c r="E407" s="3" t="str">
        <f>IFERROR(__xludf.DUMMYFUNCTION("""COMPUTED_VALUE"""),"Nebus. + ZeroO")</f>
        <v>Nebus. + ZeroO</v>
      </c>
      <c r="F407" s="3" t="str">
        <f>IFERROR(__xludf.DUMMYFUNCTION("""COMPUTED_VALUE"""),"loss")</f>
        <v>loss</v>
      </c>
      <c r="G407" s="3" t="str">
        <f>IFERROR(__xludf.DUMMYFUNCTION("""COMPUTED_VALUE"""),"2v2")</f>
        <v>2v2</v>
      </c>
      <c r="H407" s="3" t="str">
        <f>IFERROR(__xludf.DUMMYFUNCTION("IFERROR(TRIM(INDEX(SPLIT(E407,"" + ""),1)),"""")"),"Nebus.")</f>
        <v>Nebus.</v>
      </c>
      <c r="I407" s="3" t="str">
        <f>IFERROR(__xludf.DUMMYFUNCTION("IFERROR(TRIM(INDEX(SPLIT(E407,"" + ""),2)),"""")"),"ZeroO")</f>
        <v>ZeroO</v>
      </c>
      <c r="J407" s="5" t="str">
        <f>IFERROR(__xludf.DUMMYFUNCTION("IFERROR(TRIM(INDEX(SPLIT(E407,"" + ""),3)),"""")"),"")</f>
        <v/>
      </c>
      <c r="K407" s="3">
        <f>IFERROR(__xludf.DUMMYFUNCTION("IFERROR(IF(H407="""",0,INDEX(FILTER($Q$2:Q406,$C$2:C406=H407,$G$2:G406=G407),ROWS(FILTER($Q$2:Q406,$C$2:C406=H407,$G$2:G406=G407)),1)),1500)"),1590.0)</f>
        <v>1590</v>
      </c>
      <c r="L407" s="3">
        <f>IFERROR(__xludf.DUMMYFUNCTION("IFERROR(IF(I407="""",0,INDEX(FILTER($Q$2:Q406,$C$2:C406=I407,$G$2:G406=G407),ROWS(FILTER($Q$2:Q406,$C$2:C406=I407,$G$2:G406=G407)),1)),1500)"),1558.0)</f>
        <v>1558</v>
      </c>
      <c r="M407" s="3">
        <f>IFERROR(__xludf.DUMMYFUNCTION("IFERROR(IF(J407="""",0,INDEX(FILTER($Q$2:Q406,$C$2:C406=J407,$G$2:G406=G407),ROWS(FILTER($Q$2:Q406,$C$2:C406=J407,$G$2:G406=G407)),1)),1500)"),0.0)</f>
        <v>0</v>
      </c>
      <c r="N407" s="3">
        <f>IFERROR(__xludf.DUMMYFUNCTION("IFERROR(INDEX(FILTER($Q$2:Q406,$C$2:C406=C407,$G$2:G406=G407),ROWS(FILTER($Q$2:Q406,$C$2:C406=C407,$G$2:G406=G407)),1),1500)"),1410.0)</f>
        <v>1410</v>
      </c>
      <c r="O407" s="3">
        <f t="shared" si="3"/>
        <v>1574</v>
      </c>
      <c r="P407" s="9">
        <f t="shared" si="1"/>
        <v>-9</v>
      </c>
      <c r="Q407" s="5">
        <f t="shared" si="2"/>
        <v>1401</v>
      </c>
    </row>
    <row r="408">
      <c r="A408" s="3" t="str">
        <f>IFERROR(__xludf.DUMMYFUNCTION("""COMPUTED_VALUE"""),"1Cw3A1rZgRPFArSv_nN4vIR0A5X4PqX8I")</f>
        <v>1Cw3A1rZgRPFArSv_nN4vIR0A5X4PqX8I</v>
      </c>
      <c r="B408" s="13">
        <f>IFERROR(__xludf.DUMMYFUNCTION("""COMPUTED_VALUE"""),45976.0)</f>
        <v>45976</v>
      </c>
      <c r="C408" s="3" t="str">
        <f>IFERROR(__xludf.DUMMYFUNCTION("""COMPUTED_VALUE"""),"Nebus.")</f>
        <v>Nebus.</v>
      </c>
      <c r="D408" s="3" t="str">
        <f>IFERROR(__xludf.DUMMYFUNCTION("""COMPUTED_VALUE"""),"Nebus. + ZeroO")</f>
        <v>Nebus. + ZeroO</v>
      </c>
      <c r="E408" s="3" t="str">
        <f>IFERROR(__xludf.DUMMYFUNCTION("""COMPUTED_VALUE"""),"Kesny + Malena")</f>
        <v>Kesny + Malena</v>
      </c>
      <c r="F408" s="3" t="str">
        <f>IFERROR(__xludf.DUMMYFUNCTION("""COMPUTED_VALUE"""),"win")</f>
        <v>win</v>
      </c>
      <c r="G408" s="3" t="str">
        <f>IFERROR(__xludf.DUMMYFUNCTION("""COMPUTED_VALUE"""),"2v2")</f>
        <v>2v2</v>
      </c>
      <c r="H408" s="3" t="str">
        <f>IFERROR(__xludf.DUMMYFUNCTION("IFERROR(TRIM(INDEX(SPLIT(E408,"" + ""),1)),"""")"),"Kesny")</f>
        <v>Kesny</v>
      </c>
      <c r="I408" s="3" t="str">
        <f>IFERROR(__xludf.DUMMYFUNCTION("IFERROR(TRIM(INDEX(SPLIT(E408,"" + ""),2)),"""")"),"Malena")</f>
        <v>Malena</v>
      </c>
      <c r="J408" s="5" t="str">
        <f>IFERROR(__xludf.DUMMYFUNCTION("IFERROR(TRIM(INDEX(SPLIT(E408,"" + ""),3)),"""")"),"")</f>
        <v/>
      </c>
      <c r="K408" s="3">
        <f>IFERROR(__xludf.DUMMYFUNCTION("IFERROR(IF(H408="""",0,INDEX(FILTER($Q$2:Q407,$C$2:C407=H408,$G$2:G407=G408),ROWS(FILTER($Q$2:Q407,$C$2:C407=H408,$G$2:G407=G408)),1)),1500)"),1401.0)</f>
        <v>1401</v>
      </c>
      <c r="L408" s="3">
        <f>IFERROR(__xludf.DUMMYFUNCTION("IFERROR(IF(I408="""",0,INDEX(FILTER($Q$2:Q407,$C$2:C407=I408,$G$2:G407=G408),ROWS(FILTER($Q$2:Q407,$C$2:C407=I408,$G$2:G407=G408)),1)),1500)"),1563.0)</f>
        <v>1563</v>
      </c>
      <c r="M408" s="3">
        <f>IFERROR(__xludf.DUMMYFUNCTION("IFERROR(IF(J408="""",0,INDEX(FILTER($Q$2:Q407,$C$2:C407=J408,$G$2:G407=G408),ROWS(FILTER($Q$2:Q407,$C$2:C407=J408,$G$2:G407=G408)),1)),1500)"),0.0)</f>
        <v>0</v>
      </c>
      <c r="N408" s="3">
        <f>IFERROR(__xludf.DUMMYFUNCTION("IFERROR(INDEX(FILTER($Q$2:Q407,$C$2:C407=C408,$G$2:G407=G408),ROWS(FILTER($Q$2:Q407,$C$2:C407=C408,$G$2:G407=G408)),1),1500)"),1590.0)</f>
        <v>1590</v>
      </c>
      <c r="O408" s="3">
        <f t="shared" si="3"/>
        <v>1482</v>
      </c>
      <c r="P408" s="9">
        <f t="shared" si="1"/>
        <v>11</v>
      </c>
      <c r="Q408" s="5">
        <f t="shared" si="2"/>
        <v>1601</v>
      </c>
    </row>
    <row r="409">
      <c r="A409" s="3" t="str">
        <f>IFERROR(__xludf.DUMMYFUNCTION("""COMPUTED_VALUE"""),"1Cw3A1rZgRPFArSv_nN4vIR0A5X4PqX8I")</f>
        <v>1Cw3A1rZgRPFArSv_nN4vIR0A5X4PqX8I</v>
      </c>
      <c r="B409" s="13">
        <f>IFERROR(__xludf.DUMMYFUNCTION("""COMPUTED_VALUE"""),45976.0)</f>
        <v>45976</v>
      </c>
      <c r="C409" s="3" t="str">
        <f>IFERROR(__xludf.DUMMYFUNCTION("""COMPUTED_VALUE"""),"ZeroO")</f>
        <v>ZeroO</v>
      </c>
      <c r="D409" s="3" t="str">
        <f>IFERROR(__xludf.DUMMYFUNCTION("""COMPUTED_VALUE"""),"Nebus. + ZeroO")</f>
        <v>Nebus. + ZeroO</v>
      </c>
      <c r="E409" s="3" t="str">
        <f>IFERROR(__xludf.DUMMYFUNCTION("""COMPUTED_VALUE"""),"Kesny + Malena")</f>
        <v>Kesny + Malena</v>
      </c>
      <c r="F409" s="3" t="str">
        <f>IFERROR(__xludf.DUMMYFUNCTION("""COMPUTED_VALUE"""),"win")</f>
        <v>win</v>
      </c>
      <c r="G409" s="3" t="str">
        <f>IFERROR(__xludf.DUMMYFUNCTION("""COMPUTED_VALUE"""),"2v2")</f>
        <v>2v2</v>
      </c>
      <c r="H409" s="3" t="str">
        <f>IFERROR(__xludf.DUMMYFUNCTION("IFERROR(TRIM(INDEX(SPLIT(E409,"" + ""),1)),"""")"),"Kesny")</f>
        <v>Kesny</v>
      </c>
      <c r="I409" s="3" t="str">
        <f>IFERROR(__xludf.DUMMYFUNCTION("IFERROR(TRIM(INDEX(SPLIT(E409,"" + ""),2)),"""")"),"Malena")</f>
        <v>Malena</v>
      </c>
      <c r="J409" s="5" t="str">
        <f>IFERROR(__xludf.DUMMYFUNCTION("IFERROR(TRIM(INDEX(SPLIT(E409,"" + ""),3)),"""")"),"")</f>
        <v/>
      </c>
      <c r="K409" s="3">
        <f>IFERROR(__xludf.DUMMYFUNCTION("IFERROR(IF(H409="""",0,INDEX(FILTER($Q$2:Q408,$C$2:C408=H409,$G$2:G408=G409),ROWS(FILTER($Q$2:Q408,$C$2:C408=H409,$G$2:G408=G409)),1)),1500)"),1401.0)</f>
        <v>1401</v>
      </c>
      <c r="L409" s="3">
        <f>IFERROR(__xludf.DUMMYFUNCTION("IFERROR(IF(I409="""",0,INDEX(FILTER($Q$2:Q408,$C$2:C408=I409,$G$2:G408=G409),ROWS(FILTER($Q$2:Q408,$C$2:C408=I409,$G$2:G408=G409)),1)),1500)"),1563.0)</f>
        <v>1563</v>
      </c>
      <c r="M409" s="3">
        <f>IFERROR(__xludf.DUMMYFUNCTION("IFERROR(IF(J409="""",0,INDEX(FILTER($Q$2:Q408,$C$2:C408=J409,$G$2:G408=G409),ROWS(FILTER($Q$2:Q408,$C$2:C408=J409,$G$2:G408=G409)),1)),1500)"),0.0)</f>
        <v>0</v>
      </c>
      <c r="N409" s="3">
        <f>IFERROR(__xludf.DUMMYFUNCTION("IFERROR(INDEX(FILTER($Q$2:Q408,$C$2:C408=C409,$G$2:G408=G409),ROWS(FILTER($Q$2:Q408,$C$2:C408=C409,$G$2:G408=G409)),1),1500)"),1558.0)</f>
        <v>1558</v>
      </c>
      <c r="O409" s="3">
        <f t="shared" si="3"/>
        <v>1482</v>
      </c>
      <c r="P409" s="9">
        <f t="shared" si="1"/>
        <v>13</v>
      </c>
      <c r="Q409" s="5">
        <f t="shared" si="2"/>
        <v>1571</v>
      </c>
    </row>
    <row r="410">
      <c r="A410" s="3" t="str">
        <f>IFERROR(__xludf.DUMMYFUNCTION("""COMPUTED_VALUE"""),"1dbcIAGCAY6SkPL_ZH-ql5nGnrYuwqE_m")</f>
        <v>1dbcIAGCAY6SkPL_ZH-ql5nGnrYuwqE_m</v>
      </c>
      <c r="B410" s="13">
        <f>IFERROR(__xludf.DUMMYFUNCTION("""COMPUTED_VALUE"""),45976.0)</f>
        <v>45976</v>
      </c>
      <c r="C410" s="3" t="str">
        <f>IFERROR(__xludf.DUMMYFUNCTION("""COMPUTED_VALUE"""),"Malena")</f>
        <v>Malena</v>
      </c>
      <c r="D410" s="3" t="str">
        <f>IFERROR(__xludf.DUMMYFUNCTION("""COMPUTED_VALUE"""),"Kesny + Malena")</f>
        <v>Kesny + Malena</v>
      </c>
      <c r="E410" s="3" t="str">
        <f>IFERROR(__xludf.DUMMYFUNCTION("""COMPUTED_VALUE"""),"Nebus. + ZeroO")</f>
        <v>Nebus. + ZeroO</v>
      </c>
      <c r="F410" s="3" t="str">
        <f>IFERROR(__xludf.DUMMYFUNCTION("""COMPUTED_VALUE"""),"win")</f>
        <v>win</v>
      </c>
      <c r="G410" s="3" t="str">
        <f>IFERROR(__xludf.DUMMYFUNCTION("""COMPUTED_VALUE"""),"2v2")</f>
        <v>2v2</v>
      </c>
      <c r="H410" s="3" t="str">
        <f>IFERROR(__xludf.DUMMYFUNCTION("IFERROR(TRIM(INDEX(SPLIT(E410,"" + ""),1)),"""")"),"Nebus.")</f>
        <v>Nebus.</v>
      </c>
      <c r="I410" s="3" t="str">
        <f>IFERROR(__xludf.DUMMYFUNCTION("IFERROR(TRIM(INDEX(SPLIT(E410,"" + ""),2)),"""")"),"ZeroO")</f>
        <v>ZeroO</v>
      </c>
      <c r="J410" s="5" t="str">
        <f>IFERROR(__xludf.DUMMYFUNCTION("IFERROR(TRIM(INDEX(SPLIT(E410,"" + ""),3)),"""")"),"")</f>
        <v/>
      </c>
      <c r="K410" s="3">
        <f>IFERROR(__xludf.DUMMYFUNCTION("IFERROR(IF(H410="""",0,INDEX(FILTER($Q$2:Q409,$C$2:C409=H410,$G$2:G409=G410),ROWS(FILTER($Q$2:Q409,$C$2:C409=H410,$G$2:G409=G410)),1)),1500)"),1601.0)</f>
        <v>1601</v>
      </c>
      <c r="L410" s="3">
        <f>IFERROR(__xludf.DUMMYFUNCTION("IFERROR(IF(I410="""",0,INDEX(FILTER($Q$2:Q409,$C$2:C409=I410,$G$2:G409=G410),ROWS(FILTER($Q$2:Q409,$C$2:C409=I410,$G$2:G409=G410)),1)),1500)"),1571.0)</f>
        <v>1571</v>
      </c>
      <c r="M410" s="3">
        <f>IFERROR(__xludf.DUMMYFUNCTION("IFERROR(IF(J410="""",0,INDEX(FILTER($Q$2:Q409,$C$2:C409=J410,$G$2:G409=G410),ROWS(FILTER($Q$2:Q409,$C$2:C409=J410,$G$2:G409=G410)),1)),1500)"),0.0)</f>
        <v>0</v>
      </c>
      <c r="N410" s="3">
        <f>IFERROR(__xludf.DUMMYFUNCTION("IFERROR(INDEX(FILTER($Q$2:Q409,$C$2:C409=C410,$G$2:G409=G410),ROWS(FILTER($Q$2:Q409,$C$2:C409=C410,$G$2:G409=G410)),1),1500)"),1563.0)</f>
        <v>1563</v>
      </c>
      <c r="O410" s="3">
        <f t="shared" si="3"/>
        <v>1586</v>
      </c>
      <c r="P410" s="9">
        <f t="shared" si="1"/>
        <v>17</v>
      </c>
      <c r="Q410" s="5">
        <f t="shared" si="2"/>
        <v>1580</v>
      </c>
    </row>
    <row r="411">
      <c r="A411" s="3" t="str">
        <f>IFERROR(__xludf.DUMMYFUNCTION("""COMPUTED_VALUE"""),"1dbcIAGCAY6SkPL_ZH-ql5nGnrYuwqE_m")</f>
        <v>1dbcIAGCAY6SkPL_ZH-ql5nGnrYuwqE_m</v>
      </c>
      <c r="B411" s="13">
        <f>IFERROR(__xludf.DUMMYFUNCTION("""COMPUTED_VALUE"""),45976.0)</f>
        <v>45976</v>
      </c>
      <c r="C411" s="3" t="str">
        <f>IFERROR(__xludf.DUMMYFUNCTION("""COMPUTED_VALUE"""),"Kesny")</f>
        <v>Kesny</v>
      </c>
      <c r="D411" s="3" t="str">
        <f>IFERROR(__xludf.DUMMYFUNCTION("""COMPUTED_VALUE"""),"Kesny + Malena")</f>
        <v>Kesny + Malena</v>
      </c>
      <c r="E411" s="3" t="str">
        <f>IFERROR(__xludf.DUMMYFUNCTION("""COMPUTED_VALUE"""),"Nebus. + ZeroO")</f>
        <v>Nebus. + ZeroO</v>
      </c>
      <c r="F411" s="3" t="str">
        <f>IFERROR(__xludf.DUMMYFUNCTION("""COMPUTED_VALUE"""),"win")</f>
        <v>win</v>
      </c>
      <c r="G411" s="3" t="str">
        <f>IFERROR(__xludf.DUMMYFUNCTION("""COMPUTED_VALUE"""),"2v2")</f>
        <v>2v2</v>
      </c>
      <c r="H411" s="3" t="str">
        <f>IFERROR(__xludf.DUMMYFUNCTION("IFERROR(TRIM(INDEX(SPLIT(E411,"" + ""),1)),"""")"),"Nebus.")</f>
        <v>Nebus.</v>
      </c>
      <c r="I411" s="3" t="str">
        <f>IFERROR(__xludf.DUMMYFUNCTION("IFERROR(TRIM(INDEX(SPLIT(E411,"" + ""),2)),"""")"),"ZeroO")</f>
        <v>ZeroO</v>
      </c>
      <c r="J411" s="5" t="str">
        <f>IFERROR(__xludf.DUMMYFUNCTION("IFERROR(TRIM(INDEX(SPLIT(E411,"" + ""),3)),"""")"),"")</f>
        <v/>
      </c>
      <c r="K411" s="3">
        <f>IFERROR(__xludf.DUMMYFUNCTION("IFERROR(IF(H411="""",0,INDEX(FILTER($Q$2:Q410,$C$2:C410=H411,$G$2:G410=G411),ROWS(FILTER($Q$2:Q410,$C$2:C410=H411,$G$2:G410=G411)),1)),1500)"),1601.0)</f>
        <v>1601</v>
      </c>
      <c r="L411" s="3">
        <f>IFERROR(__xludf.DUMMYFUNCTION("IFERROR(IF(I411="""",0,INDEX(FILTER($Q$2:Q410,$C$2:C410=I411,$G$2:G410=G411),ROWS(FILTER($Q$2:Q410,$C$2:C410=I411,$G$2:G410=G411)),1)),1500)"),1571.0)</f>
        <v>1571</v>
      </c>
      <c r="M411" s="3">
        <f>IFERROR(__xludf.DUMMYFUNCTION("IFERROR(IF(J411="""",0,INDEX(FILTER($Q$2:Q410,$C$2:C410=J411,$G$2:G410=G411),ROWS(FILTER($Q$2:Q410,$C$2:C410=J411,$G$2:G410=G411)),1)),1500)"),0.0)</f>
        <v>0</v>
      </c>
      <c r="N411" s="3">
        <f>IFERROR(__xludf.DUMMYFUNCTION("IFERROR(INDEX(FILTER($Q$2:Q410,$C$2:C410=C411,$G$2:G410=G411),ROWS(FILTER($Q$2:Q410,$C$2:C410=C411,$G$2:G410=G411)),1),1500)"),1401.0)</f>
        <v>1401</v>
      </c>
      <c r="O411" s="3">
        <f t="shared" si="3"/>
        <v>1586</v>
      </c>
      <c r="P411" s="9">
        <f t="shared" si="1"/>
        <v>24</v>
      </c>
      <c r="Q411" s="5">
        <f t="shared" si="2"/>
        <v>1425</v>
      </c>
    </row>
    <row r="412">
      <c r="A412" s="3" t="str">
        <f>IFERROR(__xludf.DUMMYFUNCTION("""COMPUTED_VALUE"""),"1dbcIAGCAY6SkPL_ZH-ql5nGnrYuwqE_m")</f>
        <v>1dbcIAGCAY6SkPL_ZH-ql5nGnrYuwqE_m</v>
      </c>
      <c r="B412" s="13">
        <f>IFERROR(__xludf.DUMMYFUNCTION("""COMPUTED_VALUE"""),45976.0)</f>
        <v>45976</v>
      </c>
      <c r="C412" s="3" t="str">
        <f>IFERROR(__xludf.DUMMYFUNCTION("""COMPUTED_VALUE"""),"ZeroO")</f>
        <v>ZeroO</v>
      </c>
      <c r="D412" s="3" t="str">
        <f>IFERROR(__xludf.DUMMYFUNCTION("""COMPUTED_VALUE"""),"Nebus. + ZeroO")</f>
        <v>Nebus. + ZeroO</v>
      </c>
      <c r="E412" s="3" t="str">
        <f>IFERROR(__xludf.DUMMYFUNCTION("""COMPUTED_VALUE"""),"Kesny + Malena")</f>
        <v>Kesny + Malena</v>
      </c>
      <c r="F412" s="3" t="str">
        <f>IFERROR(__xludf.DUMMYFUNCTION("""COMPUTED_VALUE"""),"loss")</f>
        <v>loss</v>
      </c>
      <c r="G412" s="3" t="str">
        <f>IFERROR(__xludf.DUMMYFUNCTION("""COMPUTED_VALUE"""),"2v2")</f>
        <v>2v2</v>
      </c>
      <c r="H412" s="3" t="str">
        <f>IFERROR(__xludf.DUMMYFUNCTION("IFERROR(TRIM(INDEX(SPLIT(E412,"" + ""),1)),"""")"),"Kesny")</f>
        <v>Kesny</v>
      </c>
      <c r="I412" s="3" t="str">
        <f>IFERROR(__xludf.DUMMYFUNCTION("IFERROR(TRIM(INDEX(SPLIT(E412,"" + ""),2)),"""")"),"Malena")</f>
        <v>Malena</v>
      </c>
      <c r="J412" s="5" t="str">
        <f>IFERROR(__xludf.DUMMYFUNCTION("IFERROR(TRIM(INDEX(SPLIT(E412,"" + ""),3)),"""")"),"")</f>
        <v/>
      </c>
      <c r="K412" s="3">
        <f>IFERROR(__xludf.DUMMYFUNCTION("IFERROR(IF(H412="""",0,INDEX(FILTER($Q$2:Q411,$C$2:C411=H412,$G$2:G411=G412),ROWS(FILTER($Q$2:Q411,$C$2:C411=H412,$G$2:G411=G412)),1)),1500)"),1425.0)</f>
        <v>1425</v>
      </c>
      <c r="L412" s="3">
        <f>IFERROR(__xludf.DUMMYFUNCTION("IFERROR(IF(I412="""",0,INDEX(FILTER($Q$2:Q411,$C$2:C411=I412,$G$2:G411=G412),ROWS(FILTER($Q$2:Q411,$C$2:C411=I412,$G$2:G411=G412)),1)),1500)"),1580.0)</f>
        <v>1580</v>
      </c>
      <c r="M412" s="3">
        <f>IFERROR(__xludf.DUMMYFUNCTION("IFERROR(IF(J412="""",0,INDEX(FILTER($Q$2:Q411,$C$2:C411=J412,$G$2:G411=G412),ROWS(FILTER($Q$2:Q411,$C$2:C411=J412,$G$2:G411=G412)),1)),1500)"),0.0)</f>
        <v>0</v>
      </c>
      <c r="N412" s="3">
        <f>IFERROR(__xludf.DUMMYFUNCTION("IFERROR(INDEX(FILTER($Q$2:Q411,$C$2:C411=C412,$G$2:G411=G412),ROWS(FILTER($Q$2:Q411,$C$2:C411=C412,$G$2:G411=G412)),1),1500)"),1571.0)</f>
        <v>1571</v>
      </c>
      <c r="O412" s="3">
        <f t="shared" si="3"/>
        <v>1502.5</v>
      </c>
      <c r="P412" s="9">
        <f t="shared" si="1"/>
        <v>-19</v>
      </c>
      <c r="Q412" s="5">
        <f t="shared" si="2"/>
        <v>1552</v>
      </c>
    </row>
    <row r="413">
      <c r="A413" s="3" t="str">
        <f>IFERROR(__xludf.DUMMYFUNCTION("""COMPUTED_VALUE"""),"1dbcIAGCAY6SkPL_ZH-ql5nGnrYuwqE_m")</f>
        <v>1dbcIAGCAY6SkPL_ZH-ql5nGnrYuwqE_m</v>
      </c>
      <c r="B413" s="13">
        <f>IFERROR(__xludf.DUMMYFUNCTION("""COMPUTED_VALUE"""),45976.0)</f>
        <v>45976</v>
      </c>
      <c r="C413" s="3" t="str">
        <f>IFERROR(__xludf.DUMMYFUNCTION("""COMPUTED_VALUE"""),"Nebus.")</f>
        <v>Nebus.</v>
      </c>
      <c r="D413" s="3" t="str">
        <f>IFERROR(__xludf.DUMMYFUNCTION("""COMPUTED_VALUE"""),"Nebus. + ZeroO")</f>
        <v>Nebus. + ZeroO</v>
      </c>
      <c r="E413" s="3" t="str">
        <f>IFERROR(__xludf.DUMMYFUNCTION("""COMPUTED_VALUE"""),"Kesny + Malena")</f>
        <v>Kesny + Malena</v>
      </c>
      <c r="F413" s="3" t="str">
        <f>IFERROR(__xludf.DUMMYFUNCTION("""COMPUTED_VALUE"""),"loss")</f>
        <v>loss</v>
      </c>
      <c r="G413" s="3" t="str">
        <f>IFERROR(__xludf.DUMMYFUNCTION("""COMPUTED_VALUE"""),"2v2")</f>
        <v>2v2</v>
      </c>
      <c r="H413" s="3" t="str">
        <f>IFERROR(__xludf.DUMMYFUNCTION("IFERROR(TRIM(INDEX(SPLIT(E413,"" + ""),1)),"""")"),"Kesny")</f>
        <v>Kesny</v>
      </c>
      <c r="I413" s="3" t="str">
        <f>IFERROR(__xludf.DUMMYFUNCTION("IFERROR(TRIM(INDEX(SPLIT(E413,"" + ""),2)),"""")"),"Malena")</f>
        <v>Malena</v>
      </c>
      <c r="J413" s="5" t="str">
        <f>IFERROR(__xludf.DUMMYFUNCTION("IFERROR(TRIM(INDEX(SPLIT(E413,"" + ""),3)),"""")"),"")</f>
        <v/>
      </c>
      <c r="K413" s="3">
        <f>IFERROR(__xludf.DUMMYFUNCTION("IFERROR(IF(H413="""",0,INDEX(FILTER($Q$2:Q412,$C$2:C412=H413,$G$2:G412=G413),ROWS(FILTER($Q$2:Q412,$C$2:C412=H413,$G$2:G412=G413)),1)),1500)"),1425.0)</f>
        <v>1425</v>
      </c>
      <c r="L413" s="3">
        <f>IFERROR(__xludf.DUMMYFUNCTION("IFERROR(IF(I413="""",0,INDEX(FILTER($Q$2:Q412,$C$2:C412=I413,$G$2:G412=G413),ROWS(FILTER($Q$2:Q412,$C$2:C412=I413,$G$2:G412=G413)),1)),1500)"),1580.0)</f>
        <v>1580</v>
      </c>
      <c r="M413" s="3">
        <f>IFERROR(__xludf.DUMMYFUNCTION("IFERROR(IF(J413="""",0,INDEX(FILTER($Q$2:Q412,$C$2:C412=J413,$G$2:G412=G413),ROWS(FILTER($Q$2:Q412,$C$2:C412=J413,$G$2:G412=G413)),1)),1500)"),0.0)</f>
        <v>0</v>
      </c>
      <c r="N413" s="3">
        <f>IFERROR(__xludf.DUMMYFUNCTION("IFERROR(INDEX(FILTER($Q$2:Q412,$C$2:C412=C413,$G$2:G412=G413),ROWS(FILTER($Q$2:Q412,$C$2:C412=C413,$G$2:G412=G413)),1),1500)"),1601.0)</f>
        <v>1601</v>
      </c>
      <c r="O413" s="3">
        <f t="shared" si="3"/>
        <v>1502.5</v>
      </c>
      <c r="P413" s="9">
        <f t="shared" si="1"/>
        <v>-20</v>
      </c>
      <c r="Q413" s="5">
        <f t="shared" si="2"/>
        <v>1581</v>
      </c>
    </row>
    <row r="414">
      <c r="A414" s="3" t="str">
        <f>IFERROR(__xludf.DUMMYFUNCTION("""COMPUTED_VALUE"""),"1qsemsnLVottWqmmpqvQXcGn_noB-Q_Nd")</f>
        <v>1qsemsnLVottWqmmpqvQXcGn_noB-Q_Nd</v>
      </c>
      <c r="B414" s="13">
        <f>IFERROR(__xludf.DUMMYFUNCTION("""COMPUTED_VALUE"""),45976.0)</f>
        <v>45976</v>
      </c>
      <c r="C414" s="3" t="str">
        <f>IFERROR(__xludf.DUMMYFUNCTION("""COMPUTED_VALUE"""),"Malena")</f>
        <v>Malena</v>
      </c>
      <c r="D414" s="3" t="str">
        <f>IFERROR(__xludf.DUMMYFUNCTION("""COMPUTED_VALUE"""),"Kesny + Malena")</f>
        <v>Kesny + Malena</v>
      </c>
      <c r="E414" s="3" t="str">
        <f>IFERROR(__xludf.DUMMYFUNCTION("""COMPUTED_VALUE"""),"Nebus. + ZeroO")</f>
        <v>Nebus. + ZeroO</v>
      </c>
      <c r="F414" s="3" t="str">
        <f>IFERROR(__xludf.DUMMYFUNCTION("""COMPUTED_VALUE"""),"win")</f>
        <v>win</v>
      </c>
      <c r="G414" s="3" t="str">
        <f>IFERROR(__xludf.DUMMYFUNCTION("""COMPUTED_VALUE"""),"2v2")</f>
        <v>2v2</v>
      </c>
      <c r="H414" s="3" t="str">
        <f>IFERROR(__xludf.DUMMYFUNCTION("IFERROR(TRIM(INDEX(SPLIT(E414,"" + ""),1)),"""")"),"Nebus.")</f>
        <v>Nebus.</v>
      </c>
      <c r="I414" s="3" t="str">
        <f>IFERROR(__xludf.DUMMYFUNCTION("IFERROR(TRIM(INDEX(SPLIT(E414,"" + ""),2)),"""")"),"ZeroO")</f>
        <v>ZeroO</v>
      </c>
      <c r="J414" s="5" t="str">
        <f>IFERROR(__xludf.DUMMYFUNCTION("IFERROR(TRIM(INDEX(SPLIT(E414,"" + ""),3)),"""")"),"")</f>
        <v/>
      </c>
      <c r="K414" s="3">
        <f>IFERROR(__xludf.DUMMYFUNCTION("IFERROR(IF(H414="""",0,INDEX(FILTER($Q$2:Q413,$C$2:C413=H414,$G$2:G413=G414),ROWS(FILTER($Q$2:Q413,$C$2:C413=H414,$G$2:G413=G414)),1)),1500)"),1581.0)</f>
        <v>1581</v>
      </c>
      <c r="L414" s="3">
        <f>IFERROR(__xludf.DUMMYFUNCTION("IFERROR(IF(I414="""",0,INDEX(FILTER($Q$2:Q413,$C$2:C413=I414,$G$2:G413=G414),ROWS(FILTER($Q$2:Q413,$C$2:C413=I414,$G$2:G413=G414)),1)),1500)"),1552.0)</f>
        <v>1552</v>
      </c>
      <c r="M414" s="3">
        <f>IFERROR(__xludf.DUMMYFUNCTION("IFERROR(IF(J414="""",0,INDEX(FILTER($Q$2:Q413,$C$2:C413=J414,$G$2:G413=G414),ROWS(FILTER($Q$2:Q413,$C$2:C413=J414,$G$2:G413=G414)),1)),1500)"),0.0)</f>
        <v>0</v>
      </c>
      <c r="N414" s="3">
        <f>IFERROR(__xludf.DUMMYFUNCTION("IFERROR(INDEX(FILTER($Q$2:Q413,$C$2:C413=C414,$G$2:G413=G414),ROWS(FILTER($Q$2:Q413,$C$2:C413=C414,$G$2:G413=G414)),1),1500)"),1580.0)</f>
        <v>1580</v>
      </c>
      <c r="O414" s="3">
        <f t="shared" si="3"/>
        <v>1566.5</v>
      </c>
      <c r="P414" s="9">
        <f t="shared" si="1"/>
        <v>15</v>
      </c>
      <c r="Q414" s="5">
        <f t="shared" si="2"/>
        <v>1595</v>
      </c>
    </row>
    <row r="415">
      <c r="A415" s="3" t="str">
        <f>IFERROR(__xludf.DUMMYFUNCTION("""COMPUTED_VALUE"""),"1qsemsnLVottWqmmpqvQXcGn_noB-Q_Nd")</f>
        <v>1qsemsnLVottWqmmpqvQXcGn_noB-Q_Nd</v>
      </c>
      <c r="B415" s="13">
        <f>IFERROR(__xludf.DUMMYFUNCTION("""COMPUTED_VALUE"""),45976.0)</f>
        <v>45976</v>
      </c>
      <c r="C415" s="3" t="str">
        <f>IFERROR(__xludf.DUMMYFUNCTION("""COMPUTED_VALUE"""),"Kesny")</f>
        <v>Kesny</v>
      </c>
      <c r="D415" s="3" t="str">
        <f>IFERROR(__xludf.DUMMYFUNCTION("""COMPUTED_VALUE"""),"Kesny + Malena")</f>
        <v>Kesny + Malena</v>
      </c>
      <c r="E415" s="3" t="str">
        <f>IFERROR(__xludf.DUMMYFUNCTION("""COMPUTED_VALUE"""),"Nebus. + ZeroO")</f>
        <v>Nebus. + ZeroO</v>
      </c>
      <c r="F415" s="3" t="str">
        <f>IFERROR(__xludf.DUMMYFUNCTION("""COMPUTED_VALUE"""),"win")</f>
        <v>win</v>
      </c>
      <c r="G415" s="3" t="str">
        <f>IFERROR(__xludf.DUMMYFUNCTION("""COMPUTED_VALUE"""),"2v2")</f>
        <v>2v2</v>
      </c>
      <c r="H415" s="3" t="str">
        <f>IFERROR(__xludf.DUMMYFUNCTION("IFERROR(TRIM(INDEX(SPLIT(E415,"" + ""),1)),"""")"),"Nebus.")</f>
        <v>Nebus.</v>
      </c>
      <c r="I415" s="3" t="str">
        <f>IFERROR(__xludf.DUMMYFUNCTION("IFERROR(TRIM(INDEX(SPLIT(E415,"" + ""),2)),"""")"),"ZeroO")</f>
        <v>ZeroO</v>
      </c>
      <c r="J415" s="5" t="str">
        <f>IFERROR(__xludf.DUMMYFUNCTION("IFERROR(TRIM(INDEX(SPLIT(E415,"" + ""),3)),"""")"),"")</f>
        <v/>
      </c>
      <c r="K415" s="3">
        <f>IFERROR(__xludf.DUMMYFUNCTION("IFERROR(IF(H415="""",0,INDEX(FILTER($Q$2:Q414,$C$2:C414=H415,$G$2:G414=G415),ROWS(FILTER($Q$2:Q414,$C$2:C414=H415,$G$2:G414=G415)),1)),1500)"),1581.0)</f>
        <v>1581</v>
      </c>
      <c r="L415" s="3">
        <f>IFERROR(__xludf.DUMMYFUNCTION("IFERROR(IF(I415="""",0,INDEX(FILTER($Q$2:Q414,$C$2:C414=I415,$G$2:G414=G415),ROWS(FILTER($Q$2:Q414,$C$2:C414=I415,$G$2:G414=G415)),1)),1500)"),1552.0)</f>
        <v>1552</v>
      </c>
      <c r="M415" s="3">
        <f>IFERROR(__xludf.DUMMYFUNCTION("IFERROR(IF(J415="""",0,INDEX(FILTER($Q$2:Q414,$C$2:C414=J415,$G$2:G414=G415),ROWS(FILTER($Q$2:Q414,$C$2:C414=J415,$G$2:G414=G415)),1)),1500)"),0.0)</f>
        <v>0</v>
      </c>
      <c r="N415" s="3">
        <f>IFERROR(__xludf.DUMMYFUNCTION("IFERROR(INDEX(FILTER($Q$2:Q414,$C$2:C414=C415,$G$2:G414=G415),ROWS(FILTER($Q$2:Q414,$C$2:C414=C415,$G$2:G414=G415)),1),1500)"),1425.0)</f>
        <v>1425</v>
      </c>
      <c r="O415" s="3">
        <f t="shared" si="3"/>
        <v>1566.5</v>
      </c>
      <c r="P415" s="9">
        <f t="shared" si="1"/>
        <v>22</v>
      </c>
      <c r="Q415" s="5">
        <f t="shared" si="2"/>
        <v>1447</v>
      </c>
    </row>
    <row r="416">
      <c r="A416" s="3" t="str">
        <f>IFERROR(__xludf.DUMMYFUNCTION("""COMPUTED_VALUE"""),"1qsemsnLVottWqmmpqvQXcGn_noB-Q_Nd")</f>
        <v>1qsemsnLVottWqmmpqvQXcGn_noB-Q_Nd</v>
      </c>
      <c r="B416" s="13">
        <f>IFERROR(__xludf.DUMMYFUNCTION("""COMPUTED_VALUE"""),45976.0)</f>
        <v>45976</v>
      </c>
      <c r="C416" s="3" t="str">
        <f>IFERROR(__xludf.DUMMYFUNCTION("""COMPUTED_VALUE"""),"ZeroO")</f>
        <v>ZeroO</v>
      </c>
      <c r="D416" s="3" t="str">
        <f>IFERROR(__xludf.DUMMYFUNCTION("""COMPUTED_VALUE"""),"Nebus. + ZeroO")</f>
        <v>Nebus. + ZeroO</v>
      </c>
      <c r="E416" s="3" t="str">
        <f>IFERROR(__xludf.DUMMYFUNCTION("""COMPUTED_VALUE"""),"Kesny + Malena")</f>
        <v>Kesny + Malena</v>
      </c>
      <c r="F416" s="3" t="str">
        <f>IFERROR(__xludf.DUMMYFUNCTION("""COMPUTED_VALUE"""),"loss")</f>
        <v>loss</v>
      </c>
      <c r="G416" s="3" t="str">
        <f>IFERROR(__xludf.DUMMYFUNCTION("""COMPUTED_VALUE"""),"2v2")</f>
        <v>2v2</v>
      </c>
      <c r="H416" s="3" t="str">
        <f>IFERROR(__xludf.DUMMYFUNCTION("IFERROR(TRIM(INDEX(SPLIT(E416,"" + ""),1)),"""")"),"Kesny")</f>
        <v>Kesny</v>
      </c>
      <c r="I416" s="3" t="str">
        <f>IFERROR(__xludf.DUMMYFUNCTION("IFERROR(TRIM(INDEX(SPLIT(E416,"" + ""),2)),"""")"),"Malena")</f>
        <v>Malena</v>
      </c>
      <c r="J416" s="5" t="str">
        <f>IFERROR(__xludf.DUMMYFUNCTION("IFERROR(TRIM(INDEX(SPLIT(E416,"" + ""),3)),"""")"),"")</f>
        <v/>
      </c>
      <c r="K416" s="3">
        <f>IFERROR(__xludf.DUMMYFUNCTION("IFERROR(IF(H416="""",0,INDEX(FILTER($Q$2:Q415,$C$2:C415=H416,$G$2:G415=G416),ROWS(FILTER($Q$2:Q415,$C$2:C415=H416,$G$2:G415=G416)),1)),1500)"),1447.0)</f>
        <v>1447</v>
      </c>
      <c r="L416" s="3">
        <f>IFERROR(__xludf.DUMMYFUNCTION("IFERROR(IF(I416="""",0,INDEX(FILTER($Q$2:Q415,$C$2:C415=I416,$G$2:G415=G416),ROWS(FILTER($Q$2:Q415,$C$2:C415=I416,$G$2:G415=G416)),1)),1500)"),1595.0)</f>
        <v>1595</v>
      </c>
      <c r="M416" s="3">
        <f>IFERROR(__xludf.DUMMYFUNCTION("IFERROR(IF(J416="""",0,INDEX(FILTER($Q$2:Q415,$C$2:C415=J416,$G$2:G415=G416),ROWS(FILTER($Q$2:Q415,$C$2:C415=J416,$G$2:G415=G416)),1)),1500)"),0.0)</f>
        <v>0</v>
      </c>
      <c r="N416" s="3">
        <f>IFERROR(__xludf.DUMMYFUNCTION("IFERROR(INDEX(FILTER($Q$2:Q415,$C$2:C415=C416,$G$2:G415=G416),ROWS(FILTER($Q$2:Q415,$C$2:C415=C416,$G$2:G415=G416)),1),1500)"),1552.0)</f>
        <v>1552</v>
      </c>
      <c r="O416" s="3">
        <f t="shared" si="3"/>
        <v>1521</v>
      </c>
      <c r="P416" s="9">
        <f t="shared" si="1"/>
        <v>-17</v>
      </c>
      <c r="Q416" s="5">
        <f t="shared" si="2"/>
        <v>1535</v>
      </c>
    </row>
    <row r="417">
      <c r="A417" s="3" t="str">
        <f>IFERROR(__xludf.DUMMYFUNCTION("""COMPUTED_VALUE"""),"1qsemsnLVottWqmmpqvQXcGn_noB-Q_Nd")</f>
        <v>1qsemsnLVottWqmmpqvQXcGn_noB-Q_Nd</v>
      </c>
      <c r="B417" s="13">
        <f>IFERROR(__xludf.DUMMYFUNCTION("""COMPUTED_VALUE"""),45976.0)</f>
        <v>45976</v>
      </c>
      <c r="C417" s="3" t="str">
        <f>IFERROR(__xludf.DUMMYFUNCTION("""COMPUTED_VALUE"""),"Nebus.")</f>
        <v>Nebus.</v>
      </c>
      <c r="D417" s="3" t="str">
        <f>IFERROR(__xludf.DUMMYFUNCTION("""COMPUTED_VALUE"""),"Nebus. + ZeroO")</f>
        <v>Nebus. + ZeroO</v>
      </c>
      <c r="E417" s="3" t="str">
        <f>IFERROR(__xludf.DUMMYFUNCTION("""COMPUTED_VALUE"""),"Kesny + Malena")</f>
        <v>Kesny + Malena</v>
      </c>
      <c r="F417" s="3" t="str">
        <f>IFERROR(__xludf.DUMMYFUNCTION("""COMPUTED_VALUE"""),"loss")</f>
        <v>loss</v>
      </c>
      <c r="G417" s="3" t="str">
        <f>IFERROR(__xludf.DUMMYFUNCTION("""COMPUTED_VALUE"""),"2v2")</f>
        <v>2v2</v>
      </c>
      <c r="H417" s="3" t="str">
        <f>IFERROR(__xludf.DUMMYFUNCTION("IFERROR(TRIM(INDEX(SPLIT(E417,"" + ""),1)),"""")"),"Kesny")</f>
        <v>Kesny</v>
      </c>
      <c r="I417" s="3" t="str">
        <f>IFERROR(__xludf.DUMMYFUNCTION("IFERROR(TRIM(INDEX(SPLIT(E417,"" + ""),2)),"""")"),"Malena")</f>
        <v>Malena</v>
      </c>
      <c r="J417" s="5" t="str">
        <f>IFERROR(__xludf.DUMMYFUNCTION("IFERROR(TRIM(INDEX(SPLIT(E417,"" + ""),3)),"""")"),"")</f>
        <v/>
      </c>
      <c r="K417" s="3">
        <f>IFERROR(__xludf.DUMMYFUNCTION("IFERROR(IF(H417="""",0,INDEX(FILTER($Q$2:Q416,$C$2:C416=H417,$G$2:G416=G417),ROWS(FILTER($Q$2:Q416,$C$2:C416=H417,$G$2:G416=G417)),1)),1500)"),1447.0)</f>
        <v>1447</v>
      </c>
      <c r="L417" s="3">
        <f>IFERROR(__xludf.DUMMYFUNCTION("IFERROR(IF(I417="""",0,INDEX(FILTER($Q$2:Q416,$C$2:C416=I417,$G$2:G416=G417),ROWS(FILTER($Q$2:Q416,$C$2:C416=I417,$G$2:G416=G417)),1)),1500)"),1595.0)</f>
        <v>1595</v>
      </c>
      <c r="M417" s="3">
        <f>IFERROR(__xludf.DUMMYFUNCTION("IFERROR(IF(J417="""",0,INDEX(FILTER($Q$2:Q416,$C$2:C416=J417,$G$2:G416=G417),ROWS(FILTER($Q$2:Q416,$C$2:C416=J417,$G$2:G416=G417)),1)),1500)"),0.0)</f>
        <v>0</v>
      </c>
      <c r="N417" s="3">
        <f>IFERROR(__xludf.DUMMYFUNCTION("IFERROR(INDEX(FILTER($Q$2:Q416,$C$2:C416=C417,$G$2:G416=G417),ROWS(FILTER($Q$2:Q416,$C$2:C416=C417,$G$2:G416=G417)),1),1500)"),1581.0)</f>
        <v>1581</v>
      </c>
      <c r="O417" s="3">
        <f t="shared" si="3"/>
        <v>1521</v>
      </c>
      <c r="P417" s="9">
        <f t="shared" si="1"/>
        <v>-19</v>
      </c>
      <c r="Q417" s="5">
        <f t="shared" si="2"/>
        <v>1562</v>
      </c>
    </row>
    <row r="418">
      <c r="A418" s="3" t="str">
        <f>IFERROR(__xludf.DUMMYFUNCTION("""COMPUTED_VALUE"""),"19MMPb7yutkosEmLcMoRnxlnbwcrPkK5A")</f>
        <v>19MMPb7yutkosEmLcMoRnxlnbwcrPkK5A</v>
      </c>
      <c r="B418" s="13">
        <f>IFERROR(__xludf.DUMMYFUNCTION("""COMPUTED_VALUE"""),45976.0)</f>
        <v>45976</v>
      </c>
      <c r="C418" s="3" t="str">
        <f>IFERROR(__xludf.DUMMYFUNCTION("""COMPUTED_VALUE"""),"Nebus.")</f>
        <v>Nebus.</v>
      </c>
      <c r="D418" s="3" t="str">
        <f>IFERROR(__xludf.DUMMYFUNCTION("""COMPUTED_VALUE"""),"Malena + Nebus.")</f>
        <v>Malena + Nebus.</v>
      </c>
      <c r="E418" s="3" t="str">
        <f>IFERROR(__xludf.DUMMYFUNCTION("""COMPUTED_VALUE"""),"Kesny + ZeroO")</f>
        <v>Kesny + ZeroO</v>
      </c>
      <c r="F418" s="3" t="str">
        <f>IFERROR(__xludf.DUMMYFUNCTION("""COMPUTED_VALUE"""),"win")</f>
        <v>win</v>
      </c>
      <c r="G418" s="3" t="str">
        <f>IFERROR(__xludf.DUMMYFUNCTION("""COMPUTED_VALUE"""),"2v2")</f>
        <v>2v2</v>
      </c>
      <c r="H418" s="3" t="str">
        <f>IFERROR(__xludf.DUMMYFUNCTION("IFERROR(TRIM(INDEX(SPLIT(E418,"" + ""),1)),"""")"),"Kesny")</f>
        <v>Kesny</v>
      </c>
      <c r="I418" s="3" t="str">
        <f>IFERROR(__xludf.DUMMYFUNCTION("IFERROR(TRIM(INDEX(SPLIT(E418,"" + ""),2)),"""")"),"ZeroO")</f>
        <v>ZeroO</v>
      </c>
      <c r="J418" s="5" t="str">
        <f>IFERROR(__xludf.DUMMYFUNCTION("IFERROR(TRIM(INDEX(SPLIT(E418,"" + ""),3)),"""")"),"")</f>
        <v/>
      </c>
      <c r="K418" s="3">
        <f>IFERROR(__xludf.DUMMYFUNCTION("IFERROR(IF(H418="""",0,INDEX(FILTER($Q$2:Q417,$C$2:C417=H418,$G$2:G417=G418),ROWS(FILTER($Q$2:Q417,$C$2:C417=H418,$G$2:G417=G418)),1)),1500)"),1447.0)</f>
        <v>1447</v>
      </c>
      <c r="L418" s="3">
        <f>IFERROR(__xludf.DUMMYFUNCTION("IFERROR(IF(I418="""",0,INDEX(FILTER($Q$2:Q417,$C$2:C417=I418,$G$2:G417=G418),ROWS(FILTER($Q$2:Q417,$C$2:C417=I418,$G$2:G417=G418)),1)),1500)"),1535.0)</f>
        <v>1535</v>
      </c>
      <c r="M418" s="3">
        <f>IFERROR(__xludf.DUMMYFUNCTION("IFERROR(IF(J418="""",0,INDEX(FILTER($Q$2:Q417,$C$2:C417=J418,$G$2:G417=G418),ROWS(FILTER($Q$2:Q417,$C$2:C417=J418,$G$2:G417=G418)),1)),1500)"),0.0)</f>
        <v>0</v>
      </c>
      <c r="N418" s="3">
        <f>IFERROR(__xludf.DUMMYFUNCTION("IFERROR(INDEX(FILTER($Q$2:Q417,$C$2:C417=C418,$G$2:G417=G418),ROWS(FILTER($Q$2:Q417,$C$2:C417=C418,$G$2:G417=G418)),1),1500)"),1562.0)</f>
        <v>1562</v>
      </c>
      <c r="O418" s="3">
        <f t="shared" si="3"/>
        <v>1491</v>
      </c>
      <c r="P418" s="9">
        <f t="shared" si="1"/>
        <v>13</v>
      </c>
      <c r="Q418" s="5">
        <f t="shared" si="2"/>
        <v>1575</v>
      </c>
    </row>
    <row r="419">
      <c r="A419" s="3" t="str">
        <f>IFERROR(__xludf.DUMMYFUNCTION("""COMPUTED_VALUE"""),"19MMPb7yutkosEmLcMoRnxlnbwcrPkK5A")</f>
        <v>19MMPb7yutkosEmLcMoRnxlnbwcrPkK5A</v>
      </c>
      <c r="B419" s="13">
        <f>IFERROR(__xludf.DUMMYFUNCTION("""COMPUTED_VALUE"""),45976.0)</f>
        <v>45976</v>
      </c>
      <c r="C419" s="3" t="str">
        <f>IFERROR(__xludf.DUMMYFUNCTION("""COMPUTED_VALUE"""),"Malena")</f>
        <v>Malena</v>
      </c>
      <c r="D419" s="3" t="str">
        <f>IFERROR(__xludf.DUMMYFUNCTION("""COMPUTED_VALUE"""),"Malena + Nebus.")</f>
        <v>Malena + Nebus.</v>
      </c>
      <c r="E419" s="3" t="str">
        <f>IFERROR(__xludf.DUMMYFUNCTION("""COMPUTED_VALUE"""),"Kesny + ZeroO")</f>
        <v>Kesny + ZeroO</v>
      </c>
      <c r="F419" s="3" t="str">
        <f>IFERROR(__xludf.DUMMYFUNCTION("""COMPUTED_VALUE"""),"win")</f>
        <v>win</v>
      </c>
      <c r="G419" s="3" t="str">
        <f>IFERROR(__xludf.DUMMYFUNCTION("""COMPUTED_VALUE"""),"2v2")</f>
        <v>2v2</v>
      </c>
      <c r="H419" s="3" t="str">
        <f>IFERROR(__xludf.DUMMYFUNCTION("IFERROR(TRIM(INDEX(SPLIT(E419,"" + ""),1)),"""")"),"Kesny")</f>
        <v>Kesny</v>
      </c>
      <c r="I419" s="3" t="str">
        <f>IFERROR(__xludf.DUMMYFUNCTION("IFERROR(TRIM(INDEX(SPLIT(E419,"" + ""),2)),"""")"),"ZeroO")</f>
        <v>ZeroO</v>
      </c>
      <c r="J419" s="5" t="str">
        <f>IFERROR(__xludf.DUMMYFUNCTION("IFERROR(TRIM(INDEX(SPLIT(E419,"" + ""),3)),"""")"),"")</f>
        <v/>
      </c>
      <c r="K419" s="3">
        <f>IFERROR(__xludf.DUMMYFUNCTION("IFERROR(IF(H419="""",0,INDEX(FILTER($Q$2:Q418,$C$2:C418=H419,$G$2:G418=G419),ROWS(FILTER($Q$2:Q418,$C$2:C418=H419,$G$2:G418=G419)),1)),1500)"),1447.0)</f>
        <v>1447</v>
      </c>
      <c r="L419" s="3">
        <f>IFERROR(__xludf.DUMMYFUNCTION("IFERROR(IF(I419="""",0,INDEX(FILTER($Q$2:Q418,$C$2:C418=I419,$G$2:G418=G419),ROWS(FILTER($Q$2:Q418,$C$2:C418=I419,$G$2:G418=G419)),1)),1500)"),1535.0)</f>
        <v>1535</v>
      </c>
      <c r="M419" s="3">
        <f>IFERROR(__xludf.DUMMYFUNCTION("IFERROR(IF(J419="""",0,INDEX(FILTER($Q$2:Q418,$C$2:C418=J419,$G$2:G418=G419),ROWS(FILTER($Q$2:Q418,$C$2:C418=J419,$G$2:G418=G419)),1)),1500)"),0.0)</f>
        <v>0</v>
      </c>
      <c r="N419" s="3">
        <f>IFERROR(__xludf.DUMMYFUNCTION("IFERROR(INDEX(FILTER($Q$2:Q418,$C$2:C418=C419,$G$2:G418=G419),ROWS(FILTER($Q$2:Q418,$C$2:C418=C419,$G$2:G418=G419)),1),1500)"),1595.0)</f>
        <v>1595</v>
      </c>
      <c r="O419" s="3">
        <f t="shared" si="3"/>
        <v>1491</v>
      </c>
      <c r="P419" s="9">
        <f t="shared" si="1"/>
        <v>11</v>
      </c>
      <c r="Q419" s="5">
        <f t="shared" si="2"/>
        <v>1606</v>
      </c>
    </row>
    <row r="420">
      <c r="A420" s="3" t="str">
        <f>IFERROR(__xludf.DUMMYFUNCTION("""COMPUTED_VALUE"""),"19MMPb7yutkosEmLcMoRnxlnbwcrPkK5A")</f>
        <v>19MMPb7yutkosEmLcMoRnxlnbwcrPkK5A</v>
      </c>
      <c r="B420" s="13">
        <f>IFERROR(__xludf.DUMMYFUNCTION("""COMPUTED_VALUE"""),45976.0)</f>
        <v>45976</v>
      </c>
      <c r="C420" s="3" t="str">
        <f>IFERROR(__xludf.DUMMYFUNCTION("""COMPUTED_VALUE"""),"ZeroO")</f>
        <v>ZeroO</v>
      </c>
      <c r="D420" s="3" t="str">
        <f>IFERROR(__xludf.DUMMYFUNCTION("""COMPUTED_VALUE"""),"Kesny + ZeroO")</f>
        <v>Kesny + ZeroO</v>
      </c>
      <c r="E420" s="3" t="str">
        <f>IFERROR(__xludf.DUMMYFUNCTION("""COMPUTED_VALUE"""),"Malena + Nebus.")</f>
        <v>Malena + Nebus.</v>
      </c>
      <c r="F420" s="3" t="str">
        <f>IFERROR(__xludf.DUMMYFUNCTION("""COMPUTED_VALUE"""),"loss")</f>
        <v>loss</v>
      </c>
      <c r="G420" s="3" t="str">
        <f>IFERROR(__xludf.DUMMYFUNCTION("""COMPUTED_VALUE"""),"2v2")</f>
        <v>2v2</v>
      </c>
      <c r="H420" s="3" t="str">
        <f>IFERROR(__xludf.DUMMYFUNCTION("IFERROR(TRIM(INDEX(SPLIT(E420,"" + ""),1)),"""")"),"Malena")</f>
        <v>Malena</v>
      </c>
      <c r="I420" s="3" t="str">
        <f>IFERROR(__xludf.DUMMYFUNCTION("IFERROR(TRIM(INDEX(SPLIT(E420,"" + ""),2)),"""")"),"Nebus.")</f>
        <v>Nebus.</v>
      </c>
      <c r="J420" s="5" t="str">
        <f>IFERROR(__xludf.DUMMYFUNCTION("IFERROR(TRIM(INDEX(SPLIT(E420,"" + ""),3)),"""")"),"")</f>
        <v/>
      </c>
      <c r="K420" s="3">
        <f>IFERROR(__xludf.DUMMYFUNCTION("IFERROR(IF(H420="""",0,INDEX(FILTER($Q$2:Q419,$C$2:C419=H420,$G$2:G419=G420),ROWS(FILTER($Q$2:Q419,$C$2:C419=H420,$G$2:G419=G420)),1)),1500)"),1606.0)</f>
        <v>1606</v>
      </c>
      <c r="L420" s="3">
        <f>IFERROR(__xludf.DUMMYFUNCTION("IFERROR(IF(I420="""",0,INDEX(FILTER($Q$2:Q419,$C$2:C419=I420,$G$2:G419=G420),ROWS(FILTER($Q$2:Q419,$C$2:C419=I420,$G$2:G419=G420)),1)),1500)"),1575.0)</f>
        <v>1575</v>
      </c>
      <c r="M420" s="3">
        <f>IFERROR(__xludf.DUMMYFUNCTION("IFERROR(IF(J420="""",0,INDEX(FILTER($Q$2:Q419,$C$2:C419=J420,$G$2:G419=G420),ROWS(FILTER($Q$2:Q419,$C$2:C419=J420,$G$2:G419=G420)),1)),1500)"),0.0)</f>
        <v>0</v>
      </c>
      <c r="N420" s="3">
        <f>IFERROR(__xludf.DUMMYFUNCTION("IFERROR(INDEX(FILTER($Q$2:Q419,$C$2:C419=C420,$G$2:G419=G420),ROWS(FILTER($Q$2:Q419,$C$2:C419=C420,$G$2:G419=G420)),1),1500)"),1535.0)</f>
        <v>1535</v>
      </c>
      <c r="O420" s="3">
        <f t="shared" si="3"/>
        <v>1590.5</v>
      </c>
      <c r="P420" s="9">
        <f t="shared" si="1"/>
        <v>-13</v>
      </c>
      <c r="Q420" s="5">
        <f t="shared" si="2"/>
        <v>1522</v>
      </c>
    </row>
    <row r="421">
      <c r="A421" s="3" t="str">
        <f>IFERROR(__xludf.DUMMYFUNCTION("""COMPUTED_VALUE"""),"19MMPb7yutkosEmLcMoRnxlnbwcrPkK5A")</f>
        <v>19MMPb7yutkosEmLcMoRnxlnbwcrPkK5A</v>
      </c>
      <c r="B421" s="13">
        <f>IFERROR(__xludf.DUMMYFUNCTION("""COMPUTED_VALUE"""),45976.0)</f>
        <v>45976</v>
      </c>
      <c r="C421" s="3" t="str">
        <f>IFERROR(__xludf.DUMMYFUNCTION("""COMPUTED_VALUE"""),"Kesny")</f>
        <v>Kesny</v>
      </c>
      <c r="D421" s="3" t="str">
        <f>IFERROR(__xludf.DUMMYFUNCTION("""COMPUTED_VALUE"""),"Kesny + ZeroO")</f>
        <v>Kesny + ZeroO</v>
      </c>
      <c r="E421" s="3" t="str">
        <f>IFERROR(__xludf.DUMMYFUNCTION("""COMPUTED_VALUE"""),"Malena + Nebus.")</f>
        <v>Malena + Nebus.</v>
      </c>
      <c r="F421" s="3" t="str">
        <f>IFERROR(__xludf.DUMMYFUNCTION("""COMPUTED_VALUE"""),"loss")</f>
        <v>loss</v>
      </c>
      <c r="G421" s="3" t="str">
        <f>IFERROR(__xludf.DUMMYFUNCTION("""COMPUTED_VALUE"""),"2v2")</f>
        <v>2v2</v>
      </c>
      <c r="H421" s="3" t="str">
        <f>IFERROR(__xludf.DUMMYFUNCTION("IFERROR(TRIM(INDEX(SPLIT(E421,"" + ""),1)),"""")"),"Malena")</f>
        <v>Malena</v>
      </c>
      <c r="I421" s="3" t="str">
        <f>IFERROR(__xludf.DUMMYFUNCTION("IFERROR(TRIM(INDEX(SPLIT(E421,"" + ""),2)),"""")"),"Nebus.")</f>
        <v>Nebus.</v>
      </c>
      <c r="J421" s="5" t="str">
        <f>IFERROR(__xludf.DUMMYFUNCTION("IFERROR(TRIM(INDEX(SPLIT(E421,"" + ""),3)),"""")"),"")</f>
        <v/>
      </c>
      <c r="K421" s="3">
        <f>IFERROR(__xludf.DUMMYFUNCTION("IFERROR(IF(H421="""",0,INDEX(FILTER($Q$2:Q420,$C$2:C420=H421,$G$2:G420=G421),ROWS(FILTER($Q$2:Q420,$C$2:C420=H421,$G$2:G420=G421)),1)),1500)"),1606.0)</f>
        <v>1606</v>
      </c>
      <c r="L421" s="3">
        <f>IFERROR(__xludf.DUMMYFUNCTION("IFERROR(IF(I421="""",0,INDEX(FILTER($Q$2:Q420,$C$2:C420=I421,$G$2:G420=G421),ROWS(FILTER($Q$2:Q420,$C$2:C420=I421,$G$2:G420=G421)),1)),1500)"),1575.0)</f>
        <v>1575</v>
      </c>
      <c r="M421" s="3">
        <f>IFERROR(__xludf.DUMMYFUNCTION("IFERROR(IF(J421="""",0,INDEX(FILTER($Q$2:Q420,$C$2:C420=J421,$G$2:G420=G421),ROWS(FILTER($Q$2:Q420,$C$2:C420=J421,$G$2:G420=G421)),1)),1500)"),0.0)</f>
        <v>0</v>
      </c>
      <c r="N421" s="3">
        <f>IFERROR(__xludf.DUMMYFUNCTION("IFERROR(INDEX(FILTER($Q$2:Q420,$C$2:C420=C421,$G$2:G420=G421),ROWS(FILTER($Q$2:Q420,$C$2:C420=C421,$G$2:G420=G421)),1),1500)"),1447.0)</f>
        <v>1447</v>
      </c>
      <c r="O421" s="3">
        <f t="shared" si="3"/>
        <v>1590.5</v>
      </c>
      <c r="P421" s="9">
        <f t="shared" si="1"/>
        <v>-10</v>
      </c>
      <c r="Q421" s="5">
        <f t="shared" si="2"/>
        <v>1437</v>
      </c>
    </row>
    <row r="422">
      <c r="A422" s="3" t="str">
        <f>IFERROR(__xludf.DUMMYFUNCTION("""COMPUTED_VALUE"""),"1rwBHx45VHEYn3nuiJ1jBeJr13s_1S5I9")</f>
        <v>1rwBHx45VHEYn3nuiJ1jBeJr13s_1S5I9</v>
      </c>
      <c r="B422" s="13">
        <f>IFERROR(__xludf.DUMMYFUNCTION("""COMPUTED_VALUE"""),45976.0)</f>
        <v>45976</v>
      </c>
      <c r="C422" s="3" t="str">
        <f>IFERROR(__xludf.DUMMYFUNCTION("""COMPUTED_VALUE"""),"Nebus.")</f>
        <v>Nebus.</v>
      </c>
      <c r="D422" s="3" t="str">
        <f>IFERROR(__xludf.DUMMYFUNCTION("""COMPUTED_VALUE"""),"Kesny + Nebus.")</f>
        <v>Kesny + Nebus.</v>
      </c>
      <c r="E422" s="3" t="str">
        <f>IFERROR(__xludf.DUMMYFUNCTION("""COMPUTED_VALUE"""),"Malena + ZeroO")</f>
        <v>Malena + ZeroO</v>
      </c>
      <c r="F422" s="3" t="str">
        <f>IFERROR(__xludf.DUMMYFUNCTION("""COMPUTED_VALUE"""),"loss")</f>
        <v>loss</v>
      </c>
      <c r="G422" s="3" t="str">
        <f>IFERROR(__xludf.DUMMYFUNCTION("""COMPUTED_VALUE"""),"2v2")</f>
        <v>2v2</v>
      </c>
      <c r="H422" s="3" t="str">
        <f>IFERROR(__xludf.DUMMYFUNCTION("IFERROR(TRIM(INDEX(SPLIT(E422,"" + ""),1)),"""")"),"Malena")</f>
        <v>Malena</v>
      </c>
      <c r="I422" s="3" t="str">
        <f>IFERROR(__xludf.DUMMYFUNCTION("IFERROR(TRIM(INDEX(SPLIT(E422,"" + ""),2)),"""")"),"ZeroO")</f>
        <v>ZeroO</v>
      </c>
      <c r="J422" s="5" t="str">
        <f>IFERROR(__xludf.DUMMYFUNCTION("IFERROR(TRIM(INDEX(SPLIT(E422,"" + ""),3)),"""")"),"")</f>
        <v/>
      </c>
      <c r="K422" s="3">
        <f>IFERROR(__xludf.DUMMYFUNCTION("IFERROR(IF(H422="""",0,INDEX(FILTER($Q$2:Q421,$C$2:C421=H422,$G$2:G421=G422),ROWS(FILTER($Q$2:Q421,$C$2:C421=H422,$G$2:G421=G422)),1)),1500)"),1606.0)</f>
        <v>1606</v>
      </c>
      <c r="L422" s="3">
        <f>IFERROR(__xludf.DUMMYFUNCTION("IFERROR(IF(I422="""",0,INDEX(FILTER($Q$2:Q421,$C$2:C421=I422,$G$2:G421=G422),ROWS(FILTER($Q$2:Q421,$C$2:C421=I422,$G$2:G421=G422)),1)),1500)"),1522.0)</f>
        <v>1522</v>
      </c>
      <c r="M422" s="3">
        <f>IFERROR(__xludf.DUMMYFUNCTION("IFERROR(IF(J422="""",0,INDEX(FILTER($Q$2:Q421,$C$2:C421=J422,$G$2:G421=G422),ROWS(FILTER($Q$2:Q421,$C$2:C421=J422,$G$2:G421=G422)),1)),1500)"),0.0)</f>
        <v>0</v>
      </c>
      <c r="N422" s="3">
        <f>IFERROR(__xludf.DUMMYFUNCTION("IFERROR(INDEX(FILTER($Q$2:Q421,$C$2:C421=C422,$G$2:G421=G422),ROWS(FILTER($Q$2:Q421,$C$2:C421=C422,$G$2:G421=G422)),1),1500)"),1575.0)</f>
        <v>1575</v>
      </c>
      <c r="O422" s="3">
        <f t="shared" si="3"/>
        <v>1564</v>
      </c>
      <c r="P422" s="9">
        <f t="shared" si="1"/>
        <v>-17</v>
      </c>
      <c r="Q422" s="5">
        <f t="shared" si="2"/>
        <v>1558</v>
      </c>
    </row>
    <row r="423">
      <c r="A423" s="3" t="str">
        <f>IFERROR(__xludf.DUMMYFUNCTION("""COMPUTED_VALUE"""),"1rwBHx45VHEYn3nuiJ1jBeJr13s_1S5I9")</f>
        <v>1rwBHx45VHEYn3nuiJ1jBeJr13s_1S5I9</v>
      </c>
      <c r="B423" s="13">
        <f>IFERROR(__xludf.DUMMYFUNCTION("""COMPUTED_VALUE"""),45976.0)</f>
        <v>45976</v>
      </c>
      <c r="C423" s="3" t="str">
        <f>IFERROR(__xludf.DUMMYFUNCTION("""COMPUTED_VALUE"""),"Kesny")</f>
        <v>Kesny</v>
      </c>
      <c r="D423" s="3" t="str">
        <f>IFERROR(__xludf.DUMMYFUNCTION("""COMPUTED_VALUE"""),"Kesny + Nebus.")</f>
        <v>Kesny + Nebus.</v>
      </c>
      <c r="E423" s="3" t="str">
        <f>IFERROR(__xludf.DUMMYFUNCTION("""COMPUTED_VALUE"""),"Malena + ZeroO")</f>
        <v>Malena + ZeroO</v>
      </c>
      <c r="F423" s="3" t="str">
        <f>IFERROR(__xludf.DUMMYFUNCTION("""COMPUTED_VALUE"""),"loss")</f>
        <v>loss</v>
      </c>
      <c r="G423" s="3" t="str">
        <f>IFERROR(__xludf.DUMMYFUNCTION("""COMPUTED_VALUE"""),"2v2")</f>
        <v>2v2</v>
      </c>
      <c r="H423" s="3" t="str">
        <f>IFERROR(__xludf.DUMMYFUNCTION("IFERROR(TRIM(INDEX(SPLIT(E423,"" + ""),1)),"""")"),"Malena")</f>
        <v>Malena</v>
      </c>
      <c r="I423" s="3" t="str">
        <f>IFERROR(__xludf.DUMMYFUNCTION("IFERROR(TRIM(INDEX(SPLIT(E423,"" + ""),2)),"""")"),"ZeroO")</f>
        <v>ZeroO</v>
      </c>
      <c r="J423" s="5" t="str">
        <f>IFERROR(__xludf.DUMMYFUNCTION("IFERROR(TRIM(INDEX(SPLIT(E423,"" + ""),3)),"""")"),"")</f>
        <v/>
      </c>
      <c r="K423" s="3">
        <f>IFERROR(__xludf.DUMMYFUNCTION("IFERROR(IF(H423="""",0,INDEX(FILTER($Q$2:Q422,$C$2:C422=H423,$G$2:G422=G423),ROWS(FILTER($Q$2:Q422,$C$2:C422=H423,$G$2:G422=G423)),1)),1500)"),1606.0)</f>
        <v>1606</v>
      </c>
      <c r="L423" s="3">
        <f>IFERROR(__xludf.DUMMYFUNCTION("IFERROR(IF(I423="""",0,INDEX(FILTER($Q$2:Q422,$C$2:C422=I423,$G$2:G422=G423),ROWS(FILTER($Q$2:Q422,$C$2:C422=I423,$G$2:G422=G423)),1)),1500)"),1522.0)</f>
        <v>1522</v>
      </c>
      <c r="M423" s="3">
        <f>IFERROR(__xludf.DUMMYFUNCTION("IFERROR(IF(J423="""",0,INDEX(FILTER($Q$2:Q422,$C$2:C422=J423,$G$2:G422=G423),ROWS(FILTER($Q$2:Q422,$C$2:C422=J423,$G$2:G422=G423)),1)),1500)"),0.0)</f>
        <v>0</v>
      </c>
      <c r="N423" s="3">
        <f>IFERROR(__xludf.DUMMYFUNCTION("IFERROR(INDEX(FILTER($Q$2:Q422,$C$2:C422=C423,$G$2:G422=G423),ROWS(FILTER($Q$2:Q422,$C$2:C422=C423,$G$2:G422=G423)),1),1500)"),1437.0)</f>
        <v>1437</v>
      </c>
      <c r="O423" s="3">
        <f t="shared" si="3"/>
        <v>1564</v>
      </c>
      <c r="P423" s="9">
        <f t="shared" si="1"/>
        <v>-10</v>
      </c>
      <c r="Q423" s="5">
        <f t="shared" si="2"/>
        <v>1427</v>
      </c>
    </row>
    <row r="424">
      <c r="A424" s="3" t="str">
        <f>IFERROR(__xludf.DUMMYFUNCTION("""COMPUTED_VALUE"""),"1rwBHx45VHEYn3nuiJ1jBeJr13s_1S5I9")</f>
        <v>1rwBHx45VHEYn3nuiJ1jBeJr13s_1S5I9</v>
      </c>
      <c r="B424" s="13">
        <f>IFERROR(__xludf.DUMMYFUNCTION("""COMPUTED_VALUE"""),45976.0)</f>
        <v>45976</v>
      </c>
      <c r="C424" s="3" t="str">
        <f>IFERROR(__xludf.DUMMYFUNCTION("""COMPUTED_VALUE"""),"ZeroO")</f>
        <v>ZeroO</v>
      </c>
      <c r="D424" s="3" t="str">
        <f>IFERROR(__xludf.DUMMYFUNCTION("""COMPUTED_VALUE"""),"Malena + ZeroO")</f>
        <v>Malena + ZeroO</v>
      </c>
      <c r="E424" s="3" t="str">
        <f>IFERROR(__xludf.DUMMYFUNCTION("""COMPUTED_VALUE"""),"Kesny + Nebus.")</f>
        <v>Kesny + Nebus.</v>
      </c>
      <c r="F424" s="3" t="str">
        <f>IFERROR(__xludf.DUMMYFUNCTION("""COMPUTED_VALUE"""),"win")</f>
        <v>win</v>
      </c>
      <c r="G424" s="3" t="str">
        <f>IFERROR(__xludf.DUMMYFUNCTION("""COMPUTED_VALUE"""),"2v2")</f>
        <v>2v2</v>
      </c>
      <c r="H424" s="3" t="str">
        <f>IFERROR(__xludf.DUMMYFUNCTION("IFERROR(TRIM(INDEX(SPLIT(E424,"" + ""),1)),"""")"),"Kesny")</f>
        <v>Kesny</v>
      </c>
      <c r="I424" s="3" t="str">
        <f>IFERROR(__xludf.DUMMYFUNCTION("IFERROR(TRIM(INDEX(SPLIT(E424,"" + ""),2)),"""")"),"Nebus.")</f>
        <v>Nebus.</v>
      </c>
      <c r="J424" s="5" t="str">
        <f>IFERROR(__xludf.DUMMYFUNCTION("IFERROR(TRIM(INDEX(SPLIT(E424,"" + ""),3)),"""")"),"")</f>
        <v/>
      </c>
      <c r="K424" s="3">
        <f>IFERROR(__xludf.DUMMYFUNCTION("IFERROR(IF(H424="""",0,INDEX(FILTER($Q$2:Q423,$C$2:C423=H424,$G$2:G423=G424),ROWS(FILTER($Q$2:Q423,$C$2:C423=H424,$G$2:G423=G424)),1)),1500)"),1427.0)</f>
        <v>1427</v>
      </c>
      <c r="L424" s="3">
        <f>IFERROR(__xludf.DUMMYFUNCTION("IFERROR(IF(I424="""",0,INDEX(FILTER($Q$2:Q423,$C$2:C423=I424,$G$2:G423=G424),ROWS(FILTER($Q$2:Q423,$C$2:C423=I424,$G$2:G423=G424)),1)),1500)"),1558.0)</f>
        <v>1558</v>
      </c>
      <c r="M424" s="3">
        <f>IFERROR(__xludf.DUMMYFUNCTION("IFERROR(IF(J424="""",0,INDEX(FILTER($Q$2:Q423,$C$2:C423=J424,$G$2:G423=G424),ROWS(FILTER($Q$2:Q423,$C$2:C423=J424,$G$2:G423=G424)),1)),1500)"),0.0)</f>
        <v>0</v>
      </c>
      <c r="N424" s="3">
        <f>IFERROR(__xludf.DUMMYFUNCTION("IFERROR(INDEX(FILTER($Q$2:Q423,$C$2:C423=C424,$G$2:G423=G424),ROWS(FILTER($Q$2:Q423,$C$2:C423=C424,$G$2:G423=G424)),1),1500)"),1522.0)</f>
        <v>1522</v>
      </c>
      <c r="O424" s="3">
        <f t="shared" si="3"/>
        <v>1492.5</v>
      </c>
      <c r="P424" s="9">
        <f t="shared" si="1"/>
        <v>15</v>
      </c>
      <c r="Q424" s="5">
        <f t="shared" si="2"/>
        <v>1537</v>
      </c>
    </row>
    <row r="425">
      <c r="A425" s="3" t="str">
        <f>IFERROR(__xludf.DUMMYFUNCTION("""COMPUTED_VALUE"""),"1rwBHx45VHEYn3nuiJ1jBeJr13s_1S5I9")</f>
        <v>1rwBHx45VHEYn3nuiJ1jBeJr13s_1S5I9</v>
      </c>
      <c r="B425" s="13">
        <f>IFERROR(__xludf.DUMMYFUNCTION("""COMPUTED_VALUE"""),45976.0)</f>
        <v>45976</v>
      </c>
      <c r="C425" s="3" t="str">
        <f>IFERROR(__xludf.DUMMYFUNCTION("""COMPUTED_VALUE"""),"Malena")</f>
        <v>Malena</v>
      </c>
      <c r="D425" s="3" t="str">
        <f>IFERROR(__xludf.DUMMYFUNCTION("""COMPUTED_VALUE"""),"Malena + ZeroO")</f>
        <v>Malena + ZeroO</v>
      </c>
      <c r="E425" s="3" t="str">
        <f>IFERROR(__xludf.DUMMYFUNCTION("""COMPUTED_VALUE"""),"Kesny + Nebus.")</f>
        <v>Kesny + Nebus.</v>
      </c>
      <c r="F425" s="3" t="str">
        <f>IFERROR(__xludf.DUMMYFUNCTION("""COMPUTED_VALUE"""),"win")</f>
        <v>win</v>
      </c>
      <c r="G425" s="3" t="str">
        <f>IFERROR(__xludf.DUMMYFUNCTION("""COMPUTED_VALUE"""),"2v2")</f>
        <v>2v2</v>
      </c>
      <c r="H425" s="3" t="str">
        <f>IFERROR(__xludf.DUMMYFUNCTION("IFERROR(TRIM(INDEX(SPLIT(E425,"" + ""),1)),"""")"),"Kesny")</f>
        <v>Kesny</v>
      </c>
      <c r="I425" s="3" t="str">
        <f>IFERROR(__xludf.DUMMYFUNCTION("IFERROR(TRIM(INDEX(SPLIT(E425,"" + ""),2)),"""")"),"Nebus.")</f>
        <v>Nebus.</v>
      </c>
      <c r="J425" s="5" t="str">
        <f>IFERROR(__xludf.DUMMYFUNCTION("IFERROR(TRIM(INDEX(SPLIT(E425,"" + ""),3)),"""")"),"")</f>
        <v/>
      </c>
      <c r="K425" s="3">
        <f>IFERROR(__xludf.DUMMYFUNCTION("IFERROR(IF(H425="""",0,INDEX(FILTER($Q$2:Q424,$C$2:C424=H425,$G$2:G424=G425),ROWS(FILTER($Q$2:Q424,$C$2:C424=H425,$G$2:G424=G425)),1)),1500)"),1427.0)</f>
        <v>1427</v>
      </c>
      <c r="L425" s="3">
        <f>IFERROR(__xludf.DUMMYFUNCTION("IFERROR(IF(I425="""",0,INDEX(FILTER($Q$2:Q424,$C$2:C424=I425,$G$2:G424=G425),ROWS(FILTER($Q$2:Q424,$C$2:C424=I425,$G$2:G424=G425)),1)),1500)"),1558.0)</f>
        <v>1558</v>
      </c>
      <c r="M425" s="3">
        <f>IFERROR(__xludf.DUMMYFUNCTION("IFERROR(IF(J425="""",0,INDEX(FILTER($Q$2:Q424,$C$2:C424=J425,$G$2:G424=G425),ROWS(FILTER($Q$2:Q424,$C$2:C424=J425,$G$2:G424=G425)),1)),1500)"),0.0)</f>
        <v>0</v>
      </c>
      <c r="N425" s="3">
        <f>IFERROR(__xludf.DUMMYFUNCTION("IFERROR(INDEX(FILTER($Q$2:Q424,$C$2:C424=C425,$G$2:G424=G425),ROWS(FILTER($Q$2:Q424,$C$2:C424=C425,$G$2:G424=G425)),1),1500)"),1606.0)</f>
        <v>1606</v>
      </c>
      <c r="O425" s="3">
        <f t="shared" si="3"/>
        <v>1492.5</v>
      </c>
      <c r="P425" s="9">
        <f t="shared" si="1"/>
        <v>11</v>
      </c>
      <c r="Q425" s="5">
        <f t="shared" si="2"/>
        <v>1617</v>
      </c>
    </row>
    <row r="426">
      <c r="A426" s="3" t="str">
        <f>IFERROR(__xludf.DUMMYFUNCTION("""COMPUTED_VALUE"""),"1FDmtd1C4UXJ25y0Y18vCOyZ7oAaShlKF")</f>
        <v>1FDmtd1C4UXJ25y0Y18vCOyZ7oAaShlKF</v>
      </c>
      <c r="B426" s="3" t="str">
        <f>IFERROR(__xludf.DUMMYFUNCTION("""COMPUTED_VALUE"""),"16.11.2025")</f>
        <v>16.11.2025</v>
      </c>
      <c r="C426" s="3" t="str">
        <f>IFERROR(__xludf.DUMMYFUNCTION("""COMPUTED_VALUE"""),"Kesny")</f>
        <v>Kesny</v>
      </c>
      <c r="D426" s="3" t="str">
        <f>IFERROR(__xludf.DUMMYFUNCTION("""COMPUTED_VALUE"""),"Kesny + Tess1509")</f>
        <v>Kesny + Tess1509</v>
      </c>
      <c r="E426" s="3" t="str">
        <f>IFERROR(__xludf.DUMMYFUNCTION("""COMPUTED_VALUE"""),"Malena + ZeroO")</f>
        <v>Malena + ZeroO</v>
      </c>
      <c r="F426" s="3" t="str">
        <f>IFERROR(__xludf.DUMMYFUNCTION("""COMPUTED_VALUE"""),"loss")</f>
        <v>loss</v>
      </c>
      <c r="G426" s="3" t="str">
        <f>IFERROR(__xludf.DUMMYFUNCTION("""COMPUTED_VALUE"""),"2v2")</f>
        <v>2v2</v>
      </c>
      <c r="H426" s="3" t="str">
        <f>IFERROR(__xludf.DUMMYFUNCTION("IFERROR(TRIM(INDEX(SPLIT(E426,"" + ""),1)),"""")"),"Malena")</f>
        <v>Malena</v>
      </c>
      <c r="I426" s="3" t="str">
        <f>IFERROR(__xludf.DUMMYFUNCTION("IFERROR(TRIM(INDEX(SPLIT(E426,"" + ""),2)),"""")"),"ZeroO")</f>
        <v>ZeroO</v>
      </c>
      <c r="J426" s="5" t="str">
        <f>IFERROR(__xludf.DUMMYFUNCTION("IFERROR(TRIM(INDEX(SPLIT(E426,"" + ""),3)),"""")"),"")</f>
        <v/>
      </c>
      <c r="K426" s="3">
        <f>IFERROR(__xludf.DUMMYFUNCTION("IFERROR(IF(H426="""",0,INDEX(FILTER($Q$2:Q425,$C$2:C425=H426,$G$2:G425=G426),ROWS(FILTER($Q$2:Q425,$C$2:C425=H426,$G$2:G425=G426)),1)),1500)"),1617.0)</f>
        <v>1617</v>
      </c>
      <c r="L426" s="3">
        <f>IFERROR(__xludf.DUMMYFUNCTION("IFERROR(IF(I426="""",0,INDEX(FILTER($Q$2:Q425,$C$2:C425=I426,$G$2:G425=G426),ROWS(FILTER($Q$2:Q425,$C$2:C425=I426,$G$2:G425=G426)),1)),1500)"),1537.0)</f>
        <v>1537</v>
      </c>
      <c r="M426" s="3">
        <f>IFERROR(__xludf.DUMMYFUNCTION("IFERROR(IF(J426="""",0,INDEX(FILTER($Q$2:Q425,$C$2:C425=J426,$G$2:G425=G426),ROWS(FILTER($Q$2:Q425,$C$2:C425=J426,$G$2:G425=G426)),1)),1500)"),0.0)</f>
        <v>0</v>
      </c>
      <c r="N426" s="3">
        <f>IFERROR(__xludf.DUMMYFUNCTION("IFERROR(INDEX(FILTER($Q$2:Q425,$C$2:C425=C426,$G$2:G425=G426),ROWS(FILTER($Q$2:Q425,$C$2:C425=C426,$G$2:G425=G426)),1),1500)"),1427.0)</f>
        <v>1427</v>
      </c>
      <c r="O426" s="3">
        <f t="shared" si="3"/>
        <v>1577</v>
      </c>
      <c r="P426" s="9">
        <f t="shared" si="1"/>
        <v>-9</v>
      </c>
      <c r="Q426" s="5">
        <f t="shared" si="2"/>
        <v>1418</v>
      </c>
    </row>
    <row r="427">
      <c r="A427" s="3" t="str">
        <f>IFERROR(__xludf.DUMMYFUNCTION("""COMPUTED_VALUE"""),"1FDmtd1C4UXJ25y0Y18vCOyZ7oAaShlKF")</f>
        <v>1FDmtd1C4UXJ25y0Y18vCOyZ7oAaShlKF</v>
      </c>
      <c r="B427" s="3" t="str">
        <f>IFERROR(__xludf.DUMMYFUNCTION("""COMPUTED_VALUE"""),"16.11.2025")</f>
        <v>16.11.2025</v>
      </c>
      <c r="C427" s="3" t="str">
        <f>IFERROR(__xludf.DUMMYFUNCTION("""COMPUTED_VALUE"""),"Tess1509")</f>
        <v>Tess1509</v>
      </c>
      <c r="D427" s="3" t="str">
        <f>IFERROR(__xludf.DUMMYFUNCTION("""COMPUTED_VALUE"""),"Kesny + Tess1509")</f>
        <v>Kesny + Tess1509</v>
      </c>
      <c r="E427" s="3" t="str">
        <f>IFERROR(__xludf.DUMMYFUNCTION("""COMPUTED_VALUE"""),"Malena + ZeroO")</f>
        <v>Malena + ZeroO</v>
      </c>
      <c r="F427" s="3" t="str">
        <f>IFERROR(__xludf.DUMMYFUNCTION("""COMPUTED_VALUE"""),"loss")</f>
        <v>loss</v>
      </c>
      <c r="G427" s="3" t="str">
        <f>IFERROR(__xludf.DUMMYFUNCTION("""COMPUTED_VALUE"""),"2v2")</f>
        <v>2v2</v>
      </c>
      <c r="H427" s="3" t="str">
        <f>IFERROR(__xludf.DUMMYFUNCTION("IFERROR(TRIM(INDEX(SPLIT(E427,"" + ""),1)),"""")"),"Malena")</f>
        <v>Malena</v>
      </c>
      <c r="I427" s="3" t="str">
        <f>IFERROR(__xludf.DUMMYFUNCTION("IFERROR(TRIM(INDEX(SPLIT(E427,"" + ""),2)),"""")"),"ZeroO")</f>
        <v>ZeroO</v>
      </c>
      <c r="J427" s="5" t="str">
        <f>IFERROR(__xludf.DUMMYFUNCTION("IFERROR(TRIM(INDEX(SPLIT(E427,"" + ""),3)),"""")"),"")</f>
        <v/>
      </c>
      <c r="K427" s="3">
        <f>IFERROR(__xludf.DUMMYFUNCTION("IFERROR(IF(H427="""",0,INDEX(FILTER($Q$2:Q426,$C$2:C426=H427,$G$2:G426=G427),ROWS(FILTER($Q$2:Q426,$C$2:C426=H427,$G$2:G426=G427)),1)),1500)"),1617.0)</f>
        <v>1617</v>
      </c>
      <c r="L427" s="3">
        <f>IFERROR(__xludf.DUMMYFUNCTION("IFERROR(IF(I427="""",0,INDEX(FILTER($Q$2:Q426,$C$2:C426=I427,$G$2:G426=G427),ROWS(FILTER($Q$2:Q426,$C$2:C426=I427,$G$2:G426=G427)),1)),1500)"),1537.0)</f>
        <v>1537</v>
      </c>
      <c r="M427" s="3">
        <f>IFERROR(__xludf.DUMMYFUNCTION("IFERROR(IF(J427="""",0,INDEX(FILTER($Q$2:Q426,$C$2:C426=J427,$G$2:G426=G427),ROWS(FILTER($Q$2:Q426,$C$2:C426=J427,$G$2:G426=G427)),1)),1500)"),0.0)</f>
        <v>0</v>
      </c>
      <c r="N427" s="3">
        <f>IFERROR(__xludf.DUMMYFUNCTION("IFERROR(INDEX(FILTER($Q$2:Q426,$C$2:C426=C427,$G$2:G426=G427),ROWS(FILTER($Q$2:Q426,$C$2:C426=C427,$G$2:G426=G427)),1),1500)"),1366.0)</f>
        <v>1366</v>
      </c>
      <c r="O427" s="3">
        <f t="shared" si="3"/>
        <v>1577</v>
      </c>
      <c r="P427" s="9">
        <f t="shared" si="1"/>
        <v>-7</v>
      </c>
      <c r="Q427" s="5">
        <f t="shared" si="2"/>
        <v>1359</v>
      </c>
    </row>
    <row r="428">
      <c r="A428" s="3" t="str">
        <f>IFERROR(__xludf.DUMMYFUNCTION("""COMPUTED_VALUE"""),"1FDmtd1C4UXJ25y0Y18vCOyZ7oAaShlKF")</f>
        <v>1FDmtd1C4UXJ25y0Y18vCOyZ7oAaShlKF</v>
      </c>
      <c r="B428" s="3" t="str">
        <f>IFERROR(__xludf.DUMMYFUNCTION("""COMPUTED_VALUE"""),"16.11.2025")</f>
        <v>16.11.2025</v>
      </c>
      <c r="C428" s="3" t="str">
        <f>IFERROR(__xludf.DUMMYFUNCTION("""COMPUTED_VALUE"""),"Malena")</f>
        <v>Malena</v>
      </c>
      <c r="D428" s="3" t="str">
        <f>IFERROR(__xludf.DUMMYFUNCTION("""COMPUTED_VALUE"""),"Malena + ZeroO")</f>
        <v>Malena + ZeroO</v>
      </c>
      <c r="E428" s="3" t="str">
        <f>IFERROR(__xludf.DUMMYFUNCTION("""COMPUTED_VALUE"""),"Kesny + Tess1509")</f>
        <v>Kesny + Tess1509</v>
      </c>
      <c r="F428" s="3" t="str">
        <f>IFERROR(__xludf.DUMMYFUNCTION("""COMPUTED_VALUE"""),"win")</f>
        <v>win</v>
      </c>
      <c r="G428" s="3" t="str">
        <f>IFERROR(__xludf.DUMMYFUNCTION("""COMPUTED_VALUE"""),"2v2")</f>
        <v>2v2</v>
      </c>
      <c r="H428" s="3" t="str">
        <f>IFERROR(__xludf.DUMMYFUNCTION("IFERROR(TRIM(INDEX(SPLIT(E428,"" + ""),1)),"""")"),"Kesny")</f>
        <v>Kesny</v>
      </c>
      <c r="I428" s="3" t="str">
        <f>IFERROR(__xludf.DUMMYFUNCTION("IFERROR(TRIM(INDEX(SPLIT(E428,"" + ""),2)),"""")"),"Tess1509")</f>
        <v>Tess1509</v>
      </c>
      <c r="J428" s="5" t="str">
        <f>IFERROR(__xludf.DUMMYFUNCTION("IFERROR(TRIM(INDEX(SPLIT(E428,"" + ""),3)),"""")"),"")</f>
        <v/>
      </c>
      <c r="K428" s="3">
        <f>IFERROR(__xludf.DUMMYFUNCTION("IFERROR(IF(H428="""",0,INDEX(FILTER($Q$2:Q427,$C$2:C427=H428,$G$2:G427=G428),ROWS(FILTER($Q$2:Q427,$C$2:C427=H428,$G$2:G427=G428)),1)),1500)"),1418.0)</f>
        <v>1418</v>
      </c>
      <c r="L428" s="3">
        <f>IFERROR(__xludf.DUMMYFUNCTION("IFERROR(IF(I428="""",0,INDEX(FILTER($Q$2:Q427,$C$2:C427=I428,$G$2:G427=G428),ROWS(FILTER($Q$2:Q427,$C$2:C427=I428,$G$2:G427=G428)),1)),1500)"),1359.0)</f>
        <v>1359</v>
      </c>
      <c r="M428" s="3">
        <f>IFERROR(__xludf.DUMMYFUNCTION("IFERROR(IF(J428="""",0,INDEX(FILTER($Q$2:Q427,$C$2:C427=J428,$G$2:G427=G428),ROWS(FILTER($Q$2:Q427,$C$2:C427=J428,$G$2:G427=G428)),1)),1500)"),0.0)</f>
        <v>0</v>
      </c>
      <c r="N428" s="3">
        <f>IFERROR(__xludf.DUMMYFUNCTION("IFERROR(INDEX(FILTER($Q$2:Q427,$C$2:C427=C428,$G$2:G427=G428),ROWS(FILTER($Q$2:Q427,$C$2:C427=C428,$G$2:G427=G428)),1),1500)"),1617.0)</f>
        <v>1617</v>
      </c>
      <c r="O428" s="3">
        <f t="shared" si="3"/>
        <v>1388.5</v>
      </c>
      <c r="P428" s="9">
        <f t="shared" si="1"/>
        <v>7</v>
      </c>
      <c r="Q428" s="5">
        <f t="shared" si="2"/>
        <v>1624</v>
      </c>
    </row>
    <row r="429">
      <c r="A429" s="3" t="str">
        <f>IFERROR(__xludf.DUMMYFUNCTION("""COMPUTED_VALUE"""),"1FDmtd1C4UXJ25y0Y18vCOyZ7oAaShlKF")</f>
        <v>1FDmtd1C4UXJ25y0Y18vCOyZ7oAaShlKF</v>
      </c>
      <c r="B429" s="3" t="str">
        <f>IFERROR(__xludf.DUMMYFUNCTION("""COMPUTED_VALUE"""),"16.11.2025")</f>
        <v>16.11.2025</v>
      </c>
      <c r="C429" s="3" t="str">
        <f>IFERROR(__xludf.DUMMYFUNCTION("""COMPUTED_VALUE"""),"ZeroO")</f>
        <v>ZeroO</v>
      </c>
      <c r="D429" s="3" t="str">
        <f>IFERROR(__xludf.DUMMYFUNCTION("""COMPUTED_VALUE"""),"Malena + ZeroO")</f>
        <v>Malena + ZeroO</v>
      </c>
      <c r="E429" s="3" t="str">
        <f>IFERROR(__xludf.DUMMYFUNCTION("""COMPUTED_VALUE"""),"Kesny + Tess1509")</f>
        <v>Kesny + Tess1509</v>
      </c>
      <c r="F429" s="3" t="str">
        <f>IFERROR(__xludf.DUMMYFUNCTION("""COMPUTED_VALUE"""),"win")</f>
        <v>win</v>
      </c>
      <c r="G429" s="3" t="str">
        <f>IFERROR(__xludf.DUMMYFUNCTION("""COMPUTED_VALUE"""),"2v2")</f>
        <v>2v2</v>
      </c>
      <c r="H429" s="3" t="str">
        <f>IFERROR(__xludf.DUMMYFUNCTION("IFERROR(TRIM(INDEX(SPLIT(E429,"" + ""),1)),"""")"),"Kesny")</f>
        <v>Kesny</v>
      </c>
      <c r="I429" s="3" t="str">
        <f>IFERROR(__xludf.DUMMYFUNCTION("IFERROR(TRIM(INDEX(SPLIT(E429,"" + ""),2)),"""")"),"Tess1509")</f>
        <v>Tess1509</v>
      </c>
      <c r="J429" s="5" t="str">
        <f>IFERROR(__xludf.DUMMYFUNCTION("IFERROR(TRIM(INDEX(SPLIT(E429,"" + ""),3)),"""")"),"")</f>
        <v/>
      </c>
      <c r="K429" s="3">
        <f>IFERROR(__xludf.DUMMYFUNCTION("IFERROR(IF(H429="""",0,INDEX(FILTER($Q$2:Q428,$C$2:C428=H429,$G$2:G428=G429),ROWS(FILTER($Q$2:Q428,$C$2:C428=H429,$G$2:G428=G429)),1)),1500)"),1418.0)</f>
        <v>1418</v>
      </c>
      <c r="L429" s="3">
        <f>IFERROR(__xludf.DUMMYFUNCTION("IFERROR(IF(I429="""",0,INDEX(FILTER($Q$2:Q428,$C$2:C428=I429,$G$2:G428=G429),ROWS(FILTER($Q$2:Q428,$C$2:C428=I429,$G$2:G428=G429)),1)),1500)"),1359.0)</f>
        <v>1359</v>
      </c>
      <c r="M429" s="3">
        <f>IFERROR(__xludf.DUMMYFUNCTION("IFERROR(IF(J429="""",0,INDEX(FILTER($Q$2:Q428,$C$2:C428=J429,$G$2:G428=G429),ROWS(FILTER($Q$2:Q428,$C$2:C428=J429,$G$2:G428=G429)),1)),1500)"),0.0)</f>
        <v>0</v>
      </c>
      <c r="N429" s="3">
        <f>IFERROR(__xludf.DUMMYFUNCTION("IFERROR(INDEX(FILTER($Q$2:Q428,$C$2:C428=C429,$G$2:G428=G429),ROWS(FILTER($Q$2:Q428,$C$2:C428=C429,$G$2:G428=G429)),1),1500)"),1537.0)</f>
        <v>1537</v>
      </c>
      <c r="O429" s="3">
        <f t="shared" si="3"/>
        <v>1388.5</v>
      </c>
      <c r="P429" s="9">
        <f t="shared" si="1"/>
        <v>10</v>
      </c>
      <c r="Q429" s="5">
        <f t="shared" si="2"/>
        <v>1547</v>
      </c>
    </row>
    <row r="430">
      <c r="A430" s="3" t="str">
        <f>IFERROR(__xludf.DUMMYFUNCTION("""COMPUTED_VALUE"""),"11aTotZOTfco3M2V1E07-pS73nM27sT0g")</f>
        <v>11aTotZOTfco3M2V1E07-pS73nM27sT0g</v>
      </c>
      <c r="B430" s="3" t="str">
        <f>IFERROR(__xludf.DUMMYFUNCTION("""COMPUTED_VALUE"""),"16.11.2025")</f>
        <v>16.11.2025</v>
      </c>
      <c r="C430" s="3" t="str">
        <f>IFERROR(__xludf.DUMMYFUNCTION("""COMPUTED_VALUE"""),"Kesny")</f>
        <v>Kesny</v>
      </c>
      <c r="D430" s="3" t="str">
        <f>IFERROR(__xludf.DUMMYFUNCTION("""COMPUTED_VALUE"""),"Aferdita + Kesny")</f>
        <v>Aferdita + Kesny</v>
      </c>
      <c r="E430" s="3" t="str">
        <f>IFERROR(__xludf.DUMMYFUNCTION("""COMPUTED_VALUE"""),"Malena + Nebus.")</f>
        <v>Malena + Nebus.</v>
      </c>
      <c r="F430" s="3" t="str">
        <f>IFERROR(__xludf.DUMMYFUNCTION("""COMPUTED_VALUE"""),"loss")</f>
        <v>loss</v>
      </c>
      <c r="G430" s="3" t="str">
        <f>IFERROR(__xludf.DUMMYFUNCTION("""COMPUTED_VALUE"""),"2v2")</f>
        <v>2v2</v>
      </c>
      <c r="H430" s="3" t="str">
        <f>IFERROR(__xludf.DUMMYFUNCTION("IFERROR(TRIM(INDEX(SPLIT(E430,"" + ""),1)),"""")"),"Malena")</f>
        <v>Malena</v>
      </c>
      <c r="I430" s="3" t="str">
        <f>IFERROR(__xludf.DUMMYFUNCTION("IFERROR(TRIM(INDEX(SPLIT(E430,"" + ""),2)),"""")"),"Nebus.")</f>
        <v>Nebus.</v>
      </c>
      <c r="J430" s="5" t="str">
        <f>IFERROR(__xludf.DUMMYFUNCTION("IFERROR(TRIM(INDEX(SPLIT(E430,"" + ""),3)),"""")"),"")</f>
        <v/>
      </c>
      <c r="K430" s="3">
        <f>IFERROR(__xludf.DUMMYFUNCTION("IFERROR(IF(H430="""",0,INDEX(FILTER($Q$2:Q429,$C$2:C429=H430,$G$2:G429=G430),ROWS(FILTER($Q$2:Q429,$C$2:C429=H430,$G$2:G429=G430)),1)),1500)"),1624.0)</f>
        <v>1624</v>
      </c>
      <c r="L430" s="3">
        <f>IFERROR(__xludf.DUMMYFUNCTION("IFERROR(IF(I430="""",0,INDEX(FILTER($Q$2:Q429,$C$2:C429=I430,$G$2:G429=G430),ROWS(FILTER($Q$2:Q429,$C$2:C429=I430,$G$2:G429=G430)),1)),1500)"),1558.0)</f>
        <v>1558</v>
      </c>
      <c r="M430" s="3">
        <f>IFERROR(__xludf.DUMMYFUNCTION("IFERROR(IF(J430="""",0,INDEX(FILTER($Q$2:Q429,$C$2:C429=J430,$G$2:G429=G430),ROWS(FILTER($Q$2:Q429,$C$2:C429=J430,$G$2:G429=G430)),1)),1500)"),0.0)</f>
        <v>0</v>
      </c>
      <c r="N430" s="3">
        <f>IFERROR(__xludf.DUMMYFUNCTION("IFERROR(INDEX(FILTER($Q$2:Q429,$C$2:C429=C430,$G$2:G429=G430),ROWS(FILTER($Q$2:Q429,$C$2:C429=C430,$G$2:G429=G430)),1),1500)"),1418.0)</f>
        <v>1418</v>
      </c>
      <c r="O430" s="3">
        <f t="shared" si="3"/>
        <v>1591</v>
      </c>
      <c r="P430" s="9">
        <f t="shared" si="1"/>
        <v>-9</v>
      </c>
      <c r="Q430" s="5">
        <f t="shared" si="2"/>
        <v>1409</v>
      </c>
    </row>
    <row r="431">
      <c r="A431" s="3" t="str">
        <f>IFERROR(__xludf.DUMMYFUNCTION("""COMPUTED_VALUE"""),"11aTotZOTfco3M2V1E07-pS73nM27sT0g")</f>
        <v>11aTotZOTfco3M2V1E07-pS73nM27sT0g</v>
      </c>
      <c r="B431" s="3" t="str">
        <f>IFERROR(__xludf.DUMMYFUNCTION("""COMPUTED_VALUE"""),"16.11.2025")</f>
        <v>16.11.2025</v>
      </c>
      <c r="C431" s="3" t="str">
        <f>IFERROR(__xludf.DUMMYFUNCTION("""COMPUTED_VALUE"""),"Aferdita")</f>
        <v>Aferdita</v>
      </c>
      <c r="D431" s="3" t="str">
        <f>IFERROR(__xludf.DUMMYFUNCTION("""COMPUTED_VALUE"""),"Aferdita + Kesny")</f>
        <v>Aferdita + Kesny</v>
      </c>
      <c r="E431" s="3" t="str">
        <f>IFERROR(__xludf.DUMMYFUNCTION("""COMPUTED_VALUE"""),"Malena + Nebus.")</f>
        <v>Malena + Nebus.</v>
      </c>
      <c r="F431" s="3" t="str">
        <f>IFERROR(__xludf.DUMMYFUNCTION("""COMPUTED_VALUE"""),"loss")</f>
        <v>loss</v>
      </c>
      <c r="G431" s="3" t="str">
        <f>IFERROR(__xludf.DUMMYFUNCTION("""COMPUTED_VALUE"""),"2v2")</f>
        <v>2v2</v>
      </c>
      <c r="H431" s="3" t="str">
        <f>IFERROR(__xludf.DUMMYFUNCTION("IFERROR(TRIM(INDEX(SPLIT(E431,"" + ""),1)),"""")"),"Malena")</f>
        <v>Malena</v>
      </c>
      <c r="I431" s="3" t="str">
        <f>IFERROR(__xludf.DUMMYFUNCTION("IFERROR(TRIM(INDEX(SPLIT(E431,"" + ""),2)),"""")"),"Nebus.")</f>
        <v>Nebus.</v>
      </c>
      <c r="J431" s="5" t="str">
        <f>IFERROR(__xludf.DUMMYFUNCTION("IFERROR(TRIM(INDEX(SPLIT(E431,"" + ""),3)),"""")"),"")</f>
        <v/>
      </c>
      <c r="K431" s="3">
        <f>IFERROR(__xludf.DUMMYFUNCTION("IFERROR(IF(H431="""",0,INDEX(FILTER($Q$2:Q430,$C$2:C430=H431,$G$2:G430=G431),ROWS(FILTER($Q$2:Q430,$C$2:C430=H431,$G$2:G430=G431)),1)),1500)"),1624.0)</f>
        <v>1624</v>
      </c>
      <c r="L431" s="3">
        <f>IFERROR(__xludf.DUMMYFUNCTION("IFERROR(IF(I431="""",0,INDEX(FILTER($Q$2:Q430,$C$2:C430=I431,$G$2:G430=G431),ROWS(FILTER($Q$2:Q430,$C$2:C430=I431,$G$2:G430=G431)),1)),1500)"),1558.0)</f>
        <v>1558</v>
      </c>
      <c r="M431" s="3">
        <f>IFERROR(__xludf.DUMMYFUNCTION("IFERROR(IF(J431="""",0,INDEX(FILTER($Q$2:Q430,$C$2:C430=J431,$G$2:G430=G431),ROWS(FILTER($Q$2:Q430,$C$2:C430=J431,$G$2:G430=G431)),1)),1500)"),0.0)</f>
        <v>0</v>
      </c>
      <c r="N431" s="3">
        <f>IFERROR(__xludf.DUMMYFUNCTION("IFERROR(INDEX(FILTER($Q$2:Q430,$C$2:C430=C431,$G$2:G430=G431),ROWS(FILTER($Q$2:Q430,$C$2:C430=C431,$G$2:G430=G431)),1),1500)"),1487.0)</f>
        <v>1487</v>
      </c>
      <c r="O431" s="3">
        <f t="shared" si="3"/>
        <v>1591</v>
      </c>
      <c r="P431" s="9">
        <f t="shared" si="1"/>
        <v>-11</v>
      </c>
      <c r="Q431" s="5">
        <f t="shared" si="2"/>
        <v>1476</v>
      </c>
    </row>
    <row r="432">
      <c r="A432" s="3" t="str">
        <f>IFERROR(__xludf.DUMMYFUNCTION("""COMPUTED_VALUE"""),"11aTotZOTfco3M2V1E07-pS73nM27sT0g")</f>
        <v>11aTotZOTfco3M2V1E07-pS73nM27sT0g</v>
      </c>
      <c r="B432" s="3" t="str">
        <f>IFERROR(__xludf.DUMMYFUNCTION("""COMPUTED_VALUE"""),"16.11.2025")</f>
        <v>16.11.2025</v>
      </c>
      <c r="C432" s="3" t="str">
        <f>IFERROR(__xludf.DUMMYFUNCTION("""COMPUTED_VALUE"""),"Nebus.")</f>
        <v>Nebus.</v>
      </c>
      <c r="D432" s="3" t="str">
        <f>IFERROR(__xludf.DUMMYFUNCTION("""COMPUTED_VALUE"""),"Malena + Nebus.")</f>
        <v>Malena + Nebus.</v>
      </c>
      <c r="E432" s="3" t="str">
        <f>IFERROR(__xludf.DUMMYFUNCTION("""COMPUTED_VALUE"""),"Aferdita + Kesny")</f>
        <v>Aferdita + Kesny</v>
      </c>
      <c r="F432" s="3" t="str">
        <f>IFERROR(__xludf.DUMMYFUNCTION("""COMPUTED_VALUE"""),"win")</f>
        <v>win</v>
      </c>
      <c r="G432" s="3" t="str">
        <f>IFERROR(__xludf.DUMMYFUNCTION("""COMPUTED_VALUE"""),"2v2")</f>
        <v>2v2</v>
      </c>
      <c r="H432" s="3" t="str">
        <f>IFERROR(__xludf.DUMMYFUNCTION("IFERROR(TRIM(INDEX(SPLIT(E432,"" + ""),1)),"""")"),"Aferdita")</f>
        <v>Aferdita</v>
      </c>
      <c r="I432" s="3" t="str">
        <f>IFERROR(__xludf.DUMMYFUNCTION("IFERROR(TRIM(INDEX(SPLIT(E432,"" + ""),2)),"""")"),"Kesny")</f>
        <v>Kesny</v>
      </c>
      <c r="J432" s="5" t="str">
        <f>IFERROR(__xludf.DUMMYFUNCTION("IFERROR(TRIM(INDEX(SPLIT(E432,"" + ""),3)),"""")"),"")</f>
        <v/>
      </c>
      <c r="K432" s="3">
        <f>IFERROR(__xludf.DUMMYFUNCTION("IFERROR(IF(H432="""",0,INDEX(FILTER($Q$2:Q431,$C$2:C431=H432,$G$2:G431=G432),ROWS(FILTER($Q$2:Q431,$C$2:C431=H432,$G$2:G431=G432)),1)),1500)"),1476.0)</f>
        <v>1476</v>
      </c>
      <c r="L432" s="3">
        <f>IFERROR(__xludf.DUMMYFUNCTION("IFERROR(IF(I432="""",0,INDEX(FILTER($Q$2:Q431,$C$2:C431=I432,$G$2:G431=G432),ROWS(FILTER($Q$2:Q431,$C$2:C431=I432,$G$2:G431=G432)),1)),1500)"),1409.0)</f>
        <v>1409</v>
      </c>
      <c r="M432" s="3">
        <f>IFERROR(__xludf.DUMMYFUNCTION("IFERROR(IF(J432="""",0,INDEX(FILTER($Q$2:Q431,$C$2:C431=J432,$G$2:G431=G432),ROWS(FILTER($Q$2:Q431,$C$2:C431=J432,$G$2:G431=G432)),1)),1500)"),0.0)</f>
        <v>0</v>
      </c>
      <c r="N432" s="3">
        <f>IFERROR(__xludf.DUMMYFUNCTION("IFERROR(INDEX(FILTER($Q$2:Q431,$C$2:C431=C432,$G$2:G431=G432),ROWS(FILTER($Q$2:Q431,$C$2:C431=C432,$G$2:G431=G432)),1),1500)"),1558.0)</f>
        <v>1558</v>
      </c>
      <c r="O432" s="3">
        <f t="shared" si="3"/>
        <v>1442.5</v>
      </c>
      <c r="P432" s="9">
        <f t="shared" si="1"/>
        <v>11</v>
      </c>
      <c r="Q432" s="5">
        <f t="shared" si="2"/>
        <v>1569</v>
      </c>
    </row>
    <row r="433">
      <c r="A433" s="3" t="str">
        <f>IFERROR(__xludf.DUMMYFUNCTION("""COMPUTED_VALUE"""),"11aTotZOTfco3M2V1E07-pS73nM27sT0g")</f>
        <v>11aTotZOTfco3M2V1E07-pS73nM27sT0g</v>
      </c>
      <c r="B433" s="3" t="str">
        <f>IFERROR(__xludf.DUMMYFUNCTION("""COMPUTED_VALUE"""),"16.11.2025")</f>
        <v>16.11.2025</v>
      </c>
      <c r="C433" s="3" t="str">
        <f>IFERROR(__xludf.DUMMYFUNCTION("""COMPUTED_VALUE"""),"Malena")</f>
        <v>Malena</v>
      </c>
      <c r="D433" s="3" t="str">
        <f>IFERROR(__xludf.DUMMYFUNCTION("""COMPUTED_VALUE"""),"Malena + Nebus.")</f>
        <v>Malena + Nebus.</v>
      </c>
      <c r="E433" s="3" t="str">
        <f>IFERROR(__xludf.DUMMYFUNCTION("""COMPUTED_VALUE"""),"Aferdita + Kesny")</f>
        <v>Aferdita + Kesny</v>
      </c>
      <c r="F433" s="3" t="str">
        <f>IFERROR(__xludf.DUMMYFUNCTION("""COMPUTED_VALUE"""),"win")</f>
        <v>win</v>
      </c>
      <c r="G433" s="3" t="str">
        <f>IFERROR(__xludf.DUMMYFUNCTION("""COMPUTED_VALUE"""),"2v2")</f>
        <v>2v2</v>
      </c>
      <c r="H433" s="3" t="str">
        <f>IFERROR(__xludf.DUMMYFUNCTION("IFERROR(TRIM(INDEX(SPLIT(E433,"" + ""),1)),"""")"),"Aferdita")</f>
        <v>Aferdita</v>
      </c>
      <c r="I433" s="3" t="str">
        <f>IFERROR(__xludf.DUMMYFUNCTION("IFERROR(TRIM(INDEX(SPLIT(E433,"" + ""),2)),"""")"),"Kesny")</f>
        <v>Kesny</v>
      </c>
      <c r="J433" s="5" t="str">
        <f>IFERROR(__xludf.DUMMYFUNCTION("IFERROR(TRIM(INDEX(SPLIT(E433,"" + ""),3)),"""")"),"")</f>
        <v/>
      </c>
      <c r="K433" s="3">
        <f>IFERROR(__xludf.DUMMYFUNCTION("IFERROR(IF(H433="""",0,INDEX(FILTER($Q$2:Q432,$C$2:C432=H433,$G$2:G432=G433),ROWS(FILTER($Q$2:Q432,$C$2:C432=H433,$G$2:G432=G433)),1)),1500)"),1476.0)</f>
        <v>1476</v>
      </c>
      <c r="L433" s="3">
        <f>IFERROR(__xludf.DUMMYFUNCTION("IFERROR(IF(I433="""",0,INDEX(FILTER($Q$2:Q432,$C$2:C432=I433,$G$2:G432=G433),ROWS(FILTER($Q$2:Q432,$C$2:C432=I433,$G$2:G432=G433)),1)),1500)"),1409.0)</f>
        <v>1409</v>
      </c>
      <c r="M433" s="3">
        <f>IFERROR(__xludf.DUMMYFUNCTION("IFERROR(IF(J433="""",0,INDEX(FILTER($Q$2:Q432,$C$2:C432=J433,$G$2:G432=G433),ROWS(FILTER($Q$2:Q432,$C$2:C432=J433,$G$2:G432=G433)),1)),1500)"),0.0)</f>
        <v>0</v>
      </c>
      <c r="N433" s="3">
        <f>IFERROR(__xludf.DUMMYFUNCTION("IFERROR(INDEX(FILTER($Q$2:Q432,$C$2:C432=C433,$G$2:G432=G433),ROWS(FILTER($Q$2:Q432,$C$2:C432=C433,$G$2:G432=G433)),1),1500)"),1624.0)</f>
        <v>1624</v>
      </c>
      <c r="O433" s="3">
        <f t="shared" si="3"/>
        <v>1442.5</v>
      </c>
      <c r="P433" s="9">
        <f t="shared" si="1"/>
        <v>8</v>
      </c>
      <c r="Q433" s="5">
        <f t="shared" si="2"/>
        <v>1632</v>
      </c>
    </row>
    <row r="434">
      <c r="A434" s="3" t="str">
        <f>IFERROR(__xludf.DUMMYFUNCTION("""COMPUTED_VALUE"""),"1NEjD_jJKU-XnONTtpW2syuLnM1duxe7K")</f>
        <v>1NEjD_jJKU-XnONTtpW2syuLnM1duxe7K</v>
      </c>
      <c r="B434" s="3" t="str">
        <f>IFERROR(__xludf.DUMMYFUNCTION("""COMPUTED_VALUE"""),"16.11.2025")</f>
        <v>16.11.2025</v>
      </c>
      <c r="C434" s="3" t="str">
        <f>IFERROR(__xludf.DUMMYFUNCTION("""COMPUTED_VALUE"""),"Malena")</f>
        <v>Malena</v>
      </c>
      <c r="D434" s="3" t="str">
        <f>IFERROR(__xludf.DUMMYFUNCTION("""COMPUTED_VALUE"""),"Aferdita + Malena")</f>
        <v>Aferdita + Malena</v>
      </c>
      <c r="E434" s="3" t="str">
        <f>IFERROR(__xludf.DUMMYFUNCTION("""COMPUTED_VALUE"""),"Kesny + Nebus.")</f>
        <v>Kesny + Nebus.</v>
      </c>
      <c r="F434" s="3" t="str">
        <f>IFERROR(__xludf.DUMMYFUNCTION("""COMPUTED_VALUE"""),"loss")</f>
        <v>loss</v>
      </c>
      <c r="G434" s="3" t="str">
        <f>IFERROR(__xludf.DUMMYFUNCTION("""COMPUTED_VALUE"""),"2v2")</f>
        <v>2v2</v>
      </c>
      <c r="H434" s="3" t="str">
        <f>IFERROR(__xludf.DUMMYFUNCTION("IFERROR(TRIM(INDEX(SPLIT(E434,"" + ""),1)),"""")"),"Kesny")</f>
        <v>Kesny</v>
      </c>
      <c r="I434" s="3" t="str">
        <f>IFERROR(__xludf.DUMMYFUNCTION("IFERROR(TRIM(INDEX(SPLIT(E434,"" + ""),2)),"""")"),"Nebus.")</f>
        <v>Nebus.</v>
      </c>
      <c r="J434" s="5" t="str">
        <f>IFERROR(__xludf.DUMMYFUNCTION("IFERROR(TRIM(INDEX(SPLIT(E434,"" + ""),3)),"""")"),"")</f>
        <v/>
      </c>
      <c r="K434" s="3">
        <f>IFERROR(__xludf.DUMMYFUNCTION("IFERROR(IF(H434="""",0,INDEX(FILTER($Q$2:Q433,$C$2:C433=H434,$G$2:G433=G434),ROWS(FILTER($Q$2:Q433,$C$2:C433=H434,$G$2:G433=G434)),1)),1500)"),1409.0)</f>
        <v>1409</v>
      </c>
      <c r="L434" s="3">
        <f>IFERROR(__xludf.DUMMYFUNCTION("IFERROR(IF(I434="""",0,INDEX(FILTER($Q$2:Q433,$C$2:C433=I434,$G$2:G433=G434),ROWS(FILTER($Q$2:Q433,$C$2:C433=I434,$G$2:G433=G434)),1)),1500)"),1569.0)</f>
        <v>1569</v>
      </c>
      <c r="M434" s="3">
        <f>IFERROR(__xludf.DUMMYFUNCTION("IFERROR(IF(J434="""",0,INDEX(FILTER($Q$2:Q433,$C$2:C433=J434,$G$2:G433=G434),ROWS(FILTER($Q$2:Q433,$C$2:C433=J434,$G$2:G433=G434)),1)),1500)"),0.0)</f>
        <v>0</v>
      </c>
      <c r="N434" s="3">
        <f>IFERROR(__xludf.DUMMYFUNCTION("IFERROR(INDEX(FILTER($Q$2:Q433,$C$2:C433=C434,$G$2:G433=G434),ROWS(FILTER($Q$2:Q433,$C$2:C433=C434,$G$2:G433=G434)),1),1500)"),1632.0)</f>
        <v>1632</v>
      </c>
      <c r="O434" s="3">
        <f t="shared" si="3"/>
        <v>1489</v>
      </c>
      <c r="P434" s="9">
        <f t="shared" si="1"/>
        <v>-22</v>
      </c>
      <c r="Q434" s="5">
        <f t="shared" si="2"/>
        <v>1610</v>
      </c>
    </row>
    <row r="435">
      <c r="A435" s="3" t="str">
        <f>IFERROR(__xludf.DUMMYFUNCTION("""COMPUTED_VALUE"""),"1NEjD_jJKU-XnONTtpW2syuLnM1duxe7K")</f>
        <v>1NEjD_jJKU-XnONTtpW2syuLnM1duxe7K</v>
      </c>
      <c r="B435" s="3" t="str">
        <f>IFERROR(__xludf.DUMMYFUNCTION("""COMPUTED_VALUE"""),"16.11.2025")</f>
        <v>16.11.2025</v>
      </c>
      <c r="C435" s="3" t="str">
        <f>IFERROR(__xludf.DUMMYFUNCTION("""COMPUTED_VALUE"""),"Aferdita")</f>
        <v>Aferdita</v>
      </c>
      <c r="D435" s="3" t="str">
        <f>IFERROR(__xludf.DUMMYFUNCTION("""COMPUTED_VALUE"""),"Aferdita + Malena")</f>
        <v>Aferdita + Malena</v>
      </c>
      <c r="E435" s="3" t="str">
        <f>IFERROR(__xludf.DUMMYFUNCTION("""COMPUTED_VALUE"""),"Kesny + Nebus.")</f>
        <v>Kesny + Nebus.</v>
      </c>
      <c r="F435" s="3" t="str">
        <f>IFERROR(__xludf.DUMMYFUNCTION("""COMPUTED_VALUE"""),"loss")</f>
        <v>loss</v>
      </c>
      <c r="G435" s="3" t="str">
        <f>IFERROR(__xludf.DUMMYFUNCTION("""COMPUTED_VALUE"""),"2v2")</f>
        <v>2v2</v>
      </c>
      <c r="H435" s="3" t="str">
        <f>IFERROR(__xludf.DUMMYFUNCTION("IFERROR(TRIM(INDEX(SPLIT(E435,"" + ""),1)),"""")"),"Kesny")</f>
        <v>Kesny</v>
      </c>
      <c r="I435" s="3" t="str">
        <f>IFERROR(__xludf.DUMMYFUNCTION("IFERROR(TRIM(INDEX(SPLIT(E435,"" + ""),2)),"""")"),"Nebus.")</f>
        <v>Nebus.</v>
      </c>
      <c r="J435" s="5" t="str">
        <f>IFERROR(__xludf.DUMMYFUNCTION("IFERROR(TRIM(INDEX(SPLIT(E435,"" + ""),3)),"""")"),"")</f>
        <v/>
      </c>
      <c r="K435" s="3">
        <f>IFERROR(__xludf.DUMMYFUNCTION("IFERROR(IF(H435="""",0,INDEX(FILTER($Q$2:Q434,$C$2:C434=H435,$G$2:G434=G435),ROWS(FILTER($Q$2:Q434,$C$2:C434=H435,$G$2:G434=G435)),1)),1500)"),1409.0)</f>
        <v>1409</v>
      </c>
      <c r="L435" s="3">
        <f>IFERROR(__xludf.DUMMYFUNCTION("IFERROR(IF(I435="""",0,INDEX(FILTER($Q$2:Q434,$C$2:C434=I435,$G$2:G434=G435),ROWS(FILTER($Q$2:Q434,$C$2:C434=I435,$G$2:G434=G435)),1)),1500)"),1569.0)</f>
        <v>1569</v>
      </c>
      <c r="M435" s="3">
        <f>IFERROR(__xludf.DUMMYFUNCTION("IFERROR(IF(J435="""",0,INDEX(FILTER($Q$2:Q434,$C$2:C434=J435,$G$2:G434=G435),ROWS(FILTER($Q$2:Q434,$C$2:C434=J435,$G$2:G434=G435)),1)),1500)"),0.0)</f>
        <v>0</v>
      </c>
      <c r="N435" s="3">
        <f>IFERROR(__xludf.DUMMYFUNCTION("IFERROR(INDEX(FILTER($Q$2:Q434,$C$2:C434=C435,$G$2:G434=G435),ROWS(FILTER($Q$2:Q434,$C$2:C434=C435,$G$2:G434=G435)),1),1500)"),1476.0)</f>
        <v>1476</v>
      </c>
      <c r="O435" s="3">
        <f t="shared" si="3"/>
        <v>1489</v>
      </c>
      <c r="P435" s="9">
        <f t="shared" si="1"/>
        <v>-15</v>
      </c>
      <c r="Q435" s="5">
        <f t="shared" si="2"/>
        <v>1461</v>
      </c>
    </row>
    <row r="436">
      <c r="A436" s="3" t="str">
        <f>IFERROR(__xludf.DUMMYFUNCTION("""COMPUTED_VALUE"""),"1NEjD_jJKU-XnONTtpW2syuLnM1duxe7K")</f>
        <v>1NEjD_jJKU-XnONTtpW2syuLnM1duxe7K</v>
      </c>
      <c r="B436" s="3" t="str">
        <f>IFERROR(__xludf.DUMMYFUNCTION("""COMPUTED_VALUE"""),"16.11.2025")</f>
        <v>16.11.2025</v>
      </c>
      <c r="C436" s="3" t="str">
        <f>IFERROR(__xludf.DUMMYFUNCTION("""COMPUTED_VALUE"""),"Kesny")</f>
        <v>Kesny</v>
      </c>
      <c r="D436" s="3" t="str">
        <f>IFERROR(__xludf.DUMMYFUNCTION("""COMPUTED_VALUE"""),"Kesny + Nebus.")</f>
        <v>Kesny + Nebus.</v>
      </c>
      <c r="E436" s="3" t="str">
        <f>IFERROR(__xludf.DUMMYFUNCTION("""COMPUTED_VALUE"""),"Aferdita + Malena")</f>
        <v>Aferdita + Malena</v>
      </c>
      <c r="F436" s="3" t="str">
        <f>IFERROR(__xludf.DUMMYFUNCTION("""COMPUTED_VALUE"""),"win")</f>
        <v>win</v>
      </c>
      <c r="G436" s="3" t="str">
        <f>IFERROR(__xludf.DUMMYFUNCTION("""COMPUTED_VALUE"""),"2v2")</f>
        <v>2v2</v>
      </c>
      <c r="H436" s="3" t="str">
        <f>IFERROR(__xludf.DUMMYFUNCTION("IFERROR(TRIM(INDEX(SPLIT(E436,"" + ""),1)),"""")"),"Aferdita")</f>
        <v>Aferdita</v>
      </c>
      <c r="I436" s="3" t="str">
        <f>IFERROR(__xludf.DUMMYFUNCTION("IFERROR(TRIM(INDEX(SPLIT(E436,"" + ""),2)),"""")"),"Malena")</f>
        <v>Malena</v>
      </c>
      <c r="J436" s="5" t="str">
        <f>IFERROR(__xludf.DUMMYFUNCTION("IFERROR(TRIM(INDEX(SPLIT(E436,"" + ""),3)),"""")"),"")</f>
        <v/>
      </c>
      <c r="K436" s="3">
        <f>IFERROR(__xludf.DUMMYFUNCTION("IFERROR(IF(H436="""",0,INDEX(FILTER($Q$2:Q435,$C$2:C435=H436,$G$2:G435=G436),ROWS(FILTER($Q$2:Q435,$C$2:C435=H436,$G$2:G435=G436)),1)),1500)"),1461.0)</f>
        <v>1461</v>
      </c>
      <c r="L436" s="3">
        <f>IFERROR(__xludf.DUMMYFUNCTION("IFERROR(IF(I436="""",0,INDEX(FILTER($Q$2:Q435,$C$2:C435=I436,$G$2:G435=G436),ROWS(FILTER($Q$2:Q435,$C$2:C435=I436,$G$2:G435=G436)),1)),1500)"),1610.0)</f>
        <v>1610</v>
      </c>
      <c r="M436" s="3">
        <f>IFERROR(__xludf.DUMMYFUNCTION("IFERROR(IF(J436="""",0,INDEX(FILTER($Q$2:Q435,$C$2:C435=J436,$G$2:G435=G436),ROWS(FILTER($Q$2:Q435,$C$2:C435=J436,$G$2:G435=G436)),1)),1500)"),0.0)</f>
        <v>0</v>
      </c>
      <c r="N436" s="3">
        <f>IFERROR(__xludf.DUMMYFUNCTION("IFERROR(INDEX(FILTER($Q$2:Q435,$C$2:C435=C436,$G$2:G435=G436),ROWS(FILTER($Q$2:Q435,$C$2:C435=C436,$G$2:G435=G436)),1),1500)"),1409.0)</f>
        <v>1409</v>
      </c>
      <c r="O436" s="3">
        <f t="shared" si="3"/>
        <v>1535.5</v>
      </c>
      <c r="P436" s="9">
        <f t="shared" si="1"/>
        <v>22</v>
      </c>
      <c r="Q436" s="5">
        <f t="shared" si="2"/>
        <v>1431</v>
      </c>
    </row>
    <row r="437">
      <c r="A437" s="3" t="str">
        <f>IFERROR(__xludf.DUMMYFUNCTION("""COMPUTED_VALUE"""),"1NEjD_jJKU-XnONTtpW2syuLnM1duxe7K")</f>
        <v>1NEjD_jJKU-XnONTtpW2syuLnM1duxe7K</v>
      </c>
      <c r="B437" s="3" t="str">
        <f>IFERROR(__xludf.DUMMYFUNCTION("""COMPUTED_VALUE"""),"16.11.2025")</f>
        <v>16.11.2025</v>
      </c>
      <c r="C437" s="3" t="str">
        <f>IFERROR(__xludf.DUMMYFUNCTION("""COMPUTED_VALUE"""),"Nebus.")</f>
        <v>Nebus.</v>
      </c>
      <c r="D437" s="3" t="str">
        <f>IFERROR(__xludf.DUMMYFUNCTION("""COMPUTED_VALUE"""),"Kesny + Nebus.")</f>
        <v>Kesny + Nebus.</v>
      </c>
      <c r="E437" s="3" t="str">
        <f>IFERROR(__xludf.DUMMYFUNCTION("""COMPUTED_VALUE"""),"Aferdita + Malena")</f>
        <v>Aferdita + Malena</v>
      </c>
      <c r="F437" s="3" t="str">
        <f>IFERROR(__xludf.DUMMYFUNCTION("""COMPUTED_VALUE"""),"win")</f>
        <v>win</v>
      </c>
      <c r="G437" s="3" t="str">
        <f>IFERROR(__xludf.DUMMYFUNCTION("""COMPUTED_VALUE"""),"2v2")</f>
        <v>2v2</v>
      </c>
      <c r="H437" s="3" t="str">
        <f>IFERROR(__xludf.DUMMYFUNCTION("IFERROR(TRIM(INDEX(SPLIT(E437,"" + ""),1)),"""")"),"Aferdita")</f>
        <v>Aferdita</v>
      </c>
      <c r="I437" s="3" t="str">
        <f>IFERROR(__xludf.DUMMYFUNCTION("IFERROR(TRIM(INDEX(SPLIT(E437,"" + ""),2)),"""")"),"Malena")</f>
        <v>Malena</v>
      </c>
      <c r="J437" s="5" t="str">
        <f>IFERROR(__xludf.DUMMYFUNCTION("IFERROR(TRIM(INDEX(SPLIT(E437,"" + ""),3)),"""")"),"")</f>
        <v/>
      </c>
      <c r="K437" s="3">
        <f>IFERROR(__xludf.DUMMYFUNCTION("IFERROR(IF(H437="""",0,INDEX(FILTER($Q$2:Q436,$C$2:C436=H437,$G$2:G436=G437),ROWS(FILTER($Q$2:Q436,$C$2:C436=H437,$G$2:G436=G437)),1)),1500)"),1461.0)</f>
        <v>1461</v>
      </c>
      <c r="L437" s="3">
        <f>IFERROR(__xludf.DUMMYFUNCTION("IFERROR(IF(I437="""",0,INDEX(FILTER($Q$2:Q436,$C$2:C436=I437,$G$2:G436=G437),ROWS(FILTER($Q$2:Q436,$C$2:C436=I437,$G$2:G436=G437)),1)),1500)"),1610.0)</f>
        <v>1610</v>
      </c>
      <c r="M437" s="3">
        <f>IFERROR(__xludf.DUMMYFUNCTION("IFERROR(IF(J437="""",0,INDEX(FILTER($Q$2:Q436,$C$2:C436=J437,$G$2:G436=G437),ROWS(FILTER($Q$2:Q436,$C$2:C436=J437,$G$2:G436=G437)),1)),1500)"),0.0)</f>
        <v>0</v>
      </c>
      <c r="N437" s="3">
        <f>IFERROR(__xludf.DUMMYFUNCTION("IFERROR(INDEX(FILTER($Q$2:Q436,$C$2:C436=C437,$G$2:G436=G437),ROWS(FILTER($Q$2:Q436,$C$2:C436=C437,$G$2:G436=G437)),1),1500)"),1569.0)</f>
        <v>1569</v>
      </c>
      <c r="O437" s="3">
        <f t="shared" si="3"/>
        <v>1535.5</v>
      </c>
      <c r="P437" s="9">
        <f t="shared" si="1"/>
        <v>14</v>
      </c>
      <c r="Q437" s="5">
        <f t="shared" si="2"/>
        <v>1583</v>
      </c>
    </row>
    <row r="438">
      <c r="A438" s="3" t="str">
        <f>IFERROR(__xludf.DUMMYFUNCTION("""COMPUTED_VALUE"""),"1O-fDNtjG2AC4D_9vW8ooLexAOiRXo43X")</f>
        <v>1O-fDNtjG2AC4D_9vW8ooLexAOiRXo43X</v>
      </c>
      <c r="B438" s="3" t="str">
        <f>IFERROR(__xludf.DUMMYFUNCTION("""COMPUTED_VALUE"""),"16.11.2025")</f>
        <v>16.11.2025</v>
      </c>
      <c r="C438" s="3" t="str">
        <f>IFERROR(__xludf.DUMMYFUNCTION("""COMPUTED_VALUE"""),"Malena")</f>
        <v>Malena</v>
      </c>
      <c r="D438" s="3" t="str">
        <f>IFERROR(__xludf.DUMMYFUNCTION("""COMPUTED_VALUE"""),"Aferdita + Malena")</f>
        <v>Aferdita + Malena</v>
      </c>
      <c r="E438" s="3" t="str">
        <f>IFERROR(__xludf.DUMMYFUNCTION("""COMPUTED_VALUE"""),"Kesny + Nebus.")</f>
        <v>Kesny + Nebus.</v>
      </c>
      <c r="F438" s="3" t="str">
        <f>IFERROR(__xludf.DUMMYFUNCTION("""COMPUTED_VALUE"""),"loss")</f>
        <v>loss</v>
      </c>
      <c r="G438" s="3" t="str">
        <f>IFERROR(__xludf.DUMMYFUNCTION("""COMPUTED_VALUE"""),"2v2")</f>
        <v>2v2</v>
      </c>
      <c r="H438" s="3" t="str">
        <f>IFERROR(__xludf.DUMMYFUNCTION("IFERROR(TRIM(INDEX(SPLIT(E438,"" + ""),1)),"""")"),"Kesny")</f>
        <v>Kesny</v>
      </c>
      <c r="I438" s="3" t="str">
        <f>IFERROR(__xludf.DUMMYFUNCTION("IFERROR(TRIM(INDEX(SPLIT(E438,"" + ""),2)),"""")"),"Nebus.")</f>
        <v>Nebus.</v>
      </c>
      <c r="J438" s="5" t="str">
        <f>IFERROR(__xludf.DUMMYFUNCTION("IFERROR(TRIM(INDEX(SPLIT(E438,"" + ""),3)),"""")"),"")</f>
        <v/>
      </c>
      <c r="K438" s="3">
        <f>IFERROR(__xludf.DUMMYFUNCTION("IFERROR(IF(H438="""",0,INDEX(FILTER($Q$2:Q437,$C$2:C437=H438,$G$2:G437=G438),ROWS(FILTER($Q$2:Q437,$C$2:C437=H438,$G$2:G437=G438)),1)),1500)"),1431.0)</f>
        <v>1431</v>
      </c>
      <c r="L438" s="3">
        <f>IFERROR(__xludf.DUMMYFUNCTION("IFERROR(IF(I438="""",0,INDEX(FILTER($Q$2:Q437,$C$2:C437=I438,$G$2:G437=G438),ROWS(FILTER($Q$2:Q437,$C$2:C437=I438,$G$2:G437=G438)),1)),1500)"),1583.0)</f>
        <v>1583</v>
      </c>
      <c r="M438" s="3">
        <f>IFERROR(__xludf.DUMMYFUNCTION("IFERROR(IF(J438="""",0,INDEX(FILTER($Q$2:Q437,$C$2:C437=J438,$G$2:G437=G438),ROWS(FILTER($Q$2:Q437,$C$2:C437=J438,$G$2:G437=G438)),1)),1500)"),0.0)</f>
        <v>0</v>
      </c>
      <c r="N438" s="3">
        <f>IFERROR(__xludf.DUMMYFUNCTION("IFERROR(INDEX(FILTER($Q$2:Q437,$C$2:C437=C438,$G$2:G437=G438),ROWS(FILTER($Q$2:Q437,$C$2:C437=C438,$G$2:G437=G438)),1),1500)"),1610.0)</f>
        <v>1610</v>
      </c>
      <c r="O438" s="3">
        <f t="shared" si="3"/>
        <v>1507</v>
      </c>
      <c r="P438" s="9">
        <f t="shared" si="1"/>
        <v>-21</v>
      </c>
      <c r="Q438" s="5">
        <f t="shared" si="2"/>
        <v>1589</v>
      </c>
    </row>
    <row r="439">
      <c r="A439" s="3" t="str">
        <f>IFERROR(__xludf.DUMMYFUNCTION("""COMPUTED_VALUE"""),"1O-fDNtjG2AC4D_9vW8ooLexAOiRXo43X")</f>
        <v>1O-fDNtjG2AC4D_9vW8ooLexAOiRXo43X</v>
      </c>
      <c r="B439" s="3" t="str">
        <f>IFERROR(__xludf.DUMMYFUNCTION("""COMPUTED_VALUE"""),"16.11.2025")</f>
        <v>16.11.2025</v>
      </c>
      <c r="C439" s="3" t="str">
        <f>IFERROR(__xludf.DUMMYFUNCTION("""COMPUTED_VALUE"""),"Aferdita")</f>
        <v>Aferdita</v>
      </c>
      <c r="D439" s="3" t="str">
        <f>IFERROR(__xludf.DUMMYFUNCTION("""COMPUTED_VALUE"""),"Aferdita + Malena")</f>
        <v>Aferdita + Malena</v>
      </c>
      <c r="E439" s="3" t="str">
        <f>IFERROR(__xludf.DUMMYFUNCTION("""COMPUTED_VALUE"""),"Kesny + Nebus.")</f>
        <v>Kesny + Nebus.</v>
      </c>
      <c r="F439" s="3" t="str">
        <f>IFERROR(__xludf.DUMMYFUNCTION("""COMPUTED_VALUE"""),"loss")</f>
        <v>loss</v>
      </c>
      <c r="G439" s="3" t="str">
        <f>IFERROR(__xludf.DUMMYFUNCTION("""COMPUTED_VALUE"""),"2v2")</f>
        <v>2v2</v>
      </c>
      <c r="H439" s="3" t="str">
        <f>IFERROR(__xludf.DUMMYFUNCTION("IFERROR(TRIM(INDEX(SPLIT(E439,"" + ""),1)),"""")"),"Kesny")</f>
        <v>Kesny</v>
      </c>
      <c r="I439" s="3" t="str">
        <f>IFERROR(__xludf.DUMMYFUNCTION("IFERROR(TRIM(INDEX(SPLIT(E439,"" + ""),2)),"""")"),"Nebus.")</f>
        <v>Nebus.</v>
      </c>
      <c r="J439" s="5" t="str">
        <f>IFERROR(__xludf.DUMMYFUNCTION("IFERROR(TRIM(INDEX(SPLIT(E439,"" + ""),3)),"""")"),"")</f>
        <v/>
      </c>
      <c r="K439" s="3">
        <f>IFERROR(__xludf.DUMMYFUNCTION("IFERROR(IF(H439="""",0,INDEX(FILTER($Q$2:Q438,$C$2:C438=H439,$G$2:G438=G439),ROWS(FILTER($Q$2:Q438,$C$2:C438=H439,$G$2:G438=G439)),1)),1500)"),1431.0)</f>
        <v>1431</v>
      </c>
      <c r="L439" s="3">
        <f>IFERROR(__xludf.DUMMYFUNCTION("IFERROR(IF(I439="""",0,INDEX(FILTER($Q$2:Q438,$C$2:C438=I439,$G$2:G438=G439),ROWS(FILTER($Q$2:Q438,$C$2:C438=I439,$G$2:G438=G439)),1)),1500)"),1583.0)</f>
        <v>1583</v>
      </c>
      <c r="M439" s="3">
        <f>IFERROR(__xludf.DUMMYFUNCTION("IFERROR(IF(J439="""",0,INDEX(FILTER($Q$2:Q438,$C$2:C438=J439,$G$2:G438=G439),ROWS(FILTER($Q$2:Q438,$C$2:C438=J439,$G$2:G438=G439)),1)),1500)"),0.0)</f>
        <v>0</v>
      </c>
      <c r="N439" s="3">
        <f>IFERROR(__xludf.DUMMYFUNCTION("IFERROR(INDEX(FILTER($Q$2:Q438,$C$2:C438=C439,$G$2:G438=G439),ROWS(FILTER($Q$2:Q438,$C$2:C438=C439,$G$2:G438=G439)),1),1500)"),1461.0)</f>
        <v>1461</v>
      </c>
      <c r="O439" s="3">
        <f t="shared" si="3"/>
        <v>1507</v>
      </c>
      <c r="P439" s="9">
        <f t="shared" si="1"/>
        <v>-14</v>
      </c>
      <c r="Q439" s="5">
        <f t="shared" si="2"/>
        <v>1447</v>
      </c>
    </row>
    <row r="440">
      <c r="A440" s="3" t="str">
        <f>IFERROR(__xludf.DUMMYFUNCTION("""COMPUTED_VALUE"""),"1O-fDNtjG2AC4D_9vW8ooLexAOiRXo43X")</f>
        <v>1O-fDNtjG2AC4D_9vW8ooLexAOiRXo43X</v>
      </c>
      <c r="B440" s="3" t="str">
        <f>IFERROR(__xludf.DUMMYFUNCTION("""COMPUTED_VALUE"""),"16.11.2025")</f>
        <v>16.11.2025</v>
      </c>
      <c r="C440" s="3" t="str">
        <f>IFERROR(__xludf.DUMMYFUNCTION("""COMPUTED_VALUE"""),"Nebus.")</f>
        <v>Nebus.</v>
      </c>
      <c r="D440" s="3" t="str">
        <f>IFERROR(__xludf.DUMMYFUNCTION("""COMPUTED_VALUE"""),"Kesny + Nebus.")</f>
        <v>Kesny + Nebus.</v>
      </c>
      <c r="E440" s="3" t="str">
        <f>IFERROR(__xludf.DUMMYFUNCTION("""COMPUTED_VALUE"""),"Aferdita + Malena")</f>
        <v>Aferdita + Malena</v>
      </c>
      <c r="F440" s="3" t="str">
        <f>IFERROR(__xludf.DUMMYFUNCTION("""COMPUTED_VALUE"""),"win")</f>
        <v>win</v>
      </c>
      <c r="G440" s="3" t="str">
        <f>IFERROR(__xludf.DUMMYFUNCTION("""COMPUTED_VALUE"""),"2v2")</f>
        <v>2v2</v>
      </c>
      <c r="H440" s="3" t="str">
        <f>IFERROR(__xludf.DUMMYFUNCTION("IFERROR(TRIM(INDEX(SPLIT(E440,"" + ""),1)),"""")"),"Aferdita")</f>
        <v>Aferdita</v>
      </c>
      <c r="I440" s="3" t="str">
        <f>IFERROR(__xludf.DUMMYFUNCTION("IFERROR(TRIM(INDEX(SPLIT(E440,"" + ""),2)),"""")"),"Malena")</f>
        <v>Malena</v>
      </c>
      <c r="J440" s="5" t="str">
        <f>IFERROR(__xludf.DUMMYFUNCTION("IFERROR(TRIM(INDEX(SPLIT(E440,"" + ""),3)),"""")"),"")</f>
        <v/>
      </c>
      <c r="K440" s="3">
        <f>IFERROR(__xludf.DUMMYFUNCTION("IFERROR(IF(H440="""",0,INDEX(FILTER($Q$2:Q439,$C$2:C439=H440,$G$2:G439=G440),ROWS(FILTER($Q$2:Q439,$C$2:C439=H440,$G$2:G439=G440)),1)),1500)"),1447.0)</f>
        <v>1447</v>
      </c>
      <c r="L440" s="3">
        <f>IFERROR(__xludf.DUMMYFUNCTION("IFERROR(IF(I440="""",0,INDEX(FILTER($Q$2:Q439,$C$2:C439=I440,$G$2:G439=G440),ROWS(FILTER($Q$2:Q439,$C$2:C439=I440,$G$2:G439=G440)),1)),1500)"),1589.0)</f>
        <v>1589</v>
      </c>
      <c r="M440" s="3">
        <f>IFERROR(__xludf.DUMMYFUNCTION("IFERROR(IF(J440="""",0,INDEX(FILTER($Q$2:Q439,$C$2:C439=J440,$G$2:G439=G440),ROWS(FILTER($Q$2:Q439,$C$2:C439=J440,$G$2:G439=G440)),1)),1500)"),0.0)</f>
        <v>0</v>
      </c>
      <c r="N440" s="3">
        <f>IFERROR(__xludf.DUMMYFUNCTION("IFERROR(INDEX(FILTER($Q$2:Q439,$C$2:C439=C440,$G$2:G439=G440),ROWS(FILTER($Q$2:Q439,$C$2:C439=C440,$G$2:G439=G440)),1),1500)"),1583.0)</f>
        <v>1583</v>
      </c>
      <c r="O440" s="3">
        <f t="shared" si="3"/>
        <v>1518</v>
      </c>
      <c r="P440" s="9">
        <f t="shared" si="1"/>
        <v>13</v>
      </c>
      <c r="Q440" s="5">
        <f t="shared" si="2"/>
        <v>1596</v>
      </c>
    </row>
    <row r="441">
      <c r="A441" s="3" t="str">
        <f>IFERROR(__xludf.DUMMYFUNCTION("""COMPUTED_VALUE"""),"1O-fDNtjG2AC4D_9vW8ooLexAOiRXo43X")</f>
        <v>1O-fDNtjG2AC4D_9vW8ooLexAOiRXo43X</v>
      </c>
      <c r="B441" s="3" t="str">
        <f>IFERROR(__xludf.DUMMYFUNCTION("""COMPUTED_VALUE"""),"16.11.2025")</f>
        <v>16.11.2025</v>
      </c>
      <c r="C441" s="3" t="str">
        <f>IFERROR(__xludf.DUMMYFUNCTION("""COMPUTED_VALUE"""),"Kesny")</f>
        <v>Kesny</v>
      </c>
      <c r="D441" s="3" t="str">
        <f>IFERROR(__xludf.DUMMYFUNCTION("""COMPUTED_VALUE"""),"Kesny + Nebus.")</f>
        <v>Kesny + Nebus.</v>
      </c>
      <c r="E441" s="3" t="str">
        <f>IFERROR(__xludf.DUMMYFUNCTION("""COMPUTED_VALUE"""),"Aferdita + Malena")</f>
        <v>Aferdita + Malena</v>
      </c>
      <c r="F441" s="3" t="str">
        <f>IFERROR(__xludf.DUMMYFUNCTION("""COMPUTED_VALUE"""),"win")</f>
        <v>win</v>
      </c>
      <c r="G441" s="3" t="str">
        <f>IFERROR(__xludf.DUMMYFUNCTION("""COMPUTED_VALUE"""),"2v2")</f>
        <v>2v2</v>
      </c>
      <c r="H441" s="3" t="str">
        <f>IFERROR(__xludf.DUMMYFUNCTION("IFERROR(TRIM(INDEX(SPLIT(E441,"" + ""),1)),"""")"),"Aferdita")</f>
        <v>Aferdita</v>
      </c>
      <c r="I441" s="3" t="str">
        <f>IFERROR(__xludf.DUMMYFUNCTION("IFERROR(TRIM(INDEX(SPLIT(E441,"" + ""),2)),"""")"),"Malena")</f>
        <v>Malena</v>
      </c>
      <c r="J441" s="5" t="str">
        <f>IFERROR(__xludf.DUMMYFUNCTION("IFERROR(TRIM(INDEX(SPLIT(E441,"" + ""),3)),"""")"),"")</f>
        <v/>
      </c>
      <c r="K441" s="3">
        <f>IFERROR(__xludf.DUMMYFUNCTION("IFERROR(IF(H441="""",0,INDEX(FILTER($Q$2:Q440,$C$2:C440=H441,$G$2:G440=G441),ROWS(FILTER($Q$2:Q440,$C$2:C440=H441,$G$2:G440=G441)),1)),1500)"),1447.0)</f>
        <v>1447</v>
      </c>
      <c r="L441" s="3">
        <f>IFERROR(__xludf.DUMMYFUNCTION("IFERROR(IF(I441="""",0,INDEX(FILTER($Q$2:Q440,$C$2:C440=I441,$G$2:G440=G441),ROWS(FILTER($Q$2:Q440,$C$2:C440=I441,$G$2:G440=G441)),1)),1500)"),1589.0)</f>
        <v>1589</v>
      </c>
      <c r="M441" s="3">
        <f>IFERROR(__xludf.DUMMYFUNCTION("IFERROR(IF(J441="""",0,INDEX(FILTER($Q$2:Q440,$C$2:C440=J441,$G$2:G440=G441),ROWS(FILTER($Q$2:Q440,$C$2:C440=J441,$G$2:G440=G441)),1)),1500)"),0.0)</f>
        <v>0</v>
      </c>
      <c r="N441" s="3">
        <f>IFERROR(__xludf.DUMMYFUNCTION("IFERROR(INDEX(FILTER($Q$2:Q440,$C$2:C440=C441,$G$2:G440=G441),ROWS(FILTER($Q$2:Q440,$C$2:C440=C441,$G$2:G440=G441)),1),1500)"),1431.0)</f>
        <v>1431</v>
      </c>
      <c r="O441" s="3">
        <f t="shared" si="3"/>
        <v>1518</v>
      </c>
      <c r="P441" s="9">
        <f t="shared" si="1"/>
        <v>20</v>
      </c>
      <c r="Q441" s="5">
        <f t="shared" si="2"/>
        <v>1451</v>
      </c>
    </row>
    <row r="442">
      <c r="A442" s="3" t="str">
        <f>IFERROR(__xludf.DUMMYFUNCTION("""COMPUTED_VALUE"""),"18HIEB-8H-6PaV-kazFO_Edhhg5T-o62z")</f>
        <v>18HIEB-8H-6PaV-kazFO_Edhhg5T-o62z</v>
      </c>
      <c r="B442" s="3" t="str">
        <f>IFERROR(__xludf.DUMMYFUNCTION("""COMPUTED_VALUE"""),"16.11.2025")</f>
        <v>16.11.2025</v>
      </c>
      <c r="C442" s="3" t="str">
        <f>IFERROR(__xludf.DUMMYFUNCTION("""COMPUTED_VALUE"""),"Malena")</f>
        <v>Malena</v>
      </c>
      <c r="D442" s="3" t="str">
        <f>IFERROR(__xludf.DUMMYFUNCTION("""COMPUTED_VALUE"""),"Aferdita + Malena")</f>
        <v>Aferdita + Malena</v>
      </c>
      <c r="E442" s="3" t="str">
        <f>IFERROR(__xludf.DUMMYFUNCTION("""COMPUTED_VALUE"""),"Kesny + Nebus.")</f>
        <v>Kesny + Nebus.</v>
      </c>
      <c r="F442" s="3" t="str">
        <f>IFERROR(__xludf.DUMMYFUNCTION("""COMPUTED_VALUE"""),"win")</f>
        <v>win</v>
      </c>
      <c r="G442" s="3" t="str">
        <f>IFERROR(__xludf.DUMMYFUNCTION("""COMPUTED_VALUE"""),"2v2")</f>
        <v>2v2</v>
      </c>
      <c r="H442" s="3" t="str">
        <f>IFERROR(__xludf.DUMMYFUNCTION("IFERROR(TRIM(INDEX(SPLIT(E442,"" + ""),1)),"""")"),"Kesny")</f>
        <v>Kesny</v>
      </c>
      <c r="I442" s="3" t="str">
        <f>IFERROR(__xludf.DUMMYFUNCTION("IFERROR(TRIM(INDEX(SPLIT(E442,"" + ""),2)),"""")"),"Nebus.")</f>
        <v>Nebus.</v>
      </c>
      <c r="J442" s="5" t="str">
        <f>IFERROR(__xludf.DUMMYFUNCTION("IFERROR(TRIM(INDEX(SPLIT(E442,"" + ""),3)),"""")"),"")</f>
        <v/>
      </c>
      <c r="K442" s="3">
        <f>IFERROR(__xludf.DUMMYFUNCTION("IFERROR(IF(H442="""",0,INDEX(FILTER($Q$2:Q441,$C$2:C441=H442,$G$2:G441=G442),ROWS(FILTER($Q$2:Q441,$C$2:C441=H442,$G$2:G441=G442)),1)),1500)"),1451.0)</f>
        <v>1451</v>
      </c>
      <c r="L442" s="3">
        <f>IFERROR(__xludf.DUMMYFUNCTION("IFERROR(IF(I442="""",0,INDEX(FILTER($Q$2:Q441,$C$2:C441=I442,$G$2:G441=G442),ROWS(FILTER($Q$2:Q441,$C$2:C441=I442,$G$2:G441=G442)),1)),1500)"),1596.0)</f>
        <v>1596</v>
      </c>
      <c r="M442" s="3">
        <f>IFERROR(__xludf.DUMMYFUNCTION("IFERROR(IF(J442="""",0,INDEX(FILTER($Q$2:Q441,$C$2:C441=J442,$G$2:G441=G442),ROWS(FILTER($Q$2:Q441,$C$2:C441=J442,$G$2:G441=G442)),1)),1500)"),0.0)</f>
        <v>0</v>
      </c>
      <c r="N442" s="3">
        <f>IFERROR(__xludf.DUMMYFUNCTION("IFERROR(INDEX(FILTER($Q$2:Q441,$C$2:C441=C442,$G$2:G441=G442),ROWS(FILTER($Q$2:Q441,$C$2:C441=C442,$G$2:G441=G442)),1),1500)"),1589.0)</f>
        <v>1589</v>
      </c>
      <c r="O442" s="3">
        <f t="shared" si="3"/>
        <v>1523.5</v>
      </c>
      <c r="P442" s="9">
        <f t="shared" si="1"/>
        <v>13</v>
      </c>
      <c r="Q442" s="5">
        <f t="shared" si="2"/>
        <v>1602</v>
      </c>
    </row>
    <row r="443">
      <c r="A443" s="3" t="str">
        <f>IFERROR(__xludf.DUMMYFUNCTION("""COMPUTED_VALUE"""),"18HIEB-8H-6PaV-kazFO_Edhhg5T-o62z")</f>
        <v>18HIEB-8H-6PaV-kazFO_Edhhg5T-o62z</v>
      </c>
      <c r="B443" s="3" t="str">
        <f>IFERROR(__xludf.DUMMYFUNCTION("""COMPUTED_VALUE"""),"16.11.2025")</f>
        <v>16.11.2025</v>
      </c>
      <c r="C443" s="3" t="str">
        <f>IFERROR(__xludf.DUMMYFUNCTION("""COMPUTED_VALUE"""),"Aferdita")</f>
        <v>Aferdita</v>
      </c>
      <c r="D443" s="3" t="str">
        <f>IFERROR(__xludf.DUMMYFUNCTION("""COMPUTED_VALUE"""),"Aferdita + Malena")</f>
        <v>Aferdita + Malena</v>
      </c>
      <c r="E443" s="3" t="str">
        <f>IFERROR(__xludf.DUMMYFUNCTION("""COMPUTED_VALUE"""),"Kesny + Nebus.")</f>
        <v>Kesny + Nebus.</v>
      </c>
      <c r="F443" s="3" t="str">
        <f>IFERROR(__xludf.DUMMYFUNCTION("""COMPUTED_VALUE"""),"win")</f>
        <v>win</v>
      </c>
      <c r="G443" s="3" t="str">
        <f>IFERROR(__xludf.DUMMYFUNCTION("""COMPUTED_VALUE"""),"2v2")</f>
        <v>2v2</v>
      </c>
      <c r="H443" s="3" t="str">
        <f>IFERROR(__xludf.DUMMYFUNCTION("IFERROR(TRIM(INDEX(SPLIT(E443,"" + ""),1)),"""")"),"Kesny")</f>
        <v>Kesny</v>
      </c>
      <c r="I443" s="3" t="str">
        <f>IFERROR(__xludf.DUMMYFUNCTION("IFERROR(TRIM(INDEX(SPLIT(E443,"" + ""),2)),"""")"),"Nebus.")</f>
        <v>Nebus.</v>
      </c>
      <c r="J443" s="5" t="str">
        <f>IFERROR(__xludf.DUMMYFUNCTION("IFERROR(TRIM(INDEX(SPLIT(E443,"" + ""),3)),"""")"),"")</f>
        <v/>
      </c>
      <c r="K443" s="3">
        <f>IFERROR(__xludf.DUMMYFUNCTION("IFERROR(IF(H443="""",0,INDEX(FILTER($Q$2:Q442,$C$2:C442=H443,$G$2:G442=G443),ROWS(FILTER($Q$2:Q442,$C$2:C442=H443,$G$2:G442=G443)),1)),1500)"),1451.0)</f>
        <v>1451</v>
      </c>
      <c r="L443" s="3">
        <f>IFERROR(__xludf.DUMMYFUNCTION("IFERROR(IF(I443="""",0,INDEX(FILTER($Q$2:Q442,$C$2:C442=I443,$G$2:G442=G443),ROWS(FILTER($Q$2:Q442,$C$2:C442=I443,$G$2:G442=G443)),1)),1500)"),1596.0)</f>
        <v>1596</v>
      </c>
      <c r="M443" s="3">
        <f>IFERROR(__xludf.DUMMYFUNCTION("IFERROR(IF(J443="""",0,INDEX(FILTER($Q$2:Q442,$C$2:C442=J443,$G$2:G442=G443),ROWS(FILTER($Q$2:Q442,$C$2:C442=J443,$G$2:G442=G443)),1)),1500)"),0.0)</f>
        <v>0</v>
      </c>
      <c r="N443" s="3">
        <f>IFERROR(__xludf.DUMMYFUNCTION("IFERROR(INDEX(FILTER($Q$2:Q442,$C$2:C442=C443,$G$2:G442=G443),ROWS(FILTER($Q$2:Q442,$C$2:C442=C443,$G$2:G442=G443)),1),1500)"),1447.0)</f>
        <v>1447</v>
      </c>
      <c r="O443" s="3">
        <f t="shared" si="3"/>
        <v>1523.5</v>
      </c>
      <c r="P443" s="9">
        <f t="shared" si="1"/>
        <v>19</v>
      </c>
      <c r="Q443" s="5">
        <f t="shared" si="2"/>
        <v>1466</v>
      </c>
    </row>
    <row r="444">
      <c r="A444" s="3" t="str">
        <f>IFERROR(__xludf.DUMMYFUNCTION("""COMPUTED_VALUE"""),"18HIEB-8H-6PaV-kazFO_Edhhg5T-o62z")</f>
        <v>18HIEB-8H-6PaV-kazFO_Edhhg5T-o62z</v>
      </c>
      <c r="B444" s="3" t="str">
        <f>IFERROR(__xludf.DUMMYFUNCTION("""COMPUTED_VALUE"""),"16.11.2025")</f>
        <v>16.11.2025</v>
      </c>
      <c r="C444" s="3" t="str">
        <f>IFERROR(__xludf.DUMMYFUNCTION("""COMPUTED_VALUE"""),"Nebus.")</f>
        <v>Nebus.</v>
      </c>
      <c r="D444" s="3" t="str">
        <f>IFERROR(__xludf.DUMMYFUNCTION("""COMPUTED_VALUE"""),"Kesny + Nebus.")</f>
        <v>Kesny + Nebus.</v>
      </c>
      <c r="E444" s="3" t="str">
        <f>IFERROR(__xludf.DUMMYFUNCTION("""COMPUTED_VALUE"""),"Aferdita + Malena")</f>
        <v>Aferdita + Malena</v>
      </c>
      <c r="F444" s="3" t="str">
        <f>IFERROR(__xludf.DUMMYFUNCTION("""COMPUTED_VALUE"""),"loss")</f>
        <v>loss</v>
      </c>
      <c r="G444" s="3" t="str">
        <f>IFERROR(__xludf.DUMMYFUNCTION("""COMPUTED_VALUE"""),"2v2")</f>
        <v>2v2</v>
      </c>
      <c r="H444" s="3" t="str">
        <f>IFERROR(__xludf.DUMMYFUNCTION("IFERROR(TRIM(INDEX(SPLIT(E444,"" + ""),1)),"""")"),"Aferdita")</f>
        <v>Aferdita</v>
      </c>
      <c r="I444" s="3" t="str">
        <f>IFERROR(__xludf.DUMMYFUNCTION("IFERROR(TRIM(INDEX(SPLIT(E444,"" + ""),2)),"""")"),"Malena")</f>
        <v>Malena</v>
      </c>
      <c r="J444" s="5" t="str">
        <f>IFERROR(__xludf.DUMMYFUNCTION("IFERROR(TRIM(INDEX(SPLIT(E444,"" + ""),3)),"""")"),"")</f>
        <v/>
      </c>
      <c r="K444" s="3">
        <f>IFERROR(__xludf.DUMMYFUNCTION("IFERROR(IF(H444="""",0,INDEX(FILTER($Q$2:Q443,$C$2:C443=H444,$G$2:G443=G444),ROWS(FILTER($Q$2:Q443,$C$2:C443=H444,$G$2:G443=G444)),1)),1500)"),1466.0)</f>
        <v>1466</v>
      </c>
      <c r="L444" s="3">
        <f>IFERROR(__xludf.DUMMYFUNCTION("IFERROR(IF(I444="""",0,INDEX(FILTER($Q$2:Q443,$C$2:C443=I444,$G$2:G443=G444),ROWS(FILTER($Q$2:Q443,$C$2:C443=I444,$G$2:G443=G444)),1)),1500)"),1602.0)</f>
        <v>1602</v>
      </c>
      <c r="M444" s="3">
        <f>IFERROR(__xludf.DUMMYFUNCTION("IFERROR(IF(J444="""",0,INDEX(FILTER($Q$2:Q443,$C$2:C443=J444,$G$2:G443=G444),ROWS(FILTER($Q$2:Q443,$C$2:C443=J444,$G$2:G443=G444)),1)),1500)"),0.0)</f>
        <v>0</v>
      </c>
      <c r="N444" s="3">
        <f>IFERROR(__xludf.DUMMYFUNCTION("IFERROR(INDEX(FILTER($Q$2:Q443,$C$2:C443=C444,$G$2:G443=G444),ROWS(FILTER($Q$2:Q443,$C$2:C443=C444,$G$2:G443=G444)),1),1500)"),1596.0)</f>
        <v>1596</v>
      </c>
      <c r="O444" s="3">
        <f t="shared" si="3"/>
        <v>1534</v>
      </c>
      <c r="P444" s="9">
        <f t="shared" si="1"/>
        <v>-19</v>
      </c>
      <c r="Q444" s="5">
        <f t="shared" si="2"/>
        <v>1577</v>
      </c>
    </row>
    <row r="445">
      <c r="A445" s="3" t="str">
        <f>IFERROR(__xludf.DUMMYFUNCTION("""COMPUTED_VALUE"""),"18HIEB-8H-6PaV-kazFO_Edhhg5T-o62z")</f>
        <v>18HIEB-8H-6PaV-kazFO_Edhhg5T-o62z</v>
      </c>
      <c r="B445" s="3" t="str">
        <f>IFERROR(__xludf.DUMMYFUNCTION("""COMPUTED_VALUE"""),"16.11.2025")</f>
        <v>16.11.2025</v>
      </c>
      <c r="C445" s="3" t="str">
        <f>IFERROR(__xludf.DUMMYFUNCTION("""COMPUTED_VALUE"""),"Kesny")</f>
        <v>Kesny</v>
      </c>
      <c r="D445" s="3" t="str">
        <f>IFERROR(__xludf.DUMMYFUNCTION("""COMPUTED_VALUE"""),"Kesny + Nebus.")</f>
        <v>Kesny + Nebus.</v>
      </c>
      <c r="E445" s="3" t="str">
        <f>IFERROR(__xludf.DUMMYFUNCTION("""COMPUTED_VALUE"""),"Aferdita + Malena")</f>
        <v>Aferdita + Malena</v>
      </c>
      <c r="F445" s="3" t="str">
        <f>IFERROR(__xludf.DUMMYFUNCTION("""COMPUTED_VALUE"""),"loss")</f>
        <v>loss</v>
      </c>
      <c r="G445" s="3" t="str">
        <f>IFERROR(__xludf.DUMMYFUNCTION("""COMPUTED_VALUE"""),"2v2")</f>
        <v>2v2</v>
      </c>
      <c r="H445" s="3" t="str">
        <f>IFERROR(__xludf.DUMMYFUNCTION("IFERROR(TRIM(INDEX(SPLIT(E445,"" + ""),1)),"""")"),"Aferdita")</f>
        <v>Aferdita</v>
      </c>
      <c r="I445" s="3" t="str">
        <f>IFERROR(__xludf.DUMMYFUNCTION("IFERROR(TRIM(INDEX(SPLIT(E445,"" + ""),2)),"""")"),"Malena")</f>
        <v>Malena</v>
      </c>
      <c r="J445" s="5" t="str">
        <f>IFERROR(__xludf.DUMMYFUNCTION("IFERROR(TRIM(INDEX(SPLIT(E445,"" + ""),3)),"""")"),"")</f>
        <v/>
      </c>
      <c r="K445" s="3">
        <f>IFERROR(__xludf.DUMMYFUNCTION("IFERROR(IF(H445="""",0,INDEX(FILTER($Q$2:Q444,$C$2:C444=H445,$G$2:G444=G445),ROWS(FILTER($Q$2:Q444,$C$2:C444=H445,$G$2:G444=G445)),1)),1500)"),1466.0)</f>
        <v>1466</v>
      </c>
      <c r="L445" s="3">
        <f>IFERROR(__xludf.DUMMYFUNCTION("IFERROR(IF(I445="""",0,INDEX(FILTER($Q$2:Q444,$C$2:C444=I445,$G$2:G444=G445),ROWS(FILTER($Q$2:Q444,$C$2:C444=I445,$G$2:G444=G445)),1)),1500)"),1602.0)</f>
        <v>1602</v>
      </c>
      <c r="M445" s="3">
        <f>IFERROR(__xludf.DUMMYFUNCTION("IFERROR(IF(J445="""",0,INDEX(FILTER($Q$2:Q444,$C$2:C444=J445,$G$2:G444=G445),ROWS(FILTER($Q$2:Q444,$C$2:C444=J445,$G$2:G444=G445)),1)),1500)"),0.0)</f>
        <v>0</v>
      </c>
      <c r="N445" s="3">
        <f>IFERROR(__xludf.DUMMYFUNCTION("IFERROR(INDEX(FILTER($Q$2:Q444,$C$2:C444=C445,$G$2:G444=G445),ROWS(FILTER($Q$2:Q444,$C$2:C444=C445,$G$2:G444=G445)),1),1500)"),1451.0)</f>
        <v>1451</v>
      </c>
      <c r="O445" s="3">
        <f t="shared" si="3"/>
        <v>1534</v>
      </c>
      <c r="P445" s="9">
        <f t="shared" si="1"/>
        <v>-12</v>
      </c>
      <c r="Q445" s="5">
        <f t="shared" si="2"/>
        <v>1439</v>
      </c>
    </row>
    <row r="446">
      <c r="A446" s="3" t="str">
        <f>IFERROR(__xludf.DUMMYFUNCTION("""COMPUTED_VALUE"""),"1sYpJRkB8GVSznx1KSIt2wrFuwLPR7Z5y")</f>
        <v>1sYpJRkB8GVSznx1KSIt2wrFuwLPR7Z5y</v>
      </c>
      <c r="B446" s="3" t="str">
        <f>IFERROR(__xludf.DUMMYFUNCTION("""COMPUTED_VALUE"""),"16.11.2025")</f>
        <v>16.11.2025</v>
      </c>
      <c r="C446" s="3" t="str">
        <f>IFERROR(__xludf.DUMMYFUNCTION("""COMPUTED_VALUE"""),"Malena")</f>
        <v>Malena</v>
      </c>
      <c r="D446" s="3" t="str">
        <f>IFERROR(__xludf.DUMMYFUNCTION("""COMPUTED_VALUE"""),"Kesny + Malena")</f>
        <v>Kesny + Malena</v>
      </c>
      <c r="E446" s="3" t="str">
        <f>IFERROR(__xludf.DUMMYFUNCTION("""COMPUTED_VALUE"""),"Aferdita + Nebus.")</f>
        <v>Aferdita + Nebus.</v>
      </c>
      <c r="F446" s="3" t="str">
        <f>IFERROR(__xludf.DUMMYFUNCTION("""COMPUTED_VALUE"""),"loss")</f>
        <v>loss</v>
      </c>
      <c r="G446" s="3" t="str">
        <f>IFERROR(__xludf.DUMMYFUNCTION("""COMPUTED_VALUE"""),"2v2")</f>
        <v>2v2</v>
      </c>
      <c r="H446" s="3" t="str">
        <f>IFERROR(__xludf.DUMMYFUNCTION("IFERROR(TRIM(INDEX(SPLIT(E446,"" + ""),1)),"""")"),"Aferdita")</f>
        <v>Aferdita</v>
      </c>
      <c r="I446" s="3" t="str">
        <f>IFERROR(__xludf.DUMMYFUNCTION("IFERROR(TRIM(INDEX(SPLIT(E446,"" + ""),2)),"""")"),"Nebus.")</f>
        <v>Nebus.</v>
      </c>
      <c r="J446" s="5" t="str">
        <f>IFERROR(__xludf.DUMMYFUNCTION("IFERROR(TRIM(INDEX(SPLIT(E446,"" + ""),3)),"""")"),"")</f>
        <v/>
      </c>
      <c r="K446" s="3">
        <f>IFERROR(__xludf.DUMMYFUNCTION("IFERROR(IF(H446="""",0,INDEX(FILTER($Q$2:Q445,$C$2:C445=H446,$G$2:G445=G446),ROWS(FILTER($Q$2:Q445,$C$2:C445=H446,$G$2:G445=G446)),1)),1500)"),1466.0)</f>
        <v>1466</v>
      </c>
      <c r="L446" s="3">
        <f>IFERROR(__xludf.DUMMYFUNCTION("IFERROR(IF(I446="""",0,INDEX(FILTER($Q$2:Q445,$C$2:C445=I446,$G$2:G445=G446),ROWS(FILTER($Q$2:Q445,$C$2:C445=I446,$G$2:G445=G446)),1)),1500)"),1577.0)</f>
        <v>1577</v>
      </c>
      <c r="M446" s="3">
        <f>IFERROR(__xludf.DUMMYFUNCTION("IFERROR(IF(J446="""",0,INDEX(FILTER($Q$2:Q445,$C$2:C445=J446,$G$2:G445=G446),ROWS(FILTER($Q$2:Q445,$C$2:C445=J446,$G$2:G445=G446)),1)),1500)"),0.0)</f>
        <v>0</v>
      </c>
      <c r="N446" s="3">
        <f>IFERROR(__xludf.DUMMYFUNCTION("IFERROR(INDEX(FILTER($Q$2:Q445,$C$2:C445=C446,$G$2:G445=G446),ROWS(FILTER($Q$2:Q445,$C$2:C445=C446,$G$2:G445=G446)),1),1500)"),1602.0)</f>
        <v>1602</v>
      </c>
      <c r="O446" s="3">
        <f t="shared" si="3"/>
        <v>1521.5</v>
      </c>
      <c r="P446" s="9">
        <f t="shared" si="1"/>
        <v>-20</v>
      </c>
      <c r="Q446" s="5">
        <f t="shared" si="2"/>
        <v>1582</v>
      </c>
    </row>
    <row r="447">
      <c r="A447" s="3" t="str">
        <f>IFERROR(__xludf.DUMMYFUNCTION("""COMPUTED_VALUE"""),"1sYpJRkB8GVSznx1KSIt2wrFuwLPR7Z5y")</f>
        <v>1sYpJRkB8GVSznx1KSIt2wrFuwLPR7Z5y</v>
      </c>
      <c r="B447" s="3" t="str">
        <f>IFERROR(__xludf.DUMMYFUNCTION("""COMPUTED_VALUE"""),"16.11.2025")</f>
        <v>16.11.2025</v>
      </c>
      <c r="C447" s="3" t="str">
        <f>IFERROR(__xludf.DUMMYFUNCTION("""COMPUTED_VALUE"""),"Kesny")</f>
        <v>Kesny</v>
      </c>
      <c r="D447" s="3" t="str">
        <f>IFERROR(__xludf.DUMMYFUNCTION("""COMPUTED_VALUE"""),"Kesny + Malena")</f>
        <v>Kesny + Malena</v>
      </c>
      <c r="E447" s="3" t="str">
        <f>IFERROR(__xludf.DUMMYFUNCTION("""COMPUTED_VALUE"""),"Aferdita + Nebus.")</f>
        <v>Aferdita + Nebus.</v>
      </c>
      <c r="F447" s="3" t="str">
        <f>IFERROR(__xludf.DUMMYFUNCTION("""COMPUTED_VALUE"""),"loss")</f>
        <v>loss</v>
      </c>
      <c r="G447" s="3" t="str">
        <f>IFERROR(__xludf.DUMMYFUNCTION("""COMPUTED_VALUE"""),"2v2")</f>
        <v>2v2</v>
      </c>
      <c r="H447" s="3" t="str">
        <f>IFERROR(__xludf.DUMMYFUNCTION("IFERROR(TRIM(INDEX(SPLIT(E447,"" + ""),1)),"""")"),"Aferdita")</f>
        <v>Aferdita</v>
      </c>
      <c r="I447" s="3" t="str">
        <f>IFERROR(__xludf.DUMMYFUNCTION("IFERROR(TRIM(INDEX(SPLIT(E447,"" + ""),2)),"""")"),"Nebus.")</f>
        <v>Nebus.</v>
      </c>
      <c r="J447" s="5" t="str">
        <f>IFERROR(__xludf.DUMMYFUNCTION("IFERROR(TRIM(INDEX(SPLIT(E447,"" + ""),3)),"""")"),"")</f>
        <v/>
      </c>
      <c r="K447" s="3">
        <f>IFERROR(__xludf.DUMMYFUNCTION("IFERROR(IF(H447="""",0,INDEX(FILTER($Q$2:Q446,$C$2:C446=H447,$G$2:G446=G447),ROWS(FILTER($Q$2:Q446,$C$2:C446=H447,$G$2:G446=G447)),1)),1500)"),1466.0)</f>
        <v>1466</v>
      </c>
      <c r="L447" s="3">
        <f>IFERROR(__xludf.DUMMYFUNCTION("IFERROR(IF(I447="""",0,INDEX(FILTER($Q$2:Q446,$C$2:C446=I447,$G$2:G446=G447),ROWS(FILTER($Q$2:Q446,$C$2:C446=I447,$G$2:G446=G447)),1)),1500)"),1577.0)</f>
        <v>1577</v>
      </c>
      <c r="M447" s="3">
        <f>IFERROR(__xludf.DUMMYFUNCTION("IFERROR(IF(J447="""",0,INDEX(FILTER($Q$2:Q446,$C$2:C446=J447,$G$2:G446=G447),ROWS(FILTER($Q$2:Q446,$C$2:C446=J447,$G$2:G446=G447)),1)),1500)"),0.0)</f>
        <v>0</v>
      </c>
      <c r="N447" s="3">
        <f>IFERROR(__xludf.DUMMYFUNCTION("IFERROR(INDEX(FILTER($Q$2:Q446,$C$2:C446=C447,$G$2:G446=G447),ROWS(FILTER($Q$2:Q446,$C$2:C446=C447,$G$2:G446=G447)),1),1500)"),1439.0)</f>
        <v>1439</v>
      </c>
      <c r="O447" s="3">
        <f t="shared" si="3"/>
        <v>1521.5</v>
      </c>
      <c r="P447" s="9">
        <f t="shared" si="1"/>
        <v>-12</v>
      </c>
      <c r="Q447" s="5">
        <f t="shared" si="2"/>
        <v>1427</v>
      </c>
    </row>
    <row r="448">
      <c r="A448" s="3" t="str">
        <f>IFERROR(__xludf.DUMMYFUNCTION("""COMPUTED_VALUE"""),"1sYpJRkB8GVSznx1KSIt2wrFuwLPR7Z5y")</f>
        <v>1sYpJRkB8GVSznx1KSIt2wrFuwLPR7Z5y</v>
      </c>
      <c r="B448" s="3" t="str">
        <f>IFERROR(__xludf.DUMMYFUNCTION("""COMPUTED_VALUE"""),"16.11.2025")</f>
        <v>16.11.2025</v>
      </c>
      <c r="C448" s="3" t="str">
        <f>IFERROR(__xludf.DUMMYFUNCTION("""COMPUTED_VALUE"""),"Nebus.")</f>
        <v>Nebus.</v>
      </c>
      <c r="D448" s="3" t="str">
        <f>IFERROR(__xludf.DUMMYFUNCTION("""COMPUTED_VALUE"""),"Aferdita + Nebus.")</f>
        <v>Aferdita + Nebus.</v>
      </c>
      <c r="E448" s="3" t="str">
        <f>IFERROR(__xludf.DUMMYFUNCTION("""COMPUTED_VALUE"""),"Kesny + Malena")</f>
        <v>Kesny + Malena</v>
      </c>
      <c r="F448" s="3" t="str">
        <f>IFERROR(__xludf.DUMMYFUNCTION("""COMPUTED_VALUE"""),"win")</f>
        <v>win</v>
      </c>
      <c r="G448" s="3" t="str">
        <f>IFERROR(__xludf.DUMMYFUNCTION("""COMPUTED_VALUE"""),"2v2")</f>
        <v>2v2</v>
      </c>
      <c r="H448" s="3" t="str">
        <f>IFERROR(__xludf.DUMMYFUNCTION("IFERROR(TRIM(INDEX(SPLIT(E448,"" + ""),1)),"""")"),"Kesny")</f>
        <v>Kesny</v>
      </c>
      <c r="I448" s="3" t="str">
        <f>IFERROR(__xludf.DUMMYFUNCTION("IFERROR(TRIM(INDEX(SPLIT(E448,"" + ""),2)),"""")"),"Malena")</f>
        <v>Malena</v>
      </c>
      <c r="J448" s="5" t="str">
        <f>IFERROR(__xludf.DUMMYFUNCTION("IFERROR(TRIM(INDEX(SPLIT(E448,"" + ""),3)),"""")"),"")</f>
        <v/>
      </c>
      <c r="K448" s="3">
        <f>IFERROR(__xludf.DUMMYFUNCTION("IFERROR(IF(H448="""",0,INDEX(FILTER($Q$2:Q447,$C$2:C447=H448,$G$2:G447=G448),ROWS(FILTER($Q$2:Q447,$C$2:C447=H448,$G$2:G447=G448)),1)),1500)"),1427.0)</f>
        <v>1427</v>
      </c>
      <c r="L448" s="3">
        <f>IFERROR(__xludf.DUMMYFUNCTION("IFERROR(IF(I448="""",0,INDEX(FILTER($Q$2:Q447,$C$2:C447=I448,$G$2:G447=G448),ROWS(FILTER($Q$2:Q447,$C$2:C447=I448,$G$2:G447=G448)),1)),1500)"),1582.0)</f>
        <v>1582</v>
      </c>
      <c r="M448" s="3">
        <f>IFERROR(__xludf.DUMMYFUNCTION("IFERROR(IF(J448="""",0,INDEX(FILTER($Q$2:Q447,$C$2:C447=J448,$G$2:G447=G448),ROWS(FILTER($Q$2:Q447,$C$2:C447=J448,$G$2:G447=G448)),1)),1500)"),0.0)</f>
        <v>0</v>
      </c>
      <c r="N448" s="3">
        <f>IFERROR(__xludf.DUMMYFUNCTION("IFERROR(INDEX(FILTER($Q$2:Q447,$C$2:C447=C448,$G$2:G447=G448),ROWS(FILTER($Q$2:Q447,$C$2:C447=C448,$G$2:G447=G448)),1),1500)"),1577.0)</f>
        <v>1577</v>
      </c>
      <c r="O448" s="3">
        <f t="shared" si="3"/>
        <v>1504.5</v>
      </c>
      <c r="P448" s="9">
        <f t="shared" si="1"/>
        <v>13</v>
      </c>
      <c r="Q448" s="5">
        <f t="shared" si="2"/>
        <v>1590</v>
      </c>
    </row>
    <row r="449">
      <c r="A449" s="3" t="str">
        <f>IFERROR(__xludf.DUMMYFUNCTION("""COMPUTED_VALUE"""),"1sYpJRkB8GVSznx1KSIt2wrFuwLPR7Z5y")</f>
        <v>1sYpJRkB8GVSznx1KSIt2wrFuwLPR7Z5y</v>
      </c>
      <c r="B449" s="3" t="str">
        <f>IFERROR(__xludf.DUMMYFUNCTION("""COMPUTED_VALUE"""),"16.11.2025")</f>
        <v>16.11.2025</v>
      </c>
      <c r="C449" s="3" t="str">
        <f>IFERROR(__xludf.DUMMYFUNCTION("""COMPUTED_VALUE"""),"Aferdita")</f>
        <v>Aferdita</v>
      </c>
      <c r="D449" s="3" t="str">
        <f>IFERROR(__xludf.DUMMYFUNCTION("""COMPUTED_VALUE"""),"Aferdita + Nebus.")</f>
        <v>Aferdita + Nebus.</v>
      </c>
      <c r="E449" s="3" t="str">
        <f>IFERROR(__xludf.DUMMYFUNCTION("""COMPUTED_VALUE"""),"Kesny + Malena")</f>
        <v>Kesny + Malena</v>
      </c>
      <c r="F449" s="3" t="str">
        <f>IFERROR(__xludf.DUMMYFUNCTION("""COMPUTED_VALUE"""),"win")</f>
        <v>win</v>
      </c>
      <c r="G449" s="3" t="str">
        <f>IFERROR(__xludf.DUMMYFUNCTION("""COMPUTED_VALUE"""),"2v2")</f>
        <v>2v2</v>
      </c>
      <c r="H449" s="3" t="str">
        <f>IFERROR(__xludf.DUMMYFUNCTION("IFERROR(TRIM(INDEX(SPLIT(E449,"" + ""),1)),"""")"),"Kesny")</f>
        <v>Kesny</v>
      </c>
      <c r="I449" s="3" t="str">
        <f>IFERROR(__xludf.DUMMYFUNCTION("IFERROR(TRIM(INDEX(SPLIT(E449,"" + ""),2)),"""")"),"Malena")</f>
        <v>Malena</v>
      </c>
      <c r="J449" s="5" t="str">
        <f>IFERROR(__xludf.DUMMYFUNCTION("IFERROR(TRIM(INDEX(SPLIT(E449,"" + ""),3)),"""")"),"")</f>
        <v/>
      </c>
      <c r="K449" s="3">
        <f>IFERROR(__xludf.DUMMYFUNCTION("IFERROR(IF(H449="""",0,INDEX(FILTER($Q$2:Q448,$C$2:C448=H449,$G$2:G448=G449),ROWS(FILTER($Q$2:Q448,$C$2:C448=H449,$G$2:G448=G449)),1)),1500)"),1427.0)</f>
        <v>1427</v>
      </c>
      <c r="L449" s="3">
        <f>IFERROR(__xludf.DUMMYFUNCTION("IFERROR(IF(I449="""",0,INDEX(FILTER($Q$2:Q448,$C$2:C448=I449,$G$2:G448=G449),ROWS(FILTER($Q$2:Q448,$C$2:C448=I449,$G$2:G448=G449)),1)),1500)"),1582.0)</f>
        <v>1582</v>
      </c>
      <c r="M449" s="3">
        <f>IFERROR(__xludf.DUMMYFUNCTION("IFERROR(IF(J449="""",0,INDEX(FILTER($Q$2:Q448,$C$2:C448=J449,$G$2:G448=G449),ROWS(FILTER($Q$2:Q448,$C$2:C448=J449,$G$2:G448=G449)),1)),1500)"),0.0)</f>
        <v>0</v>
      </c>
      <c r="N449" s="3">
        <f>IFERROR(__xludf.DUMMYFUNCTION("IFERROR(INDEX(FILTER($Q$2:Q448,$C$2:C448=C449,$G$2:G448=G449),ROWS(FILTER($Q$2:Q448,$C$2:C448=C449,$G$2:G448=G449)),1),1500)"),1466.0)</f>
        <v>1466</v>
      </c>
      <c r="O449" s="3">
        <f t="shared" si="3"/>
        <v>1504.5</v>
      </c>
      <c r="P449" s="9">
        <f t="shared" si="1"/>
        <v>18</v>
      </c>
      <c r="Q449" s="5">
        <f t="shared" si="2"/>
        <v>1484</v>
      </c>
    </row>
    <row r="450">
      <c r="H450" s="3" t="str">
        <f>IFERROR(__xludf.DUMMYFUNCTION("IFERROR(TRIM(INDEX(SPLIT(E450,"" + ""),1)),"""")"),"")</f>
        <v/>
      </c>
      <c r="I450" s="3" t="str">
        <f>IFERROR(__xludf.DUMMYFUNCTION("IFERROR(TRIM(INDEX(SPLIT(E450,"" + ""),2)),"""")"),"")</f>
        <v/>
      </c>
      <c r="J450" s="5" t="str">
        <f>IFERROR(__xludf.DUMMYFUNCTION("IFERROR(TRIM(INDEX(SPLIT(E450,"" + ""),3)),"""")"),"")</f>
        <v/>
      </c>
      <c r="K450" s="3">
        <f>IFERROR(__xludf.DUMMYFUNCTION("IFERROR(IF(H450="""",0,INDEX(FILTER($Q$2:Q449,$C$2:C449=H450,$G$2:G449=G450),ROWS(FILTER($Q$2:Q449,$C$2:C449=H450,$G$2:G449=G450)),1)),1500)"),0.0)</f>
        <v>0</v>
      </c>
      <c r="L450" s="3">
        <f>IFERROR(__xludf.DUMMYFUNCTION("IFERROR(IF(I450="""",0,INDEX(FILTER($Q$2:Q449,$C$2:C449=I450,$G$2:G449=G450),ROWS(FILTER($Q$2:Q449,$C$2:C449=I450,$G$2:G449=G450)),1)),1500)"),0.0)</f>
        <v>0</v>
      </c>
      <c r="M450" s="3">
        <f>IFERROR(__xludf.DUMMYFUNCTION("IFERROR(IF(J450="""",0,INDEX(FILTER($Q$2:Q449,$C$2:C449=J450,$G$2:G449=G450),ROWS(FILTER($Q$2:Q449,$C$2:C449=J450,$G$2:G449=G450)),1)),1500)"),0.0)</f>
        <v>0</v>
      </c>
      <c r="N450" s="3">
        <f>IFERROR(__xludf.DUMMYFUNCTION("IFERROR(INDEX(FILTER($Q$2:Q449,$C$2:C449=C450,$G$2:G449=G450),ROWS(FILTER($Q$2:Q449,$C$2:C449=C450,$G$2:G449=G450)),1),1500)"),1500.0)</f>
        <v>1500</v>
      </c>
      <c r="O450" s="3">
        <f t="shared" si="3"/>
        <v>0</v>
      </c>
      <c r="P450" s="9">
        <f t="shared" si="1"/>
        <v>-32</v>
      </c>
      <c r="Q450" s="5">
        <f t="shared" si="2"/>
        <v>1468</v>
      </c>
    </row>
    <row r="451">
      <c r="H451" s="3" t="str">
        <f>IFERROR(__xludf.DUMMYFUNCTION("IFERROR(TRIM(INDEX(SPLIT(E451,"" + ""),1)),"""")"),"")</f>
        <v/>
      </c>
      <c r="I451" s="3" t="str">
        <f>IFERROR(__xludf.DUMMYFUNCTION("IFERROR(TRIM(INDEX(SPLIT(E451,"" + ""),2)),"""")"),"")</f>
        <v/>
      </c>
      <c r="J451" s="5" t="str">
        <f>IFERROR(__xludf.DUMMYFUNCTION("IFERROR(TRIM(INDEX(SPLIT(E451,"" + ""),3)),"""")"),"")</f>
        <v/>
      </c>
      <c r="K451" s="3">
        <f>IFERROR(__xludf.DUMMYFUNCTION("IFERROR(IF(H451="""",0,INDEX(FILTER($Q$2:Q450,$C$2:C450=H451,$G$2:G450=G451),ROWS(FILTER($Q$2:Q450,$C$2:C450=H451,$G$2:G450=G451)),1)),1500)"),0.0)</f>
        <v>0</v>
      </c>
      <c r="L451" s="3">
        <f>IFERROR(__xludf.DUMMYFUNCTION("IFERROR(IF(I451="""",0,INDEX(FILTER($Q$2:Q450,$C$2:C450=I451,$G$2:G450=G451),ROWS(FILTER($Q$2:Q450,$C$2:C450=I451,$G$2:G450=G451)),1)),1500)"),0.0)</f>
        <v>0</v>
      </c>
      <c r="M451" s="3">
        <f>IFERROR(__xludf.DUMMYFUNCTION("IFERROR(IF(J451="""",0,INDEX(FILTER($Q$2:Q450,$C$2:C450=J451,$G$2:G450=G451),ROWS(FILTER($Q$2:Q450,$C$2:C450=J451,$G$2:G450=G451)),1)),1500)"),0.0)</f>
        <v>0</v>
      </c>
      <c r="N451" s="3">
        <f>IFERROR(__xludf.DUMMYFUNCTION("IFERROR(INDEX(FILTER($Q$2:Q450,$C$2:C450=C451,$G$2:G450=G451),ROWS(FILTER($Q$2:Q450,$C$2:C450=C451,$G$2:G450=G451)),1),1500)"),1468.0)</f>
        <v>1468</v>
      </c>
      <c r="O451" s="3">
        <f t="shared" si="3"/>
        <v>0</v>
      </c>
      <c r="P451" s="9">
        <f t="shared" si="1"/>
        <v>-32</v>
      </c>
      <c r="Q451" s="5">
        <f t="shared" si="2"/>
        <v>1436</v>
      </c>
    </row>
    <row r="452">
      <c r="H452" s="3" t="str">
        <f>IFERROR(__xludf.DUMMYFUNCTION("IFERROR(TRIM(INDEX(SPLIT(E452,"" + ""),1)),"""")"),"")</f>
        <v/>
      </c>
      <c r="I452" s="3" t="str">
        <f>IFERROR(__xludf.DUMMYFUNCTION("IFERROR(TRIM(INDEX(SPLIT(E452,"" + ""),2)),"""")"),"")</f>
        <v/>
      </c>
      <c r="J452" s="5" t="str">
        <f>IFERROR(__xludf.DUMMYFUNCTION("IFERROR(TRIM(INDEX(SPLIT(E452,"" + ""),3)),"""")"),"")</f>
        <v/>
      </c>
      <c r="K452" s="3">
        <f>IFERROR(__xludf.DUMMYFUNCTION("IFERROR(IF(H452="""",0,INDEX(FILTER($Q$2:Q451,$C$2:C451=H452,$G$2:G451=G452),ROWS(FILTER($Q$2:Q451,$C$2:C451=H452,$G$2:G451=G452)),1)),1500)"),0.0)</f>
        <v>0</v>
      </c>
      <c r="L452" s="3">
        <f>IFERROR(__xludf.DUMMYFUNCTION("IFERROR(IF(I452="""",0,INDEX(FILTER($Q$2:Q451,$C$2:C451=I452,$G$2:G451=G452),ROWS(FILTER($Q$2:Q451,$C$2:C451=I452,$G$2:G451=G452)),1)),1500)"),0.0)</f>
        <v>0</v>
      </c>
      <c r="M452" s="3">
        <f>IFERROR(__xludf.DUMMYFUNCTION("IFERROR(IF(J452="""",0,INDEX(FILTER($Q$2:Q451,$C$2:C451=J452,$G$2:G451=G452),ROWS(FILTER($Q$2:Q451,$C$2:C451=J452,$G$2:G451=G452)),1)),1500)"),0.0)</f>
        <v>0</v>
      </c>
      <c r="N452" s="3">
        <f>IFERROR(__xludf.DUMMYFUNCTION("IFERROR(INDEX(FILTER($Q$2:Q451,$C$2:C451=C452,$G$2:G451=G452),ROWS(FILTER($Q$2:Q451,$C$2:C451=C452,$G$2:G451=G452)),1),1500)"),1436.0)</f>
        <v>1436</v>
      </c>
      <c r="O452" s="3">
        <f t="shared" si="3"/>
        <v>0</v>
      </c>
      <c r="P452" s="9">
        <f t="shared" si="1"/>
        <v>-32</v>
      </c>
      <c r="Q452" s="5">
        <f t="shared" si="2"/>
        <v>1404</v>
      </c>
    </row>
    <row r="453">
      <c r="H453" s="3" t="str">
        <f>IFERROR(__xludf.DUMMYFUNCTION("IFERROR(TRIM(INDEX(SPLIT(E453,"" + ""),1)),"""")"),"")</f>
        <v/>
      </c>
      <c r="I453" s="3" t="str">
        <f>IFERROR(__xludf.DUMMYFUNCTION("IFERROR(TRIM(INDEX(SPLIT(E453,"" + ""),2)),"""")"),"")</f>
        <v/>
      </c>
      <c r="J453" s="5" t="str">
        <f>IFERROR(__xludf.DUMMYFUNCTION("IFERROR(TRIM(INDEX(SPLIT(E453,"" + ""),3)),"""")"),"")</f>
        <v/>
      </c>
      <c r="K453" s="3">
        <f>IFERROR(__xludf.DUMMYFUNCTION("IFERROR(IF(H453="""",0,INDEX(FILTER($Q$2:Q452,$C$2:C452=H453,$G$2:G452=G453),ROWS(FILTER($Q$2:Q452,$C$2:C452=H453,$G$2:G452=G453)),1)),1500)"),0.0)</f>
        <v>0</v>
      </c>
      <c r="L453" s="3">
        <f>IFERROR(__xludf.DUMMYFUNCTION("IFERROR(IF(I453="""",0,INDEX(FILTER($Q$2:Q452,$C$2:C452=I453,$G$2:G452=G453),ROWS(FILTER($Q$2:Q452,$C$2:C452=I453,$G$2:G452=G453)),1)),1500)"),0.0)</f>
        <v>0</v>
      </c>
      <c r="M453" s="3">
        <f>IFERROR(__xludf.DUMMYFUNCTION("IFERROR(IF(J453="""",0,INDEX(FILTER($Q$2:Q452,$C$2:C452=J453,$G$2:G452=G453),ROWS(FILTER($Q$2:Q452,$C$2:C452=J453,$G$2:G452=G453)),1)),1500)"),0.0)</f>
        <v>0</v>
      </c>
      <c r="N453" s="3">
        <f>IFERROR(__xludf.DUMMYFUNCTION("IFERROR(INDEX(FILTER($Q$2:Q452,$C$2:C452=C453,$G$2:G452=G453),ROWS(FILTER($Q$2:Q452,$C$2:C452=C453,$G$2:G452=G453)),1),1500)"),1404.0)</f>
        <v>1404</v>
      </c>
      <c r="O453" s="3">
        <f t="shared" si="3"/>
        <v>0</v>
      </c>
      <c r="P453" s="9">
        <f t="shared" si="1"/>
        <v>-32</v>
      </c>
      <c r="Q453" s="5">
        <f t="shared" si="2"/>
        <v>1372</v>
      </c>
    </row>
    <row r="454">
      <c r="H454" s="3" t="str">
        <f>IFERROR(__xludf.DUMMYFUNCTION("IFERROR(TRIM(INDEX(SPLIT(E454,"" + ""),1)),"""")"),"")</f>
        <v/>
      </c>
      <c r="I454" s="3" t="str">
        <f>IFERROR(__xludf.DUMMYFUNCTION("IFERROR(TRIM(INDEX(SPLIT(E454,"" + ""),2)),"""")"),"")</f>
        <v/>
      </c>
      <c r="J454" s="5" t="str">
        <f>IFERROR(__xludf.DUMMYFUNCTION("IFERROR(TRIM(INDEX(SPLIT(E454,"" + ""),3)),"""")"),"")</f>
        <v/>
      </c>
      <c r="K454" s="3">
        <f>IFERROR(__xludf.DUMMYFUNCTION("IFERROR(IF(H454="""",0,INDEX(FILTER($Q$2:Q453,$C$2:C453=H454,$G$2:G453=G454),ROWS(FILTER($Q$2:Q453,$C$2:C453=H454,$G$2:G453=G454)),1)),1500)"),0.0)</f>
        <v>0</v>
      </c>
      <c r="L454" s="3">
        <f>IFERROR(__xludf.DUMMYFUNCTION("IFERROR(IF(I454="""",0,INDEX(FILTER($Q$2:Q453,$C$2:C453=I454,$G$2:G453=G454),ROWS(FILTER($Q$2:Q453,$C$2:C453=I454,$G$2:G453=G454)),1)),1500)"),0.0)</f>
        <v>0</v>
      </c>
      <c r="M454" s="3">
        <f>IFERROR(__xludf.DUMMYFUNCTION("IFERROR(IF(J454="""",0,INDEX(FILTER($Q$2:Q453,$C$2:C453=J454,$G$2:G453=G454),ROWS(FILTER($Q$2:Q453,$C$2:C453=J454,$G$2:G453=G454)),1)),1500)"),0.0)</f>
        <v>0</v>
      </c>
      <c r="N454" s="3">
        <f>IFERROR(__xludf.DUMMYFUNCTION("IFERROR(INDEX(FILTER($Q$2:Q453,$C$2:C453=C454,$G$2:G453=G454),ROWS(FILTER($Q$2:Q453,$C$2:C453=C454,$G$2:G453=G454)),1),1500)"),1372.0)</f>
        <v>1372</v>
      </c>
      <c r="O454" s="3">
        <f t="shared" si="3"/>
        <v>0</v>
      </c>
      <c r="P454" s="9">
        <f t="shared" si="1"/>
        <v>-32</v>
      </c>
      <c r="Q454" s="5">
        <f t="shared" si="2"/>
        <v>1340</v>
      </c>
    </row>
    <row r="455">
      <c r="H455" s="3" t="str">
        <f>IFERROR(__xludf.DUMMYFUNCTION("IFERROR(TRIM(INDEX(SPLIT(E455,"" + ""),1)),"""")"),"")</f>
        <v/>
      </c>
      <c r="I455" s="3" t="str">
        <f>IFERROR(__xludf.DUMMYFUNCTION("IFERROR(TRIM(INDEX(SPLIT(E455,"" + ""),2)),"""")"),"")</f>
        <v/>
      </c>
      <c r="J455" s="5" t="str">
        <f>IFERROR(__xludf.DUMMYFUNCTION("IFERROR(TRIM(INDEX(SPLIT(E455,"" + ""),3)),"""")"),"")</f>
        <v/>
      </c>
      <c r="K455" s="3">
        <f>IFERROR(__xludf.DUMMYFUNCTION("IFERROR(IF(H455="""",0,INDEX(FILTER($Q$2:Q454,$C$2:C454=H455,$G$2:G454=G455),ROWS(FILTER($Q$2:Q454,$C$2:C454=H455,$G$2:G454=G455)),1)),1500)"),0.0)</f>
        <v>0</v>
      </c>
      <c r="L455" s="3">
        <f>IFERROR(__xludf.DUMMYFUNCTION("IFERROR(IF(I455="""",0,INDEX(FILTER($Q$2:Q454,$C$2:C454=I455,$G$2:G454=G455),ROWS(FILTER($Q$2:Q454,$C$2:C454=I455,$G$2:G454=G455)),1)),1500)"),0.0)</f>
        <v>0</v>
      </c>
      <c r="M455" s="3">
        <f>IFERROR(__xludf.DUMMYFUNCTION("IFERROR(IF(J455="""",0,INDEX(FILTER($Q$2:Q454,$C$2:C454=J455,$G$2:G454=G455),ROWS(FILTER($Q$2:Q454,$C$2:C454=J455,$G$2:G454=G455)),1)),1500)"),0.0)</f>
        <v>0</v>
      </c>
      <c r="N455" s="3">
        <f>IFERROR(__xludf.DUMMYFUNCTION("IFERROR(INDEX(FILTER($Q$2:Q454,$C$2:C454=C455,$G$2:G454=G455),ROWS(FILTER($Q$2:Q454,$C$2:C454=C455,$G$2:G454=G455)),1),1500)"),1340.0)</f>
        <v>1340</v>
      </c>
      <c r="O455" s="3">
        <f t="shared" si="3"/>
        <v>0</v>
      </c>
      <c r="P455" s="9">
        <f t="shared" si="1"/>
        <v>-32</v>
      </c>
      <c r="Q455" s="5">
        <f t="shared" si="2"/>
        <v>1308</v>
      </c>
    </row>
    <row r="456">
      <c r="H456" s="3" t="str">
        <f>IFERROR(__xludf.DUMMYFUNCTION("IFERROR(TRIM(INDEX(SPLIT(E456,"" + ""),1)),"""")"),"")</f>
        <v/>
      </c>
      <c r="I456" s="3" t="str">
        <f>IFERROR(__xludf.DUMMYFUNCTION("IFERROR(TRIM(INDEX(SPLIT(E456,"" + ""),2)),"""")"),"")</f>
        <v/>
      </c>
      <c r="J456" s="5" t="str">
        <f>IFERROR(__xludf.DUMMYFUNCTION("IFERROR(TRIM(INDEX(SPLIT(E456,"" + ""),3)),"""")"),"")</f>
        <v/>
      </c>
      <c r="K456" s="3">
        <f>IFERROR(__xludf.DUMMYFUNCTION("IFERROR(IF(H456="""",0,INDEX(FILTER($Q$2:Q455,$C$2:C455=H456,$G$2:G455=G456),ROWS(FILTER($Q$2:Q455,$C$2:C455=H456,$G$2:G455=G456)),1)),1500)"),0.0)</f>
        <v>0</v>
      </c>
      <c r="L456" s="3">
        <f>IFERROR(__xludf.DUMMYFUNCTION("IFERROR(IF(I456="""",0,INDEX(FILTER($Q$2:Q455,$C$2:C455=I456,$G$2:G455=G456),ROWS(FILTER($Q$2:Q455,$C$2:C455=I456,$G$2:G455=G456)),1)),1500)"),0.0)</f>
        <v>0</v>
      </c>
      <c r="M456" s="3">
        <f>IFERROR(__xludf.DUMMYFUNCTION("IFERROR(IF(J456="""",0,INDEX(FILTER($Q$2:Q455,$C$2:C455=J456,$G$2:G455=G456),ROWS(FILTER($Q$2:Q455,$C$2:C455=J456,$G$2:G455=G456)),1)),1500)"),0.0)</f>
        <v>0</v>
      </c>
      <c r="N456" s="3">
        <f>IFERROR(__xludf.DUMMYFUNCTION("IFERROR(INDEX(FILTER($Q$2:Q455,$C$2:C455=C456,$G$2:G455=G456),ROWS(FILTER($Q$2:Q455,$C$2:C455=C456,$G$2:G455=G456)),1),1500)"),1308.0)</f>
        <v>1308</v>
      </c>
      <c r="O456" s="3">
        <f t="shared" si="3"/>
        <v>0</v>
      </c>
      <c r="P456" s="9">
        <f t="shared" si="1"/>
        <v>-32</v>
      </c>
      <c r="Q456" s="5">
        <f t="shared" si="2"/>
        <v>1276</v>
      </c>
    </row>
    <row r="457">
      <c r="H457" s="3" t="str">
        <f>IFERROR(__xludf.DUMMYFUNCTION("IFERROR(TRIM(INDEX(SPLIT(E457,"" + ""),1)),"""")"),"")</f>
        <v/>
      </c>
      <c r="I457" s="3" t="str">
        <f>IFERROR(__xludf.DUMMYFUNCTION("IFERROR(TRIM(INDEX(SPLIT(E457,"" + ""),2)),"""")"),"")</f>
        <v/>
      </c>
      <c r="J457" s="5" t="str">
        <f>IFERROR(__xludf.DUMMYFUNCTION("IFERROR(TRIM(INDEX(SPLIT(E457,"" + ""),3)),"""")"),"")</f>
        <v/>
      </c>
      <c r="K457" s="3">
        <f>IFERROR(__xludf.DUMMYFUNCTION("IFERROR(IF(H457="""",0,INDEX(FILTER($Q$2:Q456,$C$2:C456=H457,$G$2:G456=G457),ROWS(FILTER($Q$2:Q456,$C$2:C456=H457,$G$2:G456=G457)),1)),1500)"),0.0)</f>
        <v>0</v>
      </c>
      <c r="L457" s="3">
        <f>IFERROR(__xludf.DUMMYFUNCTION("IFERROR(IF(I457="""",0,INDEX(FILTER($Q$2:Q456,$C$2:C456=I457,$G$2:G456=G457),ROWS(FILTER($Q$2:Q456,$C$2:C456=I457,$G$2:G456=G457)),1)),1500)"),0.0)</f>
        <v>0</v>
      </c>
      <c r="M457" s="3">
        <f>IFERROR(__xludf.DUMMYFUNCTION("IFERROR(IF(J457="""",0,INDEX(FILTER($Q$2:Q456,$C$2:C456=J457,$G$2:G456=G457),ROWS(FILTER($Q$2:Q456,$C$2:C456=J457,$G$2:G456=G457)),1)),1500)"),0.0)</f>
        <v>0</v>
      </c>
      <c r="N457" s="3">
        <f>IFERROR(__xludf.DUMMYFUNCTION("IFERROR(INDEX(FILTER($Q$2:Q456,$C$2:C456=C457,$G$2:G456=G457),ROWS(FILTER($Q$2:Q456,$C$2:C456=C457,$G$2:G456=G457)),1),1500)"),1276.0)</f>
        <v>1276</v>
      </c>
      <c r="O457" s="3">
        <f t="shared" si="3"/>
        <v>0</v>
      </c>
      <c r="P457" s="9">
        <f t="shared" si="1"/>
        <v>-32</v>
      </c>
      <c r="Q457" s="5">
        <f t="shared" si="2"/>
        <v>1244</v>
      </c>
    </row>
    <row r="458">
      <c r="H458" s="3" t="str">
        <f>IFERROR(__xludf.DUMMYFUNCTION("IFERROR(TRIM(INDEX(SPLIT(E458,"" + ""),1)),"""")"),"")</f>
        <v/>
      </c>
      <c r="I458" s="3" t="str">
        <f>IFERROR(__xludf.DUMMYFUNCTION("IFERROR(TRIM(INDEX(SPLIT(E458,"" + ""),2)),"""")"),"")</f>
        <v/>
      </c>
      <c r="J458" s="5" t="str">
        <f>IFERROR(__xludf.DUMMYFUNCTION("IFERROR(TRIM(INDEX(SPLIT(E458,"" + ""),3)),"""")"),"")</f>
        <v/>
      </c>
      <c r="K458" s="3">
        <f>IFERROR(__xludf.DUMMYFUNCTION("IFERROR(IF(H458="""",0,INDEX(FILTER($Q$2:Q457,$C$2:C457=H458,$G$2:G457=G458),ROWS(FILTER($Q$2:Q457,$C$2:C457=H458,$G$2:G457=G458)),1)),1500)"),0.0)</f>
        <v>0</v>
      </c>
      <c r="L458" s="3">
        <f>IFERROR(__xludf.DUMMYFUNCTION("IFERROR(IF(I458="""",0,INDEX(FILTER($Q$2:Q457,$C$2:C457=I458,$G$2:G457=G458),ROWS(FILTER($Q$2:Q457,$C$2:C457=I458,$G$2:G457=G458)),1)),1500)"),0.0)</f>
        <v>0</v>
      </c>
      <c r="M458" s="3">
        <f>IFERROR(__xludf.DUMMYFUNCTION("IFERROR(IF(J458="""",0,INDEX(FILTER($Q$2:Q457,$C$2:C457=J458,$G$2:G457=G458),ROWS(FILTER($Q$2:Q457,$C$2:C457=J458,$G$2:G457=G458)),1)),1500)"),0.0)</f>
        <v>0</v>
      </c>
      <c r="N458" s="3">
        <f>IFERROR(__xludf.DUMMYFUNCTION("IFERROR(INDEX(FILTER($Q$2:Q457,$C$2:C457=C458,$G$2:G457=G458),ROWS(FILTER($Q$2:Q457,$C$2:C457=C458,$G$2:G457=G458)),1),1500)"),1244.0)</f>
        <v>1244</v>
      </c>
      <c r="O458" s="3">
        <f t="shared" si="3"/>
        <v>0</v>
      </c>
      <c r="P458" s="9">
        <f t="shared" si="1"/>
        <v>-32</v>
      </c>
      <c r="Q458" s="5">
        <f t="shared" si="2"/>
        <v>1212</v>
      </c>
    </row>
    <row r="459">
      <c r="H459" s="3" t="str">
        <f>IFERROR(__xludf.DUMMYFUNCTION("IFERROR(TRIM(INDEX(SPLIT(E459,"" + ""),1)),"""")"),"")</f>
        <v/>
      </c>
      <c r="I459" s="3" t="str">
        <f>IFERROR(__xludf.DUMMYFUNCTION("IFERROR(TRIM(INDEX(SPLIT(E459,"" + ""),2)),"""")"),"")</f>
        <v/>
      </c>
      <c r="J459" s="5" t="str">
        <f>IFERROR(__xludf.DUMMYFUNCTION("IFERROR(TRIM(INDEX(SPLIT(E459,"" + ""),3)),"""")"),"")</f>
        <v/>
      </c>
      <c r="K459" s="3">
        <f>IFERROR(__xludf.DUMMYFUNCTION("IFERROR(IF(H459="""",0,INDEX(FILTER($Q$2:Q458,$C$2:C458=H459,$G$2:G458=G459),ROWS(FILTER($Q$2:Q458,$C$2:C458=H459,$G$2:G458=G459)),1)),1500)"),0.0)</f>
        <v>0</v>
      </c>
      <c r="L459" s="3">
        <f>IFERROR(__xludf.DUMMYFUNCTION("IFERROR(IF(I459="""",0,INDEX(FILTER($Q$2:Q458,$C$2:C458=I459,$G$2:G458=G459),ROWS(FILTER($Q$2:Q458,$C$2:C458=I459,$G$2:G458=G459)),1)),1500)"),0.0)</f>
        <v>0</v>
      </c>
      <c r="M459" s="3">
        <f>IFERROR(__xludf.DUMMYFUNCTION("IFERROR(IF(J459="""",0,INDEX(FILTER($Q$2:Q458,$C$2:C458=J459,$G$2:G458=G459),ROWS(FILTER($Q$2:Q458,$C$2:C458=J459,$G$2:G458=G459)),1)),1500)"),0.0)</f>
        <v>0</v>
      </c>
      <c r="N459" s="3">
        <f>IFERROR(__xludf.DUMMYFUNCTION("IFERROR(INDEX(FILTER($Q$2:Q458,$C$2:C458=C459,$G$2:G458=G459),ROWS(FILTER($Q$2:Q458,$C$2:C458=C459,$G$2:G458=G459)),1),1500)"),1212.0)</f>
        <v>1212</v>
      </c>
      <c r="O459" s="3">
        <f t="shared" si="3"/>
        <v>0</v>
      </c>
      <c r="P459" s="9">
        <f t="shared" si="1"/>
        <v>-32</v>
      </c>
      <c r="Q459" s="5">
        <f t="shared" si="2"/>
        <v>1180</v>
      </c>
    </row>
    <row r="460">
      <c r="H460" s="3" t="str">
        <f>IFERROR(__xludf.DUMMYFUNCTION("IFERROR(TRIM(INDEX(SPLIT(E460,"" + ""),1)),"""")"),"")</f>
        <v/>
      </c>
      <c r="I460" s="3" t="str">
        <f>IFERROR(__xludf.DUMMYFUNCTION("IFERROR(TRIM(INDEX(SPLIT(E460,"" + ""),2)),"""")"),"")</f>
        <v/>
      </c>
      <c r="J460" s="5" t="str">
        <f>IFERROR(__xludf.DUMMYFUNCTION("IFERROR(TRIM(INDEX(SPLIT(E460,"" + ""),3)),"""")"),"")</f>
        <v/>
      </c>
      <c r="K460" s="3">
        <f>IFERROR(__xludf.DUMMYFUNCTION("IFERROR(IF(H460="""",0,INDEX(FILTER($Q$2:Q459,$C$2:C459=H460,$G$2:G459=G460),ROWS(FILTER($Q$2:Q459,$C$2:C459=H460,$G$2:G459=G460)),1)),1500)"),0.0)</f>
        <v>0</v>
      </c>
      <c r="L460" s="3">
        <f>IFERROR(__xludf.DUMMYFUNCTION("IFERROR(IF(I460="""",0,INDEX(FILTER($Q$2:Q459,$C$2:C459=I460,$G$2:G459=G460),ROWS(FILTER($Q$2:Q459,$C$2:C459=I460,$G$2:G459=G460)),1)),1500)"),0.0)</f>
        <v>0</v>
      </c>
      <c r="M460" s="3">
        <f>IFERROR(__xludf.DUMMYFUNCTION("IFERROR(IF(J460="""",0,INDEX(FILTER($Q$2:Q459,$C$2:C459=J460,$G$2:G459=G460),ROWS(FILTER($Q$2:Q459,$C$2:C459=J460,$G$2:G459=G460)),1)),1500)"),0.0)</f>
        <v>0</v>
      </c>
      <c r="N460" s="3">
        <f>IFERROR(__xludf.DUMMYFUNCTION("IFERROR(INDEX(FILTER($Q$2:Q459,$C$2:C459=C460,$G$2:G459=G460),ROWS(FILTER($Q$2:Q459,$C$2:C459=C460,$G$2:G459=G460)),1),1500)"),1180.0)</f>
        <v>1180</v>
      </c>
      <c r="O460" s="3">
        <f t="shared" si="3"/>
        <v>0</v>
      </c>
      <c r="P460" s="9">
        <f t="shared" si="1"/>
        <v>-32</v>
      </c>
      <c r="Q460" s="5">
        <f t="shared" si="2"/>
        <v>1148</v>
      </c>
    </row>
    <row r="461">
      <c r="H461" s="3" t="str">
        <f>IFERROR(__xludf.DUMMYFUNCTION("IFERROR(TRIM(INDEX(SPLIT(E461,"" + ""),1)),"""")"),"")</f>
        <v/>
      </c>
      <c r="I461" s="3" t="str">
        <f>IFERROR(__xludf.DUMMYFUNCTION("IFERROR(TRIM(INDEX(SPLIT(E461,"" + ""),2)),"""")"),"")</f>
        <v/>
      </c>
      <c r="J461" s="5" t="str">
        <f>IFERROR(__xludf.DUMMYFUNCTION("IFERROR(TRIM(INDEX(SPLIT(E461,"" + ""),3)),"""")"),"")</f>
        <v/>
      </c>
      <c r="K461" s="3">
        <f>IFERROR(__xludf.DUMMYFUNCTION("IFERROR(IF(H461="""",0,INDEX(FILTER($Q$2:Q460,$C$2:C460=H461,$G$2:G460=G461),ROWS(FILTER($Q$2:Q460,$C$2:C460=H461,$G$2:G460=G461)),1)),1500)"),0.0)</f>
        <v>0</v>
      </c>
      <c r="L461" s="3">
        <f>IFERROR(__xludf.DUMMYFUNCTION("IFERROR(IF(I461="""",0,INDEX(FILTER($Q$2:Q460,$C$2:C460=I461,$G$2:G460=G461),ROWS(FILTER($Q$2:Q460,$C$2:C460=I461,$G$2:G460=G461)),1)),1500)"),0.0)</f>
        <v>0</v>
      </c>
      <c r="M461" s="3">
        <f>IFERROR(__xludf.DUMMYFUNCTION("IFERROR(IF(J461="""",0,INDEX(FILTER($Q$2:Q460,$C$2:C460=J461,$G$2:G460=G461),ROWS(FILTER($Q$2:Q460,$C$2:C460=J461,$G$2:G460=G461)),1)),1500)"),0.0)</f>
        <v>0</v>
      </c>
      <c r="N461" s="3">
        <f>IFERROR(__xludf.DUMMYFUNCTION("IFERROR(INDEX(FILTER($Q$2:Q460,$C$2:C460=C461,$G$2:G460=G461),ROWS(FILTER($Q$2:Q460,$C$2:C460=C461,$G$2:G460=G461)),1),1500)"),1148.0)</f>
        <v>1148</v>
      </c>
      <c r="O461" s="3">
        <f t="shared" si="3"/>
        <v>0</v>
      </c>
      <c r="P461" s="9">
        <f t="shared" si="1"/>
        <v>-32</v>
      </c>
      <c r="Q461" s="5">
        <f t="shared" si="2"/>
        <v>1116</v>
      </c>
    </row>
    <row r="462">
      <c r="H462" s="3" t="str">
        <f>IFERROR(__xludf.DUMMYFUNCTION("IFERROR(TRIM(INDEX(SPLIT(E462,"" + ""),1)),"""")"),"")</f>
        <v/>
      </c>
      <c r="I462" s="3" t="str">
        <f>IFERROR(__xludf.DUMMYFUNCTION("IFERROR(TRIM(INDEX(SPLIT(E462,"" + ""),2)),"""")"),"")</f>
        <v/>
      </c>
      <c r="J462" s="5" t="str">
        <f>IFERROR(__xludf.DUMMYFUNCTION("IFERROR(TRIM(INDEX(SPLIT(E462,"" + ""),3)),"""")"),"")</f>
        <v/>
      </c>
      <c r="K462" s="3">
        <f>IFERROR(__xludf.DUMMYFUNCTION("IFERROR(IF(H462="""",0,INDEX(FILTER($Q$2:Q461,$C$2:C461=H462,$G$2:G461=G462),ROWS(FILTER($Q$2:Q461,$C$2:C461=H462,$G$2:G461=G462)),1)),1500)"),0.0)</f>
        <v>0</v>
      </c>
      <c r="L462" s="3">
        <f>IFERROR(__xludf.DUMMYFUNCTION("IFERROR(IF(I462="""",0,INDEX(FILTER($Q$2:Q461,$C$2:C461=I462,$G$2:G461=G462),ROWS(FILTER($Q$2:Q461,$C$2:C461=I462,$G$2:G461=G462)),1)),1500)"),0.0)</f>
        <v>0</v>
      </c>
      <c r="M462" s="3">
        <f>IFERROR(__xludf.DUMMYFUNCTION("IFERROR(IF(J462="""",0,INDEX(FILTER($Q$2:Q461,$C$2:C461=J462,$G$2:G461=G462),ROWS(FILTER($Q$2:Q461,$C$2:C461=J462,$G$2:G461=G462)),1)),1500)"),0.0)</f>
        <v>0</v>
      </c>
      <c r="N462" s="3">
        <f>IFERROR(__xludf.DUMMYFUNCTION("IFERROR(INDEX(FILTER($Q$2:Q461,$C$2:C461=C462,$G$2:G461=G462),ROWS(FILTER($Q$2:Q461,$C$2:C461=C462,$G$2:G461=G462)),1),1500)"),1116.0)</f>
        <v>1116</v>
      </c>
      <c r="O462" s="3">
        <f t="shared" si="3"/>
        <v>0</v>
      </c>
      <c r="P462" s="9">
        <f t="shared" si="1"/>
        <v>-32</v>
      </c>
      <c r="Q462" s="5">
        <f t="shared" si="2"/>
        <v>1084</v>
      </c>
    </row>
    <row r="463">
      <c r="H463" s="3" t="str">
        <f>IFERROR(__xludf.DUMMYFUNCTION("IFERROR(TRIM(INDEX(SPLIT(E463,"" + ""),1)),"""")"),"")</f>
        <v/>
      </c>
      <c r="I463" s="3" t="str">
        <f>IFERROR(__xludf.DUMMYFUNCTION("IFERROR(TRIM(INDEX(SPLIT(E463,"" + ""),2)),"""")"),"")</f>
        <v/>
      </c>
      <c r="J463" s="5" t="str">
        <f>IFERROR(__xludf.DUMMYFUNCTION("IFERROR(TRIM(INDEX(SPLIT(E463,"" + ""),3)),"""")"),"")</f>
        <v/>
      </c>
      <c r="K463" s="3">
        <f>IFERROR(__xludf.DUMMYFUNCTION("IFERROR(IF(H463="""",0,INDEX(FILTER($Q$2:Q462,$C$2:C462=H463,$G$2:G462=G463),ROWS(FILTER($Q$2:Q462,$C$2:C462=H463,$G$2:G462=G463)),1)),1500)"),0.0)</f>
        <v>0</v>
      </c>
      <c r="L463" s="3">
        <f>IFERROR(__xludf.DUMMYFUNCTION("IFERROR(IF(I463="""",0,INDEX(FILTER($Q$2:Q462,$C$2:C462=I463,$G$2:G462=G463),ROWS(FILTER($Q$2:Q462,$C$2:C462=I463,$G$2:G462=G463)),1)),1500)"),0.0)</f>
        <v>0</v>
      </c>
      <c r="M463" s="3">
        <f>IFERROR(__xludf.DUMMYFUNCTION("IFERROR(IF(J463="""",0,INDEX(FILTER($Q$2:Q462,$C$2:C462=J463,$G$2:G462=G463),ROWS(FILTER($Q$2:Q462,$C$2:C462=J463,$G$2:G462=G463)),1)),1500)"),0.0)</f>
        <v>0</v>
      </c>
      <c r="N463" s="3">
        <f>IFERROR(__xludf.DUMMYFUNCTION("IFERROR(INDEX(FILTER($Q$2:Q462,$C$2:C462=C463,$G$2:G462=G463),ROWS(FILTER($Q$2:Q462,$C$2:C462=C463,$G$2:G462=G463)),1),1500)"),1084.0)</f>
        <v>1084</v>
      </c>
      <c r="O463" s="3">
        <f t="shared" si="3"/>
        <v>0</v>
      </c>
      <c r="P463" s="9">
        <f t="shared" si="1"/>
        <v>-32</v>
      </c>
      <c r="Q463" s="5">
        <f t="shared" si="2"/>
        <v>1052</v>
      </c>
    </row>
    <row r="464">
      <c r="H464" s="3" t="str">
        <f>IFERROR(__xludf.DUMMYFUNCTION("IFERROR(TRIM(INDEX(SPLIT(E464,"" + ""),1)),"""")"),"")</f>
        <v/>
      </c>
      <c r="I464" s="3" t="str">
        <f>IFERROR(__xludf.DUMMYFUNCTION("IFERROR(TRIM(INDEX(SPLIT(E464,"" + ""),2)),"""")"),"")</f>
        <v/>
      </c>
      <c r="J464" s="5" t="str">
        <f>IFERROR(__xludf.DUMMYFUNCTION("IFERROR(TRIM(INDEX(SPLIT(E464,"" + ""),3)),"""")"),"")</f>
        <v/>
      </c>
      <c r="K464" s="3">
        <f>IFERROR(__xludf.DUMMYFUNCTION("IFERROR(IF(H464="""",0,INDEX(FILTER($Q$2:Q463,$C$2:C463=H464,$G$2:G463=G464),ROWS(FILTER($Q$2:Q463,$C$2:C463=H464,$G$2:G463=G464)),1)),1500)"),0.0)</f>
        <v>0</v>
      </c>
      <c r="L464" s="3">
        <f>IFERROR(__xludf.DUMMYFUNCTION("IFERROR(IF(I464="""",0,INDEX(FILTER($Q$2:Q463,$C$2:C463=I464,$G$2:G463=G464),ROWS(FILTER($Q$2:Q463,$C$2:C463=I464,$G$2:G463=G464)),1)),1500)"),0.0)</f>
        <v>0</v>
      </c>
      <c r="M464" s="3">
        <f>IFERROR(__xludf.DUMMYFUNCTION("IFERROR(IF(J464="""",0,INDEX(FILTER($Q$2:Q463,$C$2:C463=J464,$G$2:G463=G464),ROWS(FILTER($Q$2:Q463,$C$2:C463=J464,$G$2:G463=G464)),1)),1500)"),0.0)</f>
        <v>0</v>
      </c>
      <c r="N464" s="3">
        <f>IFERROR(__xludf.DUMMYFUNCTION("IFERROR(INDEX(FILTER($Q$2:Q463,$C$2:C463=C464,$G$2:G463=G464),ROWS(FILTER($Q$2:Q463,$C$2:C463=C464,$G$2:G463=G464)),1),1500)"),1052.0)</f>
        <v>1052</v>
      </c>
      <c r="O464" s="3">
        <f t="shared" si="3"/>
        <v>0</v>
      </c>
      <c r="P464" s="9">
        <f t="shared" si="1"/>
        <v>-32</v>
      </c>
      <c r="Q464" s="5">
        <f t="shared" si="2"/>
        <v>1020</v>
      </c>
    </row>
    <row r="465">
      <c r="H465" s="3" t="str">
        <f>IFERROR(__xludf.DUMMYFUNCTION("IFERROR(TRIM(INDEX(SPLIT(E465,"" + ""),1)),"""")"),"")</f>
        <v/>
      </c>
      <c r="I465" s="3" t="str">
        <f>IFERROR(__xludf.DUMMYFUNCTION("IFERROR(TRIM(INDEX(SPLIT(E465,"" + ""),2)),"""")"),"")</f>
        <v/>
      </c>
      <c r="J465" s="5" t="str">
        <f>IFERROR(__xludf.DUMMYFUNCTION("IFERROR(TRIM(INDEX(SPLIT(E465,"" + ""),3)),"""")"),"")</f>
        <v/>
      </c>
      <c r="K465" s="3">
        <f>IFERROR(__xludf.DUMMYFUNCTION("IFERROR(IF(H465="""",0,INDEX(FILTER($Q$2:Q464,$C$2:C464=H465,$G$2:G464=G465),ROWS(FILTER($Q$2:Q464,$C$2:C464=H465,$G$2:G464=G465)),1)),1500)"),0.0)</f>
        <v>0</v>
      </c>
      <c r="L465" s="3">
        <f>IFERROR(__xludf.DUMMYFUNCTION("IFERROR(IF(I465="""",0,INDEX(FILTER($Q$2:Q464,$C$2:C464=I465,$G$2:G464=G465),ROWS(FILTER($Q$2:Q464,$C$2:C464=I465,$G$2:G464=G465)),1)),1500)"),0.0)</f>
        <v>0</v>
      </c>
      <c r="M465" s="3">
        <f>IFERROR(__xludf.DUMMYFUNCTION("IFERROR(IF(J465="""",0,INDEX(FILTER($Q$2:Q464,$C$2:C464=J465,$G$2:G464=G465),ROWS(FILTER($Q$2:Q464,$C$2:C464=J465,$G$2:G464=G465)),1)),1500)"),0.0)</f>
        <v>0</v>
      </c>
      <c r="N465" s="3">
        <f>IFERROR(__xludf.DUMMYFUNCTION("IFERROR(INDEX(FILTER($Q$2:Q464,$C$2:C464=C465,$G$2:G464=G465),ROWS(FILTER($Q$2:Q464,$C$2:C464=C465,$G$2:G464=G465)),1),1500)"),1020.0)</f>
        <v>1020</v>
      </c>
      <c r="O465" s="3">
        <f t="shared" si="3"/>
        <v>0</v>
      </c>
      <c r="P465" s="9">
        <f t="shared" si="1"/>
        <v>-32</v>
      </c>
      <c r="Q465" s="5">
        <f t="shared" si="2"/>
        <v>988</v>
      </c>
    </row>
    <row r="466">
      <c r="H466" s="3" t="str">
        <f>IFERROR(__xludf.DUMMYFUNCTION("IFERROR(TRIM(INDEX(SPLIT(E466,"" + ""),1)),"""")"),"")</f>
        <v/>
      </c>
      <c r="I466" s="3" t="str">
        <f>IFERROR(__xludf.DUMMYFUNCTION("IFERROR(TRIM(INDEX(SPLIT(E466,"" + ""),2)),"""")"),"")</f>
        <v/>
      </c>
      <c r="J466" s="5" t="str">
        <f>IFERROR(__xludf.DUMMYFUNCTION("IFERROR(TRIM(INDEX(SPLIT(E466,"" + ""),3)),"""")"),"")</f>
        <v/>
      </c>
      <c r="K466" s="3">
        <f>IFERROR(__xludf.DUMMYFUNCTION("IFERROR(IF(H466="""",0,INDEX(FILTER($Q$2:Q465,$C$2:C465=H466,$G$2:G465=G466),ROWS(FILTER($Q$2:Q465,$C$2:C465=H466,$G$2:G465=G466)),1)),1500)"),0.0)</f>
        <v>0</v>
      </c>
      <c r="L466" s="3">
        <f>IFERROR(__xludf.DUMMYFUNCTION("IFERROR(IF(I466="""",0,INDEX(FILTER($Q$2:Q465,$C$2:C465=I466,$G$2:G465=G466),ROWS(FILTER($Q$2:Q465,$C$2:C465=I466,$G$2:G465=G466)),1)),1500)"),0.0)</f>
        <v>0</v>
      </c>
      <c r="M466" s="3">
        <f>IFERROR(__xludf.DUMMYFUNCTION("IFERROR(IF(J466="""",0,INDEX(FILTER($Q$2:Q465,$C$2:C465=J466,$G$2:G465=G466),ROWS(FILTER($Q$2:Q465,$C$2:C465=J466,$G$2:G465=G466)),1)),1500)"),0.0)</f>
        <v>0</v>
      </c>
      <c r="N466" s="3">
        <f>IFERROR(__xludf.DUMMYFUNCTION("IFERROR(INDEX(FILTER($Q$2:Q465,$C$2:C465=C466,$G$2:G465=G466),ROWS(FILTER($Q$2:Q465,$C$2:C465=C466,$G$2:G465=G466)),1),1500)"),988.0)</f>
        <v>988</v>
      </c>
      <c r="O466" s="3">
        <f t="shared" si="3"/>
        <v>0</v>
      </c>
      <c r="P466" s="9">
        <f t="shared" si="1"/>
        <v>-32</v>
      </c>
      <c r="Q466" s="5">
        <f t="shared" si="2"/>
        <v>956</v>
      </c>
    </row>
    <row r="467">
      <c r="H467" s="3" t="str">
        <f>IFERROR(__xludf.DUMMYFUNCTION("IFERROR(TRIM(INDEX(SPLIT(E467,"" + ""),1)),"""")"),"")</f>
        <v/>
      </c>
      <c r="I467" s="3" t="str">
        <f>IFERROR(__xludf.DUMMYFUNCTION("IFERROR(TRIM(INDEX(SPLIT(E467,"" + ""),2)),"""")"),"")</f>
        <v/>
      </c>
      <c r="J467" s="5" t="str">
        <f>IFERROR(__xludf.DUMMYFUNCTION("IFERROR(TRIM(INDEX(SPLIT(E467,"" + ""),3)),"""")"),"")</f>
        <v/>
      </c>
      <c r="K467" s="3">
        <f>IFERROR(__xludf.DUMMYFUNCTION("IFERROR(IF(H467="""",0,INDEX(FILTER($Q$2:Q466,$C$2:C466=H467,$G$2:G466=G467),ROWS(FILTER($Q$2:Q466,$C$2:C466=H467,$G$2:G466=G467)),1)),1500)"),0.0)</f>
        <v>0</v>
      </c>
      <c r="L467" s="3">
        <f>IFERROR(__xludf.DUMMYFUNCTION("IFERROR(IF(I467="""",0,INDEX(FILTER($Q$2:Q466,$C$2:C466=I467,$G$2:G466=G467),ROWS(FILTER($Q$2:Q466,$C$2:C466=I467,$G$2:G466=G467)),1)),1500)"),0.0)</f>
        <v>0</v>
      </c>
      <c r="M467" s="3">
        <f>IFERROR(__xludf.DUMMYFUNCTION("IFERROR(IF(J467="""",0,INDEX(FILTER($Q$2:Q466,$C$2:C466=J467,$G$2:G466=G467),ROWS(FILTER($Q$2:Q466,$C$2:C466=J467,$G$2:G466=G467)),1)),1500)"),0.0)</f>
        <v>0</v>
      </c>
      <c r="N467" s="3">
        <f>IFERROR(__xludf.DUMMYFUNCTION("IFERROR(INDEX(FILTER($Q$2:Q466,$C$2:C466=C467,$G$2:G466=G467),ROWS(FILTER($Q$2:Q466,$C$2:C466=C467,$G$2:G466=G467)),1),1500)"),956.0)</f>
        <v>956</v>
      </c>
      <c r="O467" s="3">
        <f t="shared" si="3"/>
        <v>0</v>
      </c>
      <c r="P467" s="9">
        <f t="shared" si="1"/>
        <v>-32</v>
      </c>
      <c r="Q467" s="5">
        <f t="shared" si="2"/>
        <v>924</v>
      </c>
    </row>
    <row r="468">
      <c r="H468" s="3" t="str">
        <f>IFERROR(__xludf.DUMMYFUNCTION("IFERROR(TRIM(INDEX(SPLIT(E468,"" + ""),1)),"""")"),"")</f>
        <v/>
      </c>
      <c r="I468" s="3" t="str">
        <f>IFERROR(__xludf.DUMMYFUNCTION("IFERROR(TRIM(INDEX(SPLIT(E468,"" + ""),2)),"""")"),"")</f>
        <v/>
      </c>
      <c r="J468" s="5" t="str">
        <f>IFERROR(__xludf.DUMMYFUNCTION("IFERROR(TRIM(INDEX(SPLIT(E468,"" + ""),3)),"""")"),"")</f>
        <v/>
      </c>
      <c r="K468" s="3">
        <f>IFERROR(__xludf.DUMMYFUNCTION("IFERROR(IF(H468="""",0,INDEX(FILTER($Q$2:Q467,$C$2:C467=H468,$G$2:G467=G468),ROWS(FILTER($Q$2:Q467,$C$2:C467=H468,$G$2:G467=G468)),1)),1500)"),0.0)</f>
        <v>0</v>
      </c>
      <c r="L468" s="3">
        <f>IFERROR(__xludf.DUMMYFUNCTION("IFERROR(IF(I468="""",0,INDEX(FILTER($Q$2:Q467,$C$2:C467=I468,$G$2:G467=G468),ROWS(FILTER($Q$2:Q467,$C$2:C467=I468,$G$2:G467=G468)),1)),1500)"),0.0)</f>
        <v>0</v>
      </c>
      <c r="M468" s="3">
        <f>IFERROR(__xludf.DUMMYFUNCTION("IFERROR(IF(J468="""",0,INDEX(FILTER($Q$2:Q467,$C$2:C467=J468,$G$2:G467=G468),ROWS(FILTER($Q$2:Q467,$C$2:C467=J468,$G$2:G467=G468)),1)),1500)"),0.0)</f>
        <v>0</v>
      </c>
      <c r="N468" s="3">
        <f>IFERROR(__xludf.DUMMYFUNCTION("IFERROR(INDEX(FILTER($Q$2:Q467,$C$2:C467=C468,$G$2:G467=G468),ROWS(FILTER($Q$2:Q467,$C$2:C467=C468,$G$2:G467=G468)),1),1500)"),924.0)</f>
        <v>924</v>
      </c>
      <c r="O468" s="3">
        <f t="shared" si="3"/>
        <v>0</v>
      </c>
      <c r="P468" s="9">
        <f t="shared" si="1"/>
        <v>-32</v>
      </c>
      <c r="Q468" s="5">
        <f t="shared" si="2"/>
        <v>892</v>
      </c>
    </row>
    <row r="469">
      <c r="H469" s="3" t="str">
        <f>IFERROR(__xludf.DUMMYFUNCTION("IFERROR(TRIM(INDEX(SPLIT(E469,"" + ""),1)),"""")"),"")</f>
        <v/>
      </c>
      <c r="I469" s="3" t="str">
        <f>IFERROR(__xludf.DUMMYFUNCTION("IFERROR(TRIM(INDEX(SPLIT(E469,"" + ""),2)),"""")"),"")</f>
        <v/>
      </c>
      <c r="J469" s="5" t="str">
        <f>IFERROR(__xludf.DUMMYFUNCTION("IFERROR(TRIM(INDEX(SPLIT(E469,"" + ""),3)),"""")"),"")</f>
        <v/>
      </c>
      <c r="K469" s="3">
        <f>IFERROR(__xludf.DUMMYFUNCTION("IFERROR(IF(H469="""",0,INDEX(FILTER($Q$2:Q468,$C$2:C468=H469,$G$2:G468=G469),ROWS(FILTER($Q$2:Q468,$C$2:C468=H469,$G$2:G468=G469)),1)),1500)"),0.0)</f>
        <v>0</v>
      </c>
      <c r="L469" s="3">
        <f>IFERROR(__xludf.DUMMYFUNCTION("IFERROR(IF(I469="""",0,INDEX(FILTER($Q$2:Q468,$C$2:C468=I469,$G$2:G468=G469),ROWS(FILTER($Q$2:Q468,$C$2:C468=I469,$G$2:G468=G469)),1)),1500)"),0.0)</f>
        <v>0</v>
      </c>
      <c r="M469" s="3">
        <f>IFERROR(__xludf.DUMMYFUNCTION("IFERROR(IF(J469="""",0,INDEX(FILTER($Q$2:Q468,$C$2:C468=J469,$G$2:G468=G469),ROWS(FILTER($Q$2:Q468,$C$2:C468=J469,$G$2:G468=G469)),1)),1500)"),0.0)</f>
        <v>0</v>
      </c>
      <c r="N469" s="3">
        <f>IFERROR(__xludf.DUMMYFUNCTION("IFERROR(INDEX(FILTER($Q$2:Q468,$C$2:C468=C469,$G$2:G468=G469),ROWS(FILTER($Q$2:Q468,$C$2:C468=C469,$G$2:G468=G469)),1),1500)"),892.0)</f>
        <v>892</v>
      </c>
      <c r="O469" s="3">
        <f t="shared" si="3"/>
        <v>0</v>
      </c>
      <c r="P469" s="9">
        <f t="shared" si="1"/>
        <v>-32</v>
      </c>
      <c r="Q469" s="5">
        <f t="shared" si="2"/>
        <v>860</v>
      </c>
    </row>
    <row r="470">
      <c r="H470" s="3" t="str">
        <f>IFERROR(__xludf.DUMMYFUNCTION("IFERROR(TRIM(INDEX(SPLIT(E470,"" + ""),1)),"""")"),"")</f>
        <v/>
      </c>
      <c r="I470" s="3" t="str">
        <f>IFERROR(__xludf.DUMMYFUNCTION("IFERROR(TRIM(INDEX(SPLIT(E470,"" + ""),2)),"""")"),"")</f>
        <v/>
      </c>
      <c r="J470" s="5" t="str">
        <f>IFERROR(__xludf.DUMMYFUNCTION("IFERROR(TRIM(INDEX(SPLIT(E470,"" + ""),3)),"""")"),"")</f>
        <v/>
      </c>
      <c r="K470" s="3">
        <f>IFERROR(__xludf.DUMMYFUNCTION("IFERROR(IF(H470="""",0,INDEX(FILTER($Q$2:Q469,$C$2:C469=H470,$G$2:G469=G470),ROWS(FILTER($Q$2:Q469,$C$2:C469=H470,$G$2:G469=G470)),1)),1500)"),0.0)</f>
        <v>0</v>
      </c>
      <c r="L470" s="3">
        <f>IFERROR(__xludf.DUMMYFUNCTION("IFERROR(IF(I470="""",0,INDEX(FILTER($Q$2:Q469,$C$2:C469=I470,$G$2:G469=G470),ROWS(FILTER($Q$2:Q469,$C$2:C469=I470,$G$2:G469=G470)),1)),1500)"),0.0)</f>
        <v>0</v>
      </c>
      <c r="M470" s="3">
        <f>IFERROR(__xludf.DUMMYFUNCTION("IFERROR(IF(J470="""",0,INDEX(FILTER($Q$2:Q469,$C$2:C469=J470,$G$2:G469=G470),ROWS(FILTER($Q$2:Q469,$C$2:C469=J470,$G$2:G469=G470)),1)),1500)"),0.0)</f>
        <v>0</v>
      </c>
      <c r="N470" s="3">
        <f>IFERROR(__xludf.DUMMYFUNCTION("IFERROR(INDEX(FILTER($Q$2:Q469,$C$2:C469=C470,$G$2:G469=G470),ROWS(FILTER($Q$2:Q469,$C$2:C469=C470,$G$2:G469=G470)),1),1500)"),860.0)</f>
        <v>860</v>
      </c>
      <c r="O470" s="3">
        <f t="shared" si="3"/>
        <v>0</v>
      </c>
      <c r="P470" s="9">
        <f t="shared" si="1"/>
        <v>-32</v>
      </c>
      <c r="Q470" s="5">
        <f t="shared" si="2"/>
        <v>828</v>
      </c>
    </row>
    <row r="471">
      <c r="H471" s="3" t="str">
        <f>IFERROR(__xludf.DUMMYFUNCTION("IFERROR(TRIM(INDEX(SPLIT(E471,"" + ""),1)),"""")"),"")</f>
        <v/>
      </c>
      <c r="I471" s="3" t="str">
        <f>IFERROR(__xludf.DUMMYFUNCTION("IFERROR(TRIM(INDEX(SPLIT(E471,"" + ""),2)),"""")"),"")</f>
        <v/>
      </c>
      <c r="J471" s="5" t="str">
        <f>IFERROR(__xludf.DUMMYFUNCTION("IFERROR(TRIM(INDEX(SPLIT(E471,"" + ""),3)),"""")"),"")</f>
        <v/>
      </c>
      <c r="K471" s="3">
        <f>IFERROR(__xludf.DUMMYFUNCTION("IFERROR(IF(H471="""",0,INDEX(FILTER($Q$2:Q470,$C$2:C470=H471,$G$2:G470=G471),ROWS(FILTER($Q$2:Q470,$C$2:C470=H471,$G$2:G470=G471)),1)),1500)"),0.0)</f>
        <v>0</v>
      </c>
      <c r="L471" s="3">
        <f>IFERROR(__xludf.DUMMYFUNCTION("IFERROR(IF(I471="""",0,INDEX(FILTER($Q$2:Q470,$C$2:C470=I471,$G$2:G470=G471),ROWS(FILTER($Q$2:Q470,$C$2:C470=I471,$G$2:G470=G471)),1)),1500)"),0.0)</f>
        <v>0</v>
      </c>
      <c r="M471" s="3">
        <f>IFERROR(__xludf.DUMMYFUNCTION("IFERROR(IF(J471="""",0,INDEX(FILTER($Q$2:Q470,$C$2:C470=J471,$G$2:G470=G471),ROWS(FILTER($Q$2:Q470,$C$2:C470=J471,$G$2:G470=G471)),1)),1500)"),0.0)</f>
        <v>0</v>
      </c>
      <c r="N471" s="3">
        <f>IFERROR(__xludf.DUMMYFUNCTION("IFERROR(INDEX(FILTER($Q$2:Q470,$C$2:C470=C471,$G$2:G470=G471),ROWS(FILTER($Q$2:Q470,$C$2:C470=C471,$G$2:G470=G471)),1),1500)"),828.0)</f>
        <v>828</v>
      </c>
      <c r="O471" s="3">
        <f t="shared" si="3"/>
        <v>0</v>
      </c>
      <c r="P471" s="9">
        <f t="shared" si="1"/>
        <v>-32</v>
      </c>
      <c r="Q471" s="5">
        <f t="shared" si="2"/>
        <v>796</v>
      </c>
    </row>
    <row r="472">
      <c r="H472" s="3" t="str">
        <f>IFERROR(__xludf.DUMMYFUNCTION("IFERROR(TRIM(INDEX(SPLIT(E472,"" + ""),1)),"""")"),"")</f>
        <v/>
      </c>
      <c r="I472" s="3" t="str">
        <f>IFERROR(__xludf.DUMMYFUNCTION("IFERROR(TRIM(INDEX(SPLIT(E472,"" + ""),2)),"""")"),"")</f>
        <v/>
      </c>
      <c r="J472" s="5" t="str">
        <f>IFERROR(__xludf.DUMMYFUNCTION("IFERROR(TRIM(INDEX(SPLIT(E472,"" + ""),3)),"""")"),"")</f>
        <v/>
      </c>
      <c r="K472" s="3">
        <f>IFERROR(__xludf.DUMMYFUNCTION("IFERROR(IF(H472="""",0,INDEX(FILTER($Q$2:Q471,$C$2:C471=H472,$G$2:G471=G472),ROWS(FILTER($Q$2:Q471,$C$2:C471=H472,$G$2:G471=G472)),1)),1500)"),0.0)</f>
        <v>0</v>
      </c>
      <c r="L472" s="3">
        <f>IFERROR(__xludf.DUMMYFUNCTION("IFERROR(IF(I472="""",0,INDEX(FILTER($Q$2:Q471,$C$2:C471=I472,$G$2:G471=G472),ROWS(FILTER($Q$2:Q471,$C$2:C471=I472,$G$2:G471=G472)),1)),1500)"),0.0)</f>
        <v>0</v>
      </c>
      <c r="M472" s="3">
        <f>IFERROR(__xludf.DUMMYFUNCTION("IFERROR(IF(J472="""",0,INDEX(FILTER($Q$2:Q471,$C$2:C471=J472,$G$2:G471=G472),ROWS(FILTER($Q$2:Q471,$C$2:C471=J472,$G$2:G471=G472)),1)),1500)"),0.0)</f>
        <v>0</v>
      </c>
      <c r="N472" s="3">
        <f>IFERROR(__xludf.DUMMYFUNCTION("IFERROR(INDEX(FILTER($Q$2:Q471,$C$2:C471=C472,$G$2:G471=G472),ROWS(FILTER($Q$2:Q471,$C$2:C471=C472,$G$2:G471=G472)),1),1500)"),796.0)</f>
        <v>796</v>
      </c>
      <c r="O472" s="3">
        <f t="shared" si="3"/>
        <v>0</v>
      </c>
      <c r="P472" s="9">
        <f t="shared" si="1"/>
        <v>-32</v>
      </c>
      <c r="Q472" s="5">
        <f t="shared" si="2"/>
        <v>764</v>
      </c>
    </row>
    <row r="473">
      <c r="H473" s="3" t="str">
        <f>IFERROR(__xludf.DUMMYFUNCTION("IFERROR(TRIM(INDEX(SPLIT(E473,"" + ""),1)),"""")"),"")</f>
        <v/>
      </c>
      <c r="I473" s="3" t="str">
        <f>IFERROR(__xludf.DUMMYFUNCTION("IFERROR(TRIM(INDEX(SPLIT(E473,"" + ""),2)),"""")"),"")</f>
        <v/>
      </c>
      <c r="J473" s="5" t="str">
        <f>IFERROR(__xludf.DUMMYFUNCTION("IFERROR(TRIM(INDEX(SPLIT(E473,"" + ""),3)),"""")"),"")</f>
        <v/>
      </c>
      <c r="K473" s="3">
        <f>IFERROR(__xludf.DUMMYFUNCTION("IFERROR(IF(H473="""",0,INDEX(FILTER($Q$2:Q472,$C$2:C472=H473,$G$2:G472=G473),ROWS(FILTER($Q$2:Q472,$C$2:C472=H473,$G$2:G472=G473)),1)),1500)"),0.0)</f>
        <v>0</v>
      </c>
      <c r="L473" s="3">
        <f>IFERROR(__xludf.DUMMYFUNCTION("IFERROR(IF(I473="""",0,INDEX(FILTER($Q$2:Q472,$C$2:C472=I473,$G$2:G472=G473),ROWS(FILTER($Q$2:Q472,$C$2:C472=I473,$G$2:G472=G473)),1)),1500)"),0.0)</f>
        <v>0</v>
      </c>
      <c r="M473" s="3">
        <f>IFERROR(__xludf.DUMMYFUNCTION("IFERROR(IF(J473="""",0,INDEX(FILTER($Q$2:Q472,$C$2:C472=J473,$G$2:G472=G473),ROWS(FILTER($Q$2:Q472,$C$2:C472=J473,$G$2:G472=G473)),1)),1500)"),0.0)</f>
        <v>0</v>
      </c>
      <c r="N473" s="3">
        <f>IFERROR(__xludf.DUMMYFUNCTION("IFERROR(INDEX(FILTER($Q$2:Q472,$C$2:C472=C473,$G$2:G472=G473),ROWS(FILTER($Q$2:Q472,$C$2:C472=C473,$G$2:G472=G473)),1),1500)"),764.0)</f>
        <v>764</v>
      </c>
      <c r="O473" s="3">
        <f t="shared" si="3"/>
        <v>0</v>
      </c>
      <c r="P473" s="9">
        <f t="shared" si="1"/>
        <v>-32</v>
      </c>
      <c r="Q473" s="5">
        <f t="shared" si="2"/>
        <v>732</v>
      </c>
    </row>
    <row r="474">
      <c r="H474" s="3" t="str">
        <f>IFERROR(__xludf.DUMMYFUNCTION("IFERROR(TRIM(INDEX(SPLIT(E474,"" + ""),1)),"""")"),"")</f>
        <v/>
      </c>
      <c r="I474" s="3" t="str">
        <f>IFERROR(__xludf.DUMMYFUNCTION("IFERROR(TRIM(INDEX(SPLIT(E474,"" + ""),2)),"""")"),"")</f>
        <v/>
      </c>
      <c r="J474" s="5" t="str">
        <f>IFERROR(__xludf.DUMMYFUNCTION("IFERROR(TRIM(INDEX(SPLIT(E474,"" + ""),3)),"""")"),"")</f>
        <v/>
      </c>
      <c r="K474" s="3">
        <f>IFERROR(__xludf.DUMMYFUNCTION("IFERROR(IF(H474="""",0,INDEX(FILTER($Q$2:Q473,$C$2:C473=H474,$G$2:G473=G474),ROWS(FILTER($Q$2:Q473,$C$2:C473=H474,$G$2:G473=G474)),1)),1500)"),0.0)</f>
        <v>0</v>
      </c>
      <c r="L474" s="3">
        <f>IFERROR(__xludf.DUMMYFUNCTION("IFERROR(IF(I474="""",0,INDEX(FILTER($Q$2:Q473,$C$2:C473=I474,$G$2:G473=G474),ROWS(FILTER($Q$2:Q473,$C$2:C473=I474,$G$2:G473=G474)),1)),1500)"),0.0)</f>
        <v>0</v>
      </c>
      <c r="M474" s="3">
        <f>IFERROR(__xludf.DUMMYFUNCTION("IFERROR(IF(J474="""",0,INDEX(FILTER($Q$2:Q473,$C$2:C473=J474,$G$2:G473=G474),ROWS(FILTER($Q$2:Q473,$C$2:C473=J474,$G$2:G473=G474)),1)),1500)"),0.0)</f>
        <v>0</v>
      </c>
      <c r="N474" s="3">
        <f>IFERROR(__xludf.DUMMYFUNCTION("IFERROR(INDEX(FILTER($Q$2:Q473,$C$2:C473=C474,$G$2:G473=G474),ROWS(FILTER($Q$2:Q473,$C$2:C473=C474,$G$2:G473=G474)),1),1500)"),732.0)</f>
        <v>732</v>
      </c>
      <c r="O474" s="3">
        <f t="shared" si="3"/>
        <v>0</v>
      </c>
      <c r="P474" s="9">
        <f t="shared" si="1"/>
        <v>-32</v>
      </c>
      <c r="Q474" s="5">
        <f t="shared" si="2"/>
        <v>700</v>
      </c>
    </row>
    <row r="475">
      <c r="H475" s="3" t="str">
        <f>IFERROR(__xludf.DUMMYFUNCTION("IFERROR(TRIM(INDEX(SPLIT(E475,"" + ""),1)),"""")"),"")</f>
        <v/>
      </c>
      <c r="I475" s="3" t="str">
        <f>IFERROR(__xludf.DUMMYFUNCTION("IFERROR(TRIM(INDEX(SPLIT(E475,"" + ""),2)),"""")"),"")</f>
        <v/>
      </c>
      <c r="J475" s="5" t="str">
        <f>IFERROR(__xludf.DUMMYFUNCTION("IFERROR(TRIM(INDEX(SPLIT(E475,"" + ""),3)),"""")"),"")</f>
        <v/>
      </c>
      <c r="K475" s="3">
        <f>IFERROR(__xludf.DUMMYFUNCTION("IFERROR(IF(H475="""",0,INDEX(FILTER($Q$2:Q474,$C$2:C474=H475,$G$2:G474=G475),ROWS(FILTER($Q$2:Q474,$C$2:C474=H475,$G$2:G474=G475)),1)),1500)"),0.0)</f>
        <v>0</v>
      </c>
      <c r="L475" s="3">
        <f>IFERROR(__xludf.DUMMYFUNCTION("IFERROR(IF(I475="""",0,INDEX(FILTER($Q$2:Q474,$C$2:C474=I475,$G$2:G474=G475),ROWS(FILTER($Q$2:Q474,$C$2:C474=I475,$G$2:G474=G475)),1)),1500)"),0.0)</f>
        <v>0</v>
      </c>
      <c r="M475" s="3">
        <f>IFERROR(__xludf.DUMMYFUNCTION("IFERROR(IF(J475="""",0,INDEX(FILTER($Q$2:Q474,$C$2:C474=J475,$G$2:G474=G475),ROWS(FILTER($Q$2:Q474,$C$2:C474=J475,$G$2:G474=G475)),1)),1500)"),0.0)</f>
        <v>0</v>
      </c>
      <c r="N475" s="3">
        <f>IFERROR(__xludf.DUMMYFUNCTION("IFERROR(INDEX(FILTER($Q$2:Q474,$C$2:C474=C475,$G$2:G474=G475),ROWS(FILTER($Q$2:Q474,$C$2:C474=C475,$G$2:G474=G475)),1),1500)"),700.0)</f>
        <v>700</v>
      </c>
      <c r="O475" s="3">
        <f t="shared" si="3"/>
        <v>0</v>
      </c>
      <c r="P475" s="9">
        <f t="shared" si="1"/>
        <v>-31</v>
      </c>
      <c r="Q475" s="5">
        <f t="shared" si="2"/>
        <v>669</v>
      </c>
    </row>
    <row r="476">
      <c r="H476" s="3" t="str">
        <f>IFERROR(__xludf.DUMMYFUNCTION("IFERROR(TRIM(INDEX(SPLIT(E476,"" + ""),1)),"""")"),"")</f>
        <v/>
      </c>
      <c r="I476" s="3" t="str">
        <f>IFERROR(__xludf.DUMMYFUNCTION("IFERROR(TRIM(INDEX(SPLIT(E476,"" + ""),2)),"""")"),"")</f>
        <v/>
      </c>
      <c r="J476" s="5" t="str">
        <f>IFERROR(__xludf.DUMMYFUNCTION("IFERROR(TRIM(INDEX(SPLIT(E476,"" + ""),3)),"""")"),"")</f>
        <v/>
      </c>
      <c r="K476" s="3">
        <f>IFERROR(__xludf.DUMMYFUNCTION("IFERROR(IF(H476="""",0,INDEX(FILTER($Q$2:Q475,$C$2:C475=H476,$G$2:G475=G476),ROWS(FILTER($Q$2:Q475,$C$2:C475=H476,$G$2:G475=G476)),1)),1500)"),0.0)</f>
        <v>0</v>
      </c>
      <c r="L476" s="3">
        <f>IFERROR(__xludf.DUMMYFUNCTION("IFERROR(IF(I476="""",0,INDEX(FILTER($Q$2:Q475,$C$2:C475=I476,$G$2:G475=G476),ROWS(FILTER($Q$2:Q475,$C$2:C475=I476,$G$2:G475=G476)),1)),1500)"),0.0)</f>
        <v>0</v>
      </c>
      <c r="M476" s="3">
        <f>IFERROR(__xludf.DUMMYFUNCTION("IFERROR(IF(J476="""",0,INDEX(FILTER($Q$2:Q475,$C$2:C475=J476,$G$2:G475=G476),ROWS(FILTER($Q$2:Q475,$C$2:C475=J476,$G$2:G475=G476)),1)),1500)"),0.0)</f>
        <v>0</v>
      </c>
      <c r="N476" s="3">
        <f>IFERROR(__xludf.DUMMYFUNCTION("IFERROR(INDEX(FILTER($Q$2:Q475,$C$2:C475=C476,$G$2:G475=G476),ROWS(FILTER($Q$2:Q475,$C$2:C475=C476,$G$2:G475=G476)),1),1500)"),669.0)</f>
        <v>669</v>
      </c>
      <c r="O476" s="3">
        <f t="shared" si="3"/>
        <v>0</v>
      </c>
      <c r="P476" s="9">
        <f t="shared" si="1"/>
        <v>-31</v>
      </c>
      <c r="Q476" s="5">
        <f t="shared" si="2"/>
        <v>638</v>
      </c>
    </row>
    <row r="477">
      <c r="H477" s="3" t="str">
        <f>IFERROR(__xludf.DUMMYFUNCTION("IFERROR(TRIM(INDEX(SPLIT(E477,"" + ""),1)),"""")"),"")</f>
        <v/>
      </c>
      <c r="I477" s="3" t="str">
        <f>IFERROR(__xludf.DUMMYFUNCTION("IFERROR(TRIM(INDEX(SPLIT(E477,"" + ""),2)),"""")"),"")</f>
        <v/>
      </c>
      <c r="J477" s="5" t="str">
        <f>IFERROR(__xludf.DUMMYFUNCTION("IFERROR(TRIM(INDEX(SPLIT(E477,"" + ""),3)),"""")"),"")</f>
        <v/>
      </c>
      <c r="K477" s="3">
        <f>IFERROR(__xludf.DUMMYFUNCTION("IFERROR(IF(H477="""",0,INDEX(FILTER($Q$2:Q476,$C$2:C476=H477,$G$2:G476=G477),ROWS(FILTER($Q$2:Q476,$C$2:C476=H477,$G$2:G476=G477)),1)),1500)"),0.0)</f>
        <v>0</v>
      </c>
      <c r="L477" s="3">
        <f>IFERROR(__xludf.DUMMYFUNCTION("IFERROR(IF(I477="""",0,INDEX(FILTER($Q$2:Q476,$C$2:C476=I477,$G$2:G476=G477),ROWS(FILTER($Q$2:Q476,$C$2:C476=I477,$G$2:G476=G477)),1)),1500)"),0.0)</f>
        <v>0</v>
      </c>
      <c r="M477" s="3">
        <f>IFERROR(__xludf.DUMMYFUNCTION("IFERROR(IF(J477="""",0,INDEX(FILTER($Q$2:Q476,$C$2:C476=J477,$G$2:G476=G477),ROWS(FILTER($Q$2:Q476,$C$2:C476=J477,$G$2:G476=G477)),1)),1500)"),0.0)</f>
        <v>0</v>
      </c>
      <c r="N477" s="3">
        <f>IFERROR(__xludf.DUMMYFUNCTION("IFERROR(INDEX(FILTER($Q$2:Q476,$C$2:C476=C477,$G$2:G476=G477),ROWS(FILTER($Q$2:Q476,$C$2:C476=C477,$G$2:G476=G477)),1),1500)"),638.0)</f>
        <v>638</v>
      </c>
      <c r="O477" s="3">
        <f t="shared" si="3"/>
        <v>0</v>
      </c>
      <c r="P477" s="9">
        <f t="shared" si="1"/>
        <v>-31</v>
      </c>
      <c r="Q477" s="5">
        <f t="shared" si="2"/>
        <v>607</v>
      </c>
    </row>
    <row r="478">
      <c r="H478" s="3" t="str">
        <f>IFERROR(__xludf.DUMMYFUNCTION("IFERROR(TRIM(INDEX(SPLIT(E478,"" + ""),1)),"""")"),"")</f>
        <v/>
      </c>
      <c r="I478" s="3" t="str">
        <f>IFERROR(__xludf.DUMMYFUNCTION("IFERROR(TRIM(INDEX(SPLIT(E478,"" + ""),2)),"""")"),"")</f>
        <v/>
      </c>
      <c r="J478" s="5" t="str">
        <f>IFERROR(__xludf.DUMMYFUNCTION("IFERROR(TRIM(INDEX(SPLIT(E478,"" + ""),3)),"""")"),"")</f>
        <v/>
      </c>
      <c r="K478" s="3">
        <f>IFERROR(__xludf.DUMMYFUNCTION("IFERROR(IF(H478="""",0,INDEX(FILTER($Q$2:Q477,$C$2:C477=H478,$G$2:G477=G478),ROWS(FILTER($Q$2:Q477,$C$2:C477=H478,$G$2:G477=G478)),1)),1500)"),0.0)</f>
        <v>0</v>
      </c>
      <c r="L478" s="3">
        <f>IFERROR(__xludf.DUMMYFUNCTION("IFERROR(IF(I478="""",0,INDEX(FILTER($Q$2:Q477,$C$2:C477=I478,$G$2:G477=G478),ROWS(FILTER($Q$2:Q477,$C$2:C477=I478,$G$2:G477=G478)),1)),1500)"),0.0)</f>
        <v>0</v>
      </c>
      <c r="M478" s="3">
        <f>IFERROR(__xludf.DUMMYFUNCTION("IFERROR(IF(J478="""",0,INDEX(FILTER($Q$2:Q477,$C$2:C477=J478,$G$2:G477=G478),ROWS(FILTER($Q$2:Q477,$C$2:C477=J478,$G$2:G477=G478)),1)),1500)"),0.0)</f>
        <v>0</v>
      </c>
      <c r="N478" s="3">
        <f>IFERROR(__xludf.DUMMYFUNCTION("IFERROR(INDEX(FILTER($Q$2:Q477,$C$2:C477=C478,$G$2:G477=G478),ROWS(FILTER($Q$2:Q477,$C$2:C477=C478,$G$2:G477=G478)),1),1500)"),607.0)</f>
        <v>607</v>
      </c>
      <c r="O478" s="3">
        <f t="shared" si="3"/>
        <v>0</v>
      </c>
      <c r="P478" s="9">
        <f t="shared" si="1"/>
        <v>-31</v>
      </c>
      <c r="Q478" s="5">
        <f t="shared" si="2"/>
        <v>576</v>
      </c>
    </row>
    <row r="479">
      <c r="H479" s="3" t="str">
        <f>IFERROR(__xludf.DUMMYFUNCTION("IFERROR(TRIM(INDEX(SPLIT(E479,"" + ""),1)),"""")"),"")</f>
        <v/>
      </c>
      <c r="I479" s="3" t="str">
        <f>IFERROR(__xludf.DUMMYFUNCTION("IFERROR(TRIM(INDEX(SPLIT(E479,"" + ""),2)),"""")"),"")</f>
        <v/>
      </c>
      <c r="J479" s="5" t="str">
        <f>IFERROR(__xludf.DUMMYFUNCTION("IFERROR(TRIM(INDEX(SPLIT(E479,"" + ""),3)),"""")"),"")</f>
        <v/>
      </c>
      <c r="K479" s="3">
        <f>IFERROR(__xludf.DUMMYFUNCTION("IFERROR(IF(H479="""",0,INDEX(FILTER($Q$2:Q478,$C$2:C478=H479,$G$2:G478=G479),ROWS(FILTER($Q$2:Q478,$C$2:C478=H479,$G$2:G478=G479)),1)),1500)"),0.0)</f>
        <v>0</v>
      </c>
      <c r="L479" s="3">
        <f>IFERROR(__xludf.DUMMYFUNCTION("IFERROR(IF(I479="""",0,INDEX(FILTER($Q$2:Q478,$C$2:C478=I479,$G$2:G478=G479),ROWS(FILTER($Q$2:Q478,$C$2:C478=I479,$G$2:G478=G479)),1)),1500)"),0.0)</f>
        <v>0</v>
      </c>
      <c r="M479" s="3">
        <f>IFERROR(__xludf.DUMMYFUNCTION("IFERROR(IF(J479="""",0,INDEX(FILTER($Q$2:Q478,$C$2:C478=J479,$G$2:G478=G479),ROWS(FILTER($Q$2:Q478,$C$2:C478=J479,$G$2:G478=G479)),1)),1500)"),0.0)</f>
        <v>0</v>
      </c>
      <c r="N479" s="3">
        <f>IFERROR(__xludf.DUMMYFUNCTION("IFERROR(INDEX(FILTER($Q$2:Q478,$C$2:C478=C479,$G$2:G478=G479),ROWS(FILTER($Q$2:Q478,$C$2:C478=C479,$G$2:G478=G479)),1),1500)"),576.0)</f>
        <v>576</v>
      </c>
      <c r="O479" s="3">
        <f t="shared" si="3"/>
        <v>0</v>
      </c>
      <c r="P479" s="9">
        <f t="shared" si="1"/>
        <v>-31</v>
      </c>
      <c r="Q479" s="5">
        <f t="shared" si="2"/>
        <v>545</v>
      </c>
    </row>
    <row r="480">
      <c r="H480" s="3" t="str">
        <f>IFERROR(__xludf.DUMMYFUNCTION("IFERROR(TRIM(INDEX(SPLIT(E480,"" + ""),1)),"""")"),"")</f>
        <v/>
      </c>
      <c r="I480" s="3" t="str">
        <f>IFERROR(__xludf.DUMMYFUNCTION("IFERROR(TRIM(INDEX(SPLIT(E480,"" + ""),2)),"""")"),"")</f>
        <v/>
      </c>
      <c r="J480" s="5" t="str">
        <f>IFERROR(__xludf.DUMMYFUNCTION("IFERROR(TRIM(INDEX(SPLIT(E480,"" + ""),3)),"""")"),"")</f>
        <v/>
      </c>
      <c r="K480" s="3">
        <f>IFERROR(__xludf.DUMMYFUNCTION("IFERROR(IF(H480="""",0,INDEX(FILTER($Q$2:Q479,$C$2:C479=H480,$G$2:G479=G480),ROWS(FILTER($Q$2:Q479,$C$2:C479=H480,$G$2:G479=G480)),1)),1500)"),0.0)</f>
        <v>0</v>
      </c>
      <c r="L480" s="3">
        <f>IFERROR(__xludf.DUMMYFUNCTION("IFERROR(IF(I480="""",0,INDEX(FILTER($Q$2:Q479,$C$2:C479=I480,$G$2:G479=G480),ROWS(FILTER($Q$2:Q479,$C$2:C479=I480,$G$2:G479=G480)),1)),1500)"),0.0)</f>
        <v>0</v>
      </c>
      <c r="M480" s="3">
        <f>IFERROR(__xludf.DUMMYFUNCTION("IFERROR(IF(J480="""",0,INDEX(FILTER($Q$2:Q479,$C$2:C479=J480,$G$2:G479=G480),ROWS(FILTER($Q$2:Q479,$C$2:C479=J480,$G$2:G479=G480)),1)),1500)"),0.0)</f>
        <v>0</v>
      </c>
      <c r="N480" s="3">
        <f>IFERROR(__xludf.DUMMYFUNCTION("IFERROR(INDEX(FILTER($Q$2:Q479,$C$2:C479=C480,$G$2:G479=G480),ROWS(FILTER($Q$2:Q479,$C$2:C479=C480,$G$2:G479=G480)),1),1500)"),545.0)</f>
        <v>545</v>
      </c>
      <c r="O480" s="3">
        <f t="shared" si="3"/>
        <v>0</v>
      </c>
      <c r="P480" s="9">
        <f t="shared" si="1"/>
        <v>-31</v>
      </c>
      <c r="Q480" s="5">
        <f t="shared" si="2"/>
        <v>514</v>
      </c>
    </row>
    <row r="481">
      <c r="H481" s="3" t="str">
        <f>IFERROR(__xludf.DUMMYFUNCTION("IFERROR(TRIM(INDEX(SPLIT(E481,"" + ""),1)),"""")"),"")</f>
        <v/>
      </c>
      <c r="I481" s="3" t="str">
        <f>IFERROR(__xludf.DUMMYFUNCTION("IFERROR(TRIM(INDEX(SPLIT(E481,"" + ""),2)),"""")"),"")</f>
        <v/>
      </c>
      <c r="J481" s="5" t="str">
        <f>IFERROR(__xludf.DUMMYFUNCTION("IFERROR(TRIM(INDEX(SPLIT(E481,"" + ""),3)),"""")"),"")</f>
        <v/>
      </c>
      <c r="K481" s="3">
        <f>IFERROR(__xludf.DUMMYFUNCTION("IFERROR(IF(H481="""",0,INDEX(FILTER($Q$2:Q480,$C$2:C480=H481,$G$2:G480=G481),ROWS(FILTER($Q$2:Q480,$C$2:C480=H481,$G$2:G480=G481)),1)),1500)"),0.0)</f>
        <v>0</v>
      </c>
      <c r="L481" s="3">
        <f>IFERROR(__xludf.DUMMYFUNCTION("IFERROR(IF(I481="""",0,INDEX(FILTER($Q$2:Q480,$C$2:C480=I481,$G$2:G480=G481),ROWS(FILTER($Q$2:Q480,$C$2:C480=I481,$G$2:G480=G481)),1)),1500)"),0.0)</f>
        <v>0</v>
      </c>
      <c r="M481" s="3">
        <f>IFERROR(__xludf.DUMMYFUNCTION("IFERROR(IF(J481="""",0,INDEX(FILTER($Q$2:Q480,$C$2:C480=J481,$G$2:G480=G481),ROWS(FILTER($Q$2:Q480,$C$2:C480=J481,$G$2:G480=G481)),1)),1500)"),0.0)</f>
        <v>0</v>
      </c>
      <c r="N481" s="3">
        <f>IFERROR(__xludf.DUMMYFUNCTION("IFERROR(INDEX(FILTER($Q$2:Q480,$C$2:C480=C481,$G$2:G480=G481),ROWS(FILTER($Q$2:Q480,$C$2:C480=C481,$G$2:G480=G481)),1),1500)"),514.0)</f>
        <v>514</v>
      </c>
      <c r="O481" s="3">
        <f t="shared" si="3"/>
        <v>0</v>
      </c>
      <c r="P481" s="9">
        <f t="shared" si="1"/>
        <v>-30</v>
      </c>
      <c r="Q481" s="5">
        <f t="shared" si="2"/>
        <v>484</v>
      </c>
    </row>
    <row r="482">
      <c r="H482" s="3" t="str">
        <f>IFERROR(__xludf.DUMMYFUNCTION("IFERROR(TRIM(INDEX(SPLIT(E482,"" + ""),1)),"""")"),"")</f>
        <v/>
      </c>
      <c r="I482" s="3" t="str">
        <f>IFERROR(__xludf.DUMMYFUNCTION("IFERROR(TRIM(INDEX(SPLIT(E482,"" + ""),2)),"""")"),"")</f>
        <v/>
      </c>
      <c r="J482" s="5" t="str">
        <f>IFERROR(__xludf.DUMMYFUNCTION("IFERROR(TRIM(INDEX(SPLIT(E482,"" + ""),3)),"""")"),"")</f>
        <v/>
      </c>
      <c r="K482" s="3">
        <f>IFERROR(__xludf.DUMMYFUNCTION("IFERROR(IF(H482="""",0,INDEX(FILTER($Q$2:Q481,$C$2:C481=H482,$G$2:G481=G482),ROWS(FILTER($Q$2:Q481,$C$2:C481=H482,$G$2:G481=G482)),1)),1500)"),0.0)</f>
        <v>0</v>
      </c>
      <c r="L482" s="3">
        <f>IFERROR(__xludf.DUMMYFUNCTION("IFERROR(IF(I482="""",0,INDEX(FILTER($Q$2:Q481,$C$2:C481=I482,$G$2:G481=G482),ROWS(FILTER($Q$2:Q481,$C$2:C481=I482,$G$2:G481=G482)),1)),1500)"),0.0)</f>
        <v>0</v>
      </c>
      <c r="M482" s="3">
        <f>IFERROR(__xludf.DUMMYFUNCTION("IFERROR(IF(J482="""",0,INDEX(FILTER($Q$2:Q481,$C$2:C481=J482,$G$2:G481=G482),ROWS(FILTER($Q$2:Q481,$C$2:C481=J482,$G$2:G481=G482)),1)),1500)"),0.0)</f>
        <v>0</v>
      </c>
      <c r="N482" s="3">
        <f>IFERROR(__xludf.DUMMYFUNCTION("IFERROR(INDEX(FILTER($Q$2:Q481,$C$2:C481=C482,$G$2:G481=G482),ROWS(FILTER($Q$2:Q481,$C$2:C481=C482,$G$2:G481=G482)),1),1500)"),484.0)</f>
        <v>484</v>
      </c>
      <c r="O482" s="3">
        <f t="shared" si="3"/>
        <v>0</v>
      </c>
      <c r="P482" s="9">
        <f t="shared" si="1"/>
        <v>-30</v>
      </c>
      <c r="Q482" s="5">
        <f t="shared" si="2"/>
        <v>454</v>
      </c>
    </row>
    <row r="483">
      <c r="H483" s="3" t="str">
        <f>IFERROR(__xludf.DUMMYFUNCTION("IFERROR(TRIM(INDEX(SPLIT(E483,"" + ""),1)),"""")"),"")</f>
        <v/>
      </c>
      <c r="I483" s="3" t="str">
        <f>IFERROR(__xludf.DUMMYFUNCTION("IFERROR(TRIM(INDEX(SPLIT(E483,"" + ""),2)),"""")"),"")</f>
        <v/>
      </c>
      <c r="J483" s="5" t="str">
        <f>IFERROR(__xludf.DUMMYFUNCTION("IFERROR(TRIM(INDEX(SPLIT(E483,"" + ""),3)),"""")"),"")</f>
        <v/>
      </c>
      <c r="K483" s="3">
        <f>IFERROR(__xludf.DUMMYFUNCTION("IFERROR(IF(H483="""",0,INDEX(FILTER($Q$2:Q482,$C$2:C482=H483,$G$2:G482=G483),ROWS(FILTER($Q$2:Q482,$C$2:C482=H483,$G$2:G482=G483)),1)),1500)"),0.0)</f>
        <v>0</v>
      </c>
      <c r="L483" s="3">
        <f>IFERROR(__xludf.DUMMYFUNCTION("IFERROR(IF(I483="""",0,INDEX(FILTER($Q$2:Q482,$C$2:C482=I483,$G$2:G482=G483),ROWS(FILTER($Q$2:Q482,$C$2:C482=I483,$G$2:G482=G483)),1)),1500)"),0.0)</f>
        <v>0</v>
      </c>
      <c r="M483" s="3">
        <f>IFERROR(__xludf.DUMMYFUNCTION("IFERROR(IF(J483="""",0,INDEX(FILTER($Q$2:Q482,$C$2:C482=J483,$G$2:G482=G483),ROWS(FILTER($Q$2:Q482,$C$2:C482=J483,$G$2:G482=G483)),1)),1500)"),0.0)</f>
        <v>0</v>
      </c>
      <c r="N483" s="3">
        <f>IFERROR(__xludf.DUMMYFUNCTION("IFERROR(INDEX(FILTER($Q$2:Q482,$C$2:C482=C483,$G$2:G482=G483),ROWS(FILTER($Q$2:Q482,$C$2:C482=C483,$G$2:G482=G483)),1),1500)"),454.0)</f>
        <v>454</v>
      </c>
      <c r="O483" s="3">
        <f t="shared" si="3"/>
        <v>0</v>
      </c>
      <c r="P483" s="9">
        <f t="shared" si="1"/>
        <v>-30</v>
      </c>
      <c r="Q483" s="5">
        <f t="shared" si="2"/>
        <v>424</v>
      </c>
    </row>
    <row r="484">
      <c r="H484" s="3" t="str">
        <f>IFERROR(__xludf.DUMMYFUNCTION("IFERROR(TRIM(INDEX(SPLIT(E484,"" + ""),1)),"""")"),"")</f>
        <v/>
      </c>
      <c r="I484" s="3" t="str">
        <f>IFERROR(__xludf.DUMMYFUNCTION("IFERROR(TRIM(INDEX(SPLIT(E484,"" + ""),2)),"""")"),"")</f>
        <v/>
      </c>
      <c r="J484" s="5" t="str">
        <f>IFERROR(__xludf.DUMMYFUNCTION("IFERROR(TRIM(INDEX(SPLIT(E484,"" + ""),3)),"""")"),"")</f>
        <v/>
      </c>
      <c r="K484" s="3">
        <f>IFERROR(__xludf.DUMMYFUNCTION("IFERROR(IF(H484="""",0,INDEX(FILTER($Q$2:Q483,$C$2:C483=H484,$G$2:G483=G484),ROWS(FILTER($Q$2:Q483,$C$2:C483=H484,$G$2:G483=G484)),1)),1500)"),0.0)</f>
        <v>0</v>
      </c>
      <c r="L484" s="3">
        <f>IFERROR(__xludf.DUMMYFUNCTION("IFERROR(IF(I484="""",0,INDEX(FILTER($Q$2:Q483,$C$2:C483=I484,$G$2:G483=G484),ROWS(FILTER($Q$2:Q483,$C$2:C483=I484,$G$2:G483=G484)),1)),1500)"),0.0)</f>
        <v>0</v>
      </c>
      <c r="M484" s="3">
        <f>IFERROR(__xludf.DUMMYFUNCTION("IFERROR(IF(J484="""",0,INDEX(FILTER($Q$2:Q483,$C$2:C483=J484,$G$2:G483=G484),ROWS(FILTER($Q$2:Q483,$C$2:C483=J484,$G$2:G483=G484)),1)),1500)"),0.0)</f>
        <v>0</v>
      </c>
      <c r="N484" s="3">
        <f>IFERROR(__xludf.DUMMYFUNCTION("IFERROR(INDEX(FILTER($Q$2:Q483,$C$2:C483=C484,$G$2:G483=G484),ROWS(FILTER($Q$2:Q483,$C$2:C483=C484,$G$2:G483=G484)),1),1500)"),424.0)</f>
        <v>424</v>
      </c>
      <c r="O484" s="3">
        <f t="shared" si="3"/>
        <v>0</v>
      </c>
      <c r="P484" s="9">
        <f t="shared" si="1"/>
        <v>-29</v>
      </c>
      <c r="Q484" s="5">
        <f t="shared" si="2"/>
        <v>395</v>
      </c>
    </row>
    <row r="485">
      <c r="H485" s="3" t="str">
        <f>IFERROR(__xludf.DUMMYFUNCTION("IFERROR(TRIM(INDEX(SPLIT(E485,"" + ""),1)),"""")"),"")</f>
        <v/>
      </c>
      <c r="I485" s="3" t="str">
        <f>IFERROR(__xludf.DUMMYFUNCTION("IFERROR(TRIM(INDEX(SPLIT(E485,"" + ""),2)),"""")"),"")</f>
        <v/>
      </c>
      <c r="J485" s="5" t="str">
        <f>IFERROR(__xludf.DUMMYFUNCTION("IFERROR(TRIM(INDEX(SPLIT(E485,"" + ""),3)),"""")"),"")</f>
        <v/>
      </c>
      <c r="K485" s="3">
        <f>IFERROR(__xludf.DUMMYFUNCTION("IFERROR(IF(H485="""",0,INDEX(FILTER($Q$2:Q484,$C$2:C484=H485,$G$2:G484=G485),ROWS(FILTER($Q$2:Q484,$C$2:C484=H485,$G$2:G484=G485)),1)),1500)"),0.0)</f>
        <v>0</v>
      </c>
      <c r="L485" s="3">
        <f>IFERROR(__xludf.DUMMYFUNCTION("IFERROR(IF(I485="""",0,INDEX(FILTER($Q$2:Q484,$C$2:C484=I485,$G$2:G484=G485),ROWS(FILTER($Q$2:Q484,$C$2:C484=I485,$G$2:G484=G485)),1)),1500)"),0.0)</f>
        <v>0</v>
      </c>
      <c r="M485" s="3">
        <f>IFERROR(__xludf.DUMMYFUNCTION("IFERROR(IF(J485="""",0,INDEX(FILTER($Q$2:Q484,$C$2:C484=J485,$G$2:G484=G485),ROWS(FILTER($Q$2:Q484,$C$2:C484=J485,$G$2:G484=G485)),1)),1500)"),0.0)</f>
        <v>0</v>
      </c>
      <c r="N485" s="3">
        <f>IFERROR(__xludf.DUMMYFUNCTION("IFERROR(INDEX(FILTER($Q$2:Q484,$C$2:C484=C485,$G$2:G484=G485),ROWS(FILTER($Q$2:Q484,$C$2:C484=C485,$G$2:G484=G485)),1),1500)"),395.0)</f>
        <v>395</v>
      </c>
      <c r="O485" s="3">
        <f t="shared" si="3"/>
        <v>0</v>
      </c>
      <c r="P485" s="9">
        <f t="shared" si="1"/>
        <v>-29</v>
      </c>
      <c r="Q485" s="5">
        <f t="shared" si="2"/>
        <v>366</v>
      </c>
    </row>
    <row r="486">
      <c r="H486" s="3" t="str">
        <f>IFERROR(__xludf.DUMMYFUNCTION("IFERROR(TRIM(INDEX(SPLIT(E486,"" + ""),1)),"""")"),"")</f>
        <v/>
      </c>
      <c r="I486" s="3" t="str">
        <f>IFERROR(__xludf.DUMMYFUNCTION("IFERROR(TRIM(INDEX(SPLIT(E486,"" + ""),2)),"""")"),"")</f>
        <v/>
      </c>
      <c r="J486" s="5" t="str">
        <f>IFERROR(__xludf.DUMMYFUNCTION("IFERROR(TRIM(INDEX(SPLIT(E486,"" + ""),3)),"""")"),"")</f>
        <v/>
      </c>
      <c r="K486" s="3">
        <f>IFERROR(__xludf.DUMMYFUNCTION("IFERROR(IF(H486="""",0,INDEX(FILTER($Q$2:Q485,$C$2:C485=H486,$G$2:G485=G486),ROWS(FILTER($Q$2:Q485,$C$2:C485=H486,$G$2:G485=G486)),1)),1500)"),0.0)</f>
        <v>0</v>
      </c>
      <c r="L486" s="3">
        <f>IFERROR(__xludf.DUMMYFUNCTION("IFERROR(IF(I486="""",0,INDEX(FILTER($Q$2:Q485,$C$2:C485=I486,$G$2:G485=G486),ROWS(FILTER($Q$2:Q485,$C$2:C485=I486,$G$2:G485=G486)),1)),1500)"),0.0)</f>
        <v>0</v>
      </c>
      <c r="M486" s="3">
        <f>IFERROR(__xludf.DUMMYFUNCTION("IFERROR(IF(J486="""",0,INDEX(FILTER($Q$2:Q485,$C$2:C485=J486,$G$2:G485=G486),ROWS(FILTER($Q$2:Q485,$C$2:C485=J486,$G$2:G485=G486)),1)),1500)"),0.0)</f>
        <v>0</v>
      </c>
      <c r="N486" s="3">
        <f>IFERROR(__xludf.DUMMYFUNCTION("IFERROR(INDEX(FILTER($Q$2:Q485,$C$2:C485=C486,$G$2:G485=G486),ROWS(FILTER($Q$2:Q485,$C$2:C485=C486,$G$2:G485=G486)),1),1500)"),366.0)</f>
        <v>366</v>
      </c>
      <c r="O486" s="3">
        <f t="shared" si="3"/>
        <v>0</v>
      </c>
      <c r="P486" s="9">
        <f t="shared" si="1"/>
        <v>-29</v>
      </c>
      <c r="Q486" s="5">
        <f t="shared" si="2"/>
        <v>337</v>
      </c>
    </row>
    <row r="487">
      <c r="H487" s="3" t="str">
        <f>IFERROR(__xludf.DUMMYFUNCTION("IFERROR(TRIM(INDEX(SPLIT(E487,"" + ""),1)),"""")"),"")</f>
        <v/>
      </c>
      <c r="I487" s="3" t="str">
        <f>IFERROR(__xludf.DUMMYFUNCTION("IFERROR(TRIM(INDEX(SPLIT(E487,"" + ""),2)),"""")"),"")</f>
        <v/>
      </c>
      <c r="J487" s="5" t="str">
        <f>IFERROR(__xludf.DUMMYFUNCTION("IFERROR(TRIM(INDEX(SPLIT(E487,"" + ""),3)),"""")"),"")</f>
        <v/>
      </c>
      <c r="K487" s="3">
        <f>IFERROR(__xludf.DUMMYFUNCTION("IFERROR(IF(H487="""",0,INDEX(FILTER($Q$2:Q486,$C$2:C486=H487,$G$2:G486=G487),ROWS(FILTER($Q$2:Q486,$C$2:C486=H487,$G$2:G486=G487)),1)),1500)"),0.0)</f>
        <v>0</v>
      </c>
      <c r="L487" s="3">
        <f>IFERROR(__xludf.DUMMYFUNCTION("IFERROR(IF(I487="""",0,INDEX(FILTER($Q$2:Q486,$C$2:C486=I487,$G$2:G486=G487),ROWS(FILTER($Q$2:Q486,$C$2:C486=I487,$G$2:G486=G487)),1)),1500)"),0.0)</f>
        <v>0</v>
      </c>
      <c r="M487" s="3">
        <f>IFERROR(__xludf.DUMMYFUNCTION("IFERROR(IF(J487="""",0,INDEX(FILTER($Q$2:Q486,$C$2:C486=J487,$G$2:G486=G487),ROWS(FILTER($Q$2:Q486,$C$2:C486=J487,$G$2:G486=G487)),1)),1500)"),0.0)</f>
        <v>0</v>
      </c>
      <c r="N487" s="3">
        <f>IFERROR(__xludf.DUMMYFUNCTION("IFERROR(INDEX(FILTER($Q$2:Q486,$C$2:C486=C487,$G$2:G486=G487),ROWS(FILTER($Q$2:Q486,$C$2:C486=C487,$G$2:G486=G487)),1),1500)"),337.0)</f>
        <v>337</v>
      </c>
      <c r="O487" s="3">
        <f t="shared" si="3"/>
        <v>0</v>
      </c>
      <c r="P487" s="9">
        <f t="shared" si="1"/>
        <v>-28</v>
      </c>
      <c r="Q487" s="5">
        <f t="shared" si="2"/>
        <v>309</v>
      </c>
    </row>
    <row r="488">
      <c r="H488" s="3" t="str">
        <f>IFERROR(__xludf.DUMMYFUNCTION("IFERROR(TRIM(INDEX(SPLIT(E488,"" + ""),1)),"""")"),"")</f>
        <v/>
      </c>
      <c r="I488" s="3" t="str">
        <f>IFERROR(__xludf.DUMMYFUNCTION("IFERROR(TRIM(INDEX(SPLIT(E488,"" + ""),2)),"""")"),"")</f>
        <v/>
      </c>
      <c r="J488" s="5" t="str">
        <f>IFERROR(__xludf.DUMMYFUNCTION("IFERROR(TRIM(INDEX(SPLIT(E488,"" + ""),3)),"""")"),"")</f>
        <v/>
      </c>
      <c r="K488" s="3">
        <f>IFERROR(__xludf.DUMMYFUNCTION("IFERROR(IF(H488="""",0,INDEX(FILTER($Q$2:Q487,$C$2:C487=H488,$G$2:G487=G488),ROWS(FILTER($Q$2:Q487,$C$2:C487=H488,$G$2:G487=G488)),1)),1500)"),0.0)</f>
        <v>0</v>
      </c>
      <c r="L488" s="3">
        <f>IFERROR(__xludf.DUMMYFUNCTION("IFERROR(IF(I488="""",0,INDEX(FILTER($Q$2:Q487,$C$2:C487=I488,$G$2:G487=G488),ROWS(FILTER($Q$2:Q487,$C$2:C487=I488,$G$2:G487=G488)),1)),1500)"),0.0)</f>
        <v>0</v>
      </c>
      <c r="M488" s="3">
        <f>IFERROR(__xludf.DUMMYFUNCTION("IFERROR(IF(J488="""",0,INDEX(FILTER($Q$2:Q487,$C$2:C487=J488,$G$2:G487=G488),ROWS(FILTER($Q$2:Q487,$C$2:C487=J488,$G$2:G487=G488)),1)),1500)"),0.0)</f>
        <v>0</v>
      </c>
      <c r="N488" s="3">
        <f>IFERROR(__xludf.DUMMYFUNCTION("IFERROR(INDEX(FILTER($Q$2:Q487,$C$2:C487=C488,$G$2:G487=G488),ROWS(FILTER($Q$2:Q487,$C$2:C487=C488,$G$2:G487=G488)),1),1500)"),309.0)</f>
        <v>309</v>
      </c>
      <c r="O488" s="3">
        <f t="shared" si="3"/>
        <v>0</v>
      </c>
      <c r="P488" s="9">
        <f t="shared" si="1"/>
        <v>-27</v>
      </c>
      <c r="Q488" s="5">
        <f t="shared" si="2"/>
        <v>282</v>
      </c>
    </row>
    <row r="489">
      <c r="H489" s="3" t="str">
        <f>IFERROR(__xludf.DUMMYFUNCTION("IFERROR(TRIM(INDEX(SPLIT(E489,"" + ""),1)),"""")"),"")</f>
        <v/>
      </c>
      <c r="I489" s="3" t="str">
        <f>IFERROR(__xludf.DUMMYFUNCTION("IFERROR(TRIM(INDEX(SPLIT(E489,"" + ""),2)),"""")"),"")</f>
        <v/>
      </c>
      <c r="J489" s="5" t="str">
        <f>IFERROR(__xludf.DUMMYFUNCTION("IFERROR(TRIM(INDEX(SPLIT(E489,"" + ""),3)),"""")"),"")</f>
        <v/>
      </c>
      <c r="K489" s="3">
        <f>IFERROR(__xludf.DUMMYFUNCTION("IFERROR(IF(H489="""",0,INDEX(FILTER($Q$2:Q488,$C$2:C488=H489,$G$2:G488=G489),ROWS(FILTER($Q$2:Q488,$C$2:C488=H489,$G$2:G488=G489)),1)),1500)"),0.0)</f>
        <v>0</v>
      </c>
      <c r="L489" s="3">
        <f>IFERROR(__xludf.DUMMYFUNCTION("IFERROR(IF(I489="""",0,INDEX(FILTER($Q$2:Q488,$C$2:C488=I489,$G$2:G488=G489),ROWS(FILTER($Q$2:Q488,$C$2:C488=I489,$G$2:G488=G489)),1)),1500)"),0.0)</f>
        <v>0</v>
      </c>
      <c r="M489" s="3">
        <f>IFERROR(__xludf.DUMMYFUNCTION("IFERROR(IF(J489="""",0,INDEX(FILTER($Q$2:Q488,$C$2:C488=J489,$G$2:G488=G489),ROWS(FILTER($Q$2:Q488,$C$2:C488=J489,$G$2:G488=G489)),1)),1500)"),0.0)</f>
        <v>0</v>
      </c>
      <c r="N489" s="3">
        <f>IFERROR(__xludf.DUMMYFUNCTION("IFERROR(INDEX(FILTER($Q$2:Q488,$C$2:C488=C489,$G$2:G488=G489),ROWS(FILTER($Q$2:Q488,$C$2:C488=C489,$G$2:G488=G489)),1),1500)"),282.0)</f>
        <v>282</v>
      </c>
      <c r="O489" s="3">
        <f t="shared" si="3"/>
        <v>0</v>
      </c>
      <c r="P489" s="9">
        <f t="shared" si="1"/>
        <v>-27</v>
      </c>
      <c r="Q489" s="5">
        <f t="shared" si="2"/>
        <v>255</v>
      </c>
    </row>
    <row r="490">
      <c r="H490" s="3" t="str">
        <f>IFERROR(__xludf.DUMMYFUNCTION("IFERROR(TRIM(INDEX(SPLIT(E490,"" + ""),1)),"""")"),"")</f>
        <v/>
      </c>
      <c r="I490" s="3" t="str">
        <f>IFERROR(__xludf.DUMMYFUNCTION("IFERROR(TRIM(INDEX(SPLIT(E490,"" + ""),2)),"""")"),"")</f>
        <v/>
      </c>
      <c r="J490" s="5" t="str">
        <f>IFERROR(__xludf.DUMMYFUNCTION("IFERROR(TRIM(INDEX(SPLIT(E490,"" + ""),3)),"""")"),"")</f>
        <v/>
      </c>
      <c r="K490" s="3">
        <f>IFERROR(__xludf.DUMMYFUNCTION("IFERROR(IF(H490="""",0,INDEX(FILTER($Q$2:Q489,$C$2:C489=H490,$G$2:G489=G490),ROWS(FILTER($Q$2:Q489,$C$2:C489=H490,$G$2:G489=G490)),1)),1500)"),0.0)</f>
        <v>0</v>
      </c>
      <c r="L490" s="3">
        <f>IFERROR(__xludf.DUMMYFUNCTION("IFERROR(IF(I490="""",0,INDEX(FILTER($Q$2:Q489,$C$2:C489=I490,$G$2:G489=G490),ROWS(FILTER($Q$2:Q489,$C$2:C489=I490,$G$2:G489=G490)),1)),1500)"),0.0)</f>
        <v>0</v>
      </c>
      <c r="M490" s="3">
        <f>IFERROR(__xludf.DUMMYFUNCTION("IFERROR(IF(J490="""",0,INDEX(FILTER($Q$2:Q489,$C$2:C489=J490,$G$2:G489=G490),ROWS(FILTER($Q$2:Q489,$C$2:C489=J490,$G$2:G489=G490)),1)),1500)"),0.0)</f>
        <v>0</v>
      </c>
      <c r="N490" s="3">
        <f>IFERROR(__xludf.DUMMYFUNCTION("IFERROR(INDEX(FILTER($Q$2:Q489,$C$2:C489=C490,$G$2:G489=G490),ROWS(FILTER($Q$2:Q489,$C$2:C489=C490,$G$2:G489=G490)),1),1500)"),255.0)</f>
        <v>255</v>
      </c>
      <c r="O490" s="3">
        <f t="shared" si="3"/>
        <v>0</v>
      </c>
      <c r="P490" s="9">
        <f t="shared" si="1"/>
        <v>-26</v>
      </c>
      <c r="Q490" s="5">
        <f t="shared" si="2"/>
        <v>229</v>
      </c>
    </row>
    <row r="491">
      <c r="H491" s="3" t="str">
        <f>IFERROR(__xludf.DUMMYFUNCTION("IFERROR(TRIM(INDEX(SPLIT(E491,"" + ""),1)),"""")"),"")</f>
        <v/>
      </c>
      <c r="I491" s="3" t="str">
        <f>IFERROR(__xludf.DUMMYFUNCTION("IFERROR(TRIM(INDEX(SPLIT(E491,"" + ""),2)),"""")"),"")</f>
        <v/>
      </c>
      <c r="J491" s="5" t="str">
        <f>IFERROR(__xludf.DUMMYFUNCTION("IFERROR(TRIM(INDEX(SPLIT(E491,"" + ""),3)),"""")"),"")</f>
        <v/>
      </c>
      <c r="K491" s="3">
        <f>IFERROR(__xludf.DUMMYFUNCTION("IFERROR(IF(H491="""",0,INDEX(FILTER($Q$2:Q490,$C$2:C490=H491,$G$2:G490=G491),ROWS(FILTER($Q$2:Q490,$C$2:C490=H491,$G$2:G490=G491)),1)),1500)"),0.0)</f>
        <v>0</v>
      </c>
      <c r="L491" s="3">
        <f>IFERROR(__xludf.DUMMYFUNCTION("IFERROR(IF(I491="""",0,INDEX(FILTER($Q$2:Q490,$C$2:C490=I491,$G$2:G490=G491),ROWS(FILTER($Q$2:Q490,$C$2:C490=I491,$G$2:G490=G491)),1)),1500)"),0.0)</f>
        <v>0</v>
      </c>
      <c r="M491" s="3">
        <f>IFERROR(__xludf.DUMMYFUNCTION("IFERROR(IF(J491="""",0,INDEX(FILTER($Q$2:Q490,$C$2:C490=J491,$G$2:G490=G491),ROWS(FILTER($Q$2:Q490,$C$2:C490=J491,$G$2:G490=G491)),1)),1500)"),0.0)</f>
        <v>0</v>
      </c>
      <c r="N491" s="3">
        <f>IFERROR(__xludf.DUMMYFUNCTION("IFERROR(INDEX(FILTER($Q$2:Q490,$C$2:C490=C491,$G$2:G490=G491),ROWS(FILTER($Q$2:Q490,$C$2:C490=C491,$G$2:G490=G491)),1),1500)"),229.0)</f>
        <v>229</v>
      </c>
      <c r="O491" s="3">
        <f t="shared" si="3"/>
        <v>0</v>
      </c>
      <c r="P491" s="9">
        <f t="shared" si="1"/>
        <v>-25</v>
      </c>
      <c r="Q491" s="5">
        <f t="shared" si="2"/>
        <v>204</v>
      </c>
    </row>
    <row r="492">
      <c r="H492" s="3" t="str">
        <f>IFERROR(__xludf.DUMMYFUNCTION("IFERROR(TRIM(INDEX(SPLIT(E492,"" + ""),1)),"""")"),"")</f>
        <v/>
      </c>
      <c r="I492" s="3" t="str">
        <f>IFERROR(__xludf.DUMMYFUNCTION("IFERROR(TRIM(INDEX(SPLIT(E492,"" + ""),2)),"""")"),"")</f>
        <v/>
      </c>
      <c r="J492" s="5" t="str">
        <f>IFERROR(__xludf.DUMMYFUNCTION("IFERROR(TRIM(INDEX(SPLIT(E492,"" + ""),3)),"""")"),"")</f>
        <v/>
      </c>
      <c r="K492" s="3">
        <f>IFERROR(__xludf.DUMMYFUNCTION("IFERROR(IF(H492="""",0,INDEX(FILTER($Q$2:Q491,$C$2:C491=H492,$G$2:G491=G492),ROWS(FILTER($Q$2:Q491,$C$2:C491=H492,$G$2:G491=G492)),1)),1500)"),0.0)</f>
        <v>0</v>
      </c>
      <c r="L492" s="3">
        <f>IFERROR(__xludf.DUMMYFUNCTION("IFERROR(IF(I492="""",0,INDEX(FILTER($Q$2:Q491,$C$2:C491=I492,$G$2:G491=G492),ROWS(FILTER($Q$2:Q491,$C$2:C491=I492,$G$2:G491=G492)),1)),1500)"),0.0)</f>
        <v>0</v>
      </c>
      <c r="M492" s="3">
        <f>IFERROR(__xludf.DUMMYFUNCTION("IFERROR(IF(J492="""",0,INDEX(FILTER($Q$2:Q491,$C$2:C491=J492,$G$2:G491=G492),ROWS(FILTER($Q$2:Q491,$C$2:C491=J492,$G$2:G491=G492)),1)),1500)"),0.0)</f>
        <v>0</v>
      </c>
      <c r="N492" s="3">
        <f>IFERROR(__xludf.DUMMYFUNCTION("IFERROR(INDEX(FILTER($Q$2:Q491,$C$2:C491=C492,$G$2:G491=G492),ROWS(FILTER($Q$2:Q491,$C$2:C491=C492,$G$2:G491=G492)),1),1500)"),204.0)</f>
        <v>204</v>
      </c>
      <c r="O492" s="3">
        <f t="shared" si="3"/>
        <v>0</v>
      </c>
      <c r="P492" s="9">
        <f t="shared" si="1"/>
        <v>-24</v>
      </c>
      <c r="Q492" s="5">
        <f t="shared" si="2"/>
        <v>180</v>
      </c>
    </row>
    <row r="493">
      <c r="H493" s="3" t="str">
        <f>IFERROR(__xludf.DUMMYFUNCTION("IFERROR(TRIM(INDEX(SPLIT(E493,"" + ""),1)),"""")"),"")</f>
        <v/>
      </c>
      <c r="I493" s="3" t="str">
        <f>IFERROR(__xludf.DUMMYFUNCTION("IFERROR(TRIM(INDEX(SPLIT(E493,"" + ""),2)),"""")"),"")</f>
        <v/>
      </c>
      <c r="J493" s="5" t="str">
        <f>IFERROR(__xludf.DUMMYFUNCTION("IFERROR(TRIM(INDEX(SPLIT(E493,"" + ""),3)),"""")"),"")</f>
        <v/>
      </c>
      <c r="K493" s="3">
        <f>IFERROR(__xludf.DUMMYFUNCTION("IFERROR(IF(H493="""",0,INDEX(FILTER($Q$2:Q492,$C$2:C492=H493,$G$2:G492=G493),ROWS(FILTER($Q$2:Q492,$C$2:C492=H493,$G$2:G492=G493)),1)),1500)"),0.0)</f>
        <v>0</v>
      </c>
      <c r="L493" s="3">
        <f>IFERROR(__xludf.DUMMYFUNCTION("IFERROR(IF(I493="""",0,INDEX(FILTER($Q$2:Q492,$C$2:C492=I493,$G$2:G492=G493),ROWS(FILTER($Q$2:Q492,$C$2:C492=I493,$G$2:G492=G493)),1)),1500)"),0.0)</f>
        <v>0</v>
      </c>
      <c r="M493" s="3">
        <f>IFERROR(__xludf.DUMMYFUNCTION("IFERROR(IF(J493="""",0,INDEX(FILTER($Q$2:Q492,$C$2:C492=J493,$G$2:G492=G493),ROWS(FILTER($Q$2:Q492,$C$2:C492=J493,$G$2:G492=G493)),1)),1500)"),0.0)</f>
        <v>0</v>
      </c>
      <c r="N493" s="3">
        <f>IFERROR(__xludf.DUMMYFUNCTION("IFERROR(INDEX(FILTER($Q$2:Q492,$C$2:C492=C493,$G$2:G492=G493),ROWS(FILTER($Q$2:Q492,$C$2:C492=C493,$G$2:G492=G493)),1),1500)"),180.0)</f>
        <v>180</v>
      </c>
      <c r="O493" s="3">
        <f t="shared" si="3"/>
        <v>0</v>
      </c>
      <c r="P493" s="9">
        <f t="shared" si="1"/>
        <v>-24</v>
      </c>
      <c r="Q493" s="5">
        <f t="shared" si="2"/>
        <v>156</v>
      </c>
    </row>
    <row r="494">
      <c r="H494" s="3" t="str">
        <f>IFERROR(__xludf.DUMMYFUNCTION("IFERROR(TRIM(INDEX(SPLIT(E494,"" + ""),1)),"""")"),"")</f>
        <v/>
      </c>
      <c r="I494" s="3" t="str">
        <f>IFERROR(__xludf.DUMMYFUNCTION("IFERROR(TRIM(INDEX(SPLIT(E494,"" + ""),2)),"""")"),"")</f>
        <v/>
      </c>
      <c r="J494" s="5" t="str">
        <f>IFERROR(__xludf.DUMMYFUNCTION("IFERROR(TRIM(INDEX(SPLIT(E494,"" + ""),3)),"""")"),"")</f>
        <v/>
      </c>
      <c r="K494" s="3">
        <f>IFERROR(__xludf.DUMMYFUNCTION("IFERROR(IF(H494="""",0,INDEX(FILTER($Q$2:Q493,$C$2:C493=H494,$G$2:G493=G494),ROWS(FILTER($Q$2:Q493,$C$2:C493=H494,$G$2:G493=G494)),1)),1500)"),0.0)</f>
        <v>0</v>
      </c>
      <c r="L494" s="3">
        <f>IFERROR(__xludf.DUMMYFUNCTION("IFERROR(IF(I494="""",0,INDEX(FILTER($Q$2:Q493,$C$2:C493=I494,$G$2:G493=G494),ROWS(FILTER($Q$2:Q493,$C$2:C493=I494,$G$2:G493=G494)),1)),1500)"),0.0)</f>
        <v>0</v>
      </c>
      <c r="M494" s="3">
        <f>IFERROR(__xludf.DUMMYFUNCTION("IFERROR(IF(J494="""",0,INDEX(FILTER($Q$2:Q493,$C$2:C493=J494,$G$2:G493=G494),ROWS(FILTER($Q$2:Q493,$C$2:C493=J494,$G$2:G493=G494)),1)),1500)"),0.0)</f>
        <v>0</v>
      </c>
      <c r="N494" s="3">
        <f>IFERROR(__xludf.DUMMYFUNCTION("IFERROR(INDEX(FILTER($Q$2:Q493,$C$2:C493=C494,$G$2:G493=G494),ROWS(FILTER($Q$2:Q493,$C$2:C493=C494,$G$2:G493=G494)),1),1500)"),156.0)</f>
        <v>156</v>
      </c>
      <c r="O494" s="3">
        <f t="shared" si="3"/>
        <v>0</v>
      </c>
      <c r="P494" s="9">
        <f t="shared" si="1"/>
        <v>-23</v>
      </c>
      <c r="Q494" s="5">
        <f t="shared" si="2"/>
        <v>133</v>
      </c>
    </row>
    <row r="495">
      <c r="H495" s="3" t="str">
        <f>IFERROR(__xludf.DUMMYFUNCTION("IFERROR(TRIM(INDEX(SPLIT(E495,"" + ""),1)),"""")"),"")</f>
        <v/>
      </c>
      <c r="I495" s="3" t="str">
        <f>IFERROR(__xludf.DUMMYFUNCTION("IFERROR(TRIM(INDEX(SPLIT(E495,"" + ""),2)),"""")"),"")</f>
        <v/>
      </c>
      <c r="J495" s="5" t="str">
        <f>IFERROR(__xludf.DUMMYFUNCTION("IFERROR(TRIM(INDEX(SPLIT(E495,"" + ""),3)),"""")"),"")</f>
        <v/>
      </c>
      <c r="K495" s="3">
        <f>IFERROR(__xludf.DUMMYFUNCTION("IFERROR(IF(H495="""",0,INDEX(FILTER($Q$2:Q494,$C$2:C494=H495,$G$2:G494=G495),ROWS(FILTER($Q$2:Q494,$C$2:C494=H495,$G$2:G494=G495)),1)),1500)"),0.0)</f>
        <v>0</v>
      </c>
      <c r="L495" s="3">
        <f>IFERROR(__xludf.DUMMYFUNCTION("IFERROR(IF(I495="""",0,INDEX(FILTER($Q$2:Q494,$C$2:C494=I495,$G$2:G494=G495),ROWS(FILTER($Q$2:Q494,$C$2:C494=I495,$G$2:G494=G495)),1)),1500)"),0.0)</f>
        <v>0</v>
      </c>
      <c r="M495" s="3">
        <f>IFERROR(__xludf.DUMMYFUNCTION("IFERROR(IF(J495="""",0,INDEX(FILTER($Q$2:Q494,$C$2:C494=J495,$G$2:G494=G495),ROWS(FILTER($Q$2:Q494,$C$2:C494=J495,$G$2:G494=G495)),1)),1500)"),0.0)</f>
        <v>0</v>
      </c>
      <c r="N495" s="3">
        <f>IFERROR(__xludf.DUMMYFUNCTION("IFERROR(INDEX(FILTER($Q$2:Q494,$C$2:C494=C495,$G$2:G494=G495),ROWS(FILTER($Q$2:Q494,$C$2:C494=C495,$G$2:G494=G495)),1),1500)"),133.0)</f>
        <v>133</v>
      </c>
      <c r="O495" s="3">
        <f t="shared" si="3"/>
        <v>0</v>
      </c>
      <c r="P495" s="9">
        <f t="shared" si="1"/>
        <v>-22</v>
      </c>
      <c r="Q495" s="5">
        <f t="shared" si="2"/>
        <v>111</v>
      </c>
    </row>
    <row r="496">
      <c r="H496" s="3" t="str">
        <f>IFERROR(__xludf.DUMMYFUNCTION("IFERROR(TRIM(INDEX(SPLIT(E496,"" + ""),1)),"""")"),"")</f>
        <v/>
      </c>
      <c r="I496" s="3" t="str">
        <f>IFERROR(__xludf.DUMMYFUNCTION("IFERROR(TRIM(INDEX(SPLIT(E496,"" + ""),2)),"""")"),"")</f>
        <v/>
      </c>
      <c r="J496" s="5" t="str">
        <f>IFERROR(__xludf.DUMMYFUNCTION("IFERROR(TRIM(INDEX(SPLIT(E496,"" + ""),3)),"""")"),"")</f>
        <v/>
      </c>
      <c r="K496" s="3">
        <f>IFERROR(__xludf.DUMMYFUNCTION("IFERROR(IF(H496="""",0,INDEX(FILTER($Q$2:Q495,$C$2:C495=H496,$G$2:G495=G496),ROWS(FILTER($Q$2:Q495,$C$2:C495=H496,$G$2:G495=G496)),1)),1500)"),0.0)</f>
        <v>0</v>
      </c>
      <c r="L496" s="3">
        <f>IFERROR(__xludf.DUMMYFUNCTION("IFERROR(IF(I496="""",0,INDEX(FILTER($Q$2:Q495,$C$2:C495=I496,$G$2:G495=G496),ROWS(FILTER($Q$2:Q495,$C$2:C495=I496,$G$2:G495=G496)),1)),1500)"),0.0)</f>
        <v>0</v>
      </c>
      <c r="M496" s="3">
        <f>IFERROR(__xludf.DUMMYFUNCTION("IFERROR(IF(J496="""",0,INDEX(FILTER($Q$2:Q495,$C$2:C495=J496,$G$2:G495=G496),ROWS(FILTER($Q$2:Q495,$C$2:C495=J496,$G$2:G495=G496)),1)),1500)"),0.0)</f>
        <v>0</v>
      </c>
      <c r="N496" s="3">
        <f>IFERROR(__xludf.DUMMYFUNCTION("IFERROR(INDEX(FILTER($Q$2:Q495,$C$2:C495=C496,$G$2:G495=G496),ROWS(FILTER($Q$2:Q495,$C$2:C495=C496,$G$2:G495=G496)),1),1500)"),111.0)</f>
        <v>111</v>
      </c>
      <c r="O496" s="3">
        <f t="shared" si="3"/>
        <v>0</v>
      </c>
      <c r="P496" s="9">
        <f t="shared" si="1"/>
        <v>-21</v>
      </c>
      <c r="Q496" s="5">
        <f t="shared" si="2"/>
        <v>90</v>
      </c>
    </row>
    <row r="497">
      <c r="H497" s="3" t="str">
        <f>IFERROR(__xludf.DUMMYFUNCTION("IFERROR(TRIM(INDEX(SPLIT(E497,"" + ""),1)),"""")"),"")</f>
        <v/>
      </c>
      <c r="I497" s="3" t="str">
        <f>IFERROR(__xludf.DUMMYFUNCTION("IFERROR(TRIM(INDEX(SPLIT(E497,"" + ""),2)),"""")"),"")</f>
        <v/>
      </c>
      <c r="J497" s="5" t="str">
        <f>IFERROR(__xludf.DUMMYFUNCTION("IFERROR(TRIM(INDEX(SPLIT(E497,"" + ""),3)),"""")"),"")</f>
        <v/>
      </c>
      <c r="K497" s="3">
        <f>IFERROR(__xludf.DUMMYFUNCTION("IFERROR(IF(H497="""",0,INDEX(FILTER($Q$2:Q496,$C$2:C496=H497,$G$2:G496=G497),ROWS(FILTER($Q$2:Q496,$C$2:C496=H497,$G$2:G496=G497)),1)),1500)"),0.0)</f>
        <v>0</v>
      </c>
      <c r="L497" s="3">
        <f>IFERROR(__xludf.DUMMYFUNCTION("IFERROR(IF(I497="""",0,INDEX(FILTER($Q$2:Q496,$C$2:C496=I497,$G$2:G496=G497),ROWS(FILTER($Q$2:Q496,$C$2:C496=I497,$G$2:G496=G497)),1)),1500)"),0.0)</f>
        <v>0</v>
      </c>
      <c r="M497" s="3">
        <f>IFERROR(__xludf.DUMMYFUNCTION("IFERROR(IF(J497="""",0,INDEX(FILTER($Q$2:Q496,$C$2:C496=J497,$G$2:G496=G497),ROWS(FILTER($Q$2:Q496,$C$2:C496=J497,$G$2:G496=G497)),1)),1500)"),0.0)</f>
        <v>0</v>
      </c>
      <c r="N497" s="3">
        <f>IFERROR(__xludf.DUMMYFUNCTION("IFERROR(INDEX(FILTER($Q$2:Q496,$C$2:C496=C497,$G$2:G496=G497),ROWS(FILTER($Q$2:Q496,$C$2:C496=C497,$G$2:G496=G497)),1),1500)"),90.0)</f>
        <v>90</v>
      </c>
      <c r="O497" s="3">
        <f t="shared" si="3"/>
        <v>0</v>
      </c>
      <c r="P497" s="9">
        <f t="shared" si="1"/>
        <v>-20</v>
      </c>
      <c r="Q497" s="5">
        <f t="shared" si="2"/>
        <v>70</v>
      </c>
    </row>
    <row r="498">
      <c r="H498" s="3" t="str">
        <f>IFERROR(__xludf.DUMMYFUNCTION("IFERROR(TRIM(INDEX(SPLIT(E498,"" + ""),1)),"""")"),"")</f>
        <v/>
      </c>
      <c r="I498" s="3" t="str">
        <f>IFERROR(__xludf.DUMMYFUNCTION("IFERROR(TRIM(INDEX(SPLIT(E498,"" + ""),2)),"""")"),"")</f>
        <v/>
      </c>
      <c r="J498" s="5" t="str">
        <f>IFERROR(__xludf.DUMMYFUNCTION("IFERROR(TRIM(INDEX(SPLIT(E498,"" + ""),3)),"""")"),"")</f>
        <v/>
      </c>
      <c r="K498" s="3">
        <f>IFERROR(__xludf.DUMMYFUNCTION("IFERROR(IF(H498="""",0,INDEX(FILTER($Q$2:Q497,$C$2:C497=H498,$G$2:G497=G498),ROWS(FILTER($Q$2:Q497,$C$2:C497=H498,$G$2:G497=G498)),1)),1500)"),0.0)</f>
        <v>0</v>
      </c>
      <c r="L498" s="3">
        <f>IFERROR(__xludf.DUMMYFUNCTION("IFERROR(IF(I498="""",0,INDEX(FILTER($Q$2:Q497,$C$2:C497=I498,$G$2:G497=G498),ROWS(FILTER($Q$2:Q497,$C$2:C497=I498,$G$2:G497=G498)),1)),1500)"),0.0)</f>
        <v>0</v>
      </c>
      <c r="M498" s="3">
        <f>IFERROR(__xludf.DUMMYFUNCTION("IFERROR(IF(J498="""",0,INDEX(FILTER($Q$2:Q497,$C$2:C497=J498,$G$2:G497=G498),ROWS(FILTER($Q$2:Q497,$C$2:C497=J498,$G$2:G497=G498)),1)),1500)"),0.0)</f>
        <v>0</v>
      </c>
      <c r="N498" s="3">
        <f>IFERROR(__xludf.DUMMYFUNCTION("IFERROR(INDEX(FILTER($Q$2:Q497,$C$2:C497=C498,$G$2:G497=G498),ROWS(FILTER($Q$2:Q497,$C$2:C497=C498,$G$2:G497=G498)),1),1500)"),70.0)</f>
        <v>70</v>
      </c>
      <c r="O498" s="3">
        <f t="shared" si="3"/>
        <v>0</v>
      </c>
      <c r="P498" s="9">
        <f t="shared" si="1"/>
        <v>-19</v>
      </c>
      <c r="Q498" s="5">
        <f t="shared" si="2"/>
        <v>51</v>
      </c>
    </row>
    <row r="499">
      <c r="H499" s="3" t="str">
        <f>IFERROR(__xludf.DUMMYFUNCTION("IFERROR(TRIM(INDEX(SPLIT(E499,"" + ""),1)),"""")"),"")</f>
        <v/>
      </c>
      <c r="I499" s="3" t="str">
        <f>IFERROR(__xludf.DUMMYFUNCTION("IFERROR(TRIM(INDEX(SPLIT(E499,"" + ""),2)),"""")"),"")</f>
        <v/>
      </c>
      <c r="J499" s="5" t="str">
        <f>IFERROR(__xludf.DUMMYFUNCTION("IFERROR(TRIM(INDEX(SPLIT(E499,"" + ""),3)),"""")"),"")</f>
        <v/>
      </c>
      <c r="K499" s="3">
        <f>IFERROR(__xludf.DUMMYFUNCTION("IFERROR(IF(H499="""",0,INDEX(FILTER($Q$2:Q498,$C$2:C498=H499,$G$2:G498=G499),ROWS(FILTER($Q$2:Q498,$C$2:C498=H499,$G$2:G498=G499)),1)),1500)"),0.0)</f>
        <v>0</v>
      </c>
      <c r="L499" s="3">
        <f>IFERROR(__xludf.DUMMYFUNCTION("IFERROR(IF(I499="""",0,INDEX(FILTER($Q$2:Q498,$C$2:C498=I499,$G$2:G498=G499),ROWS(FILTER($Q$2:Q498,$C$2:C498=I499,$G$2:G498=G499)),1)),1500)"),0.0)</f>
        <v>0</v>
      </c>
      <c r="M499" s="3">
        <f>IFERROR(__xludf.DUMMYFUNCTION("IFERROR(IF(J499="""",0,INDEX(FILTER($Q$2:Q498,$C$2:C498=J499,$G$2:G498=G499),ROWS(FILTER($Q$2:Q498,$C$2:C498=J499,$G$2:G498=G499)),1)),1500)"),0.0)</f>
        <v>0</v>
      </c>
      <c r="N499" s="3">
        <f>IFERROR(__xludf.DUMMYFUNCTION("IFERROR(INDEX(FILTER($Q$2:Q498,$C$2:C498=C499,$G$2:G498=G499),ROWS(FILTER($Q$2:Q498,$C$2:C498=C499,$G$2:G498=G499)),1),1500)"),51.0)</f>
        <v>51</v>
      </c>
      <c r="O499" s="3">
        <f t="shared" si="3"/>
        <v>0</v>
      </c>
      <c r="P499" s="9">
        <f t="shared" si="1"/>
        <v>-18</v>
      </c>
      <c r="Q499" s="5">
        <f t="shared" si="2"/>
        <v>33</v>
      </c>
    </row>
    <row r="500">
      <c r="H500" s="3" t="str">
        <f>IFERROR(__xludf.DUMMYFUNCTION("IFERROR(TRIM(INDEX(SPLIT(E500,"" + ""),1)),"""")"),"")</f>
        <v/>
      </c>
      <c r="I500" s="3" t="str">
        <f>IFERROR(__xludf.DUMMYFUNCTION("IFERROR(TRIM(INDEX(SPLIT(E500,"" + ""),2)),"""")"),"")</f>
        <v/>
      </c>
      <c r="J500" s="5" t="str">
        <f>IFERROR(__xludf.DUMMYFUNCTION("IFERROR(TRIM(INDEX(SPLIT(E500,"" + ""),3)),"""")"),"")</f>
        <v/>
      </c>
      <c r="K500" s="3">
        <f>IFERROR(__xludf.DUMMYFUNCTION("IFERROR(IF(H500="""",0,INDEX(FILTER($Q$2:Q499,$C$2:C499=H500,$G$2:G499=G500),ROWS(FILTER($Q$2:Q499,$C$2:C499=H500,$G$2:G499=G500)),1)),1500)"),0.0)</f>
        <v>0</v>
      </c>
      <c r="L500" s="3">
        <f>IFERROR(__xludf.DUMMYFUNCTION("IFERROR(IF(I500="""",0,INDEX(FILTER($Q$2:Q499,$C$2:C499=I500,$G$2:G499=G500),ROWS(FILTER($Q$2:Q499,$C$2:C499=I500,$G$2:G499=G500)),1)),1500)"),0.0)</f>
        <v>0</v>
      </c>
      <c r="M500" s="3">
        <f>IFERROR(__xludf.DUMMYFUNCTION("IFERROR(IF(J500="""",0,INDEX(FILTER($Q$2:Q499,$C$2:C499=J500,$G$2:G499=G500),ROWS(FILTER($Q$2:Q499,$C$2:C499=J500,$G$2:G499=G500)),1)),1500)"),0.0)</f>
        <v>0</v>
      </c>
      <c r="N500" s="3">
        <f>IFERROR(__xludf.DUMMYFUNCTION("IFERROR(INDEX(FILTER($Q$2:Q499,$C$2:C499=C500,$G$2:G499=G500),ROWS(FILTER($Q$2:Q499,$C$2:C499=C500,$G$2:G499=G500)),1),1500)"),33.0)</f>
        <v>33</v>
      </c>
      <c r="O500" s="3">
        <f t="shared" si="3"/>
        <v>0</v>
      </c>
      <c r="P500" s="9">
        <f t="shared" si="1"/>
        <v>-18</v>
      </c>
      <c r="Q500" s="5">
        <f t="shared" si="2"/>
        <v>15</v>
      </c>
    </row>
    <row r="501">
      <c r="H501" s="3" t="str">
        <f>IFERROR(__xludf.DUMMYFUNCTION("IFERROR(TRIM(INDEX(SPLIT(E501,"" + ""),1)),"""")"),"")</f>
        <v/>
      </c>
      <c r="I501" s="3" t="str">
        <f>IFERROR(__xludf.DUMMYFUNCTION("IFERROR(TRIM(INDEX(SPLIT(E501,"" + ""),2)),"""")"),"")</f>
        <v/>
      </c>
      <c r="J501" s="5" t="str">
        <f>IFERROR(__xludf.DUMMYFUNCTION("IFERROR(TRIM(INDEX(SPLIT(E501,"" + ""),3)),"""")"),"")</f>
        <v/>
      </c>
      <c r="K501" s="3">
        <f>IFERROR(__xludf.DUMMYFUNCTION("IFERROR(IF(H501="""",0,INDEX(FILTER($Q$2:Q500,$C$2:C500=H501,$G$2:G500=G501),ROWS(FILTER($Q$2:Q500,$C$2:C500=H501,$G$2:G500=G501)),1)),1500)"),0.0)</f>
        <v>0</v>
      </c>
      <c r="L501" s="3">
        <f>IFERROR(__xludf.DUMMYFUNCTION("IFERROR(IF(I501="""",0,INDEX(FILTER($Q$2:Q500,$C$2:C500=I501,$G$2:G500=G501),ROWS(FILTER($Q$2:Q500,$C$2:C500=I501,$G$2:G500=G501)),1)),1500)"),0.0)</f>
        <v>0</v>
      </c>
      <c r="M501" s="3">
        <f>IFERROR(__xludf.DUMMYFUNCTION("IFERROR(IF(J501="""",0,INDEX(FILTER($Q$2:Q500,$C$2:C500=J501,$G$2:G500=G501),ROWS(FILTER($Q$2:Q500,$C$2:C500=J501,$G$2:G500=G501)),1)),1500)"),0.0)</f>
        <v>0</v>
      </c>
      <c r="N501" s="3">
        <f>IFERROR(__xludf.DUMMYFUNCTION("IFERROR(INDEX(FILTER($Q$2:Q500,$C$2:C500=C501,$G$2:G500=G501),ROWS(FILTER($Q$2:Q500,$C$2:C500=C501,$G$2:G500=G501)),1),1500)"),15.0)</f>
        <v>15</v>
      </c>
      <c r="O501" s="3">
        <f t="shared" si="3"/>
        <v>0</v>
      </c>
      <c r="P501" s="9">
        <f t="shared" si="1"/>
        <v>-17</v>
      </c>
      <c r="Q501" s="5">
        <f t="shared" si="2"/>
        <v>-2</v>
      </c>
    </row>
    <row r="502">
      <c r="H502" s="3" t="str">
        <f>IFERROR(__xludf.DUMMYFUNCTION("IFERROR(TRIM(INDEX(SPLIT(E502,"" + ""),1)),"""")"),"")</f>
        <v/>
      </c>
      <c r="I502" s="3" t="str">
        <f>IFERROR(__xludf.DUMMYFUNCTION("IFERROR(TRIM(INDEX(SPLIT(E502,"" + ""),2)),"""")"),"")</f>
        <v/>
      </c>
      <c r="J502" s="5" t="str">
        <f>IFERROR(__xludf.DUMMYFUNCTION("IFERROR(TRIM(INDEX(SPLIT(E502,"" + ""),3)),"""")"),"")</f>
        <v/>
      </c>
      <c r="K502" s="3">
        <f>IFERROR(__xludf.DUMMYFUNCTION("IFERROR(IF(H502="""",0,INDEX(FILTER($Q$2:Q501,$C$2:C501=H502,$G$2:G501=G502),ROWS(FILTER($Q$2:Q501,$C$2:C501=H502,$G$2:G501=G502)),1)),1500)"),0.0)</f>
        <v>0</v>
      </c>
      <c r="L502" s="3">
        <f>IFERROR(__xludf.DUMMYFUNCTION("IFERROR(IF(I502="""",0,INDEX(FILTER($Q$2:Q501,$C$2:C501=I502,$G$2:G501=G502),ROWS(FILTER($Q$2:Q501,$C$2:C501=I502,$G$2:G501=G502)),1)),1500)"),0.0)</f>
        <v>0</v>
      </c>
      <c r="M502" s="3">
        <f>IFERROR(__xludf.DUMMYFUNCTION("IFERROR(IF(J502="""",0,INDEX(FILTER($Q$2:Q501,$C$2:C501=J502,$G$2:G501=G502),ROWS(FILTER($Q$2:Q501,$C$2:C501=J502,$G$2:G501=G502)),1)),1500)"),0.0)</f>
        <v>0</v>
      </c>
      <c r="N502" s="3">
        <f>IFERROR(__xludf.DUMMYFUNCTION("IFERROR(INDEX(FILTER($Q$2:Q501,$C$2:C501=C502,$G$2:G501=G502),ROWS(FILTER($Q$2:Q501,$C$2:C501=C502,$G$2:G501=G502)),1),1500)"),-2.0)</f>
        <v>-2</v>
      </c>
      <c r="O502" s="3">
        <f t="shared" si="3"/>
        <v>0</v>
      </c>
      <c r="P502" s="9">
        <f t="shared" si="1"/>
        <v>-16</v>
      </c>
      <c r="Q502" s="5">
        <f t="shared" si="2"/>
        <v>-18</v>
      </c>
    </row>
    <row r="503">
      <c r="H503" s="3" t="str">
        <f>IFERROR(__xludf.DUMMYFUNCTION("IFERROR(TRIM(INDEX(SPLIT(E503,"" + ""),1)),"""")"),"")</f>
        <v/>
      </c>
      <c r="I503" s="3" t="str">
        <f>IFERROR(__xludf.DUMMYFUNCTION("IFERROR(TRIM(INDEX(SPLIT(E503,"" + ""),2)),"""")"),"")</f>
        <v/>
      </c>
      <c r="J503" s="5" t="str">
        <f>IFERROR(__xludf.DUMMYFUNCTION("IFERROR(TRIM(INDEX(SPLIT(E503,"" + ""),3)),"""")"),"")</f>
        <v/>
      </c>
      <c r="K503" s="3">
        <f>IFERROR(__xludf.DUMMYFUNCTION("IFERROR(IF(H503="""",0,INDEX(FILTER($Q$2:Q502,$C$2:C502=H503,$G$2:G502=G503),ROWS(FILTER($Q$2:Q502,$C$2:C502=H503,$G$2:G502=G503)),1)),1500)"),0.0)</f>
        <v>0</v>
      </c>
      <c r="L503" s="3">
        <f>IFERROR(__xludf.DUMMYFUNCTION("IFERROR(IF(I503="""",0,INDEX(FILTER($Q$2:Q502,$C$2:C502=I503,$G$2:G502=G503),ROWS(FILTER($Q$2:Q502,$C$2:C502=I503,$G$2:G502=G503)),1)),1500)"),0.0)</f>
        <v>0</v>
      </c>
      <c r="M503" s="3">
        <f>IFERROR(__xludf.DUMMYFUNCTION("IFERROR(IF(J503="""",0,INDEX(FILTER($Q$2:Q502,$C$2:C502=J503,$G$2:G502=G503),ROWS(FILTER($Q$2:Q502,$C$2:C502=J503,$G$2:G502=G503)),1)),1500)"),0.0)</f>
        <v>0</v>
      </c>
      <c r="N503" s="3">
        <f>IFERROR(__xludf.DUMMYFUNCTION("IFERROR(INDEX(FILTER($Q$2:Q502,$C$2:C502=C503,$G$2:G502=G503),ROWS(FILTER($Q$2:Q502,$C$2:C502=C503,$G$2:G502=G503)),1),1500)"),-18.0)</f>
        <v>-18</v>
      </c>
      <c r="O503" s="3">
        <f t="shared" si="3"/>
        <v>0</v>
      </c>
      <c r="P503" s="9">
        <f t="shared" si="1"/>
        <v>-15</v>
      </c>
      <c r="Q503" s="5">
        <f t="shared" si="2"/>
        <v>-33</v>
      </c>
    </row>
    <row r="504">
      <c r="H504" s="3" t="str">
        <f>IFERROR(__xludf.DUMMYFUNCTION("IFERROR(TRIM(INDEX(SPLIT(E504,"" + ""),1)),"""")"),"")</f>
        <v/>
      </c>
      <c r="I504" s="3" t="str">
        <f>IFERROR(__xludf.DUMMYFUNCTION("IFERROR(TRIM(INDEX(SPLIT(E504,"" + ""),2)),"""")"),"")</f>
        <v/>
      </c>
      <c r="J504" s="5" t="str">
        <f>IFERROR(__xludf.DUMMYFUNCTION("IFERROR(TRIM(INDEX(SPLIT(E504,"" + ""),3)),"""")"),"")</f>
        <v/>
      </c>
      <c r="K504" s="3">
        <f>IFERROR(__xludf.DUMMYFUNCTION("IFERROR(IF(H504="""",0,INDEX(FILTER($Q$2:Q503,$C$2:C503=H504,$G$2:G503=G504),ROWS(FILTER($Q$2:Q503,$C$2:C503=H504,$G$2:G503=G504)),1)),1500)"),0.0)</f>
        <v>0</v>
      </c>
      <c r="L504" s="3">
        <f>IFERROR(__xludf.DUMMYFUNCTION("IFERROR(IF(I504="""",0,INDEX(FILTER($Q$2:Q503,$C$2:C503=I504,$G$2:G503=G504),ROWS(FILTER($Q$2:Q503,$C$2:C503=I504,$G$2:G503=G504)),1)),1500)"),0.0)</f>
        <v>0</v>
      </c>
      <c r="M504" s="3">
        <f>IFERROR(__xludf.DUMMYFUNCTION("IFERROR(IF(J504="""",0,INDEX(FILTER($Q$2:Q503,$C$2:C503=J504,$G$2:G503=G504),ROWS(FILTER($Q$2:Q503,$C$2:C503=J504,$G$2:G503=G504)),1)),1500)"),0.0)</f>
        <v>0</v>
      </c>
      <c r="N504" s="3">
        <f>IFERROR(__xludf.DUMMYFUNCTION("IFERROR(INDEX(FILTER($Q$2:Q503,$C$2:C503=C504,$G$2:G503=G504),ROWS(FILTER($Q$2:Q503,$C$2:C503=C504,$G$2:G503=G504)),1),1500)"),-33.0)</f>
        <v>-33</v>
      </c>
      <c r="O504" s="3">
        <f t="shared" si="3"/>
        <v>0</v>
      </c>
      <c r="P504" s="9">
        <f t="shared" si="1"/>
        <v>-14</v>
      </c>
      <c r="Q504" s="5">
        <f t="shared" si="2"/>
        <v>-47</v>
      </c>
    </row>
    <row r="505">
      <c r="H505" s="3" t="str">
        <f>IFERROR(__xludf.DUMMYFUNCTION("IFERROR(TRIM(INDEX(SPLIT(E505,"" + ""),1)),"""")"),"")</f>
        <v/>
      </c>
      <c r="I505" s="3" t="str">
        <f>IFERROR(__xludf.DUMMYFUNCTION("IFERROR(TRIM(INDEX(SPLIT(E505,"" + ""),2)),"""")"),"")</f>
        <v/>
      </c>
      <c r="J505" s="5" t="str">
        <f>IFERROR(__xludf.DUMMYFUNCTION("IFERROR(TRIM(INDEX(SPLIT(E505,"" + ""),3)),"""")"),"")</f>
        <v/>
      </c>
      <c r="K505" s="3">
        <f>IFERROR(__xludf.DUMMYFUNCTION("IFERROR(IF(H505="""",0,INDEX(FILTER($Q$2:Q504,$C$2:C504=H505,$G$2:G504=G505),ROWS(FILTER($Q$2:Q504,$C$2:C504=H505,$G$2:G504=G505)),1)),1500)"),0.0)</f>
        <v>0</v>
      </c>
      <c r="L505" s="3">
        <f>IFERROR(__xludf.DUMMYFUNCTION("IFERROR(IF(I505="""",0,INDEX(FILTER($Q$2:Q504,$C$2:C504=I505,$G$2:G504=G505),ROWS(FILTER($Q$2:Q504,$C$2:C504=I505,$G$2:G504=G505)),1)),1500)"),0.0)</f>
        <v>0</v>
      </c>
      <c r="M505" s="3">
        <f>IFERROR(__xludf.DUMMYFUNCTION("IFERROR(IF(J505="""",0,INDEX(FILTER($Q$2:Q504,$C$2:C504=J505,$G$2:G504=G505),ROWS(FILTER($Q$2:Q504,$C$2:C504=J505,$G$2:G504=G505)),1)),1500)"),0.0)</f>
        <v>0</v>
      </c>
      <c r="N505" s="3">
        <f>IFERROR(__xludf.DUMMYFUNCTION("IFERROR(INDEX(FILTER($Q$2:Q504,$C$2:C504=C505,$G$2:G504=G505),ROWS(FILTER($Q$2:Q504,$C$2:C504=C505,$G$2:G504=G505)),1),1500)"),-47.0)</f>
        <v>-47</v>
      </c>
      <c r="O505" s="3">
        <f t="shared" si="3"/>
        <v>0</v>
      </c>
      <c r="P505" s="9">
        <f t="shared" si="1"/>
        <v>-14</v>
      </c>
      <c r="Q505" s="5">
        <f t="shared" si="2"/>
        <v>-61</v>
      </c>
    </row>
    <row r="506">
      <c r="H506" s="3" t="str">
        <f>IFERROR(__xludf.DUMMYFUNCTION("IFERROR(TRIM(INDEX(SPLIT(E506,"" + ""),1)),"""")"),"")</f>
        <v/>
      </c>
      <c r="I506" s="3" t="str">
        <f>IFERROR(__xludf.DUMMYFUNCTION("IFERROR(TRIM(INDEX(SPLIT(E506,"" + ""),2)),"""")"),"")</f>
        <v/>
      </c>
      <c r="J506" s="5" t="str">
        <f>IFERROR(__xludf.DUMMYFUNCTION("IFERROR(TRIM(INDEX(SPLIT(E506,"" + ""),3)),"""")"),"")</f>
        <v/>
      </c>
      <c r="K506" s="3">
        <f>IFERROR(__xludf.DUMMYFUNCTION("IFERROR(IF(H506="""",0,INDEX(FILTER($Q$2:Q505,$C$2:C505=H506,$G$2:G505=G506),ROWS(FILTER($Q$2:Q505,$C$2:C505=H506,$G$2:G505=G506)),1)),1500)"),0.0)</f>
        <v>0</v>
      </c>
      <c r="L506" s="3">
        <f>IFERROR(__xludf.DUMMYFUNCTION("IFERROR(IF(I506="""",0,INDEX(FILTER($Q$2:Q505,$C$2:C505=I506,$G$2:G505=G506),ROWS(FILTER($Q$2:Q505,$C$2:C505=I506,$G$2:G505=G506)),1)),1500)"),0.0)</f>
        <v>0</v>
      </c>
      <c r="M506" s="3">
        <f>IFERROR(__xludf.DUMMYFUNCTION("IFERROR(IF(J506="""",0,INDEX(FILTER($Q$2:Q505,$C$2:C505=J506,$G$2:G505=G506),ROWS(FILTER($Q$2:Q505,$C$2:C505=J506,$G$2:G505=G506)),1)),1500)"),0.0)</f>
        <v>0</v>
      </c>
      <c r="N506" s="3">
        <f>IFERROR(__xludf.DUMMYFUNCTION("IFERROR(INDEX(FILTER($Q$2:Q505,$C$2:C505=C506,$G$2:G505=G506),ROWS(FILTER($Q$2:Q505,$C$2:C505=C506,$G$2:G505=G506)),1),1500)"),-61.0)</f>
        <v>-61</v>
      </c>
      <c r="O506" s="3">
        <f t="shared" si="3"/>
        <v>0</v>
      </c>
      <c r="P506" s="9">
        <f t="shared" si="1"/>
        <v>-13</v>
      </c>
      <c r="Q506" s="5">
        <f t="shared" si="2"/>
        <v>-74</v>
      </c>
    </row>
    <row r="507">
      <c r="H507" s="3" t="str">
        <f>IFERROR(__xludf.DUMMYFUNCTION("IFERROR(TRIM(INDEX(SPLIT(E507,"" + ""),1)),"""")"),"")</f>
        <v/>
      </c>
      <c r="I507" s="3" t="str">
        <f>IFERROR(__xludf.DUMMYFUNCTION("IFERROR(TRIM(INDEX(SPLIT(E507,"" + ""),2)),"""")"),"")</f>
        <v/>
      </c>
      <c r="J507" s="5" t="str">
        <f>IFERROR(__xludf.DUMMYFUNCTION("IFERROR(TRIM(INDEX(SPLIT(E507,"" + ""),3)),"""")"),"")</f>
        <v/>
      </c>
      <c r="K507" s="3">
        <f>IFERROR(__xludf.DUMMYFUNCTION("IFERROR(IF(H507="""",0,INDEX(FILTER($Q$2:Q506,$C$2:C506=H507,$G$2:G506=G507),ROWS(FILTER($Q$2:Q506,$C$2:C506=H507,$G$2:G506=G507)),1)),1500)"),0.0)</f>
        <v>0</v>
      </c>
      <c r="L507" s="3">
        <f>IFERROR(__xludf.DUMMYFUNCTION("IFERROR(IF(I507="""",0,INDEX(FILTER($Q$2:Q506,$C$2:C506=I507,$G$2:G506=G507),ROWS(FILTER($Q$2:Q506,$C$2:C506=I507,$G$2:G506=G507)),1)),1500)"),0.0)</f>
        <v>0</v>
      </c>
      <c r="M507" s="3">
        <f>IFERROR(__xludf.DUMMYFUNCTION("IFERROR(IF(J507="""",0,INDEX(FILTER($Q$2:Q506,$C$2:C506=J507,$G$2:G506=G507),ROWS(FILTER($Q$2:Q506,$C$2:C506=J507,$G$2:G506=G507)),1)),1500)"),0.0)</f>
        <v>0</v>
      </c>
      <c r="N507" s="3">
        <f>IFERROR(__xludf.DUMMYFUNCTION("IFERROR(INDEX(FILTER($Q$2:Q506,$C$2:C506=C507,$G$2:G506=G507),ROWS(FILTER($Q$2:Q506,$C$2:C506=C507,$G$2:G506=G507)),1),1500)"),-74.0)</f>
        <v>-74</v>
      </c>
      <c r="O507" s="3">
        <f t="shared" si="3"/>
        <v>0</v>
      </c>
      <c r="P507" s="9">
        <f t="shared" si="1"/>
        <v>-13</v>
      </c>
      <c r="Q507" s="5">
        <f t="shared" si="2"/>
        <v>-87</v>
      </c>
    </row>
    <row r="508">
      <c r="H508" s="3" t="str">
        <f>IFERROR(__xludf.DUMMYFUNCTION("IFERROR(TRIM(INDEX(SPLIT(E508,"" + ""),1)),"""")"),"")</f>
        <v/>
      </c>
      <c r="I508" s="3" t="str">
        <f>IFERROR(__xludf.DUMMYFUNCTION("IFERROR(TRIM(INDEX(SPLIT(E508,"" + ""),2)),"""")"),"")</f>
        <v/>
      </c>
      <c r="J508" s="5" t="str">
        <f>IFERROR(__xludf.DUMMYFUNCTION("IFERROR(TRIM(INDEX(SPLIT(E508,"" + ""),3)),"""")"),"")</f>
        <v/>
      </c>
      <c r="K508" s="3">
        <f>IFERROR(__xludf.DUMMYFUNCTION("IFERROR(IF(H508="""",0,INDEX(FILTER($Q$2:Q507,$C$2:C507=H508,$G$2:G507=G508),ROWS(FILTER($Q$2:Q507,$C$2:C507=H508,$G$2:G507=G508)),1)),1500)"),0.0)</f>
        <v>0</v>
      </c>
      <c r="L508" s="3">
        <f>IFERROR(__xludf.DUMMYFUNCTION("IFERROR(IF(I508="""",0,INDEX(FILTER($Q$2:Q507,$C$2:C507=I508,$G$2:G507=G508),ROWS(FILTER($Q$2:Q507,$C$2:C507=I508,$G$2:G507=G508)),1)),1500)"),0.0)</f>
        <v>0</v>
      </c>
      <c r="M508" s="3">
        <f>IFERROR(__xludf.DUMMYFUNCTION("IFERROR(IF(J508="""",0,INDEX(FILTER($Q$2:Q507,$C$2:C507=J508,$G$2:G507=G508),ROWS(FILTER($Q$2:Q507,$C$2:C507=J508,$G$2:G507=G508)),1)),1500)"),0.0)</f>
        <v>0</v>
      </c>
      <c r="N508" s="3">
        <f>IFERROR(__xludf.DUMMYFUNCTION("IFERROR(INDEX(FILTER($Q$2:Q507,$C$2:C507=C508,$G$2:G507=G508),ROWS(FILTER($Q$2:Q507,$C$2:C507=C508,$G$2:G507=G508)),1),1500)"),-87.0)</f>
        <v>-87</v>
      </c>
      <c r="O508" s="3">
        <f t="shared" si="3"/>
        <v>0</v>
      </c>
      <c r="P508" s="9">
        <f t="shared" si="1"/>
        <v>-12</v>
      </c>
      <c r="Q508" s="5">
        <f t="shared" si="2"/>
        <v>-99</v>
      </c>
    </row>
    <row r="509">
      <c r="H509" s="3" t="str">
        <f>IFERROR(__xludf.DUMMYFUNCTION("IFERROR(TRIM(INDEX(SPLIT(E509,"" + ""),1)),"""")"),"")</f>
        <v/>
      </c>
      <c r="I509" s="3" t="str">
        <f>IFERROR(__xludf.DUMMYFUNCTION("IFERROR(TRIM(INDEX(SPLIT(E509,"" + ""),2)),"""")"),"")</f>
        <v/>
      </c>
      <c r="J509" s="5" t="str">
        <f>IFERROR(__xludf.DUMMYFUNCTION("IFERROR(TRIM(INDEX(SPLIT(E509,"" + ""),3)),"""")"),"")</f>
        <v/>
      </c>
      <c r="K509" s="3">
        <f>IFERROR(__xludf.DUMMYFUNCTION("IFERROR(IF(H509="""",0,INDEX(FILTER($Q$2:Q508,$C$2:C508=H509,$G$2:G508=G509),ROWS(FILTER($Q$2:Q508,$C$2:C508=H509,$G$2:G508=G509)),1)),1500)"),0.0)</f>
        <v>0</v>
      </c>
      <c r="L509" s="3">
        <f>IFERROR(__xludf.DUMMYFUNCTION("IFERROR(IF(I509="""",0,INDEX(FILTER($Q$2:Q508,$C$2:C508=I509,$G$2:G508=G509),ROWS(FILTER($Q$2:Q508,$C$2:C508=I509,$G$2:G508=G509)),1)),1500)"),0.0)</f>
        <v>0</v>
      </c>
      <c r="M509" s="3">
        <f>IFERROR(__xludf.DUMMYFUNCTION("IFERROR(IF(J509="""",0,INDEX(FILTER($Q$2:Q508,$C$2:C508=J509,$G$2:G508=G509),ROWS(FILTER($Q$2:Q508,$C$2:C508=J509,$G$2:G508=G509)),1)),1500)"),0.0)</f>
        <v>0</v>
      </c>
      <c r="N509" s="3">
        <f>IFERROR(__xludf.DUMMYFUNCTION("IFERROR(INDEX(FILTER($Q$2:Q508,$C$2:C508=C509,$G$2:G508=G509),ROWS(FILTER($Q$2:Q508,$C$2:C508=C509,$G$2:G508=G509)),1),1500)"),-99.0)</f>
        <v>-99</v>
      </c>
      <c r="O509" s="3">
        <f t="shared" si="3"/>
        <v>0</v>
      </c>
      <c r="P509" s="9">
        <f t="shared" si="1"/>
        <v>-12</v>
      </c>
      <c r="Q509" s="5">
        <f t="shared" si="2"/>
        <v>-111</v>
      </c>
    </row>
    <row r="510">
      <c r="H510" s="3" t="str">
        <f>IFERROR(__xludf.DUMMYFUNCTION("IFERROR(TRIM(INDEX(SPLIT(E510,"" + ""),1)),"""")"),"")</f>
        <v/>
      </c>
      <c r="I510" s="3" t="str">
        <f>IFERROR(__xludf.DUMMYFUNCTION("IFERROR(TRIM(INDEX(SPLIT(E510,"" + ""),2)),"""")"),"")</f>
        <v/>
      </c>
      <c r="J510" s="5" t="str">
        <f>IFERROR(__xludf.DUMMYFUNCTION("IFERROR(TRIM(INDEX(SPLIT(E510,"" + ""),3)),"""")"),"")</f>
        <v/>
      </c>
      <c r="K510" s="3">
        <f>IFERROR(__xludf.DUMMYFUNCTION("IFERROR(IF(H510="""",0,INDEX(FILTER($Q$2:Q509,$C$2:C509=H510,$G$2:G509=G510),ROWS(FILTER($Q$2:Q509,$C$2:C509=H510,$G$2:G509=G510)),1)),1500)"),0.0)</f>
        <v>0</v>
      </c>
      <c r="L510" s="3">
        <f>IFERROR(__xludf.DUMMYFUNCTION("IFERROR(IF(I510="""",0,INDEX(FILTER($Q$2:Q509,$C$2:C509=I510,$G$2:G509=G510),ROWS(FILTER($Q$2:Q509,$C$2:C509=I510,$G$2:G509=G510)),1)),1500)"),0.0)</f>
        <v>0</v>
      </c>
      <c r="M510" s="3">
        <f>IFERROR(__xludf.DUMMYFUNCTION("IFERROR(IF(J510="""",0,INDEX(FILTER($Q$2:Q509,$C$2:C509=J510,$G$2:G509=G510),ROWS(FILTER($Q$2:Q509,$C$2:C509=J510,$G$2:G509=G510)),1)),1500)"),0.0)</f>
        <v>0</v>
      </c>
      <c r="N510" s="3">
        <f>IFERROR(__xludf.DUMMYFUNCTION("IFERROR(INDEX(FILTER($Q$2:Q509,$C$2:C509=C510,$G$2:G509=G510),ROWS(FILTER($Q$2:Q509,$C$2:C509=C510,$G$2:G509=G510)),1),1500)"),-111.0)</f>
        <v>-111</v>
      </c>
      <c r="O510" s="3">
        <f t="shared" si="3"/>
        <v>0</v>
      </c>
      <c r="P510" s="9">
        <f t="shared" si="1"/>
        <v>-11</v>
      </c>
      <c r="Q510" s="5">
        <f t="shared" si="2"/>
        <v>-122</v>
      </c>
    </row>
    <row r="511">
      <c r="H511" s="3" t="str">
        <f>IFERROR(__xludf.DUMMYFUNCTION("IFERROR(TRIM(INDEX(SPLIT(E511,"" + ""),1)),"""")"),"")</f>
        <v/>
      </c>
      <c r="I511" s="3" t="str">
        <f>IFERROR(__xludf.DUMMYFUNCTION("IFERROR(TRIM(INDEX(SPLIT(E511,"" + ""),2)),"""")"),"")</f>
        <v/>
      </c>
      <c r="J511" s="5" t="str">
        <f>IFERROR(__xludf.DUMMYFUNCTION("IFERROR(TRIM(INDEX(SPLIT(E511,"" + ""),3)),"""")"),"")</f>
        <v/>
      </c>
      <c r="K511" s="3">
        <f>IFERROR(__xludf.DUMMYFUNCTION("IFERROR(IF(H511="""",0,INDEX(FILTER($Q$2:Q510,$C$2:C510=H511,$G$2:G510=G511),ROWS(FILTER($Q$2:Q510,$C$2:C510=H511,$G$2:G510=G511)),1)),1500)"),0.0)</f>
        <v>0</v>
      </c>
      <c r="L511" s="3">
        <f>IFERROR(__xludf.DUMMYFUNCTION("IFERROR(IF(I511="""",0,INDEX(FILTER($Q$2:Q510,$C$2:C510=I511,$G$2:G510=G511),ROWS(FILTER($Q$2:Q510,$C$2:C510=I511,$G$2:G510=G511)),1)),1500)"),0.0)</f>
        <v>0</v>
      </c>
      <c r="M511" s="3">
        <f>IFERROR(__xludf.DUMMYFUNCTION("IFERROR(IF(J511="""",0,INDEX(FILTER($Q$2:Q510,$C$2:C510=J511,$G$2:G510=G511),ROWS(FILTER($Q$2:Q510,$C$2:C510=J511,$G$2:G510=G511)),1)),1500)"),0.0)</f>
        <v>0</v>
      </c>
      <c r="N511" s="3">
        <f>IFERROR(__xludf.DUMMYFUNCTION("IFERROR(INDEX(FILTER($Q$2:Q510,$C$2:C510=C511,$G$2:G510=G511),ROWS(FILTER($Q$2:Q510,$C$2:C510=C511,$G$2:G510=G511)),1),1500)"),-122.0)</f>
        <v>-122</v>
      </c>
      <c r="O511" s="3">
        <f t="shared" si="3"/>
        <v>0</v>
      </c>
      <c r="P511" s="9">
        <f t="shared" si="1"/>
        <v>-11</v>
      </c>
      <c r="Q511" s="5">
        <f t="shared" si="2"/>
        <v>-133</v>
      </c>
    </row>
    <row r="512">
      <c r="H512" s="3" t="str">
        <f>IFERROR(__xludf.DUMMYFUNCTION("IFERROR(TRIM(INDEX(SPLIT(E512,"" + ""),1)),"""")"),"")</f>
        <v/>
      </c>
      <c r="I512" s="3" t="str">
        <f>IFERROR(__xludf.DUMMYFUNCTION("IFERROR(TRIM(INDEX(SPLIT(E512,"" + ""),2)),"""")"),"")</f>
        <v/>
      </c>
      <c r="J512" s="5" t="str">
        <f>IFERROR(__xludf.DUMMYFUNCTION("IFERROR(TRIM(INDEX(SPLIT(E512,"" + ""),3)),"""")"),"")</f>
        <v/>
      </c>
      <c r="K512" s="3">
        <f>IFERROR(__xludf.DUMMYFUNCTION("IFERROR(IF(H512="""",0,INDEX(FILTER($Q$2:Q511,$C$2:C511=H512,$G$2:G511=G512),ROWS(FILTER($Q$2:Q511,$C$2:C511=H512,$G$2:G511=G512)),1)),1500)"),0.0)</f>
        <v>0</v>
      </c>
      <c r="L512" s="3">
        <f>IFERROR(__xludf.DUMMYFUNCTION("IFERROR(IF(I512="""",0,INDEX(FILTER($Q$2:Q511,$C$2:C511=I512,$G$2:G511=G512),ROWS(FILTER($Q$2:Q511,$C$2:C511=I512,$G$2:G511=G512)),1)),1500)"),0.0)</f>
        <v>0</v>
      </c>
      <c r="M512" s="3">
        <f>IFERROR(__xludf.DUMMYFUNCTION("IFERROR(IF(J512="""",0,INDEX(FILTER($Q$2:Q511,$C$2:C511=J512,$G$2:G511=G512),ROWS(FILTER($Q$2:Q511,$C$2:C511=J512,$G$2:G511=G512)),1)),1500)"),0.0)</f>
        <v>0</v>
      </c>
      <c r="N512" s="3">
        <f>IFERROR(__xludf.DUMMYFUNCTION("IFERROR(INDEX(FILTER($Q$2:Q511,$C$2:C511=C512,$G$2:G511=G512),ROWS(FILTER($Q$2:Q511,$C$2:C511=C512,$G$2:G511=G512)),1),1500)"),-133.0)</f>
        <v>-133</v>
      </c>
      <c r="O512" s="3">
        <f t="shared" si="3"/>
        <v>0</v>
      </c>
      <c r="P512" s="9">
        <f t="shared" si="1"/>
        <v>-10</v>
      </c>
      <c r="Q512" s="5">
        <f t="shared" si="2"/>
        <v>-143</v>
      </c>
    </row>
    <row r="513">
      <c r="H513" s="3" t="str">
        <f>IFERROR(__xludf.DUMMYFUNCTION("IFERROR(TRIM(INDEX(SPLIT(E513,"" + ""),1)),"""")"),"")</f>
        <v/>
      </c>
      <c r="I513" s="3" t="str">
        <f>IFERROR(__xludf.DUMMYFUNCTION("IFERROR(TRIM(INDEX(SPLIT(E513,"" + ""),2)),"""")"),"")</f>
        <v/>
      </c>
      <c r="J513" s="5" t="str">
        <f>IFERROR(__xludf.DUMMYFUNCTION("IFERROR(TRIM(INDEX(SPLIT(E513,"" + ""),3)),"""")"),"")</f>
        <v/>
      </c>
      <c r="K513" s="3">
        <f>IFERROR(__xludf.DUMMYFUNCTION("IFERROR(IF(H513="""",0,INDEX(FILTER($Q$2:Q512,$C$2:C512=H513,$G$2:G512=G513),ROWS(FILTER($Q$2:Q512,$C$2:C512=H513,$G$2:G512=G513)),1)),1500)"),0.0)</f>
        <v>0</v>
      </c>
      <c r="L513" s="3">
        <f>IFERROR(__xludf.DUMMYFUNCTION("IFERROR(IF(I513="""",0,INDEX(FILTER($Q$2:Q512,$C$2:C512=I513,$G$2:G512=G513),ROWS(FILTER($Q$2:Q512,$C$2:C512=I513,$G$2:G512=G513)),1)),1500)"),0.0)</f>
        <v>0</v>
      </c>
      <c r="M513" s="3">
        <f>IFERROR(__xludf.DUMMYFUNCTION("IFERROR(IF(J513="""",0,INDEX(FILTER($Q$2:Q512,$C$2:C512=J513,$G$2:G512=G513),ROWS(FILTER($Q$2:Q512,$C$2:C512=J513,$G$2:G512=G513)),1)),1500)"),0.0)</f>
        <v>0</v>
      </c>
      <c r="N513" s="3">
        <f>IFERROR(__xludf.DUMMYFUNCTION("IFERROR(INDEX(FILTER($Q$2:Q512,$C$2:C512=C513,$G$2:G512=G513),ROWS(FILTER($Q$2:Q512,$C$2:C512=C513,$G$2:G512=G513)),1),1500)"),-143.0)</f>
        <v>-143</v>
      </c>
      <c r="O513" s="3">
        <f t="shared" si="3"/>
        <v>0</v>
      </c>
      <c r="P513" s="9">
        <f t="shared" si="1"/>
        <v>-10</v>
      </c>
      <c r="Q513" s="5">
        <f t="shared" si="2"/>
        <v>-153</v>
      </c>
    </row>
    <row r="514">
      <c r="H514" s="3" t="str">
        <f>IFERROR(__xludf.DUMMYFUNCTION("IFERROR(TRIM(INDEX(SPLIT(E514,"" + ""),1)),"""")"),"")</f>
        <v/>
      </c>
      <c r="I514" s="3" t="str">
        <f>IFERROR(__xludf.DUMMYFUNCTION("IFERROR(TRIM(INDEX(SPLIT(E514,"" + ""),2)),"""")"),"")</f>
        <v/>
      </c>
      <c r="J514" s="5" t="str">
        <f>IFERROR(__xludf.DUMMYFUNCTION("IFERROR(TRIM(INDEX(SPLIT(E514,"" + ""),3)),"""")"),"")</f>
        <v/>
      </c>
      <c r="K514" s="3">
        <f>IFERROR(__xludf.DUMMYFUNCTION("IFERROR(IF(H514="""",0,INDEX(FILTER($Q$2:Q513,$C$2:C513=H514,$G$2:G513=G514),ROWS(FILTER($Q$2:Q513,$C$2:C513=H514,$G$2:G513=G514)),1)),1500)"),0.0)</f>
        <v>0</v>
      </c>
      <c r="L514" s="3">
        <f>IFERROR(__xludf.DUMMYFUNCTION("IFERROR(IF(I514="""",0,INDEX(FILTER($Q$2:Q513,$C$2:C513=I514,$G$2:G513=G514),ROWS(FILTER($Q$2:Q513,$C$2:C513=I514,$G$2:G513=G514)),1)),1500)"),0.0)</f>
        <v>0</v>
      </c>
      <c r="M514" s="3">
        <f>IFERROR(__xludf.DUMMYFUNCTION("IFERROR(IF(J514="""",0,INDEX(FILTER($Q$2:Q513,$C$2:C513=J514,$G$2:G513=G514),ROWS(FILTER($Q$2:Q513,$C$2:C513=J514,$G$2:G513=G514)),1)),1500)"),0.0)</f>
        <v>0</v>
      </c>
      <c r="N514" s="3">
        <f>IFERROR(__xludf.DUMMYFUNCTION("IFERROR(INDEX(FILTER($Q$2:Q513,$C$2:C513=C514,$G$2:G513=G514),ROWS(FILTER($Q$2:Q513,$C$2:C513=C514,$G$2:G513=G514)),1),1500)"),-153.0)</f>
        <v>-153</v>
      </c>
      <c r="O514" s="3">
        <f t="shared" si="3"/>
        <v>0</v>
      </c>
      <c r="P514" s="9">
        <f t="shared" si="1"/>
        <v>-9</v>
      </c>
      <c r="Q514" s="5">
        <f t="shared" si="2"/>
        <v>-162</v>
      </c>
    </row>
    <row r="515">
      <c r="H515" s="3" t="str">
        <f>IFERROR(__xludf.DUMMYFUNCTION("IFERROR(TRIM(INDEX(SPLIT(E515,"" + ""),1)),"""")"),"")</f>
        <v/>
      </c>
      <c r="I515" s="3" t="str">
        <f>IFERROR(__xludf.DUMMYFUNCTION("IFERROR(TRIM(INDEX(SPLIT(E515,"" + ""),2)),"""")"),"")</f>
        <v/>
      </c>
      <c r="J515" s="5" t="str">
        <f>IFERROR(__xludf.DUMMYFUNCTION("IFERROR(TRIM(INDEX(SPLIT(E515,"" + ""),3)),"""")"),"")</f>
        <v/>
      </c>
      <c r="K515" s="3">
        <f>IFERROR(__xludf.DUMMYFUNCTION("IFERROR(IF(H515="""",0,INDEX(FILTER($Q$2:Q514,$C$2:C514=H515,$G$2:G514=G515),ROWS(FILTER($Q$2:Q514,$C$2:C514=H515,$G$2:G514=G515)),1)),1500)"),0.0)</f>
        <v>0</v>
      </c>
      <c r="L515" s="3">
        <f>IFERROR(__xludf.DUMMYFUNCTION("IFERROR(IF(I515="""",0,INDEX(FILTER($Q$2:Q514,$C$2:C514=I515,$G$2:G514=G515),ROWS(FILTER($Q$2:Q514,$C$2:C514=I515,$G$2:G514=G515)),1)),1500)"),0.0)</f>
        <v>0</v>
      </c>
      <c r="M515" s="3">
        <f>IFERROR(__xludf.DUMMYFUNCTION("IFERROR(IF(J515="""",0,INDEX(FILTER($Q$2:Q514,$C$2:C514=J515,$G$2:G514=G515),ROWS(FILTER($Q$2:Q514,$C$2:C514=J515,$G$2:G514=G515)),1)),1500)"),0.0)</f>
        <v>0</v>
      </c>
      <c r="N515" s="3">
        <f>IFERROR(__xludf.DUMMYFUNCTION("IFERROR(INDEX(FILTER($Q$2:Q514,$C$2:C514=C515,$G$2:G514=G515),ROWS(FILTER($Q$2:Q514,$C$2:C514=C515,$G$2:G514=G515)),1),1500)"),-162.0)</f>
        <v>-162</v>
      </c>
      <c r="O515" s="3">
        <f t="shared" si="3"/>
        <v>0</v>
      </c>
      <c r="P515" s="9">
        <f t="shared" si="1"/>
        <v>-9</v>
      </c>
      <c r="Q515" s="5">
        <f t="shared" si="2"/>
        <v>-171</v>
      </c>
    </row>
    <row r="516">
      <c r="H516" s="3" t="str">
        <f>IFERROR(__xludf.DUMMYFUNCTION("IFERROR(TRIM(INDEX(SPLIT(E516,"" + ""),1)),"""")"),"")</f>
        <v/>
      </c>
      <c r="I516" s="3" t="str">
        <f>IFERROR(__xludf.DUMMYFUNCTION("IFERROR(TRIM(INDEX(SPLIT(E516,"" + ""),2)),"""")"),"")</f>
        <v/>
      </c>
      <c r="J516" s="5" t="str">
        <f>IFERROR(__xludf.DUMMYFUNCTION("IFERROR(TRIM(INDEX(SPLIT(E516,"" + ""),3)),"""")"),"")</f>
        <v/>
      </c>
      <c r="K516" s="3">
        <f>IFERROR(__xludf.DUMMYFUNCTION("IFERROR(IF(H516="""",0,INDEX(FILTER($Q$2:Q515,$C$2:C515=H516,$G$2:G515=G516),ROWS(FILTER($Q$2:Q515,$C$2:C515=H516,$G$2:G515=G516)),1)),1500)"),0.0)</f>
        <v>0</v>
      </c>
      <c r="L516" s="3">
        <f>IFERROR(__xludf.DUMMYFUNCTION("IFERROR(IF(I516="""",0,INDEX(FILTER($Q$2:Q515,$C$2:C515=I516,$G$2:G515=G516),ROWS(FILTER($Q$2:Q515,$C$2:C515=I516,$G$2:G515=G516)),1)),1500)"),0.0)</f>
        <v>0</v>
      </c>
      <c r="M516" s="3">
        <f>IFERROR(__xludf.DUMMYFUNCTION("IFERROR(IF(J516="""",0,INDEX(FILTER($Q$2:Q515,$C$2:C515=J516,$G$2:G515=G516),ROWS(FILTER($Q$2:Q515,$C$2:C515=J516,$G$2:G515=G516)),1)),1500)"),0.0)</f>
        <v>0</v>
      </c>
      <c r="N516" s="3">
        <f>IFERROR(__xludf.DUMMYFUNCTION("IFERROR(INDEX(FILTER($Q$2:Q515,$C$2:C515=C516,$G$2:G515=G516),ROWS(FILTER($Q$2:Q515,$C$2:C515=C516,$G$2:G515=G516)),1),1500)"),-171.0)</f>
        <v>-171</v>
      </c>
      <c r="O516" s="3">
        <f t="shared" si="3"/>
        <v>0</v>
      </c>
      <c r="P516" s="9">
        <f t="shared" si="1"/>
        <v>-9</v>
      </c>
      <c r="Q516" s="5">
        <f t="shared" si="2"/>
        <v>-180</v>
      </c>
    </row>
    <row r="517">
      <c r="H517" s="3" t="str">
        <f>IFERROR(__xludf.DUMMYFUNCTION("IFERROR(TRIM(INDEX(SPLIT(E517,"" + ""),1)),"""")"),"")</f>
        <v/>
      </c>
      <c r="I517" s="3" t="str">
        <f>IFERROR(__xludf.DUMMYFUNCTION("IFERROR(TRIM(INDEX(SPLIT(E517,"" + ""),2)),"""")"),"")</f>
        <v/>
      </c>
      <c r="J517" s="5" t="str">
        <f>IFERROR(__xludf.DUMMYFUNCTION("IFERROR(TRIM(INDEX(SPLIT(E517,"" + ""),3)),"""")"),"")</f>
        <v/>
      </c>
      <c r="K517" s="3">
        <f>IFERROR(__xludf.DUMMYFUNCTION("IFERROR(IF(H517="""",0,INDEX(FILTER($Q$2:Q516,$C$2:C516=H517,$G$2:G516=G517),ROWS(FILTER($Q$2:Q516,$C$2:C516=H517,$G$2:G516=G517)),1)),1500)"),0.0)</f>
        <v>0</v>
      </c>
      <c r="L517" s="3">
        <f>IFERROR(__xludf.DUMMYFUNCTION("IFERROR(IF(I517="""",0,INDEX(FILTER($Q$2:Q516,$C$2:C516=I517,$G$2:G516=G517),ROWS(FILTER($Q$2:Q516,$C$2:C516=I517,$G$2:G516=G517)),1)),1500)"),0.0)</f>
        <v>0</v>
      </c>
      <c r="M517" s="3">
        <f>IFERROR(__xludf.DUMMYFUNCTION("IFERROR(IF(J517="""",0,INDEX(FILTER($Q$2:Q516,$C$2:C516=J517,$G$2:G516=G517),ROWS(FILTER($Q$2:Q516,$C$2:C516=J517,$G$2:G516=G517)),1)),1500)"),0.0)</f>
        <v>0</v>
      </c>
      <c r="N517" s="3">
        <f>IFERROR(__xludf.DUMMYFUNCTION("IFERROR(INDEX(FILTER($Q$2:Q516,$C$2:C516=C517,$G$2:G516=G517),ROWS(FILTER($Q$2:Q516,$C$2:C516=C517,$G$2:G516=G517)),1),1500)"),-180.0)</f>
        <v>-180</v>
      </c>
      <c r="O517" s="3">
        <f t="shared" si="3"/>
        <v>0</v>
      </c>
      <c r="P517" s="9">
        <f t="shared" si="1"/>
        <v>-8</v>
      </c>
      <c r="Q517" s="5">
        <f t="shared" si="2"/>
        <v>-188</v>
      </c>
    </row>
    <row r="518">
      <c r="H518" s="3" t="str">
        <f>IFERROR(__xludf.DUMMYFUNCTION("IFERROR(TRIM(INDEX(SPLIT(E518,"" + ""),1)),"""")"),"")</f>
        <v/>
      </c>
      <c r="I518" s="3" t="str">
        <f>IFERROR(__xludf.DUMMYFUNCTION("IFERROR(TRIM(INDEX(SPLIT(E518,"" + ""),2)),"""")"),"")</f>
        <v/>
      </c>
      <c r="J518" s="5" t="str">
        <f>IFERROR(__xludf.DUMMYFUNCTION("IFERROR(TRIM(INDEX(SPLIT(E518,"" + ""),3)),"""")"),"")</f>
        <v/>
      </c>
      <c r="K518" s="3">
        <f>IFERROR(__xludf.DUMMYFUNCTION("IFERROR(IF(H518="""",0,INDEX(FILTER($Q$2:Q517,$C$2:C517=H518,$G$2:G517=G518),ROWS(FILTER($Q$2:Q517,$C$2:C517=H518,$G$2:G517=G518)),1)),1500)"),0.0)</f>
        <v>0</v>
      </c>
      <c r="L518" s="3">
        <f>IFERROR(__xludf.DUMMYFUNCTION("IFERROR(IF(I518="""",0,INDEX(FILTER($Q$2:Q517,$C$2:C517=I518,$G$2:G517=G518),ROWS(FILTER($Q$2:Q517,$C$2:C517=I518,$G$2:G517=G518)),1)),1500)"),0.0)</f>
        <v>0</v>
      </c>
      <c r="M518" s="3">
        <f>IFERROR(__xludf.DUMMYFUNCTION("IFERROR(IF(J518="""",0,INDEX(FILTER($Q$2:Q517,$C$2:C517=J518,$G$2:G517=G518),ROWS(FILTER($Q$2:Q517,$C$2:C517=J518,$G$2:G517=G518)),1)),1500)"),0.0)</f>
        <v>0</v>
      </c>
      <c r="N518" s="3">
        <f>IFERROR(__xludf.DUMMYFUNCTION("IFERROR(INDEX(FILTER($Q$2:Q517,$C$2:C517=C518,$G$2:G517=G518),ROWS(FILTER($Q$2:Q517,$C$2:C517=C518,$G$2:G517=G518)),1),1500)"),-188.0)</f>
        <v>-188</v>
      </c>
      <c r="O518" s="3">
        <f t="shared" si="3"/>
        <v>0</v>
      </c>
      <c r="P518" s="9">
        <f t="shared" si="1"/>
        <v>-8</v>
      </c>
      <c r="Q518" s="5">
        <f t="shared" si="2"/>
        <v>-196</v>
      </c>
    </row>
    <row r="519">
      <c r="H519" s="3" t="str">
        <f>IFERROR(__xludf.DUMMYFUNCTION("IFERROR(TRIM(INDEX(SPLIT(E519,"" + ""),1)),"""")"),"")</f>
        <v/>
      </c>
      <c r="I519" s="3" t="str">
        <f>IFERROR(__xludf.DUMMYFUNCTION("IFERROR(TRIM(INDEX(SPLIT(E519,"" + ""),2)),"""")"),"")</f>
        <v/>
      </c>
      <c r="J519" s="5" t="str">
        <f>IFERROR(__xludf.DUMMYFUNCTION("IFERROR(TRIM(INDEX(SPLIT(E519,"" + ""),3)),"""")"),"")</f>
        <v/>
      </c>
      <c r="K519" s="3">
        <f>IFERROR(__xludf.DUMMYFUNCTION("IFERROR(IF(H519="""",0,INDEX(FILTER($Q$2:Q518,$C$2:C518=H519,$G$2:G518=G519),ROWS(FILTER($Q$2:Q518,$C$2:C518=H519,$G$2:G518=G519)),1)),1500)"),0.0)</f>
        <v>0</v>
      </c>
      <c r="L519" s="3">
        <f>IFERROR(__xludf.DUMMYFUNCTION("IFERROR(IF(I519="""",0,INDEX(FILTER($Q$2:Q518,$C$2:C518=I519,$G$2:G518=G519),ROWS(FILTER($Q$2:Q518,$C$2:C518=I519,$G$2:G518=G519)),1)),1500)"),0.0)</f>
        <v>0</v>
      </c>
      <c r="M519" s="3">
        <f>IFERROR(__xludf.DUMMYFUNCTION("IFERROR(IF(J519="""",0,INDEX(FILTER($Q$2:Q518,$C$2:C518=J519,$G$2:G518=G519),ROWS(FILTER($Q$2:Q518,$C$2:C518=J519,$G$2:G518=G519)),1)),1500)"),0.0)</f>
        <v>0</v>
      </c>
      <c r="N519" s="3">
        <f>IFERROR(__xludf.DUMMYFUNCTION("IFERROR(INDEX(FILTER($Q$2:Q518,$C$2:C518=C519,$G$2:G518=G519),ROWS(FILTER($Q$2:Q518,$C$2:C518=C519,$G$2:G518=G519)),1),1500)"),-196.0)</f>
        <v>-196</v>
      </c>
      <c r="O519" s="3">
        <f t="shared" si="3"/>
        <v>0</v>
      </c>
      <c r="P519" s="9">
        <f t="shared" si="1"/>
        <v>-8</v>
      </c>
      <c r="Q519" s="5">
        <f t="shared" si="2"/>
        <v>-204</v>
      </c>
    </row>
    <row r="520">
      <c r="H520" s="3" t="str">
        <f>IFERROR(__xludf.DUMMYFUNCTION("IFERROR(TRIM(INDEX(SPLIT(E520,"" + ""),1)),"""")"),"")</f>
        <v/>
      </c>
      <c r="I520" s="3" t="str">
        <f>IFERROR(__xludf.DUMMYFUNCTION("IFERROR(TRIM(INDEX(SPLIT(E520,"" + ""),2)),"""")"),"")</f>
        <v/>
      </c>
      <c r="J520" s="5" t="str">
        <f>IFERROR(__xludf.DUMMYFUNCTION("IFERROR(TRIM(INDEX(SPLIT(E520,"" + ""),3)),"""")"),"")</f>
        <v/>
      </c>
      <c r="K520" s="3">
        <f>IFERROR(__xludf.DUMMYFUNCTION("IFERROR(IF(H520="""",0,INDEX(FILTER($Q$2:Q519,$C$2:C519=H520,$G$2:G519=G520),ROWS(FILTER($Q$2:Q519,$C$2:C519=H520,$G$2:G519=G520)),1)),1500)"),0.0)</f>
        <v>0</v>
      </c>
      <c r="L520" s="3">
        <f>IFERROR(__xludf.DUMMYFUNCTION("IFERROR(IF(I520="""",0,INDEX(FILTER($Q$2:Q519,$C$2:C519=I520,$G$2:G519=G520),ROWS(FILTER($Q$2:Q519,$C$2:C519=I520,$G$2:G519=G520)),1)),1500)"),0.0)</f>
        <v>0</v>
      </c>
      <c r="M520" s="3">
        <f>IFERROR(__xludf.DUMMYFUNCTION("IFERROR(IF(J520="""",0,INDEX(FILTER($Q$2:Q519,$C$2:C519=J520,$G$2:G519=G520),ROWS(FILTER($Q$2:Q519,$C$2:C519=J520,$G$2:G519=G520)),1)),1500)"),0.0)</f>
        <v>0</v>
      </c>
      <c r="N520" s="3">
        <f>IFERROR(__xludf.DUMMYFUNCTION("IFERROR(INDEX(FILTER($Q$2:Q519,$C$2:C519=C520,$G$2:G519=G520),ROWS(FILTER($Q$2:Q519,$C$2:C519=C520,$G$2:G519=G520)),1),1500)"),-204.0)</f>
        <v>-204</v>
      </c>
      <c r="O520" s="3">
        <f t="shared" si="3"/>
        <v>0</v>
      </c>
      <c r="P520" s="9">
        <f t="shared" si="1"/>
        <v>-8</v>
      </c>
      <c r="Q520" s="5">
        <f t="shared" si="2"/>
        <v>-212</v>
      </c>
    </row>
    <row r="521">
      <c r="H521" s="3" t="str">
        <f>IFERROR(__xludf.DUMMYFUNCTION("IFERROR(TRIM(INDEX(SPLIT(E521,"" + ""),1)),"""")"),"")</f>
        <v/>
      </c>
      <c r="I521" s="3" t="str">
        <f>IFERROR(__xludf.DUMMYFUNCTION("IFERROR(TRIM(INDEX(SPLIT(E521,"" + ""),2)),"""")"),"")</f>
        <v/>
      </c>
      <c r="J521" s="5" t="str">
        <f>IFERROR(__xludf.DUMMYFUNCTION("IFERROR(TRIM(INDEX(SPLIT(E521,"" + ""),3)),"""")"),"")</f>
        <v/>
      </c>
      <c r="K521" s="3">
        <f>IFERROR(__xludf.DUMMYFUNCTION("IFERROR(IF(H521="""",0,INDEX(FILTER($Q$2:Q520,$C$2:C520=H521,$G$2:G520=G521),ROWS(FILTER($Q$2:Q520,$C$2:C520=H521,$G$2:G520=G521)),1)),1500)"),0.0)</f>
        <v>0</v>
      </c>
      <c r="L521" s="3">
        <f>IFERROR(__xludf.DUMMYFUNCTION("IFERROR(IF(I521="""",0,INDEX(FILTER($Q$2:Q520,$C$2:C520=I521,$G$2:G520=G521),ROWS(FILTER($Q$2:Q520,$C$2:C520=I521,$G$2:G520=G521)),1)),1500)"),0.0)</f>
        <v>0</v>
      </c>
      <c r="M521" s="3">
        <f>IFERROR(__xludf.DUMMYFUNCTION("IFERROR(IF(J521="""",0,INDEX(FILTER($Q$2:Q520,$C$2:C520=J521,$G$2:G520=G521),ROWS(FILTER($Q$2:Q520,$C$2:C520=J521,$G$2:G520=G521)),1)),1500)"),0.0)</f>
        <v>0</v>
      </c>
      <c r="N521" s="3">
        <f>IFERROR(__xludf.DUMMYFUNCTION("IFERROR(INDEX(FILTER($Q$2:Q520,$C$2:C520=C521,$G$2:G520=G521),ROWS(FILTER($Q$2:Q520,$C$2:C520=C521,$G$2:G520=G521)),1),1500)"),-212.0)</f>
        <v>-212</v>
      </c>
      <c r="O521" s="3">
        <f t="shared" si="3"/>
        <v>0</v>
      </c>
      <c r="P521" s="9">
        <f t="shared" si="1"/>
        <v>-7</v>
      </c>
      <c r="Q521" s="5">
        <f t="shared" si="2"/>
        <v>-219</v>
      </c>
    </row>
    <row r="522">
      <c r="H522" s="3" t="str">
        <f>IFERROR(__xludf.DUMMYFUNCTION("IFERROR(TRIM(INDEX(SPLIT(E522,"" + ""),1)),"""")"),"")</f>
        <v/>
      </c>
      <c r="I522" s="3" t="str">
        <f>IFERROR(__xludf.DUMMYFUNCTION("IFERROR(TRIM(INDEX(SPLIT(E522,"" + ""),2)),"""")"),"")</f>
        <v/>
      </c>
      <c r="J522" s="5" t="str">
        <f>IFERROR(__xludf.DUMMYFUNCTION("IFERROR(TRIM(INDEX(SPLIT(E522,"" + ""),3)),"""")"),"")</f>
        <v/>
      </c>
      <c r="K522" s="3">
        <f>IFERROR(__xludf.DUMMYFUNCTION("IFERROR(IF(H522="""",0,INDEX(FILTER($Q$2:Q521,$C$2:C521=H522,$G$2:G521=G522),ROWS(FILTER($Q$2:Q521,$C$2:C521=H522,$G$2:G521=G522)),1)),1500)"),0.0)</f>
        <v>0</v>
      </c>
      <c r="L522" s="3">
        <f>IFERROR(__xludf.DUMMYFUNCTION("IFERROR(IF(I522="""",0,INDEX(FILTER($Q$2:Q521,$C$2:C521=I522,$G$2:G521=G522),ROWS(FILTER($Q$2:Q521,$C$2:C521=I522,$G$2:G521=G522)),1)),1500)"),0.0)</f>
        <v>0</v>
      </c>
      <c r="M522" s="3">
        <f>IFERROR(__xludf.DUMMYFUNCTION("IFERROR(IF(J522="""",0,INDEX(FILTER($Q$2:Q521,$C$2:C521=J522,$G$2:G521=G522),ROWS(FILTER($Q$2:Q521,$C$2:C521=J522,$G$2:G521=G522)),1)),1500)"),0.0)</f>
        <v>0</v>
      </c>
      <c r="N522" s="3">
        <f>IFERROR(__xludf.DUMMYFUNCTION("IFERROR(INDEX(FILTER($Q$2:Q521,$C$2:C521=C522,$G$2:G521=G522),ROWS(FILTER($Q$2:Q521,$C$2:C521=C522,$G$2:G521=G522)),1),1500)"),-219.0)</f>
        <v>-219</v>
      </c>
      <c r="O522" s="3">
        <f t="shared" si="3"/>
        <v>0</v>
      </c>
      <c r="P522" s="9">
        <f t="shared" si="1"/>
        <v>-7</v>
      </c>
      <c r="Q522" s="5">
        <f t="shared" si="2"/>
        <v>-226</v>
      </c>
    </row>
    <row r="523">
      <c r="H523" s="3" t="str">
        <f>IFERROR(__xludf.DUMMYFUNCTION("IFERROR(TRIM(INDEX(SPLIT(E523,"" + ""),1)),"""")"),"")</f>
        <v/>
      </c>
      <c r="I523" s="3" t="str">
        <f>IFERROR(__xludf.DUMMYFUNCTION("IFERROR(TRIM(INDEX(SPLIT(E523,"" + ""),2)),"""")"),"")</f>
        <v/>
      </c>
      <c r="J523" s="5" t="str">
        <f>IFERROR(__xludf.DUMMYFUNCTION("IFERROR(TRIM(INDEX(SPLIT(E523,"" + ""),3)),"""")"),"")</f>
        <v/>
      </c>
      <c r="K523" s="3">
        <f>IFERROR(__xludf.DUMMYFUNCTION("IFERROR(IF(H523="""",0,INDEX(FILTER($Q$2:Q522,$C$2:C522=H523,$G$2:G522=G523),ROWS(FILTER($Q$2:Q522,$C$2:C522=H523,$G$2:G522=G523)),1)),1500)"),0.0)</f>
        <v>0</v>
      </c>
      <c r="L523" s="3">
        <f>IFERROR(__xludf.DUMMYFUNCTION("IFERROR(IF(I523="""",0,INDEX(FILTER($Q$2:Q522,$C$2:C522=I523,$G$2:G522=G523),ROWS(FILTER($Q$2:Q522,$C$2:C522=I523,$G$2:G522=G523)),1)),1500)"),0.0)</f>
        <v>0</v>
      </c>
      <c r="M523" s="3">
        <f>IFERROR(__xludf.DUMMYFUNCTION("IFERROR(IF(J523="""",0,INDEX(FILTER($Q$2:Q522,$C$2:C522=J523,$G$2:G522=G523),ROWS(FILTER($Q$2:Q522,$C$2:C522=J523,$G$2:G522=G523)),1)),1500)"),0.0)</f>
        <v>0</v>
      </c>
      <c r="N523" s="3">
        <f>IFERROR(__xludf.DUMMYFUNCTION("IFERROR(INDEX(FILTER($Q$2:Q522,$C$2:C522=C523,$G$2:G522=G523),ROWS(FILTER($Q$2:Q522,$C$2:C522=C523,$G$2:G522=G523)),1),1500)"),-226.0)</f>
        <v>-226</v>
      </c>
      <c r="O523" s="3">
        <f t="shared" si="3"/>
        <v>0</v>
      </c>
      <c r="P523" s="9">
        <f t="shared" si="1"/>
        <v>-7</v>
      </c>
      <c r="Q523" s="5">
        <f t="shared" si="2"/>
        <v>-233</v>
      </c>
    </row>
    <row r="524">
      <c r="H524" s="3" t="str">
        <f>IFERROR(__xludf.DUMMYFUNCTION("IFERROR(TRIM(INDEX(SPLIT(E524,"" + ""),1)),"""")"),"")</f>
        <v/>
      </c>
      <c r="I524" s="3" t="str">
        <f>IFERROR(__xludf.DUMMYFUNCTION("IFERROR(TRIM(INDEX(SPLIT(E524,"" + ""),2)),"""")"),"")</f>
        <v/>
      </c>
      <c r="J524" s="5" t="str">
        <f>IFERROR(__xludf.DUMMYFUNCTION("IFERROR(TRIM(INDEX(SPLIT(E524,"" + ""),3)),"""")"),"")</f>
        <v/>
      </c>
      <c r="K524" s="3">
        <f>IFERROR(__xludf.DUMMYFUNCTION("IFERROR(IF(H524="""",0,INDEX(FILTER($Q$2:Q523,$C$2:C523=H524,$G$2:G523=G524),ROWS(FILTER($Q$2:Q523,$C$2:C523=H524,$G$2:G523=G524)),1)),1500)"),0.0)</f>
        <v>0</v>
      </c>
      <c r="L524" s="3">
        <f>IFERROR(__xludf.DUMMYFUNCTION("IFERROR(IF(I524="""",0,INDEX(FILTER($Q$2:Q523,$C$2:C523=I524,$G$2:G523=G524),ROWS(FILTER($Q$2:Q523,$C$2:C523=I524,$G$2:G523=G524)),1)),1500)"),0.0)</f>
        <v>0</v>
      </c>
      <c r="M524" s="3">
        <f>IFERROR(__xludf.DUMMYFUNCTION("IFERROR(IF(J524="""",0,INDEX(FILTER($Q$2:Q523,$C$2:C523=J524,$G$2:G523=G524),ROWS(FILTER($Q$2:Q523,$C$2:C523=J524,$G$2:G523=G524)),1)),1500)"),0.0)</f>
        <v>0</v>
      </c>
      <c r="N524" s="3">
        <f>IFERROR(__xludf.DUMMYFUNCTION("IFERROR(INDEX(FILTER($Q$2:Q523,$C$2:C523=C524,$G$2:G523=G524),ROWS(FILTER($Q$2:Q523,$C$2:C523=C524,$G$2:G523=G524)),1),1500)"),-233.0)</f>
        <v>-233</v>
      </c>
      <c r="O524" s="3">
        <f t="shared" si="3"/>
        <v>0</v>
      </c>
      <c r="P524" s="9">
        <f t="shared" si="1"/>
        <v>-7</v>
      </c>
      <c r="Q524" s="5">
        <f t="shared" si="2"/>
        <v>-240</v>
      </c>
    </row>
    <row r="525">
      <c r="H525" s="3" t="str">
        <f>IFERROR(__xludf.DUMMYFUNCTION("IFERROR(TRIM(INDEX(SPLIT(E525,"" + ""),1)),"""")"),"")</f>
        <v/>
      </c>
      <c r="I525" s="3" t="str">
        <f>IFERROR(__xludf.DUMMYFUNCTION("IFERROR(TRIM(INDEX(SPLIT(E525,"" + ""),2)),"""")"),"")</f>
        <v/>
      </c>
      <c r="J525" s="5" t="str">
        <f>IFERROR(__xludf.DUMMYFUNCTION("IFERROR(TRIM(INDEX(SPLIT(E525,"" + ""),3)),"""")"),"")</f>
        <v/>
      </c>
      <c r="K525" s="3">
        <f>IFERROR(__xludf.DUMMYFUNCTION("IFERROR(IF(H525="""",0,INDEX(FILTER($Q$2:Q524,$C$2:C524=H525,$G$2:G524=G525),ROWS(FILTER($Q$2:Q524,$C$2:C524=H525,$G$2:G524=G525)),1)),1500)"),0.0)</f>
        <v>0</v>
      </c>
      <c r="L525" s="3">
        <f>IFERROR(__xludf.DUMMYFUNCTION("IFERROR(IF(I525="""",0,INDEX(FILTER($Q$2:Q524,$C$2:C524=I525,$G$2:G524=G525),ROWS(FILTER($Q$2:Q524,$C$2:C524=I525,$G$2:G524=G525)),1)),1500)"),0.0)</f>
        <v>0</v>
      </c>
      <c r="M525" s="3">
        <f>IFERROR(__xludf.DUMMYFUNCTION("IFERROR(IF(J525="""",0,INDEX(FILTER($Q$2:Q524,$C$2:C524=J525,$G$2:G524=G525),ROWS(FILTER($Q$2:Q524,$C$2:C524=J525,$G$2:G524=G525)),1)),1500)"),0.0)</f>
        <v>0</v>
      </c>
      <c r="N525" s="3">
        <f>IFERROR(__xludf.DUMMYFUNCTION("IFERROR(INDEX(FILTER($Q$2:Q524,$C$2:C524=C525,$G$2:G524=G525),ROWS(FILTER($Q$2:Q524,$C$2:C524=C525,$G$2:G524=G525)),1),1500)"),-240.0)</f>
        <v>-240</v>
      </c>
      <c r="O525" s="3">
        <f t="shared" si="3"/>
        <v>0</v>
      </c>
      <c r="P525" s="9">
        <f t="shared" si="1"/>
        <v>-6</v>
      </c>
      <c r="Q525" s="5">
        <f t="shared" si="2"/>
        <v>-246</v>
      </c>
    </row>
    <row r="526">
      <c r="H526" s="3" t="str">
        <f>IFERROR(__xludf.DUMMYFUNCTION("IFERROR(TRIM(INDEX(SPLIT(E526,"" + ""),1)),"""")"),"")</f>
        <v/>
      </c>
      <c r="I526" s="3" t="str">
        <f>IFERROR(__xludf.DUMMYFUNCTION("IFERROR(TRIM(INDEX(SPLIT(E526,"" + ""),2)),"""")"),"")</f>
        <v/>
      </c>
      <c r="J526" s="5" t="str">
        <f>IFERROR(__xludf.DUMMYFUNCTION("IFERROR(TRIM(INDEX(SPLIT(E526,"" + ""),3)),"""")"),"")</f>
        <v/>
      </c>
      <c r="K526" s="3">
        <f>IFERROR(__xludf.DUMMYFUNCTION("IFERROR(IF(H526="""",0,INDEX(FILTER($Q$2:Q525,$C$2:C525=H526,$G$2:G525=G526),ROWS(FILTER($Q$2:Q525,$C$2:C525=H526,$G$2:G525=G526)),1)),1500)"),0.0)</f>
        <v>0</v>
      </c>
      <c r="L526" s="3">
        <f>IFERROR(__xludf.DUMMYFUNCTION("IFERROR(IF(I526="""",0,INDEX(FILTER($Q$2:Q525,$C$2:C525=I526,$G$2:G525=G526),ROWS(FILTER($Q$2:Q525,$C$2:C525=I526,$G$2:G525=G526)),1)),1500)"),0.0)</f>
        <v>0</v>
      </c>
      <c r="M526" s="3">
        <f>IFERROR(__xludf.DUMMYFUNCTION("IFERROR(IF(J526="""",0,INDEX(FILTER($Q$2:Q525,$C$2:C525=J526,$G$2:G525=G526),ROWS(FILTER($Q$2:Q525,$C$2:C525=J526,$G$2:G525=G526)),1)),1500)"),0.0)</f>
        <v>0</v>
      </c>
      <c r="N526" s="3">
        <f>IFERROR(__xludf.DUMMYFUNCTION("IFERROR(INDEX(FILTER($Q$2:Q525,$C$2:C525=C526,$G$2:G525=G526),ROWS(FILTER($Q$2:Q525,$C$2:C525=C526,$G$2:G525=G526)),1),1500)"),-246.0)</f>
        <v>-246</v>
      </c>
      <c r="O526" s="3">
        <f t="shared" si="3"/>
        <v>0</v>
      </c>
      <c r="P526" s="9">
        <f t="shared" si="1"/>
        <v>-6</v>
      </c>
      <c r="Q526" s="5">
        <f t="shared" si="2"/>
        <v>-252</v>
      </c>
    </row>
    <row r="527">
      <c r="H527" s="3" t="str">
        <f>IFERROR(__xludf.DUMMYFUNCTION("IFERROR(TRIM(INDEX(SPLIT(E527,"" + ""),1)),"""")"),"")</f>
        <v/>
      </c>
      <c r="I527" s="3" t="str">
        <f>IFERROR(__xludf.DUMMYFUNCTION("IFERROR(TRIM(INDEX(SPLIT(E527,"" + ""),2)),"""")"),"")</f>
        <v/>
      </c>
      <c r="J527" s="5" t="str">
        <f>IFERROR(__xludf.DUMMYFUNCTION("IFERROR(TRIM(INDEX(SPLIT(E527,"" + ""),3)),"""")"),"")</f>
        <v/>
      </c>
      <c r="K527" s="3">
        <f>IFERROR(__xludf.DUMMYFUNCTION("IFERROR(IF(H527="""",0,INDEX(FILTER($Q$2:Q526,$C$2:C526=H527,$G$2:G526=G527),ROWS(FILTER($Q$2:Q526,$C$2:C526=H527,$G$2:G526=G527)),1)),1500)"),0.0)</f>
        <v>0</v>
      </c>
      <c r="L527" s="3">
        <f>IFERROR(__xludf.DUMMYFUNCTION("IFERROR(IF(I527="""",0,INDEX(FILTER($Q$2:Q526,$C$2:C526=I527,$G$2:G526=G527),ROWS(FILTER($Q$2:Q526,$C$2:C526=I527,$G$2:G526=G527)),1)),1500)"),0.0)</f>
        <v>0</v>
      </c>
      <c r="M527" s="3">
        <f>IFERROR(__xludf.DUMMYFUNCTION("IFERROR(IF(J527="""",0,INDEX(FILTER($Q$2:Q526,$C$2:C526=J527,$G$2:G526=G527),ROWS(FILTER($Q$2:Q526,$C$2:C526=J527,$G$2:G526=G527)),1)),1500)"),0.0)</f>
        <v>0</v>
      </c>
      <c r="N527" s="3">
        <f>IFERROR(__xludf.DUMMYFUNCTION("IFERROR(INDEX(FILTER($Q$2:Q526,$C$2:C526=C527,$G$2:G526=G527),ROWS(FILTER($Q$2:Q526,$C$2:C526=C527,$G$2:G526=G527)),1),1500)"),-252.0)</f>
        <v>-252</v>
      </c>
      <c r="O527" s="3">
        <f t="shared" si="3"/>
        <v>0</v>
      </c>
      <c r="P527" s="9">
        <f t="shared" si="1"/>
        <v>-6</v>
      </c>
      <c r="Q527" s="5">
        <f t="shared" si="2"/>
        <v>-258</v>
      </c>
    </row>
    <row r="528">
      <c r="H528" s="3" t="str">
        <f>IFERROR(__xludf.DUMMYFUNCTION("IFERROR(TRIM(INDEX(SPLIT(E528,"" + ""),1)),"""")"),"")</f>
        <v/>
      </c>
      <c r="I528" s="3" t="str">
        <f>IFERROR(__xludf.DUMMYFUNCTION("IFERROR(TRIM(INDEX(SPLIT(E528,"" + ""),2)),"""")"),"")</f>
        <v/>
      </c>
      <c r="J528" s="5" t="str">
        <f>IFERROR(__xludf.DUMMYFUNCTION("IFERROR(TRIM(INDEX(SPLIT(E528,"" + ""),3)),"""")"),"")</f>
        <v/>
      </c>
      <c r="K528" s="3">
        <f>IFERROR(__xludf.DUMMYFUNCTION("IFERROR(IF(H528="""",0,INDEX(FILTER($Q$2:Q527,$C$2:C527=H528,$G$2:G527=G528),ROWS(FILTER($Q$2:Q527,$C$2:C527=H528,$G$2:G527=G528)),1)),1500)"),0.0)</f>
        <v>0</v>
      </c>
      <c r="L528" s="3">
        <f>IFERROR(__xludf.DUMMYFUNCTION("IFERROR(IF(I528="""",0,INDEX(FILTER($Q$2:Q527,$C$2:C527=I528,$G$2:G527=G528),ROWS(FILTER($Q$2:Q527,$C$2:C527=I528,$G$2:G527=G528)),1)),1500)"),0.0)</f>
        <v>0</v>
      </c>
      <c r="M528" s="3">
        <f>IFERROR(__xludf.DUMMYFUNCTION("IFERROR(IF(J528="""",0,INDEX(FILTER($Q$2:Q527,$C$2:C527=J528,$G$2:G527=G528),ROWS(FILTER($Q$2:Q527,$C$2:C527=J528,$G$2:G527=G528)),1)),1500)"),0.0)</f>
        <v>0</v>
      </c>
      <c r="N528" s="3">
        <f>IFERROR(__xludf.DUMMYFUNCTION("IFERROR(INDEX(FILTER($Q$2:Q527,$C$2:C527=C528,$G$2:G527=G528),ROWS(FILTER($Q$2:Q527,$C$2:C527=C528,$G$2:G527=G528)),1),1500)"),-258.0)</f>
        <v>-258</v>
      </c>
      <c r="O528" s="3">
        <f t="shared" si="3"/>
        <v>0</v>
      </c>
      <c r="P528" s="9">
        <f t="shared" si="1"/>
        <v>-6</v>
      </c>
      <c r="Q528" s="5">
        <f t="shared" si="2"/>
        <v>-264</v>
      </c>
    </row>
    <row r="529">
      <c r="H529" s="3" t="str">
        <f>IFERROR(__xludf.DUMMYFUNCTION("IFERROR(TRIM(INDEX(SPLIT(E529,"" + ""),1)),"""")"),"")</f>
        <v/>
      </c>
      <c r="I529" s="3" t="str">
        <f>IFERROR(__xludf.DUMMYFUNCTION("IFERROR(TRIM(INDEX(SPLIT(E529,"" + ""),2)),"""")"),"")</f>
        <v/>
      </c>
      <c r="J529" s="5" t="str">
        <f>IFERROR(__xludf.DUMMYFUNCTION("IFERROR(TRIM(INDEX(SPLIT(E529,"" + ""),3)),"""")"),"")</f>
        <v/>
      </c>
      <c r="K529" s="3">
        <f>IFERROR(__xludf.DUMMYFUNCTION("IFERROR(IF(H529="""",0,INDEX(FILTER($Q$2:Q528,$C$2:C528=H529,$G$2:G528=G529),ROWS(FILTER($Q$2:Q528,$C$2:C528=H529,$G$2:G528=G529)),1)),1500)"),0.0)</f>
        <v>0</v>
      </c>
      <c r="L529" s="3">
        <f>IFERROR(__xludf.DUMMYFUNCTION("IFERROR(IF(I529="""",0,INDEX(FILTER($Q$2:Q528,$C$2:C528=I529,$G$2:G528=G529),ROWS(FILTER($Q$2:Q528,$C$2:C528=I529,$G$2:G528=G529)),1)),1500)"),0.0)</f>
        <v>0</v>
      </c>
      <c r="M529" s="3">
        <f>IFERROR(__xludf.DUMMYFUNCTION("IFERROR(IF(J529="""",0,INDEX(FILTER($Q$2:Q528,$C$2:C528=J529,$G$2:G528=G529),ROWS(FILTER($Q$2:Q528,$C$2:C528=J529,$G$2:G528=G529)),1)),1500)"),0.0)</f>
        <v>0</v>
      </c>
      <c r="N529" s="3">
        <f>IFERROR(__xludf.DUMMYFUNCTION("IFERROR(INDEX(FILTER($Q$2:Q528,$C$2:C528=C529,$G$2:G528=G529),ROWS(FILTER($Q$2:Q528,$C$2:C528=C529,$G$2:G528=G529)),1),1500)"),-264.0)</f>
        <v>-264</v>
      </c>
      <c r="O529" s="3">
        <f t="shared" si="3"/>
        <v>0</v>
      </c>
      <c r="P529" s="9">
        <f t="shared" si="1"/>
        <v>-6</v>
      </c>
      <c r="Q529" s="5">
        <f t="shared" si="2"/>
        <v>-270</v>
      </c>
    </row>
    <row r="530">
      <c r="H530" s="3" t="str">
        <f>IFERROR(__xludf.DUMMYFUNCTION("IFERROR(TRIM(INDEX(SPLIT(E530,"" + ""),1)),"""")"),"")</f>
        <v/>
      </c>
      <c r="I530" s="3" t="str">
        <f>IFERROR(__xludf.DUMMYFUNCTION("IFERROR(TRIM(INDEX(SPLIT(E530,"" + ""),2)),"""")"),"")</f>
        <v/>
      </c>
      <c r="J530" s="5" t="str">
        <f>IFERROR(__xludf.DUMMYFUNCTION("IFERROR(TRIM(INDEX(SPLIT(E530,"" + ""),3)),"""")"),"")</f>
        <v/>
      </c>
      <c r="K530" s="3">
        <f>IFERROR(__xludf.DUMMYFUNCTION("IFERROR(IF(H530="""",0,INDEX(FILTER($Q$2:Q529,$C$2:C529=H530,$G$2:G529=G530),ROWS(FILTER($Q$2:Q529,$C$2:C529=H530,$G$2:G529=G530)),1)),1500)"),0.0)</f>
        <v>0</v>
      </c>
      <c r="L530" s="3">
        <f>IFERROR(__xludf.DUMMYFUNCTION("IFERROR(IF(I530="""",0,INDEX(FILTER($Q$2:Q529,$C$2:C529=I530,$G$2:G529=G530),ROWS(FILTER($Q$2:Q529,$C$2:C529=I530,$G$2:G529=G530)),1)),1500)"),0.0)</f>
        <v>0</v>
      </c>
      <c r="M530" s="3">
        <f>IFERROR(__xludf.DUMMYFUNCTION("IFERROR(IF(J530="""",0,INDEX(FILTER($Q$2:Q529,$C$2:C529=J530,$G$2:G529=G530),ROWS(FILTER($Q$2:Q529,$C$2:C529=J530,$G$2:G529=G530)),1)),1500)"),0.0)</f>
        <v>0</v>
      </c>
      <c r="N530" s="3">
        <f>IFERROR(__xludf.DUMMYFUNCTION("IFERROR(INDEX(FILTER($Q$2:Q529,$C$2:C529=C530,$G$2:G529=G530),ROWS(FILTER($Q$2:Q529,$C$2:C529=C530,$G$2:G529=G530)),1),1500)"),-270.0)</f>
        <v>-270</v>
      </c>
      <c r="O530" s="3">
        <f t="shared" si="3"/>
        <v>0</v>
      </c>
      <c r="P530" s="9">
        <f t="shared" si="1"/>
        <v>-6</v>
      </c>
      <c r="Q530" s="5">
        <f t="shared" si="2"/>
        <v>-276</v>
      </c>
    </row>
    <row r="531">
      <c r="H531" s="3" t="str">
        <f>IFERROR(__xludf.DUMMYFUNCTION("IFERROR(TRIM(INDEX(SPLIT(E531,"" + ""),1)),"""")"),"")</f>
        <v/>
      </c>
      <c r="I531" s="3" t="str">
        <f>IFERROR(__xludf.DUMMYFUNCTION("IFERROR(TRIM(INDEX(SPLIT(E531,"" + ""),2)),"""")"),"")</f>
        <v/>
      </c>
      <c r="J531" s="5" t="str">
        <f>IFERROR(__xludf.DUMMYFUNCTION("IFERROR(TRIM(INDEX(SPLIT(E531,"" + ""),3)),"""")"),"")</f>
        <v/>
      </c>
      <c r="K531" s="3">
        <f>IFERROR(__xludf.DUMMYFUNCTION("IFERROR(IF(H531="""",0,INDEX(FILTER($Q$2:Q530,$C$2:C530=H531,$G$2:G530=G531),ROWS(FILTER($Q$2:Q530,$C$2:C530=H531,$G$2:G530=G531)),1)),1500)"),0.0)</f>
        <v>0</v>
      </c>
      <c r="L531" s="3">
        <f>IFERROR(__xludf.DUMMYFUNCTION("IFERROR(IF(I531="""",0,INDEX(FILTER($Q$2:Q530,$C$2:C530=I531,$G$2:G530=G531),ROWS(FILTER($Q$2:Q530,$C$2:C530=I531,$G$2:G530=G531)),1)),1500)"),0.0)</f>
        <v>0</v>
      </c>
      <c r="M531" s="3">
        <f>IFERROR(__xludf.DUMMYFUNCTION("IFERROR(IF(J531="""",0,INDEX(FILTER($Q$2:Q530,$C$2:C530=J531,$G$2:G530=G531),ROWS(FILTER($Q$2:Q530,$C$2:C530=J531,$G$2:G530=G531)),1)),1500)"),0.0)</f>
        <v>0</v>
      </c>
      <c r="N531" s="3">
        <f>IFERROR(__xludf.DUMMYFUNCTION("IFERROR(INDEX(FILTER($Q$2:Q530,$C$2:C530=C531,$G$2:G530=G531),ROWS(FILTER($Q$2:Q530,$C$2:C530=C531,$G$2:G530=G531)),1),1500)"),-276.0)</f>
        <v>-276</v>
      </c>
      <c r="O531" s="3">
        <f t="shared" si="3"/>
        <v>0</v>
      </c>
      <c r="P531" s="9">
        <f t="shared" si="1"/>
        <v>-5</v>
      </c>
      <c r="Q531" s="5">
        <f t="shared" si="2"/>
        <v>-281</v>
      </c>
    </row>
    <row r="532">
      <c r="H532" s="3" t="str">
        <f>IFERROR(__xludf.DUMMYFUNCTION("IFERROR(TRIM(INDEX(SPLIT(E532,"" + ""),1)),"""")"),"")</f>
        <v/>
      </c>
      <c r="I532" s="3" t="str">
        <f>IFERROR(__xludf.DUMMYFUNCTION("IFERROR(TRIM(INDEX(SPLIT(E532,"" + ""),2)),"""")"),"")</f>
        <v/>
      </c>
      <c r="J532" s="5" t="str">
        <f>IFERROR(__xludf.DUMMYFUNCTION("IFERROR(TRIM(INDEX(SPLIT(E532,"" + ""),3)),"""")"),"")</f>
        <v/>
      </c>
      <c r="K532" s="3">
        <f>IFERROR(__xludf.DUMMYFUNCTION("IFERROR(IF(H532="""",0,INDEX(FILTER($Q$2:Q531,$C$2:C531=H532,$G$2:G531=G532),ROWS(FILTER($Q$2:Q531,$C$2:C531=H532,$G$2:G531=G532)),1)),1500)"),0.0)</f>
        <v>0</v>
      </c>
      <c r="L532" s="3">
        <f>IFERROR(__xludf.DUMMYFUNCTION("IFERROR(IF(I532="""",0,INDEX(FILTER($Q$2:Q531,$C$2:C531=I532,$G$2:G531=G532),ROWS(FILTER($Q$2:Q531,$C$2:C531=I532,$G$2:G531=G532)),1)),1500)"),0.0)</f>
        <v>0</v>
      </c>
      <c r="M532" s="3">
        <f>IFERROR(__xludf.DUMMYFUNCTION("IFERROR(IF(J532="""",0,INDEX(FILTER($Q$2:Q531,$C$2:C531=J532,$G$2:G531=G532),ROWS(FILTER($Q$2:Q531,$C$2:C531=J532,$G$2:G531=G532)),1)),1500)"),0.0)</f>
        <v>0</v>
      </c>
      <c r="N532" s="3">
        <f>IFERROR(__xludf.DUMMYFUNCTION("IFERROR(INDEX(FILTER($Q$2:Q531,$C$2:C531=C532,$G$2:G531=G532),ROWS(FILTER($Q$2:Q531,$C$2:C531=C532,$G$2:G531=G532)),1),1500)"),-281.0)</f>
        <v>-281</v>
      </c>
      <c r="O532" s="3">
        <f t="shared" si="3"/>
        <v>0</v>
      </c>
      <c r="P532" s="9">
        <f t="shared" si="1"/>
        <v>-5</v>
      </c>
      <c r="Q532" s="5">
        <f t="shared" si="2"/>
        <v>-286</v>
      </c>
    </row>
    <row r="533">
      <c r="H533" s="3" t="str">
        <f>IFERROR(__xludf.DUMMYFUNCTION("IFERROR(TRIM(INDEX(SPLIT(E533,"" + ""),1)),"""")"),"")</f>
        <v/>
      </c>
      <c r="I533" s="3" t="str">
        <f>IFERROR(__xludf.DUMMYFUNCTION("IFERROR(TRIM(INDEX(SPLIT(E533,"" + ""),2)),"""")"),"")</f>
        <v/>
      </c>
      <c r="J533" s="5" t="str">
        <f>IFERROR(__xludf.DUMMYFUNCTION("IFERROR(TRIM(INDEX(SPLIT(E533,"" + ""),3)),"""")"),"")</f>
        <v/>
      </c>
      <c r="K533" s="3">
        <f>IFERROR(__xludf.DUMMYFUNCTION("IFERROR(IF(H533="""",0,INDEX(FILTER($Q$2:Q532,$C$2:C532=H533,$G$2:G532=G533),ROWS(FILTER($Q$2:Q532,$C$2:C532=H533,$G$2:G532=G533)),1)),1500)"),0.0)</f>
        <v>0</v>
      </c>
      <c r="L533" s="3">
        <f>IFERROR(__xludf.DUMMYFUNCTION("IFERROR(IF(I533="""",0,INDEX(FILTER($Q$2:Q532,$C$2:C532=I533,$G$2:G532=G533),ROWS(FILTER($Q$2:Q532,$C$2:C532=I533,$G$2:G532=G533)),1)),1500)"),0.0)</f>
        <v>0</v>
      </c>
      <c r="M533" s="3">
        <f>IFERROR(__xludf.DUMMYFUNCTION("IFERROR(IF(J533="""",0,INDEX(FILTER($Q$2:Q532,$C$2:C532=J533,$G$2:G532=G533),ROWS(FILTER($Q$2:Q532,$C$2:C532=J533,$G$2:G532=G533)),1)),1500)"),0.0)</f>
        <v>0</v>
      </c>
      <c r="N533" s="3">
        <f>IFERROR(__xludf.DUMMYFUNCTION("IFERROR(INDEX(FILTER($Q$2:Q532,$C$2:C532=C533,$G$2:G532=G533),ROWS(FILTER($Q$2:Q532,$C$2:C532=C533,$G$2:G532=G533)),1),1500)"),-286.0)</f>
        <v>-286</v>
      </c>
      <c r="O533" s="3">
        <f t="shared" si="3"/>
        <v>0</v>
      </c>
      <c r="P533" s="9">
        <f t="shared" si="1"/>
        <v>-5</v>
      </c>
      <c r="Q533" s="5">
        <f t="shared" si="2"/>
        <v>-291</v>
      </c>
    </row>
    <row r="534">
      <c r="H534" s="3" t="str">
        <f>IFERROR(__xludf.DUMMYFUNCTION("IFERROR(TRIM(INDEX(SPLIT(E534,"" + ""),1)),"""")"),"")</f>
        <v/>
      </c>
      <c r="I534" s="3" t="str">
        <f>IFERROR(__xludf.DUMMYFUNCTION("IFERROR(TRIM(INDEX(SPLIT(E534,"" + ""),2)),"""")"),"")</f>
        <v/>
      </c>
      <c r="J534" s="5" t="str">
        <f>IFERROR(__xludf.DUMMYFUNCTION("IFERROR(TRIM(INDEX(SPLIT(E534,"" + ""),3)),"""")"),"")</f>
        <v/>
      </c>
      <c r="K534" s="3">
        <f>IFERROR(__xludf.DUMMYFUNCTION("IFERROR(IF(H534="""",0,INDEX(FILTER($Q$2:Q533,$C$2:C533=H534,$G$2:G533=G534),ROWS(FILTER($Q$2:Q533,$C$2:C533=H534,$G$2:G533=G534)),1)),1500)"),0.0)</f>
        <v>0</v>
      </c>
      <c r="L534" s="3">
        <f>IFERROR(__xludf.DUMMYFUNCTION("IFERROR(IF(I534="""",0,INDEX(FILTER($Q$2:Q533,$C$2:C533=I534,$G$2:G533=G534),ROWS(FILTER($Q$2:Q533,$C$2:C533=I534,$G$2:G533=G534)),1)),1500)"),0.0)</f>
        <v>0</v>
      </c>
      <c r="M534" s="3">
        <f>IFERROR(__xludf.DUMMYFUNCTION("IFERROR(IF(J534="""",0,INDEX(FILTER($Q$2:Q533,$C$2:C533=J534,$G$2:G533=G534),ROWS(FILTER($Q$2:Q533,$C$2:C533=J534,$G$2:G533=G534)),1)),1500)"),0.0)</f>
        <v>0</v>
      </c>
      <c r="N534" s="3">
        <f>IFERROR(__xludf.DUMMYFUNCTION("IFERROR(INDEX(FILTER($Q$2:Q533,$C$2:C533=C534,$G$2:G533=G534),ROWS(FILTER($Q$2:Q533,$C$2:C533=C534,$G$2:G533=G534)),1),1500)"),-291.0)</f>
        <v>-291</v>
      </c>
      <c r="O534" s="3">
        <f t="shared" si="3"/>
        <v>0</v>
      </c>
      <c r="P534" s="9">
        <f t="shared" si="1"/>
        <v>-5</v>
      </c>
      <c r="Q534" s="5">
        <f t="shared" si="2"/>
        <v>-296</v>
      </c>
    </row>
    <row r="535">
      <c r="H535" s="3" t="str">
        <f>IFERROR(__xludf.DUMMYFUNCTION("IFERROR(TRIM(INDEX(SPLIT(E535,"" + ""),1)),"""")"),"")</f>
        <v/>
      </c>
      <c r="I535" s="3" t="str">
        <f>IFERROR(__xludf.DUMMYFUNCTION("IFERROR(TRIM(INDEX(SPLIT(E535,"" + ""),2)),"""")"),"")</f>
        <v/>
      </c>
      <c r="J535" s="5" t="str">
        <f>IFERROR(__xludf.DUMMYFUNCTION("IFERROR(TRIM(INDEX(SPLIT(E535,"" + ""),3)),"""")"),"")</f>
        <v/>
      </c>
      <c r="K535" s="3">
        <f>IFERROR(__xludf.DUMMYFUNCTION("IFERROR(IF(H535="""",0,INDEX(FILTER($Q$2:Q534,$C$2:C534=H535,$G$2:G534=G535),ROWS(FILTER($Q$2:Q534,$C$2:C534=H535,$G$2:G534=G535)),1)),1500)"),0.0)</f>
        <v>0</v>
      </c>
      <c r="L535" s="3">
        <f>IFERROR(__xludf.DUMMYFUNCTION("IFERROR(IF(I535="""",0,INDEX(FILTER($Q$2:Q534,$C$2:C534=I535,$G$2:G534=G535),ROWS(FILTER($Q$2:Q534,$C$2:C534=I535,$G$2:G534=G535)),1)),1500)"),0.0)</f>
        <v>0</v>
      </c>
      <c r="M535" s="3">
        <f>IFERROR(__xludf.DUMMYFUNCTION("IFERROR(IF(J535="""",0,INDEX(FILTER($Q$2:Q534,$C$2:C534=J535,$G$2:G534=G535),ROWS(FILTER($Q$2:Q534,$C$2:C534=J535,$G$2:G534=G535)),1)),1500)"),0.0)</f>
        <v>0</v>
      </c>
      <c r="N535" s="3">
        <f>IFERROR(__xludf.DUMMYFUNCTION("IFERROR(INDEX(FILTER($Q$2:Q534,$C$2:C534=C535,$G$2:G534=G535),ROWS(FILTER($Q$2:Q534,$C$2:C534=C535,$G$2:G534=G535)),1),1500)"),-296.0)</f>
        <v>-296</v>
      </c>
      <c r="O535" s="3">
        <f t="shared" si="3"/>
        <v>0</v>
      </c>
      <c r="P535" s="9">
        <f t="shared" si="1"/>
        <v>-5</v>
      </c>
      <c r="Q535" s="5">
        <f t="shared" si="2"/>
        <v>-301</v>
      </c>
    </row>
    <row r="536">
      <c r="H536" s="3" t="str">
        <f>IFERROR(__xludf.DUMMYFUNCTION("IFERROR(TRIM(INDEX(SPLIT(E536,"" + ""),1)),"""")"),"")</f>
        <v/>
      </c>
      <c r="I536" s="3" t="str">
        <f>IFERROR(__xludf.DUMMYFUNCTION("IFERROR(TRIM(INDEX(SPLIT(E536,"" + ""),2)),"""")"),"")</f>
        <v/>
      </c>
      <c r="J536" s="5" t="str">
        <f>IFERROR(__xludf.DUMMYFUNCTION("IFERROR(TRIM(INDEX(SPLIT(E536,"" + ""),3)),"""")"),"")</f>
        <v/>
      </c>
      <c r="K536" s="3">
        <f>IFERROR(__xludf.DUMMYFUNCTION("IFERROR(IF(H536="""",0,INDEX(FILTER($Q$2:Q535,$C$2:C535=H536,$G$2:G535=G536),ROWS(FILTER($Q$2:Q535,$C$2:C535=H536,$G$2:G535=G536)),1)),1500)"),0.0)</f>
        <v>0</v>
      </c>
      <c r="L536" s="3">
        <f>IFERROR(__xludf.DUMMYFUNCTION("IFERROR(IF(I536="""",0,INDEX(FILTER($Q$2:Q535,$C$2:C535=I536,$G$2:G535=G536),ROWS(FILTER($Q$2:Q535,$C$2:C535=I536,$G$2:G535=G536)),1)),1500)"),0.0)</f>
        <v>0</v>
      </c>
      <c r="M536" s="3">
        <f>IFERROR(__xludf.DUMMYFUNCTION("IFERROR(IF(J536="""",0,INDEX(FILTER($Q$2:Q535,$C$2:C535=J536,$G$2:G535=G536),ROWS(FILTER($Q$2:Q535,$C$2:C535=J536,$G$2:G535=G536)),1)),1500)"),0.0)</f>
        <v>0</v>
      </c>
      <c r="N536" s="3">
        <f>IFERROR(__xludf.DUMMYFUNCTION("IFERROR(INDEX(FILTER($Q$2:Q535,$C$2:C535=C536,$G$2:G535=G536),ROWS(FILTER($Q$2:Q535,$C$2:C535=C536,$G$2:G535=G536)),1),1500)"),-301.0)</f>
        <v>-301</v>
      </c>
      <c r="O536" s="3">
        <f t="shared" si="3"/>
        <v>0</v>
      </c>
      <c r="P536" s="9">
        <f t="shared" si="1"/>
        <v>-5</v>
      </c>
      <c r="Q536" s="5">
        <f t="shared" si="2"/>
        <v>-306</v>
      </c>
    </row>
    <row r="537">
      <c r="H537" s="3" t="str">
        <f>IFERROR(__xludf.DUMMYFUNCTION("IFERROR(TRIM(INDEX(SPLIT(E537,"" + ""),1)),"""")"),"")</f>
        <v/>
      </c>
      <c r="I537" s="3" t="str">
        <f>IFERROR(__xludf.DUMMYFUNCTION("IFERROR(TRIM(INDEX(SPLIT(E537,"" + ""),2)),"""")"),"")</f>
        <v/>
      </c>
      <c r="J537" s="5" t="str">
        <f>IFERROR(__xludf.DUMMYFUNCTION("IFERROR(TRIM(INDEX(SPLIT(E537,"" + ""),3)),"""")"),"")</f>
        <v/>
      </c>
      <c r="K537" s="3">
        <f>IFERROR(__xludf.DUMMYFUNCTION("IFERROR(IF(H537="""",0,INDEX(FILTER($Q$2:Q536,$C$2:C536=H537,$G$2:G536=G537),ROWS(FILTER($Q$2:Q536,$C$2:C536=H537,$G$2:G536=G537)),1)),1500)"),0.0)</f>
        <v>0</v>
      </c>
      <c r="L537" s="3">
        <f>IFERROR(__xludf.DUMMYFUNCTION("IFERROR(IF(I537="""",0,INDEX(FILTER($Q$2:Q536,$C$2:C536=I537,$G$2:G536=G537),ROWS(FILTER($Q$2:Q536,$C$2:C536=I537,$G$2:G536=G537)),1)),1500)"),0.0)</f>
        <v>0</v>
      </c>
      <c r="M537" s="3">
        <f>IFERROR(__xludf.DUMMYFUNCTION("IFERROR(IF(J537="""",0,INDEX(FILTER($Q$2:Q536,$C$2:C536=J537,$G$2:G536=G537),ROWS(FILTER($Q$2:Q536,$C$2:C536=J537,$G$2:G536=G537)),1)),1500)"),0.0)</f>
        <v>0</v>
      </c>
      <c r="N537" s="3">
        <f>IFERROR(__xludf.DUMMYFUNCTION("IFERROR(INDEX(FILTER($Q$2:Q536,$C$2:C536=C537,$G$2:G536=G537),ROWS(FILTER($Q$2:Q536,$C$2:C536=C537,$G$2:G536=G537)),1),1500)"),-306.0)</f>
        <v>-306</v>
      </c>
      <c r="O537" s="3">
        <f t="shared" si="3"/>
        <v>0</v>
      </c>
      <c r="P537" s="9">
        <f t="shared" si="1"/>
        <v>-5</v>
      </c>
      <c r="Q537" s="5">
        <f t="shared" si="2"/>
        <v>-311</v>
      </c>
    </row>
    <row r="538">
      <c r="H538" s="3" t="str">
        <f>IFERROR(__xludf.DUMMYFUNCTION("IFERROR(TRIM(INDEX(SPLIT(E538,"" + ""),1)),"""")"),"")</f>
        <v/>
      </c>
      <c r="I538" s="3" t="str">
        <f>IFERROR(__xludf.DUMMYFUNCTION("IFERROR(TRIM(INDEX(SPLIT(E538,"" + ""),2)),"""")"),"")</f>
        <v/>
      </c>
      <c r="J538" s="5" t="str">
        <f>IFERROR(__xludf.DUMMYFUNCTION("IFERROR(TRIM(INDEX(SPLIT(E538,"" + ""),3)),"""")"),"")</f>
        <v/>
      </c>
      <c r="K538" s="3">
        <f>IFERROR(__xludf.DUMMYFUNCTION("IFERROR(IF(H538="""",0,INDEX(FILTER($Q$2:Q537,$C$2:C537=H538,$G$2:G537=G538),ROWS(FILTER($Q$2:Q537,$C$2:C537=H538,$G$2:G537=G538)),1)),1500)"),0.0)</f>
        <v>0</v>
      </c>
      <c r="L538" s="3">
        <f>IFERROR(__xludf.DUMMYFUNCTION("IFERROR(IF(I538="""",0,INDEX(FILTER($Q$2:Q537,$C$2:C537=I538,$G$2:G537=G538),ROWS(FILTER($Q$2:Q537,$C$2:C537=I538,$G$2:G537=G538)),1)),1500)"),0.0)</f>
        <v>0</v>
      </c>
      <c r="M538" s="3">
        <f>IFERROR(__xludf.DUMMYFUNCTION("IFERROR(IF(J538="""",0,INDEX(FILTER($Q$2:Q537,$C$2:C537=J538,$G$2:G537=G538),ROWS(FILTER($Q$2:Q537,$C$2:C537=J538,$G$2:G537=G538)),1)),1500)"),0.0)</f>
        <v>0</v>
      </c>
      <c r="N538" s="3">
        <f>IFERROR(__xludf.DUMMYFUNCTION("IFERROR(INDEX(FILTER($Q$2:Q537,$C$2:C537=C538,$G$2:G537=G538),ROWS(FILTER($Q$2:Q537,$C$2:C537=C538,$G$2:G537=G538)),1),1500)"),-311.0)</f>
        <v>-311</v>
      </c>
      <c r="O538" s="3">
        <f t="shared" si="3"/>
        <v>0</v>
      </c>
      <c r="P538" s="9">
        <f t="shared" si="1"/>
        <v>-5</v>
      </c>
      <c r="Q538" s="5">
        <f t="shared" si="2"/>
        <v>-316</v>
      </c>
    </row>
    <row r="539">
      <c r="H539" s="3" t="str">
        <f>IFERROR(__xludf.DUMMYFUNCTION("IFERROR(TRIM(INDEX(SPLIT(E539,"" + ""),1)),"""")"),"")</f>
        <v/>
      </c>
      <c r="I539" s="3" t="str">
        <f>IFERROR(__xludf.DUMMYFUNCTION("IFERROR(TRIM(INDEX(SPLIT(E539,"" + ""),2)),"""")"),"")</f>
        <v/>
      </c>
      <c r="J539" s="5" t="str">
        <f>IFERROR(__xludf.DUMMYFUNCTION("IFERROR(TRIM(INDEX(SPLIT(E539,"" + ""),3)),"""")"),"")</f>
        <v/>
      </c>
      <c r="K539" s="3">
        <f>IFERROR(__xludf.DUMMYFUNCTION("IFERROR(IF(H539="""",0,INDEX(FILTER($Q$2:Q538,$C$2:C538=H539,$G$2:G538=G539),ROWS(FILTER($Q$2:Q538,$C$2:C538=H539,$G$2:G538=G539)),1)),1500)"),0.0)</f>
        <v>0</v>
      </c>
      <c r="L539" s="3">
        <f>IFERROR(__xludf.DUMMYFUNCTION("IFERROR(IF(I539="""",0,INDEX(FILTER($Q$2:Q538,$C$2:C538=I539,$G$2:G538=G539),ROWS(FILTER($Q$2:Q538,$C$2:C538=I539,$G$2:G538=G539)),1)),1500)"),0.0)</f>
        <v>0</v>
      </c>
      <c r="M539" s="3">
        <f>IFERROR(__xludf.DUMMYFUNCTION("IFERROR(IF(J539="""",0,INDEX(FILTER($Q$2:Q538,$C$2:C538=J539,$G$2:G538=G539),ROWS(FILTER($Q$2:Q538,$C$2:C538=J539,$G$2:G538=G539)),1)),1500)"),0.0)</f>
        <v>0</v>
      </c>
      <c r="N539" s="3">
        <f>IFERROR(__xludf.DUMMYFUNCTION("IFERROR(INDEX(FILTER($Q$2:Q538,$C$2:C538=C539,$G$2:G538=G539),ROWS(FILTER($Q$2:Q538,$C$2:C538=C539,$G$2:G538=G539)),1),1500)"),-316.0)</f>
        <v>-316</v>
      </c>
      <c r="O539" s="3">
        <f t="shared" si="3"/>
        <v>0</v>
      </c>
      <c r="P539" s="9">
        <f t="shared" si="1"/>
        <v>-4</v>
      </c>
      <c r="Q539" s="5">
        <f t="shared" si="2"/>
        <v>-320</v>
      </c>
    </row>
    <row r="540">
      <c r="H540" s="3" t="str">
        <f>IFERROR(__xludf.DUMMYFUNCTION("IFERROR(TRIM(INDEX(SPLIT(E540,"" + ""),1)),"""")"),"")</f>
        <v/>
      </c>
      <c r="I540" s="3" t="str">
        <f>IFERROR(__xludf.DUMMYFUNCTION("IFERROR(TRIM(INDEX(SPLIT(E540,"" + ""),2)),"""")"),"")</f>
        <v/>
      </c>
      <c r="J540" s="5" t="str">
        <f>IFERROR(__xludf.DUMMYFUNCTION("IFERROR(TRIM(INDEX(SPLIT(E540,"" + ""),3)),"""")"),"")</f>
        <v/>
      </c>
      <c r="K540" s="3">
        <f>IFERROR(__xludf.DUMMYFUNCTION("IFERROR(IF(H540="""",0,INDEX(FILTER($Q$2:Q539,$C$2:C539=H540,$G$2:G539=G540),ROWS(FILTER($Q$2:Q539,$C$2:C539=H540,$G$2:G539=G540)),1)),1500)"),0.0)</f>
        <v>0</v>
      </c>
      <c r="L540" s="3">
        <f>IFERROR(__xludf.DUMMYFUNCTION("IFERROR(IF(I540="""",0,INDEX(FILTER($Q$2:Q539,$C$2:C539=I540,$G$2:G539=G540),ROWS(FILTER($Q$2:Q539,$C$2:C539=I540,$G$2:G539=G540)),1)),1500)"),0.0)</f>
        <v>0</v>
      </c>
      <c r="M540" s="3">
        <f>IFERROR(__xludf.DUMMYFUNCTION("IFERROR(IF(J540="""",0,INDEX(FILTER($Q$2:Q539,$C$2:C539=J540,$G$2:G539=G540),ROWS(FILTER($Q$2:Q539,$C$2:C539=J540,$G$2:G539=G540)),1)),1500)"),0.0)</f>
        <v>0</v>
      </c>
      <c r="N540" s="3">
        <f>IFERROR(__xludf.DUMMYFUNCTION("IFERROR(INDEX(FILTER($Q$2:Q539,$C$2:C539=C540,$G$2:G539=G540),ROWS(FILTER($Q$2:Q539,$C$2:C539=C540,$G$2:G539=G540)),1),1500)"),-320.0)</f>
        <v>-320</v>
      </c>
      <c r="O540" s="3">
        <f t="shared" si="3"/>
        <v>0</v>
      </c>
      <c r="P540" s="9">
        <f t="shared" si="1"/>
        <v>-4</v>
      </c>
      <c r="Q540" s="5">
        <f t="shared" si="2"/>
        <v>-324</v>
      </c>
    </row>
    <row r="541">
      <c r="H541" s="3" t="str">
        <f>IFERROR(__xludf.DUMMYFUNCTION("IFERROR(TRIM(INDEX(SPLIT(E541,"" + ""),1)),"""")"),"")</f>
        <v/>
      </c>
      <c r="I541" s="3" t="str">
        <f>IFERROR(__xludf.DUMMYFUNCTION("IFERROR(TRIM(INDEX(SPLIT(E541,"" + ""),2)),"""")"),"")</f>
        <v/>
      </c>
      <c r="J541" s="5" t="str">
        <f>IFERROR(__xludf.DUMMYFUNCTION("IFERROR(TRIM(INDEX(SPLIT(E541,"" + ""),3)),"""")"),"")</f>
        <v/>
      </c>
      <c r="K541" s="3">
        <f>IFERROR(__xludf.DUMMYFUNCTION("IFERROR(IF(H541="""",0,INDEX(FILTER($Q$2:Q540,$C$2:C540=H541,$G$2:G540=G541),ROWS(FILTER($Q$2:Q540,$C$2:C540=H541,$G$2:G540=G541)),1)),1500)"),0.0)</f>
        <v>0</v>
      </c>
      <c r="L541" s="3">
        <f>IFERROR(__xludf.DUMMYFUNCTION("IFERROR(IF(I541="""",0,INDEX(FILTER($Q$2:Q540,$C$2:C540=I541,$G$2:G540=G541),ROWS(FILTER($Q$2:Q540,$C$2:C540=I541,$G$2:G540=G541)),1)),1500)"),0.0)</f>
        <v>0</v>
      </c>
      <c r="M541" s="3">
        <f>IFERROR(__xludf.DUMMYFUNCTION("IFERROR(IF(J541="""",0,INDEX(FILTER($Q$2:Q540,$C$2:C540=J541,$G$2:G540=G541),ROWS(FILTER($Q$2:Q540,$C$2:C540=J541,$G$2:G540=G541)),1)),1500)"),0.0)</f>
        <v>0</v>
      </c>
      <c r="N541" s="3">
        <f>IFERROR(__xludf.DUMMYFUNCTION("IFERROR(INDEX(FILTER($Q$2:Q540,$C$2:C540=C541,$G$2:G540=G541),ROWS(FILTER($Q$2:Q540,$C$2:C540=C541,$G$2:G540=G541)),1),1500)"),-324.0)</f>
        <v>-324</v>
      </c>
      <c r="O541" s="3">
        <f t="shared" si="3"/>
        <v>0</v>
      </c>
      <c r="P541" s="9">
        <f t="shared" si="1"/>
        <v>-4</v>
      </c>
      <c r="Q541" s="5">
        <f t="shared" si="2"/>
        <v>-328</v>
      </c>
    </row>
    <row r="542">
      <c r="H542" s="3" t="str">
        <f>IFERROR(__xludf.DUMMYFUNCTION("IFERROR(TRIM(INDEX(SPLIT(E542,"" + ""),1)),"""")"),"")</f>
        <v/>
      </c>
      <c r="I542" s="3" t="str">
        <f>IFERROR(__xludf.DUMMYFUNCTION("IFERROR(TRIM(INDEX(SPLIT(E542,"" + ""),2)),"""")"),"")</f>
        <v/>
      </c>
      <c r="J542" s="5" t="str">
        <f>IFERROR(__xludf.DUMMYFUNCTION("IFERROR(TRIM(INDEX(SPLIT(E542,"" + ""),3)),"""")"),"")</f>
        <v/>
      </c>
      <c r="K542" s="3">
        <f>IFERROR(__xludf.DUMMYFUNCTION("IFERROR(IF(H542="""",0,INDEX(FILTER($Q$2:Q541,$C$2:C541=H542,$G$2:G541=G542),ROWS(FILTER($Q$2:Q541,$C$2:C541=H542,$G$2:G541=G542)),1)),1500)"),0.0)</f>
        <v>0</v>
      </c>
      <c r="L542" s="3">
        <f>IFERROR(__xludf.DUMMYFUNCTION("IFERROR(IF(I542="""",0,INDEX(FILTER($Q$2:Q541,$C$2:C541=I542,$G$2:G541=G542),ROWS(FILTER($Q$2:Q541,$C$2:C541=I542,$G$2:G541=G542)),1)),1500)"),0.0)</f>
        <v>0</v>
      </c>
      <c r="M542" s="3">
        <f>IFERROR(__xludf.DUMMYFUNCTION("IFERROR(IF(J542="""",0,INDEX(FILTER($Q$2:Q541,$C$2:C541=J542,$G$2:G541=G542),ROWS(FILTER($Q$2:Q541,$C$2:C541=J542,$G$2:G541=G542)),1)),1500)"),0.0)</f>
        <v>0</v>
      </c>
      <c r="N542" s="3">
        <f>IFERROR(__xludf.DUMMYFUNCTION("IFERROR(INDEX(FILTER($Q$2:Q541,$C$2:C541=C542,$G$2:G541=G542),ROWS(FILTER($Q$2:Q541,$C$2:C541=C542,$G$2:G541=G542)),1),1500)"),-328.0)</f>
        <v>-328</v>
      </c>
      <c r="O542" s="3">
        <f t="shared" si="3"/>
        <v>0</v>
      </c>
      <c r="P542" s="9">
        <f t="shared" si="1"/>
        <v>-4</v>
      </c>
      <c r="Q542" s="5">
        <f t="shared" si="2"/>
        <v>-332</v>
      </c>
    </row>
    <row r="543">
      <c r="H543" s="3" t="str">
        <f>IFERROR(__xludf.DUMMYFUNCTION("IFERROR(TRIM(INDEX(SPLIT(E543,"" + ""),1)),"""")"),"")</f>
        <v/>
      </c>
      <c r="I543" s="3" t="str">
        <f>IFERROR(__xludf.DUMMYFUNCTION("IFERROR(TRIM(INDEX(SPLIT(E543,"" + ""),2)),"""")"),"")</f>
        <v/>
      </c>
      <c r="J543" s="5" t="str">
        <f>IFERROR(__xludf.DUMMYFUNCTION("IFERROR(TRIM(INDEX(SPLIT(E543,"" + ""),3)),"""")"),"")</f>
        <v/>
      </c>
      <c r="K543" s="3">
        <f>IFERROR(__xludf.DUMMYFUNCTION("IFERROR(IF(H543="""",0,INDEX(FILTER($Q$2:Q542,$C$2:C542=H543,$G$2:G542=G543),ROWS(FILTER($Q$2:Q542,$C$2:C542=H543,$G$2:G542=G543)),1)),1500)"),0.0)</f>
        <v>0</v>
      </c>
      <c r="L543" s="3">
        <f>IFERROR(__xludf.DUMMYFUNCTION("IFERROR(IF(I543="""",0,INDEX(FILTER($Q$2:Q542,$C$2:C542=I543,$G$2:G542=G543),ROWS(FILTER($Q$2:Q542,$C$2:C542=I543,$G$2:G542=G543)),1)),1500)"),0.0)</f>
        <v>0</v>
      </c>
      <c r="M543" s="3">
        <f>IFERROR(__xludf.DUMMYFUNCTION("IFERROR(IF(J543="""",0,INDEX(FILTER($Q$2:Q542,$C$2:C542=J543,$G$2:G542=G543),ROWS(FILTER($Q$2:Q542,$C$2:C542=J543,$G$2:G542=G543)),1)),1500)"),0.0)</f>
        <v>0</v>
      </c>
      <c r="N543" s="3">
        <f>IFERROR(__xludf.DUMMYFUNCTION("IFERROR(INDEX(FILTER($Q$2:Q542,$C$2:C542=C543,$G$2:G542=G543),ROWS(FILTER($Q$2:Q542,$C$2:C542=C543,$G$2:G542=G543)),1),1500)"),-332.0)</f>
        <v>-332</v>
      </c>
      <c r="O543" s="3">
        <f t="shared" si="3"/>
        <v>0</v>
      </c>
      <c r="P543" s="9">
        <f t="shared" si="1"/>
        <v>-4</v>
      </c>
      <c r="Q543" s="5">
        <f t="shared" si="2"/>
        <v>-336</v>
      </c>
    </row>
    <row r="544">
      <c r="H544" s="3" t="str">
        <f>IFERROR(__xludf.DUMMYFUNCTION("IFERROR(TRIM(INDEX(SPLIT(E544,"" + ""),1)),"""")"),"")</f>
        <v/>
      </c>
      <c r="I544" s="3" t="str">
        <f>IFERROR(__xludf.DUMMYFUNCTION("IFERROR(TRIM(INDEX(SPLIT(E544,"" + ""),2)),"""")"),"")</f>
        <v/>
      </c>
      <c r="J544" s="5" t="str">
        <f>IFERROR(__xludf.DUMMYFUNCTION("IFERROR(TRIM(INDEX(SPLIT(E544,"" + ""),3)),"""")"),"")</f>
        <v/>
      </c>
      <c r="K544" s="3">
        <f>IFERROR(__xludf.DUMMYFUNCTION("IFERROR(IF(H544="""",0,INDEX(FILTER($Q$2:Q543,$C$2:C543=H544,$G$2:G543=G544),ROWS(FILTER($Q$2:Q543,$C$2:C543=H544,$G$2:G543=G544)),1)),1500)"),0.0)</f>
        <v>0</v>
      </c>
      <c r="L544" s="3">
        <f>IFERROR(__xludf.DUMMYFUNCTION("IFERROR(IF(I544="""",0,INDEX(FILTER($Q$2:Q543,$C$2:C543=I544,$G$2:G543=G544),ROWS(FILTER($Q$2:Q543,$C$2:C543=I544,$G$2:G543=G544)),1)),1500)"),0.0)</f>
        <v>0</v>
      </c>
      <c r="M544" s="3">
        <f>IFERROR(__xludf.DUMMYFUNCTION("IFERROR(IF(J544="""",0,INDEX(FILTER($Q$2:Q543,$C$2:C543=J544,$G$2:G543=G544),ROWS(FILTER($Q$2:Q543,$C$2:C543=J544,$G$2:G543=G544)),1)),1500)"),0.0)</f>
        <v>0</v>
      </c>
      <c r="N544" s="3">
        <f>IFERROR(__xludf.DUMMYFUNCTION("IFERROR(INDEX(FILTER($Q$2:Q543,$C$2:C543=C544,$G$2:G543=G544),ROWS(FILTER($Q$2:Q543,$C$2:C543=C544,$G$2:G543=G544)),1),1500)"),-336.0)</f>
        <v>-336</v>
      </c>
      <c r="O544" s="3">
        <f t="shared" si="3"/>
        <v>0</v>
      </c>
      <c r="P544" s="9">
        <f t="shared" si="1"/>
        <v>-4</v>
      </c>
      <c r="Q544" s="5">
        <f t="shared" si="2"/>
        <v>-340</v>
      </c>
    </row>
    <row r="545">
      <c r="H545" s="3" t="str">
        <f>IFERROR(__xludf.DUMMYFUNCTION("IFERROR(TRIM(INDEX(SPLIT(E545,"" + ""),1)),"""")"),"")</f>
        <v/>
      </c>
      <c r="I545" s="3" t="str">
        <f>IFERROR(__xludf.DUMMYFUNCTION("IFERROR(TRIM(INDEX(SPLIT(E545,"" + ""),2)),"""")"),"")</f>
        <v/>
      </c>
      <c r="J545" s="5" t="str">
        <f>IFERROR(__xludf.DUMMYFUNCTION("IFERROR(TRIM(INDEX(SPLIT(E545,"" + ""),3)),"""")"),"")</f>
        <v/>
      </c>
      <c r="K545" s="3">
        <f>IFERROR(__xludf.DUMMYFUNCTION("IFERROR(IF(H545="""",0,INDEX(FILTER($Q$2:Q544,$C$2:C544=H545,$G$2:G544=G545),ROWS(FILTER($Q$2:Q544,$C$2:C544=H545,$G$2:G544=G545)),1)),1500)"),0.0)</f>
        <v>0</v>
      </c>
      <c r="L545" s="3">
        <f>IFERROR(__xludf.DUMMYFUNCTION("IFERROR(IF(I545="""",0,INDEX(FILTER($Q$2:Q544,$C$2:C544=I545,$G$2:G544=G545),ROWS(FILTER($Q$2:Q544,$C$2:C544=I545,$G$2:G544=G545)),1)),1500)"),0.0)</f>
        <v>0</v>
      </c>
      <c r="M545" s="3">
        <f>IFERROR(__xludf.DUMMYFUNCTION("IFERROR(IF(J545="""",0,INDEX(FILTER($Q$2:Q544,$C$2:C544=J545,$G$2:G544=G545),ROWS(FILTER($Q$2:Q544,$C$2:C544=J545,$G$2:G544=G545)),1)),1500)"),0.0)</f>
        <v>0</v>
      </c>
      <c r="N545" s="3">
        <f>IFERROR(__xludf.DUMMYFUNCTION("IFERROR(INDEX(FILTER($Q$2:Q544,$C$2:C544=C545,$G$2:G544=G545),ROWS(FILTER($Q$2:Q544,$C$2:C544=C545,$G$2:G544=G545)),1),1500)"),-340.0)</f>
        <v>-340</v>
      </c>
      <c r="O545" s="3">
        <f t="shared" si="3"/>
        <v>0</v>
      </c>
      <c r="P545" s="9">
        <f t="shared" si="1"/>
        <v>-4</v>
      </c>
      <c r="Q545" s="5">
        <f t="shared" si="2"/>
        <v>-344</v>
      </c>
    </row>
    <row r="546">
      <c r="H546" s="3" t="str">
        <f>IFERROR(__xludf.DUMMYFUNCTION("IFERROR(TRIM(INDEX(SPLIT(E546,"" + ""),1)),"""")"),"")</f>
        <v/>
      </c>
      <c r="I546" s="3" t="str">
        <f>IFERROR(__xludf.DUMMYFUNCTION("IFERROR(TRIM(INDEX(SPLIT(E546,"" + ""),2)),"""")"),"")</f>
        <v/>
      </c>
      <c r="J546" s="5" t="str">
        <f>IFERROR(__xludf.DUMMYFUNCTION("IFERROR(TRIM(INDEX(SPLIT(E546,"" + ""),3)),"""")"),"")</f>
        <v/>
      </c>
      <c r="K546" s="3">
        <f>IFERROR(__xludf.DUMMYFUNCTION("IFERROR(IF(H546="""",0,INDEX(FILTER($Q$2:Q545,$C$2:C545=H546,$G$2:G545=G546),ROWS(FILTER($Q$2:Q545,$C$2:C545=H546,$G$2:G545=G546)),1)),1500)"),0.0)</f>
        <v>0</v>
      </c>
      <c r="L546" s="3">
        <f>IFERROR(__xludf.DUMMYFUNCTION("IFERROR(IF(I546="""",0,INDEX(FILTER($Q$2:Q545,$C$2:C545=I546,$G$2:G545=G546),ROWS(FILTER($Q$2:Q545,$C$2:C545=I546,$G$2:G545=G546)),1)),1500)"),0.0)</f>
        <v>0</v>
      </c>
      <c r="M546" s="3">
        <f>IFERROR(__xludf.DUMMYFUNCTION("IFERROR(IF(J546="""",0,INDEX(FILTER($Q$2:Q545,$C$2:C545=J546,$G$2:G545=G546),ROWS(FILTER($Q$2:Q545,$C$2:C545=J546,$G$2:G545=G546)),1)),1500)"),0.0)</f>
        <v>0</v>
      </c>
      <c r="N546" s="3">
        <f>IFERROR(__xludf.DUMMYFUNCTION("IFERROR(INDEX(FILTER($Q$2:Q545,$C$2:C545=C546,$G$2:G545=G546),ROWS(FILTER($Q$2:Q545,$C$2:C545=C546,$G$2:G545=G546)),1),1500)"),-344.0)</f>
        <v>-344</v>
      </c>
      <c r="O546" s="3">
        <f t="shared" si="3"/>
        <v>0</v>
      </c>
      <c r="P546" s="9">
        <f t="shared" si="1"/>
        <v>-4</v>
      </c>
      <c r="Q546" s="5">
        <f t="shared" si="2"/>
        <v>-348</v>
      </c>
    </row>
    <row r="547">
      <c r="H547" s="3" t="str">
        <f>IFERROR(__xludf.DUMMYFUNCTION("IFERROR(TRIM(INDEX(SPLIT(E547,"" + ""),1)),"""")"),"")</f>
        <v/>
      </c>
      <c r="I547" s="3" t="str">
        <f>IFERROR(__xludf.DUMMYFUNCTION("IFERROR(TRIM(INDEX(SPLIT(E547,"" + ""),2)),"""")"),"")</f>
        <v/>
      </c>
      <c r="J547" s="5" t="str">
        <f>IFERROR(__xludf.DUMMYFUNCTION("IFERROR(TRIM(INDEX(SPLIT(E547,"" + ""),3)),"""")"),"")</f>
        <v/>
      </c>
      <c r="K547" s="3">
        <f>IFERROR(__xludf.DUMMYFUNCTION("IFERROR(IF(H547="""",0,INDEX(FILTER($Q$2:Q546,$C$2:C546=H547,$G$2:G546=G547),ROWS(FILTER($Q$2:Q546,$C$2:C546=H547,$G$2:G546=G547)),1)),1500)"),0.0)</f>
        <v>0</v>
      </c>
      <c r="L547" s="3">
        <f>IFERROR(__xludf.DUMMYFUNCTION("IFERROR(IF(I547="""",0,INDEX(FILTER($Q$2:Q546,$C$2:C546=I547,$G$2:G546=G547),ROWS(FILTER($Q$2:Q546,$C$2:C546=I547,$G$2:G546=G547)),1)),1500)"),0.0)</f>
        <v>0</v>
      </c>
      <c r="M547" s="3">
        <f>IFERROR(__xludf.DUMMYFUNCTION("IFERROR(IF(J547="""",0,INDEX(FILTER($Q$2:Q546,$C$2:C546=J547,$G$2:G546=G547),ROWS(FILTER($Q$2:Q546,$C$2:C546=J547,$G$2:G546=G547)),1)),1500)"),0.0)</f>
        <v>0</v>
      </c>
      <c r="N547" s="3">
        <f>IFERROR(__xludf.DUMMYFUNCTION("IFERROR(INDEX(FILTER($Q$2:Q546,$C$2:C546=C547,$G$2:G546=G547),ROWS(FILTER($Q$2:Q546,$C$2:C546=C547,$G$2:G546=G547)),1),1500)"),-348.0)</f>
        <v>-348</v>
      </c>
      <c r="O547" s="3">
        <f t="shared" si="3"/>
        <v>0</v>
      </c>
      <c r="P547" s="9">
        <f t="shared" si="1"/>
        <v>-4</v>
      </c>
      <c r="Q547" s="5">
        <f t="shared" si="2"/>
        <v>-352</v>
      </c>
    </row>
    <row r="548">
      <c r="H548" s="3" t="str">
        <f>IFERROR(__xludf.DUMMYFUNCTION("IFERROR(TRIM(INDEX(SPLIT(E548,"" + ""),1)),"""")"),"")</f>
        <v/>
      </c>
      <c r="I548" s="3" t="str">
        <f>IFERROR(__xludf.DUMMYFUNCTION("IFERROR(TRIM(INDEX(SPLIT(E548,"" + ""),2)),"""")"),"")</f>
        <v/>
      </c>
      <c r="J548" s="5" t="str">
        <f>IFERROR(__xludf.DUMMYFUNCTION("IFERROR(TRIM(INDEX(SPLIT(E548,"" + ""),3)),"""")"),"")</f>
        <v/>
      </c>
      <c r="K548" s="3">
        <f>IFERROR(__xludf.DUMMYFUNCTION("IFERROR(IF(H548="""",0,INDEX(FILTER($Q$2:Q547,$C$2:C547=H548,$G$2:G547=G548),ROWS(FILTER($Q$2:Q547,$C$2:C547=H548,$G$2:G547=G548)),1)),1500)"),0.0)</f>
        <v>0</v>
      </c>
      <c r="L548" s="3">
        <f>IFERROR(__xludf.DUMMYFUNCTION("IFERROR(IF(I548="""",0,INDEX(FILTER($Q$2:Q547,$C$2:C547=I548,$G$2:G547=G548),ROWS(FILTER($Q$2:Q547,$C$2:C547=I548,$G$2:G547=G548)),1)),1500)"),0.0)</f>
        <v>0</v>
      </c>
      <c r="M548" s="3">
        <f>IFERROR(__xludf.DUMMYFUNCTION("IFERROR(IF(J548="""",0,INDEX(FILTER($Q$2:Q547,$C$2:C547=J548,$G$2:G547=G548),ROWS(FILTER($Q$2:Q547,$C$2:C547=J548,$G$2:G547=G548)),1)),1500)"),0.0)</f>
        <v>0</v>
      </c>
      <c r="N548" s="3">
        <f>IFERROR(__xludf.DUMMYFUNCTION("IFERROR(INDEX(FILTER($Q$2:Q547,$C$2:C547=C548,$G$2:G547=G548),ROWS(FILTER($Q$2:Q547,$C$2:C547=C548,$G$2:G547=G548)),1),1500)"),-352.0)</f>
        <v>-352</v>
      </c>
      <c r="O548" s="3">
        <f t="shared" si="3"/>
        <v>0</v>
      </c>
      <c r="P548" s="9">
        <f t="shared" si="1"/>
        <v>-4</v>
      </c>
      <c r="Q548" s="5">
        <f t="shared" si="2"/>
        <v>-356</v>
      </c>
    </row>
    <row r="549">
      <c r="H549" s="3" t="str">
        <f>IFERROR(__xludf.DUMMYFUNCTION("IFERROR(TRIM(INDEX(SPLIT(E549,"" + ""),1)),"""")"),"")</f>
        <v/>
      </c>
      <c r="I549" s="3" t="str">
        <f>IFERROR(__xludf.DUMMYFUNCTION("IFERROR(TRIM(INDEX(SPLIT(E549,"" + ""),2)),"""")"),"")</f>
        <v/>
      </c>
      <c r="J549" s="5" t="str">
        <f>IFERROR(__xludf.DUMMYFUNCTION("IFERROR(TRIM(INDEX(SPLIT(E549,"" + ""),3)),"""")"),"")</f>
        <v/>
      </c>
      <c r="K549" s="3">
        <f>IFERROR(__xludf.DUMMYFUNCTION("IFERROR(IF(H549="""",0,INDEX(FILTER($Q$2:Q548,$C$2:C548=H549,$G$2:G548=G549),ROWS(FILTER($Q$2:Q548,$C$2:C548=H549,$G$2:G548=G549)),1)),1500)"),0.0)</f>
        <v>0</v>
      </c>
      <c r="L549" s="3">
        <f>IFERROR(__xludf.DUMMYFUNCTION("IFERROR(IF(I549="""",0,INDEX(FILTER($Q$2:Q548,$C$2:C548=I549,$G$2:G548=G549),ROWS(FILTER($Q$2:Q548,$C$2:C548=I549,$G$2:G548=G549)),1)),1500)"),0.0)</f>
        <v>0</v>
      </c>
      <c r="M549" s="3">
        <f>IFERROR(__xludf.DUMMYFUNCTION("IFERROR(IF(J549="""",0,INDEX(FILTER($Q$2:Q548,$C$2:C548=J549,$G$2:G548=G549),ROWS(FILTER($Q$2:Q548,$C$2:C548=J549,$G$2:G548=G549)),1)),1500)"),0.0)</f>
        <v>0</v>
      </c>
      <c r="N549" s="3">
        <f>IFERROR(__xludf.DUMMYFUNCTION("IFERROR(INDEX(FILTER($Q$2:Q548,$C$2:C548=C549,$G$2:G548=G549),ROWS(FILTER($Q$2:Q548,$C$2:C548=C549,$G$2:G548=G549)),1),1500)"),-356.0)</f>
        <v>-356</v>
      </c>
      <c r="O549" s="3">
        <f t="shared" si="3"/>
        <v>0</v>
      </c>
      <c r="P549" s="9">
        <f t="shared" si="1"/>
        <v>-4</v>
      </c>
      <c r="Q549" s="5">
        <f t="shared" si="2"/>
        <v>-360</v>
      </c>
    </row>
    <row r="550">
      <c r="H550" s="3" t="str">
        <f>IFERROR(__xludf.DUMMYFUNCTION("IFERROR(TRIM(INDEX(SPLIT(E550,"" + ""),1)),"""")"),"")</f>
        <v/>
      </c>
      <c r="I550" s="3" t="str">
        <f>IFERROR(__xludf.DUMMYFUNCTION("IFERROR(TRIM(INDEX(SPLIT(E550,"" + ""),2)),"""")"),"")</f>
        <v/>
      </c>
      <c r="J550" s="5" t="str">
        <f>IFERROR(__xludf.DUMMYFUNCTION("IFERROR(TRIM(INDEX(SPLIT(E550,"" + ""),3)),"""")"),"")</f>
        <v/>
      </c>
      <c r="K550" s="3">
        <f>IFERROR(__xludf.DUMMYFUNCTION("IFERROR(IF(H550="""",0,INDEX(FILTER($Q$2:Q549,$C$2:C549=H550,$G$2:G549=G550),ROWS(FILTER($Q$2:Q549,$C$2:C549=H550,$G$2:G549=G550)),1)),1500)"),0.0)</f>
        <v>0</v>
      </c>
      <c r="L550" s="3">
        <f>IFERROR(__xludf.DUMMYFUNCTION("IFERROR(IF(I550="""",0,INDEX(FILTER($Q$2:Q549,$C$2:C549=I550,$G$2:G549=G550),ROWS(FILTER($Q$2:Q549,$C$2:C549=I550,$G$2:G549=G550)),1)),1500)"),0.0)</f>
        <v>0</v>
      </c>
      <c r="M550" s="3">
        <f>IFERROR(__xludf.DUMMYFUNCTION("IFERROR(IF(J550="""",0,INDEX(FILTER($Q$2:Q549,$C$2:C549=J550,$G$2:G549=G550),ROWS(FILTER($Q$2:Q549,$C$2:C549=J550,$G$2:G549=G550)),1)),1500)"),0.0)</f>
        <v>0</v>
      </c>
      <c r="N550" s="3">
        <f>IFERROR(__xludf.DUMMYFUNCTION("IFERROR(INDEX(FILTER($Q$2:Q549,$C$2:C549=C550,$G$2:G549=G550),ROWS(FILTER($Q$2:Q549,$C$2:C549=C550,$G$2:G549=G550)),1),1500)"),-360.0)</f>
        <v>-360</v>
      </c>
      <c r="O550" s="3">
        <f t="shared" si="3"/>
        <v>0</v>
      </c>
      <c r="P550" s="9">
        <f t="shared" si="1"/>
        <v>-4</v>
      </c>
      <c r="Q550" s="5">
        <f t="shared" si="2"/>
        <v>-364</v>
      </c>
    </row>
    <row r="551">
      <c r="H551" s="3" t="str">
        <f>IFERROR(__xludf.DUMMYFUNCTION("IFERROR(TRIM(INDEX(SPLIT(E551,"" + ""),1)),"""")"),"")</f>
        <v/>
      </c>
      <c r="I551" s="3" t="str">
        <f>IFERROR(__xludf.DUMMYFUNCTION("IFERROR(TRIM(INDEX(SPLIT(E551,"" + ""),2)),"""")"),"")</f>
        <v/>
      </c>
      <c r="J551" s="5" t="str">
        <f>IFERROR(__xludf.DUMMYFUNCTION("IFERROR(TRIM(INDEX(SPLIT(E551,"" + ""),3)),"""")"),"")</f>
        <v/>
      </c>
      <c r="K551" s="3">
        <f>IFERROR(__xludf.DUMMYFUNCTION("IFERROR(IF(H551="""",0,INDEX(FILTER($Q$2:Q550,$C$2:C550=H551,$G$2:G550=G551),ROWS(FILTER($Q$2:Q550,$C$2:C550=H551,$G$2:G550=G551)),1)),1500)"),0.0)</f>
        <v>0</v>
      </c>
      <c r="L551" s="3">
        <f>IFERROR(__xludf.DUMMYFUNCTION("IFERROR(IF(I551="""",0,INDEX(FILTER($Q$2:Q550,$C$2:C550=I551,$G$2:G550=G551),ROWS(FILTER($Q$2:Q550,$C$2:C550=I551,$G$2:G550=G551)),1)),1500)"),0.0)</f>
        <v>0</v>
      </c>
      <c r="M551" s="3">
        <f>IFERROR(__xludf.DUMMYFUNCTION("IFERROR(IF(J551="""",0,INDEX(FILTER($Q$2:Q550,$C$2:C550=J551,$G$2:G550=G551),ROWS(FILTER($Q$2:Q550,$C$2:C550=J551,$G$2:G550=G551)),1)),1500)"),0.0)</f>
        <v>0</v>
      </c>
      <c r="N551" s="3">
        <f>IFERROR(__xludf.DUMMYFUNCTION("IFERROR(INDEX(FILTER($Q$2:Q550,$C$2:C550=C551,$G$2:G550=G551),ROWS(FILTER($Q$2:Q550,$C$2:C550=C551,$G$2:G550=G551)),1),1500)"),-364.0)</f>
        <v>-364</v>
      </c>
      <c r="O551" s="3">
        <f t="shared" si="3"/>
        <v>0</v>
      </c>
      <c r="P551" s="9">
        <f t="shared" si="1"/>
        <v>-4</v>
      </c>
      <c r="Q551" s="5">
        <f t="shared" si="2"/>
        <v>-368</v>
      </c>
    </row>
    <row r="552">
      <c r="H552" s="3" t="str">
        <f>IFERROR(__xludf.DUMMYFUNCTION("IFERROR(TRIM(INDEX(SPLIT(E552,"" + ""),1)),"""")"),"")</f>
        <v/>
      </c>
      <c r="I552" s="3" t="str">
        <f>IFERROR(__xludf.DUMMYFUNCTION("IFERROR(TRIM(INDEX(SPLIT(E552,"" + ""),2)),"""")"),"")</f>
        <v/>
      </c>
      <c r="J552" s="5" t="str">
        <f>IFERROR(__xludf.DUMMYFUNCTION("IFERROR(TRIM(INDEX(SPLIT(E552,"" + ""),3)),"""")"),"")</f>
        <v/>
      </c>
      <c r="K552" s="3">
        <f>IFERROR(__xludf.DUMMYFUNCTION("IFERROR(IF(H552="""",0,INDEX(FILTER($Q$2:Q551,$C$2:C551=H552,$G$2:G551=G552),ROWS(FILTER($Q$2:Q551,$C$2:C551=H552,$G$2:G551=G552)),1)),1500)"),0.0)</f>
        <v>0</v>
      </c>
      <c r="L552" s="3">
        <f>IFERROR(__xludf.DUMMYFUNCTION("IFERROR(IF(I552="""",0,INDEX(FILTER($Q$2:Q551,$C$2:C551=I552,$G$2:G551=G552),ROWS(FILTER($Q$2:Q551,$C$2:C551=I552,$G$2:G551=G552)),1)),1500)"),0.0)</f>
        <v>0</v>
      </c>
      <c r="M552" s="3">
        <f>IFERROR(__xludf.DUMMYFUNCTION("IFERROR(IF(J552="""",0,INDEX(FILTER($Q$2:Q551,$C$2:C551=J552,$G$2:G551=G552),ROWS(FILTER($Q$2:Q551,$C$2:C551=J552,$G$2:G551=G552)),1)),1500)"),0.0)</f>
        <v>0</v>
      </c>
      <c r="N552" s="3">
        <f>IFERROR(__xludf.DUMMYFUNCTION("IFERROR(INDEX(FILTER($Q$2:Q551,$C$2:C551=C552,$G$2:G551=G552),ROWS(FILTER($Q$2:Q551,$C$2:C551=C552,$G$2:G551=G552)),1),1500)"),-368.0)</f>
        <v>-368</v>
      </c>
      <c r="O552" s="3">
        <f t="shared" si="3"/>
        <v>0</v>
      </c>
      <c r="P552" s="9">
        <f t="shared" si="1"/>
        <v>-3</v>
      </c>
      <c r="Q552" s="5">
        <f t="shared" si="2"/>
        <v>-371</v>
      </c>
    </row>
    <row r="553">
      <c r="H553" s="3" t="str">
        <f>IFERROR(__xludf.DUMMYFUNCTION("IFERROR(TRIM(INDEX(SPLIT(E553,"" + ""),1)),"""")"),"")</f>
        <v/>
      </c>
      <c r="I553" s="3" t="str">
        <f>IFERROR(__xludf.DUMMYFUNCTION("IFERROR(TRIM(INDEX(SPLIT(E553,"" + ""),2)),"""")"),"")</f>
        <v/>
      </c>
      <c r="J553" s="5" t="str">
        <f>IFERROR(__xludf.DUMMYFUNCTION("IFERROR(TRIM(INDEX(SPLIT(E553,"" + ""),3)),"""")"),"")</f>
        <v/>
      </c>
      <c r="K553" s="3">
        <f>IFERROR(__xludf.DUMMYFUNCTION("IFERROR(IF(H553="""",0,INDEX(FILTER($Q$2:Q552,$C$2:C552=H553,$G$2:G552=G553),ROWS(FILTER($Q$2:Q552,$C$2:C552=H553,$G$2:G552=G553)),1)),1500)"),0.0)</f>
        <v>0</v>
      </c>
      <c r="L553" s="3">
        <f>IFERROR(__xludf.DUMMYFUNCTION("IFERROR(IF(I553="""",0,INDEX(FILTER($Q$2:Q552,$C$2:C552=I553,$G$2:G552=G553),ROWS(FILTER($Q$2:Q552,$C$2:C552=I553,$G$2:G552=G553)),1)),1500)"),0.0)</f>
        <v>0</v>
      </c>
      <c r="M553" s="3">
        <f>IFERROR(__xludf.DUMMYFUNCTION("IFERROR(IF(J553="""",0,INDEX(FILTER($Q$2:Q552,$C$2:C552=J553,$G$2:G552=G553),ROWS(FILTER($Q$2:Q552,$C$2:C552=J553,$G$2:G552=G553)),1)),1500)"),0.0)</f>
        <v>0</v>
      </c>
      <c r="N553" s="3">
        <f>IFERROR(__xludf.DUMMYFUNCTION("IFERROR(INDEX(FILTER($Q$2:Q552,$C$2:C552=C553,$G$2:G552=G553),ROWS(FILTER($Q$2:Q552,$C$2:C552=C553,$G$2:G552=G553)),1),1500)"),-371.0)</f>
        <v>-371</v>
      </c>
      <c r="O553" s="3">
        <f t="shared" si="3"/>
        <v>0</v>
      </c>
      <c r="P553" s="9">
        <f t="shared" si="1"/>
        <v>-3</v>
      </c>
      <c r="Q553" s="5">
        <f t="shared" si="2"/>
        <v>-374</v>
      </c>
    </row>
    <row r="554">
      <c r="H554" s="3" t="str">
        <f>IFERROR(__xludf.DUMMYFUNCTION("IFERROR(TRIM(INDEX(SPLIT(E554,"" + ""),1)),"""")"),"")</f>
        <v/>
      </c>
      <c r="I554" s="3" t="str">
        <f>IFERROR(__xludf.DUMMYFUNCTION("IFERROR(TRIM(INDEX(SPLIT(E554,"" + ""),2)),"""")"),"")</f>
        <v/>
      </c>
      <c r="J554" s="5" t="str">
        <f>IFERROR(__xludf.DUMMYFUNCTION("IFERROR(TRIM(INDEX(SPLIT(E554,"" + ""),3)),"""")"),"")</f>
        <v/>
      </c>
      <c r="K554" s="3">
        <f>IFERROR(__xludf.DUMMYFUNCTION("IFERROR(IF(H554="""",0,INDEX(FILTER($Q$2:Q553,$C$2:C553=H554,$G$2:G553=G554),ROWS(FILTER($Q$2:Q553,$C$2:C553=H554,$G$2:G553=G554)),1)),1500)"),0.0)</f>
        <v>0</v>
      </c>
      <c r="L554" s="3">
        <f>IFERROR(__xludf.DUMMYFUNCTION("IFERROR(IF(I554="""",0,INDEX(FILTER($Q$2:Q553,$C$2:C553=I554,$G$2:G553=G554),ROWS(FILTER($Q$2:Q553,$C$2:C553=I554,$G$2:G553=G554)),1)),1500)"),0.0)</f>
        <v>0</v>
      </c>
      <c r="M554" s="3">
        <f>IFERROR(__xludf.DUMMYFUNCTION("IFERROR(IF(J554="""",0,INDEX(FILTER($Q$2:Q553,$C$2:C553=J554,$G$2:G553=G554),ROWS(FILTER($Q$2:Q553,$C$2:C553=J554,$G$2:G553=G554)),1)),1500)"),0.0)</f>
        <v>0</v>
      </c>
      <c r="N554" s="3">
        <f>IFERROR(__xludf.DUMMYFUNCTION("IFERROR(INDEX(FILTER($Q$2:Q553,$C$2:C553=C554,$G$2:G553=G554),ROWS(FILTER($Q$2:Q553,$C$2:C553=C554,$G$2:G553=G554)),1),1500)"),-374.0)</f>
        <v>-374</v>
      </c>
      <c r="O554" s="3">
        <f t="shared" si="3"/>
        <v>0</v>
      </c>
      <c r="P554" s="9">
        <f t="shared" si="1"/>
        <v>-3</v>
      </c>
      <c r="Q554" s="5">
        <f t="shared" si="2"/>
        <v>-377</v>
      </c>
    </row>
    <row r="555">
      <c r="H555" s="3" t="str">
        <f>IFERROR(__xludf.DUMMYFUNCTION("IFERROR(TRIM(INDEX(SPLIT(E555,"" + ""),1)),"""")"),"")</f>
        <v/>
      </c>
      <c r="I555" s="3" t="str">
        <f>IFERROR(__xludf.DUMMYFUNCTION("IFERROR(TRIM(INDEX(SPLIT(E555,"" + ""),2)),"""")"),"")</f>
        <v/>
      </c>
      <c r="J555" s="5" t="str">
        <f>IFERROR(__xludf.DUMMYFUNCTION("IFERROR(TRIM(INDEX(SPLIT(E555,"" + ""),3)),"""")"),"")</f>
        <v/>
      </c>
      <c r="K555" s="3">
        <f>IFERROR(__xludf.DUMMYFUNCTION("IFERROR(IF(H555="""",0,INDEX(FILTER($Q$2:Q554,$C$2:C554=H555,$G$2:G554=G555),ROWS(FILTER($Q$2:Q554,$C$2:C554=H555,$G$2:G554=G555)),1)),1500)"),0.0)</f>
        <v>0</v>
      </c>
      <c r="L555" s="3">
        <f>IFERROR(__xludf.DUMMYFUNCTION("IFERROR(IF(I555="""",0,INDEX(FILTER($Q$2:Q554,$C$2:C554=I555,$G$2:G554=G555),ROWS(FILTER($Q$2:Q554,$C$2:C554=I555,$G$2:G554=G555)),1)),1500)"),0.0)</f>
        <v>0</v>
      </c>
      <c r="M555" s="3">
        <f>IFERROR(__xludf.DUMMYFUNCTION("IFERROR(IF(J555="""",0,INDEX(FILTER($Q$2:Q554,$C$2:C554=J555,$G$2:G554=G555),ROWS(FILTER($Q$2:Q554,$C$2:C554=J555,$G$2:G554=G555)),1)),1500)"),0.0)</f>
        <v>0</v>
      </c>
      <c r="N555" s="3">
        <f>IFERROR(__xludf.DUMMYFUNCTION("IFERROR(INDEX(FILTER($Q$2:Q554,$C$2:C554=C555,$G$2:G554=G555),ROWS(FILTER($Q$2:Q554,$C$2:C554=C555,$G$2:G554=G555)),1),1500)"),-377.0)</f>
        <v>-377</v>
      </c>
      <c r="O555" s="3">
        <f t="shared" si="3"/>
        <v>0</v>
      </c>
      <c r="P555" s="9">
        <f t="shared" si="1"/>
        <v>-3</v>
      </c>
      <c r="Q555" s="5">
        <f t="shared" si="2"/>
        <v>-380</v>
      </c>
    </row>
    <row r="556">
      <c r="H556" s="3" t="str">
        <f>IFERROR(__xludf.DUMMYFUNCTION("IFERROR(TRIM(INDEX(SPLIT(E556,"" + ""),1)),"""")"),"")</f>
        <v/>
      </c>
      <c r="I556" s="3" t="str">
        <f>IFERROR(__xludf.DUMMYFUNCTION("IFERROR(TRIM(INDEX(SPLIT(E556,"" + ""),2)),"""")"),"")</f>
        <v/>
      </c>
      <c r="J556" s="5" t="str">
        <f>IFERROR(__xludf.DUMMYFUNCTION("IFERROR(TRIM(INDEX(SPLIT(E556,"" + ""),3)),"""")"),"")</f>
        <v/>
      </c>
      <c r="K556" s="3">
        <f>IFERROR(__xludf.DUMMYFUNCTION("IFERROR(IF(H556="""",0,INDEX(FILTER($Q$2:Q555,$C$2:C555=H556,$G$2:G555=G556),ROWS(FILTER($Q$2:Q555,$C$2:C555=H556,$G$2:G555=G556)),1)),1500)"),0.0)</f>
        <v>0</v>
      </c>
      <c r="L556" s="3">
        <f>IFERROR(__xludf.DUMMYFUNCTION("IFERROR(IF(I556="""",0,INDEX(FILTER($Q$2:Q555,$C$2:C555=I556,$G$2:G555=G556),ROWS(FILTER($Q$2:Q555,$C$2:C555=I556,$G$2:G555=G556)),1)),1500)"),0.0)</f>
        <v>0</v>
      </c>
      <c r="M556" s="3">
        <f>IFERROR(__xludf.DUMMYFUNCTION("IFERROR(IF(J556="""",0,INDEX(FILTER($Q$2:Q555,$C$2:C555=J556,$G$2:G555=G556),ROWS(FILTER($Q$2:Q555,$C$2:C555=J556,$G$2:G555=G556)),1)),1500)"),0.0)</f>
        <v>0</v>
      </c>
      <c r="N556" s="3">
        <f>IFERROR(__xludf.DUMMYFUNCTION("IFERROR(INDEX(FILTER($Q$2:Q555,$C$2:C555=C556,$G$2:G555=G556),ROWS(FILTER($Q$2:Q555,$C$2:C555=C556,$G$2:G555=G556)),1),1500)"),-380.0)</f>
        <v>-380</v>
      </c>
      <c r="O556" s="3">
        <f t="shared" si="3"/>
        <v>0</v>
      </c>
      <c r="P556" s="9">
        <f t="shared" si="1"/>
        <v>-3</v>
      </c>
      <c r="Q556" s="5">
        <f t="shared" si="2"/>
        <v>-383</v>
      </c>
    </row>
    <row r="557">
      <c r="H557" s="3" t="str">
        <f>IFERROR(__xludf.DUMMYFUNCTION("IFERROR(TRIM(INDEX(SPLIT(E557,"" + ""),1)),"""")"),"")</f>
        <v/>
      </c>
      <c r="I557" s="3" t="str">
        <f>IFERROR(__xludf.DUMMYFUNCTION("IFERROR(TRIM(INDEX(SPLIT(E557,"" + ""),2)),"""")"),"")</f>
        <v/>
      </c>
      <c r="J557" s="5" t="str">
        <f>IFERROR(__xludf.DUMMYFUNCTION("IFERROR(TRIM(INDEX(SPLIT(E557,"" + ""),3)),"""")"),"")</f>
        <v/>
      </c>
      <c r="K557" s="3">
        <f>IFERROR(__xludf.DUMMYFUNCTION("IFERROR(IF(H557="""",0,INDEX(FILTER($Q$2:Q556,$C$2:C556=H557,$G$2:G556=G557),ROWS(FILTER($Q$2:Q556,$C$2:C556=H557,$G$2:G556=G557)),1)),1500)"),0.0)</f>
        <v>0</v>
      </c>
      <c r="L557" s="3">
        <f>IFERROR(__xludf.DUMMYFUNCTION("IFERROR(IF(I557="""",0,INDEX(FILTER($Q$2:Q556,$C$2:C556=I557,$G$2:G556=G557),ROWS(FILTER($Q$2:Q556,$C$2:C556=I557,$G$2:G556=G557)),1)),1500)"),0.0)</f>
        <v>0</v>
      </c>
      <c r="M557" s="3">
        <f>IFERROR(__xludf.DUMMYFUNCTION("IFERROR(IF(J557="""",0,INDEX(FILTER($Q$2:Q556,$C$2:C556=J557,$G$2:G556=G557),ROWS(FILTER($Q$2:Q556,$C$2:C556=J557,$G$2:G556=G557)),1)),1500)"),0.0)</f>
        <v>0</v>
      </c>
      <c r="N557" s="3">
        <f>IFERROR(__xludf.DUMMYFUNCTION("IFERROR(INDEX(FILTER($Q$2:Q556,$C$2:C556=C557,$G$2:G556=G557),ROWS(FILTER($Q$2:Q556,$C$2:C556=C557,$G$2:G556=G557)),1),1500)"),-383.0)</f>
        <v>-383</v>
      </c>
      <c r="O557" s="3">
        <f t="shared" si="3"/>
        <v>0</v>
      </c>
      <c r="P557" s="9">
        <f t="shared" si="1"/>
        <v>-3</v>
      </c>
      <c r="Q557" s="5">
        <f t="shared" si="2"/>
        <v>-386</v>
      </c>
    </row>
    <row r="558">
      <c r="H558" s="3" t="str">
        <f>IFERROR(__xludf.DUMMYFUNCTION("IFERROR(TRIM(INDEX(SPLIT(E558,"" + ""),1)),"""")"),"")</f>
        <v/>
      </c>
      <c r="I558" s="3" t="str">
        <f>IFERROR(__xludf.DUMMYFUNCTION("IFERROR(TRIM(INDEX(SPLIT(E558,"" + ""),2)),"""")"),"")</f>
        <v/>
      </c>
      <c r="J558" s="5" t="str">
        <f>IFERROR(__xludf.DUMMYFUNCTION("IFERROR(TRIM(INDEX(SPLIT(E558,"" + ""),3)),"""")"),"")</f>
        <v/>
      </c>
      <c r="K558" s="3">
        <f>IFERROR(__xludf.DUMMYFUNCTION("IFERROR(IF(H558="""",0,INDEX(FILTER($Q$2:Q557,$C$2:C557=H558,$G$2:G557=G558),ROWS(FILTER($Q$2:Q557,$C$2:C557=H558,$G$2:G557=G558)),1)),1500)"),0.0)</f>
        <v>0</v>
      </c>
      <c r="L558" s="3">
        <f>IFERROR(__xludf.DUMMYFUNCTION("IFERROR(IF(I558="""",0,INDEX(FILTER($Q$2:Q557,$C$2:C557=I558,$G$2:G557=G558),ROWS(FILTER($Q$2:Q557,$C$2:C557=I558,$G$2:G557=G558)),1)),1500)"),0.0)</f>
        <v>0</v>
      </c>
      <c r="M558" s="3">
        <f>IFERROR(__xludf.DUMMYFUNCTION("IFERROR(IF(J558="""",0,INDEX(FILTER($Q$2:Q557,$C$2:C557=J558,$G$2:G557=G558),ROWS(FILTER($Q$2:Q557,$C$2:C557=J558,$G$2:G557=G558)),1)),1500)"),0.0)</f>
        <v>0</v>
      </c>
      <c r="N558" s="3">
        <f>IFERROR(__xludf.DUMMYFUNCTION("IFERROR(INDEX(FILTER($Q$2:Q557,$C$2:C557=C558,$G$2:G557=G558),ROWS(FILTER($Q$2:Q557,$C$2:C557=C558,$G$2:G557=G558)),1),1500)"),-386.0)</f>
        <v>-386</v>
      </c>
      <c r="O558" s="3">
        <f t="shared" si="3"/>
        <v>0</v>
      </c>
      <c r="P558" s="9">
        <f t="shared" si="1"/>
        <v>-3</v>
      </c>
      <c r="Q558" s="5">
        <f t="shared" si="2"/>
        <v>-389</v>
      </c>
    </row>
    <row r="559">
      <c r="H559" s="3" t="str">
        <f>IFERROR(__xludf.DUMMYFUNCTION("IFERROR(TRIM(INDEX(SPLIT(E559,"" + ""),1)),"""")"),"")</f>
        <v/>
      </c>
      <c r="I559" s="3" t="str">
        <f>IFERROR(__xludf.DUMMYFUNCTION("IFERROR(TRIM(INDEX(SPLIT(E559,"" + ""),2)),"""")"),"")</f>
        <v/>
      </c>
      <c r="J559" s="5" t="str">
        <f>IFERROR(__xludf.DUMMYFUNCTION("IFERROR(TRIM(INDEX(SPLIT(E559,"" + ""),3)),"""")"),"")</f>
        <v/>
      </c>
      <c r="K559" s="3">
        <f>IFERROR(__xludf.DUMMYFUNCTION("IFERROR(IF(H559="""",0,INDEX(FILTER($Q$2:Q558,$C$2:C558=H559,$G$2:G558=G559),ROWS(FILTER($Q$2:Q558,$C$2:C558=H559,$G$2:G558=G559)),1)),1500)"),0.0)</f>
        <v>0</v>
      </c>
      <c r="L559" s="3">
        <f>IFERROR(__xludf.DUMMYFUNCTION("IFERROR(IF(I559="""",0,INDEX(FILTER($Q$2:Q558,$C$2:C558=I559,$G$2:G558=G559),ROWS(FILTER($Q$2:Q558,$C$2:C558=I559,$G$2:G558=G559)),1)),1500)"),0.0)</f>
        <v>0</v>
      </c>
      <c r="M559" s="3">
        <f>IFERROR(__xludf.DUMMYFUNCTION("IFERROR(IF(J559="""",0,INDEX(FILTER($Q$2:Q558,$C$2:C558=J559,$G$2:G558=G559),ROWS(FILTER($Q$2:Q558,$C$2:C558=J559,$G$2:G558=G559)),1)),1500)"),0.0)</f>
        <v>0</v>
      </c>
      <c r="N559" s="3">
        <f>IFERROR(__xludf.DUMMYFUNCTION("IFERROR(INDEX(FILTER($Q$2:Q558,$C$2:C558=C559,$G$2:G558=G559),ROWS(FILTER($Q$2:Q558,$C$2:C558=C559,$G$2:G558=G559)),1),1500)"),-389.0)</f>
        <v>-389</v>
      </c>
      <c r="O559" s="3">
        <f t="shared" si="3"/>
        <v>0</v>
      </c>
      <c r="P559" s="9">
        <f t="shared" si="1"/>
        <v>-3</v>
      </c>
      <c r="Q559" s="5">
        <f t="shared" si="2"/>
        <v>-392</v>
      </c>
    </row>
    <row r="560">
      <c r="H560" s="3" t="str">
        <f>IFERROR(__xludf.DUMMYFUNCTION("IFERROR(TRIM(INDEX(SPLIT(E560,"" + ""),1)),"""")"),"")</f>
        <v/>
      </c>
      <c r="I560" s="3" t="str">
        <f>IFERROR(__xludf.DUMMYFUNCTION("IFERROR(TRIM(INDEX(SPLIT(E560,"" + ""),2)),"""")"),"")</f>
        <v/>
      </c>
      <c r="J560" s="5" t="str">
        <f>IFERROR(__xludf.DUMMYFUNCTION("IFERROR(TRIM(INDEX(SPLIT(E560,"" + ""),3)),"""")"),"")</f>
        <v/>
      </c>
      <c r="K560" s="3">
        <f>IFERROR(__xludf.DUMMYFUNCTION("IFERROR(IF(H560="""",0,INDEX(FILTER($Q$2:Q559,$C$2:C559=H560,$G$2:G559=G560),ROWS(FILTER($Q$2:Q559,$C$2:C559=H560,$G$2:G559=G560)),1)),1500)"),0.0)</f>
        <v>0</v>
      </c>
      <c r="L560" s="3">
        <f>IFERROR(__xludf.DUMMYFUNCTION("IFERROR(IF(I560="""",0,INDEX(FILTER($Q$2:Q559,$C$2:C559=I560,$G$2:G559=G560),ROWS(FILTER($Q$2:Q559,$C$2:C559=I560,$G$2:G559=G560)),1)),1500)"),0.0)</f>
        <v>0</v>
      </c>
      <c r="M560" s="3">
        <f>IFERROR(__xludf.DUMMYFUNCTION("IFERROR(IF(J560="""",0,INDEX(FILTER($Q$2:Q559,$C$2:C559=J560,$G$2:G559=G560),ROWS(FILTER($Q$2:Q559,$C$2:C559=J560,$G$2:G559=G560)),1)),1500)"),0.0)</f>
        <v>0</v>
      </c>
      <c r="N560" s="3">
        <f>IFERROR(__xludf.DUMMYFUNCTION("IFERROR(INDEX(FILTER($Q$2:Q559,$C$2:C559=C560,$G$2:G559=G560),ROWS(FILTER($Q$2:Q559,$C$2:C559=C560,$G$2:G559=G560)),1),1500)"),-392.0)</f>
        <v>-392</v>
      </c>
      <c r="O560" s="3">
        <f t="shared" si="3"/>
        <v>0</v>
      </c>
      <c r="P560" s="9">
        <f t="shared" si="1"/>
        <v>-3</v>
      </c>
      <c r="Q560" s="5">
        <f t="shared" si="2"/>
        <v>-395</v>
      </c>
    </row>
    <row r="561">
      <c r="H561" s="3" t="str">
        <f>IFERROR(__xludf.DUMMYFUNCTION("IFERROR(TRIM(INDEX(SPLIT(E561,"" + ""),1)),"""")"),"")</f>
        <v/>
      </c>
      <c r="I561" s="3" t="str">
        <f>IFERROR(__xludf.DUMMYFUNCTION("IFERROR(TRIM(INDEX(SPLIT(E561,"" + ""),2)),"""")"),"")</f>
        <v/>
      </c>
      <c r="J561" s="5" t="str">
        <f>IFERROR(__xludf.DUMMYFUNCTION("IFERROR(TRIM(INDEX(SPLIT(E561,"" + ""),3)),"""")"),"")</f>
        <v/>
      </c>
      <c r="K561" s="3">
        <f>IFERROR(__xludf.DUMMYFUNCTION("IFERROR(IF(H561="""",0,INDEX(FILTER($Q$2:Q560,$C$2:C560=H561,$G$2:G560=G561),ROWS(FILTER($Q$2:Q560,$C$2:C560=H561,$G$2:G560=G561)),1)),1500)"),0.0)</f>
        <v>0</v>
      </c>
      <c r="L561" s="3">
        <f>IFERROR(__xludf.DUMMYFUNCTION("IFERROR(IF(I561="""",0,INDEX(FILTER($Q$2:Q560,$C$2:C560=I561,$G$2:G560=G561),ROWS(FILTER($Q$2:Q560,$C$2:C560=I561,$G$2:G560=G561)),1)),1500)"),0.0)</f>
        <v>0</v>
      </c>
      <c r="M561" s="3">
        <f>IFERROR(__xludf.DUMMYFUNCTION("IFERROR(IF(J561="""",0,INDEX(FILTER($Q$2:Q560,$C$2:C560=J561,$G$2:G560=G561),ROWS(FILTER($Q$2:Q560,$C$2:C560=J561,$G$2:G560=G561)),1)),1500)"),0.0)</f>
        <v>0</v>
      </c>
      <c r="N561" s="3">
        <f>IFERROR(__xludf.DUMMYFUNCTION("IFERROR(INDEX(FILTER($Q$2:Q560,$C$2:C560=C561,$G$2:G560=G561),ROWS(FILTER($Q$2:Q560,$C$2:C560=C561,$G$2:G560=G561)),1),1500)"),-395.0)</f>
        <v>-395</v>
      </c>
      <c r="O561" s="3">
        <f t="shared" si="3"/>
        <v>0</v>
      </c>
      <c r="P561" s="9">
        <f t="shared" si="1"/>
        <v>-3</v>
      </c>
      <c r="Q561" s="5">
        <f t="shared" si="2"/>
        <v>-398</v>
      </c>
    </row>
    <row r="562">
      <c r="H562" s="3" t="str">
        <f>IFERROR(__xludf.DUMMYFUNCTION("IFERROR(TRIM(INDEX(SPLIT(E562,"" + ""),1)),"""")"),"")</f>
        <v/>
      </c>
      <c r="I562" s="3" t="str">
        <f>IFERROR(__xludf.DUMMYFUNCTION("IFERROR(TRIM(INDEX(SPLIT(E562,"" + ""),2)),"""")"),"")</f>
        <v/>
      </c>
      <c r="J562" s="5" t="str">
        <f>IFERROR(__xludf.DUMMYFUNCTION("IFERROR(TRIM(INDEX(SPLIT(E562,"" + ""),3)),"""")"),"")</f>
        <v/>
      </c>
      <c r="K562" s="3">
        <f>IFERROR(__xludf.DUMMYFUNCTION("IFERROR(IF(H562="""",0,INDEX(FILTER($Q$2:Q561,$C$2:C561=H562,$G$2:G561=G562),ROWS(FILTER($Q$2:Q561,$C$2:C561=H562,$G$2:G561=G562)),1)),1500)"),0.0)</f>
        <v>0</v>
      </c>
      <c r="L562" s="3">
        <f>IFERROR(__xludf.DUMMYFUNCTION("IFERROR(IF(I562="""",0,INDEX(FILTER($Q$2:Q561,$C$2:C561=I562,$G$2:G561=G562),ROWS(FILTER($Q$2:Q561,$C$2:C561=I562,$G$2:G561=G562)),1)),1500)"),0.0)</f>
        <v>0</v>
      </c>
      <c r="M562" s="3">
        <f>IFERROR(__xludf.DUMMYFUNCTION("IFERROR(IF(J562="""",0,INDEX(FILTER($Q$2:Q561,$C$2:C561=J562,$G$2:G561=G562),ROWS(FILTER($Q$2:Q561,$C$2:C561=J562,$G$2:G561=G562)),1)),1500)"),0.0)</f>
        <v>0</v>
      </c>
      <c r="N562" s="3">
        <f>IFERROR(__xludf.DUMMYFUNCTION("IFERROR(INDEX(FILTER($Q$2:Q561,$C$2:C561=C562,$G$2:G561=G562),ROWS(FILTER($Q$2:Q561,$C$2:C561=C562,$G$2:G561=G562)),1),1500)"),-398.0)</f>
        <v>-398</v>
      </c>
      <c r="O562" s="3">
        <f t="shared" si="3"/>
        <v>0</v>
      </c>
      <c r="P562" s="9">
        <f t="shared" si="1"/>
        <v>-3</v>
      </c>
      <c r="Q562" s="5">
        <f t="shared" si="2"/>
        <v>-401</v>
      </c>
    </row>
    <row r="563">
      <c r="H563" s="3" t="str">
        <f>IFERROR(__xludf.DUMMYFUNCTION("IFERROR(TRIM(INDEX(SPLIT(E563,"" + ""),1)),"""")"),"")</f>
        <v/>
      </c>
      <c r="I563" s="3" t="str">
        <f>IFERROR(__xludf.DUMMYFUNCTION("IFERROR(TRIM(INDEX(SPLIT(E563,"" + ""),2)),"""")"),"")</f>
        <v/>
      </c>
      <c r="J563" s="5" t="str">
        <f>IFERROR(__xludf.DUMMYFUNCTION("IFERROR(TRIM(INDEX(SPLIT(E563,"" + ""),3)),"""")"),"")</f>
        <v/>
      </c>
      <c r="K563" s="3">
        <f>IFERROR(__xludf.DUMMYFUNCTION("IFERROR(IF(H563="""",0,INDEX(FILTER($Q$2:Q562,$C$2:C562=H563,$G$2:G562=G563),ROWS(FILTER($Q$2:Q562,$C$2:C562=H563,$G$2:G562=G563)),1)),1500)"),0.0)</f>
        <v>0</v>
      </c>
      <c r="L563" s="3">
        <f>IFERROR(__xludf.DUMMYFUNCTION("IFERROR(IF(I563="""",0,INDEX(FILTER($Q$2:Q562,$C$2:C562=I563,$G$2:G562=G563),ROWS(FILTER($Q$2:Q562,$C$2:C562=I563,$G$2:G562=G563)),1)),1500)"),0.0)</f>
        <v>0</v>
      </c>
      <c r="M563" s="3">
        <f>IFERROR(__xludf.DUMMYFUNCTION("IFERROR(IF(J563="""",0,INDEX(FILTER($Q$2:Q562,$C$2:C562=J563,$G$2:G562=G563),ROWS(FILTER($Q$2:Q562,$C$2:C562=J563,$G$2:G562=G563)),1)),1500)"),0.0)</f>
        <v>0</v>
      </c>
      <c r="N563" s="3">
        <f>IFERROR(__xludf.DUMMYFUNCTION("IFERROR(INDEX(FILTER($Q$2:Q562,$C$2:C562=C563,$G$2:G562=G563),ROWS(FILTER($Q$2:Q562,$C$2:C562=C563,$G$2:G562=G563)),1),1500)"),-401.0)</f>
        <v>-401</v>
      </c>
      <c r="O563" s="3">
        <f t="shared" si="3"/>
        <v>0</v>
      </c>
      <c r="P563" s="9">
        <f t="shared" si="1"/>
        <v>-3</v>
      </c>
      <c r="Q563" s="5">
        <f t="shared" si="2"/>
        <v>-404</v>
      </c>
    </row>
    <row r="564">
      <c r="H564" s="3" t="str">
        <f>IFERROR(__xludf.DUMMYFUNCTION("IFERROR(TRIM(INDEX(SPLIT(E564,"" + ""),1)),"""")"),"")</f>
        <v/>
      </c>
      <c r="I564" s="3" t="str">
        <f>IFERROR(__xludf.DUMMYFUNCTION("IFERROR(TRIM(INDEX(SPLIT(E564,"" + ""),2)),"""")"),"")</f>
        <v/>
      </c>
      <c r="J564" s="5" t="str">
        <f>IFERROR(__xludf.DUMMYFUNCTION("IFERROR(TRIM(INDEX(SPLIT(E564,"" + ""),3)),"""")"),"")</f>
        <v/>
      </c>
      <c r="K564" s="3">
        <f>IFERROR(__xludf.DUMMYFUNCTION("IFERROR(IF(H564="""",0,INDEX(FILTER($Q$2:Q563,$C$2:C563=H564,$G$2:G563=G564),ROWS(FILTER($Q$2:Q563,$C$2:C563=H564,$G$2:G563=G564)),1)),1500)"),0.0)</f>
        <v>0</v>
      </c>
      <c r="L564" s="3">
        <f>IFERROR(__xludf.DUMMYFUNCTION("IFERROR(IF(I564="""",0,INDEX(FILTER($Q$2:Q563,$C$2:C563=I564,$G$2:G563=G564),ROWS(FILTER($Q$2:Q563,$C$2:C563=I564,$G$2:G563=G564)),1)),1500)"),0.0)</f>
        <v>0</v>
      </c>
      <c r="M564" s="3">
        <f>IFERROR(__xludf.DUMMYFUNCTION("IFERROR(IF(J564="""",0,INDEX(FILTER($Q$2:Q563,$C$2:C563=J564,$G$2:G563=G564),ROWS(FILTER($Q$2:Q563,$C$2:C563=J564,$G$2:G563=G564)),1)),1500)"),0.0)</f>
        <v>0</v>
      </c>
      <c r="N564" s="3">
        <f>IFERROR(__xludf.DUMMYFUNCTION("IFERROR(INDEX(FILTER($Q$2:Q563,$C$2:C563=C564,$G$2:G563=G564),ROWS(FILTER($Q$2:Q563,$C$2:C563=C564,$G$2:G563=G564)),1),1500)"),-404.0)</f>
        <v>-404</v>
      </c>
      <c r="O564" s="3">
        <f t="shared" si="3"/>
        <v>0</v>
      </c>
      <c r="P564" s="9">
        <f t="shared" si="1"/>
        <v>-3</v>
      </c>
      <c r="Q564" s="5">
        <f t="shared" si="2"/>
        <v>-407</v>
      </c>
    </row>
    <row r="565">
      <c r="H565" s="3" t="str">
        <f>IFERROR(__xludf.DUMMYFUNCTION("IFERROR(TRIM(INDEX(SPLIT(E565,"" + ""),1)),"""")"),"")</f>
        <v/>
      </c>
      <c r="I565" s="3" t="str">
        <f>IFERROR(__xludf.DUMMYFUNCTION("IFERROR(TRIM(INDEX(SPLIT(E565,"" + ""),2)),"""")"),"")</f>
        <v/>
      </c>
      <c r="J565" s="5" t="str">
        <f>IFERROR(__xludf.DUMMYFUNCTION("IFERROR(TRIM(INDEX(SPLIT(E565,"" + ""),3)),"""")"),"")</f>
        <v/>
      </c>
      <c r="K565" s="3">
        <f>IFERROR(__xludf.DUMMYFUNCTION("IFERROR(IF(H565="""",0,INDEX(FILTER($Q$2:Q564,$C$2:C564=H565,$G$2:G564=G565),ROWS(FILTER($Q$2:Q564,$C$2:C564=H565,$G$2:G564=G565)),1)),1500)"),0.0)</f>
        <v>0</v>
      </c>
      <c r="L565" s="3">
        <f>IFERROR(__xludf.DUMMYFUNCTION("IFERROR(IF(I565="""",0,INDEX(FILTER($Q$2:Q564,$C$2:C564=I565,$G$2:G564=G565),ROWS(FILTER($Q$2:Q564,$C$2:C564=I565,$G$2:G564=G565)),1)),1500)"),0.0)</f>
        <v>0</v>
      </c>
      <c r="M565" s="3">
        <f>IFERROR(__xludf.DUMMYFUNCTION("IFERROR(IF(J565="""",0,INDEX(FILTER($Q$2:Q564,$C$2:C564=J565,$G$2:G564=G565),ROWS(FILTER($Q$2:Q564,$C$2:C564=J565,$G$2:G564=G565)),1)),1500)"),0.0)</f>
        <v>0</v>
      </c>
      <c r="N565" s="3">
        <f>IFERROR(__xludf.DUMMYFUNCTION("IFERROR(INDEX(FILTER($Q$2:Q564,$C$2:C564=C565,$G$2:G564=G565),ROWS(FILTER($Q$2:Q564,$C$2:C564=C565,$G$2:G564=G565)),1),1500)"),-407.0)</f>
        <v>-407</v>
      </c>
      <c r="O565" s="3">
        <f t="shared" si="3"/>
        <v>0</v>
      </c>
      <c r="P565" s="9">
        <f t="shared" si="1"/>
        <v>-3</v>
      </c>
      <c r="Q565" s="5">
        <f t="shared" si="2"/>
        <v>-410</v>
      </c>
    </row>
    <row r="566">
      <c r="H566" s="3" t="str">
        <f>IFERROR(__xludf.DUMMYFUNCTION("IFERROR(TRIM(INDEX(SPLIT(E566,"" + ""),1)),"""")"),"")</f>
        <v/>
      </c>
      <c r="I566" s="3" t="str">
        <f>IFERROR(__xludf.DUMMYFUNCTION("IFERROR(TRIM(INDEX(SPLIT(E566,"" + ""),2)),"""")"),"")</f>
        <v/>
      </c>
      <c r="J566" s="5" t="str">
        <f>IFERROR(__xludf.DUMMYFUNCTION("IFERROR(TRIM(INDEX(SPLIT(E566,"" + ""),3)),"""")"),"")</f>
        <v/>
      </c>
      <c r="K566" s="3">
        <f>IFERROR(__xludf.DUMMYFUNCTION("IFERROR(IF(H566="""",0,INDEX(FILTER($Q$2:Q565,$C$2:C565=H566,$G$2:G565=G566),ROWS(FILTER($Q$2:Q565,$C$2:C565=H566,$G$2:G565=G566)),1)),1500)"),0.0)</f>
        <v>0</v>
      </c>
      <c r="L566" s="3">
        <f>IFERROR(__xludf.DUMMYFUNCTION("IFERROR(IF(I566="""",0,INDEX(FILTER($Q$2:Q565,$C$2:C565=I566,$G$2:G565=G566),ROWS(FILTER($Q$2:Q565,$C$2:C565=I566,$G$2:G565=G566)),1)),1500)"),0.0)</f>
        <v>0</v>
      </c>
      <c r="M566" s="3">
        <f>IFERROR(__xludf.DUMMYFUNCTION("IFERROR(IF(J566="""",0,INDEX(FILTER($Q$2:Q565,$C$2:C565=J566,$G$2:G565=G566),ROWS(FILTER($Q$2:Q565,$C$2:C565=J566,$G$2:G565=G566)),1)),1500)"),0.0)</f>
        <v>0</v>
      </c>
      <c r="N566" s="3">
        <f>IFERROR(__xludf.DUMMYFUNCTION("IFERROR(INDEX(FILTER($Q$2:Q565,$C$2:C565=C566,$G$2:G565=G566),ROWS(FILTER($Q$2:Q565,$C$2:C565=C566,$G$2:G565=G566)),1),1500)"),-410.0)</f>
        <v>-410</v>
      </c>
      <c r="O566" s="3">
        <f t="shared" si="3"/>
        <v>0</v>
      </c>
      <c r="P566" s="9">
        <f t="shared" si="1"/>
        <v>-3</v>
      </c>
      <c r="Q566" s="5">
        <f t="shared" si="2"/>
        <v>-413</v>
      </c>
    </row>
    <row r="567">
      <c r="H567" s="3" t="str">
        <f>IFERROR(__xludf.DUMMYFUNCTION("IFERROR(TRIM(INDEX(SPLIT(E567,"" + ""),1)),"""")"),"")</f>
        <v/>
      </c>
      <c r="I567" s="3" t="str">
        <f>IFERROR(__xludf.DUMMYFUNCTION("IFERROR(TRIM(INDEX(SPLIT(E567,"" + ""),2)),"""")"),"")</f>
        <v/>
      </c>
      <c r="J567" s="5" t="str">
        <f>IFERROR(__xludf.DUMMYFUNCTION("IFERROR(TRIM(INDEX(SPLIT(E567,"" + ""),3)),"""")"),"")</f>
        <v/>
      </c>
      <c r="K567" s="3">
        <f>IFERROR(__xludf.DUMMYFUNCTION("IFERROR(IF(H567="""",0,INDEX(FILTER($Q$2:Q566,$C$2:C566=H567,$G$2:G566=G567),ROWS(FILTER($Q$2:Q566,$C$2:C566=H567,$G$2:G566=G567)),1)),1500)"),0.0)</f>
        <v>0</v>
      </c>
      <c r="L567" s="3">
        <f>IFERROR(__xludf.DUMMYFUNCTION("IFERROR(IF(I567="""",0,INDEX(FILTER($Q$2:Q566,$C$2:C566=I567,$G$2:G566=G567),ROWS(FILTER($Q$2:Q566,$C$2:C566=I567,$G$2:G566=G567)),1)),1500)"),0.0)</f>
        <v>0</v>
      </c>
      <c r="M567" s="3">
        <f>IFERROR(__xludf.DUMMYFUNCTION("IFERROR(IF(J567="""",0,INDEX(FILTER($Q$2:Q566,$C$2:C566=J567,$G$2:G566=G567),ROWS(FILTER($Q$2:Q566,$C$2:C566=J567,$G$2:G566=G567)),1)),1500)"),0.0)</f>
        <v>0</v>
      </c>
      <c r="N567" s="3">
        <f>IFERROR(__xludf.DUMMYFUNCTION("IFERROR(INDEX(FILTER($Q$2:Q566,$C$2:C566=C567,$G$2:G566=G567),ROWS(FILTER($Q$2:Q566,$C$2:C566=C567,$G$2:G566=G567)),1),1500)"),-413.0)</f>
        <v>-413</v>
      </c>
      <c r="O567" s="3">
        <f t="shared" si="3"/>
        <v>0</v>
      </c>
      <c r="P567" s="9">
        <f t="shared" si="1"/>
        <v>-3</v>
      </c>
      <c r="Q567" s="5">
        <f t="shared" si="2"/>
        <v>-416</v>
      </c>
    </row>
    <row r="568">
      <c r="H568" s="3" t="str">
        <f>IFERROR(__xludf.DUMMYFUNCTION("IFERROR(TRIM(INDEX(SPLIT(E568,"" + ""),1)),"""")"),"")</f>
        <v/>
      </c>
      <c r="I568" s="3" t="str">
        <f>IFERROR(__xludf.DUMMYFUNCTION("IFERROR(TRIM(INDEX(SPLIT(E568,"" + ""),2)),"""")"),"")</f>
        <v/>
      </c>
      <c r="J568" s="5" t="str">
        <f>IFERROR(__xludf.DUMMYFUNCTION("IFERROR(TRIM(INDEX(SPLIT(E568,"" + ""),3)),"""")"),"")</f>
        <v/>
      </c>
      <c r="K568" s="3">
        <f>IFERROR(__xludf.DUMMYFUNCTION("IFERROR(IF(H568="""",0,INDEX(FILTER($Q$2:Q567,$C$2:C567=H568,$G$2:G567=G568),ROWS(FILTER($Q$2:Q567,$C$2:C567=H568,$G$2:G567=G568)),1)),1500)"),0.0)</f>
        <v>0</v>
      </c>
      <c r="L568" s="3">
        <f>IFERROR(__xludf.DUMMYFUNCTION("IFERROR(IF(I568="""",0,INDEX(FILTER($Q$2:Q567,$C$2:C567=I568,$G$2:G567=G568),ROWS(FILTER($Q$2:Q567,$C$2:C567=I568,$G$2:G567=G568)),1)),1500)"),0.0)</f>
        <v>0</v>
      </c>
      <c r="M568" s="3">
        <f>IFERROR(__xludf.DUMMYFUNCTION("IFERROR(IF(J568="""",0,INDEX(FILTER($Q$2:Q567,$C$2:C567=J568,$G$2:G567=G568),ROWS(FILTER($Q$2:Q567,$C$2:C567=J568,$G$2:G567=G568)),1)),1500)"),0.0)</f>
        <v>0</v>
      </c>
      <c r="N568" s="3">
        <f>IFERROR(__xludf.DUMMYFUNCTION("IFERROR(INDEX(FILTER($Q$2:Q567,$C$2:C567=C568,$G$2:G567=G568),ROWS(FILTER($Q$2:Q567,$C$2:C567=C568,$G$2:G567=G568)),1),1500)"),-416.0)</f>
        <v>-416</v>
      </c>
      <c r="O568" s="3">
        <f t="shared" si="3"/>
        <v>0</v>
      </c>
      <c r="P568" s="9">
        <f t="shared" si="1"/>
        <v>-3</v>
      </c>
      <c r="Q568" s="5">
        <f t="shared" si="2"/>
        <v>-419</v>
      </c>
    </row>
    <row r="569">
      <c r="H569" s="3" t="str">
        <f>IFERROR(__xludf.DUMMYFUNCTION("IFERROR(TRIM(INDEX(SPLIT(E569,"" + ""),1)),"""")"),"")</f>
        <v/>
      </c>
      <c r="I569" s="3" t="str">
        <f>IFERROR(__xludf.DUMMYFUNCTION("IFERROR(TRIM(INDEX(SPLIT(E569,"" + ""),2)),"""")"),"")</f>
        <v/>
      </c>
      <c r="J569" s="5" t="str">
        <f>IFERROR(__xludf.DUMMYFUNCTION("IFERROR(TRIM(INDEX(SPLIT(E569,"" + ""),3)),"""")"),"")</f>
        <v/>
      </c>
      <c r="K569" s="3">
        <f>IFERROR(__xludf.DUMMYFUNCTION("IFERROR(IF(H569="""",0,INDEX(FILTER($Q$2:Q568,$C$2:C568=H569,$G$2:G568=G569),ROWS(FILTER($Q$2:Q568,$C$2:C568=H569,$G$2:G568=G569)),1)),1500)"),0.0)</f>
        <v>0</v>
      </c>
      <c r="L569" s="3">
        <f>IFERROR(__xludf.DUMMYFUNCTION("IFERROR(IF(I569="""",0,INDEX(FILTER($Q$2:Q568,$C$2:C568=I569,$G$2:G568=G569),ROWS(FILTER($Q$2:Q568,$C$2:C568=I569,$G$2:G568=G569)),1)),1500)"),0.0)</f>
        <v>0</v>
      </c>
      <c r="M569" s="3">
        <f>IFERROR(__xludf.DUMMYFUNCTION("IFERROR(IF(J569="""",0,INDEX(FILTER($Q$2:Q568,$C$2:C568=J569,$G$2:G568=G569),ROWS(FILTER($Q$2:Q568,$C$2:C568=J569,$G$2:G568=G569)),1)),1500)"),0.0)</f>
        <v>0</v>
      </c>
      <c r="N569" s="3">
        <f>IFERROR(__xludf.DUMMYFUNCTION("IFERROR(INDEX(FILTER($Q$2:Q568,$C$2:C568=C569,$G$2:G568=G569),ROWS(FILTER($Q$2:Q568,$C$2:C568=C569,$G$2:G568=G569)),1),1500)"),-419.0)</f>
        <v>-419</v>
      </c>
      <c r="O569" s="3">
        <f t="shared" si="3"/>
        <v>0</v>
      </c>
      <c r="P569" s="9">
        <f t="shared" si="1"/>
        <v>-3</v>
      </c>
      <c r="Q569" s="5">
        <f t="shared" si="2"/>
        <v>-422</v>
      </c>
    </row>
    <row r="570">
      <c r="H570" s="3" t="str">
        <f>IFERROR(__xludf.DUMMYFUNCTION("IFERROR(TRIM(INDEX(SPLIT(E570,"" + ""),1)),"""")"),"")</f>
        <v/>
      </c>
      <c r="I570" s="3" t="str">
        <f>IFERROR(__xludf.DUMMYFUNCTION("IFERROR(TRIM(INDEX(SPLIT(E570,"" + ""),2)),"""")"),"")</f>
        <v/>
      </c>
      <c r="J570" s="5" t="str">
        <f>IFERROR(__xludf.DUMMYFUNCTION("IFERROR(TRIM(INDEX(SPLIT(E570,"" + ""),3)),"""")"),"")</f>
        <v/>
      </c>
      <c r="K570" s="3">
        <f>IFERROR(__xludf.DUMMYFUNCTION("IFERROR(IF(H570="""",0,INDEX(FILTER($Q$2:Q569,$C$2:C569=H570,$G$2:G569=G570),ROWS(FILTER($Q$2:Q569,$C$2:C569=H570,$G$2:G569=G570)),1)),1500)"),0.0)</f>
        <v>0</v>
      </c>
      <c r="L570" s="3">
        <f>IFERROR(__xludf.DUMMYFUNCTION("IFERROR(IF(I570="""",0,INDEX(FILTER($Q$2:Q569,$C$2:C569=I570,$G$2:G569=G570),ROWS(FILTER($Q$2:Q569,$C$2:C569=I570,$G$2:G569=G570)),1)),1500)"),0.0)</f>
        <v>0</v>
      </c>
      <c r="M570" s="3">
        <f>IFERROR(__xludf.DUMMYFUNCTION("IFERROR(IF(J570="""",0,INDEX(FILTER($Q$2:Q569,$C$2:C569=J570,$G$2:G569=G570),ROWS(FILTER($Q$2:Q569,$C$2:C569=J570,$G$2:G569=G570)),1)),1500)"),0.0)</f>
        <v>0</v>
      </c>
      <c r="N570" s="3">
        <f>IFERROR(__xludf.DUMMYFUNCTION("IFERROR(INDEX(FILTER($Q$2:Q569,$C$2:C569=C570,$G$2:G569=G570),ROWS(FILTER($Q$2:Q569,$C$2:C569=C570,$G$2:G569=G570)),1),1500)"),-422.0)</f>
        <v>-422</v>
      </c>
      <c r="O570" s="3">
        <f t="shared" si="3"/>
        <v>0</v>
      </c>
      <c r="P570" s="9">
        <f t="shared" si="1"/>
        <v>-3</v>
      </c>
      <c r="Q570" s="5">
        <f t="shared" si="2"/>
        <v>-425</v>
      </c>
    </row>
    <row r="571">
      <c r="H571" s="3" t="str">
        <f>IFERROR(__xludf.DUMMYFUNCTION("IFERROR(TRIM(INDEX(SPLIT(E571,"" + ""),1)),"""")"),"")</f>
        <v/>
      </c>
      <c r="I571" s="3" t="str">
        <f>IFERROR(__xludf.DUMMYFUNCTION("IFERROR(TRIM(INDEX(SPLIT(E571,"" + ""),2)),"""")"),"")</f>
        <v/>
      </c>
      <c r="J571" s="5" t="str">
        <f>IFERROR(__xludf.DUMMYFUNCTION("IFERROR(TRIM(INDEX(SPLIT(E571,"" + ""),3)),"""")"),"")</f>
        <v/>
      </c>
      <c r="K571" s="3">
        <f>IFERROR(__xludf.DUMMYFUNCTION("IFERROR(IF(H571="""",0,INDEX(FILTER($Q$2:Q570,$C$2:C570=H571,$G$2:G570=G571),ROWS(FILTER($Q$2:Q570,$C$2:C570=H571,$G$2:G570=G571)),1)),1500)"),0.0)</f>
        <v>0</v>
      </c>
      <c r="L571" s="3">
        <f>IFERROR(__xludf.DUMMYFUNCTION("IFERROR(IF(I571="""",0,INDEX(FILTER($Q$2:Q570,$C$2:C570=I571,$G$2:G570=G571),ROWS(FILTER($Q$2:Q570,$C$2:C570=I571,$G$2:G570=G571)),1)),1500)"),0.0)</f>
        <v>0</v>
      </c>
      <c r="M571" s="3">
        <f>IFERROR(__xludf.DUMMYFUNCTION("IFERROR(IF(J571="""",0,INDEX(FILTER($Q$2:Q570,$C$2:C570=J571,$G$2:G570=G571),ROWS(FILTER($Q$2:Q570,$C$2:C570=J571,$G$2:G570=G571)),1)),1500)"),0.0)</f>
        <v>0</v>
      </c>
      <c r="N571" s="3">
        <f>IFERROR(__xludf.DUMMYFUNCTION("IFERROR(INDEX(FILTER($Q$2:Q570,$C$2:C570=C571,$G$2:G570=G571),ROWS(FILTER($Q$2:Q570,$C$2:C570=C571,$G$2:G570=G571)),1),1500)"),-425.0)</f>
        <v>-425</v>
      </c>
      <c r="O571" s="3">
        <f t="shared" si="3"/>
        <v>0</v>
      </c>
      <c r="P571" s="9">
        <f t="shared" si="1"/>
        <v>-3</v>
      </c>
      <c r="Q571" s="5">
        <f t="shared" si="2"/>
        <v>-428</v>
      </c>
    </row>
    <row r="572">
      <c r="H572" s="3" t="str">
        <f>IFERROR(__xludf.DUMMYFUNCTION("IFERROR(TRIM(INDEX(SPLIT(E572,"" + ""),1)),"""")"),"")</f>
        <v/>
      </c>
      <c r="I572" s="3" t="str">
        <f>IFERROR(__xludf.DUMMYFUNCTION("IFERROR(TRIM(INDEX(SPLIT(E572,"" + ""),2)),"""")"),"")</f>
        <v/>
      </c>
      <c r="J572" s="5" t="str">
        <f>IFERROR(__xludf.DUMMYFUNCTION("IFERROR(TRIM(INDEX(SPLIT(E572,"" + ""),3)),"""")"),"")</f>
        <v/>
      </c>
      <c r="K572" s="3">
        <f>IFERROR(__xludf.DUMMYFUNCTION("IFERROR(IF(H572="""",0,INDEX(FILTER($Q$2:Q571,$C$2:C571=H572,$G$2:G571=G572),ROWS(FILTER($Q$2:Q571,$C$2:C571=H572,$G$2:G571=G572)),1)),1500)"),0.0)</f>
        <v>0</v>
      </c>
      <c r="L572" s="3">
        <f>IFERROR(__xludf.DUMMYFUNCTION("IFERROR(IF(I572="""",0,INDEX(FILTER($Q$2:Q571,$C$2:C571=I572,$G$2:G571=G572),ROWS(FILTER($Q$2:Q571,$C$2:C571=I572,$G$2:G571=G572)),1)),1500)"),0.0)</f>
        <v>0</v>
      </c>
      <c r="M572" s="3">
        <f>IFERROR(__xludf.DUMMYFUNCTION("IFERROR(IF(J572="""",0,INDEX(FILTER($Q$2:Q571,$C$2:C571=J572,$G$2:G571=G572),ROWS(FILTER($Q$2:Q571,$C$2:C571=J572,$G$2:G571=G572)),1)),1500)"),0.0)</f>
        <v>0</v>
      </c>
      <c r="N572" s="3">
        <f>IFERROR(__xludf.DUMMYFUNCTION("IFERROR(INDEX(FILTER($Q$2:Q571,$C$2:C571=C572,$G$2:G571=G572),ROWS(FILTER($Q$2:Q571,$C$2:C571=C572,$G$2:G571=G572)),1),1500)"),-428.0)</f>
        <v>-428</v>
      </c>
      <c r="O572" s="3">
        <f t="shared" si="3"/>
        <v>0</v>
      </c>
      <c r="P572" s="9">
        <f t="shared" si="1"/>
        <v>-3</v>
      </c>
      <c r="Q572" s="5">
        <f t="shared" si="2"/>
        <v>-431</v>
      </c>
    </row>
    <row r="573">
      <c r="H573" s="3" t="str">
        <f>IFERROR(__xludf.DUMMYFUNCTION("IFERROR(TRIM(INDEX(SPLIT(E573,"" + ""),1)),"""")"),"")</f>
        <v/>
      </c>
      <c r="I573" s="3" t="str">
        <f>IFERROR(__xludf.DUMMYFUNCTION("IFERROR(TRIM(INDEX(SPLIT(E573,"" + ""),2)),"""")"),"")</f>
        <v/>
      </c>
      <c r="J573" s="5" t="str">
        <f>IFERROR(__xludf.DUMMYFUNCTION("IFERROR(TRIM(INDEX(SPLIT(E573,"" + ""),3)),"""")"),"")</f>
        <v/>
      </c>
      <c r="K573" s="3">
        <f>IFERROR(__xludf.DUMMYFUNCTION("IFERROR(IF(H573="""",0,INDEX(FILTER($Q$2:Q572,$C$2:C572=H573,$G$2:G572=G573),ROWS(FILTER($Q$2:Q572,$C$2:C572=H573,$G$2:G572=G573)),1)),1500)"),0.0)</f>
        <v>0</v>
      </c>
      <c r="L573" s="3">
        <f>IFERROR(__xludf.DUMMYFUNCTION("IFERROR(IF(I573="""",0,INDEX(FILTER($Q$2:Q572,$C$2:C572=I573,$G$2:G572=G573),ROWS(FILTER($Q$2:Q572,$C$2:C572=I573,$G$2:G572=G573)),1)),1500)"),0.0)</f>
        <v>0</v>
      </c>
      <c r="M573" s="3">
        <f>IFERROR(__xludf.DUMMYFUNCTION("IFERROR(IF(J573="""",0,INDEX(FILTER($Q$2:Q572,$C$2:C572=J573,$G$2:G572=G573),ROWS(FILTER($Q$2:Q572,$C$2:C572=J573,$G$2:G572=G573)),1)),1500)"),0.0)</f>
        <v>0</v>
      </c>
      <c r="N573" s="3">
        <f>IFERROR(__xludf.DUMMYFUNCTION("IFERROR(INDEX(FILTER($Q$2:Q572,$C$2:C572=C573,$G$2:G572=G573),ROWS(FILTER($Q$2:Q572,$C$2:C572=C573,$G$2:G572=G573)),1),1500)"),-431.0)</f>
        <v>-431</v>
      </c>
      <c r="O573" s="3">
        <f t="shared" si="3"/>
        <v>0</v>
      </c>
      <c r="P573" s="9">
        <f t="shared" si="1"/>
        <v>-2</v>
      </c>
      <c r="Q573" s="5">
        <f t="shared" si="2"/>
        <v>-433</v>
      </c>
    </row>
    <row r="574">
      <c r="H574" s="3" t="str">
        <f>IFERROR(__xludf.DUMMYFUNCTION("IFERROR(TRIM(INDEX(SPLIT(E574,"" + ""),1)),"""")"),"")</f>
        <v/>
      </c>
      <c r="I574" s="3" t="str">
        <f>IFERROR(__xludf.DUMMYFUNCTION("IFERROR(TRIM(INDEX(SPLIT(E574,"" + ""),2)),"""")"),"")</f>
        <v/>
      </c>
      <c r="J574" s="5" t="str">
        <f>IFERROR(__xludf.DUMMYFUNCTION("IFERROR(TRIM(INDEX(SPLIT(E574,"" + ""),3)),"""")"),"")</f>
        <v/>
      </c>
      <c r="K574" s="3">
        <f>IFERROR(__xludf.DUMMYFUNCTION("IFERROR(IF(H574="""",0,INDEX(FILTER($Q$2:Q573,$C$2:C573=H574,$G$2:G573=G574),ROWS(FILTER($Q$2:Q573,$C$2:C573=H574,$G$2:G573=G574)),1)),1500)"),0.0)</f>
        <v>0</v>
      </c>
      <c r="L574" s="3">
        <f>IFERROR(__xludf.DUMMYFUNCTION("IFERROR(IF(I574="""",0,INDEX(FILTER($Q$2:Q573,$C$2:C573=I574,$G$2:G573=G574),ROWS(FILTER($Q$2:Q573,$C$2:C573=I574,$G$2:G573=G574)),1)),1500)"),0.0)</f>
        <v>0</v>
      </c>
      <c r="M574" s="3">
        <f>IFERROR(__xludf.DUMMYFUNCTION("IFERROR(IF(J574="""",0,INDEX(FILTER($Q$2:Q573,$C$2:C573=J574,$G$2:G573=G574),ROWS(FILTER($Q$2:Q573,$C$2:C573=J574,$G$2:G573=G574)),1)),1500)"),0.0)</f>
        <v>0</v>
      </c>
      <c r="N574" s="3">
        <f>IFERROR(__xludf.DUMMYFUNCTION("IFERROR(INDEX(FILTER($Q$2:Q573,$C$2:C573=C574,$G$2:G573=G574),ROWS(FILTER($Q$2:Q573,$C$2:C573=C574,$G$2:G573=G574)),1),1500)"),-433.0)</f>
        <v>-433</v>
      </c>
      <c r="O574" s="3">
        <f t="shared" si="3"/>
        <v>0</v>
      </c>
      <c r="P574" s="9">
        <f t="shared" si="1"/>
        <v>-2</v>
      </c>
      <c r="Q574" s="5">
        <f t="shared" si="2"/>
        <v>-435</v>
      </c>
    </row>
    <row r="575">
      <c r="H575" s="3" t="str">
        <f>IFERROR(__xludf.DUMMYFUNCTION("IFERROR(TRIM(INDEX(SPLIT(E575,"" + ""),1)),"""")"),"")</f>
        <v/>
      </c>
      <c r="I575" s="3" t="str">
        <f>IFERROR(__xludf.DUMMYFUNCTION("IFERROR(TRIM(INDEX(SPLIT(E575,"" + ""),2)),"""")"),"")</f>
        <v/>
      </c>
      <c r="J575" s="5" t="str">
        <f>IFERROR(__xludf.DUMMYFUNCTION("IFERROR(TRIM(INDEX(SPLIT(E575,"" + ""),3)),"""")"),"")</f>
        <v/>
      </c>
      <c r="K575" s="3">
        <f>IFERROR(__xludf.DUMMYFUNCTION("IFERROR(IF(H575="""",0,INDEX(FILTER($Q$2:Q574,$C$2:C574=H575,$G$2:G574=G575),ROWS(FILTER($Q$2:Q574,$C$2:C574=H575,$G$2:G574=G575)),1)),1500)"),0.0)</f>
        <v>0</v>
      </c>
      <c r="L575" s="3">
        <f>IFERROR(__xludf.DUMMYFUNCTION("IFERROR(IF(I575="""",0,INDEX(FILTER($Q$2:Q574,$C$2:C574=I575,$G$2:G574=G575),ROWS(FILTER($Q$2:Q574,$C$2:C574=I575,$G$2:G574=G575)),1)),1500)"),0.0)</f>
        <v>0</v>
      </c>
      <c r="M575" s="3">
        <f>IFERROR(__xludf.DUMMYFUNCTION("IFERROR(IF(J575="""",0,INDEX(FILTER($Q$2:Q574,$C$2:C574=J575,$G$2:G574=G575),ROWS(FILTER($Q$2:Q574,$C$2:C574=J575,$G$2:G574=G575)),1)),1500)"),0.0)</f>
        <v>0</v>
      </c>
      <c r="N575" s="3">
        <f>IFERROR(__xludf.DUMMYFUNCTION("IFERROR(INDEX(FILTER($Q$2:Q574,$C$2:C574=C575,$G$2:G574=G575),ROWS(FILTER($Q$2:Q574,$C$2:C574=C575,$G$2:G574=G575)),1),1500)"),-435.0)</f>
        <v>-435</v>
      </c>
      <c r="O575" s="3">
        <f t="shared" si="3"/>
        <v>0</v>
      </c>
      <c r="P575" s="9">
        <f t="shared" si="1"/>
        <v>-2</v>
      </c>
      <c r="Q575" s="5">
        <f t="shared" si="2"/>
        <v>-437</v>
      </c>
    </row>
    <row r="576">
      <c r="H576" s="3" t="str">
        <f>IFERROR(__xludf.DUMMYFUNCTION("IFERROR(TRIM(INDEX(SPLIT(E576,"" + ""),1)),"""")"),"")</f>
        <v/>
      </c>
      <c r="I576" s="3" t="str">
        <f>IFERROR(__xludf.DUMMYFUNCTION("IFERROR(TRIM(INDEX(SPLIT(E576,"" + ""),2)),"""")"),"")</f>
        <v/>
      </c>
      <c r="J576" s="5" t="str">
        <f>IFERROR(__xludf.DUMMYFUNCTION("IFERROR(TRIM(INDEX(SPLIT(E576,"" + ""),3)),"""")"),"")</f>
        <v/>
      </c>
      <c r="K576" s="3">
        <f>IFERROR(__xludf.DUMMYFUNCTION("IFERROR(IF(H576="""",0,INDEX(FILTER($Q$2:Q575,$C$2:C575=H576,$G$2:G575=G576),ROWS(FILTER($Q$2:Q575,$C$2:C575=H576,$G$2:G575=G576)),1)),1500)"),0.0)</f>
        <v>0</v>
      </c>
      <c r="L576" s="3">
        <f>IFERROR(__xludf.DUMMYFUNCTION("IFERROR(IF(I576="""",0,INDEX(FILTER($Q$2:Q575,$C$2:C575=I576,$G$2:G575=G576),ROWS(FILTER($Q$2:Q575,$C$2:C575=I576,$G$2:G575=G576)),1)),1500)"),0.0)</f>
        <v>0</v>
      </c>
      <c r="M576" s="3">
        <f>IFERROR(__xludf.DUMMYFUNCTION("IFERROR(IF(J576="""",0,INDEX(FILTER($Q$2:Q575,$C$2:C575=J576,$G$2:G575=G576),ROWS(FILTER($Q$2:Q575,$C$2:C575=J576,$G$2:G575=G576)),1)),1500)"),0.0)</f>
        <v>0</v>
      </c>
      <c r="N576" s="3">
        <f>IFERROR(__xludf.DUMMYFUNCTION("IFERROR(INDEX(FILTER($Q$2:Q575,$C$2:C575=C576,$G$2:G575=G576),ROWS(FILTER($Q$2:Q575,$C$2:C575=C576,$G$2:G575=G576)),1),1500)"),-437.0)</f>
        <v>-437</v>
      </c>
      <c r="O576" s="3">
        <f t="shared" si="3"/>
        <v>0</v>
      </c>
      <c r="P576" s="9">
        <f t="shared" si="1"/>
        <v>-2</v>
      </c>
      <c r="Q576" s="5">
        <f t="shared" si="2"/>
        <v>-439</v>
      </c>
    </row>
    <row r="577">
      <c r="H577" s="3" t="str">
        <f>IFERROR(__xludf.DUMMYFUNCTION("IFERROR(TRIM(INDEX(SPLIT(E577,"" + ""),1)),"""")"),"")</f>
        <v/>
      </c>
      <c r="I577" s="3" t="str">
        <f>IFERROR(__xludf.DUMMYFUNCTION("IFERROR(TRIM(INDEX(SPLIT(E577,"" + ""),2)),"""")"),"")</f>
        <v/>
      </c>
      <c r="J577" s="5" t="str">
        <f>IFERROR(__xludf.DUMMYFUNCTION("IFERROR(TRIM(INDEX(SPLIT(E577,"" + ""),3)),"""")"),"")</f>
        <v/>
      </c>
      <c r="K577" s="3">
        <f>IFERROR(__xludf.DUMMYFUNCTION("IFERROR(IF(H577="""",0,INDEX(FILTER($Q$2:Q576,$C$2:C576=H577,$G$2:G576=G577),ROWS(FILTER($Q$2:Q576,$C$2:C576=H577,$G$2:G576=G577)),1)),1500)"),0.0)</f>
        <v>0</v>
      </c>
      <c r="L577" s="3">
        <f>IFERROR(__xludf.DUMMYFUNCTION("IFERROR(IF(I577="""",0,INDEX(FILTER($Q$2:Q576,$C$2:C576=I577,$G$2:G576=G577),ROWS(FILTER($Q$2:Q576,$C$2:C576=I577,$G$2:G576=G577)),1)),1500)"),0.0)</f>
        <v>0</v>
      </c>
      <c r="M577" s="3">
        <f>IFERROR(__xludf.DUMMYFUNCTION("IFERROR(IF(J577="""",0,INDEX(FILTER($Q$2:Q576,$C$2:C576=J577,$G$2:G576=G577),ROWS(FILTER($Q$2:Q576,$C$2:C576=J577,$G$2:G576=G577)),1)),1500)"),0.0)</f>
        <v>0</v>
      </c>
      <c r="N577" s="3">
        <f>IFERROR(__xludf.DUMMYFUNCTION("IFERROR(INDEX(FILTER($Q$2:Q576,$C$2:C576=C577,$G$2:G576=G577),ROWS(FILTER($Q$2:Q576,$C$2:C576=C577,$G$2:G576=G577)),1),1500)"),-439.0)</f>
        <v>-439</v>
      </c>
      <c r="O577" s="3">
        <f t="shared" si="3"/>
        <v>0</v>
      </c>
      <c r="P577" s="9">
        <f t="shared" si="1"/>
        <v>-2</v>
      </c>
      <c r="Q577" s="5">
        <f t="shared" si="2"/>
        <v>-441</v>
      </c>
    </row>
    <row r="578">
      <c r="H578" s="3" t="str">
        <f>IFERROR(__xludf.DUMMYFUNCTION("IFERROR(TRIM(INDEX(SPLIT(E578,"" + ""),1)),"""")"),"")</f>
        <v/>
      </c>
      <c r="I578" s="3" t="str">
        <f>IFERROR(__xludf.DUMMYFUNCTION("IFERROR(TRIM(INDEX(SPLIT(E578,"" + ""),2)),"""")"),"")</f>
        <v/>
      </c>
      <c r="J578" s="5" t="str">
        <f>IFERROR(__xludf.DUMMYFUNCTION("IFERROR(TRIM(INDEX(SPLIT(E578,"" + ""),3)),"""")"),"")</f>
        <v/>
      </c>
      <c r="K578" s="3">
        <f>IFERROR(__xludf.DUMMYFUNCTION("IFERROR(IF(H578="""",0,INDEX(FILTER($Q$2:Q577,$C$2:C577=H578,$G$2:G577=G578),ROWS(FILTER($Q$2:Q577,$C$2:C577=H578,$G$2:G577=G578)),1)),1500)"),0.0)</f>
        <v>0</v>
      </c>
      <c r="L578" s="3">
        <f>IFERROR(__xludf.DUMMYFUNCTION("IFERROR(IF(I578="""",0,INDEX(FILTER($Q$2:Q577,$C$2:C577=I578,$G$2:G577=G578),ROWS(FILTER($Q$2:Q577,$C$2:C577=I578,$G$2:G577=G578)),1)),1500)"),0.0)</f>
        <v>0</v>
      </c>
      <c r="M578" s="3">
        <f>IFERROR(__xludf.DUMMYFUNCTION("IFERROR(IF(J578="""",0,INDEX(FILTER($Q$2:Q577,$C$2:C577=J578,$G$2:G577=G578),ROWS(FILTER($Q$2:Q577,$C$2:C577=J578,$G$2:G577=G578)),1)),1500)"),0.0)</f>
        <v>0</v>
      </c>
      <c r="N578" s="3">
        <f>IFERROR(__xludf.DUMMYFUNCTION("IFERROR(INDEX(FILTER($Q$2:Q577,$C$2:C577=C578,$G$2:G577=G578),ROWS(FILTER($Q$2:Q577,$C$2:C577=C578,$G$2:G577=G578)),1),1500)"),-441.0)</f>
        <v>-441</v>
      </c>
      <c r="O578" s="3">
        <f t="shared" si="3"/>
        <v>0</v>
      </c>
      <c r="P578" s="9">
        <f t="shared" si="1"/>
        <v>-2</v>
      </c>
      <c r="Q578" s="5">
        <f t="shared" si="2"/>
        <v>-443</v>
      </c>
    </row>
    <row r="579">
      <c r="H579" s="3" t="str">
        <f>IFERROR(__xludf.DUMMYFUNCTION("IFERROR(TRIM(INDEX(SPLIT(E579,"" + ""),1)),"""")"),"")</f>
        <v/>
      </c>
      <c r="I579" s="3" t="str">
        <f>IFERROR(__xludf.DUMMYFUNCTION("IFERROR(TRIM(INDEX(SPLIT(E579,"" + ""),2)),"""")"),"")</f>
        <v/>
      </c>
      <c r="J579" s="5" t="str">
        <f>IFERROR(__xludf.DUMMYFUNCTION("IFERROR(TRIM(INDEX(SPLIT(E579,"" + ""),3)),"""")"),"")</f>
        <v/>
      </c>
      <c r="K579" s="3">
        <f>IFERROR(__xludf.DUMMYFUNCTION("IFERROR(IF(H579="""",0,INDEX(FILTER($Q$2:Q578,$C$2:C578=H579,$G$2:G578=G579),ROWS(FILTER($Q$2:Q578,$C$2:C578=H579,$G$2:G578=G579)),1)),1500)"),0.0)</f>
        <v>0</v>
      </c>
      <c r="L579" s="3">
        <f>IFERROR(__xludf.DUMMYFUNCTION("IFERROR(IF(I579="""",0,INDEX(FILTER($Q$2:Q578,$C$2:C578=I579,$G$2:G578=G579),ROWS(FILTER($Q$2:Q578,$C$2:C578=I579,$G$2:G578=G579)),1)),1500)"),0.0)</f>
        <v>0</v>
      </c>
      <c r="M579" s="3">
        <f>IFERROR(__xludf.DUMMYFUNCTION("IFERROR(IF(J579="""",0,INDEX(FILTER($Q$2:Q578,$C$2:C578=J579,$G$2:G578=G579),ROWS(FILTER($Q$2:Q578,$C$2:C578=J579,$G$2:G578=G579)),1)),1500)"),0.0)</f>
        <v>0</v>
      </c>
      <c r="N579" s="3">
        <f>IFERROR(__xludf.DUMMYFUNCTION("IFERROR(INDEX(FILTER($Q$2:Q578,$C$2:C578=C579,$G$2:G578=G579),ROWS(FILTER($Q$2:Q578,$C$2:C578=C579,$G$2:G578=G579)),1),1500)"),-443.0)</f>
        <v>-443</v>
      </c>
      <c r="O579" s="3">
        <f t="shared" si="3"/>
        <v>0</v>
      </c>
      <c r="P579" s="9">
        <f t="shared" si="1"/>
        <v>-2</v>
      </c>
      <c r="Q579" s="5">
        <f t="shared" si="2"/>
        <v>-445</v>
      </c>
    </row>
    <row r="580">
      <c r="H580" s="3" t="str">
        <f>IFERROR(__xludf.DUMMYFUNCTION("IFERROR(TRIM(INDEX(SPLIT(E580,"" + ""),1)),"""")"),"")</f>
        <v/>
      </c>
      <c r="I580" s="3" t="str">
        <f>IFERROR(__xludf.DUMMYFUNCTION("IFERROR(TRIM(INDEX(SPLIT(E580,"" + ""),2)),"""")"),"")</f>
        <v/>
      </c>
      <c r="J580" s="5" t="str">
        <f>IFERROR(__xludf.DUMMYFUNCTION("IFERROR(TRIM(INDEX(SPLIT(E580,"" + ""),3)),"""")"),"")</f>
        <v/>
      </c>
      <c r="K580" s="3">
        <f>IFERROR(__xludf.DUMMYFUNCTION("IFERROR(IF(H580="""",0,INDEX(FILTER($Q$2:Q579,$C$2:C579=H580,$G$2:G579=G580),ROWS(FILTER($Q$2:Q579,$C$2:C579=H580,$G$2:G579=G580)),1)),1500)"),0.0)</f>
        <v>0</v>
      </c>
      <c r="L580" s="3">
        <f>IFERROR(__xludf.DUMMYFUNCTION("IFERROR(IF(I580="""",0,INDEX(FILTER($Q$2:Q579,$C$2:C579=I580,$G$2:G579=G580),ROWS(FILTER($Q$2:Q579,$C$2:C579=I580,$G$2:G579=G580)),1)),1500)"),0.0)</f>
        <v>0</v>
      </c>
      <c r="M580" s="3">
        <f>IFERROR(__xludf.DUMMYFUNCTION("IFERROR(IF(J580="""",0,INDEX(FILTER($Q$2:Q579,$C$2:C579=J580,$G$2:G579=G580),ROWS(FILTER($Q$2:Q579,$C$2:C579=J580,$G$2:G579=G580)),1)),1500)"),0.0)</f>
        <v>0</v>
      </c>
      <c r="N580" s="3">
        <f>IFERROR(__xludf.DUMMYFUNCTION("IFERROR(INDEX(FILTER($Q$2:Q579,$C$2:C579=C580,$G$2:G579=G580),ROWS(FILTER($Q$2:Q579,$C$2:C579=C580,$G$2:G579=G580)),1),1500)"),-445.0)</f>
        <v>-445</v>
      </c>
      <c r="O580" s="3">
        <f t="shared" si="3"/>
        <v>0</v>
      </c>
      <c r="P580" s="9">
        <f t="shared" si="1"/>
        <v>-2</v>
      </c>
      <c r="Q580" s="5">
        <f t="shared" si="2"/>
        <v>-447</v>
      </c>
    </row>
    <row r="581">
      <c r="H581" s="3" t="str">
        <f>IFERROR(__xludf.DUMMYFUNCTION("IFERROR(TRIM(INDEX(SPLIT(E581,"" + ""),1)),"""")"),"")</f>
        <v/>
      </c>
      <c r="I581" s="3" t="str">
        <f>IFERROR(__xludf.DUMMYFUNCTION("IFERROR(TRIM(INDEX(SPLIT(E581,"" + ""),2)),"""")"),"")</f>
        <v/>
      </c>
      <c r="J581" s="5" t="str">
        <f>IFERROR(__xludf.DUMMYFUNCTION("IFERROR(TRIM(INDEX(SPLIT(E581,"" + ""),3)),"""")"),"")</f>
        <v/>
      </c>
      <c r="K581" s="3">
        <f>IFERROR(__xludf.DUMMYFUNCTION("IFERROR(IF(H581="""",0,INDEX(FILTER($Q$2:Q580,$C$2:C580=H581,$G$2:G580=G581),ROWS(FILTER($Q$2:Q580,$C$2:C580=H581,$G$2:G580=G581)),1)),1500)"),0.0)</f>
        <v>0</v>
      </c>
      <c r="L581" s="3">
        <f>IFERROR(__xludf.DUMMYFUNCTION("IFERROR(IF(I581="""",0,INDEX(FILTER($Q$2:Q580,$C$2:C580=I581,$G$2:G580=G581),ROWS(FILTER($Q$2:Q580,$C$2:C580=I581,$G$2:G580=G581)),1)),1500)"),0.0)</f>
        <v>0</v>
      </c>
      <c r="M581" s="3">
        <f>IFERROR(__xludf.DUMMYFUNCTION("IFERROR(IF(J581="""",0,INDEX(FILTER($Q$2:Q580,$C$2:C580=J581,$G$2:G580=G581),ROWS(FILTER($Q$2:Q580,$C$2:C580=J581,$G$2:G580=G581)),1)),1500)"),0.0)</f>
        <v>0</v>
      </c>
      <c r="N581" s="3">
        <f>IFERROR(__xludf.DUMMYFUNCTION("IFERROR(INDEX(FILTER($Q$2:Q580,$C$2:C580=C581,$G$2:G580=G581),ROWS(FILTER($Q$2:Q580,$C$2:C580=C581,$G$2:G580=G581)),1),1500)"),-447.0)</f>
        <v>-447</v>
      </c>
      <c r="O581" s="3">
        <f t="shared" si="3"/>
        <v>0</v>
      </c>
      <c r="P581" s="9">
        <f t="shared" si="1"/>
        <v>-2</v>
      </c>
      <c r="Q581" s="5">
        <f t="shared" si="2"/>
        <v>-449</v>
      </c>
    </row>
    <row r="582">
      <c r="H582" s="3" t="str">
        <f>IFERROR(__xludf.DUMMYFUNCTION("IFERROR(TRIM(INDEX(SPLIT(E582,"" + ""),1)),"""")"),"")</f>
        <v/>
      </c>
      <c r="I582" s="3" t="str">
        <f>IFERROR(__xludf.DUMMYFUNCTION("IFERROR(TRIM(INDEX(SPLIT(E582,"" + ""),2)),"""")"),"")</f>
        <v/>
      </c>
      <c r="J582" s="5" t="str">
        <f>IFERROR(__xludf.DUMMYFUNCTION("IFERROR(TRIM(INDEX(SPLIT(E582,"" + ""),3)),"""")"),"")</f>
        <v/>
      </c>
      <c r="K582" s="3">
        <f>IFERROR(__xludf.DUMMYFUNCTION("IFERROR(IF(H582="""",0,INDEX(FILTER($Q$2:Q581,$C$2:C581=H582,$G$2:G581=G582),ROWS(FILTER($Q$2:Q581,$C$2:C581=H582,$G$2:G581=G582)),1)),1500)"),0.0)</f>
        <v>0</v>
      </c>
      <c r="L582" s="3">
        <f>IFERROR(__xludf.DUMMYFUNCTION("IFERROR(IF(I582="""",0,INDEX(FILTER($Q$2:Q581,$C$2:C581=I582,$G$2:G581=G582),ROWS(FILTER($Q$2:Q581,$C$2:C581=I582,$G$2:G581=G582)),1)),1500)"),0.0)</f>
        <v>0</v>
      </c>
      <c r="M582" s="3">
        <f>IFERROR(__xludf.DUMMYFUNCTION("IFERROR(IF(J582="""",0,INDEX(FILTER($Q$2:Q581,$C$2:C581=J582,$G$2:G581=G582),ROWS(FILTER($Q$2:Q581,$C$2:C581=J582,$G$2:G581=G582)),1)),1500)"),0.0)</f>
        <v>0</v>
      </c>
      <c r="N582" s="3">
        <f>IFERROR(__xludf.DUMMYFUNCTION("IFERROR(INDEX(FILTER($Q$2:Q581,$C$2:C581=C582,$G$2:G581=G582),ROWS(FILTER($Q$2:Q581,$C$2:C581=C582,$G$2:G581=G582)),1),1500)"),-449.0)</f>
        <v>-449</v>
      </c>
      <c r="O582" s="3">
        <f t="shared" si="3"/>
        <v>0</v>
      </c>
      <c r="P582" s="9">
        <f t="shared" si="1"/>
        <v>-2</v>
      </c>
      <c r="Q582" s="5">
        <f t="shared" si="2"/>
        <v>-451</v>
      </c>
    </row>
    <row r="583">
      <c r="H583" s="3" t="str">
        <f>IFERROR(__xludf.DUMMYFUNCTION("IFERROR(TRIM(INDEX(SPLIT(E583,"" + ""),1)),"""")"),"")</f>
        <v/>
      </c>
      <c r="I583" s="3" t="str">
        <f>IFERROR(__xludf.DUMMYFUNCTION("IFERROR(TRIM(INDEX(SPLIT(E583,"" + ""),2)),"""")"),"")</f>
        <v/>
      </c>
      <c r="J583" s="5" t="str">
        <f>IFERROR(__xludf.DUMMYFUNCTION("IFERROR(TRIM(INDEX(SPLIT(E583,"" + ""),3)),"""")"),"")</f>
        <v/>
      </c>
      <c r="K583" s="3">
        <f>IFERROR(__xludf.DUMMYFUNCTION("IFERROR(IF(H583="""",0,INDEX(FILTER($Q$2:Q582,$C$2:C582=H583,$G$2:G582=G583),ROWS(FILTER($Q$2:Q582,$C$2:C582=H583,$G$2:G582=G583)),1)),1500)"),0.0)</f>
        <v>0</v>
      </c>
      <c r="L583" s="3">
        <f>IFERROR(__xludf.DUMMYFUNCTION("IFERROR(IF(I583="""",0,INDEX(FILTER($Q$2:Q582,$C$2:C582=I583,$G$2:G582=G583),ROWS(FILTER($Q$2:Q582,$C$2:C582=I583,$G$2:G582=G583)),1)),1500)"),0.0)</f>
        <v>0</v>
      </c>
      <c r="M583" s="3">
        <f>IFERROR(__xludf.DUMMYFUNCTION("IFERROR(IF(J583="""",0,INDEX(FILTER($Q$2:Q582,$C$2:C582=J583,$G$2:G582=G583),ROWS(FILTER($Q$2:Q582,$C$2:C582=J583,$G$2:G582=G583)),1)),1500)"),0.0)</f>
        <v>0</v>
      </c>
      <c r="N583" s="3">
        <f>IFERROR(__xludf.DUMMYFUNCTION("IFERROR(INDEX(FILTER($Q$2:Q582,$C$2:C582=C583,$G$2:G582=G583),ROWS(FILTER($Q$2:Q582,$C$2:C582=C583,$G$2:G582=G583)),1),1500)"),-451.0)</f>
        <v>-451</v>
      </c>
      <c r="O583" s="3">
        <f t="shared" si="3"/>
        <v>0</v>
      </c>
      <c r="P583" s="9">
        <f t="shared" si="1"/>
        <v>-2</v>
      </c>
      <c r="Q583" s="5">
        <f t="shared" si="2"/>
        <v>-453</v>
      </c>
    </row>
    <row r="584">
      <c r="H584" s="3" t="str">
        <f>IFERROR(__xludf.DUMMYFUNCTION("IFERROR(TRIM(INDEX(SPLIT(E584,"" + ""),1)),"""")"),"")</f>
        <v/>
      </c>
      <c r="I584" s="3" t="str">
        <f>IFERROR(__xludf.DUMMYFUNCTION("IFERROR(TRIM(INDEX(SPLIT(E584,"" + ""),2)),"""")"),"")</f>
        <v/>
      </c>
      <c r="J584" s="5" t="str">
        <f>IFERROR(__xludf.DUMMYFUNCTION("IFERROR(TRIM(INDEX(SPLIT(E584,"" + ""),3)),"""")"),"")</f>
        <v/>
      </c>
      <c r="K584" s="3">
        <f>IFERROR(__xludf.DUMMYFUNCTION("IFERROR(IF(H584="""",0,INDEX(FILTER($Q$2:Q583,$C$2:C583=H584,$G$2:G583=G584),ROWS(FILTER($Q$2:Q583,$C$2:C583=H584,$G$2:G583=G584)),1)),1500)"),0.0)</f>
        <v>0</v>
      </c>
      <c r="L584" s="3">
        <f>IFERROR(__xludf.DUMMYFUNCTION("IFERROR(IF(I584="""",0,INDEX(FILTER($Q$2:Q583,$C$2:C583=I584,$G$2:G583=G584),ROWS(FILTER($Q$2:Q583,$C$2:C583=I584,$G$2:G583=G584)),1)),1500)"),0.0)</f>
        <v>0</v>
      </c>
      <c r="M584" s="3">
        <f>IFERROR(__xludf.DUMMYFUNCTION("IFERROR(IF(J584="""",0,INDEX(FILTER($Q$2:Q583,$C$2:C583=J584,$G$2:G583=G584),ROWS(FILTER($Q$2:Q583,$C$2:C583=J584,$G$2:G583=G584)),1)),1500)"),0.0)</f>
        <v>0</v>
      </c>
      <c r="N584" s="3">
        <f>IFERROR(__xludf.DUMMYFUNCTION("IFERROR(INDEX(FILTER($Q$2:Q583,$C$2:C583=C584,$G$2:G583=G584),ROWS(FILTER($Q$2:Q583,$C$2:C583=C584,$G$2:G583=G584)),1),1500)"),-453.0)</f>
        <v>-453</v>
      </c>
      <c r="O584" s="3">
        <f t="shared" si="3"/>
        <v>0</v>
      </c>
      <c r="P584" s="9">
        <f t="shared" si="1"/>
        <v>-2</v>
      </c>
      <c r="Q584" s="5">
        <f t="shared" si="2"/>
        <v>-455</v>
      </c>
    </row>
    <row r="585">
      <c r="H585" s="3" t="str">
        <f>IFERROR(__xludf.DUMMYFUNCTION("IFERROR(TRIM(INDEX(SPLIT(E585,"" + ""),1)),"""")"),"")</f>
        <v/>
      </c>
      <c r="I585" s="3" t="str">
        <f>IFERROR(__xludf.DUMMYFUNCTION("IFERROR(TRIM(INDEX(SPLIT(E585,"" + ""),2)),"""")"),"")</f>
        <v/>
      </c>
      <c r="J585" s="5" t="str">
        <f>IFERROR(__xludf.DUMMYFUNCTION("IFERROR(TRIM(INDEX(SPLIT(E585,"" + ""),3)),"""")"),"")</f>
        <v/>
      </c>
      <c r="K585" s="3">
        <f>IFERROR(__xludf.DUMMYFUNCTION("IFERROR(IF(H585="""",0,INDEX(FILTER($Q$2:Q584,$C$2:C584=H585,$G$2:G584=G585),ROWS(FILTER($Q$2:Q584,$C$2:C584=H585,$G$2:G584=G585)),1)),1500)"),0.0)</f>
        <v>0</v>
      </c>
      <c r="L585" s="3">
        <f>IFERROR(__xludf.DUMMYFUNCTION("IFERROR(IF(I585="""",0,INDEX(FILTER($Q$2:Q584,$C$2:C584=I585,$G$2:G584=G585),ROWS(FILTER($Q$2:Q584,$C$2:C584=I585,$G$2:G584=G585)),1)),1500)"),0.0)</f>
        <v>0</v>
      </c>
      <c r="M585" s="3">
        <f>IFERROR(__xludf.DUMMYFUNCTION("IFERROR(IF(J585="""",0,INDEX(FILTER($Q$2:Q584,$C$2:C584=J585,$G$2:G584=G585),ROWS(FILTER($Q$2:Q584,$C$2:C584=J585,$G$2:G584=G585)),1)),1500)"),0.0)</f>
        <v>0</v>
      </c>
      <c r="N585" s="3">
        <f>IFERROR(__xludf.DUMMYFUNCTION("IFERROR(INDEX(FILTER($Q$2:Q584,$C$2:C584=C585,$G$2:G584=G585),ROWS(FILTER($Q$2:Q584,$C$2:C584=C585,$G$2:G584=G585)),1),1500)"),-455.0)</f>
        <v>-455</v>
      </c>
      <c r="O585" s="3">
        <f t="shared" si="3"/>
        <v>0</v>
      </c>
      <c r="P585" s="9">
        <f t="shared" si="1"/>
        <v>-2</v>
      </c>
      <c r="Q585" s="5">
        <f t="shared" si="2"/>
        <v>-457</v>
      </c>
    </row>
    <row r="586">
      <c r="H586" s="3" t="str">
        <f>IFERROR(__xludf.DUMMYFUNCTION("IFERROR(TRIM(INDEX(SPLIT(E586,"" + ""),1)),"""")"),"")</f>
        <v/>
      </c>
      <c r="I586" s="3" t="str">
        <f>IFERROR(__xludf.DUMMYFUNCTION("IFERROR(TRIM(INDEX(SPLIT(E586,"" + ""),2)),"""")"),"")</f>
        <v/>
      </c>
      <c r="J586" s="5" t="str">
        <f>IFERROR(__xludf.DUMMYFUNCTION("IFERROR(TRIM(INDEX(SPLIT(E586,"" + ""),3)),"""")"),"")</f>
        <v/>
      </c>
      <c r="K586" s="3">
        <f>IFERROR(__xludf.DUMMYFUNCTION("IFERROR(IF(H586="""",0,INDEX(FILTER($Q$2:Q585,$C$2:C585=H586,$G$2:G585=G586),ROWS(FILTER($Q$2:Q585,$C$2:C585=H586,$G$2:G585=G586)),1)),1500)"),0.0)</f>
        <v>0</v>
      </c>
      <c r="L586" s="3">
        <f>IFERROR(__xludf.DUMMYFUNCTION("IFERROR(IF(I586="""",0,INDEX(FILTER($Q$2:Q585,$C$2:C585=I586,$G$2:G585=G586),ROWS(FILTER($Q$2:Q585,$C$2:C585=I586,$G$2:G585=G586)),1)),1500)"),0.0)</f>
        <v>0</v>
      </c>
      <c r="M586" s="3">
        <f>IFERROR(__xludf.DUMMYFUNCTION("IFERROR(IF(J586="""",0,INDEX(FILTER($Q$2:Q585,$C$2:C585=J586,$G$2:G585=G586),ROWS(FILTER($Q$2:Q585,$C$2:C585=J586,$G$2:G585=G586)),1)),1500)"),0.0)</f>
        <v>0</v>
      </c>
      <c r="N586" s="3">
        <f>IFERROR(__xludf.DUMMYFUNCTION("IFERROR(INDEX(FILTER($Q$2:Q585,$C$2:C585=C586,$G$2:G585=G586),ROWS(FILTER($Q$2:Q585,$C$2:C585=C586,$G$2:G585=G586)),1),1500)"),-457.0)</f>
        <v>-457</v>
      </c>
      <c r="O586" s="3">
        <f t="shared" si="3"/>
        <v>0</v>
      </c>
      <c r="P586" s="9">
        <f t="shared" si="1"/>
        <v>-2</v>
      </c>
      <c r="Q586" s="5">
        <f t="shared" si="2"/>
        <v>-459</v>
      </c>
    </row>
    <row r="587">
      <c r="H587" s="3" t="str">
        <f>IFERROR(__xludf.DUMMYFUNCTION("IFERROR(TRIM(INDEX(SPLIT(E587,"" + ""),1)),"""")"),"")</f>
        <v/>
      </c>
      <c r="I587" s="3" t="str">
        <f>IFERROR(__xludf.DUMMYFUNCTION("IFERROR(TRIM(INDEX(SPLIT(E587,"" + ""),2)),"""")"),"")</f>
        <v/>
      </c>
      <c r="J587" s="5" t="str">
        <f>IFERROR(__xludf.DUMMYFUNCTION("IFERROR(TRIM(INDEX(SPLIT(E587,"" + ""),3)),"""")"),"")</f>
        <v/>
      </c>
      <c r="K587" s="3">
        <f>IFERROR(__xludf.DUMMYFUNCTION("IFERROR(IF(H587="""",0,INDEX(FILTER($Q$2:Q586,$C$2:C586=H587,$G$2:G586=G587),ROWS(FILTER($Q$2:Q586,$C$2:C586=H587,$G$2:G586=G587)),1)),1500)"),0.0)</f>
        <v>0</v>
      </c>
      <c r="L587" s="3">
        <f>IFERROR(__xludf.DUMMYFUNCTION("IFERROR(IF(I587="""",0,INDEX(FILTER($Q$2:Q586,$C$2:C586=I587,$G$2:G586=G587),ROWS(FILTER($Q$2:Q586,$C$2:C586=I587,$G$2:G586=G587)),1)),1500)"),0.0)</f>
        <v>0</v>
      </c>
      <c r="M587" s="3">
        <f>IFERROR(__xludf.DUMMYFUNCTION("IFERROR(IF(J587="""",0,INDEX(FILTER($Q$2:Q586,$C$2:C586=J587,$G$2:G586=G587),ROWS(FILTER($Q$2:Q586,$C$2:C586=J587,$G$2:G586=G587)),1)),1500)"),0.0)</f>
        <v>0</v>
      </c>
      <c r="N587" s="3">
        <f>IFERROR(__xludf.DUMMYFUNCTION("IFERROR(INDEX(FILTER($Q$2:Q586,$C$2:C586=C587,$G$2:G586=G587),ROWS(FILTER($Q$2:Q586,$C$2:C586=C587,$G$2:G586=G587)),1),1500)"),-459.0)</f>
        <v>-459</v>
      </c>
      <c r="O587" s="3">
        <f t="shared" si="3"/>
        <v>0</v>
      </c>
      <c r="P587" s="9">
        <f t="shared" si="1"/>
        <v>-2</v>
      </c>
      <c r="Q587" s="5">
        <f t="shared" si="2"/>
        <v>-461</v>
      </c>
    </row>
    <row r="588">
      <c r="H588" s="3" t="str">
        <f>IFERROR(__xludf.DUMMYFUNCTION("IFERROR(TRIM(INDEX(SPLIT(E588,"" + ""),1)),"""")"),"")</f>
        <v/>
      </c>
      <c r="I588" s="3" t="str">
        <f>IFERROR(__xludf.DUMMYFUNCTION("IFERROR(TRIM(INDEX(SPLIT(E588,"" + ""),2)),"""")"),"")</f>
        <v/>
      </c>
      <c r="J588" s="5" t="str">
        <f>IFERROR(__xludf.DUMMYFUNCTION("IFERROR(TRIM(INDEX(SPLIT(E588,"" + ""),3)),"""")"),"")</f>
        <v/>
      </c>
      <c r="K588" s="3">
        <f>IFERROR(__xludf.DUMMYFUNCTION("IFERROR(IF(H588="""",0,INDEX(FILTER($Q$2:Q587,$C$2:C587=H588,$G$2:G587=G588),ROWS(FILTER($Q$2:Q587,$C$2:C587=H588,$G$2:G587=G588)),1)),1500)"),0.0)</f>
        <v>0</v>
      </c>
      <c r="L588" s="3">
        <f>IFERROR(__xludf.DUMMYFUNCTION("IFERROR(IF(I588="""",0,INDEX(FILTER($Q$2:Q587,$C$2:C587=I588,$G$2:G587=G588),ROWS(FILTER($Q$2:Q587,$C$2:C587=I588,$G$2:G587=G588)),1)),1500)"),0.0)</f>
        <v>0</v>
      </c>
      <c r="M588" s="3">
        <f>IFERROR(__xludf.DUMMYFUNCTION("IFERROR(IF(J588="""",0,INDEX(FILTER($Q$2:Q587,$C$2:C587=J588,$G$2:G587=G588),ROWS(FILTER($Q$2:Q587,$C$2:C587=J588,$G$2:G587=G588)),1)),1500)"),0.0)</f>
        <v>0</v>
      </c>
      <c r="N588" s="3">
        <f>IFERROR(__xludf.DUMMYFUNCTION("IFERROR(INDEX(FILTER($Q$2:Q587,$C$2:C587=C588,$G$2:G587=G588),ROWS(FILTER($Q$2:Q587,$C$2:C587=C588,$G$2:G587=G588)),1),1500)"),-461.0)</f>
        <v>-461</v>
      </c>
      <c r="O588" s="3">
        <f t="shared" si="3"/>
        <v>0</v>
      </c>
      <c r="P588" s="9">
        <f t="shared" si="1"/>
        <v>-2</v>
      </c>
      <c r="Q588" s="5">
        <f t="shared" si="2"/>
        <v>-463</v>
      </c>
    </row>
    <row r="589">
      <c r="H589" s="3" t="str">
        <f>IFERROR(__xludf.DUMMYFUNCTION("IFERROR(TRIM(INDEX(SPLIT(E589,"" + ""),1)),"""")"),"")</f>
        <v/>
      </c>
      <c r="I589" s="3" t="str">
        <f>IFERROR(__xludf.DUMMYFUNCTION("IFERROR(TRIM(INDEX(SPLIT(E589,"" + ""),2)),"""")"),"")</f>
        <v/>
      </c>
      <c r="J589" s="5" t="str">
        <f>IFERROR(__xludf.DUMMYFUNCTION("IFERROR(TRIM(INDEX(SPLIT(E589,"" + ""),3)),"""")"),"")</f>
        <v/>
      </c>
      <c r="K589" s="3">
        <f>IFERROR(__xludf.DUMMYFUNCTION("IFERROR(IF(H589="""",0,INDEX(FILTER($Q$2:Q588,$C$2:C588=H589,$G$2:G588=G589),ROWS(FILTER($Q$2:Q588,$C$2:C588=H589,$G$2:G588=G589)),1)),1500)"),0.0)</f>
        <v>0</v>
      </c>
      <c r="L589" s="3">
        <f>IFERROR(__xludf.DUMMYFUNCTION("IFERROR(IF(I589="""",0,INDEX(FILTER($Q$2:Q588,$C$2:C588=I589,$G$2:G588=G589),ROWS(FILTER($Q$2:Q588,$C$2:C588=I589,$G$2:G588=G589)),1)),1500)"),0.0)</f>
        <v>0</v>
      </c>
      <c r="M589" s="3">
        <f>IFERROR(__xludf.DUMMYFUNCTION("IFERROR(IF(J589="""",0,INDEX(FILTER($Q$2:Q588,$C$2:C588=J589,$G$2:G588=G589),ROWS(FILTER($Q$2:Q588,$C$2:C588=J589,$G$2:G588=G589)),1)),1500)"),0.0)</f>
        <v>0</v>
      </c>
      <c r="N589" s="3">
        <f>IFERROR(__xludf.DUMMYFUNCTION("IFERROR(INDEX(FILTER($Q$2:Q588,$C$2:C588=C589,$G$2:G588=G589),ROWS(FILTER($Q$2:Q588,$C$2:C588=C589,$G$2:G588=G589)),1),1500)"),-463.0)</f>
        <v>-463</v>
      </c>
      <c r="O589" s="3">
        <f t="shared" si="3"/>
        <v>0</v>
      </c>
      <c r="P589" s="9">
        <f t="shared" si="1"/>
        <v>-2</v>
      </c>
      <c r="Q589" s="5">
        <f t="shared" si="2"/>
        <v>-465</v>
      </c>
    </row>
    <row r="590">
      <c r="H590" s="3" t="str">
        <f>IFERROR(__xludf.DUMMYFUNCTION("IFERROR(TRIM(INDEX(SPLIT(E590,"" + ""),1)),"""")"),"")</f>
        <v/>
      </c>
      <c r="I590" s="3" t="str">
        <f>IFERROR(__xludf.DUMMYFUNCTION("IFERROR(TRIM(INDEX(SPLIT(E590,"" + ""),2)),"""")"),"")</f>
        <v/>
      </c>
      <c r="J590" s="5" t="str">
        <f>IFERROR(__xludf.DUMMYFUNCTION("IFERROR(TRIM(INDEX(SPLIT(E590,"" + ""),3)),"""")"),"")</f>
        <v/>
      </c>
      <c r="K590" s="3">
        <f>IFERROR(__xludf.DUMMYFUNCTION("IFERROR(IF(H590="""",0,INDEX(FILTER($Q$2:Q589,$C$2:C589=H590,$G$2:G589=G590),ROWS(FILTER($Q$2:Q589,$C$2:C589=H590,$G$2:G589=G590)),1)),1500)"),0.0)</f>
        <v>0</v>
      </c>
      <c r="L590" s="3">
        <f>IFERROR(__xludf.DUMMYFUNCTION("IFERROR(IF(I590="""",0,INDEX(FILTER($Q$2:Q589,$C$2:C589=I590,$G$2:G589=G590),ROWS(FILTER($Q$2:Q589,$C$2:C589=I590,$G$2:G589=G590)),1)),1500)"),0.0)</f>
        <v>0</v>
      </c>
      <c r="M590" s="3">
        <f>IFERROR(__xludf.DUMMYFUNCTION("IFERROR(IF(J590="""",0,INDEX(FILTER($Q$2:Q589,$C$2:C589=J590,$G$2:G589=G590),ROWS(FILTER($Q$2:Q589,$C$2:C589=J590,$G$2:G589=G590)),1)),1500)"),0.0)</f>
        <v>0</v>
      </c>
      <c r="N590" s="3">
        <f>IFERROR(__xludf.DUMMYFUNCTION("IFERROR(INDEX(FILTER($Q$2:Q589,$C$2:C589=C590,$G$2:G589=G590),ROWS(FILTER($Q$2:Q589,$C$2:C589=C590,$G$2:G589=G590)),1),1500)"),-465.0)</f>
        <v>-465</v>
      </c>
      <c r="O590" s="3">
        <f t="shared" si="3"/>
        <v>0</v>
      </c>
      <c r="P590" s="9">
        <f t="shared" si="1"/>
        <v>-2</v>
      </c>
      <c r="Q590" s="5">
        <f t="shared" si="2"/>
        <v>-467</v>
      </c>
    </row>
    <row r="591">
      <c r="H591" s="3" t="str">
        <f>IFERROR(__xludf.DUMMYFUNCTION("IFERROR(TRIM(INDEX(SPLIT(E591,"" + ""),1)),"""")"),"")</f>
        <v/>
      </c>
      <c r="I591" s="3" t="str">
        <f>IFERROR(__xludf.DUMMYFUNCTION("IFERROR(TRIM(INDEX(SPLIT(E591,"" + ""),2)),"""")"),"")</f>
        <v/>
      </c>
      <c r="J591" s="5" t="str">
        <f>IFERROR(__xludf.DUMMYFUNCTION("IFERROR(TRIM(INDEX(SPLIT(E591,"" + ""),3)),"""")"),"")</f>
        <v/>
      </c>
      <c r="K591" s="3">
        <f>IFERROR(__xludf.DUMMYFUNCTION("IFERROR(IF(H591="""",0,INDEX(FILTER($Q$2:Q590,$C$2:C590=H591,$G$2:G590=G591),ROWS(FILTER($Q$2:Q590,$C$2:C590=H591,$G$2:G590=G591)),1)),1500)"),0.0)</f>
        <v>0</v>
      </c>
      <c r="L591" s="3">
        <f>IFERROR(__xludf.DUMMYFUNCTION("IFERROR(IF(I591="""",0,INDEX(FILTER($Q$2:Q590,$C$2:C590=I591,$G$2:G590=G591),ROWS(FILTER($Q$2:Q590,$C$2:C590=I591,$G$2:G590=G591)),1)),1500)"),0.0)</f>
        <v>0</v>
      </c>
      <c r="M591" s="3">
        <f>IFERROR(__xludf.DUMMYFUNCTION("IFERROR(IF(J591="""",0,INDEX(FILTER($Q$2:Q590,$C$2:C590=J591,$G$2:G590=G591),ROWS(FILTER($Q$2:Q590,$C$2:C590=J591,$G$2:G590=G591)),1)),1500)"),0.0)</f>
        <v>0</v>
      </c>
      <c r="N591" s="3">
        <f>IFERROR(__xludf.DUMMYFUNCTION("IFERROR(INDEX(FILTER($Q$2:Q590,$C$2:C590=C591,$G$2:G590=G591),ROWS(FILTER($Q$2:Q590,$C$2:C590=C591,$G$2:G590=G591)),1),1500)"),-467.0)</f>
        <v>-467</v>
      </c>
      <c r="O591" s="3">
        <f t="shared" si="3"/>
        <v>0</v>
      </c>
      <c r="P591" s="9">
        <f t="shared" si="1"/>
        <v>-2</v>
      </c>
      <c r="Q591" s="5">
        <f t="shared" si="2"/>
        <v>-469</v>
      </c>
    </row>
    <row r="592">
      <c r="H592" s="3" t="str">
        <f>IFERROR(__xludf.DUMMYFUNCTION("IFERROR(TRIM(INDEX(SPLIT(E592,"" + ""),1)),"""")"),"")</f>
        <v/>
      </c>
      <c r="I592" s="3" t="str">
        <f>IFERROR(__xludf.DUMMYFUNCTION("IFERROR(TRIM(INDEX(SPLIT(E592,"" + ""),2)),"""")"),"")</f>
        <v/>
      </c>
      <c r="J592" s="5" t="str">
        <f>IFERROR(__xludf.DUMMYFUNCTION("IFERROR(TRIM(INDEX(SPLIT(E592,"" + ""),3)),"""")"),"")</f>
        <v/>
      </c>
      <c r="K592" s="3">
        <f>IFERROR(__xludf.DUMMYFUNCTION("IFERROR(IF(H592="""",0,INDEX(FILTER($Q$2:Q591,$C$2:C591=H592,$G$2:G591=G592),ROWS(FILTER($Q$2:Q591,$C$2:C591=H592,$G$2:G591=G592)),1)),1500)"),0.0)</f>
        <v>0</v>
      </c>
      <c r="L592" s="3">
        <f>IFERROR(__xludf.DUMMYFUNCTION("IFERROR(IF(I592="""",0,INDEX(FILTER($Q$2:Q591,$C$2:C591=I592,$G$2:G591=G592),ROWS(FILTER($Q$2:Q591,$C$2:C591=I592,$G$2:G591=G592)),1)),1500)"),0.0)</f>
        <v>0</v>
      </c>
      <c r="M592" s="3">
        <f>IFERROR(__xludf.DUMMYFUNCTION("IFERROR(IF(J592="""",0,INDEX(FILTER($Q$2:Q591,$C$2:C591=J592,$G$2:G591=G592),ROWS(FILTER($Q$2:Q591,$C$2:C591=J592,$G$2:G591=G592)),1)),1500)"),0.0)</f>
        <v>0</v>
      </c>
      <c r="N592" s="3">
        <f>IFERROR(__xludf.DUMMYFUNCTION("IFERROR(INDEX(FILTER($Q$2:Q591,$C$2:C591=C592,$G$2:G591=G592),ROWS(FILTER($Q$2:Q591,$C$2:C591=C592,$G$2:G591=G592)),1),1500)"),-469.0)</f>
        <v>-469</v>
      </c>
      <c r="O592" s="3">
        <f t="shared" si="3"/>
        <v>0</v>
      </c>
      <c r="P592" s="9">
        <f t="shared" si="1"/>
        <v>-2</v>
      </c>
      <c r="Q592" s="5">
        <f t="shared" si="2"/>
        <v>-471</v>
      </c>
    </row>
    <row r="593">
      <c r="H593" s="3" t="str">
        <f>IFERROR(__xludf.DUMMYFUNCTION("IFERROR(TRIM(INDEX(SPLIT(E593,"" + ""),1)),"""")"),"")</f>
        <v/>
      </c>
      <c r="I593" s="3" t="str">
        <f>IFERROR(__xludf.DUMMYFUNCTION("IFERROR(TRIM(INDEX(SPLIT(E593,"" + ""),2)),"""")"),"")</f>
        <v/>
      </c>
      <c r="J593" s="5" t="str">
        <f>IFERROR(__xludf.DUMMYFUNCTION("IFERROR(TRIM(INDEX(SPLIT(E593,"" + ""),3)),"""")"),"")</f>
        <v/>
      </c>
      <c r="K593" s="3">
        <f>IFERROR(__xludf.DUMMYFUNCTION("IFERROR(IF(H593="""",0,INDEX(FILTER($Q$2:Q592,$C$2:C592=H593,$G$2:G592=G593),ROWS(FILTER($Q$2:Q592,$C$2:C592=H593,$G$2:G592=G593)),1)),1500)"),0.0)</f>
        <v>0</v>
      </c>
      <c r="L593" s="3">
        <f>IFERROR(__xludf.DUMMYFUNCTION("IFERROR(IF(I593="""",0,INDEX(FILTER($Q$2:Q592,$C$2:C592=I593,$G$2:G592=G593),ROWS(FILTER($Q$2:Q592,$C$2:C592=I593,$G$2:G592=G593)),1)),1500)"),0.0)</f>
        <v>0</v>
      </c>
      <c r="M593" s="3">
        <f>IFERROR(__xludf.DUMMYFUNCTION("IFERROR(IF(J593="""",0,INDEX(FILTER($Q$2:Q592,$C$2:C592=J593,$G$2:G592=G593),ROWS(FILTER($Q$2:Q592,$C$2:C592=J593,$G$2:G592=G593)),1)),1500)"),0.0)</f>
        <v>0</v>
      </c>
      <c r="N593" s="3">
        <f>IFERROR(__xludf.DUMMYFUNCTION("IFERROR(INDEX(FILTER($Q$2:Q592,$C$2:C592=C593,$G$2:G592=G593),ROWS(FILTER($Q$2:Q592,$C$2:C592=C593,$G$2:G592=G593)),1),1500)"),-471.0)</f>
        <v>-471</v>
      </c>
      <c r="O593" s="3">
        <f t="shared" si="3"/>
        <v>0</v>
      </c>
      <c r="P593" s="9">
        <f t="shared" si="1"/>
        <v>-2</v>
      </c>
      <c r="Q593" s="5">
        <f t="shared" si="2"/>
        <v>-473</v>
      </c>
    </row>
    <row r="594">
      <c r="H594" s="3" t="str">
        <f>IFERROR(__xludf.DUMMYFUNCTION("IFERROR(TRIM(INDEX(SPLIT(E594,"" + ""),1)),"""")"),"")</f>
        <v/>
      </c>
      <c r="I594" s="3" t="str">
        <f>IFERROR(__xludf.DUMMYFUNCTION("IFERROR(TRIM(INDEX(SPLIT(E594,"" + ""),2)),"""")"),"")</f>
        <v/>
      </c>
      <c r="J594" s="5" t="str">
        <f>IFERROR(__xludf.DUMMYFUNCTION("IFERROR(TRIM(INDEX(SPLIT(E594,"" + ""),3)),"""")"),"")</f>
        <v/>
      </c>
      <c r="K594" s="3">
        <f>IFERROR(__xludf.DUMMYFUNCTION("IFERROR(IF(H594="""",0,INDEX(FILTER($Q$2:Q593,$C$2:C593=H594,$G$2:G593=G594),ROWS(FILTER($Q$2:Q593,$C$2:C593=H594,$G$2:G593=G594)),1)),1500)"),0.0)</f>
        <v>0</v>
      </c>
      <c r="L594" s="3">
        <f>IFERROR(__xludf.DUMMYFUNCTION("IFERROR(IF(I594="""",0,INDEX(FILTER($Q$2:Q593,$C$2:C593=I594,$G$2:G593=G594),ROWS(FILTER($Q$2:Q593,$C$2:C593=I594,$G$2:G593=G594)),1)),1500)"),0.0)</f>
        <v>0</v>
      </c>
      <c r="M594" s="3">
        <f>IFERROR(__xludf.DUMMYFUNCTION("IFERROR(IF(J594="""",0,INDEX(FILTER($Q$2:Q593,$C$2:C593=J594,$G$2:G593=G594),ROWS(FILTER($Q$2:Q593,$C$2:C593=J594,$G$2:G593=G594)),1)),1500)"),0.0)</f>
        <v>0</v>
      </c>
      <c r="N594" s="3">
        <f>IFERROR(__xludf.DUMMYFUNCTION("IFERROR(INDEX(FILTER($Q$2:Q593,$C$2:C593=C594,$G$2:G593=G594),ROWS(FILTER($Q$2:Q593,$C$2:C593=C594,$G$2:G593=G594)),1),1500)"),-473.0)</f>
        <v>-473</v>
      </c>
      <c r="O594" s="3">
        <f t="shared" si="3"/>
        <v>0</v>
      </c>
      <c r="P594" s="9">
        <f t="shared" si="1"/>
        <v>-2</v>
      </c>
      <c r="Q594" s="5">
        <f t="shared" si="2"/>
        <v>-475</v>
      </c>
    </row>
    <row r="595">
      <c r="H595" s="3" t="str">
        <f>IFERROR(__xludf.DUMMYFUNCTION("IFERROR(TRIM(INDEX(SPLIT(E595,"" + ""),1)),"""")"),"")</f>
        <v/>
      </c>
      <c r="I595" s="3" t="str">
        <f>IFERROR(__xludf.DUMMYFUNCTION("IFERROR(TRIM(INDEX(SPLIT(E595,"" + ""),2)),"""")"),"")</f>
        <v/>
      </c>
      <c r="J595" s="5" t="str">
        <f>IFERROR(__xludf.DUMMYFUNCTION("IFERROR(TRIM(INDEX(SPLIT(E595,"" + ""),3)),"""")"),"")</f>
        <v/>
      </c>
      <c r="K595" s="3">
        <f>IFERROR(__xludf.DUMMYFUNCTION("IFERROR(IF(H595="""",0,INDEX(FILTER($Q$2:Q594,$C$2:C594=H595,$G$2:G594=G595),ROWS(FILTER($Q$2:Q594,$C$2:C594=H595,$G$2:G594=G595)),1)),1500)"),0.0)</f>
        <v>0</v>
      </c>
      <c r="L595" s="3">
        <f>IFERROR(__xludf.DUMMYFUNCTION("IFERROR(IF(I595="""",0,INDEX(FILTER($Q$2:Q594,$C$2:C594=I595,$G$2:G594=G595),ROWS(FILTER($Q$2:Q594,$C$2:C594=I595,$G$2:G594=G595)),1)),1500)"),0.0)</f>
        <v>0</v>
      </c>
      <c r="M595" s="3">
        <f>IFERROR(__xludf.DUMMYFUNCTION("IFERROR(IF(J595="""",0,INDEX(FILTER($Q$2:Q594,$C$2:C594=J595,$G$2:G594=G595),ROWS(FILTER($Q$2:Q594,$C$2:C594=J595,$G$2:G594=G595)),1)),1500)"),0.0)</f>
        <v>0</v>
      </c>
      <c r="N595" s="3">
        <f>IFERROR(__xludf.DUMMYFUNCTION("IFERROR(INDEX(FILTER($Q$2:Q594,$C$2:C594=C595,$G$2:G594=G595),ROWS(FILTER($Q$2:Q594,$C$2:C594=C595,$G$2:G594=G595)),1),1500)"),-475.0)</f>
        <v>-475</v>
      </c>
      <c r="O595" s="3">
        <f t="shared" si="3"/>
        <v>0</v>
      </c>
      <c r="P595" s="9">
        <f t="shared" si="1"/>
        <v>-2</v>
      </c>
      <c r="Q595" s="5">
        <f t="shared" si="2"/>
        <v>-477</v>
      </c>
    </row>
    <row r="596">
      <c r="H596" s="3" t="str">
        <f>IFERROR(__xludf.DUMMYFUNCTION("IFERROR(TRIM(INDEX(SPLIT(E596,"" + ""),1)),"""")"),"")</f>
        <v/>
      </c>
      <c r="I596" s="3" t="str">
        <f>IFERROR(__xludf.DUMMYFUNCTION("IFERROR(TRIM(INDEX(SPLIT(E596,"" + ""),2)),"""")"),"")</f>
        <v/>
      </c>
      <c r="J596" s="5" t="str">
        <f>IFERROR(__xludf.DUMMYFUNCTION("IFERROR(TRIM(INDEX(SPLIT(E596,"" + ""),3)),"""")"),"")</f>
        <v/>
      </c>
      <c r="K596" s="3">
        <f>IFERROR(__xludf.DUMMYFUNCTION("IFERROR(IF(H596="""",0,INDEX(FILTER($Q$2:Q595,$C$2:C595=H596,$G$2:G595=G596),ROWS(FILTER($Q$2:Q595,$C$2:C595=H596,$G$2:G595=G596)),1)),1500)"),0.0)</f>
        <v>0</v>
      </c>
      <c r="L596" s="3">
        <f>IFERROR(__xludf.DUMMYFUNCTION("IFERROR(IF(I596="""",0,INDEX(FILTER($Q$2:Q595,$C$2:C595=I596,$G$2:G595=G596),ROWS(FILTER($Q$2:Q595,$C$2:C595=I596,$G$2:G595=G596)),1)),1500)"),0.0)</f>
        <v>0</v>
      </c>
      <c r="M596" s="3">
        <f>IFERROR(__xludf.DUMMYFUNCTION("IFERROR(IF(J596="""",0,INDEX(FILTER($Q$2:Q595,$C$2:C595=J596,$G$2:G595=G596),ROWS(FILTER($Q$2:Q595,$C$2:C595=J596,$G$2:G595=G596)),1)),1500)"),0.0)</f>
        <v>0</v>
      </c>
      <c r="N596" s="3">
        <f>IFERROR(__xludf.DUMMYFUNCTION("IFERROR(INDEX(FILTER($Q$2:Q595,$C$2:C595=C596,$G$2:G595=G596),ROWS(FILTER($Q$2:Q595,$C$2:C595=C596,$G$2:G595=G596)),1),1500)"),-477.0)</f>
        <v>-477</v>
      </c>
      <c r="O596" s="3">
        <f t="shared" si="3"/>
        <v>0</v>
      </c>
      <c r="P596" s="9">
        <f t="shared" si="1"/>
        <v>-2</v>
      </c>
      <c r="Q596" s="5">
        <f t="shared" si="2"/>
        <v>-479</v>
      </c>
    </row>
    <row r="597">
      <c r="H597" s="3" t="str">
        <f>IFERROR(__xludf.DUMMYFUNCTION("IFERROR(TRIM(INDEX(SPLIT(E597,"" + ""),1)),"""")"),"")</f>
        <v/>
      </c>
      <c r="I597" s="3" t="str">
        <f>IFERROR(__xludf.DUMMYFUNCTION("IFERROR(TRIM(INDEX(SPLIT(E597,"" + ""),2)),"""")"),"")</f>
        <v/>
      </c>
      <c r="J597" s="5" t="str">
        <f>IFERROR(__xludf.DUMMYFUNCTION("IFERROR(TRIM(INDEX(SPLIT(E597,"" + ""),3)),"""")"),"")</f>
        <v/>
      </c>
      <c r="K597" s="3">
        <f>IFERROR(__xludf.DUMMYFUNCTION("IFERROR(IF(H597="""",0,INDEX(FILTER($Q$2:Q596,$C$2:C596=H597,$G$2:G596=G597),ROWS(FILTER($Q$2:Q596,$C$2:C596=H597,$G$2:G596=G597)),1)),1500)"),0.0)</f>
        <v>0</v>
      </c>
      <c r="L597" s="3">
        <f>IFERROR(__xludf.DUMMYFUNCTION("IFERROR(IF(I597="""",0,INDEX(FILTER($Q$2:Q596,$C$2:C596=I597,$G$2:G596=G597),ROWS(FILTER($Q$2:Q596,$C$2:C596=I597,$G$2:G596=G597)),1)),1500)"),0.0)</f>
        <v>0</v>
      </c>
      <c r="M597" s="3">
        <f>IFERROR(__xludf.DUMMYFUNCTION("IFERROR(IF(J597="""",0,INDEX(FILTER($Q$2:Q596,$C$2:C596=J597,$G$2:G596=G597),ROWS(FILTER($Q$2:Q596,$C$2:C596=J597,$G$2:G596=G597)),1)),1500)"),0.0)</f>
        <v>0</v>
      </c>
      <c r="N597" s="3">
        <f>IFERROR(__xludf.DUMMYFUNCTION("IFERROR(INDEX(FILTER($Q$2:Q596,$C$2:C596=C597,$G$2:G596=G597),ROWS(FILTER($Q$2:Q596,$C$2:C596=C597,$G$2:G596=G597)),1),1500)"),-479.0)</f>
        <v>-479</v>
      </c>
      <c r="O597" s="3">
        <f t="shared" si="3"/>
        <v>0</v>
      </c>
      <c r="P597" s="9">
        <f t="shared" si="1"/>
        <v>-2</v>
      </c>
      <c r="Q597" s="5">
        <f t="shared" si="2"/>
        <v>-481</v>
      </c>
    </row>
    <row r="598">
      <c r="H598" s="3" t="str">
        <f>IFERROR(__xludf.DUMMYFUNCTION("IFERROR(TRIM(INDEX(SPLIT(E598,"" + ""),1)),"""")"),"")</f>
        <v/>
      </c>
      <c r="I598" s="3" t="str">
        <f>IFERROR(__xludf.DUMMYFUNCTION("IFERROR(TRIM(INDEX(SPLIT(E598,"" + ""),2)),"""")"),"")</f>
        <v/>
      </c>
      <c r="J598" s="5" t="str">
        <f>IFERROR(__xludf.DUMMYFUNCTION("IFERROR(TRIM(INDEX(SPLIT(E598,"" + ""),3)),"""")"),"")</f>
        <v/>
      </c>
      <c r="K598" s="3">
        <f>IFERROR(__xludf.DUMMYFUNCTION("IFERROR(IF(H598="""",0,INDEX(FILTER($Q$2:Q597,$C$2:C597=H598,$G$2:G597=G598),ROWS(FILTER($Q$2:Q597,$C$2:C597=H598,$G$2:G597=G598)),1)),1500)"),0.0)</f>
        <v>0</v>
      </c>
      <c r="L598" s="3">
        <f>IFERROR(__xludf.DUMMYFUNCTION("IFERROR(IF(I598="""",0,INDEX(FILTER($Q$2:Q597,$C$2:C597=I598,$G$2:G597=G598),ROWS(FILTER($Q$2:Q597,$C$2:C597=I598,$G$2:G597=G598)),1)),1500)"),0.0)</f>
        <v>0</v>
      </c>
      <c r="M598" s="3">
        <f>IFERROR(__xludf.DUMMYFUNCTION("IFERROR(IF(J598="""",0,INDEX(FILTER($Q$2:Q597,$C$2:C597=J598,$G$2:G597=G598),ROWS(FILTER($Q$2:Q597,$C$2:C597=J598,$G$2:G597=G598)),1)),1500)"),0.0)</f>
        <v>0</v>
      </c>
      <c r="N598" s="3">
        <f>IFERROR(__xludf.DUMMYFUNCTION("IFERROR(INDEX(FILTER($Q$2:Q597,$C$2:C597=C598,$G$2:G597=G598),ROWS(FILTER($Q$2:Q597,$C$2:C597=C598,$G$2:G597=G598)),1),1500)"),-481.0)</f>
        <v>-481</v>
      </c>
      <c r="O598" s="3">
        <f t="shared" si="3"/>
        <v>0</v>
      </c>
      <c r="P598" s="9">
        <f t="shared" si="1"/>
        <v>-2</v>
      </c>
      <c r="Q598" s="5">
        <f t="shared" si="2"/>
        <v>-483</v>
      </c>
    </row>
    <row r="599">
      <c r="H599" s="3" t="str">
        <f>IFERROR(__xludf.DUMMYFUNCTION("IFERROR(TRIM(INDEX(SPLIT(E599,"" + ""),1)),"""")"),"")</f>
        <v/>
      </c>
      <c r="I599" s="3" t="str">
        <f>IFERROR(__xludf.DUMMYFUNCTION("IFERROR(TRIM(INDEX(SPLIT(E599,"" + ""),2)),"""")"),"")</f>
        <v/>
      </c>
      <c r="J599" s="5" t="str">
        <f>IFERROR(__xludf.DUMMYFUNCTION("IFERROR(TRIM(INDEX(SPLIT(E599,"" + ""),3)),"""")"),"")</f>
        <v/>
      </c>
      <c r="K599" s="3">
        <f>IFERROR(__xludf.DUMMYFUNCTION("IFERROR(IF(H599="""",0,INDEX(FILTER($Q$2:Q598,$C$2:C598=H599,$G$2:G598=G599),ROWS(FILTER($Q$2:Q598,$C$2:C598=H599,$G$2:G598=G599)),1)),1500)"),0.0)</f>
        <v>0</v>
      </c>
      <c r="L599" s="3">
        <f>IFERROR(__xludf.DUMMYFUNCTION("IFERROR(IF(I599="""",0,INDEX(FILTER($Q$2:Q598,$C$2:C598=I599,$G$2:G598=G599),ROWS(FILTER($Q$2:Q598,$C$2:C598=I599,$G$2:G598=G599)),1)),1500)"),0.0)</f>
        <v>0</v>
      </c>
      <c r="M599" s="3">
        <f>IFERROR(__xludf.DUMMYFUNCTION("IFERROR(IF(J599="""",0,INDEX(FILTER($Q$2:Q598,$C$2:C598=J599,$G$2:G598=G599),ROWS(FILTER($Q$2:Q598,$C$2:C598=J599,$G$2:G598=G599)),1)),1500)"),0.0)</f>
        <v>0</v>
      </c>
      <c r="N599" s="3">
        <f>IFERROR(__xludf.DUMMYFUNCTION("IFERROR(INDEX(FILTER($Q$2:Q598,$C$2:C598=C599,$G$2:G598=G599),ROWS(FILTER($Q$2:Q598,$C$2:C598=C599,$G$2:G598=G599)),1),1500)"),-483.0)</f>
        <v>-483</v>
      </c>
      <c r="O599" s="3">
        <f t="shared" si="3"/>
        <v>0</v>
      </c>
      <c r="P599" s="9">
        <f t="shared" si="1"/>
        <v>-2</v>
      </c>
      <c r="Q599" s="5">
        <f t="shared" si="2"/>
        <v>-485</v>
      </c>
    </row>
    <row r="600">
      <c r="H600" s="3" t="str">
        <f>IFERROR(__xludf.DUMMYFUNCTION("IFERROR(TRIM(INDEX(SPLIT(E600,"" + ""),1)),"""")"),"")</f>
        <v/>
      </c>
      <c r="I600" s="3" t="str">
        <f>IFERROR(__xludf.DUMMYFUNCTION("IFERROR(TRIM(INDEX(SPLIT(E600,"" + ""),2)),"""")"),"")</f>
        <v/>
      </c>
      <c r="J600" s="5" t="str">
        <f>IFERROR(__xludf.DUMMYFUNCTION("IFERROR(TRIM(INDEX(SPLIT(E600,"" + ""),3)),"""")"),"")</f>
        <v/>
      </c>
      <c r="K600" s="3">
        <f>IFERROR(__xludf.DUMMYFUNCTION("IFERROR(IF(H600="""",0,INDEX(FILTER($Q$2:Q599,$C$2:C599=H600,$G$2:G599=G600),ROWS(FILTER($Q$2:Q599,$C$2:C599=H600,$G$2:G599=G600)),1)),1500)"),0.0)</f>
        <v>0</v>
      </c>
      <c r="L600" s="3">
        <f>IFERROR(__xludf.DUMMYFUNCTION("IFERROR(IF(I600="""",0,INDEX(FILTER($Q$2:Q599,$C$2:C599=I600,$G$2:G599=G600),ROWS(FILTER($Q$2:Q599,$C$2:C599=I600,$G$2:G599=G600)),1)),1500)"),0.0)</f>
        <v>0</v>
      </c>
      <c r="M600" s="3">
        <f>IFERROR(__xludf.DUMMYFUNCTION("IFERROR(IF(J600="""",0,INDEX(FILTER($Q$2:Q599,$C$2:C599=J600,$G$2:G599=G600),ROWS(FILTER($Q$2:Q599,$C$2:C599=J600,$G$2:G599=G600)),1)),1500)"),0.0)</f>
        <v>0</v>
      </c>
      <c r="N600" s="3">
        <f>IFERROR(__xludf.DUMMYFUNCTION("IFERROR(INDEX(FILTER($Q$2:Q599,$C$2:C599=C600,$G$2:G599=G600),ROWS(FILTER($Q$2:Q599,$C$2:C599=C600,$G$2:G599=G600)),1),1500)"),-485.0)</f>
        <v>-485</v>
      </c>
      <c r="O600" s="3">
        <f t="shared" si="3"/>
        <v>0</v>
      </c>
      <c r="P600" s="9">
        <f t="shared" si="1"/>
        <v>-2</v>
      </c>
      <c r="Q600" s="5">
        <f t="shared" si="2"/>
        <v>-487</v>
      </c>
    </row>
    <row r="601">
      <c r="H601" s="3" t="str">
        <f>IFERROR(__xludf.DUMMYFUNCTION("IFERROR(TRIM(INDEX(SPLIT(E601,"" + ""),1)),"""")"),"")</f>
        <v/>
      </c>
      <c r="I601" s="3" t="str">
        <f>IFERROR(__xludf.DUMMYFUNCTION("IFERROR(TRIM(INDEX(SPLIT(E601,"" + ""),2)),"""")"),"")</f>
        <v/>
      </c>
      <c r="J601" s="5" t="str">
        <f>IFERROR(__xludf.DUMMYFUNCTION("IFERROR(TRIM(INDEX(SPLIT(E601,"" + ""),3)),"""")"),"")</f>
        <v/>
      </c>
      <c r="K601" s="3">
        <f>IFERROR(__xludf.DUMMYFUNCTION("IFERROR(IF(H601="""",0,INDEX(FILTER($Q$2:Q600,$C$2:C600=H601,$G$2:G600=G601),ROWS(FILTER($Q$2:Q600,$C$2:C600=H601,$G$2:G600=G601)),1)),1500)"),0.0)</f>
        <v>0</v>
      </c>
      <c r="L601" s="3">
        <f>IFERROR(__xludf.DUMMYFUNCTION("IFERROR(IF(I601="""",0,INDEX(FILTER($Q$2:Q600,$C$2:C600=I601,$G$2:G600=G601),ROWS(FILTER($Q$2:Q600,$C$2:C600=I601,$G$2:G600=G601)),1)),1500)"),0.0)</f>
        <v>0</v>
      </c>
      <c r="M601" s="3">
        <f>IFERROR(__xludf.DUMMYFUNCTION("IFERROR(IF(J601="""",0,INDEX(FILTER($Q$2:Q600,$C$2:C600=J601,$G$2:G600=G601),ROWS(FILTER($Q$2:Q600,$C$2:C600=J601,$G$2:G600=G601)),1)),1500)"),0.0)</f>
        <v>0</v>
      </c>
      <c r="N601" s="3">
        <f>IFERROR(__xludf.DUMMYFUNCTION("IFERROR(INDEX(FILTER($Q$2:Q600,$C$2:C600=C601,$G$2:G600=G601),ROWS(FILTER($Q$2:Q600,$C$2:C600=C601,$G$2:G600=G601)),1),1500)"),-487.0)</f>
        <v>-487</v>
      </c>
      <c r="O601" s="3">
        <f t="shared" si="3"/>
        <v>0</v>
      </c>
      <c r="P601" s="9">
        <f t="shared" si="1"/>
        <v>-2</v>
      </c>
      <c r="Q601" s="5">
        <f t="shared" si="2"/>
        <v>-489</v>
      </c>
    </row>
    <row r="602">
      <c r="H602" s="3" t="str">
        <f>IFERROR(__xludf.DUMMYFUNCTION("IFERROR(TRIM(INDEX(SPLIT(E602,"" + ""),1)),"""")"),"")</f>
        <v/>
      </c>
      <c r="I602" s="3" t="str">
        <f>IFERROR(__xludf.DUMMYFUNCTION("IFERROR(TRIM(INDEX(SPLIT(E602,"" + ""),2)),"""")"),"")</f>
        <v/>
      </c>
      <c r="J602" s="5" t="str">
        <f>IFERROR(__xludf.DUMMYFUNCTION("IFERROR(TRIM(INDEX(SPLIT(E602,"" + ""),3)),"""")"),"")</f>
        <v/>
      </c>
      <c r="K602" s="3">
        <f>IFERROR(__xludf.DUMMYFUNCTION("IFERROR(IF(H602="""",0,INDEX(FILTER($Q$2:Q601,$C$2:C601=H602,$G$2:G601=G602),ROWS(FILTER($Q$2:Q601,$C$2:C601=H602,$G$2:G601=G602)),1)),1500)"),0.0)</f>
        <v>0</v>
      </c>
      <c r="L602" s="3">
        <f>IFERROR(__xludf.DUMMYFUNCTION("IFERROR(IF(I602="""",0,INDEX(FILTER($Q$2:Q601,$C$2:C601=I602,$G$2:G601=G602),ROWS(FILTER($Q$2:Q601,$C$2:C601=I602,$G$2:G601=G602)),1)),1500)"),0.0)</f>
        <v>0</v>
      </c>
      <c r="M602" s="3">
        <f>IFERROR(__xludf.DUMMYFUNCTION("IFERROR(IF(J602="""",0,INDEX(FILTER($Q$2:Q601,$C$2:C601=J602,$G$2:G601=G602),ROWS(FILTER($Q$2:Q601,$C$2:C601=J602,$G$2:G601=G602)),1)),1500)"),0.0)</f>
        <v>0</v>
      </c>
      <c r="N602" s="3">
        <f>IFERROR(__xludf.DUMMYFUNCTION("IFERROR(INDEX(FILTER($Q$2:Q601,$C$2:C601=C602,$G$2:G601=G602),ROWS(FILTER($Q$2:Q601,$C$2:C601=C602,$G$2:G601=G602)),1),1500)"),-489.0)</f>
        <v>-489</v>
      </c>
      <c r="O602" s="3">
        <f t="shared" si="3"/>
        <v>0</v>
      </c>
      <c r="P602" s="9">
        <f t="shared" si="1"/>
        <v>-2</v>
      </c>
      <c r="Q602" s="5">
        <f t="shared" si="2"/>
        <v>-491</v>
      </c>
    </row>
    <row r="603">
      <c r="H603" s="3" t="str">
        <f>IFERROR(__xludf.DUMMYFUNCTION("IFERROR(TRIM(INDEX(SPLIT(E603,"" + ""),1)),"""")"),"")</f>
        <v/>
      </c>
      <c r="I603" s="3" t="str">
        <f>IFERROR(__xludf.DUMMYFUNCTION("IFERROR(TRIM(INDEX(SPLIT(E603,"" + ""),2)),"""")"),"")</f>
        <v/>
      </c>
      <c r="J603" s="5" t="str">
        <f>IFERROR(__xludf.DUMMYFUNCTION("IFERROR(TRIM(INDEX(SPLIT(E603,"" + ""),3)),"""")"),"")</f>
        <v/>
      </c>
      <c r="K603" s="3">
        <f>IFERROR(__xludf.DUMMYFUNCTION("IFERROR(IF(H603="""",0,INDEX(FILTER($Q$2:Q602,$C$2:C602=H603,$G$2:G602=G603),ROWS(FILTER($Q$2:Q602,$C$2:C602=H603,$G$2:G602=G603)),1)),1500)"),0.0)</f>
        <v>0</v>
      </c>
      <c r="L603" s="3">
        <f>IFERROR(__xludf.DUMMYFUNCTION("IFERROR(IF(I603="""",0,INDEX(FILTER($Q$2:Q602,$C$2:C602=I603,$G$2:G602=G603),ROWS(FILTER($Q$2:Q602,$C$2:C602=I603,$G$2:G602=G603)),1)),1500)"),0.0)</f>
        <v>0</v>
      </c>
      <c r="M603" s="3">
        <f>IFERROR(__xludf.DUMMYFUNCTION("IFERROR(IF(J603="""",0,INDEX(FILTER($Q$2:Q602,$C$2:C602=J603,$G$2:G602=G603),ROWS(FILTER($Q$2:Q602,$C$2:C602=J603,$G$2:G602=G603)),1)),1500)"),0.0)</f>
        <v>0</v>
      </c>
      <c r="N603" s="3">
        <f>IFERROR(__xludf.DUMMYFUNCTION("IFERROR(INDEX(FILTER($Q$2:Q602,$C$2:C602=C603,$G$2:G602=G603),ROWS(FILTER($Q$2:Q602,$C$2:C602=C603,$G$2:G602=G603)),1),1500)"),-491.0)</f>
        <v>-491</v>
      </c>
      <c r="O603" s="3">
        <f t="shared" si="3"/>
        <v>0</v>
      </c>
      <c r="P603" s="9">
        <f t="shared" si="1"/>
        <v>-2</v>
      </c>
      <c r="Q603" s="5">
        <f t="shared" si="2"/>
        <v>-493</v>
      </c>
    </row>
    <row r="604">
      <c r="H604" s="3" t="str">
        <f>IFERROR(__xludf.DUMMYFUNCTION("IFERROR(TRIM(INDEX(SPLIT(E604,"" + ""),1)),"""")"),"")</f>
        <v/>
      </c>
      <c r="I604" s="3" t="str">
        <f>IFERROR(__xludf.DUMMYFUNCTION("IFERROR(TRIM(INDEX(SPLIT(E604,"" + ""),2)),"""")"),"")</f>
        <v/>
      </c>
      <c r="J604" s="5" t="str">
        <f>IFERROR(__xludf.DUMMYFUNCTION("IFERROR(TRIM(INDEX(SPLIT(E604,"" + ""),3)),"""")"),"")</f>
        <v/>
      </c>
      <c r="K604" s="3">
        <f>IFERROR(__xludf.DUMMYFUNCTION("IFERROR(IF(H604="""",0,INDEX(FILTER($Q$2:Q603,$C$2:C603=H604,$G$2:G603=G604),ROWS(FILTER($Q$2:Q603,$C$2:C603=H604,$G$2:G603=G604)),1)),1500)"),0.0)</f>
        <v>0</v>
      </c>
      <c r="L604" s="3">
        <f>IFERROR(__xludf.DUMMYFUNCTION("IFERROR(IF(I604="""",0,INDEX(FILTER($Q$2:Q603,$C$2:C603=I604,$G$2:G603=G604),ROWS(FILTER($Q$2:Q603,$C$2:C603=I604,$G$2:G603=G604)),1)),1500)"),0.0)</f>
        <v>0</v>
      </c>
      <c r="M604" s="3">
        <f>IFERROR(__xludf.DUMMYFUNCTION("IFERROR(IF(J604="""",0,INDEX(FILTER($Q$2:Q603,$C$2:C603=J604,$G$2:G603=G604),ROWS(FILTER($Q$2:Q603,$C$2:C603=J604,$G$2:G603=G604)),1)),1500)"),0.0)</f>
        <v>0</v>
      </c>
      <c r="N604" s="3">
        <f>IFERROR(__xludf.DUMMYFUNCTION("IFERROR(INDEX(FILTER($Q$2:Q603,$C$2:C603=C604,$G$2:G603=G604),ROWS(FILTER($Q$2:Q603,$C$2:C603=C604,$G$2:G603=G604)),1),1500)"),-493.0)</f>
        <v>-493</v>
      </c>
      <c r="O604" s="3">
        <f t="shared" si="3"/>
        <v>0</v>
      </c>
      <c r="P604" s="9">
        <f t="shared" si="1"/>
        <v>-2</v>
      </c>
      <c r="Q604" s="5">
        <f t="shared" si="2"/>
        <v>-495</v>
      </c>
    </row>
    <row r="605">
      <c r="H605" s="3" t="str">
        <f>IFERROR(__xludf.DUMMYFUNCTION("IFERROR(TRIM(INDEX(SPLIT(E605,"" + ""),1)),"""")"),"")</f>
        <v/>
      </c>
      <c r="I605" s="3" t="str">
        <f>IFERROR(__xludf.DUMMYFUNCTION("IFERROR(TRIM(INDEX(SPLIT(E605,"" + ""),2)),"""")"),"")</f>
        <v/>
      </c>
      <c r="J605" s="5" t="str">
        <f>IFERROR(__xludf.DUMMYFUNCTION("IFERROR(TRIM(INDEX(SPLIT(E605,"" + ""),3)),"""")"),"")</f>
        <v/>
      </c>
      <c r="K605" s="3">
        <f>IFERROR(__xludf.DUMMYFUNCTION("IFERROR(IF(H605="""",0,INDEX(FILTER($Q$2:Q604,$C$2:C604=H605,$G$2:G604=G605),ROWS(FILTER($Q$2:Q604,$C$2:C604=H605,$G$2:G604=G605)),1)),1500)"),0.0)</f>
        <v>0</v>
      </c>
      <c r="L605" s="3">
        <f>IFERROR(__xludf.DUMMYFUNCTION("IFERROR(IF(I605="""",0,INDEX(FILTER($Q$2:Q604,$C$2:C604=I605,$G$2:G604=G605),ROWS(FILTER($Q$2:Q604,$C$2:C604=I605,$G$2:G604=G605)),1)),1500)"),0.0)</f>
        <v>0</v>
      </c>
      <c r="M605" s="3">
        <f>IFERROR(__xludf.DUMMYFUNCTION("IFERROR(IF(J605="""",0,INDEX(FILTER($Q$2:Q604,$C$2:C604=J605,$G$2:G604=G605),ROWS(FILTER($Q$2:Q604,$C$2:C604=J605,$G$2:G604=G605)),1)),1500)"),0.0)</f>
        <v>0</v>
      </c>
      <c r="N605" s="3">
        <f>IFERROR(__xludf.DUMMYFUNCTION("IFERROR(INDEX(FILTER($Q$2:Q604,$C$2:C604=C605,$G$2:G604=G605),ROWS(FILTER($Q$2:Q604,$C$2:C604=C605,$G$2:G604=G605)),1),1500)"),-495.0)</f>
        <v>-495</v>
      </c>
      <c r="O605" s="3">
        <f t="shared" si="3"/>
        <v>0</v>
      </c>
      <c r="P605" s="9">
        <f t="shared" si="1"/>
        <v>-2</v>
      </c>
      <c r="Q605" s="5">
        <f t="shared" si="2"/>
        <v>-497</v>
      </c>
    </row>
    <row r="606">
      <c r="H606" s="3" t="str">
        <f>IFERROR(__xludf.DUMMYFUNCTION("IFERROR(TRIM(INDEX(SPLIT(E606,"" + ""),1)),"""")"),"")</f>
        <v/>
      </c>
      <c r="I606" s="3" t="str">
        <f>IFERROR(__xludf.DUMMYFUNCTION("IFERROR(TRIM(INDEX(SPLIT(E606,"" + ""),2)),"""")"),"")</f>
        <v/>
      </c>
      <c r="J606" s="5" t="str">
        <f>IFERROR(__xludf.DUMMYFUNCTION("IFERROR(TRIM(INDEX(SPLIT(E606,"" + ""),3)),"""")"),"")</f>
        <v/>
      </c>
      <c r="K606" s="3">
        <f>IFERROR(__xludf.DUMMYFUNCTION("IFERROR(IF(H606="""",0,INDEX(FILTER($Q$2:Q605,$C$2:C605=H606,$G$2:G605=G606),ROWS(FILTER($Q$2:Q605,$C$2:C605=H606,$G$2:G605=G606)),1)),1500)"),0.0)</f>
        <v>0</v>
      </c>
      <c r="L606" s="3">
        <f>IFERROR(__xludf.DUMMYFUNCTION("IFERROR(IF(I606="""",0,INDEX(FILTER($Q$2:Q605,$C$2:C605=I606,$G$2:G605=G606),ROWS(FILTER($Q$2:Q605,$C$2:C605=I606,$G$2:G605=G606)),1)),1500)"),0.0)</f>
        <v>0</v>
      </c>
      <c r="M606" s="3">
        <f>IFERROR(__xludf.DUMMYFUNCTION("IFERROR(IF(J606="""",0,INDEX(FILTER($Q$2:Q605,$C$2:C605=J606,$G$2:G605=G606),ROWS(FILTER($Q$2:Q605,$C$2:C605=J606,$G$2:G605=G606)),1)),1500)"),0.0)</f>
        <v>0</v>
      </c>
      <c r="N606" s="3">
        <f>IFERROR(__xludf.DUMMYFUNCTION("IFERROR(INDEX(FILTER($Q$2:Q605,$C$2:C605=C606,$G$2:G605=G606),ROWS(FILTER($Q$2:Q605,$C$2:C605=C606,$G$2:G605=G606)),1),1500)"),-497.0)</f>
        <v>-497</v>
      </c>
      <c r="O606" s="3">
        <f t="shared" si="3"/>
        <v>0</v>
      </c>
      <c r="P606" s="9">
        <f t="shared" si="1"/>
        <v>-2</v>
      </c>
      <c r="Q606" s="5">
        <f t="shared" si="2"/>
        <v>-499</v>
      </c>
    </row>
    <row r="607">
      <c r="H607" s="3" t="str">
        <f>IFERROR(__xludf.DUMMYFUNCTION("IFERROR(TRIM(INDEX(SPLIT(E607,"" + ""),1)),"""")"),"")</f>
        <v/>
      </c>
      <c r="I607" s="3" t="str">
        <f>IFERROR(__xludf.DUMMYFUNCTION("IFERROR(TRIM(INDEX(SPLIT(E607,"" + ""),2)),"""")"),"")</f>
        <v/>
      </c>
      <c r="J607" s="5" t="str">
        <f>IFERROR(__xludf.DUMMYFUNCTION("IFERROR(TRIM(INDEX(SPLIT(E607,"" + ""),3)),"""")"),"")</f>
        <v/>
      </c>
      <c r="K607" s="3">
        <f>IFERROR(__xludf.DUMMYFUNCTION("IFERROR(IF(H607="""",0,INDEX(FILTER($Q$2:Q606,$C$2:C606=H607,$G$2:G606=G607),ROWS(FILTER($Q$2:Q606,$C$2:C606=H607,$G$2:G606=G607)),1)),1500)"),0.0)</f>
        <v>0</v>
      </c>
      <c r="L607" s="3">
        <f>IFERROR(__xludf.DUMMYFUNCTION("IFERROR(IF(I607="""",0,INDEX(FILTER($Q$2:Q606,$C$2:C606=I607,$G$2:G606=G607),ROWS(FILTER($Q$2:Q606,$C$2:C606=I607,$G$2:G606=G607)),1)),1500)"),0.0)</f>
        <v>0</v>
      </c>
      <c r="M607" s="3">
        <f>IFERROR(__xludf.DUMMYFUNCTION("IFERROR(IF(J607="""",0,INDEX(FILTER($Q$2:Q606,$C$2:C606=J607,$G$2:G606=G607),ROWS(FILTER($Q$2:Q606,$C$2:C606=J607,$G$2:G606=G607)),1)),1500)"),0.0)</f>
        <v>0</v>
      </c>
      <c r="N607" s="3">
        <f>IFERROR(__xludf.DUMMYFUNCTION("IFERROR(INDEX(FILTER($Q$2:Q606,$C$2:C606=C607,$G$2:G606=G607),ROWS(FILTER($Q$2:Q606,$C$2:C606=C607,$G$2:G606=G607)),1),1500)"),-499.0)</f>
        <v>-499</v>
      </c>
      <c r="O607" s="3">
        <f t="shared" si="3"/>
        <v>0</v>
      </c>
      <c r="P607" s="9">
        <f t="shared" si="1"/>
        <v>-2</v>
      </c>
      <c r="Q607" s="5">
        <f t="shared" si="2"/>
        <v>-501</v>
      </c>
    </row>
    <row r="608">
      <c r="H608" s="3" t="str">
        <f>IFERROR(__xludf.DUMMYFUNCTION("IFERROR(TRIM(INDEX(SPLIT(E608,"" + ""),1)),"""")"),"")</f>
        <v/>
      </c>
      <c r="I608" s="3" t="str">
        <f>IFERROR(__xludf.DUMMYFUNCTION("IFERROR(TRIM(INDEX(SPLIT(E608,"" + ""),2)),"""")"),"")</f>
        <v/>
      </c>
      <c r="J608" s="5" t="str">
        <f>IFERROR(__xludf.DUMMYFUNCTION("IFERROR(TRIM(INDEX(SPLIT(E608,"" + ""),3)),"""")"),"")</f>
        <v/>
      </c>
      <c r="K608" s="3">
        <f>IFERROR(__xludf.DUMMYFUNCTION("IFERROR(IF(H608="""",0,INDEX(FILTER($Q$2:Q607,$C$2:C607=H608,$G$2:G607=G608),ROWS(FILTER($Q$2:Q607,$C$2:C607=H608,$G$2:G607=G608)),1)),1500)"),0.0)</f>
        <v>0</v>
      </c>
      <c r="L608" s="3">
        <f>IFERROR(__xludf.DUMMYFUNCTION("IFERROR(IF(I608="""",0,INDEX(FILTER($Q$2:Q607,$C$2:C607=I608,$G$2:G607=G608),ROWS(FILTER($Q$2:Q607,$C$2:C607=I608,$G$2:G607=G608)),1)),1500)"),0.0)</f>
        <v>0</v>
      </c>
      <c r="M608" s="3">
        <f>IFERROR(__xludf.DUMMYFUNCTION("IFERROR(IF(J608="""",0,INDEX(FILTER($Q$2:Q607,$C$2:C607=J608,$G$2:G607=G608),ROWS(FILTER($Q$2:Q607,$C$2:C607=J608,$G$2:G607=G608)),1)),1500)"),0.0)</f>
        <v>0</v>
      </c>
      <c r="N608" s="3">
        <f>IFERROR(__xludf.DUMMYFUNCTION("IFERROR(INDEX(FILTER($Q$2:Q607,$C$2:C607=C608,$G$2:G607=G608),ROWS(FILTER($Q$2:Q607,$C$2:C607=C608,$G$2:G607=G608)),1),1500)"),-501.0)</f>
        <v>-501</v>
      </c>
      <c r="O608" s="3">
        <f t="shared" si="3"/>
        <v>0</v>
      </c>
      <c r="P608" s="9">
        <f t="shared" si="1"/>
        <v>-2</v>
      </c>
      <c r="Q608" s="5">
        <f t="shared" si="2"/>
        <v>-503</v>
      </c>
    </row>
    <row r="609">
      <c r="H609" s="3" t="str">
        <f>IFERROR(__xludf.DUMMYFUNCTION("IFERROR(TRIM(INDEX(SPLIT(E609,"" + ""),1)),"""")"),"")</f>
        <v/>
      </c>
      <c r="I609" s="3" t="str">
        <f>IFERROR(__xludf.DUMMYFUNCTION("IFERROR(TRIM(INDEX(SPLIT(E609,"" + ""),2)),"""")"),"")</f>
        <v/>
      </c>
      <c r="J609" s="5" t="str">
        <f>IFERROR(__xludf.DUMMYFUNCTION("IFERROR(TRIM(INDEX(SPLIT(E609,"" + ""),3)),"""")"),"")</f>
        <v/>
      </c>
      <c r="K609" s="3">
        <f>IFERROR(__xludf.DUMMYFUNCTION("IFERROR(IF(H609="""",0,INDEX(FILTER($Q$2:Q608,$C$2:C608=H609,$G$2:G608=G609),ROWS(FILTER($Q$2:Q608,$C$2:C608=H609,$G$2:G608=G609)),1)),1500)"),0.0)</f>
        <v>0</v>
      </c>
      <c r="L609" s="3">
        <f>IFERROR(__xludf.DUMMYFUNCTION("IFERROR(IF(I609="""",0,INDEX(FILTER($Q$2:Q608,$C$2:C608=I609,$G$2:G608=G609),ROWS(FILTER($Q$2:Q608,$C$2:C608=I609,$G$2:G608=G609)),1)),1500)"),0.0)</f>
        <v>0</v>
      </c>
      <c r="M609" s="3">
        <f>IFERROR(__xludf.DUMMYFUNCTION("IFERROR(IF(J609="""",0,INDEX(FILTER($Q$2:Q608,$C$2:C608=J609,$G$2:G608=G609),ROWS(FILTER($Q$2:Q608,$C$2:C608=J609,$G$2:G608=G609)),1)),1500)"),0.0)</f>
        <v>0</v>
      </c>
      <c r="N609" s="3">
        <f>IFERROR(__xludf.DUMMYFUNCTION("IFERROR(INDEX(FILTER($Q$2:Q608,$C$2:C608=C609,$G$2:G608=G609),ROWS(FILTER($Q$2:Q608,$C$2:C608=C609,$G$2:G608=G609)),1),1500)"),-503.0)</f>
        <v>-503</v>
      </c>
      <c r="O609" s="3">
        <f t="shared" si="3"/>
        <v>0</v>
      </c>
      <c r="P609" s="9">
        <f t="shared" si="1"/>
        <v>-2</v>
      </c>
      <c r="Q609" s="5">
        <f t="shared" si="2"/>
        <v>-505</v>
      </c>
    </row>
    <row r="610">
      <c r="H610" s="3" t="str">
        <f>IFERROR(__xludf.DUMMYFUNCTION("IFERROR(TRIM(INDEX(SPLIT(E610,"" + ""),1)),"""")"),"")</f>
        <v/>
      </c>
      <c r="I610" s="3" t="str">
        <f>IFERROR(__xludf.DUMMYFUNCTION("IFERROR(TRIM(INDEX(SPLIT(E610,"" + ""),2)),"""")"),"")</f>
        <v/>
      </c>
      <c r="J610" s="5" t="str">
        <f>IFERROR(__xludf.DUMMYFUNCTION("IFERROR(TRIM(INDEX(SPLIT(E610,"" + ""),3)),"""")"),"")</f>
        <v/>
      </c>
      <c r="K610" s="3">
        <f>IFERROR(__xludf.DUMMYFUNCTION("IFERROR(IF(H610="""",0,INDEX(FILTER($Q$2:Q609,$C$2:C609=H610,$G$2:G609=G610),ROWS(FILTER($Q$2:Q609,$C$2:C609=H610,$G$2:G609=G610)),1)),1500)"),0.0)</f>
        <v>0</v>
      </c>
      <c r="L610" s="3">
        <f>IFERROR(__xludf.DUMMYFUNCTION("IFERROR(IF(I610="""",0,INDEX(FILTER($Q$2:Q609,$C$2:C609=I610,$G$2:G609=G610),ROWS(FILTER($Q$2:Q609,$C$2:C609=I610,$G$2:G609=G610)),1)),1500)"),0.0)</f>
        <v>0</v>
      </c>
      <c r="M610" s="3">
        <f>IFERROR(__xludf.DUMMYFUNCTION("IFERROR(IF(J610="""",0,INDEX(FILTER($Q$2:Q609,$C$2:C609=J610,$G$2:G609=G610),ROWS(FILTER($Q$2:Q609,$C$2:C609=J610,$G$2:G609=G610)),1)),1500)"),0.0)</f>
        <v>0</v>
      </c>
      <c r="N610" s="3">
        <f>IFERROR(__xludf.DUMMYFUNCTION("IFERROR(INDEX(FILTER($Q$2:Q609,$C$2:C609=C610,$G$2:G609=G610),ROWS(FILTER($Q$2:Q609,$C$2:C609=C610,$G$2:G609=G610)),1),1500)"),-505.0)</f>
        <v>-505</v>
      </c>
      <c r="O610" s="3">
        <f t="shared" si="3"/>
        <v>0</v>
      </c>
      <c r="P610" s="9">
        <f t="shared" si="1"/>
        <v>-2</v>
      </c>
      <c r="Q610" s="5">
        <f t="shared" si="2"/>
        <v>-507</v>
      </c>
    </row>
    <row r="611">
      <c r="H611" s="3" t="str">
        <f>IFERROR(__xludf.DUMMYFUNCTION("IFERROR(TRIM(INDEX(SPLIT(E611,"" + ""),1)),"""")"),"")</f>
        <v/>
      </c>
      <c r="I611" s="3" t="str">
        <f>IFERROR(__xludf.DUMMYFUNCTION("IFERROR(TRIM(INDEX(SPLIT(E611,"" + ""),2)),"""")"),"")</f>
        <v/>
      </c>
      <c r="J611" s="5" t="str">
        <f>IFERROR(__xludf.DUMMYFUNCTION("IFERROR(TRIM(INDEX(SPLIT(E611,"" + ""),3)),"""")"),"")</f>
        <v/>
      </c>
      <c r="K611" s="3">
        <f>IFERROR(__xludf.DUMMYFUNCTION("IFERROR(IF(H611="""",0,INDEX(FILTER($Q$2:Q610,$C$2:C610=H611,$G$2:G610=G611),ROWS(FILTER($Q$2:Q610,$C$2:C610=H611,$G$2:G610=G611)),1)),1500)"),0.0)</f>
        <v>0</v>
      </c>
      <c r="L611" s="3">
        <f>IFERROR(__xludf.DUMMYFUNCTION("IFERROR(IF(I611="""",0,INDEX(FILTER($Q$2:Q610,$C$2:C610=I611,$G$2:G610=G611),ROWS(FILTER($Q$2:Q610,$C$2:C610=I611,$G$2:G610=G611)),1)),1500)"),0.0)</f>
        <v>0</v>
      </c>
      <c r="M611" s="3">
        <f>IFERROR(__xludf.DUMMYFUNCTION("IFERROR(IF(J611="""",0,INDEX(FILTER($Q$2:Q610,$C$2:C610=J611,$G$2:G610=G611),ROWS(FILTER($Q$2:Q610,$C$2:C610=J611,$G$2:G610=G611)),1)),1500)"),0.0)</f>
        <v>0</v>
      </c>
      <c r="N611" s="3">
        <f>IFERROR(__xludf.DUMMYFUNCTION("IFERROR(INDEX(FILTER($Q$2:Q610,$C$2:C610=C611,$G$2:G610=G611),ROWS(FILTER($Q$2:Q610,$C$2:C610=C611,$G$2:G610=G611)),1),1500)"),-507.0)</f>
        <v>-507</v>
      </c>
      <c r="O611" s="3">
        <f t="shared" si="3"/>
        <v>0</v>
      </c>
      <c r="P611" s="9">
        <f t="shared" si="1"/>
        <v>-2</v>
      </c>
      <c r="Q611" s="5">
        <f t="shared" si="2"/>
        <v>-509</v>
      </c>
    </row>
    <row r="612">
      <c r="H612" s="3" t="str">
        <f>IFERROR(__xludf.DUMMYFUNCTION("IFERROR(TRIM(INDEX(SPLIT(E612,"" + ""),1)),"""")"),"")</f>
        <v/>
      </c>
      <c r="I612" s="3" t="str">
        <f>IFERROR(__xludf.DUMMYFUNCTION("IFERROR(TRIM(INDEX(SPLIT(E612,"" + ""),2)),"""")"),"")</f>
        <v/>
      </c>
      <c r="J612" s="5" t="str">
        <f>IFERROR(__xludf.DUMMYFUNCTION("IFERROR(TRIM(INDEX(SPLIT(E612,"" + ""),3)),"""")"),"")</f>
        <v/>
      </c>
      <c r="K612" s="3">
        <f>IFERROR(__xludf.DUMMYFUNCTION("IFERROR(IF(H612="""",0,INDEX(FILTER($Q$2:Q611,$C$2:C611=H612,$G$2:G611=G612),ROWS(FILTER($Q$2:Q611,$C$2:C611=H612,$G$2:G611=G612)),1)),1500)"),0.0)</f>
        <v>0</v>
      </c>
      <c r="L612" s="3">
        <f>IFERROR(__xludf.DUMMYFUNCTION("IFERROR(IF(I612="""",0,INDEX(FILTER($Q$2:Q611,$C$2:C611=I612,$G$2:G611=G612),ROWS(FILTER($Q$2:Q611,$C$2:C611=I612,$G$2:G611=G612)),1)),1500)"),0.0)</f>
        <v>0</v>
      </c>
      <c r="M612" s="3">
        <f>IFERROR(__xludf.DUMMYFUNCTION("IFERROR(IF(J612="""",0,INDEX(FILTER($Q$2:Q611,$C$2:C611=J612,$G$2:G611=G612),ROWS(FILTER($Q$2:Q611,$C$2:C611=J612,$G$2:G611=G612)),1)),1500)"),0.0)</f>
        <v>0</v>
      </c>
      <c r="N612" s="3">
        <f>IFERROR(__xludf.DUMMYFUNCTION("IFERROR(INDEX(FILTER($Q$2:Q611,$C$2:C611=C612,$G$2:G611=G612),ROWS(FILTER($Q$2:Q611,$C$2:C611=C612,$G$2:G611=G612)),1),1500)"),-509.0)</f>
        <v>-509</v>
      </c>
      <c r="O612" s="3">
        <f t="shared" si="3"/>
        <v>0</v>
      </c>
      <c r="P612" s="9">
        <f t="shared" si="1"/>
        <v>-2</v>
      </c>
      <c r="Q612" s="5">
        <f t="shared" si="2"/>
        <v>-511</v>
      </c>
    </row>
    <row r="613">
      <c r="H613" s="3" t="str">
        <f>IFERROR(__xludf.DUMMYFUNCTION("IFERROR(TRIM(INDEX(SPLIT(E613,"" + ""),1)),"""")"),"")</f>
        <v/>
      </c>
      <c r="I613" s="3" t="str">
        <f>IFERROR(__xludf.DUMMYFUNCTION("IFERROR(TRIM(INDEX(SPLIT(E613,"" + ""),2)),"""")"),"")</f>
        <v/>
      </c>
      <c r="J613" s="5" t="str">
        <f>IFERROR(__xludf.DUMMYFUNCTION("IFERROR(TRIM(INDEX(SPLIT(E613,"" + ""),3)),"""")"),"")</f>
        <v/>
      </c>
      <c r="K613" s="3">
        <f>IFERROR(__xludf.DUMMYFUNCTION("IFERROR(IF(H613="""",0,INDEX(FILTER($Q$2:Q612,$C$2:C612=H613,$G$2:G612=G613),ROWS(FILTER($Q$2:Q612,$C$2:C612=H613,$G$2:G612=G613)),1)),1500)"),0.0)</f>
        <v>0</v>
      </c>
      <c r="L613" s="3">
        <f>IFERROR(__xludf.DUMMYFUNCTION("IFERROR(IF(I613="""",0,INDEX(FILTER($Q$2:Q612,$C$2:C612=I613,$G$2:G612=G613),ROWS(FILTER($Q$2:Q612,$C$2:C612=I613,$G$2:G612=G613)),1)),1500)"),0.0)</f>
        <v>0</v>
      </c>
      <c r="M613" s="3">
        <f>IFERROR(__xludf.DUMMYFUNCTION("IFERROR(IF(J613="""",0,INDEX(FILTER($Q$2:Q612,$C$2:C612=J613,$G$2:G612=G613),ROWS(FILTER($Q$2:Q612,$C$2:C612=J613,$G$2:G612=G613)),1)),1500)"),0.0)</f>
        <v>0</v>
      </c>
      <c r="N613" s="3">
        <f>IFERROR(__xludf.DUMMYFUNCTION("IFERROR(INDEX(FILTER($Q$2:Q612,$C$2:C612=C613,$G$2:G612=G613),ROWS(FILTER($Q$2:Q612,$C$2:C612=C613,$G$2:G612=G613)),1),1500)"),-511.0)</f>
        <v>-511</v>
      </c>
      <c r="O613" s="3">
        <f t="shared" si="3"/>
        <v>0</v>
      </c>
      <c r="P613" s="9">
        <f t="shared" si="1"/>
        <v>-2</v>
      </c>
      <c r="Q613" s="5">
        <f t="shared" si="2"/>
        <v>-513</v>
      </c>
    </row>
    <row r="614">
      <c r="H614" s="3" t="str">
        <f>IFERROR(__xludf.DUMMYFUNCTION("IFERROR(TRIM(INDEX(SPLIT(E614,"" + ""),1)),"""")"),"")</f>
        <v/>
      </c>
      <c r="I614" s="3" t="str">
        <f>IFERROR(__xludf.DUMMYFUNCTION("IFERROR(TRIM(INDEX(SPLIT(E614,"" + ""),2)),"""")"),"")</f>
        <v/>
      </c>
      <c r="J614" s="5" t="str">
        <f>IFERROR(__xludf.DUMMYFUNCTION("IFERROR(TRIM(INDEX(SPLIT(E614,"" + ""),3)),"""")"),"")</f>
        <v/>
      </c>
      <c r="K614" s="3">
        <f>IFERROR(__xludf.DUMMYFUNCTION("IFERROR(IF(H614="""",0,INDEX(FILTER($Q$2:Q613,$C$2:C613=H614,$G$2:G613=G614),ROWS(FILTER($Q$2:Q613,$C$2:C613=H614,$G$2:G613=G614)),1)),1500)"),0.0)</f>
        <v>0</v>
      </c>
      <c r="L614" s="3">
        <f>IFERROR(__xludf.DUMMYFUNCTION("IFERROR(IF(I614="""",0,INDEX(FILTER($Q$2:Q613,$C$2:C613=I614,$G$2:G613=G614),ROWS(FILTER($Q$2:Q613,$C$2:C613=I614,$G$2:G613=G614)),1)),1500)"),0.0)</f>
        <v>0</v>
      </c>
      <c r="M614" s="3">
        <f>IFERROR(__xludf.DUMMYFUNCTION("IFERROR(IF(J614="""",0,INDEX(FILTER($Q$2:Q613,$C$2:C613=J614,$G$2:G613=G614),ROWS(FILTER($Q$2:Q613,$C$2:C613=J614,$G$2:G613=G614)),1)),1500)"),0.0)</f>
        <v>0</v>
      </c>
      <c r="N614" s="3">
        <f>IFERROR(__xludf.DUMMYFUNCTION("IFERROR(INDEX(FILTER($Q$2:Q613,$C$2:C613=C614,$G$2:G613=G614),ROWS(FILTER($Q$2:Q613,$C$2:C613=C614,$G$2:G613=G614)),1),1500)"),-513.0)</f>
        <v>-513</v>
      </c>
      <c r="O614" s="3">
        <f t="shared" si="3"/>
        <v>0</v>
      </c>
      <c r="P614" s="9">
        <f t="shared" si="1"/>
        <v>-2</v>
      </c>
      <c r="Q614" s="5">
        <f t="shared" si="2"/>
        <v>-515</v>
      </c>
    </row>
    <row r="615">
      <c r="H615" s="3" t="str">
        <f>IFERROR(__xludf.DUMMYFUNCTION("IFERROR(TRIM(INDEX(SPLIT(E615,"" + ""),1)),"""")"),"")</f>
        <v/>
      </c>
      <c r="I615" s="3" t="str">
        <f>IFERROR(__xludf.DUMMYFUNCTION("IFERROR(TRIM(INDEX(SPLIT(E615,"" + ""),2)),"""")"),"")</f>
        <v/>
      </c>
      <c r="J615" s="5" t="str">
        <f>IFERROR(__xludf.DUMMYFUNCTION("IFERROR(TRIM(INDEX(SPLIT(E615,"" + ""),3)),"""")"),"")</f>
        <v/>
      </c>
      <c r="K615" s="3">
        <f>IFERROR(__xludf.DUMMYFUNCTION("IFERROR(IF(H615="""",0,INDEX(FILTER($Q$2:Q614,$C$2:C614=H615,$G$2:G614=G615),ROWS(FILTER($Q$2:Q614,$C$2:C614=H615,$G$2:G614=G615)),1)),1500)"),0.0)</f>
        <v>0</v>
      </c>
      <c r="L615" s="3">
        <f>IFERROR(__xludf.DUMMYFUNCTION("IFERROR(IF(I615="""",0,INDEX(FILTER($Q$2:Q614,$C$2:C614=I615,$G$2:G614=G615),ROWS(FILTER($Q$2:Q614,$C$2:C614=I615,$G$2:G614=G615)),1)),1500)"),0.0)</f>
        <v>0</v>
      </c>
      <c r="M615" s="3">
        <f>IFERROR(__xludf.DUMMYFUNCTION("IFERROR(IF(J615="""",0,INDEX(FILTER($Q$2:Q614,$C$2:C614=J615,$G$2:G614=G615),ROWS(FILTER($Q$2:Q614,$C$2:C614=J615,$G$2:G614=G615)),1)),1500)"),0.0)</f>
        <v>0</v>
      </c>
      <c r="N615" s="3">
        <f>IFERROR(__xludf.DUMMYFUNCTION("IFERROR(INDEX(FILTER($Q$2:Q614,$C$2:C614=C615,$G$2:G614=G615),ROWS(FILTER($Q$2:Q614,$C$2:C614=C615,$G$2:G614=G615)),1),1500)"),-515.0)</f>
        <v>-515</v>
      </c>
      <c r="O615" s="3">
        <f t="shared" si="3"/>
        <v>0</v>
      </c>
      <c r="P615" s="9">
        <f t="shared" si="1"/>
        <v>-2</v>
      </c>
      <c r="Q615" s="5">
        <f t="shared" si="2"/>
        <v>-517</v>
      </c>
    </row>
    <row r="616">
      <c r="H616" s="3" t="str">
        <f>IFERROR(__xludf.DUMMYFUNCTION("IFERROR(TRIM(INDEX(SPLIT(E616,"" + ""),1)),"""")"),"")</f>
        <v/>
      </c>
      <c r="I616" s="3" t="str">
        <f>IFERROR(__xludf.DUMMYFUNCTION("IFERROR(TRIM(INDEX(SPLIT(E616,"" + ""),2)),"""")"),"")</f>
        <v/>
      </c>
      <c r="J616" s="5" t="str">
        <f>IFERROR(__xludf.DUMMYFUNCTION("IFERROR(TRIM(INDEX(SPLIT(E616,"" + ""),3)),"""")"),"")</f>
        <v/>
      </c>
      <c r="K616" s="3">
        <f>IFERROR(__xludf.DUMMYFUNCTION("IFERROR(IF(H616="""",0,INDEX(FILTER($Q$2:Q615,$C$2:C615=H616,$G$2:G615=G616),ROWS(FILTER($Q$2:Q615,$C$2:C615=H616,$G$2:G615=G616)),1)),1500)"),0.0)</f>
        <v>0</v>
      </c>
      <c r="L616" s="3">
        <f>IFERROR(__xludf.DUMMYFUNCTION("IFERROR(IF(I616="""",0,INDEX(FILTER($Q$2:Q615,$C$2:C615=I616,$G$2:G615=G616),ROWS(FILTER($Q$2:Q615,$C$2:C615=I616,$G$2:G615=G616)),1)),1500)"),0.0)</f>
        <v>0</v>
      </c>
      <c r="M616" s="3">
        <f>IFERROR(__xludf.DUMMYFUNCTION("IFERROR(IF(J616="""",0,INDEX(FILTER($Q$2:Q615,$C$2:C615=J616,$G$2:G615=G616),ROWS(FILTER($Q$2:Q615,$C$2:C615=J616,$G$2:G615=G616)),1)),1500)"),0.0)</f>
        <v>0</v>
      </c>
      <c r="N616" s="3">
        <f>IFERROR(__xludf.DUMMYFUNCTION("IFERROR(INDEX(FILTER($Q$2:Q615,$C$2:C615=C616,$G$2:G615=G616),ROWS(FILTER($Q$2:Q615,$C$2:C615=C616,$G$2:G615=G616)),1),1500)"),-517.0)</f>
        <v>-517</v>
      </c>
      <c r="O616" s="3">
        <f t="shared" si="3"/>
        <v>0</v>
      </c>
      <c r="P616" s="9">
        <f t="shared" si="1"/>
        <v>-2</v>
      </c>
      <c r="Q616" s="5">
        <f t="shared" si="2"/>
        <v>-519</v>
      </c>
    </row>
    <row r="617">
      <c r="H617" s="3" t="str">
        <f>IFERROR(__xludf.DUMMYFUNCTION("IFERROR(TRIM(INDEX(SPLIT(E617,"" + ""),1)),"""")"),"")</f>
        <v/>
      </c>
      <c r="I617" s="3" t="str">
        <f>IFERROR(__xludf.DUMMYFUNCTION("IFERROR(TRIM(INDEX(SPLIT(E617,"" + ""),2)),"""")"),"")</f>
        <v/>
      </c>
      <c r="J617" s="5" t="str">
        <f>IFERROR(__xludf.DUMMYFUNCTION("IFERROR(TRIM(INDEX(SPLIT(E617,"" + ""),3)),"""")"),"")</f>
        <v/>
      </c>
      <c r="K617" s="3">
        <f>IFERROR(__xludf.DUMMYFUNCTION("IFERROR(IF(H617="""",0,INDEX(FILTER($Q$2:Q616,$C$2:C616=H617,$G$2:G616=G617),ROWS(FILTER($Q$2:Q616,$C$2:C616=H617,$G$2:G616=G617)),1)),1500)"),0.0)</f>
        <v>0</v>
      </c>
      <c r="L617" s="3">
        <f>IFERROR(__xludf.DUMMYFUNCTION("IFERROR(IF(I617="""",0,INDEX(FILTER($Q$2:Q616,$C$2:C616=I617,$G$2:G616=G617),ROWS(FILTER($Q$2:Q616,$C$2:C616=I617,$G$2:G616=G617)),1)),1500)"),0.0)</f>
        <v>0</v>
      </c>
      <c r="M617" s="3">
        <f>IFERROR(__xludf.DUMMYFUNCTION("IFERROR(IF(J617="""",0,INDEX(FILTER($Q$2:Q616,$C$2:C616=J617,$G$2:G616=G617),ROWS(FILTER($Q$2:Q616,$C$2:C616=J617,$G$2:G616=G617)),1)),1500)"),0.0)</f>
        <v>0</v>
      </c>
      <c r="N617" s="3">
        <f>IFERROR(__xludf.DUMMYFUNCTION("IFERROR(INDEX(FILTER($Q$2:Q616,$C$2:C616=C617,$G$2:G616=G617),ROWS(FILTER($Q$2:Q616,$C$2:C616=C617,$G$2:G616=G617)),1),1500)"),-519.0)</f>
        <v>-519</v>
      </c>
      <c r="O617" s="3">
        <f t="shared" si="3"/>
        <v>0</v>
      </c>
      <c r="P617" s="9">
        <f t="shared" si="1"/>
        <v>-2</v>
      </c>
      <c r="Q617" s="5">
        <f t="shared" si="2"/>
        <v>-521</v>
      </c>
    </row>
    <row r="618">
      <c r="H618" s="3" t="str">
        <f>IFERROR(__xludf.DUMMYFUNCTION("IFERROR(TRIM(INDEX(SPLIT(E618,"" + ""),1)),"""")"),"")</f>
        <v/>
      </c>
      <c r="I618" s="3" t="str">
        <f>IFERROR(__xludf.DUMMYFUNCTION("IFERROR(TRIM(INDEX(SPLIT(E618,"" + ""),2)),"""")"),"")</f>
        <v/>
      </c>
      <c r="J618" s="5" t="str">
        <f>IFERROR(__xludf.DUMMYFUNCTION("IFERROR(TRIM(INDEX(SPLIT(E618,"" + ""),3)),"""")"),"")</f>
        <v/>
      </c>
      <c r="K618" s="3">
        <f>IFERROR(__xludf.DUMMYFUNCTION("IFERROR(IF(H618="""",0,INDEX(FILTER($Q$2:Q617,$C$2:C617=H618,$G$2:G617=G618),ROWS(FILTER($Q$2:Q617,$C$2:C617=H618,$G$2:G617=G618)),1)),1500)"),0.0)</f>
        <v>0</v>
      </c>
      <c r="L618" s="3">
        <f>IFERROR(__xludf.DUMMYFUNCTION("IFERROR(IF(I618="""",0,INDEX(FILTER($Q$2:Q617,$C$2:C617=I618,$G$2:G617=G618),ROWS(FILTER($Q$2:Q617,$C$2:C617=I618,$G$2:G617=G618)),1)),1500)"),0.0)</f>
        <v>0</v>
      </c>
      <c r="M618" s="3">
        <f>IFERROR(__xludf.DUMMYFUNCTION("IFERROR(IF(J618="""",0,INDEX(FILTER($Q$2:Q617,$C$2:C617=J618,$G$2:G617=G618),ROWS(FILTER($Q$2:Q617,$C$2:C617=J618,$G$2:G617=G618)),1)),1500)"),0.0)</f>
        <v>0</v>
      </c>
      <c r="N618" s="3">
        <f>IFERROR(__xludf.DUMMYFUNCTION("IFERROR(INDEX(FILTER($Q$2:Q617,$C$2:C617=C618,$G$2:G617=G618),ROWS(FILTER($Q$2:Q617,$C$2:C617=C618,$G$2:G617=G618)),1),1500)"),-521.0)</f>
        <v>-521</v>
      </c>
      <c r="O618" s="3">
        <f t="shared" si="3"/>
        <v>0</v>
      </c>
      <c r="P618" s="9">
        <f t="shared" si="1"/>
        <v>-2</v>
      </c>
      <c r="Q618" s="5">
        <f t="shared" si="2"/>
        <v>-523</v>
      </c>
    </row>
    <row r="619">
      <c r="H619" s="3" t="str">
        <f>IFERROR(__xludf.DUMMYFUNCTION("IFERROR(TRIM(INDEX(SPLIT(E619,"" + ""),1)),"""")"),"")</f>
        <v/>
      </c>
      <c r="I619" s="3" t="str">
        <f>IFERROR(__xludf.DUMMYFUNCTION("IFERROR(TRIM(INDEX(SPLIT(E619,"" + ""),2)),"""")"),"")</f>
        <v/>
      </c>
      <c r="J619" s="5" t="str">
        <f>IFERROR(__xludf.DUMMYFUNCTION("IFERROR(TRIM(INDEX(SPLIT(E619,"" + ""),3)),"""")"),"")</f>
        <v/>
      </c>
      <c r="K619" s="3">
        <f>IFERROR(__xludf.DUMMYFUNCTION("IFERROR(IF(H619="""",0,INDEX(FILTER($Q$2:Q618,$C$2:C618=H619,$G$2:G618=G619),ROWS(FILTER($Q$2:Q618,$C$2:C618=H619,$G$2:G618=G619)),1)),1500)"),0.0)</f>
        <v>0</v>
      </c>
      <c r="L619" s="3">
        <f>IFERROR(__xludf.DUMMYFUNCTION("IFERROR(IF(I619="""",0,INDEX(FILTER($Q$2:Q618,$C$2:C618=I619,$G$2:G618=G619),ROWS(FILTER($Q$2:Q618,$C$2:C618=I619,$G$2:G618=G619)),1)),1500)"),0.0)</f>
        <v>0</v>
      </c>
      <c r="M619" s="3">
        <f>IFERROR(__xludf.DUMMYFUNCTION("IFERROR(IF(J619="""",0,INDEX(FILTER($Q$2:Q618,$C$2:C618=J619,$G$2:G618=G619),ROWS(FILTER($Q$2:Q618,$C$2:C618=J619,$G$2:G618=G619)),1)),1500)"),0.0)</f>
        <v>0</v>
      </c>
      <c r="N619" s="3">
        <f>IFERROR(__xludf.DUMMYFUNCTION("IFERROR(INDEX(FILTER($Q$2:Q618,$C$2:C618=C619,$G$2:G618=G619),ROWS(FILTER($Q$2:Q618,$C$2:C618=C619,$G$2:G618=G619)),1),1500)"),-523.0)</f>
        <v>-523</v>
      </c>
      <c r="O619" s="3">
        <f t="shared" si="3"/>
        <v>0</v>
      </c>
      <c r="P619" s="9">
        <f t="shared" si="1"/>
        <v>-2</v>
      </c>
      <c r="Q619" s="5">
        <f t="shared" si="2"/>
        <v>-525</v>
      </c>
    </row>
    <row r="620">
      <c r="H620" s="3" t="str">
        <f>IFERROR(__xludf.DUMMYFUNCTION("IFERROR(TRIM(INDEX(SPLIT(E620,"" + ""),1)),"""")"),"")</f>
        <v/>
      </c>
      <c r="I620" s="3" t="str">
        <f>IFERROR(__xludf.DUMMYFUNCTION("IFERROR(TRIM(INDEX(SPLIT(E620,"" + ""),2)),"""")"),"")</f>
        <v/>
      </c>
      <c r="J620" s="5" t="str">
        <f>IFERROR(__xludf.DUMMYFUNCTION("IFERROR(TRIM(INDEX(SPLIT(E620,"" + ""),3)),"""")"),"")</f>
        <v/>
      </c>
      <c r="K620" s="3">
        <f>IFERROR(__xludf.DUMMYFUNCTION("IFERROR(IF(H620="""",0,INDEX(FILTER($Q$2:Q619,$C$2:C619=H620,$G$2:G619=G620),ROWS(FILTER($Q$2:Q619,$C$2:C619=H620,$G$2:G619=G620)),1)),1500)"),0.0)</f>
        <v>0</v>
      </c>
      <c r="L620" s="3">
        <f>IFERROR(__xludf.DUMMYFUNCTION("IFERROR(IF(I620="""",0,INDEX(FILTER($Q$2:Q619,$C$2:C619=I620,$G$2:G619=G620),ROWS(FILTER($Q$2:Q619,$C$2:C619=I620,$G$2:G619=G620)),1)),1500)"),0.0)</f>
        <v>0</v>
      </c>
      <c r="M620" s="3">
        <f>IFERROR(__xludf.DUMMYFUNCTION("IFERROR(IF(J620="""",0,INDEX(FILTER($Q$2:Q619,$C$2:C619=J620,$G$2:G619=G620),ROWS(FILTER($Q$2:Q619,$C$2:C619=J620,$G$2:G619=G620)),1)),1500)"),0.0)</f>
        <v>0</v>
      </c>
      <c r="N620" s="3">
        <f>IFERROR(__xludf.DUMMYFUNCTION("IFERROR(INDEX(FILTER($Q$2:Q619,$C$2:C619=C620,$G$2:G619=G620),ROWS(FILTER($Q$2:Q619,$C$2:C619=C620,$G$2:G619=G620)),1),1500)"),-525.0)</f>
        <v>-525</v>
      </c>
      <c r="O620" s="3">
        <f t="shared" si="3"/>
        <v>0</v>
      </c>
      <c r="P620" s="9">
        <f t="shared" si="1"/>
        <v>-1</v>
      </c>
      <c r="Q620" s="5">
        <f t="shared" si="2"/>
        <v>-526</v>
      </c>
    </row>
    <row r="621">
      <c r="H621" s="3" t="str">
        <f>IFERROR(__xludf.DUMMYFUNCTION("IFERROR(TRIM(INDEX(SPLIT(E621,"" + ""),1)),"""")"),"")</f>
        <v/>
      </c>
      <c r="I621" s="3" t="str">
        <f>IFERROR(__xludf.DUMMYFUNCTION("IFERROR(TRIM(INDEX(SPLIT(E621,"" + ""),2)),"""")"),"")</f>
        <v/>
      </c>
      <c r="J621" s="5" t="str">
        <f>IFERROR(__xludf.DUMMYFUNCTION("IFERROR(TRIM(INDEX(SPLIT(E621,"" + ""),3)),"""")"),"")</f>
        <v/>
      </c>
      <c r="K621" s="3">
        <f>IFERROR(__xludf.DUMMYFUNCTION("IFERROR(IF(H621="""",0,INDEX(FILTER($Q$2:Q620,$C$2:C620=H621,$G$2:G620=G621),ROWS(FILTER($Q$2:Q620,$C$2:C620=H621,$G$2:G620=G621)),1)),1500)"),0.0)</f>
        <v>0</v>
      </c>
      <c r="L621" s="3">
        <f>IFERROR(__xludf.DUMMYFUNCTION("IFERROR(IF(I621="""",0,INDEX(FILTER($Q$2:Q620,$C$2:C620=I621,$G$2:G620=G621),ROWS(FILTER($Q$2:Q620,$C$2:C620=I621,$G$2:G620=G621)),1)),1500)"),0.0)</f>
        <v>0</v>
      </c>
      <c r="M621" s="3">
        <f>IFERROR(__xludf.DUMMYFUNCTION("IFERROR(IF(J621="""",0,INDEX(FILTER($Q$2:Q620,$C$2:C620=J621,$G$2:G620=G621),ROWS(FILTER($Q$2:Q620,$C$2:C620=J621,$G$2:G620=G621)),1)),1500)"),0.0)</f>
        <v>0</v>
      </c>
      <c r="N621" s="3">
        <f>IFERROR(__xludf.DUMMYFUNCTION("IFERROR(INDEX(FILTER($Q$2:Q620,$C$2:C620=C621,$G$2:G620=G621),ROWS(FILTER($Q$2:Q620,$C$2:C620=C621,$G$2:G620=G621)),1),1500)"),-526.0)</f>
        <v>-526</v>
      </c>
      <c r="O621" s="3">
        <f t="shared" si="3"/>
        <v>0</v>
      </c>
      <c r="P621" s="9">
        <f t="shared" si="1"/>
        <v>-1</v>
      </c>
      <c r="Q621" s="5">
        <f t="shared" si="2"/>
        <v>-527</v>
      </c>
    </row>
    <row r="622">
      <c r="H622" s="3" t="str">
        <f>IFERROR(__xludf.DUMMYFUNCTION("IFERROR(TRIM(INDEX(SPLIT(E622,"" + ""),1)),"""")"),"")</f>
        <v/>
      </c>
      <c r="I622" s="3" t="str">
        <f>IFERROR(__xludf.DUMMYFUNCTION("IFERROR(TRIM(INDEX(SPLIT(E622,"" + ""),2)),"""")"),"")</f>
        <v/>
      </c>
      <c r="J622" s="5" t="str">
        <f>IFERROR(__xludf.DUMMYFUNCTION("IFERROR(TRIM(INDEX(SPLIT(E622,"" + ""),3)),"""")"),"")</f>
        <v/>
      </c>
      <c r="K622" s="3">
        <f>IFERROR(__xludf.DUMMYFUNCTION("IFERROR(IF(H622="""",0,INDEX(FILTER($Q$2:Q621,$C$2:C621=H622,$G$2:G621=G622),ROWS(FILTER($Q$2:Q621,$C$2:C621=H622,$G$2:G621=G622)),1)),1500)"),0.0)</f>
        <v>0</v>
      </c>
      <c r="L622" s="3">
        <f>IFERROR(__xludf.DUMMYFUNCTION("IFERROR(IF(I622="""",0,INDEX(FILTER($Q$2:Q621,$C$2:C621=I622,$G$2:G621=G622),ROWS(FILTER($Q$2:Q621,$C$2:C621=I622,$G$2:G621=G622)),1)),1500)"),0.0)</f>
        <v>0</v>
      </c>
      <c r="M622" s="3">
        <f>IFERROR(__xludf.DUMMYFUNCTION("IFERROR(IF(J622="""",0,INDEX(FILTER($Q$2:Q621,$C$2:C621=J622,$G$2:G621=G622),ROWS(FILTER($Q$2:Q621,$C$2:C621=J622,$G$2:G621=G622)),1)),1500)"),0.0)</f>
        <v>0</v>
      </c>
      <c r="N622" s="3">
        <f>IFERROR(__xludf.DUMMYFUNCTION("IFERROR(INDEX(FILTER($Q$2:Q621,$C$2:C621=C622,$G$2:G621=G622),ROWS(FILTER($Q$2:Q621,$C$2:C621=C622,$G$2:G621=G622)),1),1500)"),-527.0)</f>
        <v>-527</v>
      </c>
      <c r="O622" s="3">
        <f t="shared" si="3"/>
        <v>0</v>
      </c>
      <c r="P622" s="9">
        <f t="shared" si="1"/>
        <v>-1</v>
      </c>
      <c r="Q622" s="5">
        <f t="shared" si="2"/>
        <v>-528</v>
      </c>
    </row>
    <row r="623">
      <c r="H623" s="3" t="str">
        <f>IFERROR(__xludf.DUMMYFUNCTION("IFERROR(TRIM(INDEX(SPLIT(E623,"" + ""),1)),"""")"),"")</f>
        <v/>
      </c>
      <c r="I623" s="3" t="str">
        <f>IFERROR(__xludf.DUMMYFUNCTION("IFERROR(TRIM(INDEX(SPLIT(E623,"" + ""),2)),"""")"),"")</f>
        <v/>
      </c>
      <c r="J623" s="5" t="str">
        <f>IFERROR(__xludf.DUMMYFUNCTION("IFERROR(TRIM(INDEX(SPLIT(E623,"" + ""),3)),"""")"),"")</f>
        <v/>
      </c>
      <c r="K623" s="3">
        <f>IFERROR(__xludf.DUMMYFUNCTION("IFERROR(IF(H623="""",0,INDEX(FILTER($Q$2:Q622,$C$2:C622=H623,$G$2:G622=G623),ROWS(FILTER($Q$2:Q622,$C$2:C622=H623,$G$2:G622=G623)),1)),1500)"),0.0)</f>
        <v>0</v>
      </c>
      <c r="L623" s="3">
        <f>IFERROR(__xludf.DUMMYFUNCTION("IFERROR(IF(I623="""",0,INDEX(FILTER($Q$2:Q622,$C$2:C622=I623,$G$2:G622=G623),ROWS(FILTER($Q$2:Q622,$C$2:C622=I623,$G$2:G622=G623)),1)),1500)"),0.0)</f>
        <v>0</v>
      </c>
      <c r="M623" s="3">
        <f>IFERROR(__xludf.DUMMYFUNCTION("IFERROR(IF(J623="""",0,INDEX(FILTER($Q$2:Q622,$C$2:C622=J623,$G$2:G622=G623),ROWS(FILTER($Q$2:Q622,$C$2:C622=J623,$G$2:G622=G623)),1)),1500)"),0.0)</f>
        <v>0</v>
      </c>
      <c r="N623" s="3">
        <f>IFERROR(__xludf.DUMMYFUNCTION("IFERROR(INDEX(FILTER($Q$2:Q622,$C$2:C622=C623,$G$2:G622=G623),ROWS(FILTER($Q$2:Q622,$C$2:C622=C623,$G$2:G622=G623)),1),1500)"),-528.0)</f>
        <v>-528</v>
      </c>
      <c r="O623" s="3">
        <f t="shared" si="3"/>
        <v>0</v>
      </c>
      <c r="P623" s="9">
        <f t="shared" si="1"/>
        <v>-1</v>
      </c>
      <c r="Q623" s="5">
        <f t="shared" si="2"/>
        <v>-529</v>
      </c>
    </row>
    <row r="624">
      <c r="H624" s="3" t="str">
        <f>IFERROR(__xludf.DUMMYFUNCTION("IFERROR(TRIM(INDEX(SPLIT(E624,"" + ""),1)),"""")"),"")</f>
        <v/>
      </c>
      <c r="I624" s="3" t="str">
        <f>IFERROR(__xludf.DUMMYFUNCTION("IFERROR(TRIM(INDEX(SPLIT(E624,"" + ""),2)),"""")"),"")</f>
        <v/>
      </c>
      <c r="J624" s="5" t="str">
        <f>IFERROR(__xludf.DUMMYFUNCTION("IFERROR(TRIM(INDEX(SPLIT(E624,"" + ""),3)),"""")"),"")</f>
        <v/>
      </c>
      <c r="K624" s="3">
        <f>IFERROR(__xludf.DUMMYFUNCTION("IFERROR(IF(H624="""",0,INDEX(FILTER($Q$2:Q623,$C$2:C623=H624,$G$2:G623=G624),ROWS(FILTER($Q$2:Q623,$C$2:C623=H624,$G$2:G623=G624)),1)),1500)"),0.0)</f>
        <v>0</v>
      </c>
      <c r="L624" s="3">
        <f>IFERROR(__xludf.DUMMYFUNCTION("IFERROR(IF(I624="""",0,INDEX(FILTER($Q$2:Q623,$C$2:C623=I624,$G$2:G623=G624),ROWS(FILTER($Q$2:Q623,$C$2:C623=I624,$G$2:G623=G624)),1)),1500)"),0.0)</f>
        <v>0</v>
      </c>
      <c r="M624" s="3">
        <f>IFERROR(__xludf.DUMMYFUNCTION("IFERROR(IF(J624="""",0,INDEX(FILTER($Q$2:Q623,$C$2:C623=J624,$G$2:G623=G624),ROWS(FILTER($Q$2:Q623,$C$2:C623=J624,$G$2:G623=G624)),1)),1500)"),0.0)</f>
        <v>0</v>
      </c>
      <c r="N624" s="3">
        <f>IFERROR(__xludf.DUMMYFUNCTION("IFERROR(INDEX(FILTER($Q$2:Q623,$C$2:C623=C624,$G$2:G623=G624),ROWS(FILTER($Q$2:Q623,$C$2:C623=C624,$G$2:G623=G624)),1),1500)"),-529.0)</f>
        <v>-529</v>
      </c>
      <c r="O624" s="3">
        <f t="shared" si="3"/>
        <v>0</v>
      </c>
      <c r="P624" s="9">
        <f t="shared" si="1"/>
        <v>-1</v>
      </c>
      <c r="Q624" s="5">
        <f t="shared" si="2"/>
        <v>-530</v>
      </c>
    </row>
    <row r="625">
      <c r="H625" s="3" t="str">
        <f>IFERROR(__xludf.DUMMYFUNCTION("IFERROR(TRIM(INDEX(SPLIT(E625,"" + ""),1)),"""")"),"")</f>
        <v/>
      </c>
      <c r="I625" s="3" t="str">
        <f>IFERROR(__xludf.DUMMYFUNCTION("IFERROR(TRIM(INDEX(SPLIT(E625,"" + ""),2)),"""")"),"")</f>
        <v/>
      </c>
      <c r="J625" s="5" t="str">
        <f>IFERROR(__xludf.DUMMYFUNCTION("IFERROR(TRIM(INDEX(SPLIT(E625,"" + ""),3)),"""")"),"")</f>
        <v/>
      </c>
      <c r="K625" s="3">
        <f>IFERROR(__xludf.DUMMYFUNCTION("IFERROR(IF(H625="""",0,INDEX(FILTER($Q$2:Q624,$C$2:C624=H625,$G$2:G624=G625),ROWS(FILTER($Q$2:Q624,$C$2:C624=H625,$G$2:G624=G625)),1)),1500)"),0.0)</f>
        <v>0</v>
      </c>
      <c r="L625" s="3">
        <f>IFERROR(__xludf.DUMMYFUNCTION("IFERROR(IF(I625="""",0,INDEX(FILTER($Q$2:Q624,$C$2:C624=I625,$G$2:G624=G625),ROWS(FILTER($Q$2:Q624,$C$2:C624=I625,$G$2:G624=G625)),1)),1500)"),0.0)</f>
        <v>0</v>
      </c>
      <c r="M625" s="3">
        <f>IFERROR(__xludf.DUMMYFUNCTION("IFERROR(IF(J625="""",0,INDEX(FILTER($Q$2:Q624,$C$2:C624=J625,$G$2:G624=G625),ROWS(FILTER($Q$2:Q624,$C$2:C624=J625,$G$2:G624=G625)),1)),1500)"),0.0)</f>
        <v>0</v>
      </c>
      <c r="N625" s="3">
        <f>IFERROR(__xludf.DUMMYFUNCTION("IFERROR(INDEX(FILTER($Q$2:Q624,$C$2:C624=C625,$G$2:G624=G625),ROWS(FILTER($Q$2:Q624,$C$2:C624=C625,$G$2:G624=G625)),1),1500)"),-530.0)</f>
        <v>-530</v>
      </c>
      <c r="O625" s="3">
        <f t="shared" si="3"/>
        <v>0</v>
      </c>
      <c r="P625" s="9">
        <f t="shared" si="1"/>
        <v>-1</v>
      </c>
      <c r="Q625" s="5">
        <f t="shared" si="2"/>
        <v>-531</v>
      </c>
    </row>
    <row r="626">
      <c r="H626" s="3" t="str">
        <f>IFERROR(__xludf.DUMMYFUNCTION("IFERROR(TRIM(INDEX(SPLIT(E626,"" + ""),1)),"""")"),"")</f>
        <v/>
      </c>
      <c r="I626" s="3" t="str">
        <f>IFERROR(__xludf.DUMMYFUNCTION("IFERROR(TRIM(INDEX(SPLIT(E626,"" + ""),2)),"""")"),"")</f>
        <v/>
      </c>
      <c r="J626" s="5" t="str">
        <f>IFERROR(__xludf.DUMMYFUNCTION("IFERROR(TRIM(INDEX(SPLIT(E626,"" + ""),3)),"""")"),"")</f>
        <v/>
      </c>
      <c r="K626" s="3">
        <f>IFERROR(__xludf.DUMMYFUNCTION("IFERROR(IF(H626="""",0,INDEX(FILTER($Q$2:Q625,$C$2:C625=H626,$G$2:G625=G626),ROWS(FILTER($Q$2:Q625,$C$2:C625=H626,$G$2:G625=G626)),1)),1500)"),0.0)</f>
        <v>0</v>
      </c>
      <c r="L626" s="3">
        <f>IFERROR(__xludf.DUMMYFUNCTION("IFERROR(IF(I626="""",0,INDEX(FILTER($Q$2:Q625,$C$2:C625=I626,$G$2:G625=G626),ROWS(FILTER($Q$2:Q625,$C$2:C625=I626,$G$2:G625=G626)),1)),1500)"),0.0)</f>
        <v>0</v>
      </c>
      <c r="M626" s="3">
        <f>IFERROR(__xludf.DUMMYFUNCTION("IFERROR(IF(J626="""",0,INDEX(FILTER($Q$2:Q625,$C$2:C625=J626,$G$2:G625=G626),ROWS(FILTER($Q$2:Q625,$C$2:C625=J626,$G$2:G625=G626)),1)),1500)"),0.0)</f>
        <v>0</v>
      </c>
      <c r="N626" s="3">
        <f>IFERROR(__xludf.DUMMYFUNCTION("IFERROR(INDEX(FILTER($Q$2:Q625,$C$2:C625=C626,$G$2:G625=G626),ROWS(FILTER($Q$2:Q625,$C$2:C625=C626,$G$2:G625=G626)),1),1500)"),-531.0)</f>
        <v>-531</v>
      </c>
      <c r="O626" s="3">
        <f t="shared" si="3"/>
        <v>0</v>
      </c>
      <c r="P626" s="9">
        <f t="shared" si="1"/>
        <v>-1</v>
      </c>
      <c r="Q626" s="5">
        <f t="shared" si="2"/>
        <v>-532</v>
      </c>
    </row>
    <row r="627">
      <c r="H627" s="3" t="str">
        <f>IFERROR(__xludf.DUMMYFUNCTION("IFERROR(TRIM(INDEX(SPLIT(E627,"" + ""),1)),"""")"),"")</f>
        <v/>
      </c>
      <c r="I627" s="3" t="str">
        <f>IFERROR(__xludf.DUMMYFUNCTION("IFERROR(TRIM(INDEX(SPLIT(E627,"" + ""),2)),"""")"),"")</f>
        <v/>
      </c>
      <c r="J627" s="5" t="str">
        <f>IFERROR(__xludf.DUMMYFUNCTION("IFERROR(TRIM(INDEX(SPLIT(E627,"" + ""),3)),"""")"),"")</f>
        <v/>
      </c>
      <c r="K627" s="3">
        <f>IFERROR(__xludf.DUMMYFUNCTION("IFERROR(IF(H627="""",0,INDEX(FILTER($Q$2:Q626,$C$2:C626=H627,$G$2:G626=G627),ROWS(FILTER($Q$2:Q626,$C$2:C626=H627,$G$2:G626=G627)),1)),1500)"),0.0)</f>
        <v>0</v>
      </c>
      <c r="L627" s="3">
        <f>IFERROR(__xludf.DUMMYFUNCTION("IFERROR(IF(I627="""",0,INDEX(FILTER($Q$2:Q626,$C$2:C626=I627,$G$2:G626=G627),ROWS(FILTER($Q$2:Q626,$C$2:C626=I627,$G$2:G626=G627)),1)),1500)"),0.0)</f>
        <v>0</v>
      </c>
      <c r="M627" s="3">
        <f>IFERROR(__xludf.DUMMYFUNCTION("IFERROR(IF(J627="""",0,INDEX(FILTER($Q$2:Q626,$C$2:C626=J627,$G$2:G626=G627),ROWS(FILTER($Q$2:Q626,$C$2:C626=J627,$G$2:G626=G627)),1)),1500)"),0.0)</f>
        <v>0</v>
      </c>
      <c r="N627" s="3">
        <f>IFERROR(__xludf.DUMMYFUNCTION("IFERROR(INDEX(FILTER($Q$2:Q626,$C$2:C626=C627,$G$2:G626=G627),ROWS(FILTER($Q$2:Q626,$C$2:C626=C627,$G$2:G626=G627)),1),1500)"),-532.0)</f>
        <v>-532</v>
      </c>
      <c r="O627" s="3">
        <f t="shared" si="3"/>
        <v>0</v>
      </c>
      <c r="P627" s="9">
        <f t="shared" si="1"/>
        <v>-1</v>
      </c>
      <c r="Q627" s="5">
        <f t="shared" si="2"/>
        <v>-533</v>
      </c>
    </row>
    <row r="628">
      <c r="H628" s="3" t="str">
        <f>IFERROR(__xludf.DUMMYFUNCTION("IFERROR(TRIM(INDEX(SPLIT(E628,"" + ""),1)),"""")"),"")</f>
        <v/>
      </c>
      <c r="I628" s="3" t="str">
        <f>IFERROR(__xludf.DUMMYFUNCTION("IFERROR(TRIM(INDEX(SPLIT(E628,"" + ""),2)),"""")"),"")</f>
        <v/>
      </c>
      <c r="J628" s="5" t="str">
        <f>IFERROR(__xludf.DUMMYFUNCTION("IFERROR(TRIM(INDEX(SPLIT(E628,"" + ""),3)),"""")"),"")</f>
        <v/>
      </c>
      <c r="K628" s="3">
        <f>IFERROR(__xludf.DUMMYFUNCTION("IFERROR(IF(H628="""",0,INDEX(FILTER($Q$2:Q627,$C$2:C627=H628,$G$2:G627=G628),ROWS(FILTER($Q$2:Q627,$C$2:C627=H628,$G$2:G627=G628)),1)),1500)"),0.0)</f>
        <v>0</v>
      </c>
      <c r="L628" s="3">
        <f>IFERROR(__xludf.DUMMYFUNCTION("IFERROR(IF(I628="""",0,INDEX(FILTER($Q$2:Q627,$C$2:C627=I628,$G$2:G627=G628),ROWS(FILTER($Q$2:Q627,$C$2:C627=I628,$G$2:G627=G628)),1)),1500)"),0.0)</f>
        <v>0</v>
      </c>
      <c r="M628" s="3">
        <f>IFERROR(__xludf.DUMMYFUNCTION("IFERROR(IF(J628="""",0,INDEX(FILTER($Q$2:Q627,$C$2:C627=J628,$G$2:G627=G628),ROWS(FILTER($Q$2:Q627,$C$2:C627=J628,$G$2:G627=G628)),1)),1500)"),0.0)</f>
        <v>0</v>
      </c>
      <c r="N628" s="3">
        <f>IFERROR(__xludf.DUMMYFUNCTION("IFERROR(INDEX(FILTER($Q$2:Q627,$C$2:C627=C628,$G$2:G627=G628),ROWS(FILTER($Q$2:Q627,$C$2:C627=C628,$G$2:G627=G628)),1),1500)"),-533.0)</f>
        <v>-533</v>
      </c>
      <c r="O628" s="3">
        <f t="shared" si="3"/>
        <v>0</v>
      </c>
      <c r="P628" s="9">
        <f t="shared" si="1"/>
        <v>-1</v>
      </c>
      <c r="Q628" s="5">
        <f t="shared" si="2"/>
        <v>-534</v>
      </c>
    </row>
    <row r="629">
      <c r="H629" s="3" t="str">
        <f>IFERROR(__xludf.DUMMYFUNCTION("IFERROR(TRIM(INDEX(SPLIT(E629,"" + ""),1)),"""")"),"")</f>
        <v/>
      </c>
      <c r="I629" s="3" t="str">
        <f>IFERROR(__xludf.DUMMYFUNCTION("IFERROR(TRIM(INDEX(SPLIT(E629,"" + ""),2)),"""")"),"")</f>
        <v/>
      </c>
      <c r="J629" s="5" t="str">
        <f>IFERROR(__xludf.DUMMYFUNCTION("IFERROR(TRIM(INDEX(SPLIT(E629,"" + ""),3)),"""")"),"")</f>
        <v/>
      </c>
      <c r="K629" s="3">
        <f>IFERROR(__xludf.DUMMYFUNCTION("IFERROR(IF(H629="""",0,INDEX(FILTER($Q$2:Q628,$C$2:C628=H629,$G$2:G628=G629),ROWS(FILTER($Q$2:Q628,$C$2:C628=H629,$G$2:G628=G629)),1)),1500)"),0.0)</f>
        <v>0</v>
      </c>
      <c r="L629" s="3">
        <f>IFERROR(__xludf.DUMMYFUNCTION("IFERROR(IF(I629="""",0,INDEX(FILTER($Q$2:Q628,$C$2:C628=I629,$G$2:G628=G629),ROWS(FILTER($Q$2:Q628,$C$2:C628=I629,$G$2:G628=G629)),1)),1500)"),0.0)</f>
        <v>0</v>
      </c>
      <c r="M629" s="3">
        <f>IFERROR(__xludf.DUMMYFUNCTION("IFERROR(IF(J629="""",0,INDEX(FILTER($Q$2:Q628,$C$2:C628=J629,$G$2:G628=G629),ROWS(FILTER($Q$2:Q628,$C$2:C628=J629,$G$2:G628=G629)),1)),1500)"),0.0)</f>
        <v>0</v>
      </c>
      <c r="N629" s="3">
        <f>IFERROR(__xludf.DUMMYFUNCTION("IFERROR(INDEX(FILTER($Q$2:Q628,$C$2:C628=C629,$G$2:G628=G629),ROWS(FILTER($Q$2:Q628,$C$2:C628=C629,$G$2:G628=G629)),1),1500)"),-534.0)</f>
        <v>-534</v>
      </c>
      <c r="O629" s="3">
        <f t="shared" si="3"/>
        <v>0</v>
      </c>
      <c r="P629" s="9">
        <f t="shared" si="1"/>
        <v>-1</v>
      </c>
      <c r="Q629" s="5">
        <f t="shared" si="2"/>
        <v>-535</v>
      </c>
    </row>
    <row r="630">
      <c r="H630" s="3" t="str">
        <f>IFERROR(__xludf.DUMMYFUNCTION("IFERROR(TRIM(INDEX(SPLIT(E630,"" + ""),1)),"""")"),"")</f>
        <v/>
      </c>
      <c r="I630" s="3" t="str">
        <f>IFERROR(__xludf.DUMMYFUNCTION("IFERROR(TRIM(INDEX(SPLIT(E630,"" + ""),2)),"""")"),"")</f>
        <v/>
      </c>
      <c r="J630" s="5" t="str">
        <f>IFERROR(__xludf.DUMMYFUNCTION("IFERROR(TRIM(INDEX(SPLIT(E630,"" + ""),3)),"""")"),"")</f>
        <v/>
      </c>
      <c r="K630" s="3">
        <f>IFERROR(__xludf.DUMMYFUNCTION("IFERROR(IF(H630="""",0,INDEX(FILTER($Q$2:Q629,$C$2:C629=H630,$G$2:G629=G630),ROWS(FILTER($Q$2:Q629,$C$2:C629=H630,$G$2:G629=G630)),1)),1500)"),0.0)</f>
        <v>0</v>
      </c>
      <c r="L630" s="3">
        <f>IFERROR(__xludf.DUMMYFUNCTION("IFERROR(IF(I630="""",0,INDEX(FILTER($Q$2:Q629,$C$2:C629=I630,$G$2:G629=G630),ROWS(FILTER($Q$2:Q629,$C$2:C629=I630,$G$2:G629=G630)),1)),1500)"),0.0)</f>
        <v>0</v>
      </c>
      <c r="M630" s="3">
        <f>IFERROR(__xludf.DUMMYFUNCTION("IFERROR(IF(J630="""",0,INDEX(FILTER($Q$2:Q629,$C$2:C629=J630,$G$2:G629=G630),ROWS(FILTER($Q$2:Q629,$C$2:C629=J630,$G$2:G629=G630)),1)),1500)"),0.0)</f>
        <v>0</v>
      </c>
      <c r="N630" s="3">
        <f>IFERROR(__xludf.DUMMYFUNCTION("IFERROR(INDEX(FILTER($Q$2:Q629,$C$2:C629=C630,$G$2:G629=G630),ROWS(FILTER($Q$2:Q629,$C$2:C629=C630,$G$2:G629=G630)),1),1500)"),-535.0)</f>
        <v>-535</v>
      </c>
      <c r="O630" s="3">
        <f t="shared" si="3"/>
        <v>0</v>
      </c>
      <c r="P630" s="9">
        <f t="shared" si="1"/>
        <v>-1</v>
      </c>
      <c r="Q630" s="5">
        <f t="shared" si="2"/>
        <v>-536</v>
      </c>
    </row>
    <row r="631">
      <c r="H631" s="3" t="str">
        <f>IFERROR(__xludf.DUMMYFUNCTION("IFERROR(TRIM(INDEX(SPLIT(E631,"" + ""),1)),"""")"),"")</f>
        <v/>
      </c>
      <c r="I631" s="3" t="str">
        <f>IFERROR(__xludf.DUMMYFUNCTION("IFERROR(TRIM(INDEX(SPLIT(E631,"" + ""),2)),"""")"),"")</f>
        <v/>
      </c>
      <c r="J631" s="5" t="str">
        <f>IFERROR(__xludf.DUMMYFUNCTION("IFERROR(TRIM(INDEX(SPLIT(E631,"" + ""),3)),"""")"),"")</f>
        <v/>
      </c>
      <c r="K631" s="3">
        <f>IFERROR(__xludf.DUMMYFUNCTION("IFERROR(IF(H631="""",0,INDEX(FILTER($Q$2:Q630,$C$2:C630=H631,$G$2:G630=G631),ROWS(FILTER($Q$2:Q630,$C$2:C630=H631,$G$2:G630=G631)),1)),1500)"),0.0)</f>
        <v>0</v>
      </c>
      <c r="L631" s="3">
        <f>IFERROR(__xludf.DUMMYFUNCTION("IFERROR(IF(I631="""",0,INDEX(FILTER($Q$2:Q630,$C$2:C630=I631,$G$2:G630=G631),ROWS(FILTER($Q$2:Q630,$C$2:C630=I631,$G$2:G630=G631)),1)),1500)"),0.0)</f>
        <v>0</v>
      </c>
      <c r="M631" s="3">
        <f>IFERROR(__xludf.DUMMYFUNCTION("IFERROR(IF(J631="""",0,INDEX(FILTER($Q$2:Q630,$C$2:C630=J631,$G$2:G630=G631),ROWS(FILTER($Q$2:Q630,$C$2:C630=J631,$G$2:G630=G631)),1)),1500)"),0.0)</f>
        <v>0</v>
      </c>
      <c r="N631" s="3">
        <f>IFERROR(__xludf.DUMMYFUNCTION("IFERROR(INDEX(FILTER($Q$2:Q630,$C$2:C630=C631,$G$2:G630=G631),ROWS(FILTER($Q$2:Q630,$C$2:C630=C631,$G$2:G630=G631)),1),1500)"),-536.0)</f>
        <v>-536</v>
      </c>
      <c r="O631" s="3">
        <f t="shared" si="3"/>
        <v>0</v>
      </c>
      <c r="P631" s="9">
        <f t="shared" si="1"/>
        <v>-1</v>
      </c>
      <c r="Q631" s="5">
        <f t="shared" si="2"/>
        <v>-537</v>
      </c>
    </row>
    <row r="632">
      <c r="H632" s="3" t="str">
        <f>IFERROR(__xludf.DUMMYFUNCTION("IFERROR(TRIM(INDEX(SPLIT(E632,"" + ""),1)),"""")"),"")</f>
        <v/>
      </c>
      <c r="I632" s="3" t="str">
        <f>IFERROR(__xludf.DUMMYFUNCTION("IFERROR(TRIM(INDEX(SPLIT(E632,"" + ""),2)),"""")"),"")</f>
        <v/>
      </c>
      <c r="J632" s="5" t="str">
        <f>IFERROR(__xludf.DUMMYFUNCTION("IFERROR(TRIM(INDEX(SPLIT(E632,"" + ""),3)),"""")"),"")</f>
        <v/>
      </c>
      <c r="K632" s="3">
        <f>IFERROR(__xludf.DUMMYFUNCTION("IFERROR(IF(H632="""",0,INDEX(FILTER($Q$2:Q631,$C$2:C631=H632,$G$2:G631=G632),ROWS(FILTER($Q$2:Q631,$C$2:C631=H632,$G$2:G631=G632)),1)),1500)"),0.0)</f>
        <v>0</v>
      </c>
      <c r="L632" s="3">
        <f>IFERROR(__xludf.DUMMYFUNCTION("IFERROR(IF(I632="""",0,INDEX(FILTER($Q$2:Q631,$C$2:C631=I632,$G$2:G631=G632),ROWS(FILTER($Q$2:Q631,$C$2:C631=I632,$G$2:G631=G632)),1)),1500)"),0.0)</f>
        <v>0</v>
      </c>
      <c r="M632" s="3">
        <f>IFERROR(__xludf.DUMMYFUNCTION("IFERROR(IF(J632="""",0,INDEX(FILTER($Q$2:Q631,$C$2:C631=J632,$G$2:G631=G632),ROWS(FILTER($Q$2:Q631,$C$2:C631=J632,$G$2:G631=G632)),1)),1500)"),0.0)</f>
        <v>0</v>
      </c>
      <c r="N632" s="3">
        <f>IFERROR(__xludf.DUMMYFUNCTION("IFERROR(INDEX(FILTER($Q$2:Q631,$C$2:C631=C632,$G$2:G631=G632),ROWS(FILTER($Q$2:Q631,$C$2:C631=C632,$G$2:G631=G632)),1),1500)"),-537.0)</f>
        <v>-537</v>
      </c>
      <c r="O632" s="3">
        <f t="shared" si="3"/>
        <v>0</v>
      </c>
      <c r="P632" s="9">
        <f t="shared" si="1"/>
        <v>-1</v>
      </c>
      <c r="Q632" s="5">
        <f t="shared" si="2"/>
        <v>-538</v>
      </c>
    </row>
    <row r="633">
      <c r="H633" s="3" t="str">
        <f>IFERROR(__xludf.DUMMYFUNCTION("IFERROR(TRIM(INDEX(SPLIT(E633,"" + ""),1)),"""")"),"")</f>
        <v/>
      </c>
      <c r="I633" s="3" t="str">
        <f>IFERROR(__xludf.DUMMYFUNCTION("IFERROR(TRIM(INDEX(SPLIT(E633,"" + ""),2)),"""")"),"")</f>
        <v/>
      </c>
      <c r="J633" s="5" t="str">
        <f>IFERROR(__xludf.DUMMYFUNCTION("IFERROR(TRIM(INDEX(SPLIT(E633,"" + ""),3)),"""")"),"")</f>
        <v/>
      </c>
      <c r="K633" s="3">
        <f>IFERROR(__xludf.DUMMYFUNCTION("IFERROR(IF(H633="""",0,INDEX(FILTER($Q$2:Q632,$C$2:C632=H633,$G$2:G632=G633),ROWS(FILTER($Q$2:Q632,$C$2:C632=H633,$G$2:G632=G633)),1)),1500)"),0.0)</f>
        <v>0</v>
      </c>
      <c r="L633" s="3">
        <f>IFERROR(__xludf.DUMMYFUNCTION("IFERROR(IF(I633="""",0,INDEX(FILTER($Q$2:Q632,$C$2:C632=I633,$G$2:G632=G633),ROWS(FILTER($Q$2:Q632,$C$2:C632=I633,$G$2:G632=G633)),1)),1500)"),0.0)</f>
        <v>0</v>
      </c>
      <c r="M633" s="3">
        <f>IFERROR(__xludf.DUMMYFUNCTION("IFERROR(IF(J633="""",0,INDEX(FILTER($Q$2:Q632,$C$2:C632=J633,$G$2:G632=G633),ROWS(FILTER($Q$2:Q632,$C$2:C632=J633,$G$2:G632=G633)),1)),1500)"),0.0)</f>
        <v>0</v>
      </c>
      <c r="N633" s="3">
        <f>IFERROR(__xludf.DUMMYFUNCTION("IFERROR(INDEX(FILTER($Q$2:Q632,$C$2:C632=C633,$G$2:G632=G633),ROWS(FILTER($Q$2:Q632,$C$2:C632=C633,$G$2:G632=G633)),1),1500)"),-538.0)</f>
        <v>-538</v>
      </c>
      <c r="O633" s="3">
        <f t="shared" si="3"/>
        <v>0</v>
      </c>
      <c r="P633" s="9">
        <f t="shared" si="1"/>
        <v>-1</v>
      </c>
      <c r="Q633" s="5">
        <f t="shared" si="2"/>
        <v>-539</v>
      </c>
    </row>
    <row r="634">
      <c r="H634" s="3" t="str">
        <f>IFERROR(__xludf.DUMMYFUNCTION("IFERROR(TRIM(INDEX(SPLIT(E634,"" + ""),1)),"""")"),"")</f>
        <v/>
      </c>
      <c r="I634" s="3" t="str">
        <f>IFERROR(__xludf.DUMMYFUNCTION("IFERROR(TRIM(INDEX(SPLIT(E634,"" + ""),2)),"""")"),"")</f>
        <v/>
      </c>
      <c r="J634" s="5" t="str">
        <f>IFERROR(__xludf.DUMMYFUNCTION("IFERROR(TRIM(INDEX(SPLIT(E634,"" + ""),3)),"""")"),"")</f>
        <v/>
      </c>
      <c r="K634" s="3">
        <f>IFERROR(__xludf.DUMMYFUNCTION("IFERROR(IF(H634="""",0,INDEX(FILTER($Q$2:Q633,$C$2:C633=H634,$G$2:G633=G634),ROWS(FILTER($Q$2:Q633,$C$2:C633=H634,$G$2:G633=G634)),1)),1500)"),0.0)</f>
        <v>0</v>
      </c>
      <c r="L634" s="3">
        <f>IFERROR(__xludf.DUMMYFUNCTION("IFERROR(IF(I634="""",0,INDEX(FILTER($Q$2:Q633,$C$2:C633=I634,$G$2:G633=G634),ROWS(FILTER($Q$2:Q633,$C$2:C633=I634,$G$2:G633=G634)),1)),1500)"),0.0)</f>
        <v>0</v>
      </c>
      <c r="M634" s="3">
        <f>IFERROR(__xludf.DUMMYFUNCTION("IFERROR(IF(J634="""",0,INDEX(FILTER($Q$2:Q633,$C$2:C633=J634,$G$2:G633=G634),ROWS(FILTER($Q$2:Q633,$C$2:C633=J634,$G$2:G633=G634)),1)),1500)"),0.0)</f>
        <v>0</v>
      </c>
      <c r="N634" s="3">
        <f>IFERROR(__xludf.DUMMYFUNCTION("IFERROR(INDEX(FILTER($Q$2:Q633,$C$2:C633=C634,$G$2:G633=G634),ROWS(FILTER($Q$2:Q633,$C$2:C633=C634,$G$2:G633=G634)),1),1500)"),-539.0)</f>
        <v>-539</v>
      </c>
      <c r="O634" s="3">
        <f t="shared" si="3"/>
        <v>0</v>
      </c>
      <c r="P634" s="9">
        <f t="shared" si="1"/>
        <v>-1</v>
      </c>
      <c r="Q634" s="5">
        <f t="shared" si="2"/>
        <v>-540</v>
      </c>
    </row>
    <row r="635">
      <c r="H635" s="3" t="str">
        <f>IFERROR(__xludf.DUMMYFUNCTION("IFERROR(TRIM(INDEX(SPLIT(E635,"" + ""),1)),"""")"),"")</f>
        <v/>
      </c>
      <c r="I635" s="3" t="str">
        <f>IFERROR(__xludf.DUMMYFUNCTION("IFERROR(TRIM(INDEX(SPLIT(E635,"" + ""),2)),"""")"),"")</f>
        <v/>
      </c>
      <c r="J635" s="5" t="str">
        <f>IFERROR(__xludf.DUMMYFUNCTION("IFERROR(TRIM(INDEX(SPLIT(E635,"" + ""),3)),"""")"),"")</f>
        <v/>
      </c>
      <c r="K635" s="3">
        <f>IFERROR(__xludf.DUMMYFUNCTION("IFERROR(IF(H635="""",0,INDEX(FILTER($Q$2:Q634,$C$2:C634=H635,$G$2:G634=G635),ROWS(FILTER($Q$2:Q634,$C$2:C634=H635,$G$2:G634=G635)),1)),1500)"),0.0)</f>
        <v>0</v>
      </c>
      <c r="L635" s="3">
        <f>IFERROR(__xludf.DUMMYFUNCTION("IFERROR(IF(I635="""",0,INDEX(FILTER($Q$2:Q634,$C$2:C634=I635,$G$2:G634=G635),ROWS(FILTER($Q$2:Q634,$C$2:C634=I635,$G$2:G634=G635)),1)),1500)"),0.0)</f>
        <v>0</v>
      </c>
      <c r="M635" s="3">
        <f>IFERROR(__xludf.DUMMYFUNCTION("IFERROR(IF(J635="""",0,INDEX(FILTER($Q$2:Q634,$C$2:C634=J635,$G$2:G634=G635),ROWS(FILTER($Q$2:Q634,$C$2:C634=J635,$G$2:G634=G635)),1)),1500)"),0.0)</f>
        <v>0</v>
      </c>
      <c r="N635" s="3">
        <f>IFERROR(__xludf.DUMMYFUNCTION("IFERROR(INDEX(FILTER($Q$2:Q634,$C$2:C634=C635,$G$2:G634=G635),ROWS(FILTER($Q$2:Q634,$C$2:C634=C635,$G$2:G634=G635)),1),1500)"),-540.0)</f>
        <v>-540</v>
      </c>
      <c r="O635" s="3">
        <f t="shared" si="3"/>
        <v>0</v>
      </c>
      <c r="P635" s="9">
        <f t="shared" si="1"/>
        <v>-1</v>
      </c>
      <c r="Q635" s="5">
        <f t="shared" si="2"/>
        <v>-541</v>
      </c>
    </row>
    <row r="636">
      <c r="H636" s="3" t="str">
        <f>IFERROR(__xludf.DUMMYFUNCTION("IFERROR(TRIM(INDEX(SPLIT(E636,"" + ""),1)),"""")"),"")</f>
        <v/>
      </c>
      <c r="I636" s="3" t="str">
        <f>IFERROR(__xludf.DUMMYFUNCTION("IFERROR(TRIM(INDEX(SPLIT(E636,"" + ""),2)),"""")"),"")</f>
        <v/>
      </c>
      <c r="J636" s="5" t="str">
        <f>IFERROR(__xludf.DUMMYFUNCTION("IFERROR(TRIM(INDEX(SPLIT(E636,"" + ""),3)),"""")"),"")</f>
        <v/>
      </c>
      <c r="K636" s="3">
        <f>IFERROR(__xludf.DUMMYFUNCTION("IFERROR(IF(H636="""",0,INDEX(FILTER($Q$2:Q635,$C$2:C635=H636,$G$2:G635=G636),ROWS(FILTER($Q$2:Q635,$C$2:C635=H636,$G$2:G635=G636)),1)),1500)"),0.0)</f>
        <v>0</v>
      </c>
      <c r="L636" s="3">
        <f>IFERROR(__xludf.DUMMYFUNCTION("IFERROR(IF(I636="""",0,INDEX(FILTER($Q$2:Q635,$C$2:C635=I636,$G$2:G635=G636),ROWS(FILTER($Q$2:Q635,$C$2:C635=I636,$G$2:G635=G636)),1)),1500)"),0.0)</f>
        <v>0</v>
      </c>
      <c r="M636" s="3">
        <f>IFERROR(__xludf.DUMMYFUNCTION("IFERROR(IF(J636="""",0,INDEX(FILTER($Q$2:Q635,$C$2:C635=J636,$G$2:G635=G636),ROWS(FILTER($Q$2:Q635,$C$2:C635=J636,$G$2:G635=G636)),1)),1500)"),0.0)</f>
        <v>0</v>
      </c>
      <c r="N636" s="3">
        <f>IFERROR(__xludf.DUMMYFUNCTION("IFERROR(INDEX(FILTER($Q$2:Q635,$C$2:C635=C636,$G$2:G635=G636),ROWS(FILTER($Q$2:Q635,$C$2:C635=C636,$G$2:G635=G636)),1),1500)"),-541.0)</f>
        <v>-541</v>
      </c>
      <c r="O636" s="3">
        <f t="shared" si="3"/>
        <v>0</v>
      </c>
      <c r="P636" s="9">
        <f t="shared" si="1"/>
        <v>-1</v>
      </c>
      <c r="Q636" s="5">
        <f t="shared" si="2"/>
        <v>-542</v>
      </c>
    </row>
    <row r="637">
      <c r="H637" s="3" t="str">
        <f>IFERROR(__xludf.DUMMYFUNCTION("IFERROR(TRIM(INDEX(SPLIT(E637,"" + ""),1)),"""")"),"")</f>
        <v/>
      </c>
      <c r="I637" s="3" t="str">
        <f>IFERROR(__xludf.DUMMYFUNCTION("IFERROR(TRIM(INDEX(SPLIT(E637,"" + ""),2)),"""")"),"")</f>
        <v/>
      </c>
      <c r="J637" s="5" t="str">
        <f>IFERROR(__xludf.DUMMYFUNCTION("IFERROR(TRIM(INDEX(SPLIT(E637,"" + ""),3)),"""")"),"")</f>
        <v/>
      </c>
      <c r="K637" s="3">
        <f>IFERROR(__xludf.DUMMYFUNCTION("IFERROR(IF(H637="""",0,INDEX(FILTER($Q$2:Q636,$C$2:C636=H637,$G$2:G636=G637),ROWS(FILTER($Q$2:Q636,$C$2:C636=H637,$G$2:G636=G637)),1)),1500)"),0.0)</f>
        <v>0</v>
      </c>
      <c r="L637" s="3">
        <f>IFERROR(__xludf.DUMMYFUNCTION("IFERROR(IF(I637="""",0,INDEX(FILTER($Q$2:Q636,$C$2:C636=I637,$G$2:G636=G637),ROWS(FILTER($Q$2:Q636,$C$2:C636=I637,$G$2:G636=G637)),1)),1500)"),0.0)</f>
        <v>0</v>
      </c>
      <c r="M637" s="3">
        <f>IFERROR(__xludf.DUMMYFUNCTION("IFERROR(IF(J637="""",0,INDEX(FILTER($Q$2:Q636,$C$2:C636=J637,$G$2:G636=G637),ROWS(FILTER($Q$2:Q636,$C$2:C636=J637,$G$2:G636=G637)),1)),1500)"),0.0)</f>
        <v>0</v>
      </c>
      <c r="N637" s="3">
        <f>IFERROR(__xludf.DUMMYFUNCTION("IFERROR(INDEX(FILTER($Q$2:Q636,$C$2:C636=C637,$G$2:G636=G637),ROWS(FILTER($Q$2:Q636,$C$2:C636=C637,$G$2:G636=G637)),1),1500)"),-542.0)</f>
        <v>-542</v>
      </c>
      <c r="O637" s="3">
        <f t="shared" si="3"/>
        <v>0</v>
      </c>
      <c r="P637" s="9">
        <f t="shared" si="1"/>
        <v>-1</v>
      </c>
      <c r="Q637" s="5">
        <f t="shared" si="2"/>
        <v>-543</v>
      </c>
    </row>
    <row r="638">
      <c r="H638" s="3" t="str">
        <f>IFERROR(__xludf.DUMMYFUNCTION("IFERROR(TRIM(INDEX(SPLIT(E638,"" + ""),1)),"""")"),"")</f>
        <v/>
      </c>
      <c r="I638" s="3" t="str">
        <f>IFERROR(__xludf.DUMMYFUNCTION("IFERROR(TRIM(INDEX(SPLIT(E638,"" + ""),2)),"""")"),"")</f>
        <v/>
      </c>
      <c r="J638" s="5" t="str">
        <f>IFERROR(__xludf.DUMMYFUNCTION("IFERROR(TRIM(INDEX(SPLIT(E638,"" + ""),3)),"""")"),"")</f>
        <v/>
      </c>
      <c r="K638" s="3">
        <f>IFERROR(__xludf.DUMMYFUNCTION("IFERROR(IF(H638="""",0,INDEX(FILTER($Q$2:Q637,$C$2:C637=H638,$G$2:G637=G638),ROWS(FILTER($Q$2:Q637,$C$2:C637=H638,$G$2:G637=G638)),1)),1500)"),0.0)</f>
        <v>0</v>
      </c>
      <c r="L638" s="3">
        <f>IFERROR(__xludf.DUMMYFUNCTION("IFERROR(IF(I638="""",0,INDEX(FILTER($Q$2:Q637,$C$2:C637=I638,$G$2:G637=G638),ROWS(FILTER($Q$2:Q637,$C$2:C637=I638,$G$2:G637=G638)),1)),1500)"),0.0)</f>
        <v>0</v>
      </c>
      <c r="M638" s="3">
        <f>IFERROR(__xludf.DUMMYFUNCTION("IFERROR(IF(J638="""",0,INDEX(FILTER($Q$2:Q637,$C$2:C637=J638,$G$2:G637=G638),ROWS(FILTER($Q$2:Q637,$C$2:C637=J638,$G$2:G637=G638)),1)),1500)"),0.0)</f>
        <v>0</v>
      </c>
      <c r="N638" s="3">
        <f>IFERROR(__xludf.DUMMYFUNCTION("IFERROR(INDEX(FILTER($Q$2:Q637,$C$2:C637=C638,$G$2:G637=G638),ROWS(FILTER($Q$2:Q637,$C$2:C637=C638,$G$2:G637=G638)),1),1500)"),-543.0)</f>
        <v>-543</v>
      </c>
      <c r="O638" s="3">
        <f t="shared" si="3"/>
        <v>0</v>
      </c>
      <c r="P638" s="9">
        <f t="shared" si="1"/>
        <v>-1</v>
      </c>
      <c r="Q638" s="5">
        <f t="shared" si="2"/>
        <v>-544</v>
      </c>
    </row>
    <row r="639">
      <c r="H639" s="3" t="str">
        <f>IFERROR(__xludf.DUMMYFUNCTION("IFERROR(TRIM(INDEX(SPLIT(E639,"" + ""),1)),"""")"),"")</f>
        <v/>
      </c>
      <c r="I639" s="3" t="str">
        <f>IFERROR(__xludf.DUMMYFUNCTION("IFERROR(TRIM(INDEX(SPLIT(E639,"" + ""),2)),"""")"),"")</f>
        <v/>
      </c>
      <c r="J639" s="5" t="str">
        <f>IFERROR(__xludf.DUMMYFUNCTION("IFERROR(TRIM(INDEX(SPLIT(E639,"" + ""),3)),"""")"),"")</f>
        <v/>
      </c>
      <c r="K639" s="3">
        <f>IFERROR(__xludf.DUMMYFUNCTION("IFERROR(IF(H639="""",0,INDEX(FILTER($Q$2:Q638,$C$2:C638=H639,$G$2:G638=G639),ROWS(FILTER($Q$2:Q638,$C$2:C638=H639,$G$2:G638=G639)),1)),1500)"),0.0)</f>
        <v>0</v>
      </c>
      <c r="L639" s="3">
        <f>IFERROR(__xludf.DUMMYFUNCTION("IFERROR(IF(I639="""",0,INDEX(FILTER($Q$2:Q638,$C$2:C638=I639,$G$2:G638=G639),ROWS(FILTER($Q$2:Q638,$C$2:C638=I639,$G$2:G638=G639)),1)),1500)"),0.0)</f>
        <v>0</v>
      </c>
      <c r="M639" s="3">
        <f>IFERROR(__xludf.DUMMYFUNCTION("IFERROR(IF(J639="""",0,INDEX(FILTER($Q$2:Q638,$C$2:C638=J639,$G$2:G638=G639),ROWS(FILTER($Q$2:Q638,$C$2:C638=J639,$G$2:G638=G639)),1)),1500)"),0.0)</f>
        <v>0</v>
      </c>
      <c r="N639" s="3">
        <f>IFERROR(__xludf.DUMMYFUNCTION("IFERROR(INDEX(FILTER($Q$2:Q638,$C$2:C638=C639,$G$2:G638=G639),ROWS(FILTER($Q$2:Q638,$C$2:C638=C639,$G$2:G638=G639)),1),1500)"),-544.0)</f>
        <v>-544</v>
      </c>
      <c r="O639" s="3">
        <f t="shared" si="3"/>
        <v>0</v>
      </c>
      <c r="P639" s="9">
        <f t="shared" si="1"/>
        <v>-1</v>
      </c>
      <c r="Q639" s="5">
        <f t="shared" si="2"/>
        <v>-545</v>
      </c>
    </row>
    <row r="640">
      <c r="H640" s="3" t="str">
        <f>IFERROR(__xludf.DUMMYFUNCTION("IFERROR(TRIM(INDEX(SPLIT(E640,"" + ""),1)),"""")"),"")</f>
        <v/>
      </c>
      <c r="I640" s="3" t="str">
        <f>IFERROR(__xludf.DUMMYFUNCTION("IFERROR(TRIM(INDEX(SPLIT(E640,"" + ""),2)),"""")"),"")</f>
        <v/>
      </c>
      <c r="J640" s="5" t="str">
        <f>IFERROR(__xludf.DUMMYFUNCTION("IFERROR(TRIM(INDEX(SPLIT(E640,"" + ""),3)),"""")"),"")</f>
        <v/>
      </c>
      <c r="K640" s="3">
        <f>IFERROR(__xludf.DUMMYFUNCTION("IFERROR(IF(H640="""",0,INDEX(FILTER($Q$2:Q639,$C$2:C639=H640,$G$2:G639=G640),ROWS(FILTER($Q$2:Q639,$C$2:C639=H640,$G$2:G639=G640)),1)),1500)"),0.0)</f>
        <v>0</v>
      </c>
      <c r="L640" s="3">
        <f>IFERROR(__xludf.DUMMYFUNCTION("IFERROR(IF(I640="""",0,INDEX(FILTER($Q$2:Q639,$C$2:C639=I640,$G$2:G639=G640),ROWS(FILTER($Q$2:Q639,$C$2:C639=I640,$G$2:G639=G640)),1)),1500)"),0.0)</f>
        <v>0</v>
      </c>
      <c r="M640" s="3">
        <f>IFERROR(__xludf.DUMMYFUNCTION("IFERROR(IF(J640="""",0,INDEX(FILTER($Q$2:Q639,$C$2:C639=J640,$G$2:G639=G640),ROWS(FILTER($Q$2:Q639,$C$2:C639=J640,$G$2:G639=G640)),1)),1500)"),0.0)</f>
        <v>0</v>
      </c>
      <c r="N640" s="3">
        <f>IFERROR(__xludf.DUMMYFUNCTION("IFERROR(INDEX(FILTER($Q$2:Q639,$C$2:C639=C640,$G$2:G639=G640),ROWS(FILTER($Q$2:Q639,$C$2:C639=C640,$G$2:G639=G640)),1),1500)"),-545.0)</f>
        <v>-545</v>
      </c>
      <c r="O640" s="3">
        <f t="shared" si="3"/>
        <v>0</v>
      </c>
      <c r="P640" s="9">
        <f t="shared" si="1"/>
        <v>-1</v>
      </c>
      <c r="Q640" s="5">
        <f t="shared" si="2"/>
        <v>-546</v>
      </c>
    </row>
    <row r="641">
      <c r="H641" s="3" t="str">
        <f>IFERROR(__xludf.DUMMYFUNCTION("IFERROR(TRIM(INDEX(SPLIT(E641,"" + ""),1)),"""")"),"")</f>
        <v/>
      </c>
      <c r="I641" s="3" t="str">
        <f>IFERROR(__xludf.DUMMYFUNCTION("IFERROR(TRIM(INDEX(SPLIT(E641,"" + ""),2)),"""")"),"")</f>
        <v/>
      </c>
      <c r="J641" s="5" t="str">
        <f>IFERROR(__xludf.DUMMYFUNCTION("IFERROR(TRIM(INDEX(SPLIT(E641,"" + ""),3)),"""")"),"")</f>
        <v/>
      </c>
      <c r="K641" s="3">
        <f>IFERROR(__xludf.DUMMYFUNCTION("IFERROR(IF(H641="""",0,INDEX(FILTER($Q$2:Q640,$C$2:C640=H641,$G$2:G640=G641),ROWS(FILTER($Q$2:Q640,$C$2:C640=H641,$G$2:G640=G641)),1)),1500)"),0.0)</f>
        <v>0</v>
      </c>
      <c r="L641" s="3">
        <f>IFERROR(__xludf.DUMMYFUNCTION("IFERROR(IF(I641="""",0,INDEX(FILTER($Q$2:Q640,$C$2:C640=I641,$G$2:G640=G641),ROWS(FILTER($Q$2:Q640,$C$2:C640=I641,$G$2:G640=G641)),1)),1500)"),0.0)</f>
        <v>0</v>
      </c>
      <c r="M641" s="3">
        <f>IFERROR(__xludf.DUMMYFUNCTION("IFERROR(IF(J641="""",0,INDEX(FILTER($Q$2:Q640,$C$2:C640=J641,$G$2:G640=G641),ROWS(FILTER($Q$2:Q640,$C$2:C640=J641,$G$2:G640=G641)),1)),1500)"),0.0)</f>
        <v>0</v>
      </c>
      <c r="N641" s="3">
        <f>IFERROR(__xludf.DUMMYFUNCTION("IFERROR(INDEX(FILTER($Q$2:Q640,$C$2:C640=C641,$G$2:G640=G641),ROWS(FILTER($Q$2:Q640,$C$2:C640=C641,$G$2:G640=G641)),1),1500)"),-546.0)</f>
        <v>-546</v>
      </c>
      <c r="O641" s="3">
        <f t="shared" si="3"/>
        <v>0</v>
      </c>
      <c r="P641" s="9">
        <f t="shared" si="1"/>
        <v>-1</v>
      </c>
      <c r="Q641" s="5">
        <f t="shared" si="2"/>
        <v>-547</v>
      </c>
    </row>
    <row r="642">
      <c r="H642" s="3" t="str">
        <f>IFERROR(__xludf.DUMMYFUNCTION("IFERROR(TRIM(INDEX(SPLIT(E642,"" + ""),1)),"""")"),"")</f>
        <v/>
      </c>
      <c r="I642" s="3" t="str">
        <f>IFERROR(__xludf.DUMMYFUNCTION("IFERROR(TRIM(INDEX(SPLIT(E642,"" + ""),2)),"""")"),"")</f>
        <v/>
      </c>
      <c r="J642" s="5" t="str">
        <f>IFERROR(__xludf.DUMMYFUNCTION("IFERROR(TRIM(INDEX(SPLIT(E642,"" + ""),3)),"""")"),"")</f>
        <v/>
      </c>
      <c r="K642" s="3">
        <f>IFERROR(__xludf.DUMMYFUNCTION("IFERROR(IF(H642="""",0,INDEX(FILTER($Q$2:Q641,$C$2:C641=H642,$G$2:G641=G642),ROWS(FILTER($Q$2:Q641,$C$2:C641=H642,$G$2:G641=G642)),1)),1500)"),0.0)</f>
        <v>0</v>
      </c>
      <c r="L642" s="3">
        <f>IFERROR(__xludf.DUMMYFUNCTION("IFERROR(IF(I642="""",0,INDEX(FILTER($Q$2:Q641,$C$2:C641=I642,$G$2:G641=G642),ROWS(FILTER($Q$2:Q641,$C$2:C641=I642,$G$2:G641=G642)),1)),1500)"),0.0)</f>
        <v>0</v>
      </c>
      <c r="M642" s="3">
        <f>IFERROR(__xludf.DUMMYFUNCTION("IFERROR(IF(J642="""",0,INDEX(FILTER($Q$2:Q641,$C$2:C641=J642,$G$2:G641=G642),ROWS(FILTER($Q$2:Q641,$C$2:C641=J642,$G$2:G641=G642)),1)),1500)"),0.0)</f>
        <v>0</v>
      </c>
      <c r="N642" s="3">
        <f>IFERROR(__xludf.DUMMYFUNCTION("IFERROR(INDEX(FILTER($Q$2:Q641,$C$2:C641=C642,$G$2:G641=G642),ROWS(FILTER($Q$2:Q641,$C$2:C641=C642,$G$2:G641=G642)),1),1500)"),-547.0)</f>
        <v>-547</v>
      </c>
      <c r="O642" s="3">
        <f t="shared" si="3"/>
        <v>0</v>
      </c>
      <c r="P642" s="9">
        <f t="shared" si="1"/>
        <v>-1</v>
      </c>
      <c r="Q642" s="5">
        <f t="shared" si="2"/>
        <v>-548</v>
      </c>
    </row>
    <row r="643">
      <c r="H643" s="3" t="str">
        <f>IFERROR(__xludf.DUMMYFUNCTION("IFERROR(TRIM(INDEX(SPLIT(E643,"" + ""),1)),"""")"),"")</f>
        <v/>
      </c>
      <c r="I643" s="3" t="str">
        <f>IFERROR(__xludf.DUMMYFUNCTION("IFERROR(TRIM(INDEX(SPLIT(E643,"" + ""),2)),"""")"),"")</f>
        <v/>
      </c>
      <c r="J643" s="5" t="str">
        <f>IFERROR(__xludf.DUMMYFUNCTION("IFERROR(TRIM(INDEX(SPLIT(E643,"" + ""),3)),"""")"),"")</f>
        <v/>
      </c>
      <c r="K643" s="3">
        <f>IFERROR(__xludf.DUMMYFUNCTION("IFERROR(IF(H643="""",0,INDEX(FILTER($Q$2:Q642,$C$2:C642=H643,$G$2:G642=G643),ROWS(FILTER($Q$2:Q642,$C$2:C642=H643,$G$2:G642=G643)),1)),1500)"),0.0)</f>
        <v>0</v>
      </c>
      <c r="L643" s="3">
        <f>IFERROR(__xludf.DUMMYFUNCTION("IFERROR(IF(I643="""",0,INDEX(FILTER($Q$2:Q642,$C$2:C642=I643,$G$2:G642=G643),ROWS(FILTER($Q$2:Q642,$C$2:C642=I643,$G$2:G642=G643)),1)),1500)"),0.0)</f>
        <v>0</v>
      </c>
      <c r="M643" s="3">
        <f>IFERROR(__xludf.DUMMYFUNCTION("IFERROR(IF(J643="""",0,INDEX(FILTER($Q$2:Q642,$C$2:C642=J643,$G$2:G642=G643),ROWS(FILTER($Q$2:Q642,$C$2:C642=J643,$G$2:G642=G643)),1)),1500)"),0.0)</f>
        <v>0</v>
      </c>
      <c r="N643" s="3">
        <f>IFERROR(__xludf.DUMMYFUNCTION("IFERROR(INDEX(FILTER($Q$2:Q642,$C$2:C642=C643,$G$2:G642=G643),ROWS(FILTER($Q$2:Q642,$C$2:C642=C643,$G$2:G642=G643)),1),1500)"),-548.0)</f>
        <v>-548</v>
      </c>
      <c r="O643" s="3">
        <f t="shared" si="3"/>
        <v>0</v>
      </c>
      <c r="P643" s="9">
        <f t="shared" si="1"/>
        <v>-1</v>
      </c>
      <c r="Q643" s="5">
        <f t="shared" si="2"/>
        <v>-549</v>
      </c>
    </row>
    <row r="644">
      <c r="H644" s="3" t="str">
        <f>IFERROR(__xludf.DUMMYFUNCTION("IFERROR(TRIM(INDEX(SPLIT(E644,"" + ""),1)),"""")"),"")</f>
        <v/>
      </c>
      <c r="I644" s="3" t="str">
        <f>IFERROR(__xludf.DUMMYFUNCTION("IFERROR(TRIM(INDEX(SPLIT(E644,"" + ""),2)),"""")"),"")</f>
        <v/>
      </c>
      <c r="J644" s="5" t="str">
        <f>IFERROR(__xludf.DUMMYFUNCTION("IFERROR(TRIM(INDEX(SPLIT(E644,"" + ""),3)),"""")"),"")</f>
        <v/>
      </c>
      <c r="K644" s="3">
        <f>IFERROR(__xludf.DUMMYFUNCTION("IFERROR(IF(H644="""",0,INDEX(FILTER($Q$2:Q643,$C$2:C643=H644,$G$2:G643=G644),ROWS(FILTER($Q$2:Q643,$C$2:C643=H644,$G$2:G643=G644)),1)),1500)"),0.0)</f>
        <v>0</v>
      </c>
      <c r="L644" s="3">
        <f>IFERROR(__xludf.DUMMYFUNCTION("IFERROR(IF(I644="""",0,INDEX(FILTER($Q$2:Q643,$C$2:C643=I644,$G$2:G643=G644),ROWS(FILTER($Q$2:Q643,$C$2:C643=I644,$G$2:G643=G644)),1)),1500)"),0.0)</f>
        <v>0</v>
      </c>
      <c r="M644" s="3">
        <f>IFERROR(__xludf.DUMMYFUNCTION("IFERROR(IF(J644="""",0,INDEX(FILTER($Q$2:Q643,$C$2:C643=J644,$G$2:G643=G644),ROWS(FILTER($Q$2:Q643,$C$2:C643=J644,$G$2:G643=G644)),1)),1500)"),0.0)</f>
        <v>0</v>
      </c>
      <c r="N644" s="3">
        <f>IFERROR(__xludf.DUMMYFUNCTION("IFERROR(INDEX(FILTER($Q$2:Q643,$C$2:C643=C644,$G$2:G643=G644),ROWS(FILTER($Q$2:Q643,$C$2:C643=C644,$G$2:G643=G644)),1),1500)"),-549.0)</f>
        <v>-549</v>
      </c>
      <c r="O644" s="3">
        <f t="shared" si="3"/>
        <v>0</v>
      </c>
      <c r="P644" s="9">
        <f t="shared" si="1"/>
        <v>-1</v>
      </c>
      <c r="Q644" s="5">
        <f t="shared" si="2"/>
        <v>-550</v>
      </c>
    </row>
    <row r="645">
      <c r="H645" s="3" t="str">
        <f>IFERROR(__xludf.DUMMYFUNCTION("IFERROR(TRIM(INDEX(SPLIT(E645,"" + ""),1)),"""")"),"")</f>
        <v/>
      </c>
      <c r="I645" s="3" t="str">
        <f>IFERROR(__xludf.DUMMYFUNCTION("IFERROR(TRIM(INDEX(SPLIT(E645,"" + ""),2)),"""")"),"")</f>
        <v/>
      </c>
      <c r="J645" s="5" t="str">
        <f>IFERROR(__xludf.DUMMYFUNCTION("IFERROR(TRIM(INDEX(SPLIT(E645,"" + ""),3)),"""")"),"")</f>
        <v/>
      </c>
      <c r="K645" s="3">
        <f>IFERROR(__xludf.DUMMYFUNCTION("IFERROR(IF(H645="""",0,INDEX(FILTER($Q$2:Q644,$C$2:C644=H645,$G$2:G644=G645),ROWS(FILTER($Q$2:Q644,$C$2:C644=H645,$G$2:G644=G645)),1)),1500)"),0.0)</f>
        <v>0</v>
      </c>
      <c r="L645" s="3">
        <f>IFERROR(__xludf.DUMMYFUNCTION("IFERROR(IF(I645="""",0,INDEX(FILTER($Q$2:Q644,$C$2:C644=I645,$G$2:G644=G645),ROWS(FILTER($Q$2:Q644,$C$2:C644=I645,$G$2:G644=G645)),1)),1500)"),0.0)</f>
        <v>0</v>
      </c>
      <c r="M645" s="3">
        <f>IFERROR(__xludf.DUMMYFUNCTION("IFERROR(IF(J645="""",0,INDEX(FILTER($Q$2:Q644,$C$2:C644=J645,$G$2:G644=G645),ROWS(FILTER($Q$2:Q644,$C$2:C644=J645,$G$2:G644=G645)),1)),1500)"),0.0)</f>
        <v>0</v>
      </c>
      <c r="N645" s="3">
        <f>IFERROR(__xludf.DUMMYFUNCTION("IFERROR(INDEX(FILTER($Q$2:Q644,$C$2:C644=C645,$G$2:G644=G645),ROWS(FILTER($Q$2:Q644,$C$2:C644=C645,$G$2:G644=G645)),1),1500)"),-550.0)</f>
        <v>-550</v>
      </c>
      <c r="O645" s="3">
        <f t="shared" si="3"/>
        <v>0</v>
      </c>
      <c r="P645" s="9">
        <f t="shared" si="1"/>
        <v>-1</v>
      </c>
      <c r="Q645" s="5">
        <f t="shared" si="2"/>
        <v>-551</v>
      </c>
    </row>
    <row r="646">
      <c r="H646" s="3" t="str">
        <f>IFERROR(__xludf.DUMMYFUNCTION("IFERROR(TRIM(INDEX(SPLIT(E646,"" + ""),1)),"""")"),"")</f>
        <v/>
      </c>
      <c r="I646" s="3" t="str">
        <f>IFERROR(__xludf.DUMMYFUNCTION("IFERROR(TRIM(INDEX(SPLIT(E646,"" + ""),2)),"""")"),"")</f>
        <v/>
      </c>
      <c r="J646" s="5" t="str">
        <f>IFERROR(__xludf.DUMMYFUNCTION("IFERROR(TRIM(INDEX(SPLIT(E646,"" + ""),3)),"""")"),"")</f>
        <v/>
      </c>
      <c r="K646" s="3">
        <f>IFERROR(__xludf.DUMMYFUNCTION("IFERROR(IF(H646="""",0,INDEX(FILTER($Q$2:Q645,$C$2:C645=H646,$G$2:G645=G646),ROWS(FILTER($Q$2:Q645,$C$2:C645=H646,$G$2:G645=G646)),1)),1500)"),0.0)</f>
        <v>0</v>
      </c>
      <c r="L646" s="3">
        <f>IFERROR(__xludf.DUMMYFUNCTION("IFERROR(IF(I646="""",0,INDEX(FILTER($Q$2:Q645,$C$2:C645=I646,$G$2:G645=G646),ROWS(FILTER($Q$2:Q645,$C$2:C645=I646,$G$2:G645=G646)),1)),1500)"),0.0)</f>
        <v>0</v>
      </c>
      <c r="M646" s="3">
        <f>IFERROR(__xludf.DUMMYFUNCTION("IFERROR(IF(J646="""",0,INDEX(FILTER($Q$2:Q645,$C$2:C645=J646,$G$2:G645=G646),ROWS(FILTER($Q$2:Q645,$C$2:C645=J646,$G$2:G645=G646)),1)),1500)"),0.0)</f>
        <v>0</v>
      </c>
      <c r="N646" s="3">
        <f>IFERROR(__xludf.DUMMYFUNCTION("IFERROR(INDEX(FILTER($Q$2:Q645,$C$2:C645=C646,$G$2:G645=G646),ROWS(FILTER($Q$2:Q645,$C$2:C645=C646,$G$2:G645=G646)),1),1500)"),-551.0)</f>
        <v>-551</v>
      </c>
      <c r="O646" s="3">
        <f t="shared" si="3"/>
        <v>0</v>
      </c>
      <c r="P646" s="9">
        <f t="shared" si="1"/>
        <v>-1</v>
      </c>
      <c r="Q646" s="5">
        <f t="shared" si="2"/>
        <v>-552</v>
      </c>
    </row>
    <row r="647">
      <c r="H647" s="3" t="str">
        <f>IFERROR(__xludf.DUMMYFUNCTION("IFERROR(TRIM(INDEX(SPLIT(E647,"" + ""),1)),"""")"),"")</f>
        <v/>
      </c>
      <c r="I647" s="3" t="str">
        <f>IFERROR(__xludf.DUMMYFUNCTION("IFERROR(TRIM(INDEX(SPLIT(E647,"" + ""),2)),"""")"),"")</f>
        <v/>
      </c>
      <c r="J647" s="5" t="str">
        <f>IFERROR(__xludf.DUMMYFUNCTION("IFERROR(TRIM(INDEX(SPLIT(E647,"" + ""),3)),"""")"),"")</f>
        <v/>
      </c>
      <c r="K647" s="3">
        <f>IFERROR(__xludf.DUMMYFUNCTION("IFERROR(IF(H647="""",0,INDEX(FILTER($Q$2:Q646,$C$2:C646=H647,$G$2:G646=G647),ROWS(FILTER($Q$2:Q646,$C$2:C646=H647,$G$2:G646=G647)),1)),1500)"),0.0)</f>
        <v>0</v>
      </c>
      <c r="L647" s="3">
        <f>IFERROR(__xludf.DUMMYFUNCTION("IFERROR(IF(I647="""",0,INDEX(FILTER($Q$2:Q646,$C$2:C646=I647,$G$2:G646=G647),ROWS(FILTER($Q$2:Q646,$C$2:C646=I647,$G$2:G646=G647)),1)),1500)"),0.0)</f>
        <v>0</v>
      </c>
      <c r="M647" s="3">
        <f>IFERROR(__xludf.DUMMYFUNCTION("IFERROR(IF(J647="""",0,INDEX(FILTER($Q$2:Q646,$C$2:C646=J647,$G$2:G646=G647),ROWS(FILTER($Q$2:Q646,$C$2:C646=J647,$G$2:G646=G647)),1)),1500)"),0.0)</f>
        <v>0</v>
      </c>
      <c r="N647" s="3">
        <f>IFERROR(__xludf.DUMMYFUNCTION("IFERROR(INDEX(FILTER($Q$2:Q646,$C$2:C646=C647,$G$2:G646=G647),ROWS(FILTER($Q$2:Q646,$C$2:C646=C647,$G$2:G646=G647)),1),1500)"),-552.0)</f>
        <v>-552</v>
      </c>
      <c r="O647" s="3">
        <f t="shared" si="3"/>
        <v>0</v>
      </c>
      <c r="P647" s="9">
        <f t="shared" si="1"/>
        <v>-1</v>
      </c>
      <c r="Q647" s="5">
        <f t="shared" si="2"/>
        <v>-553</v>
      </c>
    </row>
    <row r="648">
      <c r="H648" s="3" t="str">
        <f>IFERROR(__xludf.DUMMYFUNCTION("IFERROR(TRIM(INDEX(SPLIT(E648,"" + ""),1)),"""")"),"")</f>
        <v/>
      </c>
      <c r="I648" s="3" t="str">
        <f>IFERROR(__xludf.DUMMYFUNCTION("IFERROR(TRIM(INDEX(SPLIT(E648,"" + ""),2)),"""")"),"")</f>
        <v/>
      </c>
      <c r="J648" s="5" t="str">
        <f>IFERROR(__xludf.DUMMYFUNCTION("IFERROR(TRIM(INDEX(SPLIT(E648,"" + ""),3)),"""")"),"")</f>
        <v/>
      </c>
      <c r="K648" s="3">
        <f>IFERROR(__xludf.DUMMYFUNCTION("IFERROR(IF(H648="""",0,INDEX(FILTER($Q$2:Q647,$C$2:C647=H648,$G$2:G647=G648),ROWS(FILTER($Q$2:Q647,$C$2:C647=H648,$G$2:G647=G648)),1)),1500)"),0.0)</f>
        <v>0</v>
      </c>
      <c r="L648" s="3">
        <f>IFERROR(__xludf.DUMMYFUNCTION("IFERROR(IF(I648="""",0,INDEX(FILTER($Q$2:Q647,$C$2:C647=I648,$G$2:G647=G648),ROWS(FILTER($Q$2:Q647,$C$2:C647=I648,$G$2:G647=G648)),1)),1500)"),0.0)</f>
        <v>0</v>
      </c>
      <c r="M648" s="3">
        <f>IFERROR(__xludf.DUMMYFUNCTION("IFERROR(IF(J648="""",0,INDEX(FILTER($Q$2:Q647,$C$2:C647=J648,$G$2:G647=G648),ROWS(FILTER($Q$2:Q647,$C$2:C647=J648,$G$2:G647=G648)),1)),1500)"),0.0)</f>
        <v>0</v>
      </c>
      <c r="N648" s="3">
        <f>IFERROR(__xludf.DUMMYFUNCTION("IFERROR(INDEX(FILTER($Q$2:Q647,$C$2:C647=C648,$G$2:G647=G648),ROWS(FILTER($Q$2:Q647,$C$2:C647=C648,$G$2:G647=G648)),1),1500)"),-553.0)</f>
        <v>-553</v>
      </c>
      <c r="O648" s="3">
        <f t="shared" si="3"/>
        <v>0</v>
      </c>
      <c r="P648" s="9">
        <f t="shared" si="1"/>
        <v>-1</v>
      </c>
      <c r="Q648" s="5">
        <f t="shared" si="2"/>
        <v>-554</v>
      </c>
    </row>
    <row r="649">
      <c r="H649" s="3" t="str">
        <f>IFERROR(__xludf.DUMMYFUNCTION("IFERROR(TRIM(INDEX(SPLIT(E649,"" + ""),1)),"""")"),"")</f>
        <v/>
      </c>
      <c r="I649" s="3" t="str">
        <f>IFERROR(__xludf.DUMMYFUNCTION("IFERROR(TRIM(INDEX(SPLIT(E649,"" + ""),2)),"""")"),"")</f>
        <v/>
      </c>
      <c r="J649" s="5" t="str">
        <f>IFERROR(__xludf.DUMMYFUNCTION("IFERROR(TRIM(INDEX(SPLIT(E649,"" + ""),3)),"""")"),"")</f>
        <v/>
      </c>
      <c r="K649" s="3">
        <f>IFERROR(__xludf.DUMMYFUNCTION("IFERROR(IF(H649="""",0,INDEX(FILTER($Q$2:Q648,$C$2:C648=H649,$G$2:G648=G649),ROWS(FILTER($Q$2:Q648,$C$2:C648=H649,$G$2:G648=G649)),1)),1500)"),0.0)</f>
        <v>0</v>
      </c>
      <c r="L649" s="3">
        <f>IFERROR(__xludf.DUMMYFUNCTION("IFERROR(IF(I649="""",0,INDEX(FILTER($Q$2:Q648,$C$2:C648=I649,$G$2:G648=G649),ROWS(FILTER($Q$2:Q648,$C$2:C648=I649,$G$2:G648=G649)),1)),1500)"),0.0)</f>
        <v>0</v>
      </c>
      <c r="M649" s="3">
        <f>IFERROR(__xludf.DUMMYFUNCTION("IFERROR(IF(J649="""",0,INDEX(FILTER($Q$2:Q648,$C$2:C648=J649,$G$2:G648=G649),ROWS(FILTER($Q$2:Q648,$C$2:C648=J649,$G$2:G648=G649)),1)),1500)"),0.0)</f>
        <v>0</v>
      </c>
      <c r="N649" s="3">
        <f>IFERROR(__xludf.DUMMYFUNCTION("IFERROR(INDEX(FILTER($Q$2:Q648,$C$2:C648=C649,$G$2:G648=G649),ROWS(FILTER($Q$2:Q648,$C$2:C648=C649,$G$2:G648=G649)),1),1500)"),-554.0)</f>
        <v>-554</v>
      </c>
      <c r="O649" s="3">
        <f t="shared" si="3"/>
        <v>0</v>
      </c>
      <c r="P649" s="9">
        <f t="shared" si="1"/>
        <v>-1</v>
      </c>
      <c r="Q649" s="5">
        <f t="shared" si="2"/>
        <v>-555</v>
      </c>
    </row>
    <row r="650">
      <c r="H650" s="3" t="str">
        <f>IFERROR(__xludf.DUMMYFUNCTION("IFERROR(TRIM(INDEX(SPLIT(E650,"" + ""),1)),"""")"),"")</f>
        <v/>
      </c>
      <c r="I650" s="3" t="str">
        <f>IFERROR(__xludf.DUMMYFUNCTION("IFERROR(TRIM(INDEX(SPLIT(E650,"" + ""),2)),"""")"),"")</f>
        <v/>
      </c>
      <c r="J650" s="5" t="str">
        <f>IFERROR(__xludf.DUMMYFUNCTION("IFERROR(TRIM(INDEX(SPLIT(E650,"" + ""),3)),"""")"),"")</f>
        <v/>
      </c>
      <c r="K650" s="3">
        <f>IFERROR(__xludf.DUMMYFUNCTION("IFERROR(IF(H650="""",0,INDEX(FILTER($Q$2:Q649,$C$2:C649=H650,$G$2:G649=G650),ROWS(FILTER($Q$2:Q649,$C$2:C649=H650,$G$2:G649=G650)),1)),1500)"),0.0)</f>
        <v>0</v>
      </c>
      <c r="L650" s="3">
        <f>IFERROR(__xludf.DUMMYFUNCTION("IFERROR(IF(I650="""",0,INDEX(FILTER($Q$2:Q649,$C$2:C649=I650,$G$2:G649=G650),ROWS(FILTER($Q$2:Q649,$C$2:C649=I650,$G$2:G649=G650)),1)),1500)"),0.0)</f>
        <v>0</v>
      </c>
      <c r="M650" s="3">
        <f>IFERROR(__xludf.DUMMYFUNCTION("IFERROR(IF(J650="""",0,INDEX(FILTER($Q$2:Q649,$C$2:C649=J650,$G$2:G649=G650),ROWS(FILTER($Q$2:Q649,$C$2:C649=J650,$G$2:G649=G650)),1)),1500)"),0.0)</f>
        <v>0</v>
      </c>
      <c r="N650" s="3">
        <f>IFERROR(__xludf.DUMMYFUNCTION("IFERROR(INDEX(FILTER($Q$2:Q649,$C$2:C649=C650,$G$2:G649=G650),ROWS(FILTER($Q$2:Q649,$C$2:C649=C650,$G$2:G649=G650)),1),1500)"),-555.0)</f>
        <v>-555</v>
      </c>
      <c r="O650" s="3">
        <f t="shared" si="3"/>
        <v>0</v>
      </c>
      <c r="P650" s="9">
        <f t="shared" si="1"/>
        <v>-1</v>
      </c>
      <c r="Q650" s="5">
        <f t="shared" si="2"/>
        <v>-556</v>
      </c>
    </row>
    <row r="651">
      <c r="H651" s="3" t="str">
        <f>IFERROR(__xludf.DUMMYFUNCTION("IFERROR(TRIM(INDEX(SPLIT(E651,"" + ""),1)),"""")"),"")</f>
        <v/>
      </c>
      <c r="I651" s="3" t="str">
        <f>IFERROR(__xludf.DUMMYFUNCTION("IFERROR(TRIM(INDEX(SPLIT(E651,"" + ""),2)),"""")"),"")</f>
        <v/>
      </c>
      <c r="J651" s="5" t="str">
        <f>IFERROR(__xludf.DUMMYFUNCTION("IFERROR(TRIM(INDEX(SPLIT(E651,"" + ""),3)),"""")"),"")</f>
        <v/>
      </c>
      <c r="K651" s="3">
        <f>IFERROR(__xludf.DUMMYFUNCTION("IFERROR(IF(H651="""",0,INDEX(FILTER($Q$2:Q650,$C$2:C650=H651,$G$2:G650=G651),ROWS(FILTER($Q$2:Q650,$C$2:C650=H651,$G$2:G650=G651)),1)),1500)"),0.0)</f>
        <v>0</v>
      </c>
      <c r="L651" s="3">
        <f>IFERROR(__xludf.DUMMYFUNCTION("IFERROR(IF(I651="""",0,INDEX(FILTER($Q$2:Q650,$C$2:C650=I651,$G$2:G650=G651),ROWS(FILTER($Q$2:Q650,$C$2:C650=I651,$G$2:G650=G651)),1)),1500)"),0.0)</f>
        <v>0</v>
      </c>
      <c r="M651" s="3">
        <f>IFERROR(__xludf.DUMMYFUNCTION("IFERROR(IF(J651="""",0,INDEX(FILTER($Q$2:Q650,$C$2:C650=J651,$G$2:G650=G651),ROWS(FILTER($Q$2:Q650,$C$2:C650=J651,$G$2:G650=G651)),1)),1500)"),0.0)</f>
        <v>0</v>
      </c>
      <c r="N651" s="3">
        <f>IFERROR(__xludf.DUMMYFUNCTION("IFERROR(INDEX(FILTER($Q$2:Q650,$C$2:C650=C651,$G$2:G650=G651),ROWS(FILTER($Q$2:Q650,$C$2:C650=C651,$G$2:G650=G651)),1),1500)"),-556.0)</f>
        <v>-556</v>
      </c>
      <c r="O651" s="3">
        <f t="shared" si="3"/>
        <v>0</v>
      </c>
      <c r="P651" s="9">
        <f t="shared" si="1"/>
        <v>-1</v>
      </c>
      <c r="Q651" s="5">
        <f t="shared" si="2"/>
        <v>-557</v>
      </c>
    </row>
    <row r="652">
      <c r="H652" s="3" t="str">
        <f>IFERROR(__xludf.DUMMYFUNCTION("IFERROR(TRIM(INDEX(SPLIT(E652,"" + ""),1)),"""")"),"")</f>
        <v/>
      </c>
      <c r="I652" s="3" t="str">
        <f>IFERROR(__xludf.DUMMYFUNCTION("IFERROR(TRIM(INDEX(SPLIT(E652,"" + ""),2)),"""")"),"")</f>
        <v/>
      </c>
      <c r="J652" s="5" t="str">
        <f>IFERROR(__xludf.DUMMYFUNCTION("IFERROR(TRIM(INDEX(SPLIT(E652,"" + ""),3)),"""")"),"")</f>
        <v/>
      </c>
      <c r="K652" s="3">
        <f>IFERROR(__xludf.DUMMYFUNCTION("IFERROR(IF(H652="""",0,INDEX(FILTER($Q$2:Q651,$C$2:C651=H652,$G$2:G651=G652),ROWS(FILTER($Q$2:Q651,$C$2:C651=H652,$G$2:G651=G652)),1)),1500)"),0.0)</f>
        <v>0</v>
      </c>
      <c r="L652" s="3">
        <f>IFERROR(__xludf.DUMMYFUNCTION("IFERROR(IF(I652="""",0,INDEX(FILTER($Q$2:Q651,$C$2:C651=I652,$G$2:G651=G652),ROWS(FILTER($Q$2:Q651,$C$2:C651=I652,$G$2:G651=G652)),1)),1500)"),0.0)</f>
        <v>0</v>
      </c>
      <c r="M652" s="3">
        <f>IFERROR(__xludf.DUMMYFUNCTION("IFERROR(IF(J652="""",0,INDEX(FILTER($Q$2:Q651,$C$2:C651=J652,$G$2:G651=G652),ROWS(FILTER($Q$2:Q651,$C$2:C651=J652,$G$2:G651=G652)),1)),1500)"),0.0)</f>
        <v>0</v>
      </c>
      <c r="N652" s="3">
        <f>IFERROR(__xludf.DUMMYFUNCTION("IFERROR(INDEX(FILTER($Q$2:Q651,$C$2:C651=C652,$G$2:G651=G652),ROWS(FILTER($Q$2:Q651,$C$2:C651=C652,$G$2:G651=G652)),1),1500)"),-557.0)</f>
        <v>-557</v>
      </c>
      <c r="O652" s="3">
        <f t="shared" si="3"/>
        <v>0</v>
      </c>
      <c r="P652" s="9">
        <f t="shared" si="1"/>
        <v>-1</v>
      </c>
      <c r="Q652" s="5">
        <f t="shared" si="2"/>
        <v>-558</v>
      </c>
    </row>
    <row r="653">
      <c r="H653" s="3" t="str">
        <f>IFERROR(__xludf.DUMMYFUNCTION("IFERROR(TRIM(INDEX(SPLIT(E653,"" + ""),1)),"""")"),"")</f>
        <v/>
      </c>
      <c r="I653" s="3" t="str">
        <f>IFERROR(__xludf.DUMMYFUNCTION("IFERROR(TRIM(INDEX(SPLIT(E653,"" + ""),2)),"""")"),"")</f>
        <v/>
      </c>
      <c r="J653" s="5" t="str">
        <f>IFERROR(__xludf.DUMMYFUNCTION("IFERROR(TRIM(INDEX(SPLIT(E653,"" + ""),3)),"""")"),"")</f>
        <v/>
      </c>
      <c r="K653" s="3">
        <f>IFERROR(__xludf.DUMMYFUNCTION("IFERROR(IF(H653="""",0,INDEX(FILTER($Q$2:Q652,$C$2:C652=H653,$G$2:G652=G653),ROWS(FILTER($Q$2:Q652,$C$2:C652=H653,$G$2:G652=G653)),1)),1500)"),0.0)</f>
        <v>0</v>
      </c>
      <c r="L653" s="3">
        <f>IFERROR(__xludf.DUMMYFUNCTION("IFERROR(IF(I653="""",0,INDEX(FILTER($Q$2:Q652,$C$2:C652=I653,$G$2:G652=G653),ROWS(FILTER($Q$2:Q652,$C$2:C652=I653,$G$2:G652=G653)),1)),1500)"),0.0)</f>
        <v>0</v>
      </c>
      <c r="M653" s="3">
        <f>IFERROR(__xludf.DUMMYFUNCTION("IFERROR(IF(J653="""",0,INDEX(FILTER($Q$2:Q652,$C$2:C652=J653,$G$2:G652=G653),ROWS(FILTER($Q$2:Q652,$C$2:C652=J653,$G$2:G652=G653)),1)),1500)"),0.0)</f>
        <v>0</v>
      </c>
      <c r="N653" s="3">
        <f>IFERROR(__xludf.DUMMYFUNCTION("IFERROR(INDEX(FILTER($Q$2:Q652,$C$2:C652=C653,$G$2:G652=G653),ROWS(FILTER($Q$2:Q652,$C$2:C652=C653,$G$2:G652=G653)),1),1500)"),-558.0)</f>
        <v>-558</v>
      </c>
      <c r="O653" s="3">
        <f t="shared" si="3"/>
        <v>0</v>
      </c>
      <c r="P653" s="9">
        <f t="shared" si="1"/>
        <v>-1</v>
      </c>
      <c r="Q653" s="5">
        <f t="shared" si="2"/>
        <v>-559</v>
      </c>
    </row>
    <row r="654">
      <c r="H654" s="3" t="str">
        <f>IFERROR(__xludf.DUMMYFUNCTION("IFERROR(TRIM(INDEX(SPLIT(E654,"" + ""),1)),"""")"),"")</f>
        <v/>
      </c>
      <c r="I654" s="3" t="str">
        <f>IFERROR(__xludf.DUMMYFUNCTION("IFERROR(TRIM(INDEX(SPLIT(E654,"" + ""),2)),"""")"),"")</f>
        <v/>
      </c>
      <c r="J654" s="5" t="str">
        <f>IFERROR(__xludf.DUMMYFUNCTION("IFERROR(TRIM(INDEX(SPLIT(E654,"" + ""),3)),"""")"),"")</f>
        <v/>
      </c>
      <c r="K654" s="3">
        <f>IFERROR(__xludf.DUMMYFUNCTION("IFERROR(IF(H654="""",0,INDEX(FILTER($Q$2:Q653,$C$2:C653=H654,$G$2:G653=G654),ROWS(FILTER($Q$2:Q653,$C$2:C653=H654,$G$2:G653=G654)),1)),1500)"),0.0)</f>
        <v>0</v>
      </c>
      <c r="L654" s="3">
        <f>IFERROR(__xludf.DUMMYFUNCTION("IFERROR(IF(I654="""",0,INDEX(FILTER($Q$2:Q653,$C$2:C653=I654,$G$2:G653=G654),ROWS(FILTER($Q$2:Q653,$C$2:C653=I654,$G$2:G653=G654)),1)),1500)"),0.0)</f>
        <v>0</v>
      </c>
      <c r="M654" s="3">
        <f>IFERROR(__xludf.DUMMYFUNCTION("IFERROR(IF(J654="""",0,INDEX(FILTER($Q$2:Q653,$C$2:C653=J654,$G$2:G653=G654),ROWS(FILTER($Q$2:Q653,$C$2:C653=J654,$G$2:G653=G654)),1)),1500)"),0.0)</f>
        <v>0</v>
      </c>
      <c r="N654" s="3">
        <f>IFERROR(__xludf.DUMMYFUNCTION("IFERROR(INDEX(FILTER($Q$2:Q653,$C$2:C653=C654,$G$2:G653=G654),ROWS(FILTER($Q$2:Q653,$C$2:C653=C654,$G$2:G653=G654)),1),1500)"),-559.0)</f>
        <v>-559</v>
      </c>
      <c r="O654" s="3">
        <f t="shared" si="3"/>
        <v>0</v>
      </c>
      <c r="P654" s="9">
        <f t="shared" si="1"/>
        <v>-1</v>
      </c>
      <c r="Q654" s="5">
        <f t="shared" si="2"/>
        <v>-560</v>
      </c>
    </row>
    <row r="655">
      <c r="H655" s="3" t="str">
        <f>IFERROR(__xludf.DUMMYFUNCTION("IFERROR(TRIM(INDEX(SPLIT(E655,"" + ""),1)),"""")"),"")</f>
        <v/>
      </c>
      <c r="I655" s="3" t="str">
        <f>IFERROR(__xludf.DUMMYFUNCTION("IFERROR(TRIM(INDEX(SPLIT(E655,"" + ""),2)),"""")"),"")</f>
        <v/>
      </c>
      <c r="J655" s="5" t="str">
        <f>IFERROR(__xludf.DUMMYFUNCTION("IFERROR(TRIM(INDEX(SPLIT(E655,"" + ""),3)),"""")"),"")</f>
        <v/>
      </c>
      <c r="K655" s="3">
        <f>IFERROR(__xludf.DUMMYFUNCTION("IFERROR(IF(H655="""",0,INDEX(FILTER($Q$2:Q654,$C$2:C654=H655,$G$2:G654=G655),ROWS(FILTER($Q$2:Q654,$C$2:C654=H655,$G$2:G654=G655)),1)),1500)"),0.0)</f>
        <v>0</v>
      </c>
      <c r="L655" s="3">
        <f>IFERROR(__xludf.DUMMYFUNCTION("IFERROR(IF(I655="""",0,INDEX(FILTER($Q$2:Q654,$C$2:C654=I655,$G$2:G654=G655),ROWS(FILTER($Q$2:Q654,$C$2:C654=I655,$G$2:G654=G655)),1)),1500)"),0.0)</f>
        <v>0</v>
      </c>
      <c r="M655" s="3">
        <f>IFERROR(__xludf.DUMMYFUNCTION("IFERROR(IF(J655="""",0,INDEX(FILTER($Q$2:Q654,$C$2:C654=J655,$G$2:G654=G655),ROWS(FILTER($Q$2:Q654,$C$2:C654=J655,$G$2:G654=G655)),1)),1500)"),0.0)</f>
        <v>0</v>
      </c>
      <c r="N655" s="3">
        <f>IFERROR(__xludf.DUMMYFUNCTION("IFERROR(INDEX(FILTER($Q$2:Q654,$C$2:C654=C655,$G$2:G654=G655),ROWS(FILTER($Q$2:Q654,$C$2:C654=C655,$G$2:G654=G655)),1),1500)"),-560.0)</f>
        <v>-560</v>
      </c>
      <c r="O655" s="3">
        <f t="shared" si="3"/>
        <v>0</v>
      </c>
      <c r="P655" s="9">
        <f t="shared" si="1"/>
        <v>-1</v>
      </c>
      <c r="Q655" s="5">
        <f t="shared" si="2"/>
        <v>-561</v>
      </c>
    </row>
    <row r="656">
      <c r="H656" s="3" t="str">
        <f>IFERROR(__xludf.DUMMYFUNCTION("IFERROR(TRIM(INDEX(SPLIT(E656,"" + ""),1)),"""")"),"")</f>
        <v/>
      </c>
      <c r="I656" s="3" t="str">
        <f>IFERROR(__xludf.DUMMYFUNCTION("IFERROR(TRIM(INDEX(SPLIT(E656,"" + ""),2)),"""")"),"")</f>
        <v/>
      </c>
      <c r="J656" s="5" t="str">
        <f>IFERROR(__xludf.DUMMYFUNCTION("IFERROR(TRIM(INDEX(SPLIT(E656,"" + ""),3)),"""")"),"")</f>
        <v/>
      </c>
      <c r="K656" s="3">
        <f>IFERROR(__xludf.DUMMYFUNCTION("IFERROR(IF(H656="""",0,INDEX(FILTER($Q$2:Q655,$C$2:C655=H656,$G$2:G655=G656),ROWS(FILTER($Q$2:Q655,$C$2:C655=H656,$G$2:G655=G656)),1)),1500)"),0.0)</f>
        <v>0</v>
      </c>
      <c r="L656" s="3">
        <f>IFERROR(__xludf.DUMMYFUNCTION("IFERROR(IF(I656="""",0,INDEX(FILTER($Q$2:Q655,$C$2:C655=I656,$G$2:G655=G656),ROWS(FILTER($Q$2:Q655,$C$2:C655=I656,$G$2:G655=G656)),1)),1500)"),0.0)</f>
        <v>0</v>
      </c>
      <c r="M656" s="3">
        <f>IFERROR(__xludf.DUMMYFUNCTION("IFERROR(IF(J656="""",0,INDEX(FILTER($Q$2:Q655,$C$2:C655=J656,$G$2:G655=G656),ROWS(FILTER($Q$2:Q655,$C$2:C655=J656,$G$2:G655=G656)),1)),1500)"),0.0)</f>
        <v>0</v>
      </c>
      <c r="N656" s="3">
        <f>IFERROR(__xludf.DUMMYFUNCTION("IFERROR(INDEX(FILTER($Q$2:Q655,$C$2:C655=C656,$G$2:G655=G656),ROWS(FILTER($Q$2:Q655,$C$2:C655=C656,$G$2:G655=G656)),1),1500)"),-561.0)</f>
        <v>-561</v>
      </c>
      <c r="O656" s="3">
        <f t="shared" si="3"/>
        <v>0</v>
      </c>
      <c r="P656" s="9">
        <f t="shared" si="1"/>
        <v>-1</v>
      </c>
      <c r="Q656" s="5">
        <f t="shared" si="2"/>
        <v>-562</v>
      </c>
    </row>
    <row r="657">
      <c r="H657" s="3" t="str">
        <f>IFERROR(__xludf.DUMMYFUNCTION("IFERROR(TRIM(INDEX(SPLIT(E657,"" + ""),1)),"""")"),"")</f>
        <v/>
      </c>
      <c r="I657" s="3" t="str">
        <f>IFERROR(__xludf.DUMMYFUNCTION("IFERROR(TRIM(INDEX(SPLIT(E657,"" + ""),2)),"""")"),"")</f>
        <v/>
      </c>
      <c r="J657" s="5" t="str">
        <f>IFERROR(__xludf.DUMMYFUNCTION("IFERROR(TRIM(INDEX(SPLIT(E657,"" + ""),3)),"""")"),"")</f>
        <v/>
      </c>
      <c r="K657" s="3">
        <f>IFERROR(__xludf.DUMMYFUNCTION("IFERROR(IF(H657="""",0,INDEX(FILTER($Q$2:Q656,$C$2:C656=H657,$G$2:G656=G657),ROWS(FILTER($Q$2:Q656,$C$2:C656=H657,$G$2:G656=G657)),1)),1500)"),0.0)</f>
        <v>0</v>
      </c>
      <c r="L657" s="3">
        <f>IFERROR(__xludf.DUMMYFUNCTION("IFERROR(IF(I657="""",0,INDEX(FILTER($Q$2:Q656,$C$2:C656=I657,$G$2:G656=G657),ROWS(FILTER($Q$2:Q656,$C$2:C656=I657,$G$2:G656=G657)),1)),1500)"),0.0)</f>
        <v>0</v>
      </c>
      <c r="M657" s="3">
        <f>IFERROR(__xludf.DUMMYFUNCTION("IFERROR(IF(J657="""",0,INDEX(FILTER($Q$2:Q656,$C$2:C656=J657,$G$2:G656=G657),ROWS(FILTER($Q$2:Q656,$C$2:C656=J657,$G$2:G656=G657)),1)),1500)"),0.0)</f>
        <v>0</v>
      </c>
      <c r="N657" s="3">
        <f>IFERROR(__xludf.DUMMYFUNCTION("IFERROR(INDEX(FILTER($Q$2:Q656,$C$2:C656=C657,$G$2:G656=G657),ROWS(FILTER($Q$2:Q656,$C$2:C656=C657,$G$2:G656=G657)),1),1500)"),-562.0)</f>
        <v>-562</v>
      </c>
      <c r="O657" s="3">
        <f t="shared" si="3"/>
        <v>0</v>
      </c>
      <c r="P657" s="9">
        <f t="shared" si="1"/>
        <v>-1</v>
      </c>
      <c r="Q657" s="5">
        <f t="shared" si="2"/>
        <v>-563</v>
      </c>
    </row>
    <row r="658">
      <c r="H658" s="3" t="str">
        <f>IFERROR(__xludf.DUMMYFUNCTION("IFERROR(TRIM(INDEX(SPLIT(E658,"" + ""),1)),"""")"),"")</f>
        <v/>
      </c>
      <c r="I658" s="3" t="str">
        <f>IFERROR(__xludf.DUMMYFUNCTION("IFERROR(TRIM(INDEX(SPLIT(E658,"" + ""),2)),"""")"),"")</f>
        <v/>
      </c>
      <c r="J658" s="5" t="str">
        <f>IFERROR(__xludf.DUMMYFUNCTION("IFERROR(TRIM(INDEX(SPLIT(E658,"" + ""),3)),"""")"),"")</f>
        <v/>
      </c>
      <c r="K658" s="3">
        <f>IFERROR(__xludf.DUMMYFUNCTION("IFERROR(IF(H658="""",0,INDEX(FILTER($Q$2:Q657,$C$2:C657=H658,$G$2:G657=G658),ROWS(FILTER($Q$2:Q657,$C$2:C657=H658,$G$2:G657=G658)),1)),1500)"),0.0)</f>
        <v>0</v>
      </c>
      <c r="L658" s="3">
        <f>IFERROR(__xludf.DUMMYFUNCTION("IFERROR(IF(I658="""",0,INDEX(FILTER($Q$2:Q657,$C$2:C657=I658,$G$2:G657=G658),ROWS(FILTER($Q$2:Q657,$C$2:C657=I658,$G$2:G657=G658)),1)),1500)"),0.0)</f>
        <v>0</v>
      </c>
      <c r="M658" s="3">
        <f>IFERROR(__xludf.DUMMYFUNCTION("IFERROR(IF(J658="""",0,INDEX(FILTER($Q$2:Q657,$C$2:C657=J658,$G$2:G657=G658),ROWS(FILTER($Q$2:Q657,$C$2:C657=J658,$G$2:G657=G658)),1)),1500)"),0.0)</f>
        <v>0</v>
      </c>
      <c r="N658" s="3">
        <f>IFERROR(__xludf.DUMMYFUNCTION("IFERROR(INDEX(FILTER($Q$2:Q657,$C$2:C657=C658,$G$2:G657=G658),ROWS(FILTER($Q$2:Q657,$C$2:C657=C658,$G$2:G657=G658)),1),1500)"),-563.0)</f>
        <v>-563</v>
      </c>
      <c r="O658" s="3">
        <f t="shared" si="3"/>
        <v>0</v>
      </c>
      <c r="P658" s="9">
        <f t="shared" si="1"/>
        <v>-1</v>
      </c>
      <c r="Q658" s="5">
        <f t="shared" si="2"/>
        <v>-564</v>
      </c>
    </row>
    <row r="659">
      <c r="H659" s="3" t="str">
        <f>IFERROR(__xludf.DUMMYFUNCTION("IFERROR(TRIM(INDEX(SPLIT(E659,"" + ""),1)),"""")"),"")</f>
        <v/>
      </c>
      <c r="I659" s="3" t="str">
        <f>IFERROR(__xludf.DUMMYFUNCTION("IFERROR(TRIM(INDEX(SPLIT(E659,"" + ""),2)),"""")"),"")</f>
        <v/>
      </c>
      <c r="J659" s="5" t="str">
        <f>IFERROR(__xludf.DUMMYFUNCTION("IFERROR(TRIM(INDEX(SPLIT(E659,"" + ""),3)),"""")"),"")</f>
        <v/>
      </c>
      <c r="K659" s="3">
        <f>IFERROR(__xludf.DUMMYFUNCTION("IFERROR(IF(H659="""",0,INDEX(FILTER($Q$2:Q658,$C$2:C658=H659,$G$2:G658=G659),ROWS(FILTER($Q$2:Q658,$C$2:C658=H659,$G$2:G658=G659)),1)),1500)"),0.0)</f>
        <v>0</v>
      </c>
      <c r="L659" s="3">
        <f>IFERROR(__xludf.DUMMYFUNCTION("IFERROR(IF(I659="""",0,INDEX(FILTER($Q$2:Q658,$C$2:C658=I659,$G$2:G658=G659),ROWS(FILTER($Q$2:Q658,$C$2:C658=I659,$G$2:G658=G659)),1)),1500)"),0.0)</f>
        <v>0</v>
      </c>
      <c r="M659" s="3">
        <f>IFERROR(__xludf.DUMMYFUNCTION("IFERROR(IF(J659="""",0,INDEX(FILTER($Q$2:Q658,$C$2:C658=J659,$G$2:G658=G659),ROWS(FILTER($Q$2:Q658,$C$2:C658=J659,$G$2:G658=G659)),1)),1500)"),0.0)</f>
        <v>0</v>
      </c>
      <c r="N659" s="3">
        <f>IFERROR(__xludf.DUMMYFUNCTION("IFERROR(INDEX(FILTER($Q$2:Q658,$C$2:C658=C659,$G$2:G658=G659),ROWS(FILTER($Q$2:Q658,$C$2:C658=C659,$G$2:G658=G659)),1),1500)"),-564.0)</f>
        <v>-564</v>
      </c>
      <c r="O659" s="3">
        <f t="shared" si="3"/>
        <v>0</v>
      </c>
      <c r="P659" s="9">
        <f t="shared" si="1"/>
        <v>-1</v>
      </c>
      <c r="Q659" s="5">
        <f t="shared" si="2"/>
        <v>-565</v>
      </c>
    </row>
    <row r="660">
      <c r="H660" s="3" t="str">
        <f>IFERROR(__xludf.DUMMYFUNCTION("IFERROR(TRIM(INDEX(SPLIT(E660,"" + ""),1)),"""")"),"")</f>
        <v/>
      </c>
      <c r="I660" s="3" t="str">
        <f>IFERROR(__xludf.DUMMYFUNCTION("IFERROR(TRIM(INDEX(SPLIT(E660,"" + ""),2)),"""")"),"")</f>
        <v/>
      </c>
      <c r="J660" s="5" t="str">
        <f>IFERROR(__xludf.DUMMYFUNCTION("IFERROR(TRIM(INDEX(SPLIT(E660,"" + ""),3)),"""")"),"")</f>
        <v/>
      </c>
      <c r="K660" s="3">
        <f>IFERROR(__xludf.DUMMYFUNCTION("IFERROR(IF(H660="""",0,INDEX(FILTER($Q$2:Q659,$C$2:C659=H660,$G$2:G659=G660),ROWS(FILTER($Q$2:Q659,$C$2:C659=H660,$G$2:G659=G660)),1)),1500)"),0.0)</f>
        <v>0</v>
      </c>
      <c r="L660" s="3">
        <f>IFERROR(__xludf.DUMMYFUNCTION("IFERROR(IF(I660="""",0,INDEX(FILTER($Q$2:Q659,$C$2:C659=I660,$G$2:G659=G660),ROWS(FILTER($Q$2:Q659,$C$2:C659=I660,$G$2:G659=G660)),1)),1500)"),0.0)</f>
        <v>0</v>
      </c>
      <c r="M660" s="3">
        <f>IFERROR(__xludf.DUMMYFUNCTION("IFERROR(IF(J660="""",0,INDEX(FILTER($Q$2:Q659,$C$2:C659=J660,$G$2:G659=G660),ROWS(FILTER($Q$2:Q659,$C$2:C659=J660,$G$2:G659=G660)),1)),1500)"),0.0)</f>
        <v>0</v>
      </c>
      <c r="N660" s="3">
        <f>IFERROR(__xludf.DUMMYFUNCTION("IFERROR(INDEX(FILTER($Q$2:Q659,$C$2:C659=C660,$G$2:G659=G660),ROWS(FILTER($Q$2:Q659,$C$2:C659=C660,$G$2:G659=G660)),1),1500)"),-565.0)</f>
        <v>-565</v>
      </c>
      <c r="O660" s="3">
        <f t="shared" si="3"/>
        <v>0</v>
      </c>
      <c r="P660" s="9">
        <f t="shared" si="1"/>
        <v>-1</v>
      </c>
      <c r="Q660" s="5">
        <f t="shared" si="2"/>
        <v>-566</v>
      </c>
    </row>
    <row r="661">
      <c r="H661" s="3" t="str">
        <f>IFERROR(__xludf.DUMMYFUNCTION("IFERROR(TRIM(INDEX(SPLIT(E661,"" + ""),1)),"""")"),"")</f>
        <v/>
      </c>
      <c r="I661" s="3" t="str">
        <f>IFERROR(__xludf.DUMMYFUNCTION("IFERROR(TRIM(INDEX(SPLIT(E661,"" + ""),2)),"""")"),"")</f>
        <v/>
      </c>
      <c r="J661" s="5" t="str">
        <f>IFERROR(__xludf.DUMMYFUNCTION("IFERROR(TRIM(INDEX(SPLIT(E661,"" + ""),3)),"""")"),"")</f>
        <v/>
      </c>
      <c r="K661" s="3">
        <f>IFERROR(__xludf.DUMMYFUNCTION("IFERROR(IF(H661="""",0,INDEX(FILTER($Q$2:Q660,$C$2:C660=H661,$G$2:G660=G661),ROWS(FILTER($Q$2:Q660,$C$2:C660=H661,$G$2:G660=G661)),1)),1500)"),0.0)</f>
        <v>0</v>
      </c>
      <c r="L661" s="3">
        <f>IFERROR(__xludf.DUMMYFUNCTION("IFERROR(IF(I661="""",0,INDEX(FILTER($Q$2:Q660,$C$2:C660=I661,$G$2:G660=G661),ROWS(FILTER($Q$2:Q660,$C$2:C660=I661,$G$2:G660=G661)),1)),1500)"),0.0)</f>
        <v>0</v>
      </c>
      <c r="M661" s="3">
        <f>IFERROR(__xludf.DUMMYFUNCTION("IFERROR(IF(J661="""",0,INDEX(FILTER($Q$2:Q660,$C$2:C660=J661,$G$2:G660=G661),ROWS(FILTER($Q$2:Q660,$C$2:C660=J661,$G$2:G660=G661)),1)),1500)"),0.0)</f>
        <v>0</v>
      </c>
      <c r="N661" s="3">
        <f>IFERROR(__xludf.DUMMYFUNCTION("IFERROR(INDEX(FILTER($Q$2:Q660,$C$2:C660=C661,$G$2:G660=G661),ROWS(FILTER($Q$2:Q660,$C$2:C660=C661,$G$2:G660=G661)),1),1500)"),-566.0)</f>
        <v>-566</v>
      </c>
      <c r="O661" s="3">
        <f t="shared" si="3"/>
        <v>0</v>
      </c>
      <c r="P661" s="9">
        <f t="shared" si="1"/>
        <v>-1</v>
      </c>
      <c r="Q661" s="5">
        <f t="shared" si="2"/>
        <v>-567</v>
      </c>
    </row>
    <row r="662">
      <c r="H662" s="3" t="str">
        <f>IFERROR(__xludf.DUMMYFUNCTION("IFERROR(TRIM(INDEX(SPLIT(E662,"" + ""),1)),"""")"),"")</f>
        <v/>
      </c>
      <c r="I662" s="3" t="str">
        <f>IFERROR(__xludf.DUMMYFUNCTION("IFERROR(TRIM(INDEX(SPLIT(E662,"" + ""),2)),"""")"),"")</f>
        <v/>
      </c>
      <c r="J662" s="5" t="str">
        <f>IFERROR(__xludf.DUMMYFUNCTION("IFERROR(TRIM(INDEX(SPLIT(E662,"" + ""),3)),"""")"),"")</f>
        <v/>
      </c>
      <c r="K662" s="3">
        <f>IFERROR(__xludf.DUMMYFUNCTION("IFERROR(IF(H662="""",0,INDEX(FILTER($Q$2:Q661,$C$2:C661=H662,$G$2:G661=G662),ROWS(FILTER($Q$2:Q661,$C$2:C661=H662,$G$2:G661=G662)),1)),1500)"),0.0)</f>
        <v>0</v>
      </c>
      <c r="L662" s="3">
        <f>IFERROR(__xludf.DUMMYFUNCTION("IFERROR(IF(I662="""",0,INDEX(FILTER($Q$2:Q661,$C$2:C661=I662,$G$2:G661=G662),ROWS(FILTER($Q$2:Q661,$C$2:C661=I662,$G$2:G661=G662)),1)),1500)"),0.0)</f>
        <v>0</v>
      </c>
      <c r="M662" s="3">
        <f>IFERROR(__xludf.DUMMYFUNCTION("IFERROR(IF(J662="""",0,INDEX(FILTER($Q$2:Q661,$C$2:C661=J662,$G$2:G661=G662),ROWS(FILTER($Q$2:Q661,$C$2:C661=J662,$G$2:G661=G662)),1)),1500)"),0.0)</f>
        <v>0</v>
      </c>
      <c r="N662" s="3">
        <f>IFERROR(__xludf.DUMMYFUNCTION("IFERROR(INDEX(FILTER($Q$2:Q661,$C$2:C661=C662,$G$2:G661=G662),ROWS(FILTER($Q$2:Q661,$C$2:C661=C662,$G$2:G661=G662)),1),1500)"),-567.0)</f>
        <v>-567</v>
      </c>
      <c r="O662" s="3">
        <f t="shared" si="3"/>
        <v>0</v>
      </c>
      <c r="P662" s="9">
        <f t="shared" si="1"/>
        <v>-1</v>
      </c>
      <c r="Q662" s="5">
        <f t="shared" si="2"/>
        <v>-568</v>
      </c>
    </row>
    <row r="663">
      <c r="H663" s="3" t="str">
        <f>IFERROR(__xludf.DUMMYFUNCTION("IFERROR(TRIM(INDEX(SPLIT(E663,"" + ""),1)),"""")"),"")</f>
        <v/>
      </c>
      <c r="I663" s="3" t="str">
        <f>IFERROR(__xludf.DUMMYFUNCTION("IFERROR(TRIM(INDEX(SPLIT(E663,"" + ""),2)),"""")"),"")</f>
        <v/>
      </c>
      <c r="J663" s="5" t="str">
        <f>IFERROR(__xludf.DUMMYFUNCTION("IFERROR(TRIM(INDEX(SPLIT(E663,"" + ""),3)),"""")"),"")</f>
        <v/>
      </c>
      <c r="K663" s="3">
        <f>IFERROR(__xludf.DUMMYFUNCTION("IFERROR(IF(H663="""",0,INDEX(FILTER($Q$2:Q662,$C$2:C662=H663,$G$2:G662=G663),ROWS(FILTER($Q$2:Q662,$C$2:C662=H663,$G$2:G662=G663)),1)),1500)"),0.0)</f>
        <v>0</v>
      </c>
      <c r="L663" s="3">
        <f>IFERROR(__xludf.DUMMYFUNCTION("IFERROR(IF(I663="""",0,INDEX(FILTER($Q$2:Q662,$C$2:C662=I663,$G$2:G662=G663),ROWS(FILTER($Q$2:Q662,$C$2:C662=I663,$G$2:G662=G663)),1)),1500)"),0.0)</f>
        <v>0</v>
      </c>
      <c r="M663" s="3">
        <f>IFERROR(__xludf.DUMMYFUNCTION("IFERROR(IF(J663="""",0,INDEX(FILTER($Q$2:Q662,$C$2:C662=J663,$G$2:G662=G663),ROWS(FILTER($Q$2:Q662,$C$2:C662=J663,$G$2:G662=G663)),1)),1500)"),0.0)</f>
        <v>0</v>
      </c>
      <c r="N663" s="3">
        <f>IFERROR(__xludf.DUMMYFUNCTION("IFERROR(INDEX(FILTER($Q$2:Q662,$C$2:C662=C663,$G$2:G662=G663),ROWS(FILTER($Q$2:Q662,$C$2:C662=C663,$G$2:G662=G663)),1),1500)"),-568.0)</f>
        <v>-568</v>
      </c>
      <c r="O663" s="3">
        <f t="shared" si="3"/>
        <v>0</v>
      </c>
      <c r="P663" s="9">
        <f t="shared" si="1"/>
        <v>-1</v>
      </c>
      <c r="Q663" s="5">
        <f t="shared" si="2"/>
        <v>-569</v>
      </c>
    </row>
    <row r="664">
      <c r="H664" s="3" t="str">
        <f>IFERROR(__xludf.DUMMYFUNCTION("IFERROR(TRIM(INDEX(SPLIT(E664,"" + ""),1)),"""")"),"")</f>
        <v/>
      </c>
      <c r="I664" s="3" t="str">
        <f>IFERROR(__xludf.DUMMYFUNCTION("IFERROR(TRIM(INDEX(SPLIT(E664,"" + ""),2)),"""")"),"")</f>
        <v/>
      </c>
      <c r="J664" s="5" t="str">
        <f>IFERROR(__xludf.DUMMYFUNCTION("IFERROR(TRIM(INDEX(SPLIT(E664,"" + ""),3)),"""")"),"")</f>
        <v/>
      </c>
      <c r="K664" s="3">
        <f>IFERROR(__xludf.DUMMYFUNCTION("IFERROR(IF(H664="""",0,INDEX(FILTER($Q$2:Q663,$C$2:C663=H664,$G$2:G663=G664),ROWS(FILTER($Q$2:Q663,$C$2:C663=H664,$G$2:G663=G664)),1)),1500)"),0.0)</f>
        <v>0</v>
      </c>
      <c r="L664" s="3">
        <f>IFERROR(__xludf.DUMMYFUNCTION("IFERROR(IF(I664="""",0,INDEX(FILTER($Q$2:Q663,$C$2:C663=I664,$G$2:G663=G664),ROWS(FILTER($Q$2:Q663,$C$2:C663=I664,$G$2:G663=G664)),1)),1500)"),0.0)</f>
        <v>0</v>
      </c>
      <c r="M664" s="3">
        <f>IFERROR(__xludf.DUMMYFUNCTION("IFERROR(IF(J664="""",0,INDEX(FILTER($Q$2:Q663,$C$2:C663=J664,$G$2:G663=G664),ROWS(FILTER($Q$2:Q663,$C$2:C663=J664,$G$2:G663=G664)),1)),1500)"),0.0)</f>
        <v>0</v>
      </c>
      <c r="N664" s="3">
        <f>IFERROR(__xludf.DUMMYFUNCTION("IFERROR(INDEX(FILTER($Q$2:Q663,$C$2:C663=C664,$G$2:G663=G664),ROWS(FILTER($Q$2:Q663,$C$2:C663=C664,$G$2:G663=G664)),1),1500)"),-569.0)</f>
        <v>-569</v>
      </c>
      <c r="O664" s="3">
        <f t="shared" si="3"/>
        <v>0</v>
      </c>
      <c r="P664" s="9">
        <f t="shared" si="1"/>
        <v>-1</v>
      </c>
      <c r="Q664" s="5">
        <f t="shared" si="2"/>
        <v>-570</v>
      </c>
    </row>
    <row r="665">
      <c r="H665" s="3" t="str">
        <f>IFERROR(__xludf.DUMMYFUNCTION("IFERROR(TRIM(INDEX(SPLIT(E665,"" + ""),1)),"""")"),"")</f>
        <v/>
      </c>
      <c r="I665" s="3" t="str">
        <f>IFERROR(__xludf.DUMMYFUNCTION("IFERROR(TRIM(INDEX(SPLIT(E665,"" + ""),2)),"""")"),"")</f>
        <v/>
      </c>
      <c r="J665" s="5" t="str">
        <f>IFERROR(__xludf.DUMMYFUNCTION("IFERROR(TRIM(INDEX(SPLIT(E665,"" + ""),3)),"""")"),"")</f>
        <v/>
      </c>
      <c r="K665" s="3">
        <f>IFERROR(__xludf.DUMMYFUNCTION("IFERROR(IF(H665="""",0,INDEX(FILTER($Q$2:Q664,$C$2:C664=H665,$G$2:G664=G665),ROWS(FILTER($Q$2:Q664,$C$2:C664=H665,$G$2:G664=G665)),1)),1500)"),0.0)</f>
        <v>0</v>
      </c>
      <c r="L665" s="3">
        <f>IFERROR(__xludf.DUMMYFUNCTION("IFERROR(IF(I665="""",0,INDEX(FILTER($Q$2:Q664,$C$2:C664=I665,$G$2:G664=G665),ROWS(FILTER($Q$2:Q664,$C$2:C664=I665,$G$2:G664=G665)),1)),1500)"),0.0)</f>
        <v>0</v>
      </c>
      <c r="M665" s="3">
        <f>IFERROR(__xludf.DUMMYFUNCTION("IFERROR(IF(J665="""",0,INDEX(FILTER($Q$2:Q664,$C$2:C664=J665,$G$2:G664=G665),ROWS(FILTER($Q$2:Q664,$C$2:C664=J665,$G$2:G664=G665)),1)),1500)"),0.0)</f>
        <v>0</v>
      </c>
      <c r="N665" s="3">
        <f>IFERROR(__xludf.DUMMYFUNCTION("IFERROR(INDEX(FILTER($Q$2:Q664,$C$2:C664=C665,$G$2:G664=G665),ROWS(FILTER($Q$2:Q664,$C$2:C664=C665,$G$2:G664=G665)),1),1500)"),-570.0)</f>
        <v>-570</v>
      </c>
      <c r="O665" s="3">
        <f t="shared" si="3"/>
        <v>0</v>
      </c>
      <c r="P665" s="9">
        <f t="shared" si="1"/>
        <v>-1</v>
      </c>
      <c r="Q665" s="5">
        <f t="shared" si="2"/>
        <v>-571</v>
      </c>
    </row>
    <row r="666">
      <c r="H666" s="3" t="str">
        <f>IFERROR(__xludf.DUMMYFUNCTION("IFERROR(TRIM(INDEX(SPLIT(E666,"" + ""),1)),"""")"),"")</f>
        <v/>
      </c>
      <c r="I666" s="3" t="str">
        <f>IFERROR(__xludf.DUMMYFUNCTION("IFERROR(TRIM(INDEX(SPLIT(E666,"" + ""),2)),"""")"),"")</f>
        <v/>
      </c>
      <c r="J666" s="5" t="str">
        <f>IFERROR(__xludf.DUMMYFUNCTION("IFERROR(TRIM(INDEX(SPLIT(E666,"" + ""),3)),"""")"),"")</f>
        <v/>
      </c>
      <c r="K666" s="3">
        <f>IFERROR(__xludf.DUMMYFUNCTION("IFERROR(IF(H666="""",0,INDEX(FILTER($Q$2:Q665,$C$2:C665=H666,$G$2:G665=G666),ROWS(FILTER($Q$2:Q665,$C$2:C665=H666,$G$2:G665=G666)),1)),1500)"),0.0)</f>
        <v>0</v>
      </c>
      <c r="L666" s="3">
        <f>IFERROR(__xludf.DUMMYFUNCTION("IFERROR(IF(I666="""",0,INDEX(FILTER($Q$2:Q665,$C$2:C665=I666,$G$2:G665=G666),ROWS(FILTER($Q$2:Q665,$C$2:C665=I666,$G$2:G665=G666)),1)),1500)"),0.0)</f>
        <v>0</v>
      </c>
      <c r="M666" s="3">
        <f>IFERROR(__xludf.DUMMYFUNCTION("IFERROR(IF(J666="""",0,INDEX(FILTER($Q$2:Q665,$C$2:C665=J666,$G$2:G665=G666),ROWS(FILTER($Q$2:Q665,$C$2:C665=J666,$G$2:G665=G666)),1)),1500)"),0.0)</f>
        <v>0</v>
      </c>
      <c r="N666" s="3">
        <f>IFERROR(__xludf.DUMMYFUNCTION("IFERROR(INDEX(FILTER($Q$2:Q665,$C$2:C665=C666,$G$2:G665=G666),ROWS(FILTER($Q$2:Q665,$C$2:C665=C666,$G$2:G665=G666)),1),1500)"),-571.0)</f>
        <v>-571</v>
      </c>
      <c r="O666" s="3">
        <f t="shared" si="3"/>
        <v>0</v>
      </c>
      <c r="P666" s="9">
        <f t="shared" si="1"/>
        <v>-1</v>
      </c>
      <c r="Q666" s="5">
        <f t="shared" si="2"/>
        <v>-572</v>
      </c>
    </row>
    <row r="667">
      <c r="H667" s="3" t="str">
        <f>IFERROR(__xludf.DUMMYFUNCTION("IFERROR(TRIM(INDEX(SPLIT(E667,"" + ""),1)),"""")"),"")</f>
        <v/>
      </c>
      <c r="I667" s="3" t="str">
        <f>IFERROR(__xludf.DUMMYFUNCTION("IFERROR(TRIM(INDEX(SPLIT(E667,"" + ""),2)),"""")"),"")</f>
        <v/>
      </c>
      <c r="J667" s="5" t="str">
        <f>IFERROR(__xludf.DUMMYFUNCTION("IFERROR(TRIM(INDEX(SPLIT(E667,"" + ""),3)),"""")"),"")</f>
        <v/>
      </c>
      <c r="K667" s="3">
        <f>IFERROR(__xludf.DUMMYFUNCTION("IFERROR(IF(H667="""",0,INDEX(FILTER($Q$2:Q666,$C$2:C666=H667,$G$2:G666=G667),ROWS(FILTER($Q$2:Q666,$C$2:C666=H667,$G$2:G666=G667)),1)),1500)"),0.0)</f>
        <v>0</v>
      </c>
      <c r="L667" s="3">
        <f>IFERROR(__xludf.DUMMYFUNCTION("IFERROR(IF(I667="""",0,INDEX(FILTER($Q$2:Q666,$C$2:C666=I667,$G$2:G666=G667),ROWS(FILTER($Q$2:Q666,$C$2:C666=I667,$G$2:G666=G667)),1)),1500)"),0.0)</f>
        <v>0</v>
      </c>
      <c r="M667" s="3">
        <f>IFERROR(__xludf.DUMMYFUNCTION("IFERROR(IF(J667="""",0,INDEX(FILTER($Q$2:Q666,$C$2:C666=J667,$G$2:G666=G667),ROWS(FILTER($Q$2:Q666,$C$2:C666=J667,$G$2:G666=G667)),1)),1500)"),0.0)</f>
        <v>0</v>
      </c>
      <c r="N667" s="3">
        <f>IFERROR(__xludf.DUMMYFUNCTION("IFERROR(INDEX(FILTER($Q$2:Q666,$C$2:C666=C667,$G$2:G666=G667),ROWS(FILTER($Q$2:Q666,$C$2:C666=C667,$G$2:G666=G667)),1),1500)"),-572.0)</f>
        <v>-572</v>
      </c>
      <c r="O667" s="3">
        <f t="shared" si="3"/>
        <v>0</v>
      </c>
      <c r="P667" s="9">
        <f t="shared" si="1"/>
        <v>-1</v>
      </c>
      <c r="Q667" s="5">
        <f t="shared" si="2"/>
        <v>-573</v>
      </c>
    </row>
    <row r="668">
      <c r="H668" s="3" t="str">
        <f>IFERROR(__xludf.DUMMYFUNCTION("IFERROR(TRIM(INDEX(SPLIT(E668,"" + ""),1)),"""")"),"")</f>
        <v/>
      </c>
      <c r="I668" s="3" t="str">
        <f>IFERROR(__xludf.DUMMYFUNCTION("IFERROR(TRIM(INDEX(SPLIT(E668,"" + ""),2)),"""")"),"")</f>
        <v/>
      </c>
      <c r="J668" s="5" t="str">
        <f>IFERROR(__xludf.DUMMYFUNCTION("IFERROR(TRIM(INDEX(SPLIT(E668,"" + ""),3)),"""")"),"")</f>
        <v/>
      </c>
      <c r="K668" s="3">
        <f>IFERROR(__xludf.DUMMYFUNCTION("IFERROR(IF(H668="""",0,INDEX(FILTER($Q$2:Q667,$C$2:C667=H668,$G$2:G667=G668),ROWS(FILTER($Q$2:Q667,$C$2:C667=H668,$G$2:G667=G668)),1)),1500)"),0.0)</f>
        <v>0</v>
      </c>
      <c r="L668" s="3">
        <f>IFERROR(__xludf.DUMMYFUNCTION("IFERROR(IF(I668="""",0,INDEX(FILTER($Q$2:Q667,$C$2:C667=I668,$G$2:G667=G668),ROWS(FILTER($Q$2:Q667,$C$2:C667=I668,$G$2:G667=G668)),1)),1500)"),0.0)</f>
        <v>0</v>
      </c>
      <c r="M668" s="3">
        <f>IFERROR(__xludf.DUMMYFUNCTION("IFERROR(IF(J668="""",0,INDEX(FILTER($Q$2:Q667,$C$2:C667=J668,$G$2:G667=G668),ROWS(FILTER($Q$2:Q667,$C$2:C667=J668,$G$2:G667=G668)),1)),1500)"),0.0)</f>
        <v>0</v>
      </c>
      <c r="N668" s="3">
        <f>IFERROR(__xludf.DUMMYFUNCTION("IFERROR(INDEX(FILTER($Q$2:Q667,$C$2:C667=C668,$G$2:G667=G668),ROWS(FILTER($Q$2:Q667,$C$2:C667=C668,$G$2:G667=G668)),1),1500)"),-573.0)</f>
        <v>-573</v>
      </c>
      <c r="O668" s="3">
        <f t="shared" si="3"/>
        <v>0</v>
      </c>
      <c r="P668" s="9">
        <f t="shared" si="1"/>
        <v>-1</v>
      </c>
      <c r="Q668" s="5">
        <f t="shared" si="2"/>
        <v>-574</v>
      </c>
    </row>
    <row r="669">
      <c r="H669" s="3" t="str">
        <f>IFERROR(__xludf.DUMMYFUNCTION("IFERROR(TRIM(INDEX(SPLIT(E669,"" + ""),1)),"""")"),"")</f>
        <v/>
      </c>
      <c r="I669" s="3" t="str">
        <f>IFERROR(__xludf.DUMMYFUNCTION("IFERROR(TRIM(INDEX(SPLIT(E669,"" + ""),2)),"""")"),"")</f>
        <v/>
      </c>
      <c r="J669" s="5" t="str">
        <f>IFERROR(__xludf.DUMMYFUNCTION("IFERROR(TRIM(INDEX(SPLIT(E669,"" + ""),3)),"""")"),"")</f>
        <v/>
      </c>
      <c r="K669" s="3">
        <f>IFERROR(__xludf.DUMMYFUNCTION("IFERROR(IF(H669="""",0,INDEX(FILTER($Q$2:Q668,$C$2:C668=H669,$G$2:G668=G669),ROWS(FILTER($Q$2:Q668,$C$2:C668=H669,$G$2:G668=G669)),1)),1500)"),0.0)</f>
        <v>0</v>
      </c>
      <c r="L669" s="3">
        <f>IFERROR(__xludf.DUMMYFUNCTION("IFERROR(IF(I669="""",0,INDEX(FILTER($Q$2:Q668,$C$2:C668=I669,$G$2:G668=G669),ROWS(FILTER($Q$2:Q668,$C$2:C668=I669,$G$2:G668=G669)),1)),1500)"),0.0)</f>
        <v>0</v>
      </c>
      <c r="M669" s="3">
        <f>IFERROR(__xludf.DUMMYFUNCTION("IFERROR(IF(J669="""",0,INDEX(FILTER($Q$2:Q668,$C$2:C668=J669,$G$2:G668=G669),ROWS(FILTER($Q$2:Q668,$C$2:C668=J669,$G$2:G668=G669)),1)),1500)"),0.0)</f>
        <v>0</v>
      </c>
      <c r="N669" s="3">
        <f>IFERROR(__xludf.DUMMYFUNCTION("IFERROR(INDEX(FILTER($Q$2:Q668,$C$2:C668=C669,$G$2:G668=G669),ROWS(FILTER($Q$2:Q668,$C$2:C668=C669,$G$2:G668=G669)),1),1500)"),-574.0)</f>
        <v>-574</v>
      </c>
      <c r="O669" s="3">
        <f t="shared" si="3"/>
        <v>0</v>
      </c>
      <c r="P669" s="9">
        <f t="shared" si="1"/>
        <v>-1</v>
      </c>
      <c r="Q669" s="5">
        <f t="shared" si="2"/>
        <v>-575</v>
      </c>
    </row>
    <row r="670">
      <c r="H670" s="3" t="str">
        <f>IFERROR(__xludf.DUMMYFUNCTION("IFERROR(TRIM(INDEX(SPLIT(E670,"" + ""),1)),"""")"),"")</f>
        <v/>
      </c>
      <c r="I670" s="3" t="str">
        <f>IFERROR(__xludf.DUMMYFUNCTION("IFERROR(TRIM(INDEX(SPLIT(E670,"" + ""),2)),"""")"),"")</f>
        <v/>
      </c>
      <c r="J670" s="5" t="str">
        <f>IFERROR(__xludf.DUMMYFUNCTION("IFERROR(TRIM(INDEX(SPLIT(E670,"" + ""),3)),"""")"),"")</f>
        <v/>
      </c>
      <c r="K670" s="3">
        <f>IFERROR(__xludf.DUMMYFUNCTION("IFERROR(IF(H670="""",0,INDEX(FILTER($Q$2:Q669,$C$2:C669=H670,$G$2:G669=G670),ROWS(FILTER($Q$2:Q669,$C$2:C669=H670,$G$2:G669=G670)),1)),1500)"),0.0)</f>
        <v>0</v>
      </c>
      <c r="L670" s="3">
        <f>IFERROR(__xludf.DUMMYFUNCTION("IFERROR(IF(I670="""",0,INDEX(FILTER($Q$2:Q669,$C$2:C669=I670,$G$2:G669=G670),ROWS(FILTER($Q$2:Q669,$C$2:C669=I670,$G$2:G669=G670)),1)),1500)"),0.0)</f>
        <v>0</v>
      </c>
      <c r="M670" s="3">
        <f>IFERROR(__xludf.DUMMYFUNCTION("IFERROR(IF(J670="""",0,INDEX(FILTER($Q$2:Q669,$C$2:C669=J670,$G$2:G669=G670),ROWS(FILTER($Q$2:Q669,$C$2:C669=J670,$G$2:G669=G670)),1)),1500)"),0.0)</f>
        <v>0</v>
      </c>
      <c r="N670" s="3">
        <f>IFERROR(__xludf.DUMMYFUNCTION("IFERROR(INDEX(FILTER($Q$2:Q669,$C$2:C669=C670,$G$2:G669=G670),ROWS(FILTER($Q$2:Q669,$C$2:C669=C670,$G$2:G669=G670)),1),1500)"),-575.0)</f>
        <v>-575</v>
      </c>
      <c r="O670" s="3">
        <f t="shared" si="3"/>
        <v>0</v>
      </c>
      <c r="P670" s="9">
        <f t="shared" si="1"/>
        <v>-1</v>
      </c>
      <c r="Q670" s="5">
        <f t="shared" si="2"/>
        <v>-576</v>
      </c>
    </row>
    <row r="671">
      <c r="H671" s="3" t="str">
        <f>IFERROR(__xludf.DUMMYFUNCTION("IFERROR(TRIM(INDEX(SPLIT(E671,"" + ""),1)),"""")"),"")</f>
        <v/>
      </c>
      <c r="I671" s="3" t="str">
        <f>IFERROR(__xludf.DUMMYFUNCTION("IFERROR(TRIM(INDEX(SPLIT(E671,"" + ""),2)),"""")"),"")</f>
        <v/>
      </c>
      <c r="J671" s="5" t="str">
        <f>IFERROR(__xludf.DUMMYFUNCTION("IFERROR(TRIM(INDEX(SPLIT(E671,"" + ""),3)),"""")"),"")</f>
        <v/>
      </c>
      <c r="K671" s="3">
        <f>IFERROR(__xludf.DUMMYFUNCTION("IFERROR(IF(H671="""",0,INDEX(FILTER($Q$2:Q670,$C$2:C670=H671,$G$2:G670=G671),ROWS(FILTER($Q$2:Q670,$C$2:C670=H671,$G$2:G670=G671)),1)),1500)"),0.0)</f>
        <v>0</v>
      </c>
      <c r="L671" s="3">
        <f>IFERROR(__xludf.DUMMYFUNCTION("IFERROR(IF(I671="""",0,INDEX(FILTER($Q$2:Q670,$C$2:C670=I671,$G$2:G670=G671),ROWS(FILTER($Q$2:Q670,$C$2:C670=I671,$G$2:G670=G671)),1)),1500)"),0.0)</f>
        <v>0</v>
      </c>
      <c r="M671" s="3">
        <f>IFERROR(__xludf.DUMMYFUNCTION("IFERROR(IF(J671="""",0,INDEX(FILTER($Q$2:Q670,$C$2:C670=J671,$G$2:G670=G671),ROWS(FILTER($Q$2:Q670,$C$2:C670=J671,$G$2:G670=G671)),1)),1500)"),0.0)</f>
        <v>0</v>
      </c>
      <c r="N671" s="3">
        <f>IFERROR(__xludf.DUMMYFUNCTION("IFERROR(INDEX(FILTER($Q$2:Q670,$C$2:C670=C671,$G$2:G670=G671),ROWS(FILTER($Q$2:Q670,$C$2:C670=C671,$G$2:G670=G671)),1),1500)"),-576.0)</f>
        <v>-576</v>
      </c>
      <c r="O671" s="3">
        <f t="shared" si="3"/>
        <v>0</v>
      </c>
      <c r="P671" s="9">
        <f t="shared" si="1"/>
        <v>-1</v>
      </c>
      <c r="Q671" s="5">
        <f t="shared" si="2"/>
        <v>-577</v>
      </c>
    </row>
    <row r="672">
      <c r="H672" s="3" t="str">
        <f>IFERROR(__xludf.DUMMYFUNCTION("IFERROR(TRIM(INDEX(SPLIT(E672,"" + ""),1)),"""")"),"")</f>
        <v/>
      </c>
      <c r="I672" s="3" t="str">
        <f>IFERROR(__xludf.DUMMYFUNCTION("IFERROR(TRIM(INDEX(SPLIT(E672,"" + ""),2)),"""")"),"")</f>
        <v/>
      </c>
      <c r="J672" s="5" t="str">
        <f>IFERROR(__xludf.DUMMYFUNCTION("IFERROR(TRIM(INDEX(SPLIT(E672,"" + ""),3)),"""")"),"")</f>
        <v/>
      </c>
      <c r="K672" s="3">
        <f>IFERROR(__xludf.DUMMYFUNCTION("IFERROR(IF(H672="""",0,INDEX(FILTER($Q$2:Q671,$C$2:C671=H672,$G$2:G671=G672),ROWS(FILTER($Q$2:Q671,$C$2:C671=H672,$G$2:G671=G672)),1)),1500)"),0.0)</f>
        <v>0</v>
      </c>
      <c r="L672" s="3">
        <f>IFERROR(__xludf.DUMMYFUNCTION("IFERROR(IF(I672="""",0,INDEX(FILTER($Q$2:Q671,$C$2:C671=I672,$G$2:G671=G672),ROWS(FILTER($Q$2:Q671,$C$2:C671=I672,$G$2:G671=G672)),1)),1500)"),0.0)</f>
        <v>0</v>
      </c>
      <c r="M672" s="3">
        <f>IFERROR(__xludf.DUMMYFUNCTION("IFERROR(IF(J672="""",0,INDEX(FILTER($Q$2:Q671,$C$2:C671=J672,$G$2:G671=G672),ROWS(FILTER($Q$2:Q671,$C$2:C671=J672,$G$2:G671=G672)),1)),1500)"),0.0)</f>
        <v>0</v>
      </c>
      <c r="N672" s="3">
        <f>IFERROR(__xludf.DUMMYFUNCTION("IFERROR(INDEX(FILTER($Q$2:Q671,$C$2:C671=C672,$G$2:G671=G672),ROWS(FILTER($Q$2:Q671,$C$2:C671=C672,$G$2:G671=G672)),1),1500)"),-577.0)</f>
        <v>-577</v>
      </c>
      <c r="O672" s="3">
        <f t="shared" si="3"/>
        <v>0</v>
      </c>
      <c r="P672" s="9">
        <f t="shared" si="1"/>
        <v>-1</v>
      </c>
      <c r="Q672" s="5">
        <f t="shared" si="2"/>
        <v>-578</v>
      </c>
    </row>
    <row r="673">
      <c r="H673" s="3" t="str">
        <f>IFERROR(__xludf.DUMMYFUNCTION("IFERROR(TRIM(INDEX(SPLIT(E673,"" + ""),1)),"""")"),"")</f>
        <v/>
      </c>
      <c r="I673" s="3" t="str">
        <f>IFERROR(__xludf.DUMMYFUNCTION("IFERROR(TRIM(INDEX(SPLIT(E673,"" + ""),2)),"""")"),"")</f>
        <v/>
      </c>
      <c r="J673" s="5" t="str">
        <f>IFERROR(__xludf.DUMMYFUNCTION("IFERROR(TRIM(INDEX(SPLIT(E673,"" + ""),3)),"""")"),"")</f>
        <v/>
      </c>
      <c r="K673" s="3">
        <f>IFERROR(__xludf.DUMMYFUNCTION("IFERROR(IF(H673="""",0,INDEX(FILTER($Q$2:Q672,$C$2:C672=H673,$G$2:G672=G673),ROWS(FILTER($Q$2:Q672,$C$2:C672=H673,$G$2:G672=G673)),1)),1500)"),0.0)</f>
        <v>0</v>
      </c>
      <c r="L673" s="3">
        <f>IFERROR(__xludf.DUMMYFUNCTION("IFERROR(IF(I673="""",0,INDEX(FILTER($Q$2:Q672,$C$2:C672=I673,$G$2:G672=G673),ROWS(FILTER($Q$2:Q672,$C$2:C672=I673,$G$2:G672=G673)),1)),1500)"),0.0)</f>
        <v>0</v>
      </c>
      <c r="M673" s="3">
        <f>IFERROR(__xludf.DUMMYFUNCTION("IFERROR(IF(J673="""",0,INDEX(FILTER($Q$2:Q672,$C$2:C672=J673,$G$2:G672=G673),ROWS(FILTER($Q$2:Q672,$C$2:C672=J673,$G$2:G672=G673)),1)),1500)"),0.0)</f>
        <v>0</v>
      </c>
      <c r="N673" s="3">
        <f>IFERROR(__xludf.DUMMYFUNCTION("IFERROR(INDEX(FILTER($Q$2:Q672,$C$2:C672=C673,$G$2:G672=G673),ROWS(FILTER($Q$2:Q672,$C$2:C672=C673,$G$2:G672=G673)),1),1500)"),-578.0)</f>
        <v>-578</v>
      </c>
      <c r="O673" s="3">
        <f t="shared" si="3"/>
        <v>0</v>
      </c>
      <c r="P673" s="9">
        <f t="shared" si="1"/>
        <v>-1</v>
      </c>
      <c r="Q673" s="5">
        <f t="shared" si="2"/>
        <v>-579</v>
      </c>
    </row>
    <row r="674">
      <c r="H674" s="3" t="str">
        <f>IFERROR(__xludf.DUMMYFUNCTION("IFERROR(TRIM(INDEX(SPLIT(E674,"" + ""),1)),"""")"),"")</f>
        <v/>
      </c>
      <c r="I674" s="3" t="str">
        <f>IFERROR(__xludf.DUMMYFUNCTION("IFERROR(TRIM(INDEX(SPLIT(E674,"" + ""),2)),"""")"),"")</f>
        <v/>
      </c>
      <c r="J674" s="5" t="str">
        <f>IFERROR(__xludf.DUMMYFUNCTION("IFERROR(TRIM(INDEX(SPLIT(E674,"" + ""),3)),"""")"),"")</f>
        <v/>
      </c>
      <c r="K674" s="3">
        <f>IFERROR(__xludf.DUMMYFUNCTION("IFERROR(IF(H674="""",0,INDEX(FILTER($Q$2:Q673,$C$2:C673=H674,$G$2:G673=G674),ROWS(FILTER($Q$2:Q673,$C$2:C673=H674,$G$2:G673=G674)),1)),1500)"),0.0)</f>
        <v>0</v>
      </c>
      <c r="L674" s="3">
        <f>IFERROR(__xludf.DUMMYFUNCTION("IFERROR(IF(I674="""",0,INDEX(FILTER($Q$2:Q673,$C$2:C673=I674,$G$2:G673=G674),ROWS(FILTER($Q$2:Q673,$C$2:C673=I674,$G$2:G673=G674)),1)),1500)"),0.0)</f>
        <v>0</v>
      </c>
      <c r="M674" s="3">
        <f>IFERROR(__xludf.DUMMYFUNCTION("IFERROR(IF(J674="""",0,INDEX(FILTER($Q$2:Q673,$C$2:C673=J674,$G$2:G673=G674),ROWS(FILTER($Q$2:Q673,$C$2:C673=J674,$G$2:G673=G674)),1)),1500)"),0.0)</f>
        <v>0</v>
      </c>
      <c r="N674" s="3">
        <f>IFERROR(__xludf.DUMMYFUNCTION("IFERROR(INDEX(FILTER($Q$2:Q673,$C$2:C673=C674,$G$2:G673=G674),ROWS(FILTER($Q$2:Q673,$C$2:C673=C674,$G$2:G673=G674)),1),1500)"),-579.0)</f>
        <v>-579</v>
      </c>
      <c r="O674" s="3">
        <f t="shared" si="3"/>
        <v>0</v>
      </c>
      <c r="P674" s="9">
        <f t="shared" si="1"/>
        <v>-1</v>
      </c>
      <c r="Q674" s="5">
        <f t="shared" si="2"/>
        <v>-580</v>
      </c>
    </row>
    <row r="675">
      <c r="H675" s="3" t="str">
        <f>IFERROR(__xludf.DUMMYFUNCTION("IFERROR(TRIM(INDEX(SPLIT(E675,"" + ""),1)),"""")"),"")</f>
        <v/>
      </c>
      <c r="I675" s="3" t="str">
        <f>IFERROR(__xludf.DUMMYFUNCTION("IFERROR(TRIM(INDEX(SPLIT(E675,"" + ""),2)),"""")"),"")</f>
        <v/>
      </c>
      <c r="J675" s="5" t="str">
        <f>IFERROR(__xludf.DUMMYFUNCTION("IFERROR(TRIM(INDEX(SPLIT(E675,"" + ""),3)),"""")"),"")</f>
        <v/>
      </c>
      <c r="K675" s="3">
        <f>IFERROR(__xludf.DUMMYFUNCTION("IFERROR(IF(H675="""",0,INDEX(FILTER($Q$2:Q674,$C$2:C674=H675,$G$2:G674=G675),ROWS(FILTER($Q$2:Q674,$C$2:C674=H675,$G$2:G674=G675)),1)),1500)"),0.0)</f>
        <v>0</v>
      </c>
      <c r="L675" s="3">
        <f>IFERROR(__xludf.DUMMYFUNCTION("IFERROR(IF(I675="""",0,INDEX(FILTER($Q$2:Q674,$C$2:C674=I675,$G$2:G674=G675),ROWS(FILTER($Q$2:Q674,$C$2:C674=I675,$G$2:G674=G675)),1)),1500)"),0.0)</f>
        <v>0</v>
      </c>
      <c r="M675" s="3">
        <f>IFERROR(__xludf.DUMMYFUNCTION("IFERROR(IF(J675="""",0,INDEX(FILTER($Q$2:Q674,$C$2:C674=J675,$G$2:G674=G675),ROWS(FILTER($Q$2:Q674,$C$2:C674=J675,$G$2:G674=G675)),1)),1500)"),0.0)</f>
        <v>0</v>
      </c>
      <c r="N675" s="3">
        <f>IFERROR(__xludf.DUMMYFUNCTION("IFERROR(INDEX(FILTER($Q$2:Q674,$C$2:C674=C675,$G$2:G674=G675),ROWS(FILTER($Q$2:Q674,$C$2:C674=C675,$G$2:G674=G675)),1),1500)"),-580.0)</f>
        <v>-580</v>
      </c>
      <c r="O675" s="3">
        <f t="shared" si="3"/>
        <v>0</v>
      </c>
      <c r="P675" s="9">
        <f t="shared" si="1"/>
        <v>-1</v>
      </c>
      <c r="Q675" s="5">
        <f t="shared" si="2"/>
        <v>-581</v>
      </c>
    </row>
    <row r="676">
      <c r="H676" s="3" t="str">
        <f>IFERROR(__xludf.DUMMYFUNCTION("IFERROR(TRIM(INDEX(SPLIT(E676,"" + ""),1)),"""")"),"")</f>
        <v/>
      </c>
      <c r="I676" s="3" t="str">
        <f>IFERROR(__xludf.DUMMYFUNCTION("IFERROR(TRIM(INDEX(SPLIT(E676,"" + ""),2)),"""")"),"")</f>
        <v/>
      </c>
      <c r="J676" s="5" t="str">
        <f>IFERROR(__xludf.DUMMYFUNCTION("IFERROR(TRIM(INDEX(SPLIT(E676,"" + ""),3)),"""")"),"")</f>
        <v/>
      </c>
      <c r="K676" s="3">
        <f>IFERROR(__xludf.DUMMYFUNCTION("IFERROR(IF(H676="""",0,INDEX(FILTER($Q$2:Q675,$C$2:C675=H676,$G$2:G675=G676),ROWS(FILTER($Q$2:Q675,$C$2:C675=H676,$G$2:G675=G676)),1)),1500)"),0.0)</f>
        <v>0</v>
      </c>
      <c r="L676" s="3">
        <f>IFERROR(__xludf.DUMMYFUNCTION("IFERROR(IF(I676="""",0,INDEX(FILTER($Q$2:Q675,$C$2:C675=I676,$G$2:G675=G676),ROWS(FILTER($Q$2:Q675,$C$2:C675=I676,$G$2:G675=G676)),1)),1500)"),0.0)</f>
        <v>0</v>
      </c>
      <c r="M676" s="3">
        <f>IFERROR(__xludf.DUMMYFUNCTION("IFERROR(IF(J676="""",0,INDEX(FILTER($Q$2:Q675,$C$2:C675=J676,$G$2:G675=G676),ROWS(FILTER($Q$2:Q675,$C$2:C675=J676,$G$2:G675=G676)),1)),1500)"),0.0)</f>
        <v>0</v>
      </c>
      <c r="N676" s="3">
        <f>IFERROR(__xludf.DUMMYFUNCTION("IFERROR(INDEX(FILTER($Q$2:Q675,$C$2:C675=C676,$G$2:G675=G676),ROWS(FILTER($Q$2:Q675,$C$2:C675=C676,$G$2:G675=G676)),1),1500)"),-581.0)</f>
        <v>-581</v>
      </c>
      <c r="O676" s="3">
        <f t="shared" si="3"/>
        <v>0</v>
      </c>
      <c r="P676" s="9">
        <f t="shared" si="1"/>
        <v>-1</v>
      </c>
      <c r="Q676" s="5">
        <f t="shared" si="2"/>
        <v>-582</v>
      </c>
    </row>
    <row r="677">
      <c r="H677" s="3" t="str">
        <f>IFERROR(__xludf.DUMMYFUNCTION("IFERROR(TRIM(INDEX(SPLIT(E677,"" + ""),1)),"""")"),"")</f>
        <v/>
      </c>
      <c r="I677" s="3" t="str">
        <f>IFERROR(__xludf.DUMMYFUNCTION("IFERROR(TRIM(INDEX(SPLIT(E677,"" + ""),2)),"""")"),"")</f>
        <v/>
      </c>
      <c r="J677" s="5" t="str">
        <f>IFERROR(__xludf.DUMMYFUNCTION("IFERROR(TRIM(INDEX(SPLIT(E677,"" + ""),3)),"""")"),"")</f>
        <v/>
      </c>
      <c r="K677" s="3">
        <f>IFERROR(__xludf.DUMMYFUNCTION("IFERROR(IF(H677="""",0,INDEX(FILTER($Q$2:Q676,$C$2:C676=H677,$G$2:G676=G677),ROWS(FILTER($Q$2:Q676,$C$2:C676=H677,$G$2:G676=G677)),1)),1500)"),0.0)</f>
        <v>0</v>
      </c>
      <c r="L677" s="3">
        <f>IFERROR(__xludf.DUMMYFUNCTION("IFERROR(IF(I677="""",0,INDEX(FILTER($Q$2:Q676,$C$2:C676=I677,$G$2:G676=G677),ROWS(FILTER($Q$2:Q676,$C$2:C676=I677,$G$2:G676=G677)),1)),1500)"),0.0)</f>
        <v>0</v>
      </c>
      <c r="M677" s="3">
        <f>IFERROR(__xludf.DUMMYFUNCTION("IFERROR(IF(J677="""",0,INDEX(FILTER($Q$2:Q676,$C$2:C676=J677,$G$2:G676=G677),ROWS(FILTER($Q$2:Q676,$C$2:C676=J677,$G$2:G676=G677)),1)),1500)"),0.0)</f>
        <v>0</v>
      </c>
      <c r="N677" s="3">
        <f>IFERROR(__xludf.DUMMYFUNCTION("IFERROR(INDEX(FILTER($Q$2:Q676,$C$2:C676=C677,$G$2:G676=G677),ROWS(FILTER($Q$2:Q676,$C$2:C676=C677,$G$2:G676=G677)),1),1500)"),-582.0)</f>
        <v>-582</v>
      </c>
      <c r="O677" s="3">
        <f t="shared" si="3"/>
        <v>0</v>
      </c>
      <c r="P677" s="9">
        <f t="shared" si="1"/>
        <v>-1</v>
      </c>
      <c r="Q677" s="5">
        <f t="shared" si="2"/>
        <v>-583</v>
      </c>
    </row>
    <row r="678">
      <c r="H678" s="3" t="str">
        <f>IFERROR(__xludf.DUMMYFUNCTION("IFERROR(TRIM(INDEX(SPLIT(E678,"" + ""),1)),"""")"),"")</f>
        <v/>
      </c>
      <c r="I678" s="3" t="str">
        <f>IFERROR(__xludf.DUMMYFUNCTION("IFERROR(TRIM(INDEX(SPLIT(E678,"" + ""),2)),"""")"),"")</f>
        <v/>
      </c>
      <c r="J678" s="5" t="str">
        <f>IFERROR(__xludf.DUMMYFUNCTION("IFERROR(TRIM(INDEX(SPLIT(E678,"" + ""),3)),"""")"),"")</f>
        <v/>
      </c>
      <c r="K678" s="3">
        <f>IFERROR(__xludf.DUMMYFUNCTION("IFERROR(IF(H678="""",0,INDEX(FILTER($Q$2:Q677,$C$2:C677=H678,$G$2:G677=G678),ROWS(FILTER($Q$2:Q677,$C$2:C677=H678,$G$2:G677=G678)),1)),1500)"),0.0)</f>
        <v>0</v>
      </c>
      <c r="L678" s="3">
        <f>IFERROR(__xludf.DUMMYFUNCTION("IFERROR(IF(I678="""",0,INDEX(FILTER($Q$2:Q677,$C$2:C677=I678,$G$2:G677=G678),ROWS(FILTER($Q$2:Q677,$C$2:C677=I678,$G$2:G677=G678)),1)),1500)"),0.0)</f>
        <v>0</v>
      </c>
      <c r="M678" s="3">
        <f>IFERROR(__xludf.DUMMYFUNCTION("IFERROR(IF(J678="""",0,INDEX(FILTER($Q$2:Q677,$C$2:C677=J678,$G$2:G677=G678),ROWS(FILTER($Q$2:Q677,$C$2:C677=J678,$G$2:G677=G678)),1)),1500)"),0.0)</f>
        <v>0</v>
      </c>
      <c r="N678" s="3">
        <f>IFERROR(__xludf.DUMMYFUNCTION("IFERROR(INDEX(FILTER($Q$2:Q677,$C$2:C677=C678,$G$2:G677=G678),ROWS(FILTER($Q$2:Q677,$C$2:C677=C678,$G$2:G677=G678)),1),1500)"),-583.0)</f>
        <v>-583</v>
      </c>
      <c r="O678" s="3">
        <f t="shared" si="3"/>
        <v>0</v>
      </c>
      <c r="P678" s="9">
        <f t="shared" si="1"/>
        <v>-1</v>
      </c>
      <c r="Q678" s="5">
        <f t="shared" si="2"/>
        <v>-584</v>
      </c>
    </row>
    <row r="679">
      <c r="H679" s="3" t="str">
        <f>IFERROR(__xludf.DUMMYFUNCTION("IFERROR(TRIM(INDEX(SPLIT(E679,"" + ""),1)),"""")"),"")</f>
        <v/>
      </c>
      <c r="I679" s="3" t="str">
        <f>IFERROR(__xludf.DUMMYFUNCTION("IFERROR(TRIM(INDEX(SPLIT(E679,"" + ""),2)),"""")"),"")</f>
        <v/>
      </c>
      <c r="J679" s="5" t="str">
        <f>IFERROR(__xludf.DUMMYFUNCTION("IFERROR(TRIM(INDEX(SPLIT(E679,"" + ""),3)),"""")"),"")</f>
        <v/>
      </c>
      <c r="K679" s="3">
        <f>IFERROR(__xludf.DUMMYFUNCTION("IFERROR(IF(H679="""",0,INDEX(FILTER($Q$2:Q678,$C$2:C678=H679,$G$2:G678=G679),ROWS(FILTER($Q$2:Q678,$C$2:C678=H679,$G$2:G678=G679)),1)),1500)"),0.0)</f>
        <v>0</v>
      </c>
      <c r="L679" s="3">
        <f>IFERROR(__xludf.DUMMYFUNCTION("IFERROR(IF(I679="""",0,INDEX(FILTER($Q$2:Q678,$C$2:C678=I679,$G$2:G678=G679),ROWS(FILTER($Q$2:Q678,$C$2:C678=I679,$G$2:G678=G679)),1)),1500)"),0.0)</f>
        <v>0</v>
      </c>
      <c r="M679" s="3">
        <f>IFERROR(__xludf.DUMMYFUNCTION("IFERROR(IF(J679="""",0,INDEX(FILTER($Q$2:Q678,$C$2:C678=J679,$G$2:G678=G679),ROWS(FILTER($Q$2:Q678,$C$2:C678=J679,$G$2:G678=G679)),1)),1500)"),0.0)</f>
        <v>0</v>
      </c>
      <c r="N679" s="3">
        <f>IFERROR(__xludf.DUMMYFUNCTION("IFERROR(INDEX(FILTER($Q$2:Q678,$C$2:C678=C679,$G$2:G678=G679),ROWS(FILTER($Q$2:Q678,$C$2:C678=C679,$G$2:G678=G679)),1),1500)"),-584.0)</f>
        <v>-584</v>
      </c>
      <c r="O679" s="3">
        <f t="shared" si="3"/>
        <v>0</v>
      </c>
      <c r="P679" s="9">
        <f t="shared" si="1"/>
        <v>-1</v>
      </c>
      <c r="Q679" s="5">
        <f t="shared" si="2"/>
        <v>-585</v>
      </c>
    </row>
    <row r="680">
      <c r="H680" s="3" t="str">
        <f>IFERROR(__xludf.DUMMYFUNCTION("IFERROR(TRIM(INDEX(SPLIT(E680,"" + ""),1)),"""")"),"")</f>
        <v/>
      </c>
      <c r="I680" s="3" t="str">
        <f>IFERROR(__xludf.DUMMYFUNCTION("IFERROR(TRIM(INDEX(SPLIT(E680,"" + ""),2)),"""")"),"")</f>
        <v/>
      </c>
      <c r="J680" s="5" t="str">
        <f>IFERROR(__xludf.DUMMYFUNCTION("IFERROR(TRIM(INDEX(SPLIT(E680,"" + ""),3)),"""")"),"")</f>
        <v/>
      </c>
      <c r="K680" s="3">
        <f>IFERROR(__xludf.DUMMYFUNCTION("IFERROR(IF(H680="""",0,INDEX(FILTER($Q$2:Q679,$C$2:C679=H680,$G$2:G679=G680),ROWS(FILTER($Q$2:Q679,$C$2:C679=H680,$G$2:G679=G680)),1)),1500)"),0.0)</f>
        <v>0</v>
      </c>
      <c r="L680" s="3">
        <f>IFERROR(__xludf.DUMMYFUNCTION("IFERROR(IF(I680="""",0,INDEX(FILTER($Q$2:Q679,$C$2:C679=I680,$G$2:G679=G680),ROWS(FILTER($Q$2:Q679,$C$2:C679=I680,$G$2:G679=G680)),1)),1500)"),0.0)</f>
        <v>0</v>
      </c>
      <c r="M680" s="3">
        <f>IFERROR(__xludf.DUMMYFUNCTION("IFERROR(IF(J680="""",0,INDEX(FILTER($Q$2:Q679,$C$2:C679=J680,$G$2:G679=G680),ROWS(FILTER($Q$2:Q679,$C$2:C679=J680,$G$2:G679=G680)),1)),1500)"),0.0)</f>
        <v>0</v>
      </c>
      <c r="N680" s="3">
        <f>IFERROR(__xludf.DUMMYFUNCTION("IFERROR(INDEX(FILTER($Q$2:Q679,$C$2:C679=C680,$G$2:G679=G680),ROWS(FILTER($Q$2:Q679,$C$2:C679=C680,$G$2:G679=G680)),1),1500)"),-585.0)</f>
        <v>-585</v>
      </c>
      <c r="O680" s="3">
        <f t="shared" si="3"/>
        <v>0</v>
      </c>
      <c r="P680" s="9">
        <f t="shared" si="1"/>
        <v>-1</v>
      </c>
      <c r="Q680" s="5">
        <f t="shared" si="2"/>
        <v>-586</v>
      </c>
    </row>
    <row r="681">
      <c r="H681" s="3" t="str">
        <f>IFERROR(__xludf.DUMMYFUNCTION("IFERROR(TRIM(INDEX(SPLIT(E681,"" + ""),1)),"""")"),"")</f>
        <v/>
      </c>
      <c r="I681" s="3" t="str">
        <f>IFERROR(__xludf.DUMMYFUNCTION("IFERROR(TRIM(INDEX(SPLIT(E681,"" + ""),2)),"""")"),"")</f>
        <v/>
      </c>
      <c r="J681" s="5" t="str">
        <f>IFERROR(__xludf.DUMMYFUNCTION("IFERROR(TRIM(INDEX(SPLIT(E681,"" + ""),3)),"""")"),"")</f>
        <v/>
      </c>
      <c r="K681" s="3">
        <f>IFERROR(__xludf.DUMMYFUNCTION("IFERROR(IF(H681="""",0,INDEX(FILTER($Q$2:Q680,$C$2:C680=H681,$G$2:G680=G681),ROWS(FILTER($Q$2:Q680,$C$2:C680=H681,$G$2:G680=G681)),1)),1500)"),0.0)</f>
        <v>0</v>
      </c>
      <c r="L681" s="3">
        <f>IFERROR(__xludf.DUMMYFUNCTION("IFERROR(IF(I681="""",0,INDEX(FILTER($Q$2:Q680,$C$2:C680=I681,$G$2:G680=G681),ROWS(FILTER($Q$2:Q680,$C$2:C680=I681,$G$2:G680=G681)),1)),1500)"),0.0)</f>
        <v>0</v>
      </c>
      <c r="M681" s="3">
        <f>IFERROR(__xludf.DUMMYFUNCTION("IFERROR(IF(J681="""",0,INDEX(FILTER($Q$2:Q680,$C$2:C680=J681,$G$2:G680=G681),ROWS(FILTER($Q$2:Q680,$C$2:C680=J681,$G$2:G680=G681)),1)),1500)"),0.0)</f>
        <v>0</v>
      </c>
      <c r="N681" s="3">
        <f>IFERROR(__xludf.DUMMYFUNCTION("IFERROR(INDEX(FILTER($Q$2:Q680,$C$2:C680=C681,$G$2:G680=G681),ROWS(FILTER($Q$2:Q680,$C$2:C680=C681,$G$2:G680=G681)),1),1500)"),-586.0)</f>
        <v>-586</v>
      </c>
      <c r="O681" s="3">
        <f t="shared" si="3"/>
        <v>0</v>
      </c>
      <c r="P681" s="9">
        <f t="shared" si="1"/>
        <v>-1</v>
      </c>
      <c r="Q681" s="5">
        <f t="shared" si="2"/>
        <v>-587</v>
      </c>
    </row>
    <row r="682">
      <c r="H682" s="3" t="str">
        <f>IFERROR(__xludf.DUMMYFUNCTION("IFERROR(TRIM(INDEX(SPLIT(E682,"" + ""),1)),"""")"),"")</f>
        <v/>
      </c>
      <c r="I682" s="3" t="str">
        <f>IFERROR(__xludf.DUMMYFUNCTION("IFERROR(TRIM(INDEX(SPLIT(E682,"" + ""),2)),"""")"),"")</f>
        <v/>
      </c>
      <c r="J682" s="5" t="str">
        <f>IFERROR(__xludf.DUMMYFUNCTION("IFERROR(TRIM(INDEX(SPLIT(E682,"" + ""),3)),"""")"),"")</f>
        <v/>
      </c>
      <c r="K682" s="3">
        <f>IFERROR(__xludf.DUMMYFUNCTION("IFERROR(IF(H682="""",0,INDEX(FILTER($Q$2:Q681,$C$2:C681=H682,$G$2:G681=G682),ROWS(FILTER($Q$2:Q681,$C$2:C681=H682,$G$2:G681=G682)),1)),1500)"),0.0)</f>
        <v>0</v>
      </c>
      <c r="L682" s="3">
        <f>IFERROR(__xludf.DUMMYFUNCTION("IFERROR(IF(I682="""",0,INDEX(FILTER($Q$2:Q681,$C$2:C681=I682,$G$2:G681=G682),ROWS(FILTER($Q$2:Q681,$C$2:C681=I682,$G$2:G681=G682)),1)),1500)"),0.0)</f>
        <v>0</v>
      </c>
      <c r="M682" s="3">
        <f>IFERROR(__xludf.DUMMYFUNCTION("IFERROR(IF(J682="""",0,INDEX(FILTER($Q$2:Q681,$C$2:C681=J682,$G$2:G681=G682),ROWS(FILTER($Q$2:Q681,$C$2:C681=J682,$G$2:G681=G682)),1)),1500)"),0.0)</f>
        <v>0</v>
      </c>
      <c r="N682" s="3">
        <f>IFERROR(__xludf.DUMMYFUNCTION("IFERROR(INDEX(FILTER($Q$2:Q681,$C$2:C681=C682,$G$2:G681=G682),ROWS(FILTER($Q$2:Q681,$C$2:C681=C682,$G$2:G681=G682)),1),1500)"),-587.0)</f>
        <v>-587</v>
      </c>
      <c r="O682" s="3">
        <f t="shared" si="3"/>
        <v>0</v>
      </c>
      <c r="P682" s="9">
        <f t="shared" si="1"/>
        <v>-1</v>
      </c>
      <c r="Q682" s="5">
        <f t="shared" si="2"/>
        <v>-588</v>
      </c>
    </row>
    <row r="683">
      <c r="H683" s="3" t="str">
        <f>IFERROR(__xludf.DUMMYFUNCTION("IFERROR(TRIM(INDEX(SPLIT(E683,"" + ""),1)),"""")"),"")</f>
        <v/>
      </c>
      <c r="I683" s="3" t="str">
        <f>IFERROR(__xludf.DUMMYFUNCTION("IFERROR(TRIM(INDEX(SPLIT(E683,"" + ""),2)),"""")"),"")</f>
        <v/>
      </c>
      <c r="J683" s="5" t="str">
        <f>IFERROR(__xludf.DUMMYFUNCTION("IFERROR(TRIM(INDEX(SPLIT(E683,"" + ""),3)),"""")"),"")</f>
        <v/>
      </c>
      <c r="K683" s="3">
        <f>IFERROR(__xludf.DUMMYFUNCTION("IFERROR(IF(H683="""",0,INDEX(FILTER($Q$2:Q682,$C$2:C682=H683,$G$2:G682=G683),ROWS(FILTER($Q$2:Q682,$C$2:C682=H683,$G$2:G682=G683)),1)),1500)"),0.0)</f>
        <v>0</v>
      </c>
      <c r="L683" s="3">
        <f>IFERROR(__xludf.DUMMYFUNCTION("IFERROR(IF(I683="""",0,INDEX(FILTER($Q$2:Q682,$C$2:C682=I683,$G$2:G682=G683),ROWS(FILTER($Q$2:Q682,$C$2:C682=I683,$G$2:G682=G683)),1)),1500)"),0.0)</f>
        <v>0</v>
      </c>
      <c r="M683" s="3">
        <f>IFERROR(__xludf.DUMMYFUNCTION("IFERROR(IF(J683="""",0,INDEX(FILTER($Q$2:Q682,$C$2:C682=J683,$G$2:G682=G683),ROWS(FILTER($Q$2:Q682,$C$2:C682=J683,$G$2:G682=G683)),1)),1500)"),0.0)</f>
        <v>0</v>
      </c>
      <c r="N683" s="3">
        <f>IFERROR(__xludf.DUMMYFUNCTION("IFERROR(INDEX(FILTER($Q$2:Q682,$C$2:C682=C683,$G$2:G682=G683),ROWS(FILTER($Q$2:Q682,$C$2:C682=C683,$G$2:G682=G683)),1),1500)"),-588.0)</f>
        <v>-588</v>
      </c>
      <c r="O683" s="3">
        <f t="shared" si="3"/>
        <v>0</v>
      </c>
      <c r="P683" s="9">
        <f t="shared" si="1"/>
        <v>-1</v>
      </c>
      <c r="Q683" s="5">
        <f t="shared" si="2"/>
        <v>-589</v>
      </c>
    </row>
    <row r="684">
      <c r="H684" s="3" t="str">
        <f>IFERROR(__xludf.DUMMYFUNCTION("IFERROR(TRIM(INDEX(SPLIT(E684,"" + ""),1)),"""")"),"")</f>
        <v/>
      </c>
      <c r="I684" s="3" t="str">
        <f>IFERROR(__xludf.DUMMYFUNCTION("IFERROR(TRIM(INDEX(SPLIT(E684,"" + ""),2)),"""")"),"")</f>
        <v/>
      </c>
      <c r="J684" s="5" t="str">
        <f>IFERROR(__xludf.DUMMYFUNCTION("IFERROR(TRIM(INDEX(SPLIT(E684,"" + ""),3)),"""")"),"")</f>
        <v/>
      </c>
      <c r="K684" s="3">
        <f>IFERROR(__xludf.DUMMYFUNCTION("IFERROR(IF(H684="""",0,INDEX(FILTER($Q$2:Q683,$C$2:C683=H684,$G$2:G683=G684),ROWS(FILTER($Q$2:Q683,$C$2:C683=H684,$G$2:G683=G684)),1)),1500)"),0.0)</f>
        <v>0</v>
      </c>
      <c r="L684" s="3">
        <f>IFERROR(__xludf.DUMMYFUNCTION("IFERROR(IF(I684="""",0,INDEX(FILTER($Q$2:Q683,$C$2:C683=I684,$G$2:G683=G684),ROWS(FILTER($Q$2:Q683,$C$2:C683=I684,$G$2:G683=G684)),1)),1500)"),0.0)</f>
        <v>0</v>
      </c>
      <c r="M684" s="3">
        <f>IFERROR(__xludf.DUMMYFUNCTION("IFERROR(IF(J684="""",0,INDEX(FILTER($Q$2:Q683,$C$2:C683=J684,$G$2:G683=G684),ROWS(FILTER($Q$2:Q683,$C$2:C683=J684,$G$2:G683=G684)),1)),1500)"),0.0)</f>
        <v>0</v>
      </c>
      <c r="N684" s="3">
        <f>IFERROR(__xludf.DUMMYFUNCTION("IFERROR(INDEX(FILTER($Q$2:Q683,$C$2:C683=C684,$G$2:G683=G684),ROWS(FILTER($Q$2:Q683,$C$2:C683=C684,$G$2:G683=G684)),1),1500)"),-589.0)</f>
        <v>-589</v>
      </c>
      <c r="O684" s="3">
        <f t="shared" si="3"/>
        <v>0</v>
      </c>
      <c r="P684" s="9">
        <f t="shared" si="1"/>
        <v>-1</v>
      </c>
      <c r="Q684" s="5">
        <f t="shared" si="2"/>
        <v>-590</v>
      </c>
    </row>
    <row r="685">
      <c r="H685" s="3" t="str">
        <f>IFERROR(__xludf.DUMMYFUNCTION("IFERROR(TRIM(INDEX(SPLIT(E685,"" + ""),1)),"""")"),"")</f>
        <v/>
      </c>
      <c r="I685" s="3" t="str">
        <f>IFERROR(__xludf.DUMMYFUNCTION("IFERROR(TRIM(INDEX(SPLIT(E685,"" + ""),2)),"""")"),"")</f>
        <v/>
      </c>
      <c r="J685" s="5" t="str">
        <f>IFERROR(__xludf.DUMMYFUNCTION("IFERROR(TRIM(INDEX(SPLIT(E685,"" + ""),3)),"""")"),"")</f>
        <v/>
      </c>
      <c r="K685" s="3">
        <f>IFERROR(__xludf.DUMMYFUNCTION("IFERROR(IF(H685="""",0,INDEX(FILTER($Q$2:Q684,$C$2:C684=H685,$G$2:G684=G685),ROWS(FILTER($Q$2:Q684,$C$2:C684=H685,$G$2:G684=G685)),1)),1500)"),0.0)</f>
        <v>0</v>
      </c>
      <c r="L685" s="3">
        <f>IFERROR(__xludf.DUMMYFUNCTION("IFERROR(IF(I685="""",0,INDEX(FILTER($Q$2:Q684,$C$2:C684=I685,$G$2:G684=G685),ROWS(FILTER($Q$2:Q684,$C$2:C684=I685,$G$2:G684=G685)),1)),1500)"),0.0)</f>
        <v>0</v>
      </c>
      <c r="M685" s="3">
        <f>IFERROR(__xludf.DUMMYFUNCTION("IFERROR(IF(J685="""",0,INDEX(FILTER($Q$2:Q684,$C$2:C684=J685,$G$2:G684=G685),ROWS(FILTER($Q$2:Q684,$C$2:C684=J685,$G$2:G684=G685)),1)),1500)"),0.0)</f>
        <v>0</v>
      </c>
      <c r="N685" s="3">
        <f>IFERROR(__xludf.DUMMYFUNCTION("IFERROR(INDEX(FILTER($Q$2:Q684,$C$2:C684=C685,$G$2:G684=G685),ROWS(FILTER($Q$2:Q684,$C$2:C684=C685,$G$2:G684=G685)),1),1500)"),-590.0)</f>
        <v>-590</v>
      </c>
      <c r="O685" s="3">
        <f t="shared" si="3"/>
        <v>0</v>
      </c>
      <c r="P685" s="9">
        <f t="shared" si="1"/>
        <v>-1</v>
      </c>
      <c r="Q685" s="5">
        <f t="shared" si="2"/>
        <v>-591</v>
      </c>
    </row>
    <row r="686">
      <c r="H686" s="3" t="str">
        <f>IFERROR(__xludf.DUMMYFUNCTION("IFERROR(TRIM(INDEX(SPLIT(E686,"" + ""),1)),"""")"),"")</f>
        <v/>
      </c>
      <c r="I686" s="3" t="str">
        <f>IFERROR(__xludf.DUMMYFUNCTION("IFERROR(TRIM(INDEX(SPLIT(E686,"" + ""),2)),"""")"),"")</f>
        <v/>
      </c>
      <c r="J686" s="5" t="str">
        <f>IFERROR(__xludf.DUMMYFUNCTION("IFERROR(TRIM(INDEX(SPLIT(E686,"" + ""),3)),"""")"),"")</f>
        <v/>
      </c>
      <c r="K686" s="3">
        <f>IFERROR(__xludf.DUMMYFUNCTION("IFERROR(IF(H686="""",0,INDEX(FILTER($Q$2:Q685,$C$2:C685=H686,$G$2:G685=G686),ROWS(FILTER($Q$2:Q685,$C$2:C685=H686,$G$2:G685=G686)),1)),1500)"),0.0)</f>
        <v>0</v>
      </c>
      <c r="L686" s="3">
        <f>IFERROR(__xludf.DUMMYFUNCTION("IFERROR(IF(I686="""",0,INDEX(FILTER($Q$2:Q685,$C$2:C685=I686,$G$2:G685=G686),ROWS(FILTER($Q$2:Q685,$C$2:C685=I686,$G$2:G685=G686)),1)),1500)"),0.0)</f>
        <v>0</v>
      </c>
      <c r="M686" s="3">
        <f>IFERROR(__xludf.DUMMYFUNCTION("IFERROR(IF(J686="""",0,INDEX(FILTER($Q$2:Q685,$C$2:C685=J686,$G$2:G685=G686),ROWS(FILTER($Q$2:Q685,$C$2:C685=J686,$G$2:G685=G686)),1)),1500)"),0.0)</f>
        <v>0</v>
      </c>
      <c r="N686" s="3">
        <f>IFERROR(__xludf.DUMMYFUNCTION("IFERROR(INDEX(FILTER($Q$2:Q685,$C$2:C685=C686,$G$2:G685=G686),ROWS(FILTER($Q$2:Q685,$C$2:C685=C686,$G$2:G685=G686)),1),1500)"),-591.0)</f>
        <v>-591</v>
      </c>
      <c r="O686" s="3">
        <f t="shared" si="3"/>
        <v>0</v>
      </c>
      <c r="P686" s="9">
        <f t="shared" si="1"/>
        <v>-1</v>
      </c>
      <c r="Q686" s="5">
        <f t="shared" si="2"/>
        <v>-592</v>
      </c>
    </row>
    <row r="687">
      <c r="H687" s="3" t="str">
        <f>IFERROR(__xludf.DUMMYFUNCTION("IFERROR(TRIM(INDEX(SPLIT(E687,"" + ""),1)),"""")"),"")</f>
        <v/>
      </c>
      <c r="I687" s="3" t="str">
        <f>IFERROR(__xludf.DUMMYFUNCTION("IFERROR(TRIM(INDEX(SPLIT(E687,"" + ""),2)),"""")"),"")</f>
        <v/>
      </c>
      <c r="J687" s="5" t="str">
        <f>IFERROR(__xludf.DUMMYFUNCTION("IFERROR(TRIM(INDEX(SPLIT(E687,"" + ""),3)),"""")"),"")</f>
        <v/>
      </c>
      <c r="K687" s="3">
        <f>IFERROR(__xludf.DUMMYFUNCTION("IFERROR(IF(H687="""",0,INDEX(FILTER($Q$2:Q686,$C$2:C686=H687,$G$2:G686=G687),ROWS(FILTER($Q$2:Q686,$C$2:C686=H687,$G$2:G686=G687)),1)),1500)"),0.0)</f>
        <v>0</v>
      </c>
      <c r="L687" s="3">
        <f>IFERROR(__xludf.DUMMYFUNCTION("IFERROR(IF(I687="""",0,INDEX(FILTER($Q$2:Q686,$C$2:C686=I687,$G$2:G686=G687),ROWS(FILTER($Q$2:Q686,$C$2:C686=I687,$G$2:G686=G687)),1)),1500)"),0.0)</f>
        <v>0</v>
      </c>
      <c r="M687" s="3">
        <f>IFERROR(__xludf.DUMMYFUNCTION("IFERROR(IF(J687="""",0,INDEX(FILTER($Q$2:Q686,$C$2:C686=J687,$G$2:G686=G687),ROWS(FILTER($Q$2:Q686,$C$2:C686=J687,$G$2:G686=G687)),1)),1500)"),0.0)</f>
        <v>0</v>
      </c>
      <c r="N687" s="3">
        <f>IFERROR(__xludf.DUMMYFUNCTION("IFERROR(INDEX(FILTER($Q$2:Q686,$C$2:C686=C687,$G$2:G686=G687),ROWS(FILTER($Q$2:Q686,$C$2:C686=C687,$G$2:G686=G687)),1),1500)"),-592.0)</f>
        <v>-592</v>
      </c>
      <c r="O687" s="3">
        <f t="shared" si="3"/>
        <v>0</v>
      </c>
      <c r="P687" s="9">
        <f t="shared" si="1"/>
        <v>-1</v>
      </c>
      <c r="Q687" s="5">
        <f t="shared" si="2"/>
        <v>-593</v>
      </c>
    </row>
    <row r="688">
      <c r="H688" s="3" t="str">
        <f>IFERROR(__xludf.DUMMYFUNCTION("IFERROR(TRIM(INDEX(SPLIT(E688,"" + ""),1)),"""")"),"")</f>
        <v/>
      </c>
      <c r="I688" s="3" t="str">
        <f>IFERROR(__xludf.DUMMYFUNCTION("IFERROR(TRIM(INDEX(SPLIT(E688,"" + ""),2)),"""")"),"")</f>
        <v/>
      </c>
      <c r="J688" s="5" t="str">
        <f>IFERROR(__xludf.DUMMYFUNCTION("IFERROR(TRIM(INDEX(SPLIT(E688,"" + ""),3)),"""")"),"")</f>
        <v/>
      </c>
      <c r="K688" s="3">
        <f>IFERROR(__xludf.DUMMYFUNCTION("IFERROR(IF(H688="""",0,INDEX(FILTER($Q$2:Q687,$C$2:C687=H688,$G$2:G687=G688),ROWS(FILTER($Q$2:Q687,$C$2:C687=H688,$G$2:G687=G688)),1)),1500)"),0.0)</f>
        <v>0</v>
      </c>
      <c r="L688" s="3">
        <f>IFERROR(__xludf.DUMMYFUNCTION("IFERROR(IF(I688="""",0,INDEX(FILTER($Q$2:Q687,$C$2:C687=I688,$G$2:G687=G688),ROWS(FILTER($Q$2:Q687,$C$2:C687=I688,$G$2:G687=G688)),1)),1500)"),0.0)</f>
        <v>0</v>
      </c>
      <c r="M688" s="3">
        <f>IFERROR(__xludf.DUMMYFUNCTION("IFERROR(IF(J688="""",0,INDEX(FILTER($Q$2:Q687,$C$2:C687=J688,$G$2:G687=G688),ROWS(FILTER($Q$2:Q687,$C$2:C687=J688,$G$2:G687=G688)),1)),1500)"),0.0)</f>
        <v>0</v>
      </c>
      <c r="N688" s="3">
        <f>IFERROR(__xludf.DUMMYFUNCTION("IFERROR(INDEX(FILTER($Q$2:Q687,$C$2:C687=C688,$G$2:G687=G688),ROWS(FILTER($Q$2:Q687,$C$2:C687=C688,$G$2:G687=G688)),1),1500)"),-593.0)</f>
        <v>-593</v>
      </c>
      <c r="O688" s="3">
        <f t="shared" si="3"/>
        <v>0</v>
      </c>
      <c r="P688" s="9">
        <f t="shared" si="1"/>
        <v>-1</v>
      </c>
      <c r="Q688" s="5">
        <f t="shared" si="2"/>
        <v>-594</v>
      </c>
    </row>
    <row r="689">
      <c r="H689" s="3" t="str">
        <f>IFERROR(__xludf.DUMMYFUNCTION("IFERROR(TRIM(INDEX(SPLIT(E689,"" + ""),1)),"""")"),"")</f>
        <v/>
      </c>
      <c r="I689" s="3" t="str">
        <f>IFERROR(__xludf.DUMMYFUNCTION("IFERROR(TRIM(INDEX(SPLIT(E689,"" + ""),2)),"""")"),"")</f>
        <v/>
      </c>
      <c r="J689" s="5" t="str">
        <f>IFERROR(__xludf.DUMMYFUNCTION("IFERROR(TRIM(INDEX(SPLIT(E689,"" + ""),3)),"""")"),"")</f>
        <v/>
      </c>
      <c r="K689" s="3">
        <f>IFERROR(__xludf.DUMMYFUNCTION("IFERROR(IF(H689="""",0,INDEX(FILTER($Q$2:Q688,$C$2:C688=H689,$G$2:G688=G689),ROWS(FILTER($Q$2:Q688,$C$2:C688=H689,$G$2:G688=G689)),1)),1500)"),0.0)</f>
        <v>0</v>
      </c>
      <c r="L689" s="3">
        <f>IFERROR(__xludf.DUMMYFUNCTION("IFERROR(IF(I689="""",0,INDEX(FILTER($Q$2:Q688,$C$2:C688=I689,$G$2:G688=G689),ROWS(FILTER($Q$2:Q688,$C$2:C688=I689,$G$2:G688=G689)),1)),1500)"),0.0)</f>
        <v>0</v>
      </c>
      <c r="M689" s="3">
        <f>IFERROR(__xludf.DUMMYFUNCTION("IFERROR(IF(J689="""",0,INDEX(FILTER($Q$2:Q688,$C$2:C688=J689,$G$2:G688=G689),ROWS(FILTER($Q$2:Q688,$C$2:C688=J689,$G$2:G688=G689)),1)),1500)"),0.0)</f>
        <v>0</v>
      </c>
      <c r="N689" s="3">
        <f>IFERROR(__xludf.DUMMYFUNCTION("IFERROR(INDEX(FILTER($Q$2:Q688,$C$2:C688=C689,$G$2:G688=G689),ROWS(FILTER($Q$2:Q688,$C$2:C688=C689,$G$2:G688=G689)),1),1500)"),-594.0)</f>
        <v>-594</v>
      </c>
      <c r="O689" s="3">
        <f t="shared" si="3"/>
        <v>0</v>
      </c>
      <c r="P689" s="9">
        <f t="shared" si="1"/>
        <v>-1</v>
      </c>
      <c r="Q689" s="5">
        <f t="shared" si="2"/>
        <v>-595</v>
      </c>
    </row>
    <row r="690">
      <c r="H690" s="3" t="str">
        <f>IFERROR(__xludf.DUMMYFUNCTION("IFERROR(TRIM(INDEX(SPLIT(E690,"" + ""),1)),"""")"),"")</f>
        <v/>
      </c>
      <c r="I690" s="3" t="str">
        <f>IFERROR(__xludf.DUMMYFUNCTION("IFERROR(TRIM(INDEX(SPLIT(E690,"" + ""),2)),"""")"),"")</f>
        <v/>
      </c>
      <c r="J690" s="5" t="str">
        <f>IFERROR(__xludf.DUMMYFUNCTION("IFERROR(TRIM(INDEX(SPLIT(E690,"" + ""),3)),"""")"),"")</f>
        <v/>
      </c>
      <c r="K690" s="3">
        <f>IFERROR(__xludf.DUMMYFUNCTION("IFERROR(IF(H690="""",0,INDEX(FILTER($Q$2:Q689,$C$2:C689=H690,$G$2:G689=G690),ROWS(FILTER($Q$2:Q689,$C$2:C689=H690,$G$2:G689=G690)),1)),1500)"),0.0)</f>
        <v>0</v>
      </c>
      <c r="L690" s="3">
        <f>IFERROR(__xludf.DUMMYFUNCTION("IFERROR(IF(I690="""",0,INDEX(FILTER($Q$2:Q689,$C$2:C689=I690,$G$2:G689=G690),ROWS(FILTER($Q$2:Q689,$C$2:C689=I690,$G$2:G689=G690)),1)),1500)"),0.0)</f>
        <v>0</v>
      </c>
      <c r="M690" s="3">
        <f>IFERROR(__xludf.DUMMYFUNCTION("IFERROR(IF(J690="""",0,INDEX(FILTER($Q$2:Q689,$C$2:C689=J690,$G$2:G689=G690),ROWS(FILTER($Q$2:Q689,$C$2:C689=J690,$G$2:G689=G690)),1)),1500)"),0.0)</f>
        <v>0</v>
      </c>
      <c r="N690" s="3">
        <f>IFERROR(__xludf.DUMMYFUNCTION("IFERROR(INDEX(FILTER($Q$2:Q689,$C$2:C689=C690,$G$2:G689=G690),ROWS(FILTER($Q$2:Q689,$C$2:C689=C690,$G$2:G689=G690)),1),1500)"),-595.0)</f>
        <v>-595</v>
      </c>
      <c r="O690" s="3">
        <f t="shared" si="3"/>
        <v>0</v>
      </c>
      <c r="P690" s="9">
        <f t="shared" si="1"/>
        <v>-1</v>
      </c>
      <c r="Q690" s="5">
        <f t="shared" si="2"/>
        <v>-596</v>
      </c>
    </row>
    <row r="691">
      <c r="H691" s="3" t="str">
        <f>IFERROR(__xludf.DUMMYFUNCTION("IFERROR(TRIM(INDEX(SPLIT(E691,"" + ""),1)),"""")"),"")</f>
        <v/>
      </c>
      <c r="I691" s="3" t="str">
        <f>IFERROR(__xludf.DUMMYFUNCTION("IFERROR(TRIM(INDEX(SPLIT(E691,"" + ""),2)),"""")"),"")</f>
        <v/>
      </c>
      <c r="J691" s="5" t="str">
        <f>IFERROR(__xludf.DUMMYFUNCTION("IFERROR(TRIM(INDEX(SPLIT(E691,"" + ""),3)),"""")"),"")</f>
        <v/>
      </c>
      <c r="K691" s="3">
        <f>IFERROR(__xludf.DUMMYFUNCTION("IFERROR(IF(H691="""",0,INDEX(FILTER($Q$2:Q690,$C$2:C690=H691,$G$2:G690=G691),ROWS(FILTER($Q$2:Q690,$C$2:C690=H691,$G$2:G690=G691)),1)),1500)"),0.0)</f>
        <v>0</v>
      </c>
      <c r="L691" s="3">
        <f>IFERROR(__xludf.DUMMYFUNCTION("IFERROR(IF(I691="""",0,INDEX(FILTER($Q$2:Q690,$C$2:C690=I691,$G$2:G690=G691),ROWS(FILTER($Q$2:Q690,$C$2:C690=I691,$G$2:G690=G691)),1)),1500)"),0.0)</f>
        <v>0</v>
      </c>
      <c r="M691" s="3">
        <f>IFERROR(__xludf.DUMMYFUNCTION("IFERROR(IF(J691="""",0,INDEX(FILTER($Q$2:Q690,$C$2:C690=J691,$G$2:G690=G691),ROWS(FILTER($Q$2:Q690,$C$2:C690=J691,$G$2:G690=G691)),1)),1500)"),0.0)</f>
        <v>0</v>
      </c>
      <c r="N691" s="3">
        <f>IFERROR(__xludf.DUMMYFUNCTION("IFERROR(INDEX(FILTER($Q$2:Q690,$C$2:C690=C691,$G$2:G690=G691),ROWS(FILTER($Q$2:Q690,$C$2:C690=C691,$G$2:G690=G691)),1),1500)"),-596.0)</f>
        <v>-596</v>
      </c>
      <c r="O691" s="3">
        <f t="shared" si="3"/>
        <v>0</v>
      </c>
      <c r="P691" s="9">
        <f t="shared" si="1"/>
        <v>-1</v>
      </c>
      <c r="Q691" s="5">
        <f t="shared" si="2"/>
        <v>-597</v>
      </c>
    </row>
    <row r="692">
      <c r="H692" s="3" t="str">
        <f>IFERROR(__xludf.DUMMYFUNCTION("IFERROR(TRIM(INDEX(SPLIT(E692,"" + ""),1)),"""")"),"")</f>
        <v/>
      </c>
      <c r="I692" s="3" t="str">
        <f>IFERROR(__xludf.DUMMYFUNCTION("IFERROR(TRIM(INDEX(SPLIT(E692,"" + ""),2)),"""")"),"")</f>
        <v/>
      </c>
      <c r="J692" s="5" t="str">
        <f>IFERROR(__xludf.DUMMYFUNCTION("IFERROR(TRIM(INDEX(SPLIT(E692,"" + ""),3)),"""")"),"")</f>
        <v/>
      </c>
      <c r="K692" s="3">
        <f>IFERROR(__xludf.DUMMYFUNCTION("IFERROR(IF(H692="""",0,INDEX(FILTER($Q$2:Q691,$C$2:C691=H692,$G$2:G691=G692),ROWS(FILTER($Q$2:Q691,$C$2:C691=H692,$G$2:G691=G692)),1)),1500)"),0.0)</f>
        <v>0</v>
      </c>
      <c r="L692" s="3">
        <f>IFERROR(__xludf.DUMMYFUNCTION("IFERROR(IF(I692="""",0,INDEX(FILTER($Q$2:Q691,$C$2:C691=I692,$G$2:G691=G692),ROWS(FILTER($Q$2:Q691,$C$2:C691=I692,$G$2:G691=G692)),1)),1500)"),0.0)</f>
        <v>0</v>
      </c>
      <c r="M692" s="3">
        <f>IFERROR(__xludf.DUMMYFUNCTION("IFERROR(IF(J692="""",0,INDEX(FILTER($Q$2:Q691,$C$2:C691=J692,$G$2:G691=G692),ROWS(FILTER($Q$2:Q691,$C$2:C691=J692,$G$2:G691=G692)),1)),1500)"),0.0)</f>
        <v>0</v>
      </c>
      <c r="N692" s="3">
        <f>IFERROR(__xludf.DUMMYFUNCTION("IFERROR(INDEX(FILTER($Q$2:Q691,$C$2:C691=C692,$G$2:G691=G692),ROWS(FILTER($Q$2:Q691,$C$2:C691=C692,$G$2:G691=G692)),1),1500)"),-597.0)</f>
        <v>-597</v>
      </c>
      <c r="O692" s="3">
        <f t="shared" si="3"/>
        <v>0</v>
      </c>
      <c r="P692" s="9">
        <f t="shared" si="1"/>
        <v>-1</v>
      </c>
      <c r="Q692" s="5">
        <f t="shared" si="2"/>
        <v>-598</v>
      </c>
    </row>
    <row r="693">
      <c r="H693" s="3" t="str">
        <f>IFERROR(__xludf.DUMMYFUNCTION("IFERROR(TRIM(INDEX(SPLIT(E693,"" + ""),1)),"""")"),"")</f>
        <v/>
      </c>
      <c r="I693" s="3" t="str">
        <f>IFERROR(__xludf.DUMMYFUNCTION("IFERROR(TRIM(INDEX(SPLIT(E693,"" + ""),2)),"""")"),"")</f>
        <v/>
      </c>
      <c r="J693" s="5" t="str">
        <f>IFERROR(__xludf.DUMMYFUNCTION("IFERROR(TRIM(INDEX(SPLIT(E693,"" + ""),3)),"""")"),"")</f>
        <v/>
      </c>
      <c r="K693" s="3">
        <f>IFERROR(__xludf.DUMMYFUNCTION("IFERROR(IF(H693="""",0,INDEX(FILTER($Q$2:Q692,$C$2:C692=H693,$G$2:G692=G693),ROWS(FILTER($Q$2:Q692,$C$2:C692=H693,$G$2:G692=G693)),1)),1500)"),0.0)</f>
        <v>0</v>
      </c>
      <c r="L693" s="3">
        <f>IFERROR(__xludf.DUMMYFUNCTION("IFERROR(IF(I693="""",0,INDEX(FILTER($Q$2:Q692,$C$2:C692=I693,$G$2:G692=G693),ROWS(FILTER($Q$2:Q692,$C$2:C692=I693,$G$2:G692=G693)),1)),1500)"),0.0)</f>
        <v>0</v>
      </c>
      <c r="M693" s="3">
        <f>IFERROR(__xludf.DUMMYFUNCTION("IFERROR(IF(J693="""",0,INDEX(FILTER($Q$2:Q692,$C$2:C692=J693,$G$2:G692=G693),ROWS(FILTER($Q$2:Q692,$C$2:C692=J693,$G$2:G692=G693)),1)),1500)"),0.0)</f>
        <v>0</v>
      </c>
      <c r="N693" s="3">
        <f>IFERROR(__xludf.DUMMYFUNCTION("IFERROR(INDEX(FILTER($Q$2:Q692,$C$2:C692=C693,$G$2:G692=G693),ROWS(FILTER($Q$2:Q692,$C$2:C692=C693,$G$2:G692=G693)),1),1500)"),-598.0)</f>
        <v>-598</v>
      </c>
      <c r="O693" s="3">
        <f t="shared" si="3"/>
        <v>0</v>
      </c>
      <c r="P693" s="9">
        <f t="shared" si="1"/>
        <v>-1</v>
      </c>
      <c r="Q693" s="5">
        <f t="shared" si="2"/>
        <v>-599</v>
      </c>
    </row>
    <row r="694">
      <c r="H694" s="3" t="str">
        <f>IFERROR(__xludf.DUMMYFUNCTION("IFERROR(TRIM(INDEX(SPLIT(E694,"" + ""),1)),"""")"),"")</f>
        <v/>
      </c>
      <c r="I694" s="3" t="str">
        <f>IFERROR(__xludf.DUMMYFUNCTION("IFERROR(TRIM(INDEX(SPLIT(E694,"" + ""),2)),"""")"),"")</f>
        <v/>
      </c>
      <c r="J694" s="5" t="str">
        <f>IFERROR(__xludf.DUMMYFUNCTION("IFERROR(TRIM(INDEX(SPLIT(E694,"" + ""),3)),"""")"),"")</f>
        <v/>
      </c>
      <c r="K694" s="3">
        <f>IFERROR(__xludf.DUMMYFUNCTION("IFERROR(IF(H694="""",0,INDEX(FILTER($Q$2:Q693,$C$2:C693=H694,$G$2:G693=G694),ROWS(FILTER($Q$2:Q693,$C$2:C693=H694,$G$2:G693=G694)),1)),1500)"),0.0)</f>
        <v>0</v>
      </c>
      <c r="L694" s="3">
        <f>IFERROR(__xludf.DUMMYFUNCTION("IFERROR(IF(I694="""",0,INDEX(FILTER($Q$2:Q693,$C$2:C693=I694,$G$2:G693=G694),ROWS(FILTER($Q$2:Q693,$C$2:C693=I694,$G$2:G693=G694)),1)),1500)"),0.0)</f>
        <v>0</v>
      </c>
      <c r="M694" s="3">
        <f>IFERROR(__xludf.DUMMYFUNCTION("IFERROR(IF(J694="""",0,INDEX(FILTER($Q$2:Q693,$C$2:C693=J694,$G$2:G693=G694),ROWS(FILTER($Q$2:Q693,$C$2:C693=J694,$G$2:G693=G694)),1)),1500)"),0.0)</f>
        <v>0</v>
      </c>
      <c r="N694" s="3">
        <f>IFERROR(__xludf.DUMMYFUNCTION("IFERROR(INDEX(FILTER($Q$2:Q693,$C$2:C693=C694,$G$2:G693=G694),ROWS(FILTER($Q$2:Q693,$C$2:C693=C694,$G$2:G693=G694)),1),1500)"),-599.0)</f>
        <v>-599</v>
      </c>
      <c r="O694" s="3">
        <f t="shared" si="3"/>
        <v>0</v>
      </c>
      <c r="P694" s="9">
        <f t="shared" si="1"/>
        <v>-1</v>
      </c>
      <c r="Q694" s="5">
        <f t="shared" si="2"/>
        <v>-600</v>
      </c>
    </row>
    <row r="695">
      <c r="H695" s="3" t="str">
        <f>IFERROR(__xludf.DUMMYFUNCTION("IFERROR(TRIM(INDEX(SPLIT(E695,"" + ""),1)),"""")"),"")</f>
        <v/>
      </c>
      <c r="I695" s="3" t="str">
        <f>IFERROR(__xludf.DUMMYFUNCTION("IFERROR(TRIM(INDEX(SPLIT(E695,"" + ""),2)),"""")"),"")</f>
        <v/>
      </c>
      <c r="J695" s="5" t="str">
        <f>IFERROR(__xludf.DUMMYFUNCTION("IFERROR(TRIM(INDEX(SPLIT(E695,"" + ""),3)),"""")"),"")</f>
        <v/>
      </c>
      <c r="K695" s="3">
        <f>IFERROR(__xludf.DUMMYFUNCTION("IFERROR(IF(H695="""",0,INDEX(FILTER($Q$2:Q694,$C$2:C694=H695,$G$2:G694=G695),ROWS(FILTER($Q$2:Q694,$C$2:C694=H695,$G$2:G694=G695)),1)),1500)"),0.0)</f>
        <v>0</v>
      </c>
      <c r="L695" s="3">
        <f>IFERROR(__xludf.DUMMYFUNCTION("IFERROR(IF(I695="""",0,INDEX(FILTER($Q$2:Q694,$C$2:C694=I695,$G$2:G694=G695),ROWS(FILTER($Q$2:Q694,$C$2:C694=I695,$G$2:G694=G695)),1)),1500)"),0.0)</f>
        <v>0</v>
      </c>
      <c r="M695" s="3">
        <f>IFERROR(__xludf.DUMMYFUNCTION("IFERROR(IF(J695="""",0,INDEX(FILTER($Q$2:Q694,$C$2:C694=J695,$G$2:G694=G695),ROWS(FILTER($Q$2:Q694,$C$2:C694=J695,$G$2:G694=G695)),1)),1500)"),0.0)</f>
        <v>0</v>
      </c>
      <c r="N695" s="3">
        <f>IFERROR(__xludf.DUMMYFUNCTION("IFERROR(INDEX(FILTER($Q$2:Q694,$C$2:C694=C695,$G$2:G694=G695),ROWS(FILTER($Q$2:Q694,$C$2:C694=C695,$G$2:G694=G695)),1),1500)"),-600.0)</f>
        <v>-600</v>
      </c>
      <c r="O695" s="3">
        <f t="shared" si="3"/>
        <v>0</v>
      </c>
      <c r="P695" s="9">
        <f t="shared" si="1"/>
        <v>-1</v>
      </c>
      <c r="Q695" s="5">
        <f t="shared" si="2"/>
        <v>-601</v>
      </c>
    </row>
    <row r="696">
      <c r="H696" s="3" t="str">
        <f>IFERROR(__xludf.DUMMYFUNCTION("IFERROR(TRIM(INDEX(SPLIT(E696,"" + ""),1)),"""")"),"")</f>
        <v/>
      </c>
      <c r="I696" s="3" t="str">
        <f>IFERROR(__xludf.DUMMYFUNCTION("IFERROR(TRIM(INDEX(SPLIT(E696,"" + ""),2)),"""")"),"")</f>
        <v/>
      </c>
      <c r="J696" s="5" t="str">
        <f>IFERROR(__xludf.DUMMYFUNCTION("IFERROR(TRIM(INDEX(SPLIT(E696,"" + ""),3)),"""")"),"")</f>
        <v/>
      </c>
      <c r="K696" s="3">
        <f>IFERROR(__xludf.DUMMYFUNCTION("IFERROR(IF(H696="""",0,INDEX(FILTER($Q$2:Q695,$C$2:C695=H696,$G$2:G695=G696),ROWS(FILTER($Q$2:Q695,$C$2:C695=H696,$G$2:G695=G696)),1)),1500)"),0.0)</f>
        <v>0</v>
      </c>
      <c r="L696" s="3">
        <f>IFERROR(__xludf.DUMMYFUNCTION("IFERROR(IF(I696="""",0,INDEX(FILTER($Q$2:Q695,$C$2:C695=I696,$G$2:G695=G696),ROWS(FILTER($Q$2:Q695,$C$2:C695=I696,$G$2:G695=G696)),1)),1500)"),0.0)</f>
        <v>0</v>
      </c>
      <c r="M696" s="3">
        <f>IFERROR(__xludf.DUMMYFUNCTION("IFERROR(IF(J696="""",0,INDEX(FILTER($Q$2:Q695,$C$2:C695=J696,$G$2:G695=G696),ROWS(FILTER($Q$2:Q695,$C$2:C695=J696,$G$2:G695=G696)),1)),1500)"),0.0)</f>
        <v>0</v>
      </c>
      <c r="N696" s="3">
        <f>IFERROR(__xludf.DUMMYFUNCTION("IFERROR(INDEX(FILTER($Q$2:Q695,$C$2:C695=C696,$G$2:G695=G696),ROWS(FILTER($Q$2:Q695,$C$2:C695=C696,$G$2:G695=G696)),1),1500)"),-601.0)</f>
        <v>-601</v>
      </c>
      <c r="O696" s="3">
        <f t="shared" si="3"/>
        <v>0</v>
      </c>
      <c r="P696" s="9">
        <f t="shared" si="1"/>
        <v>-1</v>
      </c>
      <c r="Q696" s="5">
        <f t="shared" si="2"/>
        <v>-602</v>
      </c>
    </row>
    <row r="697">
      <c r="H697" s="3" t="str">
        <f>IFERROR(__xludf.DUMMYFUNCTION("IFERROR(TRIM(INDEX(SPLIT(E697,"" + ""),1)),"""")"),"")</f>
        <v/>
      </c>
      <c r="I697" s="3" t="str">
        <f>IFERROR(__xludf.DUMMYFUNCTION("IFERROR(TRIM(INDEX(SPLIT(E697,"" + ""),2)),"""")"),"")</f>
        <v/>
      </c>
      <c r="J697" s="5" t="str">
        <f>IFERROR(__xludf.DUMMYFUNCTION("IFERROR(TRIM(INDEX(SPLIT(E697,"" + ""),3)),"""")"),"")</f>
        <v/>
      </c>
      <c r="K697" s="3">
        <f>IFERROR(__xludf.DUMMYFUNCTION("IFERROR(IF(H697="""",0,INDEX(FILTER($Q$2:Q696,$C$2:C696=H697,$G$2:G696=G697),ROWS(FILTER($Q$2:Q696,$C$2:C696=H697,$G$2:G696=G697)),1)),1500)"),0.0)</f>
        <v>0</v>
      </c>
      <c r="L697" s="3">
        <f>IFERROR(__xludf.DUMMYFUNCTION("IFERROR(IF(I697="""",0,INDEX(FILTER($Q$2:Q696,$C$2:C696=I697,$G$2:G696=G697),ROWS(FILTER($Q$2:Q696,$C$2:C696=I697,$G$2:G696=G697)),1)),1500)"),0.0)</f>
        <v>0</v>
      </c>
      <c r="M697" s="3">
        <f>IFERROR(__xludf.DUMMYFUNCTION("IFERROR(IF(J697="""",0,INDEX(FILTER($Q$2:Q696,$C$2:C696=J697,$G$2:G696=G697),ROWS(FILTER($Q$2:Q696,$C$2:C696=J697,$G$2:G696=G697)),1)),1500)"),0.0)</f>
        <v>0</v>
      </c>
      <c r="N697" s="3">
        <f>IFERROR(__xludf.DUMMYFUNCTION("IFERROR(INDEX(FILTER($Q$2:Q696,$C$2:C696=C697,$G$2:G696=G697),ROWS(FILTER($Q$2:Q696,$C$2:C696=C697,$G$2:G696=G697)),1),1500)"),-602.0)</f>
        <v>-602</v>
      </c>
      <c r="O697" s="3">
        <f t="shared" si="3"/>
        <v>0</v>
      </c>
      <c r="P697" s="9">
        <f t="shared" si="1"/>
        <v>-1</v>
      </c>
      <c r="Q697" s="5">
        <f t="shared" si="2"/>
        <v>-603</v>
      </c>
    </row>
    <row r="698">
      <c r="H698" s="3" t="str">
        <f>IFERROR(__xludf.DUMMYFUNCTION("IFERROR(TRIM(INDEX(SPLIT(E698,"" + ""),1)),"""")"),"")</f>
        <v/>
      </c>
      <c r="I698" s="3" t="str">
        <f>IFERROR(__xludf.DUMMYFUNCTION("IFERROR(TRIM(INDEX(SPLIT(E698,"" + ""),2)),"""")"),"")</f>
        <v/>
      </c>
      <c r="J698" s="5" t="str">
        <f>IFERROR(__xludf.DUMMYFUNCTION("IFERROR(TRIM(INDEX(SPLIT(E698,"" + ""),3)),"""")"),"")</f>
        <v/>
      </c>
      <c r="K698" s="3">
        <f>IFERROR(__xludf.DUMMYFUNCTION("IFERROR(IF(H698="""",0,INDEX(FILTER($Q$2:Q697,$C$2:C697=H698,$G$2:G697=G698),ROWS(FILTER($Q$2:Q697,$C$2:C697=H698,$G$2:G697=G698)),1)),1500)"),0.0)</f>
        <v>0</v>
      </c>
      <c r="L698" s="3">
        <f>IFERROR(__xludf.DUMMYFUNCTION("IFERROR(IF(I698="""",0,INDEX(FILTER($Q$2:Q697,$C$2:C697=I698,$G$2:G697=G698),ROWS(FILTER($Q$2:Q697,$C$2:C697=I698,$G$2:G697=G698)),1)),1500)"),0.0)</f>
        <v>0</v>
      </c>
      <c r="M698" s="3">
        <f>IFERROR(__xludf.DUMMYFUNCTION("IFERROR(IF(J698="""",0,INDEX(FILTER($Q$2:Q697,$C$2:C697=J698,$G$2:G697=G698),ROWS(FILTER($Q$2:Q697,$C$2:C697=J698,$G$2:G697=G698)),1)),1500)"),0.0)</f>
        <v>0</v>
      </c>
      <c r="N698" s="3">
        <f>IFERROR(__xludf.DUMMYFUNCTION("IFERROR(INDEX(FILTER($Q$2:Q697,$C$2:C697=C698,$G$2:G697=G698),ROWS(FILTER($Q$2:Q697,$C$2:C697=C698,$G$2:G697=G698)),1),1500)"),-603.0)</f>
        <v>-603</v>
      </c>
      <c r="O698" s="3">
        <f t="shared" si="3"/>
        <v>0</v>
      </c>
      <c r="P698" s="9">
        <f t="shared" si="1"/>
        <v>-1</v>
      </c>
      <c r="Q698" s="5">
        <f t="shared" si="2"/>
        <v>-604</v>
      </c>
    </row>
    <row r="699">
      <c r="H699" s="3" t="str">
        <f>IFERROR(__xludf.DUMMYFUNCTION("IFERROR(TRIM(INDEX(SPLIT(E699,"" + ""),1)),"""")"),"")</f>
        <v/>
      </c>
      <c r="I699" s="3" t="str">
        <f>IFERROR(__xludf.DUMMYFUNCTION("IFERROR(TRIM(INDEX(SPLIT(E699,"" + ""),2)),"""")"),"")</f>
        <v/>
      </c>
      <c r="J699" s="5" t="str">
        <f>IFERROR(__xludf.DUMMYFUNCTION("IFERROR(TRIM(INDEX(SPLIT(E699,"" + ""),3)),"""")"),"")</f>
        <v/>
      </c>
      <c r="K699" s="3">
        <f>IFERROR(__xludf.DUMMYFUNCTION("IFERROR(IF(H699="""",0,INDEX(FILTER($Q$2:Q698,$C$2:C698=H699,$G$2:G698=G699),ROWS(FILTER($Q$2:Q698,$C$2:C698=H699,$G$2:G698=G699)),1)),1500)"),0.0)</f>
        <v>0</v>
      </c>
      <c r="L699" s="3">
        <f>IFERROR(__xludf.DUMMYFUNCTION("IFERROR(IF(I699="""",0,INDEX(FILTER($Q$2:Q698,$C$2:C698=I699,$G$2:G698=G699),ROWS(FILTER($Q$2:Q698,$C$2:C698=I699,$G$2:G698=G699)),1)),1500)"),0.0)</f>
        <v>0</v>
      </c>
      <c r="M699" s="3">
        <f>IFERROR(__xludf.DUMMYFUNCTION("IFERROR(IF(J699="""",0,INDEX(FILTER($Q$2:Q698,$C$2:C698=J699,$G$2:G698=G699),ROWS(FILTER($Q$2:Q698,$C$2:C698=J699,$G$2:G698=G699)),1)),1500)"),0.0)</f>
        <v>0</v>
      </c>
      <c r="N699" s="3">
        <f>IFERROR(__xludf.DUMMYFUNCTION("IFERROR(INDEX(FILTER($Q$2:Q698,$C$2:C698=C699,$G$2:G698=G699),ROWS(FILTER($Q$2:Q698,$C$2:C698=C699,$G$2:G698=G699)),1),1500)"),-604.0)</f>
        <v>-604</v>
      </c>
      <c r="O699" s="3">
        <f t="shared" si="3"/>
        <v>0</v>
      </c>
      <c r="P699" s="9">
        <f t="shared" si="1"/>
        <v>-1</v>
      </c>
      <c r="Q699" s="5">
        <f t="shared" si="2"/>
        <v>-605</v>
      </c>
    </row>
    <row r="700">
      <c r="H700" s="3" t="str">
        <f>IFERROR(__xludf.DUMMYFUNCTION("IFERROR(TRIM(INDEX(SPLIT(E700,"" + ""),1)),"""")"),"")</f>
        <v/>
      </c>
      <c r="I700" s="3" t="str">
        <f>IFERROR(__xludf.DUMMYFUNCTION("IFERROR(TRIM(INDEX(SPLIT(E700,"" + ""),2)),"""")"),"")</f>
        <v/>
      </c>
      <c r="J700" s="5" t="str">
        <f>IFERROR(__xludf.DUMMYFUNCTION("IFERROR(TRIM(INDEX(SPLIT(E700,"" + ""),3)),"""")"),"")</f>
        <v/>
      </c>
      <c r="K700" s="3">
        <f>IFERROR(__xludf.DUMMYFUNCTION("IFERROR(IF(H700="""",0,INDEX(FILTER($Q$2:Q699,$C$2:C699=H700,$G$2:G699=G700),ROWS(FILTER($Q$2:Q699,$C$2:C699=H700,$G$2:G699=G700)),1)),1500)"),0.0)</f>
        <v>0</v>
      </c>
      <c r="L700" s="3">
        <f>IFERROR(__xludf.DUMMYFUNCTION("IFERROR(IF(I700="""",0,INDEX(FILTER($Q$2:Q699,$C$2:C699=I700,$G$2:G699=G700),ROWS(FILTER($Q$2:Q699,$C$2:C699=I700,$G$2:G699=G700)),1)),1500)"),0.0)</f>
        <v>0</v>
      </c>
      <c r="M700" s="3">
        <f>IFERROR(__xludf.DUMMYFUNCTION("IFERROR(IF(J700="""",0,INDEX(FILTER($Q$2:Q699,$C$2:C699=J700,$G$2:G699=G700),ROWS(FILTER($Q$2:Q699,$C$2:C699=J700,$G$2:G699=G700)),1)),1500)"),0.0)</f>
        <v>0</v>
      </c>
      <c r="N700" s="3">
        <f>IFERROR(__xludf.DUMMYFUNCTION("IFERROR(INDEX(FILTER($Q$2:Q699,$C$2:C699=C700,$G$2:G699=G700),ROWS(FILTER($Q$2:Q699,$C$2:C699=C700,$G$2:G699=G700)),1),1500)"),-605.0)</f>
        <v>-605</v>
      </c>
      <c r="O700" s="3">
        <f t="shared" si="3"/>
        <v>0</v>
      </c>
      <c r="P700" s="9">
        <f t="shared" si="1"/>
        <v>-1</v>
      </c>
      <c r="Q700" s="5">
        <f t="shared" si="2"/>
        <v>-606</v>
      </c>
    </row>
    <row r="701">
      <c r="H701" s="3" t="str">
        <f>IFERROR(__xludf.DUMMYFUNCTION("IFERROR(TRIM(INDEX(SPLIT(E701,"" + ""),1)),"""")"),"")</f>
        <v/>
      </c>
      <c r="I701" s="3" t="str">
        <f>IFERROR(__xludf.DUMMYFUNCTION("IFERROR(TRIM(INDEX(SPLIT(E701,"" + ""),2)),"""")"),"")</f>
        <v/>
      </c>
      <c r="J701" s="5" t="str">
        <f>IFERROR(__xludf.DUMMYFUNCTION("IFERROR(TRIM(INDEX(SPLIT(E701,"" + ""),3)),"""")"),"")</f>
        <v/>
      </c>
      <c r="K701" s="3">
        <f>IFERROR(__xludf.DUMMYFUNCTION("IFERROR(IF(H701="""",0,INDEX(FILTER($Q$2:Q700,$C$2:C700=H701,$G$2:G700=G701),ROWS(FILTER($Q$2:Q700,$C$2:C700=H701,$G$2:G700=G701)),1)),1500)"),0.0)</f>
        <v>0</v>
      </c>
      <c r="L701" s="3">
        <f>IFERROR(__xludf.DUMMYFUNCTION("IFERROR(IF(I701="""",0,INDEX(FILTER($Q$2:Q700,$C$2:C700=I701,$G$2:G700=G701),ROWS(FILTER($Q$2:Q700,$C$2:C700=I701,$G$2:G700=G701)),1)),1500)"),0.0)</f>
        <v>0</v>
      </c>
      <c r="M701" s="3">
        <f>IFERROR(__xludf.DUMMYFUNCTION("IFERROR(IF(J701="""",0,INDEX(FILTER($Q$2:Q700,$C$2:C700=J701,$G$2:G700=G701),ROWS(FILTER($Q$2:Q700,$C$2:C700=J701,$G$2:G700=G701)),1)),1500)"),0.0)</f>
        <v>0</v>
      </c>
      <c r="N701" s="3">
        <f>IFERROR(__xludf.DUMMYFUNCTION("IFERROR(INDEX(FILTER($Q$2:Q700,$C$2:C700=C701,$G$2:G700=G701),ROWS(FILTER($Q$2:Q700,$C$2:C700=C701,$G$2:G700=G701)),1),1500)"),-606.0)</f>
        <v>-606</v>
      </c>
      <c r="O701" s="3">
        <f t="shared" si="3"/>
        <v>0</v>
      </c>
      <c r="P701" s="9">
        <f t="shared" si="1"/>
        <v>-1</v>
      </c>
      <c r="Q701" s="5">
        <f t="shared" si="2"/>
        <v>-607</v>
      </c>
    </row>
    <row r="702">
      <c r="H702" s="3" t="str">
        <f>IFERROR(__xludf.DUMMYFUNCTION("IFERROR(TRIM(INDEX(SPLIT(E702,"" + ""),1)),"""")"),"")</f>
        <v/>
      </c>
      <c r="I702" s="3" t="str">
        <f>IFERROR(__xludf.DUMMYFUNCTION("IFERROR(TRIM(INDEX(SPLIT(E702,"" + ""),2)),"""")"),"")</f>
        <v/>
      </c>
      <c r="J702" s="5" t="str">
        <f>IFERROR(__xludf.DUMMYFUNCTION("IFERROR(TRIM(INDEX(SPLIT(E702,"" + ""),3)),"""")"),"")</f>
        <v/>
      </c>
      <c r="K702" s="3">
        <f>IFERROR(__xludf.DUMMYFUNCTION("IFERROR(IF(H702="""",0,INDEX(FILTER($Q$2:Q701,$C$2:C701=H702,$G$2:G701=G702),ROWS(FILTER($Q$2:Q701,$C$2:C701=H702,$G$2:G701=G702)),1)),1500)"),0.0)</f>
        <v>0</v>
      </c>
      <c r="L702" s="3">
        <f>IFERROR(__xludf.DUMMYFUNCTION("IFERROR(IF(I702="""",0,INDEX(FILTER($Q$2:Q701,$C$2:C701=I702,$G$2:G701=G702),ROWS(FILTER($Q$2:Q701,$C$2:C701=I702,$G$2:G701=G702)),1)),1500)"),0.0)</f>
        <v>0</v>
      </c>
      <c r="M702" s="3">
        <f>IFERROR(__xludf.DUMMYFUNCTION("IFERROR(IF(J702="""",0,INDEX(FILTER($Q$2:Q701,$C$2:C701=J702,$G$2:G701=G702),ROWS(FILTER($Q$2:Q701,$C$2:C701=J702,$G$2:G701=G702)),1)),1500)"),0.0)</f>
        <v>0</v>
      </c>
      <c r="N702" s="3">
        <f>IFERROR(__xludf.DUMMYFUNCTION("IFERROR(INDEX(FILTER($Q$2:Q701,$C$2:C701=C702,$G$2:G701=G702),ROWS(FILTER($Q$2:Q701,$C$2:C701=C702,$G$2:G701=G702)),1),1500)"),-607.0)</f>
        <v>-607</v>
      </c>
      <c r="O702" s="3">
        <f t="shared" si="3"/>
        <v>0</v>
      </c>
      <c r="P702" s="9">
        <f t="shared" si="1"/>
        <v>-1</v>
      </c>
      <c r="Q702" s="5">
        <f t="shared" si="2"/>
        <v>-608</v>
      </c>
    </row>
    <row r="703">
      <c r="H703" s="3" t="str">
        <f>IFERROR(__xludf.DUMMYFUNCTION("IFERROR(TRIM(INDEX(SPLIT(E703,"" + ""),1)),"""")"),"")</f>
        <v/>
      </c>
      <c r="I703" s="3" t="str">
        <f>IFERROR(__xludf.DUMMYFUNCTION("IFERROR(TRIM(INDEX(SPLIT(E703,"" + ""),2)),"""")"),"")</f>
        <v/>
      </c>
      <c r="J703" s="5" t="str">
        <f>IFERROR(__xludf.DUMMYFUNCTION("IFERROR(TRIM(INDEX(SPLIT(E703,"" + ""),3)),"""")"),"")</f>
        <v/>
      </c>
      <c r="K703" s="3">
        <f>IFERROR(__xludf.DUMMYFUNCTION("IFERROR(IF(H703="""",0,INDEX(FILTER($Q$2:Q702,$C$2:C702=H703,$G$2:G702=G703),ROWS(FILTER($Q$2:Q702,$C$2:C702=H703,$G$2:G702=G703)),1)),1500)"),0.0)</f>
        <v>0</v>
      </c>
      <c r="L703" s="3">
        <f>IFERROR(__xludf.DUMMYFUNCTION("IFERROR(IF(I703="""",0,INDEX(FILTER($Q$2:Q702,$C$2:C702=I703,$G$2:G702=G703),ROWS(FILTER($Q$2:Q702,$C$2:C702=I703,$G$2:G702=G703)),1)),1500)"),0.0)</f>
        <v>0</v>
      </c>
      <c r="M703" s="3">
        <f>IFERROR(__xludf.DUMMYFUNCTION("IFERROR(IF(J703="""",0,INDEX(FILTER($Q$2:Q702,$C$2:C702=J703,$G$2:G702=G703),ROWS(FILTER($Q$2:Q702,$C$2:C702=J703,$G$2:G702=G703)),1)),1500)"),0.0)</f>
        <v>0</v>
      </c>
      <c r="N703" s="3">
        <f>IFERROR(__xludf.DUMMYFUNCTION("IFERROR(INDEX(FILTER($Q$2:Q702,$C$2:C702=C703,$G$2:G702=G703),ROWS(FILTER($Q$2:Q702,$C$2:C702=C703,$G$2:G702=G703)),1),1500)"),-608.0)</f>
        <v>-608</v>
      </c>
      <c r="O703" s="3">
        <f t="shared" si="3"/>
        <v>0</v>
      </c>
      <c r="P703" s="9">
        <f t="shared" si="1"/>
        <v>-1</v>
      </c>
      <c r="Q703" s="5">
        <f t="shared" si="2"/>
        <v>-609</v>
      </c>
    </row>
    <row r="704">
      <c r="H704" s="3" t="str">
        <f>IFERROR(__xludf.DUMMYFUNCTION("IFERROR(TRIM(INDEX(SPLIT(E704,"" + ""),1)),"""")"),"")</f>
        <v/>
      </c>
      <c r="I704" s="3" t="str">
        <f>IFERROR(__xludf.DUMMYFUNCTION("IFERROR(TRIM(INDEX(SPLIT(E704,"" + ""),2)),"""")"),"")</f>
        <v/>
      </c>
      <c r="J704" s="5" t="str">
        <f>IFERROR(__xludf.DUMMYFUNCTION("IFERROR(TRIM(INDEX(SPLIT(E704,"" + ""),3)),"""")"),"")</f>
        <v/>
      </c>
      <c r="K704" s="3">
        <f>IFERROR(__xludf.DUMMYFUNCTION("IFERROR(IF(H704="""",0,INDEX(FILTER($Q$2:Q703,$C$2:C703=H704,$G$2:G703=G704),ROWS(FILTER($Q$2:Q703,$C$2:C703=H704,$G$2:G703=G704)),1)),1500)"),0.0)</f>
        <v>0</v>
      </c>
      <c r="L704" s="3">
        <f>IFERROR(__xludf.DUMMYFUNCTION("IFERROR(IF(I704="""",0,INDEX(FILTER($Q$2:Q703,$C$2:C703=I704,$G$2:G703=G704),ROWS(FILTER($Q$2:Q703,$C$2:C703=I704,$G$2:G703=G704)),1)),1500)"),0.0)</f>
        <v>0</v>
      </c>
      <c r="M704" s="3">
        <f>IFERROR(__xludf.DUMMYFUNCTION("IFERROR(IF(J704="""",0,INDEX(FILTER($Q$2:Q703,$C$2:C703=J704,$G$2:G703=G704),ROWS(FILTER($Q$2:Q703,$C$2:C703=J704,$G$2:G703=G704)),1)),1500)"),0.0)</f>
        <v>0</v>
      </c>
      <c r="N704" s="3">
        <f>IFERROR(__xludf.DUMMYFUNCTION("IFERROR(INDEX(FILTER($Q$2:Q703,$C$2:C703=C704,$G$2:G703=G704),ROWS(FILTER($Q$2:Q703,$C$2:C703=C704,$G$2:G703=G704)),1),1500)"),-609.0)</f>
        <v>-609</v>
      </c>
      <c r="O704" s="3">
        <f t="shared" si="3"/>
        <v>0</v>
      </c>
      <c r="P704" s="9">
        <f t="shared" si="1"/>
        <v>-1</v>
      </c>
      <c r="Q704" s="5">
        <f t="shared" si="2"/>
        <v>-610</v>
      </c>
    </row>
    <row r="705">
      <c r="H705" s="3" t="str">
        <f>IFERROR(__xludf.DUMMYFUNCTION("IFERROR(TRIM(INDEX(SPLIT(E705,"" + ""),1)),"""")"),"")</f>
        <v/>
      </c>
      <c r="I705" s="3" t="str">
        <f>IFERROR(__xludf.DUMMYFUNCTION("IFERROR(TRIM(INDEX(SPLIT(E705,"" + ""),2)),"""")"),"")</f>
        <v/>
      </c>
      <c r="J705" s="5" t="str">
        <f>IFERROR(__xludf.DUMMYFUNCTION("IFERROR(TRIM(INDEX(SPLIT(E705,"" + ""),3)),"""")"),"")</f>
        <v/>
      </c>
      <c r="K705" s="3">
        <f>IFERROR(__xludf.DUMMYFUNCTION("IFERROR(IF(H705="""",0,INDEX(FILTER($Q$2:Q704,$C$2:C704=H705,$G$2:G704=G705),ROWS(FILTER($Q$2:Q704,$C$2:C704=H705,$G$2:G704=G705)),1)),1500)"),0.0)</f>
        <v>0</v>
      </c>
      <c r="L705" s="3">
        <f>IFERROR(__xludf.DUMMYFUNCTION("IFERROR(IF(I705="""",0,INDEX(FILTER($Q$2:Q704,$C$2:C704=I705,$G$2:G704=G705),ROWS(FILTER($Q$2:Q704,$C$2:C704=I705,$G$2:G704=G705)),1)),1500)"),0.0)</f>
        <v>0</v>
      </c>
      <c r="M705" s="3">
        <f>IFERROR(__xludf.DUMMYFUNCTION("IFERROR(IF(J705="""",0,INDEX(FILTER($Q$2:Q704,$C$2:C704=J705,$G$2:G704=G705),ROWS(FILTER($Q$2:Q704,$C$2:C704=J705,$G$2:G704=G705)),1)),1500)"),0.0)</f>
        <v>0</v>
      </c>
      <c r="N705" s="3">
        <f>IFERROR(__xludf.DUMMYFUNCTION("IFERROR(INDEX(FILTER($Q$2:Q704,$C$2:C704=C705,$G$2:G704=G705),ROWS(FILTER($Q$2:Q704,$C$2:C704=C705,$G$2:G704=G705)),1),1500)"),-610.0)</f>
        <v>-610</v>
      </c>
      <c r="O705" s="3">
        <f t="shared" si="3"/>
        <v>0</v>
      </c>
      <c r="P705" s="9">
        <f t="shared" si="1"/>
        <v>-1</v>
      </c>
      <c r="Q705" s="5">
        <f t="shared" si="2"/>
        <v>-611</v>
      </c>
    </row>
    <row r="706">
      <c r="H706" s="3" t="str">
        <f>IFERROR(__xludf.DUMMYFUNCTION("IFERROR(TRIM(INDEX(SPLIT(E706,"" + ""),1)),"""")"),"")</f>
        <v/>
      </c>
      <c r="I706" s="3" t="str">
        <f>IFERROR(__xludf.DUMMYFUNCTION("IFERROR(TRIM(INDEX(SPLIT(E706,"" + ""),2)),"""")"),"")</f>
        <v/>
      </c>
      <c r="J706" s="5" t="str">
        <f>IFERROR(__xludf.DUMMYFUNCTION("IFERROR(TRIM(INDEX(SPLIT(E706,"" + ""),3)),"""")"),"")</f>
        <v/>
      </c>
      <c r="K706" s="3">
        <f>IFERROR(__xludf.DUMMYFUNCTION("IFERROR(IF(H706="""",0,INDEX(FILTER($Q$2:Q705,$C$2:C705=H706,$G$2:G705=G706),ROWS(FILTER($Q$2:Q705,$C$2:C705=H706,$G$2:G705=G706)),1)),1500)"),0.0)</f>
        <v>0</v>
      </c>
      <c r="L706" s="3">
        <f>IFERROR(__xludf.DUMMYFUNCTION("IFERROR(IF(I706="""",0,INDEX(FILTER($Q$2:Q705,$C$2:C705=I706,$G$2:G705=G706),ROWS(FILTER($Q$2:Q705,$C$2:C705=I706,$G$2:G705=G706)),1)),1500)"),0.0)</f>
        <v>0</v>
      </c>
      <c r="M706" s="3">
        <f>IFERROR(__xludf.DUMMYFUNCTION("IFERROR(IF(J706="""",0,INDEX(FILTER($Q$2:Q705,$C$2:C705=J706,$G$2:G705=G706),ROWS(FILTER($Q$2:Q705,$C$2:C705=J706,$G$2:G705=G706)),1)),1500)"),0.0)</f>
        <v>0</v>
      </c>
      <c r="N706" s="3">
        <f>IFERROR(__xludf.DUMMYFUNCTION("IFERROR(INDEX(FILTER($Q$2:Q705,$C$2:C705=C706,$G$2:G705=G706),ROWS(FILTER($Q$2:Q705,$C$2:C705=C706,$G$2:G705=G706)),1),1500)"),-611.0)</f>
        <v>-611</v>
      </c>
      <c r="O706" s="3">
        <f t="shared" si="3"/>
        <v>0</v>
      </c>
      <c r="P706" s="9">
        <f t="shared" si="1"/>
        <v>-1</v>
      </c>
      <c r="Q706" s="5">
        <f t="shared" si="2"/>
        <v>-612</v>
      </c>
    </row>
    <row r="707">
      <c r="H707" s="3" t="str">
        <f>IFERROR(__xludf.DUMMYFUNCTION("IFERROR(TRIM(INDEX(SPLIT(E707,"" + ""),1)),"""")"),"")</f>
        <v/>
      </c>
      <c r="I707" s="3" t="str">
        <f>IFERROR(__xludf.DUMMYFUNCTION("IFERROR(TRIM(INDEX(SPLIT(E707,"" + ""),2)),"""")"),"")</f>
        <v/>
      </c>
      <c r="J707" s="5" t="str">
        <f>IFERROR(__xludf.DUMMYFUNCTION("IFERROR(TRIM(INDEX(SPLIT(E707,"" + ""),3)),"""")"),"")</f>
        <v/>
      </c>
      <c r="K707" s="3">
        <f>IFERROR(__xludf.DUMMYFUNCTION("IFERROR(IF(H707="""",0,INDEX(FILTER($Q$2:Q706,$C$2:C706=H707,$G$2:G706=G707),ROWS(FILTER($Q$2:Q706,$C$2:C706=H707,$G$2:G706=G707)),1)),1500)"),0.0)</f>
        <v>0</v>
      </c>
      <c r="L707" s="3">
        <f>IFERROR(__xludf.DUMMYFUNCTION("IFERROR(IF(I707="""",0,INDEX(FILTER($Q$2:Q706,$C$2:C706=I707,$G$2:G706=G707),ROWS(FILTER($Q$2:Q706,$C$2:C706=I707,$G$2:G706=G707)),1)),1500)"),0.0)</f>
        <v>0</v>
      </c>
      <c r="M707" s="3">
        <f>IFERROR(__xludf.DUMMYFUNCTION("IFERROR(IF(J707="""",0,INDEX(FILTER($Q$2:Q706,$C$2:C706=J707,$G$2:G706=G707),ROWS(FILTER($Q$2:Q706,$C$2:C706=J707,$G$2:G706=G707)),1)),1500)"),0.0)</f>
        <v>0</v>
      </c>
      <c r="N707" s="3">
        <f>IFERROR(__xludf.DUMMYFUNCTION("IFERROR(INDEX(FILTER($Q$2:Q706,$C$2:C706=C707,$G$2:G706=G707),ROWS(FILTER($Q$2:Q706,$C$2:C706=C707,$G$2:G706=G707)),1),1500)"),-612.0)</f>
        <v>-612</v>
      </c>
      <c r="O707" s="3">
        <f t="shared" si="3"/>
        <v>0</v>
      </c>
      <c r="P707" s="9">
        <f t="shared" si="1"/>
        <v>-1</v>
      </c>
      <c r="Q707" s="5">
        <f t="shared" si="2"/>
        <v>-613</v>
      </c>
    </row>
    <row r="708">
      <c r="H708" s="3" t="str">
        <f>IFERROR(__xludf.DUMMYFUNCTION("IFERROR(TRIM(INDEX(SPLIT(E708,"" + ""),1)),"""")"),"")</f>
        <v/>
      </c>
      <c r="I708" s="3" t="str">
        <f>IFERROR(__xludf.DUMMYFUNCTION("IFERROR(TRIM(INDEX(SPLIT(E708,"" + ""),2)),"""")"),"")</f>
        <v/>
      </c>
      <c r="J708" s="5" t="str">
        <f>IFERROR(__xludf.DUMMYFUNCTION("IFERROR(TRIM(INDEX(SPLIT(E708,"" + ""),3)),"""")"),"")</f>
        <v/>
      </c>
      <c r="K708" s="3">
        <f>IFERROR(__xludf.DUMMYFUNCTION("IFERROR(IF(H708="""",0,INDEX(FILTER($Q$2:Q707,$C$2:C707=H708,$G$2:G707=G708),ROWS(FILTER($Q$2:Q707,$C$2:C707=H708,$G$2:G707=G708)),1)),1500)"),0.0)</f>
        <v>0</v>
      </c>
      <c r="L708" s="3">
        <f>IFERROR(__xludf.DUMMYFUNCTION("IFERROR(IF(I708="""",0,INDEX(FILTER($Q$2:Q707,$C$2:C707=I708,$G$2:G707=G708),ROWS(FILTER($Q$2:Q707,$C$2:C707=I708,$G$2:G707=G708)),1)),1500)"),0.0)</f>
        <v>0</v>
      </c>
      <c r="M708" s="3">
        <f>IFERROR(__xludf.DUMMYFUNCTION("IFERROR(IF(J708="""",0,INDEX(FILTER($Q$2:Q707,$C$2:C707=J708,$G$2:G707=G708),ROWS(FILTER($Q$2:Q707,$C$2:C707=J708,$G$2:G707=G708)),1)),1500)"),0.0)</f>
        <v>0</v>
      </c>
      <c r="N708" s="3">
        <f>IFERROR(__xludf.DUMMYFUNCTION("IFERROR(INDEX(FILTER($Q$2:Q707,$C$2:C707=C708,$G$2:G707=G708),ROWS(FILTER($Q$2:Q707,$C$2:C707=C708,$G$2:G707=G708)),1),1500)"),-613.0)</f>
        <v>-613</v>
      </c>
      <c r="O708" s="3">
        <f t="shared" si="3"/>
        <v>0</v>
      </c>
      <c r="P708" s="9">
        <f t="shared" si="1"/>
        <v>-1</v>
      </c>
      <c r="Q708" s="5">
        <f t="shared" si="2"/>
        <v>-614</v>
      </c>
    </row>
    <row r="709">
      <c r="H709" s="3" t="str">
        <f>IFERROR(__xludf.DUMMYFUNCTION("IFERROR(TRIM(INDEX(SPLIT(E709,"" + ""),1)),"""")"),"")</f>
        <v/>
      </c>
      <c r="I709" s="3" t="str">
        <f>IFERROR(__xludf.DUMMYFUNCTION("IFERROR(TRIM(INDEX(SPLIT(E709,"" + ""),2)),"""")"),"")</f>
        <v/>
      </c>
      <c r="J709" s="5" t="str">
        <f>IFERROR(__xludf.DUMMYFUNCTION("IFERROR(TRIM(INDEX(SPLIT(E709,"" + ""),3)),"""")"),"")</f>
        <v/>
      </c>
      <c r="K709" s="3">
        <f>IFERROR(__xludf.DUMMYFUNCTION("IFERROR(IF(H709="""",0,INDEX(FILTER($Q$2:Q708,$C$2:C708=H709,$G$2:G708=G709),ROWS(FILTER($Q$2:Q708,$C$2:C708=H709,$G$2:G708=G709)),1)),1500)"),0.0)</f>
        <v>0</v>
      </c>
      <c r="L709" s="3">
        <f>IFERROR(__xludf.DUMMYFUNCTION("IFERROR(IF(I709="""",0,INDEX(FILTER($Q$2:Q708,$C$2:C708=I709,$G$2:G708=G709),ROWS(FILTER($Q$2:Q708,$C$2:C708=I709,$G$2:G708=G709)),1)),1500)"),0.0)</f>
        <v>0</v>
      </c>
      <c r="M709" s="3">
        <f>IFERROR(__xludf.DUMMYFUNCTION("IFERROR(IF(J709="""",0,INDEX(FILTER($Q$2:Q708,$C$2:C708=J709,$G$2:G708=G709),ROWS(FILTER($Q$2:Q708,$C$2:C708=J709,$G$2:G708=G709)),1)),1500)"),0.0)</f>
        <v>0</v>
      </c>
      <c r="N709" s="3">
        <f>IFERROR(__xludf.DUMMYFUNCTION("IFERROR(INDEX(FILTER($Q$2:Q708,$C$2:C708=C709,$G$2:G708=G709),ROWS(FILTER($Q$2:Q708,$C$2:C708=C709,$G$2:G708=G709)),1),1500)"),-614.0)</f>
        <v>-614</v>
      </c>
      <c r="O709" s="3">
        <f t="shared" si="3"/>
        <v>0</v>
      </c>
      <c r="P709" s="9">
        <f t="shared" si="1"/>
        <v>-1</v>
      </c>
      <c r="Q709" s="5">
        <f t="shared" si="2"/>
        <v>-615</v>
      </c>
    </row>
    <row r="710">
      <c r="H710" s="3" t="str">
        <f>IFERROR(__xludf.DUMMYFUNCTION("IFERROR(TRIM(INDEX(SPLIT(E710,"" + ""),1)),"""")"),"")</f>
        <v/>
      </c>
      <c r="I710" s="3" t="str">
        <f>IFERROR(__xludf.DUMMYFUNCTION("IFERROR(TRIM(INDEX(SPLIT(E710,"" + ""),2)),"""")"),"")</f>
        <v/>
      </c>
      <c r="J710" s="5" t="str">
        <f>IFERROR(__xludf.DUMMYFUNCTION("IFERROR(TRIM(INDEX(SPLIT(E710,"" + ""),3)),"""")"),"")</f>
        <v/>
      </c>
      <c r="K710" s="3">
        <f>IFERROR(__xludf.DUMMYFUNCTION("IFERROR(IF(H710="""",0,INDEX(FILTER($Q$2:Q709,$C$2:C709=H710,$G$2:G709=G710),ROWS(FILTER($Q$2:Q709,$C$2:C709=H710,$G$2:G709=G710)),1)),1500)"),0.0)</f>
        <v>0</v>
      </c>
      <c r="L710" s="3">
        <f>IFERROR(__xludf.DUMMYFUNCTION("IFERROR(IF(I710="""",0,INDEX(FILTER($Q$2:Q709,$C$2:C709=I710,$G$2:G709=G710),ROWS(FILTER($Q$2:Q709,$C$2:C709=I710,$G$2:G709=G710)),1)),1500)"),0.0)</f>
        <v>0</v>
      </c>
      <c r="M710" s="3">
        <f>IFERROR(__xludf.DUMMYFUNCTION("IFERROR(IF(J710="""",0,INDEX(FILTER($Q$2:Q709,$C$2:C709=J710,$G$2:G709=G710),ROWS(FILTER($Q$2:Q709,$C$2:C709=J710,$G$2:G709=G710)),1)),1500)"),0.0)</f>
        <v>0</v>
      </c>
      <c r="N710" s="3">
        <f>IFERROR(__xludf.DUMMYFUNCTION("IFERROR(INDEX(FILTER($Q$2:Q709,$C$2:C709=C710,$G$2:G709=G710),ROWS(FILTER($Q$2:Q709,$C$2:C709=C710,$G$2:G709=G710)),1),1500)"),-615.0)</f>
        <v>-615</v>
      </c>
      <c r="O710" s="3">
        <f t="shared" si="3"/>
        <v>0</v>
      </c>
      <c r="P710" s="9">
        <f t="shared" si="1"/>
        <v>-1</v>
      </c>
      <c r="Q710" s="5">
        <f t="shared" si="2"/>
        <v>-616</v>
      </c>
    </row>
    <row r="711">
      <c r="H711" s="3" t="str">
        <f>IFERROR(__xludf.DUMMYFUNCTION("IFERROR(TRIM(INDEX(SPLIT(E711,"" + ""),1)),"""")"),"")</f>
        <v/>
      </c>
      <c r="I711" s="3" t="str">
        <f>IFERROR(__xludf.DUMMYFUNCTION("IFERROR(TRIM(INDEX(SPLIT(E711,"" + ""),2)),"""")"),"")</f>
        <v/>
      </c>
      <c r="J711" s="5" t="str">
        <f>IFERROR(__xludf.DUMMYFUNCTION("IFERROR(TRIM(INDEX(SPLIT(E711,"" + ""),3)),"""")"),"")</f>
        <v/>
      </c>
      <c r="K711" s="3">
        <f>IFERROR(__xludf.DUMMYFUNCTION("IFERROR(IF(H711="""",0,INDEX(FILTER($Q$2:Q710,$C$2:C710=H711,$G$2:G710=G711),ROWS(FILTER($Q$2:Q710,$C$2:C710=H711,$G$2:G710=G711)),1)),1500)"),0.0)</f>
        <v>0</v>
      </c>
      <c r="L711" s="3">
        <f>IFERROR(__xludf.DUMMYFUNCTION("IFERROR(IF(I711="""",0,INDEX(FILTER($Q$2:Q710,$C$2:C710=I711,$G$2:G710=G711),ROWS(FILTER($Q$2:Q710,$C$2:C710=I711,$G$2:G710=G711)),1)),1500)"),0.0)</f>
        <v>0</v>
      </c>
      <c r="M711" s="3">
        <f>IFERROR(__xludf.DUMMYFUNCTION("IFERROR(IF(J711="""",0,INDEX(FILTER($Q$2:Q710,$C$2:C710=J711,$G$2:G710=G711),ROWS(FILTER($Q$2:Q710,$C$2:C710=J711,$G$2:G710=G711)),1)),1500)"),0.0)</f>
        <v>0</v>
      </c>
      <c r="N711" s="3">
        <f>IFERROR(__xludf.DUMMYFUNCTION("IFERROR(INDEX(FILTER($Q$2:Q710,$C$2:C710=C711,$G$2:G710=G711),ROWS(FILTER($Q$2:Q710,$C$2:C710=C711,$G$2:G710=G711)),1),1500)"),-616.0)</f>
        <v>-616</v>
      </c>
      <c r="O711" s="3">
        <f t="shared" si="3"/>
        <v>0</v>
      </c>
      <c r="P711" s="9">
        <f t="shared" si="1"/>
        <v>-1</v>
      </c>
      <c r="Q711" s="5">
        <f t="shared" si="2"/>
        <v>-617</v>
      </c>
    </row>
    <row r="712">
      <c r="H712" s="3" t="str">
        <f>IFERROR(__xludf.DUMMYFUNCTION("IFERROR(TRIM(INDEX(SPLIT(E712,"" + ""),1)),"""")"),"")</f>
        <v/>
      </c>
      <c r="I712" s="3" t="str">
        <f>IFERROR(__xludf.DUMMYFUNCTION("IFERROR(TRIM(INDEX(SPLIT(E712,"" + ""),2)),"""")"),"")</f>
        <v/>
      </c>
      <c r="J712" s="5" t="str">
        <f>IFERROR(__xludf.DUMMYFUNCTION("IFERROR(TRIM(INDEX(SPLIT(E712,"" + ""),3)),"""")"),"")</f>
        <v/>
      </c>
      <c r="K712" s="3">
        <f>IFERROR(__xludf.DUMMYFUNCTION("IFERROR(IF(H712="""",0,INDEX(FILTER($Q$2:Q711,$C$2:C711=H712,$G$2:G711=G712),ROWS(FILTER($Q$2:Q711,$C$2:C711=H712,$G$2:G711=G712)),1)),1500)"),0.0)</f>
        <v>0</v>
      </c>
      <c r="L712" s="3">
        <f>IFERROR(__xludf.DUMMYFUNCTION("IFERROR(IF(I712="""",0,INDEX(FILTER($Q$2:Q711,$C$2:C711=I712,$G$2:G711=G712),ROWS(FILTER($Q$2:Q711,$C$2:C711=I712,$G$2:G711=G712)),1)),1500)"),0.0)</f>
        <v>0</v>
      </c>
      <c r="M712" s="3">
        <f>IFERROR(__xludf.DUMMYFUNCTION("IFERROR(IF(J712="""",0,INDEX(FILTER($Q$2:Q711,$C$2:C711=J712,$G$2:G711=G712),ROWS(FILTER($Q$2:Q711,$C$2:C711=J712,$G$2:G711=G712)),1)),1500)"),0.0)</f>
        <v>0</v>
      </c>
      <c r="N712" s="3">
        <f>IFERROR(__xludf.DUMMYFUNCTION("IFERROR(INDEX(FILTER($Q$2:Q711,$C$2:C711=C712,$G$2:G711=G712),ROWS(FILTER($Q$2:Q711,$C$2:C711=C712,$G$2:G711=G712)),1),1500)"),-617.0)</f>
        <v>-617</v>
      </c>
      <c r="O712" s="3">
        <f t="shared" si="3"/>
        <v>0</v>
      </c>
      <c r="P712" s="9">
        <f t="shared" si="1"/>
        <v>-1</v>
      </c>
      <c r="Q712" s="5">
        <f t="shared" si="2"/>
        <v>-618</v>
      </c>
    </row>
    <row r="713">
      <c r="H713" s="3" t="str">
        <f>IFERROR(__xludf.DUMMYFUNCTION("IFERROR(TRIM(INDEX(SPLIT(E713,"" + ""),1)),"""")"),"")</f>
        <v/>
      </c>
      <c r="I713" s="3" t="str">
        <f>IFERROR(__xludf.DUMMYFUNCTION("IFERROR(TRIM(INDEX(SPLIT(E713,"" + ""),2)),"""")"),"")</f>
        <v/>
      </c>
      <c r="J713" s="5" t="str">
        <f>IFERROR(__xludf.DUMMYFUNCTION("IFERROR(TRIM(INDEX(SPLIT(E713,"" + ""),3)),"""")"),"")</f>
        <v/>
      </c>
      <c r="K713" s="3">
        <f>IFERROR(__xludf.DUMMYFUNCTION("IFERROR(IF(H713="""",0,INDEX(FILTER($Q$2:Q712,$C$2:C712=H713,$G$2:G712=G713),ROWS(FILTER($Q$2:Q712,$C$2:C712=H713,$G$2:G712=G713)),1)),1500)"),0.0)</f>
        <v>0</v>
      </c>
      <c r="L713" s="3">
        <f>IFERROR(__xludf.DUMMYFUNCTION("IFERROR(IF(I713="""",0,INDEX(FILTER($Q$2:Q712,$C$2:C712=I713,$G$2:G712=G713),ROWS(FILTER($Q$2:Q712,$C$2:C712=I713,$G$2:G712=G713)),1)),1500)"),0.0)</f>
        <v>0</v>
      </c>
      <c r="M713" s="3">
        <f>IFERROR(__xludf.DUMMYFUNCTION("IFERROR(IF(J713="""",0,INDEX(FILTER($Q$2:Q712,$C$2:C712=J713,$G$2:G712=G713),ROWS(FILTER($Q$2:Q712,$C$2:C712=J713,$G$2:G712=G713)),1)),1500)"),0.0)</f>
        <v>0</v>
      </c>
      <c r="N713" s="3">
        <f>IFERROR(__xludf.DUMMYFUNCTION("IFERROR(INDEX(FILTER($Q$2:Q712,$C$2:C712=C713,$G$2:G712=G713),ROWS(FILTER($Q$2:Q712,$C$2:C712=C713,$G$2:G712=G713)),1),1500)"),-618.0)</f>
        <v>-618</v>
      </c>
      <c r="O713" s="3">
        <f t="shared" si="3"/>
        <v>0</v>
      </c>
      <c r="P713" s="9">
        <f t="shared" si="1"/>
        <v>-1</v>
      </c>
      <c r="Q713" s="5">
        <f t="shared" si="2"/>
        <v>-619</v>
      </c>
    </row>
    <row r="714">
      <c r="H714" s="3" t="str">
        <f>IFERROR(__xludf.DUMMYFUNCTION("IFERROR(TRIM(INDEX(SPLIT(E714,"" + ""),1)),"""")"),"")</f>
        <v/>
      </c>
      <c r="I714" s="3" t="str">
        <f>IFERROR(__xludf.DUMMYFUNCTION("IFERROR(TRIM(INDEX(SPLIT(E714,"" + ""),2)),"""")"),"")</f>
        <v/>
      </c>
      <c r="J714" s="5" t="str">
        <f>IFERROR(__xludf.DUMMYFUNCTION("IFERROR(TRIM(INDEX(SPLIT(E714,"" + ""),3)),"""")"),"")</f>
        <v/>
      </c>
      <c r="K714" s="3">
        <f>IFERROR(__xludf.DUMMYFUNCTION("IFERROR(IF(H714="""",0,INDEX(FILTER($Q$2:Q713,$C$2:C713=H714,$G$2:G713=G714),ROWS(FILTER($Q$2:Q713,$C$2:C713=H714,$G$2:G713=G714)),1)),1500)"),0.0)</f>
        <v>0</v>
      </c>
      <c r="L714" s="3">
        <f>IFERROR(__xludf.DUMMYFUNCTION("IFERROR(IF(I714="""",0,INDEX(FILTER($Q$2:Q713,$C$2:C713=I714,$G$2:G713=G714),ROWS(FILTER($Q$2:Q713,$C$2:C713=I714,$G$2:G713=G714)),1)),1500)"),0.0)</f>
        <v>0</v>
      </c>
      <c r="M714" s="3">
        <f>IFERROR(__xludf.DUMMYFUNCTION("IFERROR(IF(J714="""",0,INDEX(FILTER($Q$2:Q713,$C$2:C713=J714,$G$2:G713=G714),ROWS(FILTER($Q$2:Q713,$C$2:C713=J714,$G$2:G713=G714)),1)),1500)"),0.0)</f>
        <v>0</v>
      </c>
      <c r="N714" s="3">
        <f>IFERROR(__xludf.DUMMYFUNCTION("IFERROR(INDEX(FILTER($Q$2:Q713,$C$2:C713=C714,$G$2:G713=G714),ROWS(FILTER($Q$2:Q713,$C$2:C713=C714,$G$2:G713=G714)),1),1500)"),-619.0)</f>
        <v>-619</v>
      </c>
      <c r="O714" s="3">
        <f t="shared" si="3"/>
        <v>0</v>
      </c>
      <c r="P714" s="9">
        <f t="shared" si="1"/>
        <v>-1</v>
      </c>
      <c r="Q714" s="5">
        <f t="shared" si="2"/>
        <v>-620</v>
      </c>
    </row>
    <row r="715">
      <c r="H715" s="3" t="str">
        <f>IFERROR(__xludf.DUMMYFUNCTION("IFERROR(TRIM(INDEX(SPLIT(E715,"" + ""),1)),"""")"),"")</f>
        <v/>
      </c>
      <c r="I715" s="3" t="str">
        <f>IFERROR(__xludf.DUMMYFUNCTION("IFERROR(TRIM(INDEX(SPLIT(E715,"" + ""),2)),"""")"),"")</f>
        <v/>
      </c>
      <c r="J715" s="5" t="str">
        <f>IFERROR(__xludf.DUMMYFUNCTION("IFERROR(TRIM(INDEX(SPLIT(E715,"" + ""),3)),"""")"),"")</f>
        <v/>
      </c>
      <c r="K715" s="3">
        <f>IFERROR(__xludf.DUMMYFUNCTION("IFERROR(IF(H715="""",0,INDEX(FILTER($Q$2:Q714,$C$2:C714=H715,$G$2:G714=G715),ROWS(FILTER($Q$2:Q714,$C$2:C714=H715,$G$2:G714=G715)),1)),1500)"),0.0)</f>
        <v>0</v>
      </c>
      <c r="L715" s="3">
        <f>IFERROR(__xludf.DUMMYFUNCTION("IFERROR(IF(I715="""",0,INDEX(FILTER($Q$2:Q714,$C$2:C714=I715,$G$2:G714=G715),ROWS(FILTER($Q$2:Q714,$C$2:C714=I715,$G$2:G714=G715)),1)),1500)"),0.0)</f>
        <v>0</v>
      </c>
      <c r="M715" s="3">
        <f>IFERROR(__xludf.DUMMYFUNCTION("IFERROR(IF(J715="""",0,INDEX(FILTER($Q$2:Q714,$C$2:C714=J715,$G$2:G714=G715),ROWS(FILTER($Q$2:Q714,$C$2:C714=J715,$G$2:G714=G715)),1)),1500)"),0.0)</f>
        <v>0</v>
      </c>
      <c r="N715" s="3">
        <f>IFERROR(__xludf.DUMMYFUNCTION("IFERROR(INDEX(FILTER($Q$2:Q714,$C$2:C714=C715,$G$2:G714=G715),ROWS(FILTER($Q$2:Q714,$C$2:C714=C715,$G$2:G714=G715)),1),1500)"),-620.0)</f>
        <v>-620</v>
      </c>
      <c r="O715" s="3">
        <f t="shared" si="3"/>
        <v>0</v>
      </c>
      <c r="P715" s="9">
        <f t="shared" si="1"/>
        <v>-1</v>
      </c>
      <c r="Q715" s="5">
        <f t="shared" si="2"/>
        <v>-621</v>
      </c>
    </row>
    <row r="716">
      <c r="H716" s="3" t="str">
        <f>IFERROR(__xludf.DUMMYFUNCTION("IFERROR(TRIM(INDEX(SPLIT(E716,"" + ""),1)),"""")"),"")</f>
        <v/>
      </c>
      <c r="I716" s="3" t="str">
        <f>IFERROR(__xludf.DUMMYFUNCTION("IFERROR(TRIM(INDEX(SPLIT(E716,"" + ""),2)),"""")"),"")</f>
        <v/>
      </c>
      <c r="J716" s="5" t="str">
        <f>IFERROR(__xludf.DUMMYFUNCTION("IFERROR(TRIM(INDEX(SPLIT(E716,"" + ""),3)),"""")"),"")</f>
        <v/>
      </c>
      <c r="K716" s="3">
        <f>IFERROR(__xludf.DUMMYFUNCTION("IFERROR(IF(H716="""",0,INDEX(FILTER($Q$2:Q715,$C$2:C715=H716,$G$2:G715=G716),ROWS(FILTER($Q$2:Q715,$C$2:C715=H716,$G$2:G715=G716)),1)),1500)"),0.0)</f>
        <v>0</v>
      </c>
      <c r="L716" s="3">
        <f>IFERROR(__xludf.DUMMYFUNCTION("IFERROR(IF(I716="""",0,INDEX(FILTER($Q$2:Q715,$C$2:C715=I716,$G$2:G715=G716),ROWS(FILTER($Q$2:Q715,$C$2:C715=I716,$G$2:G715=G716)),1)),1500)"),0.0)</f>
        <v>0</v>
      </c>
      <c r="M716" s="3">
        <f>IFERROR(__xludf.DUMMYFUNCTION("IFERROR(IF(J716="""",0,INDEX(FILTER($Q$2:Q715,$C$2:C715=J716,$G$2:G715=G716),ROWS(FILTER($Q$2:Q715,$C$2:C715=J716,$G$2:G715=G716)),1)),1500)"),0.0)</f>
        <v>0</v>
      </c>
      <c r="N716" s="3">
        <f>IFERROR(__xludf.DUMMYFUNCTION("IFERROR(INDEX(FILTER($Q$2:Q715,$C$2:C715=C716,$G$2:G715=G716),ROWS(FILTER($Q$2:Q715,$C$2:C715=C716,$G$2:G715=G716)),1),1500)"),-621.0)</f>
        <v>-621</v>
      </c>
      <c r="O716" s="3">
        <f t="shared" si="3"/>
        <v>0</v>
      </c>
      <c r="P716" s="9">
        <f t="shared" si="1"/>
        <v>-1</v>
      </c>
      <c r="Q716" s="5">
        <f t="shared" si="2"/>
        <v>-622</v>
      </c>
    </row>
    <row r="717">
      <c r="H717" s="3" t="str">
        <f>IFERROR(__xludf.DUMMYFUNCTION("IFERROR(TRIM(INDEX(SPLIT(E717,"" + ""),1)),"""")"),"")</f>
        <v/>
      </c>
      <c r="I717" s="3" t="str">
        <f>IFERROR(__xludf.DUMMYFUNCTION("IFERROR(TRIM(INDEX(SPLIT(E717,"" + ""),2)),"""")"),"")</f>
        <v/>
      </c>
      <c r="J717" s="5" t="str">
        <f>IFERROR(__xludf.DUMMYFUNCTION("IFERROR(TRIM(INDEX(SPLIT(E717,"" + ""),3)),"""")"),"")</f>
        <v/>
      </c>
      <c r="K717" s="3">
        <f>IFERROR(__xludf.DUMMYFUNCTION("IFERROR(IF(H717="""",0,INDEX(FILTER($Q$2:Q716,$C$2:C716=H717,$G$2:G716=G717),ROWS(FILTER($Q$2:Q716,$C$2:C716=H717,$G$2:G716=G717)),1)),1500)"),0.0)</f>
        <v>0</v>
      </c>
      <c r="L717" s="3">
        <f>IFERROR(__xludf.DUMMYFUNCTION("IFERROR(IF(I717="""",0,INDEX(FILTER($Q$2:Q716,$C$2:C716=I717,$G$2:G716=G717),ROWS(FILTER($Q$2:Q716,$C$2:C716=I717,$G$2:G716=G717)),1)),1500)"),0.0)</f>
        <v>0</v>
      </c>
      <c r="M717" s="3">
        <f>IFERROR(__xludf.DUMMYFUNCTION("IFERROR(IF(J717="""",0,INDEX(FILTER($Q$2:Q716,$C$2:C716=J717,$G$2:G716=G717),ROWS(FILTER($Q$2:Q716,$C$2:C716=J717,$G$2:G716=G717)),1)),1500)"),0.0)</f>
        <v>0</v>
      </c>
      <c r="N717" s="3">
        <f>IFERROR(__xludf.DUMMYFUNCTION("IFERROR(INDEX(FILTER($Q$2:Q716,$C$2:C716=C717,$G$2:G716=G717),ROWS(FILTER($Q$2:Q716,$C$2:C716=C717,$G$2:G716=G717)),1),1500)"),-622.0)</f>
        <v>-622</v>
      </c>
      <c r="O717" s="3">
        <f t="shared" si="3"/>
        <v>0</v>
      </c>
      <c r="P717" s="9">
        <f t="shared" si="1"/>
        <v>-1</v>
      </c>
      <c r="Q717" s="5">
        <f t="shared" si="2"/>
        <v>-623</v>
      </c>
    </row>
    <row r="718">
      <c r="H718" s="3" t="str">
        <f>IFERROR(__xludf.DUMMYFUNCTION("IFERROR(TRIM(INDEX(SPLIT(E718,"" + ""),1)),"""")"),"")</f>
        <v/>
      </c>
      <c r="I718" s="3" t="str">
        <f>IFERROR(__xludf.DUMMYFUNCTION("IFERROR(TRIM(INDEX(SPLIT(E718,"" + ""),2)),"""")"),"")</f>
        <v/>
      </c>
      <c r="J718" s="5" t="str">
        <f>IFERROR(__xludf.DUMMYFUNCTION("IFERROR(TRIM(INDEX(SPLIT(E718,"" + ""),3)),"""")"),"")</f>
        <v/>
      </c>
      <c r="K718" s="3">
        <f>IFERROR(__xludf.DUMMYFUNCTION("IFERROR(IF(H718="""",0,INDEX(FILTER($Q$2:Q717,$C$2:C717=H718,$G$2:G717=G718),ROWS(FILTER($Q$2:Q717,$C$2:C717=H718,$G$2:G717=G718)),1)),1500)"),0.0)</f>
        <v>0</v>
      </c>
      <c r="L718" s="3">
        <f>IFERROR(__xludf.DUMMYFUNCTION("IFERROR(IF(I718="""",0,INDEX(FILTER($Q$2:Q717,$C$2:C717=I718,$G$2:G717=G718),ROWS(FILTER($Q$2:Q717,$C$2:C717=I718,$G$2:G717=G718)),1)),1500)"),0.0)</f>
        <v>0</v>
      </c>
      <c r="M718" s="3">
        <f>IFERROR(__xludf.DUMMYFUNCTION("IFERROR(IF(J718="""",0,INDEX(FILTER($Q$2:Q717,$C$2:C717=J718,$G$2:G717=G718),ROWS(FILTER($Q$2:Q717,$C$2:C717=J718,$G$2:G717=G718)),1)),1500)"),0.0)</f>
        <v>0</v>
      </c>
      <c r="N718" s="3">
        <f>IFERROR(__xludf.DUMMYFUNCTION("IFERROR(INDEX(FILTER($Q$2:Q717,$C$2:C717=C718,$G$2:G717=G718),ROWS(FILTER($Q$2:Q717,$C$2:C717=C718,$G$2:G717=G718)),1),1500)"),-623.0)</f>
        <v>-623</v>
      </c>
      <c r="O718" s="3">
        <f t="shared" si="3"/>
        <v>0</v>
      </c>
      <c r="P718" s="9">
        <f t="shared" si="1"/>
        <v>-1</v>
      </c>
      <c r="Q718" s="5">
        <f t="shared" si="2"/>
        <v>-624</v>
      </c>
    </row>
    <row r="719">
      <c r="H719" s="3" t="str">
        <f>IFERROR(__xludf.DUMMYFUNCTION("IFERROR(TRIM(INDEX(SPLIT(E719,"" + ""),1)),"""")"),"")</f>
        <v/>
      </c>
      <c r="I719" s="3" t="str">
        <f>IFERROR(__xludf.DUMMYFUNCTION("IFERROR(TRIM(INDEX(SPLIT(E719,"" + ""),2)),"""")"),"")</f>
        <v/>
      </c>
      <c r="J719" s="5" t="str">
        <f>IFERROR(__xludf.DUMMYFUNCTION("IFERROR(TRIM(INDEX(SPLIT(E719,"" + ""),3)),"""")"),"")</f>
        <v/>
      </c>
      <c r="K719" s="3">
        <f>IFERROR(__xludf.DUMMYFUNCTION("IFERROR(IF(H719="""",0,INDEX(FILTER($Q$2:Q718,$C$2:C718=H719,$G$2:G718=G719),ROWS(FILTER($Q$2:Q718,$C$2:C718=H719,$G$2:G718=G719)),1)),1500)"),0.0)</f>
        <v>0</v>
      </c>
      <c r="L719" s="3">
        <f>IFERROR(__xludf.DUMMYFUNCTION("IFERROR(IF(I719="""",0,INDEX(FILTER($Q$2:Q718,$C$2:C718=I719,$G$2:G718=G719),ROWS(FILTER($Q$2:Q718,$C$2:C718=I719,$G$2:G718=G719)),1)),1500)"),0.0)</f>
        <v>0</v>
      </c>
      <c r="M719" s="3">
        <f>IFERROR(__xludf.DUMMYFUNCTION("IFERROR(IF(J719="""",0,INDEX(FILTER($Q$2:Q718,$C$2:C718=J719,$G$2:G718=G719),ROWS(FILTER($Q$2:Q718,$C$2:C718=J719,$G$2:G718=G719)),1)),1500)"),0.0)</f>
        <v>0</v>
      </c>
      <c r="N719" s="3">
        <f>IFERROR(__xludf.DUMMYFUNCTION("IFERROR(INDEX(FILTER($Q$2:Q718,$C$2:C718=C719,$G$2:G718=G719),ROWS(FILTER($Q$2:Q718,$C$2:C718=C719,$G$2:G718=G719)),1),1500)"),-624.0)</f>
        <v>-624</v>
      </c>
      <c r="O719" s="3">
        <f t="shared" si="3"/>
        <v>0</v>
      </c>
      <c r="P719" s="9">
        <f t="shared" si="1"/>
        <v>-1</v>
      </c>
      <c r="Q719" s="5">
        <f t="shared" si="2"/>
        <v>-625</v>
      </c>
    </row>
    <row r="720">
      <c r="H720" s="3" t="str">
        <f>IFERROR(__xludf.DUMMYFUNCTION("IFERROR(TRIM(INDEX(SPLIT(E720,"" + ""),1)),"""")"),"")</f>
        <v/>
      </c>
      <c r="I720" s="3" t="str">
        <f>IFERROR(__xludf.DUMMYFUNCTION("IFERROR(TRIM(INDEX(SPLIT(E720,"" + ""),2)),"""")"),"")</f>
        <v/>
      </c>
      <c r="J720" s="5" t="str">
        <f>IFERROR(__xludf.DUMMYFUNCTION("IFERROR(TRIM(INDEX(SPLIT(E720,"" + ""),3)),"""")"),"")</f>
        <v/>
      </c>
      <c r="K720" s="3">
        <f>IFERROR(__xludf.DUMMYFUNCTION("IFERROR(IF(H720="""",0,INDEX(FILTER($Q$2:Q719,$C$2:C719=H720,$G$2:G719=G720),ROWS(FILTER($Q$2:Q719,$C$2:C719=H720,$G$2:G719=G720)),1)),1500)"),0.0)</f>
        <v>0</v>
      </c>
      <c r="L720" s="3">
        <f>IFERROR(__xludf.DUMMYFUNCTION("IFERROR(IF(I720="""",0,INDEX(FILTER($Q$2:Q719,$C$2:C719=I720,$G$2:G719=G720),ROWS(FILTER($Q$2:Q719,$C$2:C719=I720,$G$2:G719=G720)),1)),1500)"),0.0)</f>
        <v>0</v>
      </c>
      <c r="M720" s="3">
        <f>IFERROR(__xludf.DUMMYFUNCTION("IFERROR(IF(J720="""",0,INDEX(FILTER($Q$2:Q719,$C$2:C719=J720,$G$2:G719=G720),ROWS(FILTER($Q$2:Q719,$C$2:C719=J720,$G$2:G719=G720)),1)),1500)"),0.0)</f>
        <v>0</v>
      </c>
      <c r="N720" s="3">
        <f>IFERROR(__xludf.DUMMYFUNCTION("IFERROR(INDEX(FILTER($Q$2:Q719,$C$2:C719=C720,$G$2:G719=G720),ROWS(FILTER($Q$2:Q719,$C$2:C719=C720,$G$2:G719=G720)),1),1500)"),-625.0)</f>
        <v>-625</v>
      </c>
      <c r="O720" s="3">
        <f t="shared" si="3"/>
        <v>0</v>
      </c>
      <c r="P720" s="9">
        <f t="shared" si="1"/>
        <v>-1</v>
      </c>
      <c r="Q720" s="5">
        <f t="shared" si="2"/>
        <v>-626</v>
      </c>
    </row>
    <row r="721">
      <c r="H721" s="3" t="str">
        <f>IFERROR(__xludf.DUMMYFUNCTION("IFERROR(TRIM(INDEX(SPLIT(E721,"" + ""),1)),"""")"),"")</f>
        <v/>
      </c>
      <c r="I721" s="3" t="str">
        <f>IFERROR(__xludf.DUMMYFUNCTION("IFERROR(TRIM(INDEX(SPLIT(E721,"" + ""),2)),"""")"),"")</f>
        <v/>
      </c>
      <c r="J721" s="5" t="str">
        <f>IFERROR(__xludf.DUMMYFUNCTION("IFERROR(TRIM(INDEX(SPLIT(E721,"" + ""),3)),"""")"),"")</f>
        <v/>
      </c>
      <c r="K721" s="3">
        <f>IFERROR(__xludf.DUMMYFUNCTION("IFERROR(IF(H721="""",0,INDEX(FILTER($Q$2:Q720,$C$2:C720=H721,$G$2:G720=G721),ROWS(FILTER($Q$2:Q720,$C$2:C720=H721,$G$2:G720=G721)),1)),1500)"),0.0)</f>
        <v>0</v>
      </c>
      <c r="L721" s="3">
        <f>IFERROR(__xludf.DUMMYFUNCTION("IFERROR(IF(I721="""",0,INDEX(FILTER($Q$2:Q720,$C$2:C720=I721,$G$2:G720=G721),ROWS(FILTER($Q$2:Q720,$C$2:C720=I721,$G$2:G720=G721)),1)),1500)"),0.0)</f>
        <v>0</v>
      </c>
      <c r="M721" s="3">
        <f>IFERROR(__xludf.DUMMYFUNCTION("IFERROR(IF(J721="""",0,INDEX(FILTER($Q$2:Q720,$C$2:C720=J721,$G$2:G720=G721),ROWS(FILTER($Q$2:Q720,$C$2:C720=J721,$G$2:G720=G721)),1)),1500)"),0.0)</f>
        <v>0</v>
      </c>
      <c r="N721" s="3">
        <f>IFERROR(__xludf.DUMMYFUNCTION("IFERROR(INDEX(FILTER($Q$2:Q720,$C$2:C720=C721,$G$2:G720=G721),ROWS(FILTER($Q$2:Q720,$C$2:C720=C721,$G$2:G720=G721)),1),1500)"),-626.0)</f>
        <v>-626</v>
      </c>
      <c r="O721" s="3">
        <f t="shared" si="3"/>
        <v>0</v>
      </c>
      <c r="P721" s="9">
        <f t="shared" si="1"/>
        <v>-1</v>
      </c>
      <c r="Q721" s="5">
        <f t="shared" si="2"/>
        <v>-627</v>
      </c>
    </row>
    <row r="722">
      <c r="H722" s="3" t="str">
        <f>IFERROR(__xludf.DUMMYFUNCTION("IFERROR(TRIM(INDEX(SPLIT(E722,"" + ""),1)),"""")"),"")</f>
        <v/>
      </c>
      <c r="I722" s="3" t="str">
        <f>IFERROR(__xludf.DUMMYFUNCTION("IFERROR(TRIM(INDEX(SPLIT(E722,"" + ""),2)),"""")"),"")</f>
        <v/>
      </c>
      <c r="J722" s="5" t="str">
        <f>IFERROR(__xludf.DUMMYFUNCTION("IFERROR(TRIM(INDEX(SPLIT(E722,"" + ""),3)),"""")"),"")</f>
        <v/>
      </c>
      <c r="K722" s="3">
        <f>IFERROR(__xludf.DUMMYFUNCTION("IFERROR(IF(H722="""",0,INDEX(FILTER($Q$2:Q721,$C$2:C721=H722,$G$2:G721=G722),ROWS(FILTER($Q$2:Q721,$C$2:C721=H722,$G$2:G721=G722)),1)),1500)"),0.0)</f>
        <v>0</v>
      </c>
      <c r="L722" s="3">
        <f>IFERROR(__xludf.DUMMYFUNCTION("IFERROR(IF(I722="""",0,INDEX(FILTER($Q$2:Q721,$C$2:C721=I722,$G$2:G721=G722),ROWS(FILTER($Q$2:Q721,$C$2:C721=I722,$G$2:G721=G722)),1)),1500)"),0.0)</f>
        <v>0</v>
      </c>
      <c r="M722" s="3">
        <f>IFERROR(__xludf.DUMMYFUNCTION("IFERROR(IF(J722="""",0,INDEX(FILTER($Q$2:Q721,$C$2:C721=J722,$G$2:G721=G722),ROWS(FILTER($Q$2:Q721,$C$2:C721=J722,$G$2:G721=G722)),1)),1500)"),0.0)</f>
        <v>0</v>
      </c>
      <c r="N722" s="3">
        <f>IFERROR(__xludf.DUMMYFUNCTION("IFERROR(INDEX(FILTER($Q$2:Q721,$C$2:C721=C722,$G$2:G721=G722),ROWS(FILTER($Q$2:Q721,$C$2:C721=C722,$G$2:G721=G722)),1),1500)"),-627.0)</f>
        <v>-627</v>
      </c>
      <c r="O722" s="3">
        <f t="shared" si="3"/>
        <v>0</v>
      </c>
      <c r="P722" s="9">
        <f t="shared" si="1"/>
        <v>-1</v>
      </c>
      <c r="Q722" s="5">
        <f t="shared" si="2"/>
        <v>-628</v>
      </c>
    </row>
    <row r="723">
      <c r="H723" s="3" t="str">
        <f>IFERROR(__xludf.DUMMYFUNCTION("IFERROR(TRIM(INDEX(SPLIT(E723,"" + ""),1)),"""")"),"")</f>
        <v/>
      </c>
      <c r="I723" s="3" t="str">
        <f>IFERROR(__xludf.DUMMYFUNCTION("IFERROR(TRIM(INDEX(SPLIT(E723,"" + ""),2)),"""")"),"")</f>
        <v/>
      </c>
      <c r="J723" s="5" t="str">
        <f>IFERROR(__xludf.DUMMYFUNCTION("IFERROR(TRIM(INDEX(SPLIT(E723,"" + ""),3)),"""")"),"")</f>
        <v/>
      </c>
      <c r="K723" s="3">
        <f>IFERROR(__xludf.DUMMYFUNCTION("IFERROR(IF(H723="""",0,INDEX(FILTER($Q$2:Q722,$C$2:C722=H723,$G$2:G722=G723),ROWS(FILTER($Q$2:Q722,$C$2:C722=H723,$G$2:G722=G723)),1)),1500)"),0.0)</f>
        <v>0</v>
      </c>
      <c r="L723" s="3">
        <f>IFERROR(__xludf.DUMMYFUNCTION("IFERROR(IF(I723="""",0,INDEX(FILTER($Q$2:Q722,$C$2:C722=I723,$G$2:G722=G723),ROWS(FILTER($Q$2:Q722,$C$2:C722=I723,$G$2:G722=G723)),1)),1500)"),0.0)</f>
        <v>0</v>
      </c>
      <c r="M723" s="3">
        <f>IFERROR(__xludf.DUMMYFUNCTION("IFERROR(IF(J723="""",0,INDEX(FILTER($Q$2:Q722,$C$2:C722=J723,$G$2:G722=G723),ROWS(FILTER($Q$2:Q722,$C$2:C722=J723,$G$2:G722=G723)),1)),1500)"),0.0)</f>
        <v>0</v>
      </c>
      <c r="N723" s="3">
        <f>IFERROR(__xludf.DUMMYFUNCTION("IFERROR(INDEX(FILTER($Q$2:Q722,$C$2:C722=C723,$G$2:G722=G723),ROWS(FILTER($Q$2:Q722,$C$2:C722=C723,$G$2:G722=G723)),1),1500)"),-628.0)</f>
        <v>-628</v>
      </c>
      <c r="O723" s="3">
        <f t="shared" si="3"/>
        <v>0</v>
      </c>
      <c r="P723" s="9">
        <f t="shared" si="1"/>
        <v>-1</v>
      </c>
      <c r="Q723" s="5">
        <f t="shared" si="2"/>
        <v>-629</v>
      </c>
    </row>
    <row r="724">
      <c r="H724" s="3" t="str">
        <f>IFERROR(__xludf.DUMMYFUNCTION("IFERROR(TRIM(INDEX(SPLIT(E724,"" + ""),1)),"""")"),"")</f>
        <v/>
      </c>
      <c r="I724" s="3" t="str">
        <f>IFERROR(__xludf.DUMMYFUNCTION("IFERROR(TRIM(INDEX(SPLIT(E724,"" + ""),2)),"""")"),"")</f>
        <v/>
      </c>
      <c r="J724" s="5" t="str">
        <f>IFERROR(__xludf.DUMMYFUNCTION("IFERROR(TRIM(INDEX(SPLIT(E724,"" + ""),3)),"""")"),"")</f>
        <v/>
      </c>
      <c r="K724" s="3">
        <f>IFERROR(__xludf.DUMMYFUNCTION("IFERROR(IF(H724="""",0,INDEX(FILTER($Q$2:Q723,$C$2:C723=H724,$G$2:G723=G724),ROWS(FILTER($Q$2:Q723,$C$2:C723=H724,$G$2:G723=G724)),1)),1500)"),0.0)</f>
        <v>0</v>
      </c>
      <c r="L724" s="3">
        <f>IFERROR(__xludf.DUMMYFUNCTION("IFERROR(IF(I724="""",0,INDEX(FILTER($Q$2:Q723,$C$2:C723=I724,$G$2:G723=G724),ROWS(FILTER($Q$2:Q723,$C$2:C723=I724,$G$2:G723=G724)),1)),1500)"),0.0)</f>
        <v>0</v>
      </c>
      <c r="M724" s="3">
        <f>IFERROR(__xludf.DUMMYFUNCTION("IFERROR(IF(J724="""",0,INDEX(FILTER($Q$2:Q723,$C$2:C723=J724,$G$2:G723=G724),ROWS(FILTER($Q$2:Q723,$C$2:C723=J724,$G$2:G723=G724)),1)),1500)"),0.0)</f>
        <v>0</v>
      </c>
      <c r="N724" s="3">
        <f>IFERROR(__xludf.DUMMYFUNCTION("IFERROR(INDEX(FILTER($Q$2:Q723,$C$2:C723=C724,$G$2:G723=G724),ROWS(FILTER($Q$2:Q723,$C$2:C723=C724,$G$2:G723=G724)),1),1500)"),-629.0)</f>
        <v>-629</v>
      </c>
      <c r="O724" s="3">
        <f t="shared" si="3"/>
        <v>0</v>
      </c>
      <c r="P724" s="9">
        <f t="shared" si="1"/>
        <v>-1</v>
      </c>
      <c r="Q724" s="5">
        <f t="shared" si="2"/>
        <v>-630</v>
      </c>
    </row>
    <row r="725">
      <c r="H725" s="3" t="str">
        <f>IFERROR(__xludf.DUMMYFUNCTION("IFERROR(TRIM(INDEX(SPLIT(E725,"" + ""),1)),"""")"),"")</f>
        <v/>
      </c>
      <c r="I725" s="3" t="str">
        <f>IFERROR(__xludf.DUMMYFUNCTION("IFERROR(TRIM(INDEX(SPLIT(E725,"" + ""),2)),"""")"),"")</f>
        <v/>
      </c>
      <c r="J725" s="5" t="str">
        <f>IFERROR(__xludf.DUMMYFUNCTION("IFERROR(TRIM(INDEX(SPLIT(E725,"" + ""),3)),"""")"),"")</f>
        <v/>
      </c>
      <c r="K725" s="3">
        <f>IFERROR(__xludf.DUMMYFUNCTION("IFERROR(IF(H725="""",0,INDEX(FILTER($Q$2:Q724,$C$2:C724=H725,$G$2:G724=G725),ROWS(FILTER($Q$2:Q724,$C$2:C724=H725,$G$2:G724=G725)),1)),1500)"),0.0)</f>
        <v>0</v>
      </c>
      <c r="L725" s="3">
        <f>IFERROR(__xludf.DUMMYFUNCTION("IFERROR(IF(I725="""",0,INDEX(FILTER($Q$2:Q724,$C$2:C724=I725,$G$2:G724=G725),ROWS(FILTER($Q$2:Q724,$C$2:C724=I725,$G$2:G724=G725)),1)),1500)"),0.0)</f>
        <v>0</v>
      </c>
      <c r="M725" s="3">
        <f>IFERROR(__xludf.DUMMYFUNCTION("IFERROR(IF(J725="""",0,INDEX(FILTER($Q$2:Q724,$C$2:C724=J725,$G$2:G724=G725),ROWS(FILTER($Q$2:Q724,$C$2:C724=J725,$G$2:G724=G725)),1)),1500)"),0.0)</f>
        <v>0</v>
      </c>
      <c r="N725" s="3">
        <f>IFERROR(__xludf.DUMMYFUNCTION("IFERROR(INDEX(FILTER($Q$2:Q724,$C$2:C724=C725,$G$2:G724=G725),ROWS(FILTER($Q$2:Q724,$C$2:C724=C725,$G$2:G724=G725)),1),1500)"),-630.0)</f>
        <v>-630</v>
      </c>
      <c r="O725" s="3">
        <f t="shared" si="3"/>
        <v>0</v>
      </c>
      <c r="P725" s="9">
        <f t="shared" si="1"/>
        <v>-1</v>
      </c>
      <c r="Q725" s="5">
        <f t="shared" si="2"/>
        <v>-631</v>
      </c>
    </row>
    <row r="726">
      <c r="H726" s="3" t="str">
        <f>IFERROR(__xludf.DUMMYFUNCTION("IFERROR(TRIM(INDEX(SPLIT(E726,"" + ""),1)),"""")"),"")</f>
        <v/>
      </c>
      <c r="I726" s="3" t="str">
        <f>IFERROR(__xludf.DUMMYFUNCTION("IFERROR(TRIM(INDEX(SPLIT(E726,"" + ""),2)),"""")"),"")</f>
        <v/>
      </c>
      <c r="J726" s="5" t="str">
        <f>IFERROR(__xludf.DUMMYFUNCTION("IFERROR(TRIM(INDEX(SPLIT(E726,"" + ""),3)),"""")"),"")</f>
        <v/>
      </c>
      <c r="K726" s="3">
        <f>IFERROR(__xludf.DUMMYFUNCTION("IFERROR(IF(H726="""",0,INDEX(FILTER($Q$2:Q725,$C$2:C725=H726,$G$2:G725=G726),ROWS(FILTER($Q$2:Q725,$C$2:C725=H726,$G$2:G725=G726)),1)),1500)"),0.0)</f>
        <v>0</v>
      </c>
      <c r="L726" s="3">
        <f>IFERROR(__xludf.DUMMYFUNCTION("IFERROR(IF(I726="""",0,INDEX(FILTER($Q$2:Q725,$C$2:C725=I726,$G$2:G725=G726),ROWS(FILTER($Q$2:Q725,$C$2:C725=I726,$G$2:G725=G726)),1)),1500)"),0.0)</f>
        <v>0</v>
      </c>
      <c r="M726" s="3">
        <f>IFERROR(__xludf.DUMMYFUNCTION("IFERROR(IF(J726="""",0,INDEX(FILTER($Q$2:Q725,$C$2:C725=J726,$G$2:G725=G726),ROWS(FILTER($Q$2:Q725,$C$2:C725=J726,$G$2:G725=G726)),1)),1500)"),0.0)</f>
        <v>0</v>
      </c>
      <c r="N726" s="3">
        <f>IFERROR(__xludf.DUMMYFUNCTION("IFERROR(INDEX(FILTER($Q$2:Q725,$C$2:C725=C726,$G$2:G725=G726),ROWS(FILTER($Q$2:Q725,$C$2:C725=C726,$G$2:G725=G726)),1),1500)"),-631.0)</f>
        <v>-631</v>
      </c>
      <c r="O726" s="3">
        <f t="shared" si="3"/>
        <v>0</v>
      </c>
      <c r="P726" s="9">
        <f t="shared" si="1"/>
        <v>-1</v>
      </c>
      <c r="Q726" s="5">
        <f t="shared" si="2"/>
        <v>-632</v>
      </c>
    </row>
    <row r="727">
      <c r="H727" s="3" t="str">
        <f>IFERROR(__xludf.DUMMYFUNCTION("IFERROR(TRIM(INDEX(SPLIT(E727,"" + ""),1)),"""")"),"")</f>
        <v/>
      </c>
      <c r="I727" s="3" t="str">
        <f>IFERROR(__xludf.DUMMYFUNCTION("IFERROR(TRIM(INDEX(SPLIT(E727,"" + ""),2)),"""")"),"")</f>
        <v/>
      </c>
      <c r="J727" s="5" t="str">
        <f>IFERROR(__xludf.DUMMYFUNCTION("IFERROR(TRIM(INDEX(SPLIT(E727,"" + ""),3)),"""")"),"")</f>
        <v/>
      </c>
      <c r="K727" s="3">
        <f>IFERROR(__xludf.DUMMYFUNCTION("IFERROR(IF(H727="""",0,INDEX(FILTER($Q$2:Q726,$C$2:C726=H727,$G$2:G726=G727),ROWS(FILTER($Q$2:Q726,$C$2:C726=H727,$G$2:G726=G727)),1)),1500)"),0.0)</f>
        <v>0</v>
      </c>
      <c r="L727" s="3">
        <f>IFERROR(__xludf.DUMMYFUNCTION("IFERROR(IF(I727="""",0,INDEX(FILTER($Q$2:Q726,$C$2:C726=I727,$G$2:G726=G727),ROWS(FILTER($Q$2:Q726,$C$2:C726=I727,$G$2:G726=G727)),1)),1500)"),0.0)</f>
        <v>0</v>
      </c>
      <c r="M727" s="3">
        <f>IFERROR(__xludf.DUMMYFUNCTION("IFERROR(IF(J727="""",0,INDEX(FILTER($Q$2:Q726,$C$2:C726=J727,$G$2:G726=G727),ROWS(FILTER($Q$2:Q726,$C$2:C726=J727,$G$2:G726=G727)),1)),1500)"),0.0)</f>
        <v>0</v>
      </c>
      <c r="N727" s="3">
        <f>IFERROR(__xludf.DUMMYFUNCTION("IFERROR(INDEX(FILTER($Q$2:Q726,$C$2:C726=C727,$G$2:G726=G727),ROWS(FILTER($Q$2:Q726,$C$2:C726=C727,$G$2:G726=G727)),1),1500)"),-632.0)</f>
        <v>-632</v>
      </c>
      <c r="O727" s="3">
        <f t="shared" si="3"/>
        <v>0</v>
      </c>
      <c r="P727" s="9">
        <f t="shared" si="1"/>
        <v>-1</v>
      </c>
      <c r="Q727" s="5">
        <f t="shared" si="2"/>
        <v>-633</v>
      </c>
    </row>
    <row r="728">
      <c r="H728" s="3" t="str">
        <f>IFERROR(__xludf.DUMMYFUNCTION("IFERROR(TRIM(INDEX(SPLIT(E728,"" + ""),1)),"""")"),"")</f>
        <v/>
      </c>
      <c r="I728" s="3" t="str">
        <f>IFERROR(__xludf.DUMMYFUNCTION("IFERROR(TRIM(INDEX(SPLIT(E728,"" + ""),2)),"""")"),"")</f>
        <v/>
      </c>
      <c r="J728" s="5" t="str">
        <f>IFERROR(__xludf.DUMMYFUNCTION("IFERROR(TRIM(INDEX(SPLIT(E728,"" + ""),3)),"""")"),"")</f>
        <v/>
      </c>
      <c r="K728" s="3">
        <f>IFERROR(__xludf.DUMMYFUNCTION("IFERROR(IF(H728="""",0,INDEX(FILTER($Q$2:Q727,$C$2:C727=H728,$G$2:G727=G728),ROWS(FILTER($Q$2:Q727,$C$2:C727=H728,$G$2:G727=G728)),1)),1500)"),0.0)</f>
        <v>0</v>
      </c>
      <c r="L728" s="3">
        <f>IFERROR(__xludf.DUMMYFUNCTION("IFERROR(IF(I728="""",0,INDEX(FILTER($Q$2:Q727,$C$2:C727=I728,$G$2:G727=G728),ROWS(FILTER($Q$2:Q727,$C$2:C727=I728,$G$2:G727=G728)),1)),1500)"),0.0)</f>
        <v>0</v>
      </c>
      <c r="M728" s="3">
        <f>IFERROR(__xludf.DUMMYFUNCTION("IFERROR(IF(J728="""",0,INDEX(FILTER($Q$2:Q727,$C$2:C727=J728,$G$2:G727=G728),ROWS(FILTER($Q$2:Q727,$C$2:C727=J728,$G$2:G727=G728)),1)),1500)"),0.0)</f>
        <v>0</v>
      </c>
      <c r="N728" s="3">
        <f>IFERROR(__xludf.DUMMYFUNCTION("IFERROR(INDEX(FILTER($Q$2:Q727,$C$2:C727=C728,$G$2:G727=G728),ROWS(FILTER($Q$2:Q727,$C$2:C727=C728,$G$2:G727=G728)),1),1500)"),-633.0)</f>
        <v>-633</v>
      </c>
      <c r="O728" s="3">
        <f t="shared" si="3"/>
        <v>0</v>
      </c>
      <c r="P728" s="9">
        <f t="shared" si="1"/>
        <v>-1</v>
      </c>
      <c r="Q728" s="5">
        <f t="shared" si="2"/>
        <v>-634</v>
      </c>
    </row>
    <row r="729">
      <c r="H729" s="3" t="str">
        <f>IFERROR(__xludf.DUMMYFUNCTION("IFERROR(TRIM(INDEX(SPLIT(E729,"" + ""),1)),"""")"),"")</f>
        <v/>
      </c>
      <c r="I729" s="3" t="str">
        <f>IFERROR(__xludf.DUMMYFUNCTION("IFERROR(TRIM(INDEX(SPLIT(E729,"" + ""),2)),"""")"),"")</f>
        <v/>
      </c>
      <c r="J729" s="5" t="str">
        <f>IFERROR(__xludf.DUMMYFUNCTION("IFERROR(TRIM(INDEX(SPLIT(E729,"" + ""),3)),"""")"),"")</f>
        <v/>
      </c>
      <c r="K729" s="3">
        <f>IFERROR(__xludf.DUMMYFUNCTION("IFERROR(IF(H729="""",0,INDEX(FILTER($Q$2:Q728,$C$2:C728=H729,$G$2:G728=G729),ROWS(FILTER($Q$2:Q728,$C$2:C728=H729,$G$2:G728=G729)),1)),1500)"),0.0)</f>
        <v>0</v>
      </c>
      <c r="L729" s="3">
        <f>IFERROR(__xludf.DUMMYFUNCTION("IFERROR(IF(I729="""",0,INDEX(FILTER($Q$2:Q728,$C$2:C728=I729,$G$2:G728=G729),ROWS(FILTER($Q$2:Q728,$C$2:C728=I729,$G$2:G728=G729)),1)),1500)"),0.0)</f>
        <v>0</v>
      </c>
      <c r="M729" s="3">
        <f>IFERROR(__xludf.DUMMYFUNCTION("IFERROR(IF(J729="""",0,INDEX(FILTER($Q$2:Q728,$C$2:C728=J729,$G$2:G728=G729),ROWS(FILTER($Q$2:Q728,$C$2:C728=J729,$G$2:G728=G729)),1)),1500)"),0.0)</f>
        <v>0</v>
      </c>
      <c r="N729" s="3">
        <f>IFERROR(__xludf.DUMMYFUNCTION("IFERROR(INDEX(FILTER($Q$2:Q728,$C$2:C728=C729,$G$2:G728=G729),ROWS(FILTER($Q$2:Q728,$C$2:C728=C729,$G$2:G728=G729)),1),1500)"),-634.0)</f>
        <v>-634</v>
      </c>
      <c r="O729" s="3">
        <f t="shared" si="3"/>
        <v>0</v>
      </c>
      <c r="P729" s="9">
        <f t="shared" si="1"/>
        <v>-1</v>
      </c>
      <c r="Q729" s="5">
        <f t="shared" si="2"/>
        <v>-635</v>
      </c>
    </row>
    <row r="730">
      <c r="H730" s="3" t="str">
        <f>IFERROR(__xludf.DUMMYFUNCTION("IFERROR(TRIM(INDEX(SPLIT(E730,"" + ""),1)),"""")"),"")</f>
        <v/>
      </c>
      <c r="I730" s="3" t="str">
        <f>IFERROR(__xludf.DUMMYFUNCTION("IFERROR(TRIM(INDEX(SPLIT(E730,"" + ""),2)),"""")"),"")</f>
        <v/>
      </c>
      <c r="J730" s="5" t="str">
        <f>IFERROR(__xludf.DUMMYFUNCTION("IFERROR(TRIM(INDEX(SPLIT(E730,"" + ""),3)),"""")"),"")</f>
        <v/>
      </c>
      <c r="K730" s="3">
        <f>IFERROR(__xludf.DUMMYFUNCTION("IFERROR(IF(H730="""",0,INDEX(FILTER($Q$2:Q729,$C$2:C729=H730,$G$2:G729=G730),ROWS(FILTER($Q$2:Q729,$C$2:C729=H730,$G$2:G729=G730)),1)),1500)"),0.0)</f>
        <v>0</v>
      </c>
      <c r="L730" s="3">
        <f>IFERROR(__xludf.DUMMYFUNCTION("IFERROR(IF(I730="""",0,INDEX(FILTER($Q$2:Q729,$C$2:C729=I730,$G$2:G729=G730),ROWS(FILTER($Q$2:Q729,$C$2:C729=I730,$G$2:G729=G730)),1)),1500)"),0.0)</f>
        <v>0</v>
      </c>
      <c r="M730" s="3">
        <f>IFERROR(__xludf.DUMMYFUNCTION("IFERROR(IF(J730="""",0,INDEX(FILTER($Q$2:Q729,$C$2:C729=J730,$G$2:G729=G730),ROWS(FILTER($Q$2:Q729,$C$2:C729=J730,$G$2:G729=G730)),1)),1500)"),0.0)</f>
        <v>0</v>
      </c>
      <c r="N730" s="3">
        <f>IFERROR(__xludf.DUMMYFUNCTION("IFERROR(INDEX(FILTER($Q$2:Q729,$C$2:C729=C730,$G$2:G729=G730),ROWS(FILTER($Q$2:Q729,$C$2:C729=C730,$G$2:G729=G730)),1),1500)"),-635.0)</f>
        <v>-635</v>
      </c>
      <c r="O730" s="3">
        <f t="shared" si="3"/>
        <v>0</v>
      </c>
      <c r="P730" s="9">
        <f t="shared" si="1"/>
        <v>-1</v>
      </c>
      <c r="Q730" s="5">
        <f t="shared" si="2"/>
        <v>-636</v>
      </c>
    </row>
    <row r="731">
      <c r="H731" s="3" t="str">
        <f>IFERROR(__xludf.DUMMYFUNCTION("IFERROR(TRIM(INDEX(SPLIT(E731,"" + ""),1)),"""")"),"")</f>
        <v/>
      </c>
      <c r="I731" s="3" t="str">
        <f>IFERROR(__xludf.DUMMYFUNCTION("IFERROR(TRIM(INDEX(SPLIT(E731,"" + ""),2)),"""")"),"")</f>
        <v/>
      </c>
      <c r="J731" s="5" t="str">
        <f>IFERROR(__xludf.DUMMYFUNCTION("IFERROR(TRIM(INDEX(SPLIT(E731,"" + ""),3)),"""")"),"")</f>
        <v/>
      </c>
      <c r="K731" s="3">
        <f>IFERROR(__xludf.DUMMYFUNCTION("IFERROR(IF(H731="""",0,INDEX(FILTER($Q$2:Q730,$C$2:C730=H731,$G$2:G730=G731),ROWS(FILTER($Q$2:Q730,$C$2:C730=H731,$G$2:G730=G731)),1)),1500)"),0.0)</f>
        <v>0</v>
      </c>
      <c r="L731" s="3">
        <f>IFERROR(__xludf.DUMMYFUNCTION("IFERROR(IF(I731="""",0,INDEX(FILTER($Q$2:Q730,$C$2:C730=I731,$G$2:G730=G731),ROWS(FILTER($Q$2:Q730,$C$2:C730=I731,$G$2:G730=G731)),1)),1500)"),0.0)</f>
        <v>0</v>
      </c>
      <c r="M731" s="3">
        <f>IFERROR(__xludf.DUMMYFUNCTION("IFERROR(IF(J731="""",0,INDEX(FILTER($Q$2:Q730,$C$2:C730=J731,$G$2:G730=G731),ROWS(FILTER($Q$2:Q730,$C$2:C730=J731,$G$2:G730=G731)),1)),1500)"),0.0)</f>
        <v>0</v>
      </c>
      <c r="N731" s="3">
        <f>IFERROR(__xludf.DUMMYFUNCTION("IFERROR(INDEX(FILTER($Q$2:Q730,$C$2:C730=C731,$G$2:G730=G731),ROWS(FILTER($Q$2:Q730,$C$2:C730=C731,$G$2:G730=G731)),1),1500)"),-636.0)</f>
        <v>-636</v>
      </c>
      <c r="O731" s="3">
        <f t="shared" si="3"/>
        <v>0</v>
      </c>
      <c r="P731" s="9">
        <f t="shared" si="1"/>
        <v>-1</v>
      </c>
      <c r="Q731" s="5">
        <f t="shared" si="2"/>
        <v>-637</v>
      </c>
    </row>
    <row r="732">
      <c r="H732" s="3" t="str">
        <f>IFERROR(__xludf.DUMMYFUNCTION("IFERROR(TRIM(INDEX(SPLIT(E732,"" + ""),1)),"""")"),"")</f>
        <v/>
      </c>
      <c r="I732" s="3" t="str">
        <f>IFERROR(__xludf.DUMMYFUNCTION("IFERROR(TRIM(INDEX(SPLIT(E732,"" + ""),2)),"""")"),"")</f>
        <v/>
      </c>
      <c r="J732" s="5" t="str">
        <f>IFERROR(__xludf.DUMMYFUNCTION("IFERROR(TRIM(INDEX(SPLIT(E732,"" + ""),3)),"""")"),"")</f>
        <v/>
      </c>
      <c r="K732" s="3">
        <f>IFERROR(__xludf.DUMMYFUNCTION("IFERROR(IF(H732="""",0,INDEX(FILTER($Q$2:Q731,$C$2:C731=H732,$G$2:G731=G732),ROWS(FILTER($Q$2:Q731,$C$2:C731=H732,$G$2:G731=G732)),1)),1500)"),0.0)</f>
        <v>0</v>
      </c>
      <c r="L732" s="3">
        <f>IFERROR(__xludf.DUMMYFUNCTION("IFERROR(IF(I732="""",0,INDEX(FILTER($Q$2:Q731,$C$2:C731=I732,$G$2:G731=G732),ROWS(FILTER($Q$2:Q731,$C$2:C731=I732,$G$2:G731=G732)),1)),1500)"),0.0)</f>
        <v>0</v>
      </c>
      <c r="M732" s="3">
        <f>IFERROR(__xludf.DUMMYFUNCTION("IFERROR(IF(J732="""",0,INDEX(FILTER($Q$2:Q731,$C$2:C731=J732,$G$2:G731=G732),ROWS(FILTER($Q$2:Q731,$C$2:C731=J732,$G$2:G731=G732)),1)),1500)"),0.0)</f>
        <v>0</v>
      </c>
      <c r="N732" s="3">
        <f>IFERROR(__xludf.DUMMYFUNCTION("IFERROR(INDEX(FILTER($Q$2:Q731,$C$2:C731=C732,$G$2:G731=G732),ROWS(FILTER($Q$2:Q731,$C$2:C731=C732,$G$2:G731=G732)),1),1500)"),-637.0)</f>
        <v>-637</v>
      </c>
      <c r="O732" s="3">
        <f t="shared" si="3"/>
        <v>0</v>
      </c>
      <c r="P732" s="9">
        <f t="shared" si="1"/>
        <v>-1</v>
      </c>
      <c r="Q732" s="5">
        <f t="shared" si="2"/>
        <v>-638</v>
      </c>
    </row>
    <row r="733">
      <c r="H733" s="3" t="str">
        <f>IFERROR(__xludf.DUMMYFUNCTION("IFERROR(TRIM(INDEX(SPLIT(E733,"" + ""),1)),"""")"),"")</f>
        <v/>
      </c>
      <c r="I733" s="3" t="str">
        <f>IFERROR(__xludf.DUMMYFUNCTION("IFERROR(TRIM(INDEX(SPLIT(E733,"" + ""),2)),"""")"),"")</f>
        <v/>
      </c>
      <c r="J733" s="5" t="str">
        <f>IFERROR(__xludf.DUMMYFUNCTION("IFERROR(TRIM(INDEX(SPLIT(E733,"" + ""),3)),"""")"),"")</f>
        <v/>
      </c>
      <c r="K733" s="3">
        <f>IFERROR(__xludf.DUMMYFUNCTION("IFERROR(IF(H733="""",0,INDEX(FILTER($Q$2:Q732,$C$2:C732=H733,$G$2:G732=G733),ROWS(FILTER($Q$2:Q732,$C$2:C732=H733,$G$2:G732=G733)),1)),1500)"),0.0)</f>
        <v>0</v>
      </c>
      <c r="L733" s="3">
        <f>IFERROR(__xludf.DUMMYFUNCTION("IFERROR(IF(I733="""",0,INDEX(FILTER($Q$2:Q732,$C$2:C732=I733,$G$2:G732=G733),ROWS(FILTER($Q$2:Q732,$C$2:C732=I733,$G$2:G732=G733)),1)),1500)"),0.0)</f>
        <v>0</v>
      </c>
      <c r="M733" s="3">
        <f>IFERROR(__xludf.DUMMYFUNCTION("IFERROR(IF(J733="""",0,INDEX(FILTER($Q$2:Q732,$C$2:C732=J733,$G$2:G732=G733),ROWS(FILTER($Q$2:Q732,$C$2:C732=J733,$G$2:G732=G733)),1)),1500)"),0.0)</f>
        <v>0</v>
      </c>
      <c r="N733" s="3">
        <f>IFERROR(__xludf.DUMMYFUNCTION("IFERROR(INDEX(FILTER($Q$2:Q732,$C$2:C732=C733,$G$2:G732=G733),ROWS(FILTER($Q$2:Q732,$C$2:C732=C733,$G$2:G732=G733)),1),1500)"),-638.0)</f>
        <v>-638</v>
      </c>
      <c r="O733" s="3">
        <f t="shared" si="3"/>
        <v>0</v>
      </c>
      <c r="P733" s="9">
        <f t="shared" si="1"/>
        <v>-1</v>
      </c>
      <c r="Q733" s="5">
        <f t="shared" si="2"/>
        <v>-639</v>
      </c>
    </row>
    <row r="734">
      <c r="H734" s="3" t="str">
        <f>IFERROR(__xludf.DUMMYFUNCTION("IFERROR(TRIM(INDEX(SPLIT(E734,"" + ""),1)),"""")"),"")</f>
        <v/>
      </c>
      <c r="I734" s="3" t="str">
        <f>IFERROR(__xludf.DUMMYFUNCTION("IFERROR(TRIM(INDEX(SPLIT(E734,"" + ""),2)),"""")"),"")</f>
        <v/>
      </c>
      <c r="J734" s="5" t="str">
        <f>IFERROR(__xludf.DUMMYFUNCTION("IFERROR(TRIM(INDEX(SPLIT(E734,"" + ""),3)),"""")"),"")</f>
        <v/>
      </c>
      <c r="K734" s="3">
        <f>IFERROR(__xludf.DUMMYFUNCTION("IFERROR(IF(H734="""",0,INDEX(FILTER($Q$2:Q733,$C$2:C733=H734,$G$2:G733=G734),ROWS(FILTER($Q$2:Q733,$C$2:C733=H734,$G$2:G733=G734)),1)),1500)"),0.0)</f>
        <v>0</v>
      </c>
      <c r="L734" s="3">
        <f>IFERROR(__xludf.DUMMYFUNCTION("IFERROR(IF(I734="""",0,INDEX(FILTER($Q$2:Q733,$C$2:C733=I734,$G$2:G733=G734),ROWS(FILTER($Q$2:Q733,$C$2:C733=I734,$G$2:G733=G734)),1)),1500)"),0.0)</f>
        <v>0</v>
      </c>
      <c r="M734" s="3">
        <f>IFERROR(__xludf.DUMMYFUNCTION("IFERROR(IF(J734="""",0,INDEX(FILTER($Q$2:Q733,$C$2:C733=J734,$G$2:G733=G734),ROWS(FILTER($Q$2:Q733,$C$2:C733=J734,$G$2:G733=G734)),1)),1500)"),0.0)</f>
        <v>0</v>
      </c>
      <c r="N734" s="3">
        <f>IFERROR(__xludf.DUMMYFUNCTION("IFERROR(INDEX(FILTER($Q$2:Q733,$C$2:C733=C734,$G$2:G733=G734),ROWS(FILTER($Q$2:Q733,$C$2:C733=C734,$G$2:G733=G734)),1),1500)"),-639.0)</f>
        <v>-639</v>
      </c>
      <c r="O734" s="3">
        <f t="shared" si="3"/>
        <v>0</v>
      </c>
      <c r="P734" s="9">
        <f t="shared" si="1"/>
        <v>-1</v>
      </c>
      <c r="Q734" s="5">
        <f t="shared" si="2"/>
        <v>-640</v>
      </c>
    </row>
    <row r="735">
      <c r="H735" s="3" t="str">
        <f>IFERROR(__xludf.DUMMYFUNCTION("IFERROR(TRIM(INDEX(SPLIT(E735,"" + ""),1)),"""")"),"")</f>
        <v/>
      </c>
      <c r="I735" s="3" t="str">
        <f>IFERROR(__xludf.DUMMYFUNCTION("IFERROR(TRIM(INDEX(SPLIT(E735,"" + ""),2)),"""")"),"")</f>
        <v/>
      </c>
      <c r="J735" s="5" t="str">
        <f>IFERROR(__xludf.DUMMYFUNCTION("IFERROR(TRIM(INDEX(SPLIT(E735,"" + ""),3)),"""")"),"")</f>
        <v/>
      </c>
      <c r="K735" s="3">
        <f>IFERROR(__xludf.DUMMYFUNCTION("IFERROR(IF(H735="""",0,INDEX(FILTER($Q$2:Q734,$C$2:C734=H735,$G$2:G734=G735),ROWS(FILTER($Q$2:Q734,$C$2:C734=H735,$G$2:G734=G735)),1)),1500)"),0.0)</f>
        <v>0</v>
      </c>
      <c r="L735" s="3">
        <f>IFERROR(__xludf.DUMMYFUNCTION("IFERROR(IF(I735="""",0,INDEX(FILTER($Q$2:Q734,$C$2:C734=I735,$G$2:G734=G735),ROWS(FILTER($Q$2:Q734,$C$2:C734=I735,$G$2:G734=G735)),1)),1500)"),0.0)</f>
        <v>0</v>
      </c>
      <c r="M735" s="3">
        <f>IFERROR(__xludf.DUMMYFUNCTION("IFERROR(IF(J735="""",0,INDEX(FILTER($Q$2:Q734,$C$2:C734=J735,$G$2:G734=G735),ROWS(FILTER($Q$2:Q734,$C$2:C734=J735,$G$2:G734=G735)),1)),1500)"),0.0)</f>
        <v>0</v>
      </c>
      <c r="N735" s="3">
        <f>IFERROR(__xludf.DUMMYFUNCTION("IFERROR(INDEX(FILTER($Q$2:Q734,$C$2:C734=C735,$G$2:G734=G735),ROWS(FILTER($Q$2:Q734,$C$2:C734=C735,$G$2:G734=G735)),1),1500)"),-640.0)</f>
        <v>-640</v>
      </c>
      <c r="O735" s="3">
        <f t="shared" si="3"/>
        <v>0</v>
      </c>
      <c r="P735" s="9">
        <f t="shared" si="1"/>
        <v>-1</v>
      </c>
      <c r="Q735" s="5">
        <f t="shared" si="2"/>
        <v>-641</v>
      </c>
    </row>
    <row r="736">
      <c r="H736" s="3" t="str">
        <f>IFERROR(__xludf.DUMMYFUNCTION("IFERROR(TRIM(INDEX(SPLIT(E736,"" + ""),1)),"""")"),"")</f>
        <v/>
      </c>
      <c r="I736" s="3" t="str">
        <f>IFERROR(__xludf.DUMMYFUNCTION("IFERROR(TRIM(INDEX(SPLIT(E736,"" + ""),2)),"""")"),"")</f>
        <v/>
      </c>
      <c r="J736" s="5" t="str">
        <f>IFERROR(__xludf.DUMMYFUNCTION("IFERROR(TRIM(INDEX(SPLIT(E736,"" + ""),3)),"""")"),"")</f>
        <v/>
      </c>
      <c r="K736" s="3">
        <f>IFERROR(__xludf.DUMMYFUNCTION("IFERROR(IF(H736="""",0,INDEX(FILTER($Q$2:Q735,$C$2:C735=H736,$G$2:G735=G736),ROWS(FILTER($Q$2:Q735,$C$2:C735=H736,$G$2:G735=G736)),1)),1500)"),0.0)</f>
        <v>0</v>
      </c>
      <c r="L736" s="3">
        <f>IFERROR(__xludf.DUMMYFUNCTION("IFERROR(IF(I736="""",0,INDEX(FILTER($Q$2:Q735,$C$2:C735=I736,$G$2:G735=G736),ROWS(FILTER($Q$2:Q735,$C$2:C735=I736,$G$2:G735=G736)),1)),1500)"),0.0)</f>
        <v>0</v>
      </c>
      <c r="M736" s="3">
        <f>IFERROR(__xludf.DUMMYFUNCTION("IFERROR(IF(J736="""",0,INDEX(FILTER($Q$2:Q735,$C$2:C735=J736,$G$2:G735=G736),ROWS(FILTER($Q$2:Q735,$C$2:C735=J736,$G$2:G735=G736)),1)),1500)"),0.0)</f>
        <v>0</v>
      </c>
      <c r="N736" s="3">
        <f>IFERROR(__xludf.DUMMYFUNCTION("IFERROR(INDEX(FILTER($Q$2:Q735,$C$2:C735=C736,$G$2:G735=G736),ROWS(FILTER($Q$2:Q735,$C$2:C735=C736,$G$2:G735=G736)),1),1500)"),-641.0)</f>
        <v>-641</v>
      </c>
      <c r="O736" s="3">
        <f t="shared" si="3"/>
        <v>0</v>
      </c>
      <c r="P736" s="9">
        <f t="shared" si="1"/>
        <v>-1</v>
      </c>
      <c r="Q736" s="5">
        <f t="shared" si="2"/>
        <v>-642</v>
      </c>
    </row>
    <row r="737">
      <c r="H737" s="3" t="str">
        <f>IFERROR(__xludf.DUMMYFUNCTION("IFERROR(TRIM(INDEX(SPLIT(E737,"" + ""),1)),"""")"),"")</f>
        <v/>
      </c>
      <c r="I737" s="3" t="str">
        <f>IFERROR(__xludf.DUMMYFUNCTION("IFERROR(TRIM(INDEX(SPLIT(E737,"" + ""),2)),"""")"),"")</f>
        <v/>
      </c>
      <c r="J737" s="5" t="str">
        <f>IFERROR(__xludf.DUMMYFUNCTION("IFERROR(TRIM(INDEX(SPLIT(E737,"" + ""),3)),"""")"),"")</f>
        <v/>
      </c>
      <c r="K737" s="3">
        <f>IFERROR(__xludf.DUMMYFUNCTION("IFERROR(IF(H737="""",0,INDEX(FILTER($Q$2:Q736,$C$2:C736=H737,$G$2:G736=G737),ROWS(FILTER($Q$2:Q736,$C$2:C736=H737,$G$2:G736=G737)),1)),1500)"),0.0)</f>
        <v>0</v>
      </c>
      <c r="L737" s="3">
        <f>IFERROR(__xludf.DUMMYFUNCTION("IFERROR(IF(I737="""",0,INDEX(FILTER($Q$2:Q736,$C$2:C736=I737,$G$2:G736=G737),ROWS(FILTER($Q$2:Q736,$C$2:C736=I737,$G$2:G736=G737)),1)),1500)"),0.0)</f>
        <v>0</v>
      </c>
      <c r="M737" s="3">
        <f>IFERROR(__xludf.DUMMYFUNCTION("IFERROR(IF(J737="""",0,INDEX(FILTER($Q$2:Q736,$C$2:C736=J737,$G$2:G736=G737),ROWS(FILTER($Q$2:Q736,$C$2:C736=J737,$G$2:G736=G737)),1)),1500)"),0.0)</f>
        <v>0</v>
      </c>
      <c r="N737" s="3">
        <f>IFERROR(__xludf.DUMMYFUNCTION("IFERROR(INDEX(FILTER($Q$2:Q736,$C$2:C736=C737,$G$2:G736=G737),ROWS(FILTER($Q$2:Q736,$C$2:C736=C737,$G$2:G736=G737)),1),1500)"),-642.0)</f>
        <v>-642</v>
      </c>
      <c r="O737" s="3">
        <f t="shared" si="3"/>
        <v>0</v>
      </c>
      <c r="P737" s="9">
        <f t="shared" si="1"/>
        <v>-1</v>
      </c>
      <c r="Q737" s="5">
        <f t="shared" si="2"/>
        <v>-643</v>
      </c>
    </row>
    <row r="738">
      <c r="H738" s="3" t="str">
        <f>IFERROR(__xludf.DUMMYFUNCTION("IFERROR(TRIM(INDEX(SPLIT(E738,"" + ""),1)),"""")"),"")</f>
        <v/>
      </c>
      <c r="I738" s="3" t="str">
        <f>IFERROR(__xludf.DUMMYFUNCTION("IFERROR(TRIM(INDEX(SPLIT(E738,"" + ""),2)),"""")"),"")</f>
        <v/>
      </c>
      <c r="J738" s="5" t="str">
        <f>IFERROR(__xludf.DUMMYFUNCTION("IFERROR(TRIM(INDEX(SPLIT(E738,"" + ""),3)),"""")"),"")</f>
        <v/>
      </c>
      <c r="K738" s="3">
        <f>IFERROR(__xludf.DUMMYFUNCTION("IFERROR(IF(H738="""",0,INDEX(FILTER($Q$2:Q737,$C$2:C737=H738,$G$2:G737=G738),ROWS(FILTER($Q$2:Q737,$C$2:C737=H738,$G$2:G737=G738)),1)),1500)"),0.0)</f>
        <v>0</v>
      </c>
      <c r="L738" s="3">
        <f>IFERROR(__xludf.DUMMYFUNCTION("IFERROR(IF(I738="""",0,INDEX(FILTER($Q$2:Q737,$C$2:C737=I738,$G$2:G737=G738),ROWS(FILTER($Q$2:Q737,$C$2:C737=I738,$G$2:G737=G738)),1)),1500)"),0.0)</f>
        <v>0</v>
      </c>
      <c r="M738" s="3">
        <f>IFERROR(__xludf.DUMMYFUNCTION("IFERROR(IF(J738="""",0,INDEX(FILTER($Q$2:Q737,$C$2:C737=J738,$G$2:G737=G738),ROWS(FILTER($Q$2:Q737,$C$2:C737=J738,$G$2:G737=G738)),1)),1500)"),0.0)</f>
        <v>0</v>
      </c>
      <c r="N738" s="3">
        <f>IFERROR(__xludf.DUMMYFUNCTION("IFERROR(INDEX(FILTER($Q$2:Q737,$C$2:C737=C738,$G$2:G737=G738),ROWS(FILTER($Q$2:Q737,$C$2:C737=C738,$G$2:G737=G738)),1),1500)"),-643.0)</f>
        <v>-643</v>
      </c>
      <c r="O738" s="3">
        <f t="shared" si="3"/>
        <v>0</v>
      </c>
      <c r="P738" s="9">
        <f t="shared" si="1"/>
        <v>-1</v>
      </c>
      <c r="Q738" s="5">
        <f t="shared" si="2"/>
        <v>-644</v>
      </c>
    </row>
    <row r="739">
      <c r="H739" s="3" t="str">
        <f>IFERROR(__xludf.DUMMYFUNCTION("IFERROR(TRIM(INDEX(SPLIT(E739,"" + ""),1)),"""")"),"")</f>
        <v/>
      </c>
      <c r="I739" s="3" t="str">
        <f>IFERROR(__xludf.DUMMYFUNCTION("IFERROR(TRIM(INDEX(SPLIT(E739,"" + ""),2)),"""")"),"")</f>
        <v/>
      </c>
      <c r="J739" s="5" t="str">
        <f>IFERROR(__xludf.DUMMYFUNCTION("IFERROR(TRIM(INDEX(SPLIT(E739,"" + ""),3)),"""")"),"")</f>
        <v/>
      </c>
      <c r="K739" s="3">
        <f>IFERROR(__xludf.DUMMYFUNCTION("IFERROR(IF(H739="""",0,INDEX(FILTER($Q$2:Q738,$C$2:C738=H739,$G$2:G738=G739),ROWS(FILTER($Q$2:Q738,$C$2:C738=H739,$G$2:G738=G739)),1)),1500)"),0.0)</f>
        <v>0</v>
      </c>
      <c r="L739" s="3">
        <f>IFERROR(__xludf.DUMMYFUNCTION("IFERROR(IF(I739="""",0,INDEX(FILTER($Q$2:Q738,$C$2:C738=I739,$G$2:G738=G739),ROWS(FILTER($Q$2:Q738,$C$2:C738=I739,$G$2:G738=G739)),1)),1500)"),0.0)</f>
        <v>0</v>
      </c>
      <c r="M739" s="3">
        <f>IFERROR(__xludf.DUMMYFUNCTION("IFERROR(IF(J739="""",0,INDEX(FILTER($Q$2:Q738,$C$2:C738=J739,$G$2:G738=G739),ROWS(FILTER($Q$2:Q738,$C$2:C738=J739,$G$2:G738=G739)),1)),1500)"),0.0)</f>
        <v>0</v>
      </c>
      <c r="N739" s="3">
        <f>IFERROR(__xludf.DUMMYFUNCTION("IFERROR(INDEX(FILTER($Q$2:Q738,$C$2:C738=C739,$G$2:G738=G739),ROWS(FILTER($Q$2:Q738,$C$2:C738=C739,$G$2:G738=G739)),1),1500)"),-644.0)</f>
        <v>-644</v>
      </c>
      <c r="O739" s="3">
        <f t="shared" si="3"/>
        <v>0</v>
      </c>
      <c r="P739" s="9">
        <f t="shared" si="1"/>
        <v>-1</v>
      </c>
      <c r="Q739" s="5">
        <f t="shared" si="2"/>
        <v>-645</v>
      </c>
    </row>
    <row r="740">
      <c r="H740" s="3" t="str">
        <f>IFERROR(__xludf.DUMMYFUNCTION("IFERROR(TRIM(INDEX(SPLIT(E740,"" + ""),1)),"""")"),"")</f>
        <v/>
      </c>
      <c r="I740" s="3" t="str">
        <f>IFERROR(__xludf.DUMMYFUNCTION("IFERROR(TRIM(INDEX(SPLIT(E740,"" + ""),2)),"""")"),"")</f>
        <v/>
      </c>
      <c r="J740" s="5" t="str">
        <f>IFERROR(__xludf.DUMMYFUNCTION("IFERROR(TRIM(INDEX(SPLIT(E740,"" + ""),3)),"""")"),"")</f>
        <v/>
      </c>
      <c r="K740" s="3">
        <f>IFERROR(__xludf.DUMMYFUNCTION("IFERROR(IF(H740="""",0,INDEX(FILTER($Q$2:Q739,$C$2:C739=H740,$G$2:G739=G740),ROWS(FILTER($Q$2:Q739,$C$2:C739=H740,$G$2:G739=G740)),1)),1500)"),0.0)</f>
        <v>0</v>
      </c>
      <c r="L740" s="3">
        <f>IFERROR(__xludf.DUMMYFUNCTION("IFERROR(IF(I740="""",0,INDEX(FILTER($Q$2:Q739,$C$2:C739=I740,$G$2:G739=G740),ROWS(FILTER($Q$2:Q739,$C$2:C739=I740,$G$2:G739=G740)),1)),1500)"),0.0)</f>
        <v>0</v>
      </c>
      <c r="M740" s="3">
        <f>IFERROR(__xludf.DUMMYFUNCTION("IFERROR(IF(J740="""",0,INDEX(FILTER($Q$2:Q739,$C$2:C739=J740,$G$2:G739=G740),ROWS(FILTER($Q$2:Q739,$C$2:C739=J740,$G$2:G739=G740)),1)),1500)"),0.0)</f>
        <v>0</v>
      </c>
      <c r="N740" s="3">
        <f>IFERROR(__xludf.DUMMYFUNCTION("IFERROR(INDEX(FILTER($Q$2:Q739,$C$2:C739=C740,$G$2:G739=G740),ROWS(FILTER($Q$2:Q739,$C$2:C739=C740,$G$2:G739=G740)),1),1500)"),-645.0)</f>
        <v>-645</v>
      </c>
      <c r="O740" s="3">
        <f t="shared" si="3"/>
        <v>0</v>
      </c>
      <c r="P740" s="9">
        <f t="shared" si="1"/>
        <v>-1</v>
      </c>
      <c r="Q740" s="5">
        <f t="shared" si="2"/>
        <v>-646</v>
      </c>
    </row>
    <row r="741">
      <c r="H741" s="3" t="str">
        <f>IFERROR(__xludf.DUMMYFUNCTION("IFERROR(TRIM(INDEX(SPLIT(E741,"" + ""),1)),"""")"),"")</f>
        <v/>
      </c>
      <c r="I741" s="3" t="str">
        <f>IFERROR(__xludf.DUMMYFUNCTION("IFERROR(TRIM(INDEX(SPLIT(E741,"" + ""),2)),"""")"),"")</f>
        <v/>
      </c>
      <c r="J741" s="5" t="str">
        <f>IFERROR(__xludf.DUMMYFUNCTION("IFERROR(TRIM(INDEX(SPLIT(E741,"" + ""),3)),"""")"),"")</f>
        <v/>
      </c>
      <c r="K741" s="3">
        <f>IFERROR(__xludf.DUMMYFUNCTION("IFERROR(IF(H741="""",0,INDEX(FILTER($Q$2:Q740,$C$2:C740=H741,$G$2:G740=G741),ROWS(FILTER($Q$2:Q740,$C$2:C740=H741,$G$2:G740=G741)),1)),1500)"),0.0)</f>
        <v>0</v>
      </c>
      <c r="L741" s="3">
        <f>IFERROR(__xludf.DUMMYFUNCTION("IFERROR(IF(I741="""",0,INDEX(FILTER($Q$2:Q740,$C$2:C740=I741,$G$2:G740=G741),ROWS(FILTER($Q$2:Q740,$C$2:C740=I741,$G$2:G740=G741)),1)),1500)"),0.0)</f>
        <v>0</v>
      </c>
      <c r="M741" s="3">
        <f>IFERROR(__xludf.DUMMYFUNCTION("IFERROR(IF(J741="""",0,INDEX(FILTER($Q$2:Q740,$C$2:C740=J741,$G$2:G740=G741),ROWS(FILTER($Q$2:Q740,$C$2:C740=J741,$G$2:G740=G741)),1)),1500)"),0.0)</f>
        <v>0</v>
      </c>
      <c r="N741" s="3">
        <f>IFERROR(__xludf.DUMMYFUNCTION("IFERROR(INDEX(FILTER($Q$2:Q740,$C$2:C740=C741,$G$2:G740=G741),ROWS(FILTER($Q$2:Q740,$C$2:C740=C741,$G$2:G740=G741)),1),1500)"),-646.0)</f>
        <v>-646</v>
      </c>
      <c r="O741" s="3">
        <f t="shared" si="3"/>
        <v>0</v>
      </c>
      <c r="P741" s="9">
        <f t="shared" si="1"/>
        <v>-1</v>
      </c>
      <c r="Q741" s="5">
        <f t="shared" si="2"/>
        <v>-647</v>
      </c>
    </row>
    <row r="742">
      <c r="H742" s="3" t="str">
        <f>IFERROR(__xludf.DUMMYFUNCTION("IFERROR(TRIM(INDEX(SPLIT(E742,"" + ""),1)),"""")"),"")</f>
        <v/>
      </c>
      <c r="I742" s="3" t="str">
        <f>IFERROR(__xludf.DUMMYFUNCTION("IFERROR(TRIM(INDEX(SPLIT(E742,"" + ""),2)),"""")"),"")</f>
        <v/>
      </c>
      <c r="J742" s="5" t="str">
        <f>IFERROR(__xludf.DUMMYFUNCTION("IFERROR(TRIM(INDEX(SPLIT(E742,"" + ""),3)),"""")"),"")</f>
        <v/>
      </c>
      <c r="K742" s="3">
        <f>IFERROR(__xludf.DUMMYFUNCTION("IFERROR(IF(H742="""",0,INDEX(FILTER($Q$2:Q741,$C$2:C741=H742,$G$2:G741=G742),ROWS(FILTER($Q$2:Q741,$C$2:C741=H742,$G$2:G741=G742)),1)),1500)"),0.0)</f>
        <v>0</v>
      </c>
      <c r="L742" s="3">
        <f>IFERROR(__xludf.DUMMYFUNCTION("IFERROR(IF(I742="""",0,INDEX(FILTER($Q$2:Q741,$C$2:C741=I742,$G$2:G741=G742),ROWS(FILTER($Q$2:Q741,$C$2:C741=I742,$G$2:G741=G742)),1)),1500)"),0.0)</f>
        <v>0</v>
      </c>
      <c r="M742" s="3">
        <f>IFERROR(__xludf.DUMMYFUNCTION("IFERROR(IF(J742="""",0,INDEX(FILTER($Q$2:Q741,$C$2:C741=J742,$G$2:G741=G742),ROWS(FILTER($Q$2:Q741,$C$2:C741=J742,$G$2:G741=G742)),1)),1500)"),0.0)</f>
        <v>0</v>
      </c>
      <c r="N742" s="3">
        <f>IFERROR(__xludf.DUMMYFUNCTION("IFERROR(INDEX(FILTER($Q$2:Q741,$C$2:C741=C742,$G$2:G741=G742),ROWS(FILTER($Q$2:Q741,$C$2:C741=C742,$G$2:G741=G742)),1),1500)"),-647.0)</f>
        <v>-647</v>
      </c>
      <c r="O742" s="3">
        <f t="shared" si="3"/>
        <v>0</v>
      </c>
      <c r="P742" s="9">
        <f t="shared" si="1"/>
        <v>-1</v>
      </c>
      <c r="Q742" s="5">
        <f t="shared" si="2"/>
        <v>-648</v>
      </c>
    </row>
    <row r="743">
      <c r="H743" s="3" t="str">
        <f>IFERROR(__xludf.DUMMYFUNCTION("IFERROR(TRIM(INDEX(SPLIT(E743,"" + ""),1)),"""")"),"")</f>
        <v/>
      </c>
      <c r="I743" s="3" t="str">
        <f>IFERROR(__xludf.DUMMYFUNCTION("IFERROR(TRIM(INDEX(SPLIT(E743,"" + ""),2)),"""")"),"")</f>
        <v/>
      </c>
      <c r="J743" s="5" t="str">
        <f>IFERROR(__xludf.DUMMYFUNCTION("IFERROR(TRIM(INDEX(SPLIT(E743,"" + ""),3)),"""")"),"")</f>
        <v/>
      </c>
      <c r="K743" s="3">
        <f>IFERROR(__xludf.DUMMYFUNCTION("IFERROR(IF(H743="""",0,INDEX(FILTER($Q$2:Q742,$C$2:C742=H743,$G$2:G742=G743),ROWS(FILTER($Q$2:Q742,$C$2:C742=H743,$G$2:G742=G743)),1)),1500)"),0.0)</f>
        <v>0</v>
      </c>
      <c r="L743" s="3">
        <f>IFERROR(__xludf.DUMMYFUNCTION("IFERROR(IF(I743="""",0,INDEX(FILTER($Q$2:Q742,$C$2:C742=I743,$G$2:G742=G743),ROWS(FILTER($Q$2:Q742,$C$2:C742=I743,$G$2:G742=G743)),1)),1500)"),0.0)</f>
        <v>0</v>
      </c>
      <c r="M743" s="3">
        <f>IFERROR(__xludf.DUMMYFUNCTION("IFERROR(IF(J743="""",0,INDEX(FILTER($Q$2:Q742,$C$2:C742=J743,$G$2:G742=G743),ROWS(FILTER($Q$2:Q742,$C$2:C742=J743,$G$2:G742=G743)),1)),1500)"),0.0)</f>
        <v>0</v>
      </c>
      <c r="N743" s="3">
        <f>IFERROR(__xludf.DUMMYFUNCTION("IFERROR(INDEX(FILTER($Q$2:Q742,$C$2:C742=C743,$G$2:G742=G743),ROWS(FILTER($Q$2:Q742,$C$2:C742=C743,$G$2:G742=G743)),1),1500)"),-648.0)</f>
        <v>-648</v>
      </c>
      <c r="O743" s="3">
        <f t="shared" si="3"/>
        <v>0</v>
      </c>
      <c r="P743" s="9">
        <f t="shared" si="1"/>
        <v>-1</v>
      </c>
      <c r="Q743" s="5">
        <f t="shared" si="2"/>
        <v>-649</v>
      </c>
    </row>
    <row r="744">
      <c r="H744" s="3" t="str">
        <f>IFERROR(__xludf.DUMMYFUNCTION("IFERROR(TRIM(INDEX(SPLIT(E744,"" + ""),1)),"""")"),"")</f>
        <v/>
      </c>
      <c r="I744" s="3" t="str">
        <f>IFERROR(__xludf.DUMMYFUNCTION("IFERROR(TRIM(INDEX(SPLIT(E744,"" + ""),2)),"""")"),"")</f>
        <v/>
      </c>
      <c r="J744" s="5" t="str">
        <f>IFERROR(__xludf.DUMMYFUNCTION("IFERROR(TRIM(INDEX(SPLIT(E744,"" + ""),3)),"""")"),"")</f>
        <v/>
      </c>
      <c r="K744" s="3">
        <f>IFERROR(__xludf.DUMMYFUNCTION("IFERROR(IF(H744="""",0,INDEX(FILTER($Q$2:Q743,$C$2:C743=H744,$G$2:G743=G744),ROWS(FILTER($Q$2:Q743,$C$2:C743=H744,$G$2:G743=G744)),1)),1500)"),0.0)</f>
        <v>0</v>
      </c>
      <c r="L744" s="3">
        <f>IFERROR(__xludf.DUMMYFUNCTION("IFERROR(IF(I744="""",0,INDEX(FILTER($Q$2:Q743,$C$2:C743=I744,$G$2:G743=G744),ROWS(FILTER($Q$2:Q743,$C$2:C743=I744,$G$2:G743=G744)),1)),1500)"),0.0)</f>
        <v>0</v>
      </c>
      <c r="M744" s="3">
        <f>IFERROR(__xludf.DUMMYFUNCTION("IFERROR(IF(J744="""",0,INDEX(FILTER($Q$2:Q743,$C$2:C743=J744,$G$2:G743=G744),ROWS(FILTER($Q$2:Q743,$C$2:C743=J744,$G$2:G743=G744)),1)),1500)"),0.0)</f>
        <v>0</v>
      </c>
      <c r="N744" s="3">
        <f>IFERROR(__xludf.DUMMYFUNCTION("IFERROR(INDEX(FILTER($Q$2:Q743,$C$2:C743=C744,$G$2:G743=G744),ROWS(FILTER($Q$2:Q743,$C$2:C743=C744,$G$2:G743=G744)),1),1500)"),-649.0)</f>
        <v>-649</v>
      </c>
      <c r="O744" s="3">
        <f t="shared" si="3"/>
        <v>0</v>
      </c>
      <c r="P744" s="9">
        <f t="shared" si="1"/>
        <v>-1</v>
      </c>
      <c r="Q744" s="5">
        <f t="shared" si="2"/>
        <v>-650</v>
      </c>
    </row>
    <row r="745">
      <c r="H745" s="3" t="str">
        <f>IFERROR(__xludf.DUMMYFUNCTION("IFERROR(TRIM(INDEX(SPLIT(E745,"" + ""),1)),"""")"),"")</f>
        <v/>
      </c>
      <c r="I745" s="3" t="str">
        <f>IFERROR(__xludf.DUMMYFUNCTION("IFERROR(TRIM(INDEX(SPLIT(E745,"" + ""),2)),"""")"),"")</f>
        <v/>
      </c>
      <c r="J745" s="5" t="str">
        <f>IFERROR(__xludf.DUMMYFUNCTION("IFERROR(TRIM(INDEX(SPLIT(E745,"" + ""),3)),"""")"),"")</f>
        <v/>
      </c>
      <c r="K745" s="3">
        <f>IFERROR(__xludf.DUMMYFUNCTION("IFERROR(IF(H745="""",0,INDEX(FILTER($Q$2:Q744,$C$2:C744=H745,$G$2:G744=G745),ROWS(FILTER($Q$2:Q744,$C$2:C744=H745,$G$2:G744=G745)),1)),1500)"),0.0)</f>
        <v>0</v>
      </c>
      <c r="L745" s="3">
        <f>IFERROR(__xludf.DUMMYFUNCTION("IFERROR(IF(I745="""",0,INDEX(FILTER($Q$2:Q744,$C$2:C744=I745,$G$2:G744=G745),ROWS(FILTER($Q$2:Q744,$C$2:C744=I745,$G$2:G744=G745)),1)),1500)"),0.0)</f>
        <v>0</v>
      </c>
      <c r="M745" s="3">
        <f>IFERROR(__xludf.DUMMYFUNCTION("IFERROR(IF(J745="""",0,INDEX(FILTER($Q$2:Q744,$C$2:C744=J745,$G$2:G744=G745),ROWS(FILTER($Q$2:Q744,$C$2:C744=J745,$G$2:G744=G745)),1)),1500)"),0.0)</f>
        <v>0</v>
      </c>
      <c r="N745" s="3">
        <f>IFERROR(__xludf.DUMMYFUNCTION("IFERROR(INDEX(FILTER($Q$2:Q744,$C$2:C744=C745,$G$2:G744=G745),ROWS(FILTER($Q$2:Q744,$C$2:C744=C745,$G$2:G744=G745)),1),1500)"),-650.0)</f>
        <v>-650</v>
      </c>
      <c r="O745" s="3">
        <f t="shared" si="3"/>
        <v>0</v>
      </c>
      <c r="P745" s="9">
        <f t="shared" si="1"/>
        <v>-1</v>
      </c>
      <c r="Q745" s="5">
        <f t="shared" si="2"/>
        <v>-651</v>
      </c>
    </row>
    <row r="746">
      <c r="H746" s="3" t="str">
        <f>IFERROR(__xludf.DUMMYFUNCTION("IFERROR(TRIM(INDEX(SPLIT(E746,"" + ""),1)),"""")"),"")</f>
        <v/>
      </c>
      <c r="I746" s="3" t="str">
        <f>IFERROR(__xludf.DUMMYFUNCTION("IFERROR(TRIM(INDEX(SPLIT(E746,"" + ""),2)),"""")"),"")</f>
        <v/>
      </c>
      <c r="J746" s="5" t="str">
        <f>IFERROR(__xludf.DUMMYFUNCTION("IFERROR(TRIM(INDEX(SPLIT(E746,"" + ""),3)),"""")"),"")</f>
        <v/>
      </c>
      <c r="K746" s="3">
        <f>IFERROR(__xludf.DUMMYFUNCTION("IFERROR(IF(H746="""",0,INDEX(FILTER($Q$2:Q745,$C$2:C745=H746,$G$2:G745=G746),ROWS(FILTER($Q$2:Q745,$C$2:C745=H746,$G$2:G745=G746)),1)),1500)"),0.0)</f>
        <v>0</v>
      </c>
      <c r="L746" s="3">
        <f>IFERROR(__xludf.DUMMYFUNCTION("IFERROR(IF(I746="""",0,INDEX(FILTER($Q$2:Q745,$C$2:C745=I746,$G$2:G745=G746),ROWS(FILTER($Q$2:Q745,$C$2:C745=I746,$G$2:G745=G746)),1)),1500)"),0.0)</f>
        <v>0</v>
      </c>
      <c r="M746" s="3">
        <f>IFERROR(__xludf.DUMMYFUNCTION("IFERROR(IF(J746="""",0,INDEX(FILTER($Q$2:Q745,$C$2:C745=J746,$G$2:G745=G746),ROWS(FILTER($Q$2:Q745,$C$2:C745=J746,$G$2:G745=G746)),1)),1500)"),0.0)</f>
        <v>0</v>
      </c>
      <c r="N746" s="3">
        <f>IFERROR(__xludf.DUMMYFUNCTION("IFERROR(INDEX(FILTER($Q$2:Q745,$C$2:C745=C746,$G$2:G745=G746),ROWS(FILTER($Q$2:Q745,$C$2:C745=C746,$G$2:G745=G746)),1),1500)"),-651.0)</f>
        <v>-651</v>
      </c>
      <c r="O746" s="3">
        <f t="shared" si="3"/>
        <v>0</v>
      </c>
      <c r="P746" s="9">
        <f t="shared" si="1"/>
        <v>-1</v>
      </c>
      <c r="Q746" s="5">
        <f t="shared" si="2"/>
        <v>-652</v>
      </c>
    </row>
    <row r="747">
      <c r="H747" s="3" t="str">
        <f>IFERROR(__xludf.DUMMYFUNCTION("IFERROR(TRIM(INDEX(SPLIT(E747,"" + ""),1)),"""")"),"")</f>
        <v/>
      </c>
      <c r="I747" s="3" t="str">
        <f>IFERROR(__xludf.DUMMYFUNCTION("IFERROR(TRIM(INDEX(SPLIT(E747,"" + ""),2)),"""")"),"")</f>
        <v/>
      </c>
      <c r="J747" s="5" t="str">
        <f>IFERROR(__xludf.DUMMYFUNCTION("IFERROR(TRIM(INDEX(SPLIT(E747,"" + ""),3)),"""")"),"")</f>
        <v/>
      </c>
      <c r="K747" s="3">
        <f>IFERROR(__xludf.DUMMYFUNCTION("IFERROR(IF(H747="""",0,INDEX(FILTER($Q$2:Q746,$C$2:C746=H747,$G$2:G746=G747),ROWS(FILTER($Q$2:Q746,$C$2:C746=H747,$G$2:G746=G747)),1)),1500)"),0.0)</f>
        <v>0</v>
      </c>
      <c r="L747" s="3">
        <f>IFERROR(__xludf.DUMMYFUNCTION("IFERROR(IF(I747="""",0,INDEX(FILTER($Q$2:Q746,$C$2:C746=I747,$G$2:G746=G747),ROWS(FILTER($Q$2:Q746,$C$2:C746=I747,$G$2:G746=G747)),1)),1500)"),0.0)</f>
        <v>0</v>
      </c>
      <c r="M747" s="3">
        <f>IFERROR(__xludf.DUMMYFUNCTION("IFERROR(IF(J747="""",0,INDEX(FILTER($Q$2:Q746,$C$2:C746=J747,$G$2:G746=G747),ROWS(FILTER($Q$2:Q746,$C$2:C746=J747,$G$2:G746=G747)),1)),1500)"),0.0)</f>
        <v>0</v>
      </c>
      <c r="N747" s="3">
        <f>IFERROR(__xludf.DUMMYFUNCTION("IFERROR(INDEX(FILTER($Q$2:Q746,$C$2:C746=C747,$G$2:G746=G747),ROWS(FILTER($Q$2:Q746,$C$2:C746=C747,$G$2:G746=G747)),1),1500)"),-652.0)</f>
        <v>-652</v>
      </c>
      <c r="O747" s="3">
        <f t="shared" si="3"/>
        <v>0</v>
      </c>
      <c r="P747" s="9">
        <f t="shared" si="1"/>
        <v>-1</v>
      </c>
      <c r="Q747" s="5">
        <f t="shared" si="2"/>
        <v>-653</v>
      </c>
    </row>
    <row r="748">
      <c r="H748" s="3" t="str">
        <f>IFERROR(__xludf.DUMMYFUNCTION("IFERROR(TRIM(INDEX(SPLIT(E748,"" + ""),1)),"""")"),"")</f>
        <v/>
      </c>
      <c r="I748" s="3" t="str">
        <f>IFERROR(__xludf.DUMMYFUNCTION("IFERROR(TRIM(INDEX(SPLIT(E748,"" + ""),2)),"""")"),"")</f>
        <v/>
      </c>
      <c r="J748" s="5" t="str">
        <f>IFERROR(__xludf.DUMMYFUNCTION("IFERROR(TRIM(INDEX(SPLIT(E748,"" + ""),3)),"""")"),"")</f>
        <v/>
      </c>
      <c r="K748" s="3">
        <f>IFERROR(__xludf.DUMMYFUNCTION("IFERROR(IF(H748="""",0,INDEX(FILTER($Q$2:Q747,$C$2:C747=H748,$G$2:G747=G748),ROWS(FILTER($Q$2:Q747,$C$2:C747=H748,$G$2:G747=G748)),1)),1500)"),0.0)</f>
        <v>0</v>
      </c>
      <c r="L748" s="3">
        <f>IFERROR(__xludf.DUMMYFUNCTION("IFERROR(IF(I748="""",0,INDEX(FILTER($Q$2:Q747,$C$2:C747=I748,$G$2:G747=G748),ROWS(FILTER($Q$2:Q747,$C$2:C747=I748,$G$2:G747=G748)),1)),1500)"),0.0)</f>
        <v>0</v>
      </c>
      <c r="M748" s="3">
        <f>IFERROR(__xludf.DUMMYFUNCTION("IFERROR(IF(J748="""",0,INDEX(FILTER($Q$2:Q747,$C$2:C747=J748,$G$2:G747=G748),ROWS(FILTER($Q$2:Q747,$C$2:C747=J748,$G$2:G747=G748)),1)),1500)"),0.0)</f>
        <v>0</v>
      </c>
      <c r="N748" s="3">
        <f>IFERROR(__xludf.DUMMYFUNCTION("IFERROR(INDEX(FILTER($Q$2:Q747,$C$2:C747=C748,$G$2:G747=G748),ROWS(FILTER($Q$2:Q747,$C$2:C747=C748,$G$2:G747=G748)),1),1500)"),-653.0)</f>
        <v>-653</v>
      </c>
      <c r="O748" s="3">
        <f t="shared" si="3"/>
        <v>0</v>
      </c>
      <c r="P748" s="9">
        <f t="shared" si="1"/>
        <v>-1</v>
      </c>
      <c r="Q748" s="5">
        <f t="shared" si="2"/>
        <v>-654</v>
      </c>
    </row>
    <row r="749">
      <c r="H749" s="3" t="str">
        <f>IFERROR(__xludf.DUMMYFUNCTION("IFERROR(TRIM(INDEX(SPLIT(E749,"" + ""),1)),"""")"),"")</f>
        <v/>
      </c>
      <c r="I749" s="3" t="str">
        <f>IFERROR(__xludf.DUMMYFUNCTION("IFERROR(TRIM(INDEX(SPLIT(E749,"" + ""),2)),"""")"),"")</f>
        <v/>
      </c>
      <c r="J749" s="5" t="str">
        <f>IFERROR(__xludf.DUMMYFUNCTION("IFERROR(TRIM(INDEX(SPLIT(E749,"" + ""),3)),"""")"),"")</f>
        <v/>
      </c>
      <c r="K749" s="3">
        <f>IFERROR(__xludf.DUMMYFUNCTION("IFERROR(IF(H749="""",0,INDEX(FILTER($Q$2:Q748,$C$2:C748=H749,$G$2:G748=G749),ROWS(FILTER($Q$2:Q748,$C$2:C748=H749,$G$2:G748=G749)),1)),1500)"),0.0)</f>
        <v>0</v>
      </c>
      <c r="L749" s="3">
        <f>IFERROR(__xludf.DUMMYFUNCTION("IFERROR(IF(I749="""",0,INDEX(FILTER($Q$2:Q748,$C$2:C748=I749,$G$2:G748=G749),ROWS(FILTER($Q$2:Q748,$C$2:C748=I749,$G$2:G748=G749)),1)),1500)"),0.0)</f>
        <v>0</v>
      </c>
      <c r="M749" s="3">
        <f>IFERROR(__xludf.DUMMYFUNCTION("IFERROR(IF(J749="""",0,INDEX(FILTER($Q$2:Q748,$C$2:C748=J749,$G$2:G748=G749),ROWS(FILTER($Q$2:Q748,$C$2:C748=J749,$G$2:G748=G749)),1)),1500)"),0.0)</f>
        <v>0</v>
      </c>
      <c r="N749" s="3">
        <f>IFERROR(__xludf.DUMMYFUNCTION("IFERROR(INDEX(FILTER($Q$2:Q748,$C$2:C748=C749,$G$2:G748=G749),ROWS(FILTER($Q$2:Q748,$C$2:C748=C749,$G$2:G748=G749)),1),1500)"),-654.0)</f>
        <v>-654</v>
      </c>
      <c r="O749" s="3">
        <f t="shared" si="3"/>
        <v>0</v>
      </c>
      <c r="P749" s="9">
        <f t="shared" si="1"/>
        <v>-1</v>
      </c>
      <c r="Q749" s="5">
        <f t="shared" si="2"/>
        <v>-655</v>
      </c>
    </row>
    <row r="750">
      <c r="H750" s="3" t="str">
        <f>IFERROR(__xludf.DUMMYFUNCTION("IFERROR(TRIM(INDEX(SPLIT(E750,"" + ""),1)),"""")"),"")</f>
        <v/>
      </c>
      <c r="I750" s="3" t="str">
        <f>IFERROR(__xludf.DUMMYFUNCTION("IFERROR(TRIM(INDEX(SPLIT(E750,"" + ""),2)),"""")"),"")</f>
        <v/>
      </c>
      <c r="J750" s="5" t="str">
        <f>IFERROR(__xludf.DUMMYFUNCTION("IFERROR(TRIM(INDEX(SPLIT(E750,"" + ""),3)),"""")"),"")</f>
        <v/>
      </c>
      <c r="K750" s="3">
        <f>IFERROR(__xludf.DUMMYFUNCTION("IFERROR(IF(H750="""",0,INDEX(FILTER($Q$2:Q749,$C$2:C749=H750,$G$2:G749=G750),ROWS(FILTER($Q$2:Q749,$C$2:C749=H750,$G$2:G749=G750)),1)),1500)"),0.0)</f>
        <v>0</v>
      </c>
      <c r="L750" s="3">
        <f>IFERROR(__xludf.DUMMYFUNCTION("IFERROR(IF(I750="""",0,INDEX(FILTER($Q$2:Q749,$C$2:C749=I750,$G$2:G749=G750),ROWS(FILTER($Q$2:Q749,$C$2:C749=I750,$G$2:G749=G750)),1)),1500)"),0.0)</f>
        <v>0</v>
      </c>
      <c r="M750" s="3">
        <f>IFERROR(__xludf.DUMMYFUNCTION("IFERROR(IF(J750="""",0,INDEX(FILTER($Q$2:Q749,$C$2:C749=J750,$G$2:G749=G750),ROWS(FILTER($Q$2:Q749,$C$2:C749=J750,$G$2:G749=G750)),1)),1500)"),0.0)</f>
        <v>0</v>
      </c>
      <c r="N750" s="3">
        <f>IFERROR(__xludf.DUMMYFUNCTION("IFERROR(INDEX(FILTER($Q$2:Q749,$C$2:C749=C750,$G$2:G749=G750),ROWS(FILTER($Q$2:Q749,$C$2:C749=C750,$G$2:G749=G750)),1),1500)"),-655.0)</f>
        <v>-655</v>
      </c>
      <c r="O750" s="3">
        <f t="shared" si="3"/>
        <v>0</v>
      </c>
      <c r="P750" s="9">
        <f t="shared" si="1"/>
        <v>-1</v>
      </c>
      <c r="Q750" s="5">
        <f t="shared" si="2"/>
        <v>-656</v>
      </c>
    </row>
    <row r="751">
      <c r="H751" s="3" t="str">
        <f>IFERROR(__xludf.DUMMYFUNCTION("IFERROR(TRIM(INDEX(SPLIT(E751,"" + ""),1)),"""")"),"")</f>
        <v/>
      </c>
      <c r="I751" s="3" t="str">
        <f>IFERROR(__xludf.DUMMYFUNCTION("IFERROR(TRIM(INDEX(SPLIT(E751,"" + ""),2)),"""")"),"")</f>
        <v/>
      </c>
      <c r="J751" s="5" t="str">
        <f>IFERROR(__xludf.DUMMYFUNCTION("IFERROR(TRIM(INDEX(SPLIT(E751,"" + ""),3)),"""")"),"")</f>
        <v/>
      </c>
      <c r="K751" s="3">
        <f>IFERROR(__xludf.DUMMYFUNCTION("IFERROR(IF(H751="""",0,INDEX(FILTER($Q$2:Q750,$C$2:C750=H751,$G$2:G750=G751),ROWS(FILTER($Q$2:Q750,$C$2:C750=H751,$G$2:G750=G751)),1)),1500)"),0.0)</f>
        <v>0</v>
      </c>
      <c r="L751" s="3">
        <f>IFERROR(__xludf.DUMMYFUNCTION("IFERROR(IF(I751="""",0,INDEX(FILTER($Q$2:Q750,$C$2:C750=I751,$G$2:G750=G751),ROWS(FILTER($Q$2:Q750,$C$2:C750=I751,$G$2:G750=G751)),1)),1500)"),0.0)</f>
        <v>0</v>
      </c>
      <c r="M751" s="3">
        <f>IFERROR(__xludf.DUMMYFUNCTION("IFERROR(IF(J751="""",0,INDEX(FILTER($Q$2:Q750,$C$2:C750=J751,$G$2:G750=G751),ROWS(FILTER($Q$2:Q750,$C$2:C750=J751,$G$2:G750=G751)),1)),1500)"),0.0)</f>
        <v>0</v>
      </c>
      <c r="N751" s="3">
        <f>IFERROR(__xludf.DUMMYFUNCTION("IFERROR(INDEX(FILTER($Q$2:Q750,$C$2:C750=C751,$G$2:G750=G751),ROWS(FILTER($Q$2:Q750,$C$2:C750=C751,$G$2:G750=G751)),1),1500)"),-656.0)</f>
        <v>-656</v>
      </c>
      <c r="O751" s="3">
        <f t="shared" si="3"/>
        <v>0</v>
      </c>
      <c r="P751" s="9">
        <f t="shared" si="1"/>
        <v>-1</v>
      </c>
      <c r="Q751" s="5">
        <f t="shared" si="2"/>
        <v>-657</v>
      </c>
    </row>
    <row r="752">
      <c r="H752" s="3" t="str">
        <f>IFERROR(__xludf.DUMMYFUNCTION("IFERROR(TRIM(INDEX(SPLIT(E752,"" + ""),1)),"""")"),"")</f>
        <v/>
      </c>
      <c r="I752" s="3" t="str">
        <f>IFERROR(__xludf.DUMMYFUNCTION("IFERROR(TRIM(INDEX(SPLIT(E752,"" + ""),2)),"""")"),"")</f>
        <v/>
      </c>
      <c r="J752" s="5" t="str">
        <f>IFERROR(__xludf.DUMMYFUNCTION("IFERROR(TRIM(INDEX(SPLIT(E752,"" + ""),3)),"""")"),"")</f>
        <v/>
      </c>
      <c r="K752" s="3">
        <f>IFERROR(__xludf.DUMMYFUNCTION("IFERROR(IF(H752="""",0,INDEX(FILTER($Q$2:Q751,$C$2:C751=H752,$G$2:G751=G752),ROWS(FILTER($Q$2:Q751,$C$2:C751=H752,$G$2:G751=G752)),1)),1500)"),0.0)</f>
        <v>0</v>
      </c>
      <c r="L752" s="3">
        <f>IFERROR(__xludf.DUMMYFUNCTION("IFERROR(IF(I752="""",0,INDEX(FILTER($Q$2:Q751,$C$2:C751=I752,$G$2:G751=G752),ROWS(FILTER($Q$2:Q751,$C$2:C751=I752,$G$2:G751=G752)),1)),1500)"),0.0)</f>
        <v>0</v>
      </c>
      <c r="M752" s="3">
        <f>IFERROR(__xludf.DUMMYFUNCTION("IFERROR(IF(J752="""",0,INDEX(FILTER($Q$2:Q751,$C$2:C751=J752,$G$2:G751=G752),ROWS(FILTER($Q$2:Q751,$C$2:C751=J752,$G$2:G751=G752)),1)),1500)"),0.0)</f>
        <v>0</v>
      </c>
      <c r="N752" s="3">
        <f>IFERROR(__xludf.DUMMYFUNCTION("IFERROR(INDEX(FILTER($Q$2:Q751,$C$2:C751=C752,$G$2:G751=G752),ROWS(FILTER($Q$2:Q751,$C$2:C751=C752,$G$2:G751=G752)),1),1500)"),-657.0)</f>
        <v>-657</v>
      </c>
      <c r="O752" s="3">
        <f t="shared" si="3"/>
        <v>0</v>
      </c>
      <c r="P752" s="9">
        <f t="shared" si="1"/>
        <v>-1</v>
      </c>
      <c r="Q752" s="5">
        <f t="shared" si="2"/>
        <v>-658</v>
      </c>
    </row>
    <row r="753">
      <c r="H753" s="3" t="str">
        <f>IFERROR(__xludf.DUMMYFUNCTION("IFERROR(TRIM(INDEX(SPLIT(E753,"" + ""),1)),"""")"),"")</f>
        <v/>
      </c>
      <c r="I753" s="3" t="str">
        <f>IFERROR(__xludf.DUMMYFUNCTION("IFERROR(TRIM(INDEX(SPLIT(E753,"" + ""),2)),"""")"),"")</f>
        <v/>
      </c>
      <c r="J753" s="5" t="str">
        <f>IFERROR(__xludf.DUMMYFUNCTION("IFERROR(TRIM(INDEX(SPLIT(E753,"" + ""),3)),"""")"),"")</f>
        <v/>
      </c>
      <c r="K753" s="3">
        <f>IFERROR(__xludf.DUMMYFUNCTION("IFERROR(IF(H753="""",0,INDEX(FILTER($Q$2:Q752,$C$2:C752=H753,$G$2:G752=G753),ROWS(FILTER($Q$2:Q752,$C$2:C752=H753,$G$2:G752=G753)),1)),1500)"),0.0)</f>
        <v>0</v>
      </c>
      <c r="L753" s="3">
        <f>IFERROR(__xludf.DUMMYFUNCTION("IFERROR(IF(I753="""",0,INDEX(FILTER($Q$2:Q752,$C$2:C752=I753,$G$2:G752=G753),ROWS(FILTER($Q$2:Q752,$C$2:C752=I753,$G$2:G752=G753)),1)),1500)"),0.0)</f>
        <v>0</v>
      </c>
      <c r="M753" s="3">
        <f>IFERROR(__xludf.DUMMYFUNCTION("IFERROR(IF(J753="""",0,INDEX(FILTER($Q$2:Q752,$C$2:C752=J753,$G$2:G752=G753),ROWS(FILTER($Q$2:Q752,$C$2:C752=J753,$G$2:G752=G753)),1)),1500)"),0.0)</f>
        <v>0</v>
      </c>
      <c r="N753" s="3">
        <f>IFERROR(__xludf.DUMMYFUNCTION("IFERROR(INDEX(FILTER($Q$2:Q752,$C$2:C752=C753,$G$2:G752=G753),ROWS(FILTER($Q$2:Q752,$C$2:C752=C753,$G$2:G752=G753)),1),1500)"),-658.0)</f>
        <v>-658</v>
      </c>
      <c r="O753" s="3">
        <f t="shared" si="3"/>
        <v>0</v>
      </c>
      <c r="P753" s="9">
        <f t="shared" si="1"/>
        <v>-1</v>
      </c>
      <c r="Q753" s="5">
        <f t="shared" si="2"/>
        <v>-659</v>
      </c>
    </row>
    <row r="754">
      <c r="H754" s="3" t="str">
        <f>IFERROR(__xludf.DUMMYFUNCTION("IFERROR(TRIM(INDEX(SPLIT(E754,"" + ""),1)),"""")"),"")</f>
        <v/>
      </c>
      <c r="I754" s="3" t="str">
        <f>IFERROR(__xludf.DUMMYFUNCTION("IFERROR(TRIM(INDEX(SPLIT(E754,"" + ""),2)),"""")"),"")</f>
        <v/>
      </c>
      <c r="J754" s="5" t="str">
        <f>IFERROR(__xludf.DUMMYFUNCTION("IFERROR(TRIM(INDEX(SPLIT(E754,"" + ""),3)),"""")"),"")</f>
        <v/>
      </c>
      <c r="K754" s="3">
        <f>IFERROR(__xludf.DUMMYFUNCTION("IFERROR(IF(H754="""",0,INDEX(FILTER($Q$2:Q753,$C$2:C753=H754,$G$2:G753=G754),ROWS(FILTER($Q$2:Q753,$C$2:C753=H754,$G$2:G753=G754)),1)),1500)"),0.0)</f>
        <v>0</v>
      </c>
      <c r="L754" s="3">
        <f>IFERROR(__xludf.DUMMYFUNCTION("IFERROR(IF(I754="""",0,INDEX(FILTER($Q$2:Q753,$C$2:C753=I754,$G$2:G753=G754),ROWS(FILTER($Q$2:Q753,$C$2:C753=I754,$G$2:G753=G754)),1)),1500)"),0.0)</f>
        <v>0</v>
      </c>
      <c r="M754" s="3">
        <f>IFERROR(__xludf.DUMMYFUNCTION("IFERROR(IF(J754="""",0,INDEX(FILTER($Q$2:Q753,$C$2:C753=J754,$G$2:G753=G754),ROWS(FILTER($Q$2:Q753,$C$2:C753=J754,$G$2:G753=G754)),1)),1500)"),0.0)</f>
        <v>0</v>
      </c>
      <c r="N754" s="3">
        <f>IFERROR(__xludf.DUMMYFUNCTION("IFERROR(INDEX(FILTER($Q$2:Q753,$C$2:C753=C754,$G$2:G753=G754),ROWS(FILTER($Q$2:Q753,$C$2:C753=C754,$G$2:G753=G754)),1),1500)"),-659.0)</f>
        <v>-659</v>
      </c>
      <c r="O754" s="3">
        <f t="shared" si="3"/>
        <v>0</v>
      </c>
      <c r="P754" s="9">
        <f t="shared" si="1"/>
        <v>-1</v>
      </c>
      <c r="Q754" s="5">
        <f t="shared" si="2"/>
        <v>-660</v>
      </c>
    </row>
    <row r="755">
      <c r="H755" s="3" t="str">
        <f>IFERROR(__xludf.DUMMYFUNCTION("IFERROR(TRIM(INDEX(SPLIT(E755,"" + ""),1)),"""")"),"")</f>
        <v/>
      </c>
      <c r="I755" s="3" t="str">
        <f>IFERROR(__xludf.DUMMYFUNCTION("IFERROR(TRIM(INDEX(SPLIT(E755,"" + ""),2)),"""")"),"")</f>
        <v/>
      </c>
      <c r="J755" s="5" t="str">
        <f>IFERROR(__xludf.DUMMYFUNCTION("IFERROR(TRIM(INDEX(SPLIT(E755,"" + ""),3)),"""")"),"")</f>
        <v/>
      </c>
      <c r="K755" s="3">
        <f>IFERROR(__xludf.DUMMYFUNCTION("IFERROR(IF(H755="""",0,INDEX(FILTER($Q$2:Q754,$C$2:C754=H755,$G$2:G754=G755),ROWS(FILTER($Q$2:Q754,$C$2:C754=H755,$G$2:G754=G755)),1)),1500)"),0.0)</f>
        <v>0</v>
      </c>
      <c r="L755" s="3">
        <f>IFERROR(__xludf.DUMMYFUNCTION("IFERROR(IF(I755="""",0,INDEX(FILTER($Q$2:Q754,$C$2:C754=I755,$G$2:G754=G755),ROWS(FILTER($Q$2:Q754,$C$2:C754=I755,$G$2:G754=G755)),1)),1500)"),0.0)</f>
        <v>0</v>
      </c>
      <c r="M755" s="3">
        <f>IFERROR(__xludf.DUMMYFUNCTION("IFERROR(IF(J755="""",0,INDEX(FILTER($Q$2:Q754,$C$2:C754=J755,$G$2:G754=G755),ROWS(FILTER($Q$2:Q754,$C$2:C754=J755,$G$2:G754=G755)),1)),1500)"),0.0)</f>
        <v>0</v>
      </c>
      <c r="N755" s="3">
        <f>IFERROR(__xludf.DUMMYFUNCTION("IFERROR(INDEX(FILTER($Q$2:Q754,$C$2:C754=C755,$G$2:G754=G755),ROWS(FILTER($Q$2:Q754,$C$2:C754=C755,$G$2:G754=G755)),1),1500)"),-660.0)</f>
        <v>-660</v>
      </c>
      <c r="O755" s="3">
        <f t="shared" si="3"/>
        <v>0</v>
      </c>
      <c r="P755" s="9">
        <f t="shared" si="1"/>
        <v>-1</v>
      </c>
      <c r="Q755" s="5">
        <f t="shared" si="2"/>
        <v>-661</v>
      </c>
    </row>
    <row r="756">
      <c r="H756" s="3" t="str">
        <f>IFERROR(__xludf.DUMMYFUNCTION("IFERROR(TRIM(INDEX(SPLIT(E756,"" + ""),1)),"""")"),"")</f>
        <v/>
      </c>
      <c r="I756" s="3" t="str">
        <f>IFERROR(__xludf.DUMMYFUNCTION("IFERROR(TRIM(INDEX(SPLIT(E756,"" + ""),2)),"""")"),"")</f>
        <v/>
      </c>
      <c r="J756" s="5" t="str">
        <f>IFERROR(__xludf.DUMMYFUNCTION("IFERROR(TRIM(INDEX(SPLIT(E756,"" + ""),3)),"""")"),"")</f>
        <v/>
      </c>
      <c r="K756" s="3">
        <f>IFERROR(__xludf.DUMMYFUNCTION("IFERROR(IF(H756="""",0,INDEX(FILTER($Q$2:Q755,$C$2:C755=H756,$G$2:G755=G756),ROWS(FILTER($Q$2:Q755,$C$2:C755=H756,$G$2:G755=G756)),1)),1500)"),0.0)</f>
        <v>0</v>
      </c>
      <c r="L756" s="3">
        <f>IFERROR(__xludf.DUMMYFUNCTION("IFERROR(IF(I756="""",0,INDEX(FILTER($Q$2:Q755,$C$2:C755=I756,$G$2:G755=G756),ROWS(FILTER($Q$2:Q755,$C$2:C755=I756,$G$2:G755=G756)),1)),1500)"),0.0)</f>
        <v>0</v>
      </c>
      <c r="M756" s="3">
        <f>IFERROR(__xludf.DUMMYFUNCTION("IFERROR(IF(J756="""",0,INDEX(FILTER($Q$2:Q755,$C$2:C755=J756,$G$2:G755=G756),ROWS(FILTER($Q$2:Q755,$C$2:C755=J756,$G$2:G755=G756)),1)),1500)"),0.0)</f>
        <v>0</v>
      </c>
      <c r="N756" s="3">
        <f>IFERROR(__xludf.DUMMYFUNCTION("IFERROR(INDEX(FILTER($Q$2:Q755,$C$2:C755=C756,$G$2:G755=G756),ROWS(FILTER($Q$2:Q755,$C$2:C755=C756,$G$2:G755=G756)),1),1500)"),-661.0)</f>
        <v>-661</v>
      </c>
      <c r="O756" s="3">
        <f t="shared" si="3"/>
        <v>0</v>
      </c>
      <c r="P756" s="9">
        <f t="shared" si="1"/>
        <v>-1</v>
      </c>
      <c r="Q756" s="5">
        <f t="shared" si="2"/>
        <v>-662</v>
      </c>
    </row>
    <row r="757">
      <c r="H757" s="3" t="str">
        <f>IFERROR(__xludf.DUMMYFUNCTION("IFERROR(TRIM(INDEX(SPLIT(E757,"" + ""),1)),"""")"),"")</f>
        <v/>
      </c>
      <c r="I757" s="3" t="str">
        <f>IFERROR(__xludf.DUMMYFUNCTION("IFERROR(TRIM(INDEX(SPLIT(E757,"" + ""),2)),"""")"),"")</f>
        <v/>
      </c>
      <c r="J757" s="5" t="str">
        <f>IFERROR(__xludf.DUMMYFUNCTION("IFERROR(TRIM(INDEX(SPLIT(E757,"" + ""),3)),"""")"),"")</f>
        <v/>
      </c>
      <c r="K757" s="3">
        <f>IFERROR(__xludf.DUMMYFUNCTION("IFERROR(IF(H757="""",0,INDEX(FILTER($Q$2:Q756,$C$2:C756=H757,$G$2:G756=G757),ROWS(FILTER($Q$2:Q756,$C$2:C756=H757,$G$2:G756=G757)),1)),1500)"),0.0)</f>
        <v>0</v>
      </c>
      <c r="L757" s="3">
        <f>IFERROR(__xludf.DUMMYFUNCTION("IFERROR(IF(I757="""",0,INDEX(FILTER($Q$2:Q756,$C$2:C756=I757,$G$2:G756=G757),ROWS(FILTER($Q$2:Q756,$C$2:C756=I757,$G$2:G756=G757)),1)),1500)"),0.0)</f>
        <v>0</v>
      </c>
      <c r="M757" s="3">
        <f>IFERROR(__xludf.DUMMYFUNCTION("IFERROR(IF(J757="""",0,INDEX(FILTER($Q$2:Q756,$C$2:C756=J757,$G$2:G756=G757),ROWS(FILTER($Q$2:Q756,$C$2:C756=J757,$G$2:G756=G757)),1)),1500)"),0.0)</f>
        <v>0</v>
      </c>
      <c r="N757" s="3">
        <f>IFERROR(__xludf.DUMMYFUNCTION("IFERROR(INDEX(FILTER($Q$2:Q756,$C$2:C756=C757,$G$2:G756=G757),ROWS(FILTER($Q$2:Q756,$C$2:C756=C757,$G$2:G756=G757)),1),1500)"),-662.0)</f>
        <v>-662</v>
      </c>
      <c r="O757" s="3">
        <f t="shared" si="3"/>
        <v>0</v>
      </c>
      <c r="P757" s="9">
        <f t="shared" si="1"/>
        <v>-1</v>
      </c>
      <c r="Q757" s="5">
        <f t="shared" si="2"/>
        <v>-663</v>
      </c>
    </row>
    <row r="758">
      <c r="H758" s="3" t="str">
        <f>IFERROR(__xludf.DUMMYFUNCTION("IFERROR(TRIM(INDEX(SPLIT(E758,"" + ""),1)),"""")"),"")</f>
        <v/>
      </c>
      <c r="I758" s="3" t="str">
        <f>IFERROR(__xludf.DUMMYFUNCTION("IFERROR(TRIM(INDEX(SPLIT(E758,"" + ""),2)),"""")"),"")</f>
        <v/>
      </c>
      <c r="J758" s="5" t="str">
        <f>IFERROR(__xludf.DUMMYFUNCTION("IFERROR(TRIM(INDEX(SPLIT(E758,"" + ""),3)),"""")"),"")</f>
        <v/>
      </c>
      <c r="K758" s="3">
        <f>IFERROR(__xludf.DUMMYFUNCTION("IFERROR(IF(H758="""",0,INDEX(FILTER($Q$2:Q757,$C$2:C757=H758,$G$2:G757=G758),ROWS(FILTER($Q$2:Q757,$C$2:C757=H758,$G$2:G757=G758)),1)),1500)"),0.0)</f>
        <v>0</v>
      </c>
      <c r="L758" s="3">
        <f>IFERROR(__xludf.DUMMYFUNCTION("IFERROR(IF(I758="""",0,INDEX(FILTER($Q$2:Q757,$C$2:C757=I758,$G$2:G757=G758),ROWS(FILTER($Q$2:Q757,$C$2:C757=I758,$G$2:G757=G758)),1)),1500)"),0.0)</f>
        <v>0</v>
      </c>
      <c r="M758" s="3">
        <f>IFERROR(__xludf.DUMMYFUNCTION("IFERROR(IF(J758="""",0,INDEX(FILTER($Q$2:Q757,$C$2:C757=J758,$G$2:G757=G758),ROWS(FILTER($Q$2:Q757,$C$2:C757=J758,$G$2:G757=G758)),1)),1500)"),0.0)</f>
        <v>0</v>
      </c>
      <c r="N758" s="3">
        <f>IFERROR(__xludf.DUMMYFUNCTION("IFERROR(INDEX(FILTER($Q$2:Q757,$C$2:C757=C758,$G$2:G757=G758),ROWS(FILTER($Q$2:Q757,$C$2:C757=C758,$G$2:G757=G758)),1),1500)"),-663.0)</f>
        <v>-663</v>
      </c>
      <c r="O758" s="3">
        <f t="shared" si="3"/>
        <v>0</v>
      </c>
      <c r="P758" s="9">
        <f t="shared" si="1"/>
        <v>-1</v>
      </c>
      <c r="Q758" s="5">
        <f t="shared" si="2"/>
        <v>-664</v>
      </c>
    </row>
    <row r="759">
      <c r="H759" s="3" t="str">
        <f>IFERROR(__xludf.DUMMYFUNCTION("IFERROR(TRIM(INDEX(SPLIT(E759,"" + ""),1)),"""")"),"")</f>
        <v/>
      </c>
      <c r="I759" s="3" t="str">
        <f>IFERROR(__xludf.DUMMYFUNCTION("IFERROR(TRIM(INDEX(SPLIT(E759,"" + ""),2)),"""")"),"")</f>
        <v/>
      </c>
      <c r="J759" s="5" t="str">
        <f>IFERROR(__xludf.DUMMYFUNCTION("IFERROR(TRIM(INDEX(SPLIT(E759,"" + ""),3)),"""")"),"")</f>
        <v/>
      </c>
      <c r="K759" s="3">
        <f>IFERROR(__xludf.DUMMYFUNCTION("IFERROR(IF(H759="""",0,INDEX(FILTER($Q$2:Q758,$C$2:C758=H759,$G$2:G758=G759),ROWS(FILTER($Q$2:Q758,$C$2:C758=H759,$G$2:G758=G759)),1)),1500)"),0.0)</f>
        <v>0</v>
      </c>
      <c r="L759" s="3">
        <f>IFERROR(__xludf.DUMMYFUNCTION("IFERROR(IF(I759="""",0,INDEX(FILTER($Q$2:Q758,$C$2:C758=I759,$G$2:G758=G759),ROWS(FILTER($Q$2:Q758,$C$2:C758=I759,$G$2:G758=G759)),1)),1500)"),0.0)</f>
        <v>0</v>
      </c>
      <c r="M759" s="3">
        <f>IFERROR(__xludf.DUMMYFUNCTION("IFERROR(IF(J759="""",0,INDEX(FILTER($Q$2:Q758,$C$2:C758=J759,$G$2:G758=G759),ROWS(FILTER($Q$2:Q758,$C$2:C758=J759,$G$2:G758=G759)),1)),1500)"),0.0)</f>
        <v>0</v>
      </c>
      <c r="N759" s="3">
        <f>IFERROR(__xludf.DUMMYFUNCTION("IFERROR(INDEX(FILTER($Q$2:Q758,$C$2:C758=C759,$G$2:G758=G759),ROWS(FILTER($Q$2:Q758,$C$2:C758=C759,$G$2:G758=G759)),1),1500)"),-664.0)</f>
        <v>-664</v>
      </c>
      <c r="O759" s="3">
        <f t="shared" si="3"/>
        <v>0</v>
      </c>
      <c r="P759" s="9">
        <f t="shared" si="1"/>
        <v>-1</v>
      </c>
      <c r="Q759" s="5">
        <f t="shared" si="2"/>
        <v>-665</v>
      </c>
    </row>
    <row r="760">
      <c r="H760" s="3" t="str">
        <f>IFERROR(__xludf.DUMMYFUNCTION("IFERROR(TRIM(INDEX(SPLIT(E760,"" + ""),1)),"""")"),"")</f>
        <v/>
      </c>
      <c r="I760" s="3" t="str">
        <f>IFERROR(__xludf.DUMMYFUNCTION("IFERROR(TRIM(INDEX(SPLIT(E760,"" + ""),2)),"""")"),"")</f>
        <v/>
      </c>
      <c r="J760" s="5" t="str">
        <f>IFERROR(__xludf.DUMMYFUNCTION("IFERROR(TRIM(INDEX(SPLIT(E760,"" + ""),3)),"""")"),"")</f>
        <v/>
      </c>
      <c r="K760" s="3">
        <f>IFERROR(__xludf.DUMMYFUNCTION("IFERROR(IF(H760="""",0,INDEX(FILTER($Q$2:Q759,$C$2:C759=H760,$G$2:G759=G760),ROWS(FILTER($Q$2:Q759,$C$2:C759=H760,$G$2:G759=G760)),1)),1500)"),0.0)</f>
        <v>0</v>
      </c>
      <c r="L760" s="3">
        <f>IFERROR(__xludf.DUMMYFUNCTION("IFERROR(IF(I760="""",0,INDEX(FILTER($Q$2:Q759,$C$2:C759=I760,$G$2:G759=G760),ROWS(FILTER($Q$2:Q759,$C$2:C759=I760,$G$2:G759=G760)),1)),1500)"),0.0)</f>
        <v>0</v>
      </c>
      <c r="M760" s="3">
        <f>IFERROR(__xludf.DUMMYFUNCTION("IFERROR(IF(J760="""",0,INDEX(FILTER($Q$2:Q759,$C$2:C759=J760,$G$2:G759=G760),ROWS(FILTER($Q$2:Q759,$C$2:C759=J760,$G$2:G759=G760)),1)),1500)"),0.0)</f>
        <v>0</v>
      </c>
      <c r="N760" s="3">
        <f>IFERROR(__xludf.DUMMYFUNCTION("IFERROR(INDEX(FILTER($Q$2:Q759,$C$2:C759=C760,$G$2:G759=G760),ROWS(FILTER($Q$2:Q759,$C$2:C759=C760,$G$2:G759=G760)),1),1500)"),-665.0)</f>
        <v>-665</v>
      </c>
      <c r="O760" s="3">
        <f t="shared" si="3"/>
        <v>0</v>
      </c>
      <c r="P760" s="9">
        <f t="shared" si="1"/>
        <v>-1</v>
      </c>
      <c r="Q760" s="5">
        <f t="shared" si="2"/>
        <v>-666</v>
      </c>
    </row>
    <row r="761">
      <c r="H761" s="3" t="str">
        <f>IFERROR(__xludf.DUMMYFUNCTION("IFERROR(TRIM(INDEX(SPLIT(E761,"" + ""),1)),"""")"),"")</f>
        <v/>
      </c>
      <c r="I761" s="3" t="str">
        <f>IFERROR(__xludf.DUMMYFUNCTION("IFERROR(TRIM(INDEX(SPLIT(E761,"" + ""),2)),"""")"),"")</f>
        <v/>
      </c>
      <c r="J761" s="5" t="str">
        <f>IFERROR(__xludf.DUMMYFUNCTION("IFERROR(TRIM(INDEX(SPLIT(E761,"" + ""),3)),"""")"),"")</f>
        <v/>
      </c>
      <c r="K761" s="3">
        <f>IFERROR(__xludf.DUMMYFUNCTION("IFERROR(IF(H761="""",0,INDEX(FILTER($Q$2:Q760,$C$2:C760=H761,$G$2:G760=G761),ROWS(FILTER($Q$2:Q760,$C$2:C760=H761,$G$2:G760=G761)),1)),1500)"),0.0)</f>
        <v>0</v>
      </c>
      <c r="L761" s="3">
        <f>IFERROR(__xludf.DUMMYFUNCTION("IFERROR(IF(I761="""",0,INDEX(FILTER($Q$2:Q760,$C$2:C760=I761,$G$2:G760=G761),ROWS(FILTER($Q$2:Q760,$C$2:C760=I761,$G$2:G760=G761)),1)),1500)"),0.0)</f>
        <v>0</v>
      </c>
      <c r="M761" s="3">
        <f>IFERROR(__xludf.DUMMYFUNCTION("IFERROR(IF(J761="""",0,INDEX(FILTER($Q$2:Q760,$C$2:C760=J761,$G$2:G760=G761),ROWS(FILTER($Q$2:Q760,$C$2:C760=J761,$G$2:G760=G761)),1)),1500)"),0.0)</f>
        <v>0</v>
      </c>
      <c r="N761" s="3">
        <f>IFERROR(__xludf.DUMMYFUNCTION("IFERROR(INDEX(FILTER($Q$2:Q760,$C$2:C760=C761,$G$2:G760=G761),ROWS(FILTER($Q$2:Q760,$C$2:C760=C761,$G$2:G760=G761)),1),1500)"),-666.0)</f>
        <v>-666</v>
      </c>
      <c r="O761" s="3">
        <f t="shared" si="3"/>
        <v>0</v>
      </c>
      <c r="P761" s="9">
        <f t="shared" si="1"/>
        <v>-1</v>
      </c>
      <c r="Q761" s="5">
        <f t="shared" si="2"/>
        <v>-667</v>
      </c>
    </row>
    <row r="762">
      <c r="H762" s="3" t="str">
        <f>IFERROR(__xludf.DUMMYFUNCTION("IFERROR(TRIM(INDEX(SPLIT(E762,"" + ""),1)),"""")"),"")</f>
        <v/>
      </c>
      <c r="I762" s="3" t="str">
        <f>IFERROR(__xludf.DUMMYFUNCTION("IFERROR(TRIM(INDEX(SPLIT(E762,"" + ""),2)),"""")"),"")</f>
        <v/>
      </c>
      <c r="J762" s="5" t="str">
        <f>IFERROR(__xludf.DUMMYFUNCTION("IFERROR(TRIM(INDEX(SPLIT(E762,"" + ""),3)),"""")"),"")</f>
        <v/>
      </c>
      <c r="K762" s="3">
        <f>IFERROR(__xludf.DUMMYFUNCTION("IFERROR(IF(H762="""",0,INDEX(FILTER($Q$2:Q761,$C$2:C761=H762,$G$2:G761=G762),ROWS(FILTER($Q$2:Q761,$C$2:C761=H762,$G$2:G761=G762)),1)),1500)"),0.0)</f>
        <v>0</v>
      </c>
      <c r="L762" s="3">
        <f>IFERROR(__xludf.DUMMYFUNCTION("IFERROR(IF(I762="""",0,INDEX(FILTER($Q$2:Q761,$C$2:C761=I762,$G$2:G761=G762),ROWS(FILTER($Q$2:Q761,$C$2:C761=I762,$G$2:G761=G762)),1)),1500)"),0.0)</f>
        <v>0</v>
      </c>
      <c r="M762" s="3">
        <f>IFERROR(__xludf.DUMMYFUNCTION("IFERROR(IF(J762="""",0,INDEX(FILTER($Q$2:Q761,$C$2:C761=J762,$G$2:G761=G762),ROWS(FILTER($Q$2:Q761,$C$2:C761=J762,$G$2:G761=G762)),1)),1500)"),0.0)</f>
        <v>0</v>
      </c>
      <c r="N762" s="3">
        <f>IFERROR(__xludf.DUMMYFUNCTION("IFERROR(INDEX(FILTER($Q$2:Q761,$C$2:C761=C762,$G$2:G761=G762),ROWS(FILTER($Q$2:Q761,$C$2:C761=C762,$G$2:G761=G762)),1),1500)"),-667.0)</f>
        <v>-667</v>
      </c>
      <c r="O762" s="3">
        <f t="shared" si="3"/>
        <v>0</v>
      </c>
      <c r="P762" s="9">
        <f t="shared" si="1"/>
        <v>-1</v>
      </c>
      <c r="Q762" s="5">
        <f t="shared" si="2"/>
        <v>-668</v>
      </c>
    </row>
    <row r="763">
      <c r="H763" s="3" t="str">
        <f>IFERROR(__xludf.DUMMYFUNCTION("IFERROR(TRIM(INDEX(SPLIT(E763,"" + ""),1)),"""")"),"")</f>
        <v/>
      </c>
      <c r="I763" s="3" t="str">
        <f>IFERROR(__xludf.DUMMYFUNCTION("IFERROR(TRIM(INDEX(SPLIT(E763,"" + ""),2)),"""")"),"")</f>
        <v/>
      </c>
      <c r="J763" s="5" t="str">
        <f>IFERROR(__xludf.DUMMYFUNCTION("IFERROR(TRIM(INDEX(SPLIT(E763,"" + ""),3)),"""")"),"")</f>
        <v/>
      </c>
      <c r="K763" s="3">
        <f>IFERROR(__xludf.DUMMYFUNCTION("IFERROR(IF(H763="""",0,INDEX(FILTER($Q$2:Q762,$C$2:C762=H763,$G$2:G762=G763),ROWS(FILTER($Q$2:Q762,$C$2:C762=H763,$G$2:G762=G763)),1)),1500)"),0.0)</f>
        <v>0</v>
      </c>
      <c r="L763" s="3">
        <f>IFERROR(__xludf.DUMMYFUNCTION("IFERROR(IF(I763="""",0,INDEX(FILTER($Q$2:Q762,$C$2:C762=I763,$G$2:G762=G763),ROWS(FILTER($Q$2:Q762,$C$2:C762=I763,$G$2:G762=G763)),1)),1500)"),0.0)</f>
        <v>0</v>
      </c>
      <c r="M763" s="3">
        <f>IFERROR(__xludf.DUMMYFUNCTION("IFERROR(IF(J763="""",0,INDEX(FILTER($Q$2:Q762,$C$2:C762=J763,$G$2:G762=G763),ROWS(FILTER($Q$2:Q762,$C$2:C762=J763,$G$2:G762=G763)),1)),1500)"),0.0)</f>
        <v>0</v>
      </c>
      <c r="N763" s="3">
        <f>IFERROR(__xludf.DUMMYFUNCTION("IFERROR(INDEX(FILTER($Q$2:Q762,$C$2:C762=C763,$G$2:G762=G763),ROWS(FILTER($Q$2:Q762,$C$2:C762=C763,$G$2:G762=G763)),1),1500)"),-668.0)</f>
        <v>-668</v>
      </c>
      <c r="O763" s="3">
        <f t="shared" si="3"/>
        <v>0</v>
      </c>
      <c r="P763" s="9">
        <f t="shared" si="1"/>
        <v>-1</v>
      </c>
      <c r="Q763" s="5">
        <f t="shared" si="2"/>
        <v>-669</v>
      </c>
    </row>
    <row r="764">
      <c r="H764" s="3" t="str">
        <f>IFERROR(__xludf.DUMMYFUNCTION("IFERROR(TRIM(INDEX(SPLIT(E764,"" + ""),1)),"""")"),"")</f>
        <v/>
      </c>
      <c r="I764" s="3" t="str">
        <f>IFERROR(__xludf.DUMMYFUNCTION("IFERROR(TRIM(INDEX(SPLIT(E764,"" + ""),2)),"""")"),"")</f>
        <v/>
      </c>
      <c r="J764" s="5" t="str">
        <f>IFERROR(__xludf.DUMMYFUNCTION("IFERROR(TRIM(INDEX(SPLIT(E764,"" + ""),3)),"""")"),"")</f>
        <v/>
      </c>
      <c r="K764" s="3">
        <f>IFERROR(__xludf.DUMMYFUNCTION("IFERROR(IF(H764="""",0,INDEX(FILTER($Q$2:Q763,$C$2:C763=H764,$G$2:G763=G764),ROWS(FILTER($Q$2:Q763,$C$2:C763=H764,$G$2:G763=G764)),1)),1500)"),0.0)</f>
        <v>0</v>
      </c>
      <c r="L764" s="3">
        <f>IFERROR(__xludf.DUMMYFUNCTION("IFERROR(IF(I764="""",0,INDEX(FILTER($Q$2:Q763,$C$2:C763=I764,$G$2:G763=G764),ROWS(FILTER($Q$2:Q763,$C$2:C763=I764,$G$2:G763=G764)),1)),1500)"),0.0)</f>
        <v>0</v>
      </c>
      <c r="M764" s="3">
        <f>IFERROR(__xludf.DUMMYFUNCTION("IFERROR(IF(J764="""",0,INDEX(FILTER($Q$2:Q763,$C$2:C763=J764,$G$2:G763=G764),ROWS(FILTER($Q$2:Q763,$C$2:C763=J764,$G$2:G763=G764)),1)),1500)"),0.0)</f>
        <v>0</v>
      </c>
      <c r="N764" s="3">
        <f>IFERROR(__xludf.DUMMYFUNCTION("IFERROR(INDEX(FILTER($Q$2:Q763,$C$2:C763=C764,$G$2:G763=G764),ROWS(FILTER($Q$2:Q763,$C$2:C763=C764,$G$2:G763=G764)),1),1500)"),-669.0)</f>
        <v>-669</v>
      </c>
      <c r="O764" s="3">
        <f t="shared" si="3"/>
        <v>0</v>
      </c>
      <c r="P764" s="9">
        <f t="shared" si="1"/>
        <v>-1</v>
      </c>
      <c r="Q764" s="5">
        <f t="shared" si="2"/>
        <v>-670</v>
      </c>
    </row>
    <row r="765">
      <c r="H765" s="3" t="str">
        <f>IFERROR(__xludf.DUMMYFUNCTION("IFERROR(TRIM(INDEX(SPLIT(E765,"" + ""),1)),"""")"),"")</f>
        <v/>
      </c>
      <c r="I765" s="3" t="str">
        <f>IFERROR(__xludf.DUMMYFUNCTION("IFERROR(TRIM(INDEX(SPLIT(E765,"" + ""),2)),"""")"),"")</f>
        <v/>
      </c>
      <c r="J765" s="5" t="str">
        <f>IFERROR(__xludf.DUMMYFUNCTION("IFERROR(TRIM(INDEX(SPLIT(E765,"" + ""),3)),"""")"),"")</f>
        <v/>
      </c>
      <c r="K765" s="3">
        <f>IFERROR(__xludf.DUMMYFUNCTION("IFERROR(IF(H765="""",0,INDEX(FILTER($Q$2:Q764,$C$2:C764=H765,$G$2:G764=G765),ROWS(FILTER($Q$2:Q764,$C$2:C764=H765,$G$2:G764=G765)),1)),1500)"),0.0)</f>
        <v>0</v>
      </c>
      <c r="L765" s="3">
        <f>IFERROR(__xludf.DUMMYFUNCTION("IFERROR(IF(I765="""",0,INDEX(FILTER($Q$2:Q764,$C$2:C764=I765,$G$2:G764=G765),ROWS(FILTER($Q$2:Q764,$C$2:C764=I765,$G$2:G764=G765)),1)),1500)"),0.0)</f>
        <v>0</v>
      </c>
      <c r="M765" s="3">
        <f>IFERROR(__xludf.DUMMYFUNCTION("IFERROR(IF(J765="""",0,INDEX(FILTER($Q$2:Q764,$C$2:C764=J765,$G$2:G764=G765),ROWS(FILTER($Q$2:Q764,$C$2:C764=J765,$G$2:G764=G765)),1)),1500)"),0.0)</f>
        <v>0</v>
      </c>
      <c r="N765" s="3">
        <f>IFERROR(__xludf.DUMMYFUNCTION("IFERROR(INDEX(FILTER($Q$2:Q764,$C$2:C764=C765,$G$2:G764=G765),ROWS(FILTER($Q$2:Q764,$C$2:C764=C765,$G$2:G764=G765)),1),1500)"),-670.0)</f>
        <v>-670</v>
      </c>
      <c r="O765" s="3">
        <f t="shared" si="3"/>
        <v>0</v>
      </c>
      <c r="P765" s="9">
        <f t="shared" si="1"/>
        <v>-1</v>
      </c>
      <c r="Q765" s="5">
        <f t="shared" si="2"/>
        <v>-671</v>
      </c>
    </row>
    <row r="766">
      <c r="H766" s="3" t="str">
        <f>IFERROR(__xludf.DUMMYFUNCTION("IFERROR(TRIM(INDEX(SPLIT(E766,"" + ""),1)),"""")"),"")</f>
        <v/>
      </c>
      <c r="I766" s="3" t="str">
        <f>IFERROR(__xludf.DUMMYFUNCTION("IFERROR(TRIM(INDEX(SPLIT(E766,"" + ""),2)),"""")"),"")</f>
        <v/>
      </c>
      <c r="J766" s="5" t="str">
        <f>IFERROR(__xludf.DUMMYFUNCTION("IFERROR(TRIM(INDEX(SPLIT(E766,"" + ""),3)),"""")"),"")</f>
        <v/>
      </c>
      <c r="K766" s="3">
        <f>IFERROR(__xludf.DUMMYFUNCTION("IFERROR(IF(H766="""",0,INDEX(FILTER($Q$2:Q765,$C$2:C765=H766,$G$2:G765=G766),ROWS(FILTER($Q$2:Q765,$C$2:C765=H766,$G$2:G765=G766)),1)),1500)"),0.0)</f>
        <v>0</v>
      </c>
      <c r="L766" s="3">
        <f>IFERROR(__xludf.DUMMYFUNCTION("IFERROR(IF(I766="""",0,INDEX(FILTER($Q$2:Q765,$C$2:C765=I766,$G$2:G765=G766),ROWS(FILTER($Q$2:Q765,$C$2:C765=I766,$G$2:G765=G766)),1)),1500)"),0.0)</f>
        <v>0</v>
      </c>
      <c r="M766" s="3">
        <f>IFERROR(__xludf.DUMMYFUNCTION("IFERROR(IF(J766="""",0,INDEX(FILTER($Q$2:Q765,$C$2:C765=J766,$G$2:G765=G766),ROWS(FILTER($Q$2:Q765,$C$2:C765=J766,$G$2:G765=G766)),1)),1500)"),0.0)</f>
        <v>0</v>
      </c>
      <c r="N766" s="3">
        <f>IFERROR(__xludf.DUMMYFUNCTION("IFERROR(INDEX(FILTER($Q$2:Q765,$C$2:C765=C766,$G$2:G765=G766),ROWS(FILTER($Q$2:Q765,$C$2:C765=C766,$G$2:G765=G766)),1),1500)"),-671.0)</f>
        <v>-671</v>
      </c>
      <c r="O766" s="3">
        <f t="shared" si="3"/>
        <v>0</v>
      </c>
      <c r="P766" s="9">
        <f t="shared" si="1"/>
        <v>-1</v>
      </c>
      <c r="Q766" s="5">
        <f t="shared" si="2"/>
        <v>-672</v>
      </c>
    </row>
    <row r="767">
      <c r="H767" s="3" t="str">
        <f>IFERROR(__xludf.DUMMYFUNCTION("IFERROR(TRIM(INDEX(SPLIT(E767,"" + ""),1)),"""")"),"")</f>
        <v/>
      </c>
      <c r="I767" s="3" t="str">
        <f>IFERROR(__xludf.DUMMYFUNCTION("IFERROR(TRIM(INDEX(SPLIT(E767,"" + ""),2)),"""")"),"")</f>
        <v/>
      </c>
      <c r="J767" s="5" t="str">
        <f>IFERROR(__xludf.DUMMYFUNCTION("IFERROR(TRIM(INDEX(SPLIT(E767,"" + ""),3)),"""")"),"")</f>
        <v/>
      </c>
      <c r="K767" s="3">
        <f>IFERROR(__xludf.DUMMYFUNCTION("IFERROR(IF(H767="""",0,INDEX(FILTER($Q$2:Q766,$C$2:C766=H767,$G$2:G766=G767),ROWS(FILTER($Q$2:Q766,$C$2:C766=H767,$G$2:G766=G767)),1)),1500)"),0.0)</f>
        <v>0</v>
      </c>
      <c r="L767" s="3">
        <f>IFERROR(__xludf.DUMMYFUNCTION("IFERROR(IF(I767="""",0,INDEX(FILTER($Q$2:Q766,$C$2:C766=I767,$G$2:G766=G767),ROWS(FILTER($Q$2:Q766,$C$2:C766=I767,$G$2:G766=G767)),1)),1500)"),0.0)</f>
        <v>0</v>
      </c>
      <c r="M767" s="3">
        <f>IFERROR(__xludf.DUMMYFUNCTION("IFERROR(IF(J767="""",0,INDEX(FILTER($Q$2:Q766,$C$2:C766=J767,$G$2:G766=G767),ROWS(FILTER($Q$2:Q766,$C$2:C766=J767,$G$2:G766=G767)),1)),1500)"),0.0)</f>
        <v>0</v>
      </c>
      <c r="N767" s="3">
        <f>IFERROR(__xludf.DUMMYFUNCTION("IFERROR(INDEX(FILTER($Q$2:Q766,$C$2:C766=C767,$G$2:G766=G767),ROWS(FILTER($Q$2:Q766,$C$2:C766=C767,$G$2:G766=G767)),1),1500)"),-672.0)</f>
        <v>-672</v>
      </c>
      <c r="O767" s="3">
        <f t="shared" si="3"/>
        <v>0</v>
      </c>
      <c r="P767" s="9">
        <f t="shared" si="1"/>
        <v>-1</v>
      </c>
      <c r="Q767" s="5">
        <f t="shared" si="2"/>
        <v>-673</v>
      </c>
    </row>
    <row r="768">
      <c r="H768" s="3" t="str">
        <f>IFERROR(__xludf.DUMMYFUNCTION("IFERROR(TRIM(INDEX(SPLIT(E768,"" + ""),1)),"""")"),"")</f>
        <v/>
      </c>
      <c r="I768" s="3" t="str">
        <f>IFERROR(__xludf.DUMMYFUNCTION("IFERROR(TRIM(INDEX(SPLIT(E768,"" + ""),2)),"""")"),"")</f>
        <v/>
      </c>
      <c r="J768" s="5" t="str">
        <f>IFERROR(__xludf.DUMMYFUNCTION("IFERROR(TRIM(INDEX(SPLIT(E768,"" + ""),3)),"""")"),"")</f>
        <v/>
      </c>
      <c r="K768" s="3">
        <f>IFERROR(__xludf.DUMMYFUNCTION("IFERROR(IF(H768="""",0,INDEX(FILTER($Q$2:Q767,$C$2:C767=H768,$G$2:G767=G768),ROWS(FILTER($Q$2:Q767,$C$2:C767=H768,$G$2:G767=G768)),1)),1500)"),0.0)</f>
        <v>0</v>
      </c>
      <c r="L768" s="3">
        <f>IFERROR(__xludf.DUMMYFUNCTION("IFERROR(IF(I768="""",0,INDEX(FILTER($Q$2:Q767,$C$2:C767=I768,$G$2:G767=G768),ROWS(FILTER($Q$2:Q767,$C$2:C767=I768,$G$2:G767=G768)),1)),1500)"),0.0)</f>
        <v>0</v>
      </c>
      <c r="M768" s="3">
        <f>IFERROR(__xludf.DUMMYFUNCTION("IFERROR(IF(J768="""",0,INDEX(FILTER($Q$2:Q767,$C$2:C767=J768,$G$2:G767=G768),ROWS(FILTER($Q$2:Q767,$C$2:C767=J768,$G$2:G767=G768)),1)),1500)"),0.0)</f>
        <v>0</v>
      </c>
      <c r="N768" s="3">
        <f>IFERROR(__xludf.DUMMYFUNCTION("IFERROR(INDEX(FILTER($Q$2:Q767,$C$2:C767=C768,$G$2:G767=G768),ROWS(FILTER($Q$2:Q767,$C$2:C767=C768,$G$2:G767=G768)),1),1500)"),-673.0)</f>
        <v>-673</v>
      </c>
      <c r="O768" s="3">
        <f t="shared" si="3"/>
        <v>0</v>
      </c>
      <c r="P768" s="9">
        <f t="shared" si="1"/>
        <v>-1</v>
      </c>
      <c r="Q768" s="5">
        <f t="shared" si="2"/>
        <v>-674</v>
      </c>
    </row>
    <row r="769">
      <c r="H769" s="3" t="str">
        <f>IFERROR(__xludf.DUMMYFUNCTION("IFERROR(TRIM(INDEX(SPLIT(E769,"" + ""),1)),"""")"),"")</f>
        <v/>
      </c>
      <c r="I769" s="3" t="str">
        <f>IFERROR(__xludf.DUMMYFUNCTION("IFERROR(TRIM(INDEX(SPLIT(E769,"" + ""),2)),"""")"),"")</f>
        <v/>
      </c>
      <c r="J769" s="5" t="str">
        <f>IFERROR(__xludf.DUMMYFUNCTION("IFERROR(TRIM(INDEX(SPLIT(E769,"" + ""),3)),"""")"),"")</f>
        <v/>
      </c>
      <c r="K769" s="3">
        <f>IFERROR(__xludf.DUMMYFUNCTION("IFERROR(IF(H769="""",0,INDEX(FILTER($Q$2:Q768,$C$2:C768=H769,$G$2:G768=G769),ROWS(FILTER($Q$2:Q768,$C$2:C768=H769,$G$2:G768=G769)),1)),1500)"),0.0)</f>
        <v>0</v>
      </c>
      <c r="L769" s="3">
        <f>IFERROR(__xludf.DUMMYFUNCTION("IFERROR(IF(I769="""",0,INDEX(FILTER($Q$2:Q768,$C$2:C768=I769,$G$2:G768=G769),ROWS(FILTER($Q$2:Q768,$C$2:C768=I769,$G$2:G768=G769)),1)),1500)"),0.0)</f>
        <v>0</v>
      </c>
      <c r="M769" s="3">
        <f>IFERROR(__xludf.DUMMYFUNCTION("IFERROR(IF(J769="""",0,INDEX(FILTER($Q$2:Q768,$C$2:C768=J769,$G$2:G768=G769),ROWS(FILTER($Q$2:Q768,$C$2:C768=J769,$G$2:G768=G769)),1)),1500)"),0.0)</f>
        <v>0</v>
      </c>
      <c r="N769" s="3">
        <f>IFERROR(__xludf.DUMMYFUNCTION("IFERROR(INDEX(FILTER($Q$2:Q768,$C$2:C768=C769,$G$2:G768=G769),ROWS(FILTER($Q$2:Q768,$C$2:C768=C769,$G$2:G768=G769)),1),1500)"),-674.0)</f>
        <v>-674</v>
      </c>
      <c r="O769" s="3">
        <f t="shared" si="3"/>
        <v>0</v>
      </c>
      <c r="P769" s="9">
        <f t="shared" si="1"/>
        <v>-1</v>
      </c>
      <c r="Q769" s="5">
        <f t="shared" si="2"/>
        <v>-675</v>
      </c>
    </row>
    <row r="770">
      <c r="H770" s="3" t="str">
        <f>IFERROR(__xludf.DUMMYFUNCTION("IFERROR(TRIM(INDEX(SPLIT(E770,"" + ""),1)),"""")"),"")</f>
        <v/>
      </c>
      <c r="I770" s="3" t="str">
        <f>IFERROR(__xludf.DUMMYFUNCTION("IFERROR(TRIM(INDEX(SPLIT(E770,"" + ""),2)),"""")"),"")</f>
        <v/>
      </c>
      <c r="J770" s="5" t="str">
        <f>IFERROR(__xludf.DUMMYFUNCTION("IFERROR(TRIM(INDEX(SPLIT(E770,"" + ""),3)),"""")"),"")</f>
        <v/>
      </c>
      <c r="K770" s="3">
        <f>IFERROR(__xludf.DUMMYFUNCTION("IFERROR(IF(H770="""",0,INDEX(FILTER($Q$2:Q769,$C$2:C769=H770,$G$2:G769=G770),ROWS(FILTER($Q$2:Q769,$C$2:C769=H770,$G$2:G769=G770)),1)),1500)"),0.0)</f>
        <v>0</v>
      </c>
      <c r="L770" s="3">
        <f>IFERROR(__xludf.DUMMYFUNCTION("IFERROR(IF(I770="""",0,INDEX(FILTER($Q$2:Q769,$C$2:C769=I770,$G$2:G769=G770),ROWS(FILTER($Q$2:Q769,$C$2:C769=I770,$G$2:G769=G770)),1)),1500)"),0.0)</f>
        <v>0</v>
      </c>
      <c r="M770" s="3">
        <f>IFERROR(__xludf.DUMMYFUNCTION("IFERROR(IF(J770="""",0,INDEX(FILTER($Q$2:Q769,$C$2:C769=J770,$G$2:G769=G770),ROWS(FILTER($Q$2:Q769,$C$2:C769=J770,$G$2:G769=G770)),1)),1500)"),0.0)</f>
        <v>0</v>
      </c>
      <c r="N770" s="3">
        <f>IFERROR(__xludf.DUMMYFUNCTION("IFERROR(INDEX(FILTER($Q$2:Q769,$C$2:C769=C770,$G$2:G769=G770),ROWS(FILTER($Q$2:Q769,$C$2:C769=C770,$G$2:G769=G770)),1),1500)"),-675.0)</f>
        <v>-675</v>
      </c>
      <c r="O770" s="3">
        <f t="shared" si="3"/>
        <v>0</v>
      </c>
      <c r="P770" s="9">
        <f t="shared" si="1"/>
        <v>-1</v>
      </c>
      <c r="Q770" s="5">
        <f t="shared" si="2"/>
        <v>-676</v>
      </c>
    </row>
    <row r="771">
      <c r="H771" s="3" t="str">
        <f>IFERROR(__xludf.DUMMYFUNCTION("IFERROR(TRIM(INDEX(SPLIT(E771,"" + ""),1)),"""")"),"")</f>
        <v/>
      </c>
      <c r="I771" s="3" t="str">
        <f>IFERROR(__xludf.DUMMYFUNCTION("IFERROR(TRIM(INDEX(SPLIT(E771,"" + ""),2)),"""")"),"")</f>
        <v/>
      </c>
      <c r="J771" s="5" t="str">
        <f>IFERROR(__xludf.DUMMYFUNCTION("IFERROR(TRIM(INDEX(SPLIT(E771,"" + ""),3)),"""")"),"")</f>
        <v/>
      </c>
      <c r="K771" s="3">
        <f>IFERROR(__xludf.DUMMYFUNCTION("IFERROR(IF(H771="""",0,INDEX(FILTER($Q$2:Q770,$C$2:C770=H771,$G$2:G770=G771),ROWS(FILTER($Q$2:Q770,$C$2:C770=H771,$G$2:G770=G771)),1)),1500)"),0.0)</f>
        <v>0</v>
      </c>
      <c r="L771" s="3">
        <f>IFERROR(__xludf.DUMMYFUNCTION("IFERROR(IF(I771="""",0,INDEX(FILTER($Q$2:Q770,$C$2:C770=I771,$G$2:G770=G771),ROWS(FILTER($Q$2:Q770,$C$2:C770=I771,$G$2:G770=G771)),1)),1500)"),0.0)</f>
        <v>0</v>
      </c>
      <c r="M771" s="3">
        <f>IFERROR(__xludf.DUMMYFUNCTION("IFERROR(IF(J771="""",0,INDEX(FILTER($Q$2:Q770,$C$2:C770=J771,$G$2:G770=G771),ROWS(FILTER($Q$2:Q770,$C$2:C770=J771,$G$2:G770=G771)),1)),1500)"),0.0)</f>
        <v>0</v>
      </c>
      <c r="N771" s="3">
        <f>IFERROR(__xludf.DUMMYFUNCTION("IFERROR(INDEX(FILTER($Q$2:Q770,$C$2:C770=C771,$G$2:G770=G771),ROWS(FILTER($Q$2:Q770,$C$2:C770=C771,$G$2:G770=G771)),1),1500)"),-676.0)</f>
        <v>-676</v>
      </c>
      <c r="O771" s="3">
        <f t="shared" si="3"/>
        <v>0</v>
      </c>
      <c r="P771" s="9">
        <f t="shared" si="1"/>
        <v>-1</v>
      </c>
      <c r="Q771" s="5">
        <f t="shared" si="2"/>
        <v>-677</v>
      </c>
    </row>
    <row r="772">
      <c r="H772" s="3" t="str">
        <f>IFERROR(__xludf.DUMMYFUNCTION("IFERROR(TRIM(INDEX(SPLIT(E772,"" + ""),1)),"""")"),"")</f>
        <v/>
      </c>
      <c r="I772" s="3" t="str">
        <f>IFERROR(__xludf.DUMMYFUNCTION("IFERROR(TRIM(INDEX(SPLIT(E772,"" + ""),2)),"""")"),"")</f>
        <v/>
      </c>
      <c r="J772" s="5" t="str">
        <f>IFERROR(__xludf.DUMMYFUNCTION("IFERROR(TRIM(INDEX(SPLIT(E772,"" + ""),3)),"""")"),"")</f>
        <v/>
      </c>
      <c r="K772" s="3">
        <f>IFERROR(__xludf.DUMMYFUNCTION("IFERROR(IF(H772="""",0,INDEX(FILTER($Q$2:Q771,$C$2:C771=H772,$G$2:G771=G772),ROWS(FILTER($Q$2:Q771,$C$2:C771=H772,$G$2:G771=G772)),1)),1500)"),0.0)</f>
        <v>0</v>
      </c>
      <c r="L772" s="3">
        <f>IFERROR(__xludf.DUMMYFUNCTION("IFERROR(IF(I772="""",0,INDEX(FILTER($Q$2:Q771,$C$2:C771=I772,$G$2:G771=G772),ROWS(FILTER($Q$2:Q771,$C$2:C771=I772,$G$2:G771=G772)),1)),1500)"),0.0)</f>
        <v>0</v>
      </c>
      <c r="M772" s="3">
        <f>IFERROR(__xludf.DUMMYFUNCTION("IFERROR(IF(J772="""",0,INDEX(FILTER($Q$2:Q771,$C$2:C771=J772,$G$2:G771=G772),ROWS(FILTER($Q$2:Q771,$C$2:C771=J772,$G$2:G771=G772)),1)),1500)"),0.0)</f>
        <v>0</v>
      </c>
      <c r="N772" s="3">
        <f>IFERROR(__xludf.DUMMYFUNCTION("IFERROR(INDEX(FILTER($Q$2:Q771,$C$2:C771=C772,$G$2:G771=G772),ROWS(FILTER($Q$2:Q771,$C$2:C771=C772,$G$2:G771=G772)),1),1500)"),-677.0)</f>
        <v>-677</v>
      </c>
      <c r="O772" s="3">
        <f t="shared" si="3"/>
        <v>0</v>
      </c>
      <c r="P772" s="9">
        <f t="shared" si="1"/>
        <v>-1</v>
      </c>
      <c r="Q772" s="5">
        <f t="shared" si="2"/>
        <v>-678</v>
      </c>
    </row>
    <row r="773">
      <c r="H773" s="3" t="str">
        <f>IFERROR(__xludf.DUMMYFUNCTION("IFERROR(TRIM(INDEX(SPLIT(E773,"" + ""),1)),"""")"),"")</f>
        <v/>
      </c>
      <c r="I773" s="3" t="str">
        <f>IFERROR(__xludf.DUMMYFUNCTION("IFERROR(TRIM(INDEX(SPLIT(E773,"" + ""),2)),"""")"),"")</f>
        <v/>
      </c>
      <c r="J773" s="5" t="str">
        <f>IFERROR(__xludf.DUMMYFUNCTION("IFERROR(TRIM(INDEX(SPLIT(E773,"" + ""),3)),"""")"),"")</f>
        <v/>
      </c>
      <c r="K773" s="3">
        <f>IFERROR(__xludf.DUMMYFUNCTION("IFERROR(IF(H773="""",0,INDEX(FILTER($Q$2:Q772,$C$2:C772=H773,$G$2:G772=G773),ROWS(FILTER($Q$2:Q772,$C$2:C772=H773,$G$2:G772=G773)),1)),1500)"),0.0)</f>
        <v>0</v>
      </c>
      <c r="L773" s="3">
        <f>IFERROR(__xludf.DUMMYFUNCTION("IFERROR(IF(I773="""",0,INDEX(FILTER($Q$2:Q772,$C$2:C772=I773,$G$2:G772=G773),ROWS(FILTER($Q$2:Q772,$C$2:C772=I773,$G$2:G772=G773)),1)),1500)"),0.0)</f>
        <v>0</v>
      </c>
      <c r="M773" s="3">
        <f>IFERROR(__xludf.DUMMYFUNCTION("IFERROR(IF(J773="""",0,INDEX(FILTER($Q$2:Q772,$C$2:C772=J773,$G$2:G772=G773),ROWS(FILTER($Q$2:Q772,$C$2:C772=J773,$G$2:G772=G773)),1)),1500)"),0.0)</f>
        <v>0</v>
      </c>
      <c r="N773" s="3">
        <f>IFERROR(__xludf.DUMMYFUNCTION("IFERROR(INDEX(FILTER($Q$2:Q772,$C$2:C772=C773,$G$2:G772=G773),ROWS(FILTER($Q$2:Q772,$C$2:C772=C773,$G$2:G772=G773)),1),1500)"),-678.0)</f>
        <v>-678</v>
      </c>
      <c r="O773" s="3">
        <f t="shared" si="3"/>
        <v>0</v>
      </c>
      <c r="P773" s="9">
        <f t="shared" si="1"/>
        <v>-1</v>
      </c>
      <c r="Q773" s="5">
        <f t="shared" si="2"/>
        <v>-679</v>
      </c>
    </row>
    <row r="774">
      <c r="H774" s="3" t="str">
        <f>IFERROR(__xludf.DUMMYFUNCTION("IFERROR(TRIM(INDEX(SPLIT(E774,"" + ""),1)),"""")"),"")</f>
        <v/>
      </c>
      <c r="I774" s="3" t="str">
        <f>IFERROR(__xludf.DUMMYFUNCTION("IFERROR(TRIM(INDEX(SPLIT(E774,"" + ""),2)),"""")"),"")</f>
        <v/>
      </c>
      <c r="J774" s="5" t="str">
        <f>IFERROR(__xludf.DUMMYFUNCTION("IFERROR(TRIM(INDEX(SPLIT(E774,"" + ""),3)),"""")"),"")</f>
        <v/>
      </c>
      <c r="K774" s="3">
        <f>IFERROR(__xludf.DUMMYFUNCTION("IFERROR(IF(H774="""",0,INDEX(FILTER($Q$2:Q773,$C$2:C773=H774,$G$2:G773=G774),ROWS(FILTER($Q$2:Q773,$C$2:C773=H774,$G$2:G773=G774)),1)),1500)"),0.0)</f>
        <v>0</v>
      </c>
      <c r="L774" s="3">
        <f>IFERROR(__xludf.DUMMYFUNCTION("IFERROR(IF(I774="""",0,INDEX(FILTER($Q$2:Q773,$C$2:C773=I774,$G$2:G773=G774),ROWS(FILTER($Q$2:Q773,$C$2:C773=I774,$G$2:G773=G774)),1)),1500)"),0.0)</f>
        <v>0</v>
      </c>
      <c r="M774" s="3">
        <f>IFERROR(__xludf.DUMMYFUNCTION("IFERROR(IF(J774="""",0,INDEX(FILTER($Q$2:Q773,$C$2:C773=J774,$G$2:G773=G774),ROWS(FILTER($Q$2:Q773,$C$2:C773=J774,$G$2:G773=G774)),1)),1500)"),0.0)</f>
        <v>0</v>
      </c>
      <c r="N774" s="3">
        <f>IFERROR(__xludf.DUMMYFUNCTION("IFERROR(INDEX(FILTER($Q$2:Q773,$C$2:C773=C774,$G$2:G773=G774),ROWS(FILTER($Q$2:Q773,$C$2:C773=C774,$G$2:G773=G774)),1),1500)"),-679.0)</f>
        <v>-679</v>
      </c>
      <c r="O774" s="3">
        <f t="shared" si="3"/>
        <v>0</v>
      </c>
      <c r="P774" s="9">
        <f t="shared" si="1"/>
        <v>-1</v>
      </c>
      <c r="Q774" s="5">
        <f t="shared" si="2"/>
        <v>-680</v>
      </c>
    </row>
    <row r="775">
      <c r="H775" s="3" t="str">
        <f>IFERROR(__xludf.DUMMYFUNCTION("IFERROR(TRIM(INDEX(SPLIT(E775,"" + ""),1)),"""")"),"")</f>
        <v/>
      </c>
      <c r="I775" s="3" t="str">
        <f>IFERROR(__xludf.DUMMYFUNCTION("IFERROR(TRIM(INDEX(SPLIT(E775,"" + ""),2)),"""")"),"")</f>
        <v/>
      </c>
      <c r="J775" s="5" t="str">
        <f>IFERROR(__xludf.DUMMYFUNCTION("IFERROR(TRIM(INDEX(SPLIT(E775,"" + ""),3)),"""")"),"")</f>
        <v/>
      </c>
      <c r="K775" s="3">
        <f>IFERROR(__xludf.DUMMYFUNCTION("IFERROR(IF(H775="""",0,INDEX(FILTER($Q$2:Q774,$C$2:C774=H775,$G$2:G774=G775),ROWS(FILTER($Q$2:Q774,$C$2:C774=H775,$G$2:G774=G775)),1)),1500)"),0.0)</f>
        <v>0</v>
      </c>
      <c r="L775" s="3">
        <f>IFERROR(__xludf.DUMMYFUNCTION("IFERROR(IF(I775="""",0,INDEX(FILTER($Q$2:Q774,$C$2:C774=I775,$G$2:G774=G775),ROWS(FILTER($Q$2:Q774,$C$2:C774=I775,$G$2:G774=G775)),1)),1500)"),0.0)</f>
        <v>0</v>
      </c>
      <c r="M775" s="3">
        <f>IFERROR(__xludf.DUMMYFUNCTION("IFERROR(IF(J775="""",0,INDEX(FILTER($Q$2:Q774,$C$2:C774=J775,$G$2:G774=G775),ROWS(FILTER($Q$2:Q774,$C$2:C774=J775,$G$2:G774=G775)),1)),1500)"),0.0)</f>
        <v>0</v>
      </c>
      <c r="N775" s="3">
        <f>IFERROR(__xludf.DUMMYFUNCTION("IFERROR(INDEX(FILTER($Q$2:Q774,$C$2:C774=C775,$G$2:G774=G775),ROWS(FILTER($Q$2:Q774,$C$2:C774=C775,$G$2:G774=G775)),1),1500)"),-680.0)</f>
        <v>-680</v>
      </c>
      <c r="O775" s="3">
        <f t="shared" si="3"/>
        <v>0</v>
      </c>
      <c r="P775" s="9">
        <f t="shared" si="1"/>
        <v>-1</v>
      </c>
      <c r="Q775" s="5">
        <f t="shared" si="2"/>
        <v>-681</v>
      </c>
    </row>
    <row r="776">
      <c r="H776" s="3" t="str">
        <f>IFERROR(__xludf.DUMMYFUNCTION("IFERROR(TRIM(INDEX(SPLIT(E776,"" + ""),1)),"""")"),"")</f>
        <v/>
      </c>
      <c r="I776" s="3" t="str">
        <f>IFERROR(__xludf.DUMMYFUNCTION("IFERROR(TRIM(INDEX(SPLIT(E776,"" + ""),2)),"""")"),"")</f>
        <v/>
      </c>
      <c r="J776" s="5" t="str">
        <f>IFERROR(__xludf.DUMMYFUNCTION("IFERROR(TRIM(INDEX(SPLIT(E776,"" + ""),3)),"""")"),"")</f>
        <v/>
      </c>
      <c r="K776" s="3">
        <f>IFERROR(__xludf.DUMMYFUNCTION("IFERROR(IF(H776="""",0,INDEX(FILTER($Q$2:Q775,$C$2:C775=H776,$G$2:G775=G776),ROWS(FILTER($Q$2:Q775,$C$2:C775=H776,$G$2:G775=G776)),1)),1500)"),0.0)</f>
        <v>0</v>
      </c>
      <c r="L776" s="3">
        <f>IFERROR(__xludf.DUMMYFUNCTION("IFERROR(IF(I776="""",0,INDEX(FILTER($Q$2:Q775,$C$2:C775=I776,$G$2:G775=G776),ROWS(FILTER($Q$2:Q775,$C$2:C775=I776,$G$2:G775=G776)),1)),1500)"),0.0)</f>
        <v>0</v>
      </c>
      <c r="M776" s="3">
        <f>IFERROR(__xludf.DUMMYFUNCTION("IFERROR(IF(J776="""",0,INDEX(FILTER($Q$2:Q775,$C$2:C775=J776,$G$2:G775=G776),ROWS(FILTER($Q$2:Q775,$C$2:C775=J776,$G$2:G775=G776)),1)),1500)"),0.0)</f>
        <v>0</v>
      </c>
      <c r="N776" s="3">
        <f>IFERROR(__xludf.DUMMYFUNCTION("IFERROR(INDEX(FILTER($Q$2:Q775,$C$2:C775=C776,$G$2:G775=G776),ROWS(FILTER($Q$2:Q775,$C$2:C775=C776,$G$2:G775=G776)),1),1500)"),-681.0)</f>
        <v>-681</v>
      </c>
      <c r="O776" s="3">
        <f t="shared" si="3"/>
        <v>0</v>
      </c>
      <c r="P776" s="9">
        <f t="shared" si="1"/>
        <v>-1</v>
      </c>
      <c r="Q776" s="5">
        <f t="shared" si="2"/>
        <v>-682</v>
      </c>
    </row>
    <row r="777">
      <c r="H777" s="3" t="str">
        <f>IFERROR(__xludf.DUMMYFUNCTION("IFERROR(TRIM(INDEX(SPLIT(E777,"" + ""),1)),"""")"),"")</f>
        <v/>
      </c>
      <c r="I777" s="3" t="str">
        <f>IFERROR(__xludf.DUMMYFUNCTION("IFERROR(TRIM(INDEX(SPLIT(E777,"" + ""),2)),"""")"),"")</f>
        <v/>
      </c>
      <c r="J777" s="5" t="str">
        <f>IFERROR(__xludf.DUMMYFUNCTION("IFERROR(TRIM(INDEX(SPLIT(E777,"" + ""),3)),"""")"),"")</f>
        <v/>
      </c>
      <c r="K777" s="3">
        <f>IFERROR(__xludf.DUMMYFUNCTION("IFERROR(IF(H777="""",0,INDEX(FILTER($Q$2:Q776,$C$2:C776=H777,$G$2:G776=G777),ROWS(FILTER($Q$2:Q776,$C$2:C776=H777,$G$2:G776=G777)),1)),1500)"),0.0)</f>
        <v>0</v>
      </c>
      <c r="L777" s="3">
        <f>IFERROR(__xludf.DUMMYFUNCTION("IFERROR(IF(I777="""",0,INDEX(FILTER($Q$2:Q776,$C$2:C776=I777,$G$2:G776=G777),ROWS(FILTER($Q$2:Q776,$C$2:C776=I777,$G$2:G776=G777)),1)),1500)"),0.0)</f>
        <v>0</v>
      </c>
      <c r="M777" s="3">
        <f>IFERROR(__xludf.DUMMYFUNCTION("IFERROR(IF(J777="""",0,INDEX(FILTER($Q$2:Q776,$C$2:C776=J777,$G$2:G776=G777),ROWS(FILTER($Q$2:Q776,$C$2:C776=J777,$G$2:G776=G777)),1)),1500)"),0.0)</f>
        <v>0</v>
      </c>
      <c r="N777" s="3">
        <f>IFERROR(__xludf.DUMMYFUNCTION("IFERROR(INDEX(FILTER($Q$2:Q776,$C$2:C776=C777,$G$2:G776=G777),ROWS(FILTER($Q$2:Q776,$C$2:C776=C777,$G$2:G776=G777)),1),1500)"),-682.0)</f>
        <v>-682</v>
      </c>
      <c r="O777" s="3">
        <f t="shared" si="3"/>
        <v>0</v>
      </c>
      <c r="P777" s="9">
        <f t="shared" si="1"/>
        <v>-1</v>
      </c>
      <c r="Q777" s="5">
        <f t="shared" si="2"/>
        <v>-683</v>
      </c>
    </row>
    <row r="778">
      <c r="H778" s="3" t="str">
        <f>IFERROR(__xludf.DUMMYFUNCTION("IFERROR(TRIM(INDEX(SPLIT(E778,"" + ""),1)),"""")"),"")</f>
        <v/>
      </c>
      <c r="I778" s="3" t="str">
        <f>IFERROR(__xludf.DUMMYFUNCTION("IFERROR(TRIM(INDEX(SPLIT(E778,"" + ""),2)),"""")"),"")</f>
        <v/>
      </c>
      <c r="J778" s="5" t="str">
        <f>IFERROR(__xludf.DUMMYFUNCTION("IFERROR(TRIM(INDEX(SPLIT(E778,"" + ""),3)),"""")"),"")</f>
        <v/>
      </c>
      <c r="K778" s="3">
        <f>IFERROR(__xludf.DUMMYFUNCTION("IFERROR(IF(H778="""",0,INDEX(FILTER($Q$2:Q777,$C$2:C777=H778,$G$2:G777=G778),ROWS(FILTER($Q$2:Q777,$C$2:C777=H778,$G$2:G777=G778)),1)),1500)"),0.0)</f>
        <v>0</v>
      </c>
      <c r="L778" s="3">
        <f>IFERROR(__xludf.DUMMYFUNCTION("IFERROR(IF(I778="""",0,INDEX(FILTER($Q$2:Q777,$C$2:C777=I778,$G$2:G777=G778),ROWS(FILTER($Q$2:Q777,$C$2:C777=I778,$G$2:G777=G778)),1)),1500)"),0.0)</f>
        <v>0</v>
      </c>
      <c r="M778" s="3">
        <f>IFERROR(__xludf.DUMMYFUNCTION("IFERROR(IF(J778="""",0,INDEX(FILTER($Q$2:Q777,$C$2:C777=J778,$G$2:G777=G778),ROWS(FILTER($Q$2:Q777,$C$2:C777=J778,$G$2:G777=G778)),1)),1500)"),0.0)</f>
        <v>0</v>
      </c>
      <c r="N778" s="3">
        <f>IFERROR(__xludf.DUMMYFUNCTION("IFERROR(INDEX(FILTER($Q$2:Q777,$C$2:C777=C778,$G$2:G777=G778),ROWS(FILTER($Q$2:Q777,$C$2:C777=C778,$G$2:G777=G778)),1),1500)"),-683.0)</f>
        <v>-683</v>
      </c>
      <c r="O778" s="3">
        <f t="shared" si="3"/>
        <v>0</v>
      </c>
      <c r="P778" s="9">
        <f t="shared" si="1"/>
        <v>-1</v>
      </c>
      <c r="Q778" s="5">
        <f t="shared" si="2"/>
        <v>-684</v>
      </c>
    </row>
    <row r="779">
      <c r="H779" s="3" t="str">
        <f>IFERROR(__xludf.DUMMYFUNCTION("IFERROR(TRIM(INDEX(SPLIT(E779,"" + ""),1)),"""")"),"")</f>
        <v/>
      </c>
      <c r="I779" s="3" t="str">
        <f>IFERROR(__xludf.DUMMYFUNCTION("IFERROR(TRIM(INDEX(SPLIT(E779,"" + ""),2)),"""")"),"")</f>
        <v/>
      </c>
      <c r="J779" s="5" t="str">
        <f>IFERROR(__xludf.DUMMYFUNCTION("IFERROR(TRIM(INDEX(SPLIT(E779,"" + ""),3)),"""")"),"")</f>
        <v/>
      </c>
      <c r="K779" s="3">
        <f>IFERROR(__xludf.DUMMYFUNCTION("IFERROR(IF(H779="""",0,INDEX(FILTER($Q$2:Q778,$C$2:C778=H779,$G$2:G778=G779),ROWS(FILTER($Q$2:Q778,$C$2:C778=H779,$G$2:G778=G779)),1)),1500)"),0.0)</f>
        <v>0</v>
      </c>
      <c r="L779" s="3">
        <f>IFERROR(__xludf.DUMMYFUNCTION("IFERROR(IF(I779="""",0,INDEX(FILTER($Q$2:Q778,$C$2:C778=I779,$G$2:G778=G779),ROWS(FILTER($Q$2:Q778,$C$2:C778=I779,$G$2:G778=G779)),1)),1500)"),0.0)</f>
        <v>0</v>
      </c>
      <c r="M779" s="3">
        <f>IFERROR(__xludf.DUMMYFUNCTION("IFERROR(IF(J779="""",0,INDEX(FILTER($Q$2:Q778,$C$2:C778=J779,$G$2:G778=G779),ROWS(FILTER($Q$2:Q778,$C$2:C778=J779,$G$2:G778=G779)),1)),1500)"),0.0)</f>
        <v>0</v>
      </c>
      <c r="N779" s="3">
        <f>IFERROR(__xludf.DUMMYFUNCTION("IFERROR(INDEX(FILTER($Q$2:Q778,$C$2:C778=C779,$G$2:G778=G779),ROWS(FILTER($Q$2:Q778,$C$2:C778=C779,$G$2:G778=G779)),1),1500)"),-684.0)</f>
        <v>-684</v>
      </c>
      <c r="O779" s="3">
        <f t="shared" si="3"/>
        <v>0</v>
      </c>
      <c r="P779" s="9">
        <f t="shared" si="1"/>
        <v>-1</v>
      </c>
      <c r="Q779" s="5">
        <f t="shared" si="2"/>
        <v>-685</v>
      </c>
    </row>
    <row r="780">
      <c r="H780" s="3" t="str">
        <f>IFERROR(__xludf.DUMMYFUNCTION("IFERROR(TRIM(INDEX(SPLIT(E780,"" + ""),1)),"""")"),"")</f>
        <v/>
      </c>
      <c r="I780" s="3" t="str">
        <f>IFERROR(__xludf.DUMMYFUNCTION("IFERROR(TRIM(INDEX(SPLIT(E780,"" + ""),2)),"""")"),"")</f>
        <v/>
      </c>
      <c r="J780" s="5" t="str">
        <f>IFERROR(__xludf.DUMMYFUNCTION("IFERROR(TRIM(INDEX(SPLIT(E780,"" + ""),3)),"""")"),"")</f>
        <v/>
      </c>
      <c r="K780" s="3">
        <f>IFERROR(__xludf.DUMMYFUNCTION("IFERROR(IF(H780="""",0,INDEX(FILTER($Q$2:Q779,$C$2:C779=H780,$G$2:G779=G780),ROWS(FILTER($Q$2:Q779,$C$2:C779=H780,$G$2:G779=G780)),1)),1500)"),0.0)</f>
        <v>0</v>
      </c>
      <c r="L780" s="3">
        <f>IFERROR(__xludf.DUMMYFUNCTION("IFERROR(IF(I780="""",0,INDEX(FILTER($Q$2:Q779,$C$2:C779=I780,$G$2:G779=G780),ROWS(FILTER($Q$2:Q779,$C$2:C779=I780,$G$2:G779=G780)),1)),1500)"),0.0)</f>
        <v>0</v>
      </c>
      <c r="M780" s="3">
        <f>IFERROR(__xludf.DUMMYFUNCTION("IFERROR(IF(J780="""",0,INDEX(FILTER($Q$2:Q779,$C$2:C779=J780,$G$2:G779=G780),ROWS(FILTER($Q$2:Q779,$C$2:C779=J780,$G$2:G779=G780)),1)),1500)"),0.0)</f>
        <v>0</v>
      </c>
      <c r="N780" s="3">
        <f>IFERROR(__xludf.DUMMYFUNCTION("IFERROR(INDEX(FILTER($Q$2:Q779,$C$2:C779=C780,$G$2:G779=G780),ROWS(FILTER($Q$2:Q779,$C$2:C779=C780,$G$2:G779=G780)),1),1500)"),-685.0)</f>
        <v>-685</v>
      </c>
      <c r="O780" s="3">
        <f t="shared" si="3"/>
        <v>0</v>
      </c>
      <c r="P780" s="9">
        <f t="shared" si="1"/>
        <v>-1</v>
      </c>
      <c r="Q780" s="5">
        <f t="shared" si="2"/>
        <v>-686</v>
      </c>
    </row>
    <row r="781">
      <c r="H781" s="3" t="str">
        <f>IFERROR(__xludf.DUMMYFUNCTION("IFERROR(TRIM(INDEX(SPLIT(E781,"" + ""),1)),"""")"),"")</f>
        <v/>
      </c>
      <c r="I781" s="3" t="str">
        <f>IFERROR(__xludf.DUMMYFUNCTION("IFERROR(TRIM(INDEX(SPLIT(E781,"" + ""),2)),"""")"),"")</f>
        <v/>
      </c>
      <c r="J781" s="5" t="str">
        <f>IFERROR(__xludf.DUMMYFUNCTION("IFERROR(TRIM(INDEX(SPLIT(E781,"" + ""),3)),"""")"),"")</f>
        <v/>
      </c>
      <c r="K781" s="3">
        <f>IFERROR(__xludf.DUMMYFUNCTION("IFERROR(IF(H781="""",0,INDEX(FILTER($Q$2:Q780,$C$2:C780=H781,$G$2:G780=G781),ROWS(FILTER($Q$2:Q780,$C$2:C780=H781,$G$2:G780=G781)),1)),1500)"),0.0)</f>
        <v>0</v>
      </c>
      <c r="L781" s="3">
        <f>IFERROR(__xludf.DUMMYFUNCTION("IFERROR(IF(I781="""",0,INDEX(FILTER($Q$2:Q780,$C$2:C780=I781,$G$2:G780=G781),ROWS(FILTER($Q$2:Q780,$C$2:C780=I781,$G$2:G780=G781)),1)),1500)"),0.0)</f>
        <v>0</v>
      </c>
      <c r="M781" s="3">
        <f>IFERROR(__xludf.DUMMYFUNCTION("IFERROR(IF(J781="""",0,INDEX(FILTER($Q$2:Q780,$C$2:C780=J781,$G$2:G780=G781),ROWS(FILTER($Q$2:Q780,$C$2:C780=J781,$G$2:G780=G781)),1)),1500)"),0.0)</f>
        <v>0</v>
      </c>
      <c r="N781" s="3">
        <f>IFERROR(__xludf.DUMMYFUNCTION("IFERROR(INDEX(FILTER($Q$2:Q780,$C$2:C780=C781,$G$2:G780=G781),ROWS(FILTER($Q$2:Q780,$C$2:C780=C781,$G$2:G780=G781)),1),1500)"),-686.0)</f>
        <v>-686</v>
      </c>
      <c r="O781" s="3">
        <f t="shared" si="3"/>
        <v>0</v>
      </c>
      <c r="P781" s="9">
        <f t="shared" si="1"/>
        <v>-1</v>
      </c>
      <c r="Q781" s="5">
        <f t="shared" si="2"/>
        <v>-687</v>
      </c>
    </row>
    <row r="782">
      <c r="H782" s="3" t="str">
        <f>IFERROR(__xludf.DUMMYFUNCTION("IFERROR(TRIM(INDEX(SPLIT(E782,"" + ""),1)),"""")"),"")</f>
        <v/>
      </c>
      <c r="I782" s="3" t="str">
        <f>IFERROR(__xludf.DUMMYFUNCTION("IFERROR(TRIM(INDEX(SPLIT(E782,"" + ""),2)),"""")"),"")</f>
        <v/>
      </c>
      <c r="J782" s="5" t="str">
        <f>IFERROR(__xludf.DUMMYFUNCTION("IFERROR(TRIM(INDEX(SPLIT(E782,"" + ""),3)),"""")"),"")</f>
        <v/>
      </c>
      <c r="K782" s="3">
        <f>IFERROR(__xludf.DUMMYFUNCTION("IFERROR(IF(H782="""",0,INDEX(FILTER($Q$2:Q781,$C$2:C781=H782,$G$2:G781=G782),ROWS(FILTER($Q$2:Q781,$C$2:C781=H782,$G$2:G781=G782)),1)),1500)"),0.0)</f>
        <v>0</v>
      </c>
      <c r="L782" s="3">
        <f>IFERROR(__xludf.DUMMYFUNCTION("IFERROR(IF(I782="""",0,INDEX(FILTER($Q$2:Q781,$C$2:C781=I782,$G$2:G781=G782),ROWS(FILTER($Q$2:Q781,$C$2:C781=I782,$G$2:G781=G782)),1)),1500)"),0.0)</f>
        <v>0</v>
      </c>
      <c r="M782" s="3">
        <f>IFERROR(__xludf.DUMMYFUNCTION("IFERROR(IF(J782="""",0,INDEX(FILTER($Q$2:Q781,$C$2:C781=J782,$G$2:G781=G782),ROWS(FILTER($Q$2:Q781,$C$2:C781=J782,$G$2:G781=G782)),1)),1500)"),0.0)</f>
        <v>0</v>
      </c>
      <c r="N782" s="3">
        <f>IFERROR(__xludf.DUMMYFUNCTION("IFERROR(INDEX(FILTER($Q$2:Q781,$C$2:C781=C782,$G$2:G781=G782),ROWS(FILTER($Q$2:Q781,$C$2:C781=C782,$G$2:G781=G782)),1),1500)"),-687.0)</f>
        <v>-687</v>
      </c>
      <c r="O782" s="3">
        <f t="shared" si="3"/>
        <v>0</v>
      </c>
      <c r="P782" s="9">
        <f t="shared" si="1"/>
        <v>-1</v>
      </c>
      <c r="Q782" s="5">
        <f t="shared" si="2"/>
        <v>-688</v>
      </c>
    </row>
    <row r="783">
      <c r="H783" s="3" t="str">
        <f>IFERROR(__xludf.DUMMYFUNCTION("IFERROR(TRIM(INDEX(SPLIT(E783,"" + ""),1)),"""")"),"")</f>
        <v/>
      </c>
      <c r="I783" s="3" t="str">
        <f>IFERROR(__xludf.DUMMYFUNCTION("IFERROR(TRIM(INDEX(SPLIT(E783,"" + ""),2)),"""")"),"")</f>
        <v/>
      </c>
      <c r="J783" s="5" t="str">
        <f>IFERROR(__xludf.DUMMYFUNCTION("IFERROR(TRIM(INDEX(SPLIT(E783,"" + ""),3)),"""")"),"")</f>
        <v/>
      </c>
      <c r="K783" s="3">
        <f>IFERROR(__xludf.DUMMYFUNCTION("IFERROR(IF(H783="""",0,INDEX(FILTER($Q$2:Q782,$C$2:C782=H783,$G$2:G782=G783),ROWS(FILTER($Q$2:Q782,$C$2:C782=H783,$G$2:G782=G783)),1)),1500)"),0.0)</f>
        <v>0</v>
      </c>
      <c r="L783" s="3">
        <f>IFERROR(__xludf.DUMMYFUNCTION("IFERROR(IF(I783="""",0,INDEX(FILTER($Q$2:Q782,$C$2:C782=I783,$G$2:G782=G783),ROWS(FILTER($Q$2:Q782,$C$2:C782=I783,$G$2:G782=G783)),1)),1500)"),0.0)</f>
        <v>0</v>
      </c>
      <c r="M783" s="3">
        <f>IFERROR(__xludf.DUMMYFUNCTION("IFERROR(IF(J783="""",0,INDEX(FILTER($Q$2:Q782,$C$2:C782=J783,$G$2:G782=G783),ROWS(FILTER($Q$2:Q782,$C$2:C782=J783,$G$2:G782=G783)),1)),1500)"),0.0)</f>
        <v>0</v>
      </c>
      <c r="N783" s="3">
        <f>IFERROR(__xludf.DUMMYFUNCTION("IFERROR(INDEX(FILTER($Q$2:Q782,$C$2:C782=C783,$G$2:G782=G783),ROWS(FILTER($Q$2:Q782,$C$2:C782=C783,$G$2:G782=G783)),1),1500)"),-688.0)</f>
        <v>-688</v>
      </c>
      <c r="O783" s="3">
        <f t="shared" si="3"/>
        <v>0</v>
      </c>
      <c r="P783" s="9">
        <f t="shared" si="1"/>
        <v>-1</v>
      </c>
      <c r="Q783" s="5">
        <f t="shared" si="2"/>
        <v>-689</v>
      </c>
    </row>
    <row r="784">
      <c r="H784" s="3" t="str">
        <f>IFERROR(__xludf.DUMMYFUNCTION("IFERROR(TRIM(INDEX(SPLIT(E784,"" + ""),1)),"""")"),"")</f>
        <v/>
      </c>
      <c r="I784" s="3" t="str">
        <f>IFERROR(__xludf.DUMMYFUNCTION("IFERROR(TRIM(INDEX(SPLIT(E784,"" + ""),2)),"""")"),"")</f>
        <v/>
      </c>
      <c r="J784" s="5" t="str">
        <f>IFERROR(__xludf.DUMMYFUNCTION("IFERROR(TRIM(INDEX(SPLIT(E784,"" + ""),3)),"""")"),"")</f>
        <v/>
      </c>
      <c r="K784" s="3">
        <f>IFERROR(__xludf.DUMMYFUNCTION("IFERROR(IF(H784="""",0,INDEX(FILTER($Q$2:Q783,$C$2:C783=H784,$G$2:G783=G784),ROWS(FILTER($Q$2:Q783,$C$2:C783=H784,$G$2:G783=G784)),1)),1500)"),0.0)</f>
        <v>0</v>
      </c>
      <c r="L784" s="3">
        <f>IFERROR(__xludf.DUMMYFUNCTION("IFERROR(IF(I784="""",0,INDEX(FILTER($Q$2:Q783,$C$2:C783=I784,$G$2:G783=G784),ROWS(FILTER($Q$2:Q783,$C$2:C783=I784,$G$2:G783=G784)),1)),1500)"),0.0)</f>
        <v>0</v>
      </c>
      <c r="M784" s="3">
        <f>IFERROR(__xludf.DUMMYFUNCTION("IFERROR(IF(J784="""",0,INDEX(FILTER($Q$2:Q783,$C$2:C783=J784,$G$2:G783=G784),ROWS(FILTER($Q$2:Q783,$C$2:C783=J784,$G$2:G783=G784)),1)),1500)"),0.0)</f>
        <v>0</v>
      </c>
      <c r="N784" s="3">
        <f>IFERROR(__xludf.DUMMYFUNCTION("IFERROR(INDEX(FILTER($Q$2:Q783,$C$2:C783=C784,$G$2:G783=G784),ROWS(FILTER($Q$2:Q783,$C$2:C783=C784,$G$2:G783=G784)),1),1500)"),-689.0)</f>
        <v>-689</v>
      </c>
      <c r="O784" s="3">
        <f t="shared" si="3"/>
        <v>0</v>
      </c>
      <c r="P784" s="9">
        <f t="shared" si="1"/>
        <v>-1</v>
      </c>
      <c r="Q784" s="5">
        <f t="shared" si="2"/>
        <v>-690</v>
      </c>
    </row>
    <row r="785">
      <c r="H785" s="3" t="str">
        <f>IFERROR(__xludf.DUMMYFUNCTION("IFERROR(TRIM(INDEX(SPLIT(E785,"" + ""),1)),"""")"),"")</f>
        <v/>
      </c>
      <c r="I785" s="3" t="str">
        <f>IFERROR(__xludf.DUMMYFUNCTION("IFERROR(TRIM(INDEX(SPLIT(E785,"" + ""),2)),"""")"),"")</f>
        <v/>
      </c>
      <c r="J785" s="5" t="str">
        <f>IFERROR(__xludf.DUMMYFUNCTION("IFERROR(TRIM(INDEX(SPLIT(E785,"" + ""),3)),"""")"),"")</f>
        <v/>
      </c>
      <c r="K785" s="3">
        <f>IFERROR(__xludf.DUMMYFUNCTION("IFERROR(IF(H785="""",0,INDEX(FILTER($Q$2:Q784,$C$2:C784=H785,$G$2:G784=G785),ROWS(FILTER($Q$2:Q784,$C$2:C784=H785,$G$2:G784=G785)),1)),1500)"),0.0)</f>
        <v>0</v>
      </c>
      <c r="L785" s="3">
        <f>IFERROR(__xludf.DUMMYFUNCTION("IFERROR(IF(I785="""",0,INDEX(FILTER($Q$2:Q784,$C$2:C784=I785,$G$2:G784=G785),ROWS(FILTER($Q$2:Q784,$C$2:C784=I785,$G$2:G784=G785)),1)),1500)"),0.0)</f>
        <v>0</v>
      </c>
      <c r="M785" s="3">
        <f>IFERROR(__xludf.DUMMYFUNCTION("IFERROR(IF(J785="""",0,INDEX(FILTER($Q$2:Q784,$C$2:C784=J785,$G$2:G784=G785),ROWS(FILTER($Q$2:Q784,$C$2:C784=J785,$G$2:G784=G785)),1)),1500)"),0.0)</f>
        <v>0</v>
      </c>
      <c r="N785" s="3">
        <f>IFERROR(__xludf.DUMMYFUNCTION("IFERROR(INDEX(FILTER($Q$2:Q784,$C$2:C784=C785,$G$2:G784=G785),ROWS(FILTER($Q$2:Q784,$C$2:C784=C785,$G$2:G784=G785)),1),1500)"),-690.0)</f>
        <v>-690</v>
      </c>
      <c r="O785" s="3">
        <f t="shared" si="3"/>
        <v>0</v>
      </c>
      <c r="P785" s="9">
        <f t="shared" si="1"/>
        <v>-1</v>
      </c>
      <c r="Q785" s="5">
        <f t="shared" si="2"/>
        <v>-691</v>
      </c>
    </row>
    <row r="786">
      <c r="H786" s="3" t="str">
        <f>IFERROR(__xludf.DUMMYFUNCTION("IFERROR(TRIM(INDEX(SPLIT(E786,"" + ""),1)),"""")"),"")</f>
        <v/>
      </c>
      <c r="I786" s="3" t="str">
        <f>IFERROR(__xludf.DUMMYFUNCTION("IFERROR(TRIM(INDEX(SPLIT(E786,"" + ""),2)),"""")"),"")</f>
        <v/>
      </c>
      <c r="J786" s="5" t="str">
        <f>IFERROR(__xludf.DUMMYFUNCTION("IFERROR(TRIM(INDEX(SPLIT(E786,"" + ""),3)),"""")"),"")</f>
        <v/>
      </c>
      <c r="K786" s="3">
        <f>IFERROR(__xludf.DUMMYFUNCTION("IFERROR(IF(H786="""",0,INDEX(FILTER($Q$2:Q785,$C$2:C785=H786,$G$2:G785=G786),ROWS(FILTER($Q$2:Q785,$C$2:C785=H786,$G$2:G785=G786)),1)),1500)"),0.0)</f>
        <v>0</v>
      </c>
      <c r="L786" s="3">
        <f>IFERROR(__xludf.DUMMYFUNCTION("IFERROR(IF(I786="""",0,INDEX(FILTER($Q$2:Q785,$C$2:C785=I786,$G$2:G785=G786),ROWS(FILTER($Q$2:Q785,$C$2:C785=I786,$G$2:G785=G786)),1)),1500)"),0.0)</f>
        <v>0</v>
      </c>
      <c r="M786" s="3">
        <f>IFERROR(__xludf.DUMMYFUNCTION("IFERROR(IF(J786="""",0,INDEX(FILTER($Q$2:Q785,$C$2:C785=J786,$G$2:G785=G786),ROWS(FILTER($Q$2:Q785,$C$2:C785=J786,$G$2:G785=G786)),1)),1500)"),0.0)</f>
        <v>0</v>
      </c>
      <c r="N786" s="3">
        <f>IFERROR(__xludf.DUMMYFUNCTION("IFERROR(INDEX(FILTER($Q$2:Q785,$C$2:C785=C786,$G$2:G785=G786),ROWS(FILTER($Q$2:Q785,$C$2:C785=C786,$G$2:G785=G786)),1),1500)"),-691.0)</f>
        <v>-691</v>
      </c>
      <c r="O786" s="3">
        <f t="shared" si="3"/>
        <v>0</v>
      </c>
      <c r="P786" s="9">
        <f t="shared" si="1"/>
        <v>-1</v>
      </c>
      <c r="Q786" s="5">
        <f t="shared" si="2"/>
        <v>-692</v>
      </c>
    </row>
    <row r="787">
      <c r="H787" s="3" t="str">
        <f>IFERROR(__xludf.DUMMYFUNCTION("IFERROR(TRIM(INDEX(SPLIT(E787,"" + ""),1)),"""")"),"")</f>
        <v/>
      </c>
      <c r="I787" s="3" t="str">
        <f>IFERROR(__xludf.DUMMYFUNCTION("IFERROR(TRIM(INDEX(SPLIT(E787,"" + ""),2)),"""")"),"")</f>
        <v/>
      </c>
      <c r="J787" s="5" t="str">
        <f>IFERROR(__xludf.DUMMYFUNCTION("IFERROR(TRIM(INDEX(SPLIT(E787,"" + ""),3)),"""")"),"")</f>
        <v/>
      </c>
      <c r="K787" s="3">
        <f>IFERROR(__xludf.DUMMYFUNCTION("IFERROR(IF(H787="""",0,INDEX(FILTER($Q$2:Q786,$C$2:C786=H787,$G$2:G786=G787),ROWS(FILTER($Q$2:Q786,$C$2:C786=H787,$G$2:G786=G787)),1)),1500)"),0.0)</f>
        <v>0</v>
      </c>
      <c r="L787" s="3">
        <f>IFERROR(__xludf.DUMMYFUNCTION("IFERROR(IF(I787="""",0,INDEX(FILTER($Q$2:Q786,$C$2:C786=I787,$G$2:G786=G787),ROWS(FILTER($Q$2:Q786,$C$2:C786=I787,$G$2:G786=G787)),1)),1500)"),0.0)</f>
        <v>0</v>
      </c>
      <c r="M787" s="3">
        <f>IFERROR(__xludf.DUMMYFUNCTION("IFERROR(IF(J787="""",0,INDEX(FILTER($Q$2:Q786,$C$2:C786=J787,$G$2:G786=G787),ROWS(FILTER($Q$2:Q786,$C$2:C786=J787,$G$2:G786=G787)),1)),1500)"),0.0)</f>
        <v>0</v>
      </c>
      <c r="N787" s="3">
        <f>IFERROR(__xludf.DUMMYFUNCTION("IFERROR(INDEX(FILTER($Q$2:Q786,$C$2:C786=C787,$G$2:G786=G787),ROWS(FILTER($Q$2:Q786,$C$2:C786=C787,$G$2:G786=G787)),1),1500)"),-692.0)</f>
        <v>-692</v>
      </c>
      <c r="O787" s="3">
        <f t="shared" si="3"/>
        <v>0</v>
      </c>
      <c r="P787" s="9">
        <f t="shared" si="1"/>
        <v>-1</v>
      </c>
      <c r="Q787" s="5">
        <f t="shared" si="2"/>
        <v>-693</v>
      </c>
    </row>
    <row r="788">
      <c r="H788" s="3" t="str">
        <f>IFERROR(__xludf.DUMMYFUNCTION("IFERROR(TRIM(INDEX(SPLIT(E788,"" + ""),1)),"""")"),"")</f>
        <v/>
      </c>
      <c r="I788" s="3" t="str">
        <f>IFERROR(__xludf.DUMMYFUNCTION("IFERROR(TRIM(INDEX(SPLIT(E788,"" + ""),2)),"""")"),"")</f>
        <v/>
      </c>
      <c r="J788" s="5" t="str">
        <f>IFERROR(__xludf.DUMMYFUNCTION("IFERROR(TRIM(INDEX(SPLIT(E788,"" + ""),3)),"""")"),"")</f>
        <v/>
      </c>
      <c r="K788" s="3">
        <f>IFERROR(__xludf.DUMMYFUNCTION("IFERROR(IF(H788="""",0,INDEX(FILTER($Q$2:Q787,$C$2:C787=H788,$G$2:G787=G788),ROWS(FILTER($Q$2:Q787,$C$2:C787=H788,$G$2:G787=G788)),1)),1500)"),0.0)</f>
        <v>0</v>
      </c>
      <c r="L788" s="3">
        <f>IFERROR(__xludf.DUMMYFUNCTION("IFERROR(IF(I788="""",0,INDEX(FILTER($Q$2:Q787,$C$2:C787=I788,$G$2:G787=G788),ROWS(FILTER($Q$2:Q787,$C$2:C787=I788,$G$2:G787=G788)),1)),1500)"),0.0)</f>
        <v>0</v>
      </c>
      <c r="M788" s="3">
        <f>IFERROR(__xludf.DUMMYFUNCTION("IFERROR(IF(J788="""",0,INDEX(FILTER($Q$2:Q787,$C$2:C787=J788,$G$2:G787=G788),ROWS(FILTER($Q$2:Q787,$C$2:C787=J788,$G$2:G787=G788)),1)),1500)"),0.0)</f>
        <v>0</v>
      </c>
      <c r="N788" s="3">
        <f>IFERROR(__xludf.DUMMYFUNCTION("IFERROR(INDEX(FILTER($Q$2:Q787,$C$2:C787=C788,$G$2:G787=G788),ROWS(FILTER($Q$2:Q787,$C$2:C787=C788,$G$2:G787=G788)),1),1500)"),-693.0)</f>
        <v>-693</v>
      </c>
      <c r="O788" s="3">
        <f t="shared" si="3"/>
        <v>0</v>
      </c>
      <c r="P788" s="9">
        <f t="shared" si="1"/>
        <v>-1</v>
      </c>
      <c r="Q788" s="5">
        <f t="shared" si="2"/>
        <v>-694</v>
      </c>
    </row>
    <row r="789">
      <c r="H789" s="3" t="str">
        <f>IFERROR(__xludf.DUMMYFUNCTION("IFERROR(TRIM(INDEX(SPLIT(E789,"" + ""),1)),"""")"),"")</f>
        <v/>
      </c>
      <c r="I789" s="3" t="str">
        <f>IFERROR(__xludf.DUMMYFUNCTION("IFERROR(TRIM(INDEX(SPLIT(E789,"" + ""),2)),"""")"),"")</f>
        <v/>
      </c>
      <c r="J789" s="5" t="str">
        <f>IFERROR(__xludf.DUMMYFUNCTION("IFERROR(TRIM(INDEX(SPLIT(E789,"" + ""),3)),"""")"),"")</f>
        <v/>
      </c>
      <c r="K789" s="3">
        <f>IFERROR(__xludf.DUMMYFUNCTION("IFERROR(IF(H789="""",0,INDEX(FILTER($Q$2:Q788,$C$2:C788=H789,$G$2:G788=G789),ROWS(FILTER($Q$2:Q788,$C$2:C788=H789,$G$2:G788=G789)),1)),1500)"),0.0)</f>
        <v>0</v>
      </c>
      <c r="L789" s="3">
        <f>IFERROR(__xludf.DUMMYFUNCTION("IFERROR(IF(I789="""",0,INDEX(FILTER($Q$2:Q788,$C$2:C788=I789,$G$2:G788=G789),ROWS(FILTER($Q$2:Q788,$C$2:C788=I789,$G$2:G788=G789)),1)),1500)"),0.0)</f>
        <v>0</v>
      </c>
      <c r="M789" s="3">
        <f>IFERROR(__xludf.DUMMYFUNCTION("IFERROR(IF(J789="""",0,INDEX(FILTER($Q$2:Q788,$C$2:C788=J789,$G$2:G788=G789),ROWS(FILTER($Q$2:Q788,$C$2:C788=J789,$G$2:G788=G789)),1)),1500)"),0.0)</f>
        <v>0</v>
      </c>
      <c r="N789" s="3">
        <f>IFERROR(__xludf.DUMMYFUNCTION("IFERROR(INDEX(FILTER($Q$2:Q788,$C$2:C788=C789,$G$2:G788=G789),ROWS(FILTER($Q$2:Q788,$C$2:C788=C789,$G$2:G788=G789)),1),1500)"),-694.0)</f>
        <v>-694</v>
      </c>
      <c r="O789" s="3">
        <f t="shared" si="3"/>
        <v>0</v>
      </c>
      <c r="P789" s="9">
        <f t="shared" si="1"/>
        <v>-1</v>
      </c>
      <c r="Q789" s="5">
        <f t="shared" si="2"/>
        <v>-695</v>
      </c>
    </row>
    <row r="790">
      <c r="H790" s="3" t="str">
        <f>IFERROR(__xludf.DUMMYFUNCTION("IFERROR(TRIM(INDEX(SPLIT(E790,"" + ""),1)),"""")"),"")</f>
        <v/>
      </c>
      <c r="I790" s="3" t="str">
        <f>IFERROR(__xludf.DUMMYFUNCTION("IFERROR(TRIM(INDEX(SPLIT(E790,"" + ""),2)),"""")"),"")</f>
        <v/>
      </c>
      <c r="J790" s="5" t="str">
        <f>IFERROR(__xludf.DUMMYFUNCTION("IFERROR(TRIM(INDEX(SPLIT(E790,"" + ""),3)),"""")"),"")</f>
        <v/>
      </c>
      <c r="K790" s="3">
        <f>IFERROR(__xludf.DUMMYFUNCTION("IFERROR(IF(H790="""",0,INDEX(FILTER($Q$2:Q789,$C$2:C789=H790,$G$2:G789=G790),ROWS(FILTER($Q$2:Q789,$C$2:C789=H790,$G$2:G789=G790)),1)),1500)"),0.0)</f>
        <v>0</v>
      </c>
      <c r="L790" s="3">
        <f>IFERROR(__xludf.DUMMYFUNCTION("IFERROR(IF(I790="""",0,INDEX(FILTER($Q$2:Q789,$C$2:C789=I790,$G$2:G789=G790),ROWS(FILTER($Q$2:Q789,$C$2:C789=I790,$G$2:G789=G790)),1)),1500)"),0.0)</f>
        <v>0</v>
      </c>
      <c r="M790" s="3">
        <f>IFERROR(__xludf.DUMMYFUNCTION("IFERROR(IF(J790="""",0,INDEX(FILTER($Q$2:Q789,$C$2:C789=J790,$G$2:G789=G790),ROWS(FILTER($Q$2:Q789,$C$2:C789=J790,$G$2:G789=G790)),1)),1500)"),0.0)</f>
        <v>0</v>
      </c>
      <c r="N790" s="3">
        <f>IFERROR(__xludf.DUMMYFUNCTION("IFERROR(INDEX(FILTER($Q$2:Q789,$C$2:C789=C790,$G$2:G789=G790),ROWS(FILTER($Q$2:Q789,$C$2:C789=C790,$G$2:G789=G790)),1),1500)"),-695.0)</f>
        <v>-695</v>
      </c>
      <c r="O790" s="3">
        <f t="shared" si="3"/>
        <v>0</v>
      </c>
      <c r="P790" s="9">
        <f t="shared" si="1"/>
        <v>-1</v>
      </c>
      <c r="Q790" s="5">
        <f t="shared" si="2"/>
        <v>-696</v>
      </c>
    </row>
    <row r="791">
      <c r="H791" s="3" t="str">
        <f>IFERROR(__xludf.DUMMYFUNCTION("IFERROR(TRIM(INDEX(SPLIT(E791,"" + ""),1)),"""")"),"")</f>
        <v/>
      </c>
      <c r="I791" s="3" t="str">
        <f>IFERROR(__xludf.DUMMYFUNCTION("IFERROR(TRIM(INDEX(SPLIT(E791,"" + ""),2)),"""")"),"")</f>
        <v/>
      </c>
      <c r="J791" s="5" t="str">
        <f>IFERROR(__xludf.DUMMYFUNCTION("IFERROR(TRIM(INDEX(SPLIT(E791,"" + ""),3)),"""")"),"")</f>
        <v/>
      </c>
      <c r="K791" s="3">
        <f>IFERROR(__xludf.DUMMYFUNCTION("IFERROR(IF(H791="""",0,INDEX(FILTER($Q$2:Q790,$C$2:C790=H791,$G$2:G790=G791),ROWS(FILTER($Q$2:Q790,$C$2:C790=H791,$G$2:G790=G791)),1)),1500)"),0.0)</f>
        <v>0</v>
      </c>
      <c r="L791" s="3">
        <f>IFERROR(__xludf.DUMMYFUNCTION("IFERROR(IF(I791="""",0,INDEX(FILTER($Q$2:Q790,$C$2:C790=I791,$G$2:G790=G791),ROWS(FILTER($Q$2:Q790,$C$2:C790=I791,$G$2:G790=G791)),1)),1500)"),0.0)</f>
        <v>0</v>
      </c>
      <c r="M791" s="3">
        <f>IFERROR(__xludf.DUMMYFUNCTION("IFERROR(IF(J791="""",0,INDEX(FILTER($Q$2:Q790,$C$2:C790=J791,$G$2:G790=G791),ROWS(FILTER($Q$2:Q790,$C$2:C790=J791,$G$2:G790=G791)),1)),1500)"),0.0)</f>
        <v>0</v>
      </c>
      <c r="N791" s="3">
        <f>IFERROR(__xludf.DUMMYFUNCTION("IFERROR(INDEX(FILTER($Q$2:Q790,$C$2:C790=C791,$G$2:G790=G791),ROWS(FILTER($Q$2:Q790,$C$2:C790=C791,$G$2:G790=G791)),1),1500)"),-696.0)</f>
        <v>-696</v>
      </c>
      <c r="O791" s="3">
        <f t="shared" si="3"/>
        <v>0</v>
      </c>
      <c r="P791" s="9">
        <f t="shared" si="1"/>
        <v>-1</v>
      </c>
      <c r="Q791" s="5">
        <f t="shared" si="2"/>
        <v>-697</v>
      </c>
    </row>
    <row r="792">
      <c r="H792" s="3" t="str">
        <f>IFERROR(__xludf.DUMMYFUNCTION("IFERROR(TRIM(INDEX(SPLIT(E792,"" + ""),1)),"""")"),"")</f>
        <v/>
      </c>
      <c r="I792" s="3" t="str">
        <f>IFERROR(__xludf.DUMMYFUNCTION("IFERROR(TRIM(INDEX(SPLIT(E792,"" + ""),2)),"""")"),"")</f>
        <v/>
      </c>
      <c r="J792" s="5" t="str">
        <f>IFERROR(__xludf.DUMMYFUNCTION("IFERROR(TRIM(INDEX(SPLIT(E792,"" + ""),3)),"""")"),"")</f>
        <v/>
      </c>
      <c r="K792" s="3">
        <f>IFERROR(__xludf.DUMMYFUNCTION("IFERROR(IF(H792="""",0,INDEX(FILTER($Q$2:Q791,$C$2:C791=H792,$G$2:G791=G792),ROWS(FILTER($Q$2:Q791,$C$2:C791=H792,$G$2:G791=G792)),1)),1500)"),0.0)</f>
        <v>0</v>
      </c>
      <c r="L792" s="3">
        <f>IFERROR(__xludf.DUMMYFUNCTION("IFERROR(IF(I792="""",0,INDEX(FILTER($Q$2:Q791,$C$2:C791=I792,$G$2:G791=G792),ROWS(FILTER($Q$2:Q791,$C$2:C791=I792,$G$2:G791=G792)),1)),1500)"),0.0)</f>
        <v>0</v>
      </c>
      <c r="M792" s="3">
        <f>IFERROR(__xludf.DUMMYFUNCTION("IFERROR(IF(J792="""",0,INDEX(FILTER($Q$2:Q791,$C$2:C791=J792,$G$2:G791=G792),ROWS(FILTER($Q$2:Q791,$C$2:C791=J792,$G$2:G791=G792)),1)),1500)"),0.0)</f>
        <v>0</v>
      </c>
      <c r="N792" s="3">
        <f>IFERROR(__xludf.DUMMYFUNCTION("IFERROR(INDEX(FILTER($Q$2:Q791,$C$2:C791=C792,$G$2:G791=G792),ROWS(FILTER($Q$2:Q791,$C$2:C791=C792,$G$2:G791=G792)),1),1500)"),-697.0)</f>
        <v>-697</v>
      </c>
      <c r="O792" s="3">
        <f t="shared" si="3"/>
        <v>0</v>
      </c>
      <c r="P792" s="9">
        <f t="shared" si="1"/>
        <v>-1</v>
      </c>
      <c r="Q792" s="5">
        <f t="shared" si="2"/>
        <v>-698</v>
      </c>
    </row>
    <row r="793">
      <c r="H793" s="3" t="str">
        <f>IFERROR(__xludf.DUMMYFUNCTION("IFERROR(TRIM(INDEX(SPLIT(E793,"" + ""),1)),"""")"),"")</f>
        <v/>
      </c>
      <c r="I793" s="3" t="str">
        <f>IFERROR(__xludf.DUMMYFUNCTION("IFERROR(TRIM(INDEX(SPLIT(E793,"" + ""),2)),"""")"),"")</f>
        <v/>
      </c>
      <c r="J793" s="5" t="str">
        <f>IFERROR(__xludf.DUMMYFUNCTION("IFERROR(TRIM(INDEX(SPLIT(E793,"" + ""),3)),"""")"),"")</f>
        <v/>
      </c>
      <c r="K793" s="3">
        <f>IFERROR(__xludf.DUMMYFUNCTION("IFERROR(IF(H793="""",0,INDEX(FILTER($Q$2:Q792,$C$2:C792=H793,$G$2:G792=G793),ROWS(FILTER($Q$2:Q792,$C$2:C792=H793,$G$2:G792=G793)),1)),1500)"),0.0)</f>
        <v>0</v>
      </c>
      <c r="L793" s="3">
        <f>IFERROR(__xludf.DUMMYFUNCTION("IFERROR(IF(I793="""",0,INDEX(FILTER($Q$2:Q792,$C$2:C792=I793,$G$2:G792=G793),ROWS(FILTER($Q$2:Q792,$C$2:C792=I793,$G$2:G792=G793)),1)),1500)"),0.0)</f>
        <v>0</v>
      </c>
      <c r="M793" s="3">
        <f>IFERROR(__xludf.DUMMYFUNCTION("IFERROR(IF(J793="""",0,INDEX(FILTER($Q$2:Q792,$C$2:C792=J793,$G$2:G792=G793),ROWS(FILTER($Q$2:Q792,$C$2:C792=J793,$G$2:G792=G793)),1)),1500)"),0.0)</f>
        <v>0</v>
      </c>
      <c r="N793" s="3">
        <f>IFERROR(__xludf.DUMMYFUNCTION("IFERROR(INDEX(FILTER($Q$2:Q792,$C$2:C792=C793,$G$2:G792=G793),ROWS(FILTER($Q$2:Q792,$C$2:C792=C793,$G$2:G792=G793)),1),1500)"),-698.0)</f>
        <v>-698</v>
      </c>
      <c r="O793" s="3">
        <f t="shared" si="3"/>
        <v>0</v>
      </c>
      <c r="P793" s="9">
        <f t="shared" si="1"/>
        <v>-1</v>
      </c>
      <c r="Q793" s="5">
        <f t="shared" si="2"/>
        <v>-699</v>
      </c>
    </row>
    <row r="794">
      <c r="H794" s="3" t="str">
        <f>IFERROR(__xludf.DUMMYFUNCTION("IFERROR(TRIM(INDEX(SPLIT(E794,"" + ""),1)),"""")"),"")</f>
        <v/>
      </c>
      <c r="I794" s="3" t="str">
        <f>IFERROR(__xludf.DUMMYFUNCTION("IFERROR(TRIM(INDEX(SPLIT(E794,"" + ""),2)),"""")"),"")</f>
        <v/>
      </c>
      <c r="J794" s="5" t="str">
        <f>IFERROR(__xludf.DUMMYFUNCTION("IFERROR(TRIM(INDEX(SPLIT(E794,"" + ""),3)),"""")"),"")</f>
        <v/>
      </c>
      <c r="K794" s="3">
        <f>IFERROR(__xludf.DUMMYFUNCTION("IFERROR(IF(H794="""",0,INDEX(FILTER($Q$2:Q793,$C$2:C793=H794,$G$2:G793=G794),ROWS(FILTER($Q$2:Q793,$C$2:C793=H794,$G$2:G793=G794)),1)),1500)"),0.0)</f>
        <v>0</v>
      </c>
      <c r="L794" s="3">
        <f>IFERROR(__xludf.DUMMYFUNCTION("IFERROR(IF(I794="""",0,INDEX(FILTER($Q$2:Q793,$C$2:C793=I794,$G$2:G793=G794),ROWS(FILTER($Q$2:Q793,$C$2:C793=I794,$G$2:G793=G794)),1)),1500)"),0.0)</f>
        <v>0</v>
      </c>
      <c r="M794" s="3">
        <f>IFERROR(__xludf.DUMMYFUNCTION("IFERROR(IF(J794="""",0,INDEX(FILTER($Q$2:Q793,$C$2:C793=J794,$G$2:G793=G794),ROWS(FILTER($Q$2:Q793,$C$2:C793=J794,$G$2:G793=G794)),1)),1500)"),0.0)</f>
        <v>0</v>
      </c>
      <c r="N794" s="3">
        <f>IFERROR(__xludf.DUMMYFUNCTION("IFERROR(INDEX(FILTER($Q$2:Q793,$C$2:C793=C794,$G$2:G793=G794),ROWS(FILTER($Q$2:Q793,$C$2:C793=C794,$G$2:G793=G794)),1),1500)"),-699.0)</f>
        <v>-699</v>
      </c>
      <c r="O794" s="3">
        <f t="shared" si="3"/>
        <v>0</v>
      </c>
      <c r="P794" s="9">
        <f t="shared" si="1"/>
        <v>-1</v>
      </c>
      <c r="Q794" s="5">
        <f t="shared" si="2"/>
        <v>-700</v>
      </c>
    </row>
    <row r="795">
      <c r="H795" s="3" t="str">
        <f>IFERROR(__xludf.DUMMYFUNCTION("IFERROR(TRIM(INDEX(SPLIT(E795,"" + ""),1)),"""")"),"")</f>
        <v/>
      </c>
      <c r="I795" s="3" t="str">
        <f>IFERROR(__xludf.DUMMYFUNCTION("IFERROR(TRIM(INDEX(SPLIT(E795,"" + ""),2)),"""")"),"")</f>
        <v/>
      </c>
      <c r="J795" s="5" t="str">
        <f>IFERROR(__xludf.DUMMYFUNCTION("IFERROR(TRIM(INDEX(SPLIT(E795,"" + ""),3)),"""")"),"")</f>
        <v/>
      </c>
      <c r="K795" s="3">
        <f>IFERROR(__xludf.DUMMYFUNCTION("IFERROR(IF(H795="""",0,INDEX(FILTER($Q$2:Q794,$C$2:C794=H795,$G$2:G794=G795),ROWS(FILTER($Q$2:Q794,$C$2:C794=H795,$G$2:G794=G795)),1)),1500)"),0.0)</f>
        <v>0</v>
      </c>
      <c r="L795" s="3">
        <f>IFERROR(__xludf.DUMMYFUNCTION("IFERROR(IF(I795="""",0,INDEX(FILTER($Q$2:Q794,$C$2:C794=I795,$G$2:G794=G795),ROWS(FILTER($Q$2:Q794,$C$2:C794=I795,$G$2:G794=G795)),1)),1500)"),0.0)</f>
        <v>0</v>
      </c>
      <c r="M795" s="3">
        <f>IFERROR(__xludf.DUMMYFUNCTION("IFERROR(IF(J795="""",0,INDEX(FILTER($Q$2:Q794,$C$2:C794=J795,$G$2:G794=G795),ROWS(FILTER($Q$2:Q794,$C$2:C794=J795,$G$2:G794=G795)),1)),1500)"),0.0)</f>
        <v>0</v>
      </c>
      <c r="N795" s="3">
        <f>IFERROR(__xludf.DUMMYFUNCTION("IFERROR(INDEX(FILTER($Q$2:Q794,$C$2:C794=C795,$G$2:G794=G795),ROWS(FILTER($Q$2:Q794,$C$2:C794=C795,$G$2:G794=G795)),1),1500)"),-700.0)</f>
        <v>-700</v>
      </c>
      <c r="O795" s="3">
        <f t="shared" si="3"/>
        <v>0</v>
      </c>
      <c r="P795" s="9">
        <f t="shared" si="1"/>
        <v>-1</v>
      </c>
      <c r="Q795" s="5">
        <f t="shared" si="2"/>
        <v>-701</v>
      </c>
    </row>
    <row r="796">
      <c r="H796" s="3" t="str">
        <f>IFERROR(__xludf.DUMMYFUNCTION("IFERROR(TRIM(INDEX(SPLIT(E796,"" + ""),1)),"""")"),"")</f>
        <v/>
      </c>
      <c r="I796" s="3" t="str">
        <f>IFERROR(__xludf.DUMMYFUNCTION("IFERROR(TRIM(INDEX(SPLIT(E796,"" + ""),2)),"""")"),"")</f>
        <v/>
      </c>
      <c r="J796" s="5" t="str">
        <f>IFERROR(__xludf.DUMMYFUNCTION("IFERROR(TRIM(INDEX(SPLIT(E796,"" + ""),3)),"""")"),"")</f>
        <v/>
      </c>
      <c r="K796" s="3">
        <f>IFERROR(__xludf.DUMMYFUNCTION("IFERROR(IF(H796="""",0,INDEX(FILTER($Q$2:Q795,$C$2:C795=H796,$G$2:G795=G796),ROWS(FILTER($Q$2:Q795,$C$2:C795=H796,$G$2:G795=G796)),1)),1500)"),0.0)</f>
        <v>0</v>
      </c>
      <c r="L796" s="3">
        <f>IFERROR(__xludf.DUMMYFUNCTION("IFERROR(IF(I796="""",0,INDEX(FILTER($Q$2:Q795,$C$2:C795=I796,$G$2:G795=G796),ROWS(FILTER($Q$2:Q795,$C$2:C795=I796,$G$2:G795=G796)),1)),1500)"),0.0)</f>
        <v>0</v>
      </c>
      <c r="M796" s="3">
        <f>IFERROR(__xludf.DUMMYFUNCTION("IFERROR(IF(J796="""",0,INDEX(FILTER($Q$2:Q795,$C$2:C795=J796,$G$2:G795=G796),ROWS(FILTER($Q$2:Q795,$C$2:C795=J796,$G$2:G795=G796)),1)),1500)"),0.0)</f>
        <v>0</v>
      </c>
      <c r="N796" s="3">
        <f>IFERROR(__xludf.DUMMYFUNCTION("IFERROR(INDEX(FILTER($Q$2:Q795,$C$2:C795=C796,$G$2:G795=G796),ROWS(FILTER($Q$2:Q795,$C$2:C795=C796,$G$2:G795=G796)),1),1500)"),-701.0)</f>
        <v>-701</v>
      </c>
      <c r="O796" s="3">
        <f t="shared" si="3"/>
        <v>0</v>
      </c>
      <c r="P796" s="9">
        <f t="shared" si="1"/>
        <v>-1</v>
      </c>
      <c r="Q796" s="5">
        <f t="shared" si="2"/>
        <v>-702</v>
      </c>
    </row>
    <row r="797">
      <c r="H797" s="3" t="str">
        <f>IFERROR(__xludf.DUMMYFUNCTION("IFERROR(TRIM(INDEX(SPLIT(E797,"" + ""),1)),"""")"),"")</f>
        <v/>
      </c>
      <c r="I797" s="3" t="str">
        <f>IFERROR(__xludf.DUMMYFUNCTION("IFERROR(TRIM(INDEX(SPLIT(E797,"" + ""),2)),"""")"),"")</f>
        <v/>
      </c>
      <c r="J797" s="5" t="str">
        <f>IFERROR(__xludf.DUMMYFUNCTION("IFERROR(TRIM(INDEX(SPLIT(E797,"" + ""),3)),"""")"),"")</f>
        <v/>
      </c>
      <c r="K797" s="3">
        <f>IFERROR(__xludf.DUMMYFUNCTION("IFERROR(IF(H797="""",0,INDEX(FILTER($Q$2:Q796,$C$2:C796=H797,$G$2:G796=G797),ROWS(FILTER($Q$2:Q796,$C$2:C796=H797,$G$2:G796=G797)),1)),1500)"),0.0)</f>
        <v>0</v>
      </c>
      <c r="L797" s="3">
        <f>IFERROR(__xludf.DUMMYFUNCTION("IFERROR(IF(I797="""",0,INDEX(FILTER($Q$2:Q796,$C$2:C796=I797,$G$2:G796=G797),ROWS(FILTER($Q$2:Q796,$C$2:C796=I797,$G$2:G796=G797)),1)),1500)"),0.0)</f>
        <v>0</v>
      </c>
      <c r="M797" s="3">
        <f>IFERROR(__xludf.DUMMYFUNCTION("IFERROR(IF(J797="""",0,INDEX(FILTER($Q$2:Q796,$C$2:C796=J797,$G$2:G796=G797),ROWS(FILTER($Q$2:Q796,$C$2:C796=J797,$G$2:G796=G797)),1)),1500)"),0.0)</f>
        <v>0</v>
      </c>
      <c r="N797" s="3">
        <f>IFERROR(__xludf.DUMMYFUNCTION("IFERROR(INDEX(FILTER($Q$2:Q796,$C$2:C796=C797,$G$2:G796=G797),ROWS(FILTER($Q$2:Q796,$C$2:C796=C797,$G$2:G796=G797)),1),1500)"),-702.0)</f>
        <v>-702</v>
      </c>
      <c r="O797" s="3">
        <f t="shared" si="3"/>
        <v>0</v>
      </c>
      <c r="P797" s="9">
        <f t="shared" si="1"/>
        <v>-1</v>
      </c>
      <c r="Q797" s="5">
        <f t="shared" si="2"/>
        <v>-703</v>
      </c>
    </row>
    <row r="798">
      <c r="H798" s="3" t="str">
        <f>IFERROR(__xludf.DUMMYFUNCTION("IFERROR(TRIM(INDEX(SPLIT(E798,"" + ""),1)),"""")"),"")</f>
        <v/>
      </c>
      <c r="I798" s="3" t="str">
        <f>IFERROR(__xludf.DUMMYFUNCTION("IFERROR(TRIM(INDEX(SPLIT(E798,"" + ""),2)),"""")"),"")</f>
        <v/>
      </c>
      <c r="J798" s="5" t="str">
        <f>IFERROR(__xludf.DUMMYFUNCTION("IFERROR(TRIM(INDEX(SPLIT(E798,"" + ""),3)),"""")"),"")</f>
        <v/>
      </c>
      <c r="K798" s="3">
        <f>IFERROR(__xludf.DUMMYFUNCTION("IFERROR(IF(H798="""",0,INDEX(FILTER($Q$2:Q797,$C$2:C797=H798,$G$2:G797=G798),ROWS(FILTER($Q$2:Q797,$C$2:C797=H798,$G$2:G797=G798)),1)),1500)"),0.0)</f>
        <v>0</v>
      </c>
      <c r="L798" s="3">
        <f>IFERROR(__xludf.DUMMYFUNCTION("IFERROR(IF(I798="""",0,INDEX(FILTER($Q$2:Q797,$C$2:C797=I798,$G$2:G797=G798),ROWS(FILTER($Q$2:Q797,$C$2:C797=I798,$G$2:G797=G798)),1)),1500)"),0.0)</f>
        <v>0</v>
      </c>
      <c r="M798" s="3">
        <f>IFERROR(__xludf.DUMMYFUNCTION("IFERROR(IF(J798="""",0,INDEX(FILTER($Q$2:Q797,$C$2:C797=J798,$G$2:G797=G798),ROWS(FILTER($Q$2:Q797,$C$2:C797=J798,$G$2:G797=G798)),1)),1500)"),0.0)</f>
        <v>0</v>
      </c>
      <c r="N798" s="3">
        <f>IFERROR(__xludf.DUMMYFUNCTION("IFERROR(INDEX(FILTER($Q$2:Q797,$C$2:C797=C798,$G$2:G797=G798),ROWS(FILTER($Q$2:Q797,$C$2:C797=C798,$G$2:G797=G798)),1),1500)"),-703.0)</f>
        <v>-703</v>
      </c>
      <c r="O798" s="3">
        <f t="shared" si="3"/>
        <v>0</v>
      </c>
      <c r="P798" s="9">
        <f t="shared" si="1"/>
        <v>-1</v>
      </c>
      <c r="Q798" s="5">
        <f t="shared" si="2"/>
        <v>-704</v>
      </c>
    </row>
    <row r="799">
      <c r="H799" s="3" t="str">
        <f>IFERROR(__xludf.DUMMYFUNCTION("IFERROR(TRIM(INDEX(SPLIT(E799,"" + ""),1)),"""")"),"")</f>
        <v/>
      </c>
      <c r="I799" s="3" t="str">
        <f>IFERROR(__xludf.DUMMYFUNCTION("IFERROR(TRIM(INDEX(SPLIT(E799,"" + ""),2)),"""")"),"")</f>
        <v/>
      </c>
      <c r="J799" s="5" t="str">
        <f>IFERROR(__xludf.DUMMYFUNCTION("IFERROR(TRIM(INDEX(SPLIT(E799,"" + ""),3)),"""")"),"")</f>
        <v/>
      </c>
      <c r="K799" s="3">
        <f>IFERROR(__xludf.DUMMYFUNCTION("IFERROR(IF(H799="""",0,INDEX(FILTER($Q$2:Q798,$C$2:C798=H799,$G$2:G798=G799),ROWS(FILTER($Q$2:Q798,$C$2:C798=H799,$G$2:G798=G799)),1)),1500)"),0.0)</f>
        <v>0</v>
      </c>
      <c r="L799" s="3">
        <f>IFERROR(__xludf.DUMMYFUNCTION("IFERROR(IF(I799="""",0,INDEX(FILTER($Q$2:Q798,$C$2:C798=I799,$G$2:G798=G799),ROWS(FILTER($Q$2:Q798,$C$2:C798=I799,$G$2:G798=G799)),1)),1500)"),0.0)</f>
        <v>0</v>
      </c>
      <c r="M799" s="3">
        <f>IFERROR(__xludf.DUMMYFUNCTION("IFERROR(IF(J799="""",0,INDEX(FILTER($Q$2:Q798,$C$2:C798=J799,$G$2:G798=G799),ROWS(FILTER($Q$2:Q798,$C$2:C798=J799,$G$2:G798=G799)),1)),1500)"),0.0)</f>
        <v>0</v>
      </c>
      <c r="N799" s="3">
        <f>IFERROR(__xludf.DUMMYFUNCTION("IFERROR(INDEX(FILTER($Q$2:Q798,$C$2:C798=C799,$G$2:G798=G799),ROWS(FILTER($Q$2:Q798,$C$2:C798=C799,$G$2:G798=G799)),1),1500)"),-704.0)</f>
        <v>-704</v>
      </c>
      <c r="O799" s="3">
        <f t="shared" si="3"/>
        <v>0</v>
      </c>
      <c r="P799" s="9">
        <f t="shared" si="1"/>
        <v>-1</v>
      </c>
      <c r="Q799" s="5">
        <f t="shared" si="2"/>
        <v>-705</v>
      </c>
    </row>
    <row r="800">
      <c r="H800" s="3" t="str">
        <f>IFERROR(__xludf.DUMMYFUNCTION("IFERROR(TRIM(INDEX(SPLIT(E800,"" + ""),1)),"""")"),"")</f>
        <v/>
      </c>
      <c r="I800" s="3" t="str">
        <f>IFERROR(__xludf.DUMMYFUNCTION("IFERROR(TRIM(INDEX(SPLIT(E800,"" + ""),2)),"""")"),"")</f>
        <v/>
      </c>
      <c r="J800" s="5" t="str">
        <f>IFERROR(__xludf.DUMMYFUNCTION("IFERROR(TRIM(INDEX(SPLIT(E800,"" + ""),3)),"""")"),"")</f>
        <v/>
      </c>
      <c r="K800" s="3">
        <f>IFERROR(__xludf.DUMMYFUNCTION("IFERROR(IF(H800="""",0,INDEX(FILTER($Q$2:Q799,$C$2:C799=H800,$G$2:G799=G800),ROWS(FILTER($Q$2:Q799,$C$2:C799=H800,$G$2:G799=G800)),1)),1500)"),0.0)</f>
        <v>0</v>
      </c>
      <c r="L800" s="3">
        <f>IFERROR(__xludf.DUMMYFUNCTION("IFERROR(IF(I800="""",0,INDEX(FILTER($Q$2:Q799,$C$2:C799=I800,$G$2:G799=G800),ROWS(FILTER($Q$2:Q799,$C$2:C799=I800,$G$2:G799=G800)),1)),1500)"),0.0)</f>
        <v>0</v>
      </c>
      <c r="M800" s="3">
        <f>IFERROR(__xludf.DUMMYFUNCTION("IFERROR(IF(J800="""",0,INDEX(FILTER($Q$2:Q799,$C$2:C799=J800,$G$2:G799=G800),ROWS(FILTER($Q$2:Q799,$C$2:C799=J800,$G$2:G799=G800)),1)),1500)"),0.0)</f>
        <v>0</v>
      </c>
      <c r="N800" s="3">
        <f>IFERROR(__xludf.DUMMYFUNCTION("IFERROR(INDEX(FILTER($Q$2:Q799,$C$2:C799=C800,$G$2:G799=G800),ROWS(FILTER($Q$2:Q799,$C$2:C799=C800,$G$2:G799=G800)),1),1500)"),-705.0)</f>
        <v>-705</v>
      </c>
      <c r="O800" s="3">
        <f t="shared" si="3"/>
        <v>0</v>
      </c>
      <c r="P800" s="9">
        <f t="shared" si="1"/>
        <v>-1</v>
      </c>
      <c r="Q800" s="5">
        <f t="shared" si="2"/>
        <v>-706</v>
      </c>
    </row>
    <row r="801">
      <c r="H801" s="3" t="str">
        <f>IFERROR(__xludf.DUMMYFUNCTION("IFERROR(TRIM(INDEX(SPLIT(E801,"" + ""),1)),"""")"),"")</f>
        <v/>
      </c>
      <c r="I801" s="3" t="str">
        <f>IFERROR(__xludf.DUMMYFUNCTION("IFERROR(TRIM(INDEX(SPLIT(E801,"" + ""),2)),"""")"),"")</f>
        <v/>
      </c>
      <c r="J801" s="5" t="str">
        <f>IFERROR(__xludf.DUMMYFUNCTION("IFERROR(TRIM(INDEX(SPLIT(E801,"" + ""),3)),"""")"),"")</f>
        <v/>
      </c>
      <c r="K801" s="3">
        <f>IFERROR(__xludf.DUMMYFUNCTION("IFERROR(IF(H801="""",0,INDEX(FILTER($Q$2:Q800,$C$2:C800=H801,$G$2:G800=G801),ROWS(FILTER($Q$2:Q800,$C$2:C800=H801,$G$2:G800=G801)),1)),1500)"),0.0)</f>
        <v>0</v>
      </c>
      <c r="L801" s="3">
        <f>IFERROR(__xludf.DUMMYFUNCTION("IFERROR(IF(I801="""",0,INDEX(FILTER($Q$2:Q800,$C$2:C800=I801,$G$2:G800=G801),ROWS(FILTER($Q$2:Q800,$C$2:C800=I801,$G$2:G800=G801)),1)),1500)"),0.0)</f>
        <v>0</v>
      </c>
      <c r="M801" s="3">
        <f>IFERROR(__xludf.DUMMYFUNCTION("IFERROR(IF(J801="""",0,INDEX(FILTER($Q$2:Q800,$C$2:C800=J801,$G$2:G800=G801),ROWS(FILTER($Q$2:Q800,$C$2:C800=J801,$G$2:G800=G801)),1)),1500)"),0.0)</f>
        <v>0</v>
      </c>
      <c r="N801" s="3">
        <f>IFERROR(__xludf.DUMMYFUNCTION("IFERROR(INDEX(FILTER($Q$2:Q800,$C$2:C800=C801,$G$2:G800=G801),ROWS(FILTER($Q$2:Q800,$C$2:C800=C801,$G$2:G800=G801)),1),1500)"),-706.0)</f>
        <v>-706</v>
      </c>
      <c r="O801" s="3">
        <f t="shared" si="3"/>
        <v>0</v>
      </c>
      <c r="P801" s="9">
        <f t="shared" si="1"/>
        <v>-1</v>
      </c>
      <c r="Q801" s="5">
        <f t="shared" si="2"/>
        <v>-707</v>
      </c>
    </row>
    <row r="802">
      <c r="H802" s="3" t="str">
        <f>IFERROR(__xludf.DUMMYFUNCTION("IFERROR(TRIM(INDEX(SPLIT(E802,"" + ""),1)),"""")"),"")</f>
        <v/>
      </c>
      <c r="I802" s="3" t="str">
        <f>IFERROR(__xludf.DUMMYFUNCTION("IFERROR(TRIM(INDEX(SPLIT(E802,"" + ""),2)),"""")"),"")</f>
        <v/>
      </c>
      <c r="J802" s="5" t="str">
        <f>IFERROR(__xludf.DUMMYFUNCTION("IFERROR(TRIM(INDEX(SPLIT(E802,"" + ""),3)),"""")"),"")</f>
        <v/>
      </c>
      <c r="K802" s="3">
        <f>IFERROR(__xludf.DUMMYFUNCTION("IFERROR(IF(H802="""",0,INDEX(FILTER($Q$2:Q801,$C$2:C801=H802,$G$2:G801=G802),ROWS(FILTER($Q$2:Q801,$C$2:C801=H802,$G$2:G801=G802)),1)),1500)"),0.0)</f>
        <v>0</v>
      </c>
      <c r="L802" s="3">
        <f>IFERROR(__xludf.DUMMYFUNCTION("IFERROR(IF(I802="""",0,INDEX(FILTER($Q$2:Q801,$C$2:C801=I802,$G$2:G801=G802),ROWS(FILTER($Q$2:Q801,$C$2:C801=I802,$G$2:G801=G802)),1)),1500)"),0.0)</f>
        <v>0</v>
      </c>
      <c r="M802" s="3">
        <f>IFERROR(__xludf.DUMMYFUNCTION("IFERROR(IF(J802="""",0,INDEX(FILTER($Q$2:Q801,$C$2:C801=J802,$G$2:G801=G802),ROWS(FILTER($Q$2:Q801,$C$2:C801=J802,$G$2:G801=G802)),1)),1500)"),0.0)</f>
        <v>0</v>
      </c>
      <c r="N802" s="3">
        <f>IFERROR(__xludf.DUMMYFUNCTION("IFERROR(INDEX(FILTER($Q$2:Q801,$C$2:C801=C802,$G$2:G801=G802),ROWS(FILTER($Q$2:Q801,$C$2:C801=C802,$G$2:G801=G802)),1),1500)"),-707.0)</f>
        <v>-707</v>
      </c>
      <c r="O802" s="3">
        <f t="shared" si="3"/>
        <v>0</v>
      </c>
      <c r="P802" s="9">
        <f t="shared" si="1"/>
        <v>-1</v>
      </c>
      <c r="Q802" s="5">
        <f t="shared" si="2"/>
        <v>-708</v>
      </c>
    </row>
    <row r="803">
      <c r="H803" s="3" t="str">
        <f>IFERROR(__xludf.DUMMYFUNCTION("IFERROR(TRIM(INDEX(SPLIT(E803,"" + ""),1)),"""")"),"")</f>
        <v/>
      </c>
      <c r="I803" s="3" t="str">
        <f>IFERROR(__xludf.DUMMYFUNCTION("IFERROR(TRIM(INDEX(SPLIT(E803,"" + ""),2)),"""")"),"")</f>
        <v/>
      </c>
      <c r="J803" s="5" t="str">
        <f>IFERROR(__xludf.DUMMYFUNCTION("IFERROR(TRIM(INDEX(SPLIT(E803,"" + ""),3)),"""")"),"")</f>
        <v/>
      </c>
      <c r="K803" s="3">
        <f>IFERROR(__xludf.DUMMYFUNCTION("IFERROR(IF(H803="""",0,INDEX(FILTER($Q$2:Q802,$C$2:C802=H803,$G$2:G802=G803),ROWS(FILTER($Q$2:Q802,$C$2:C802=H803,$G$2:G802=G803)),1)),1500)"),0.0)</f>
        <v>0</v>
      </c>
      <c r="L803" s="3">
        <f>IFERROR(__xludf.DUMMYFUNCTION("IFERROR(IF(I803="""",0,INDEX(FILTER($Q$2:Q802,$C$2:C802=I803,$G$2:G802=G803),ROWS(FILTER($Q$2:Q802,$C$2:C802=I803,$G$2:G802=G803)),1)),1500)"),0.0)</f>
        <v>0</v>
      </c>
      <c r="M803" s="3">
        <f>IFERROR(__xludf.DUMMYFUNCTION("IFERROR(IF(J803="""",0,INDEX(FILTER($Q$2:Q802,$C$2:C802=J803,$G$2:G802=G803),ROWS(FILTER($Q$2:Q802,$C$2:C802=J803,$G$2:G802=G803)),1)),1500)"),0.0)</f>
        <v>0</v>
      </c>
      <c r="N803" s="3">
        <f>IFERROR(__xludf.DUMMYFUNCTION("IFERROR(INDEX(FILTER($Q$2:Q802,$C$2:C802=C803,$G$2:G802=G803),ROWS(FILTER($Q$2:Q802,$C$2:C802=C803,$G$2:G802=G803)),1),1500)"),-708.0)</f>
        <v>-708</v>
      </c>
      <c r="O803" s="3">
        <f t="shared" si="3"/>
        <v>0</v>
      </c>
      <c r="P803" s="9">
        <f t="shared" si="1"/>
        <v>-1</v>
      </c>
      <c r="Q803" s="5">
        <f t="shared" si="2"/>
        <v>-709</v>
      </c>
    </row>
    <row r="804">
      <c r="H804" s="3" t="str">
        <f>IFERROR(__xludf.DUMMYFUNCTION("IFERROR(TRIM(INDEX(SPLIT(E804,"" + ""),1)),"""")"),"")</f>
        <v/>
      </c>
      <c r="I804" s="3" t="str">
        <f>IFERROR(__xludf.DUMMYFUNCTION("IFERROR(TRIM(INDEX(SPLIT(E804,"" + ""),2)),"""")"),"")</f>
        <v/>
      </c>
      <c r="J804" s="5" t="str">
        <f>IFERROR(__xludf.DUMMYFUNCTION("IFERROR(TRIM(INDEX(SPLIT(E804,"" + ""),3)),"""")"),"")</f>
        <v/>
      </c>
      <c r="K804" s="3">
        <f>IFERROR(__xludf.DUMMYFUNCTION("IFERROR(IF(H804="""",0,INDEX(FILTER($Q$2:Q803,$C$2:C803=H804,$G$2:G803=G804),ROWS(FILTER($Q$2:Q803,$C$2:C803=H804,$G$2:G803=G804)),1)),1500)"),0.0)</f>
        <v>0</v>
      </c>
      <c r="L804" s="3">
        <f>IFERROR(__xludf.DUMMYFUNCTION("IFERROR(IF(I804="""",0,INDEX(FILTER($Q$2:Q803,$C$2:C803=I804,$G$2:G803=G804),ROWS(FILTER($Q$2:Q803,$C$2:C803=I804,$G$2:G803=G804)),1)),1500)"),0.0)</f>
        <v>0</v>
      </c>
      <c r="M804" s="3">
        <f>IFERROR(__xludf.DUMMYFUNCTION("IFERROR(IF(J804="""",0,INDEX(FILTER($Q$2:Q803,$C$2:C803=J804,$G$2:G803=G804),ROWS(FILTER($Q$2:Q803,$C$2:C803=J804,$G$2:G803=G804)),1)),1500)"),0.0)</f>
        <v>0</v>
      </c>
      <c r="N804" s="3">
        <f>IFERROR(__xludf.DUMMYFUNCTION("IFERROR(INDEX(FILTER($Q$2:Q803,$C$2:C803=C804,$G$2:G803=G804),ROWS(FILTER($Q$2:Q803,$C$2:C803=C804,$G$2:G803=G804)),1),1500)"),-709.0)</f>
        <v>-709</v>
      </c>
      <c r="O804" s="3">
        <f t="shared" si="3"/>
        <v>0</v>
      </c>
      <c r="P804" s="9">
        <f t="shared" si="1"/>
        <v>-1</v>
      </c>
      <c r="Q804" s="5">
        <f t="shared" si="2"/>
        <v>-710</v>
      </c>
    </row>
    <row r="805">
      <c r="H805" s="3" t="str">
        <f>IFERROR(__xludf.DUMMYFUNCTION("IFERROR(TRIM(INDEX(SPLIT(E805,"" + ""),1)),"""")"),"")</f>
        <v/>
      </c>
      <c r="I805" s="3" t="str">
        <f>IFERROR(__xludf.DUMMYFUNCTION("IFERROR(TRIM(INDEX(SPLIT(E805,"" + ""),2)),"""")"),"")</f>
        <v/>
      </c>
      <c r="J805" s="5" t="str">
        <f>IFERROR(__xludf.DUMMYFUNCTION("IFERROR(TRIM(INDEX(SPLIT(E805,"" + ""),3)),"""")"),"")</f>
        <v/>
      </c>
      <c r="K805" s="3">
        <f>IFERROR(__xludf.DUMMYFUNCTION("IFERROR(IF(H805="""",0,INDEX(FILTER($Q$2:Q804,$C$2:C804=H805,$G$2:G804=G805),ROWS(FILTER($Q$2:Q804,$C$2:C804=H805,$G$2:G804=G805)),1)),1500)"),0.0)</f>
        <v>0</v>
      </c>
      <c r="L805" s="3">
        <f>IFERROR(__xludf.DUMMYFUNCTION("IFERROR(IF(I805="""",0,INDEX(FILTER($Q$2:Q804,$C$2:C804=I805,$G$2:G804=G805),ROWS(FILTER($Q$2:Q804,$C$2:C804=I805,$G$2:G804=G805)),1)),1500)"),0.0)</f>
        <v>0</v>
      </c>
      <c r="M805" s="3">
        <f>IFERROR(__xludf.DUMMYFUNCTION("IFERROR(IF(J805="""",0,INDEX(FILTER($Q$2:Q804,$C$2:C804=J805,$G$2:G804=G805),ROWS(FILTER($Q$2:Q804,$C$2:C804=J805,$G$2:G804=G805)),1)),1500)"),0.0)</f>
        <v>0</v>
      </c>
      <c r="N805" s="3">
        <f>IFERROR(__xludf.DUMMYFUNCTION("IFERROR(INDEX(FILTER($Q$2:Q804,$C$2:C804=C805,$G$2:G804=G805),ROWS(FILTER($Q$2:Q804,$C$2:C804=C805,$G$2:G804=G805)),1),1500)"),-710.0)</f>
        <v>-710</v>
      </c>
      <c r="O805" s="3">
        <f t="shared" si="3"/>
        <v>0</v>
      </c>
      <c r="P805" s="9">
        <f t="shared" si="1"/>
        <v>-1</v>
      </c>
      <c r="Q805" s="5">
        <f t="shared" si="2"/>
        <v>-711</v>
      </c>
    </row>
    <row r="806">
      <c r="H806" s="3" t="str">
        <f>IFERROR(__xludf.DUMMYFUNCTION("IFERROR(TRIM(INDEX(SPLIT(E806,"" + ""),1)),"""")"),"")</f>
        <v/>
      </c>
      <c r="I806" s="3" t="str">
        <f>IFERROR(__xludf.DUMMYFUNCTION("IFERROR(TRIM(INDEX(SPLIT(E806,"" + ""),2)),"""")"),"")</f>
        <v/>
      </c>
      <c r="J806" s="5" t="str">
        <f>IFERROR(__xludf.DUMMYFUNCTION("IFERROR(TRIM(INDEX(SPLIT(E806,"" + ""),3)),"""")"),"")</f>
        <v/>
      </c>
      <c r="K806" s="3">
        <f>IFERROR(__xludf.DUMMYFUNCTION("IFERROR(IF(H806="""",0,INDEX(FILTER($Q$2:Q805,$C$2:C805=H806,$G$2:G805=G806),ROWS(FILTER($Q$2:Q805,$C$2:C805=H806,$G$2:G805=G806)),1)),1500)"),0.0)</f>
        <v>0</v>
      </c>
      <c r="L806" s="3">
        <f>IFERROR(__xludf.DUMMYFUNCTION("IFERROR(IF(I806="""",0,INDEX(FILTER($Q$2:Q805,$C$2:C805=I806,$G$2:G805=G806),ROWS(FILTER($Q$2:Q805,$C$2:C805=I806,$G$2:G805=G806)),1)),1500)"),0.0)</f>
        <v>0</v>
      </c>
      <c r="M806" s="3">
        <f>IFERROR(__xludf.DUMMYFUNCTION("IFERROR(IF(J806="""",0,INDEX(FILTER($Q$2:Q805,$C$2:C805=J806,$G$2:G805=G806),ROWS(FILTER($Q$2:Q805,$C$2:C805=J806,$G$2:G805=G806)),1)),1500)"),0.0)</f>
        <v>0</v>
      </c>
      <c r="N806" s="3">
        <f>IFERROR(__xludf.DUMMYFUNCTION("IFERROR(INDEX(FILTER($Q$2:Q805,$C$2:C805=C806,$G$2:G805=G806),ROWS(FILTER($Q$2:Q805,$C$2:C805=C806,$G$2:G805=G806)),1),1500)"),-711.0)</f>
        <v>-711</v>
      </c>
      <c r="O806" s="3">
        <f t="shared" si="3"/>
        <v>0</v>
      </c>
      <c r="P806" s="9">
        <f t="shared" si="1"/>
        <v>-1</v>
      </c>
      <c r="Q806" s="5">
        <f t="shared" si="2"/>
        <v>-712</v>
      </c>
    </row>
    <row r="807">
      <c r="H807" s="3" t="str">
        <f>IFERROR(__xludf.DUMMYFUNCTION("IFERROR(TRIM(INDEX(SPLIT(E807,"" + ""),1)),"""")"),"")</f>
        <v/>
      </c>
      <c r="I807" s="3" t="str">
        <f>IFERROR(__xludf.DUMMYFUNCTION("IFERROR(TRIM(INDEX(SPLIT(E807,"" + ""),2)),"""")"),"")</f>
        <v/>
      </c>
      <c r="J807" s="5" t="str">
        <f>IFERROR(__xludf.DUMMYFUNCTION("IFERROR(TRIM(INDEX(SPLIT(E807,"" + ""),3)),"""")"),"")</f>
        <v/>
      </c>
      <c r="K807" s="3">
        <f>IFERROR(__xludf.DUMMYFUNCTION("IFERROR(IF(H807="""",0,INDEX(FILTER($Q$2:Q806,$C$2:C806=H807,$G$2:G806=G807),ROWS(FILTER($Q$2:Q806,$C$2:C806=H807,$G$2:G806=G807)),1)),1500)"),0.0)</f>
        <v>0</v>
      </c>
      <c r="L807" s="3">
        <f>IFERROR(__xludf.DUMMYFUNCTION("IFERROR(IF(I807="""",0,INDEX(FILTER($Q$2:Q806,$C$2:C806=I807,$G$2:G806=G807),ROWS(FILTER($Q$2:Q806,$C$2:C806=I807,$G$2:G806=G807)),1)),1500)"),0.0)</f>
        <v>0</v>
      </c>
      <c r="M807" s="3">
        <f>IFERROR(__xludf.DUMMYFUNCTION("IFERROR(IF(J807="""",0,INDEX(FILTER($Q$2:Q806,$C$2:C806=J807,$G$2:G806=G807),ROWS(FILTER($Q$2:Q806,$C$2:C806=J807,$G$2:G806=G807)),1)),1500)"),0.0)</f>
        <v>0</v>
      </c>
      <c r="N807" s="3">
        <f>IFERROR(__xludf.DUMMYFUNCTION("IFERROR(INDEX(FILTER($Q$2:Q806,$C$2:C806=C807,$G$2:G806=G807),ROWS(FILTER($Q$2:Q806,$C$2:C806=C807,$G$2:G806=G807)),1),1500)"),-712.0)</f>
        <v>-712</v>
      </c>
      <c r="O807" s="3">
        <f t="shared" si="3"/>
        <v>0</v>
      </c>
      <c r="P807" s="9">
        <f t="shared" si="1"/>
        <v>-1</v>
      </c>
      <c r="Q807" s="5">
        <f t="shared" si="2"/>
        <v>-713</v>
      </c>
    </row>
    <row r="808">
      <c r="H808" s="3" t="str">
        <f>IFERROR(__xludf.DUMMYFUNCTION("IFERROR(TRIM(INDEX(SPLIT(E808,"" + ""),1)),"""")"),"")</f>
        <v/>
      </c>
      <c r="I808" s="3" t="str">
        <f>IFERROR(__xludf.DUMMYFUNCTION("IFERROR(TRIM(INDEX(SPLIT(E808,"" + ""),2)),"""")"),"")</f>
        <v/>
      </c>
      <c r="J808" s="5" t="str">
        <f>IFERROR(__xludf.DUMMYFUNCTION("IFERROR(TRIM(INDEX(SPLIT(E808,"" + ""),3)),"""")"),"")</f>
        <v/>
      </c>
      <c r="K808" s="3">
        <f>IFERROR(__xludf.DUMMYFUNCTION("IFERROR(IF(H808="""",0,INDEX(FILTER($Q$2:Q807,$C$2:C807=H808,$G$2:G807=G808),ROWS(FILTER($Q$2:Q807,$C$2:C807=H808,$G$2:G807=G808)),1)),1500)"),0.0)</f>
        <v>0</v>
      </c>
      <c r="L808" s="3">
        <f>IFERROR(__xludf.DUMMYFUNCTION("IFERROR(IF(I808="""",0,INDEX(FILTER($Q$2:Q807,$C$2:C807=I808,$G$2:G807=G808),ROWS(FILTER($Q$2:Q807,$C$2:C807=I808,$G$2:G807=G808)),1)),1500)"),0.0)</f>
        <v>0</v>
      </c>
      <c r="M808" s="3">
        <f>IFERROR(__xludf.DUMMYFUNCTION("IFERROR(IF(J808="""",0,INDEX(FILTER($Q$2:Q807,$C$2:C807=J808,$G$2:G807=G808),ROWS(FILTER($Q$2:Q807,$C$2:C807=J808,$G$2:G807=G808)),1)),1500)"),0.0)</f>
        <v>0</v>
      </c>
      <c r="N808" s="3">
        <f>IFERROR(__xludf.DUMMYFUNCTION("IFERROR(INDEX(FILTER($Q$2:Q807,$C$2:C807=C808,$G$2:G807=G808),ROWS(FILTER($Q$2:Q807,$C$2:C807=C808,$G$2:G807=G808)),1),1500)"),-713.0)</f>
        <v>-713</v>
      </c>
      <c r="O808" s="3">
        <f t="shared" si="3"/>
        <v>0</v>
      </c>
      <c r="P808" s="9">
        <f t="shared" si="1"/>
        <v>-1</v>
      </c>
      <c r="Q808" s="5">
        <f t="shared" si="2"/>
        <v>-714</v>
      </c>
    </row>
    <row r="809">
      <c r="H809" s="3" t="str">
        <f>IFERROR(__xludf.DUMMYFUNCTION("IFERROR(TRIM(INDEX(SPLIT(E809,"" + ""),1)),"""")"),"")</f>
        <v/>
      </c>
      <c r="I809" s="3" t="str">
        <f>IFERROR(__xludf.DUMMYFUNCTION("IFERROR(TRIM(INDEX(SPLIT(E809,"" + ""),2)),"""")"),"")</f>
        <v/>
      </c>
      <c r="J809" s="5" t="str">
        <f>IFERROR(__xludf.DUMMYFUNCTION("IFERROR(TRIM(INDEX(SPLIT(E809,"" + ""),3)),"""")"),"")</f>
        <v/>
      </c>
      <c r="K809" s="3">
        <f>IFERROR(__xludf.DUMMYFUNCTION("IFERROR(IF(H809="""",0,INDEX(FILTER($Q$2:Q808,$C$2:C808=H809,$G$2:G808=G809),ROWS(FILTER($Q$2:Q808,$C$2:C808=H809,$G$2:G808=G809)),1)),1500)"),0.0)</f>
        <v>0</v>
      </c>
      <c r="L809" s="3">
        <f>IFERROR(__xludf.DUMMYFUNCTION("IFERROR(IF(I809="""",0,INDEX(FILTER($Q$2:Q808,$C$2:C808=I809,$G$2:G808=G809),ROWS(FILTER($Q$2:Q808,$C$2:C808=I809,$G$2:G808=G809)),1)),1500)"),0.0)</f>
        <v>0</v>
      </c>
      <c r="M809" s="3">
        <f>IFERROR(__xludf.DUMMYFUNCTION("IFERROR(IF(J809="""",0,INDEX(FILTER($Q$2:Q808,$C$2:C808=J809,$G$2:G808=G809),ROWS(FILTER($Q$2:Q808,$C$2:C808=J809,$G$2:G808=G809)),1)),1500)"),0.0)</f>
        <v>0</v>
      </c>
      <c r="N809" s="3">
        <f>IFERROR(__xludf.DUMMYFUNCTION("IFERROR(INDEX(FILTER($Q$2:Q808,$C$2:C808=C809,$G$2:G808=G809),ROWS(FILTER($Q$2:Q808,$C$2:C808=C809,$G$2:G808=G809)),1),1500)"),-714.0)</f>
        <v>-714</v>
      </c>
      <c r="O809" s="3">
        <f t="shared" si="3"/>
        <v>0</v>
      </c>
      <c r="P809" s="9">
        <f t="shared" si="1"/>
        <v>-1</v>
      </c>
      <c r="Q809" s="5">
        <f t="shared" si="2"/>
        <v>-715</v>
      </c>
    </row>
    <row r="810">
      <c r="H810" s="3" t="str">
        <f>IFERROR(__xludf.DUMMYFUNCTION("IFERROR(TRIM(INDEX(SPLIT(E810,"" + ""),1)),"""")"),"")</f>
        <v/>
      </c>
      <c r="I810" s="3" t="str">
        <f>IFERROR(__xludf.DUMMYFUNCTION("IFERROR(TRIM(INDEX(SPLIT(E810,"" + ""),2)),"""")"),"")</f>
        <v/>
      </c>
      <c r="J810" s="5" t="str">
        <f>IFERROR(__xludf.DUMMYFUNCTION("IFERROR(TRIM(INDEX(SPLIT(E810,"" + ""),3)),"""")"),"")</f>
        <v/>
      </c>
      <c r="K810" s="3">
        <f>IFERROR(__xludf.DUMMYFUNCTION("IFERROR(IF(H810="""",0,INDEX(FILTER($Q$2:Q809,$C$2:C809=H810,$G$2:G809=G810),ROWS(FILTER($Q$2:Q809,$C$2:C809=H810,$G$2:G809=G810)),1)),1500)"),0.0)</f>
        <v>0</v>
      </c>
      <c r="L810" s="3">
        <f>IFERROR(__xludf.DUMMYFUNCTION("IFERROR(IF(I810="""",0,INDEX(FILTER($Q$2:Q809,$C$2:C809=I810,$G$2:G809=G810),ROWS(FILTER($Q$2:Q809,$C$2:C809=I810,$G$2:G809=G810)),1)),1500)"),0.0)</f>
        <v>0</v>
      </c>
      <c r="M810" s="3">
        <f>IFERROR(__xludf.DUMMYFUNCTION("IFERROR(IF(J810="""",0,INDEX(FILTER($Q$2:Q809,$C$2:C809=J810,$G$2:G809=G810),ROWS(FILTER($Q$2:Q809,$C$2:C809=J810,$G$2:G809=G810)),1)),1500)"),0.0)</f>
        <v>0</v>
      </c>
      <c r="N810" s="3">
        <f>IFERROR(__xludf.DUMMYFUNCTION("IFERROR(INDEX(FILTER($Q$2:Q809,$C$2:C809=C810,$G$2:G809=G810),ROWS(FILTER($Q$2:Q809,$C$2:C809=C810,$G$2:G809=G810)),1),1500)"),-715.0)</f>
        <v>-715</v>
      </c>
      <c r="O810" s="3">
        <f t="shared" si="3"/>
        <v>0</v>
      </c>
      <c r="P810" s="9">
        <f t="shared" si="1"/>
        <v>-1</v>
      </c>
      <c r="Q810" s="5">
        <f t="shared" si="2"/>
        <v>-716</v>
      </c>
    </row>
    <row r="811">
      <c r="H811" s="3" t="str">
        <f>IFERROR(__xludf.DUMMYFUNCTION("IFERROR(TRIM(INDEX(SPLIT(E811,"" + ""),1)),"""")"),"")</f>
        <v/>
      </c>
      <c r="I811" s="3" t="str">
        <f>IFERROR(__xludf.DUMMYFUNCTION("IFERROR(TRIM(INDEX(SPLIT(E811,"" + ""),2)),"""")"),"")</f>
        <v/>
      </c>
      <c r="J811" s="5" t="str">
        <f>IFERROR(__xludf.DUMMYFUNCTION("IFERROR(TRIM(INDEX(SPLIT(E811,"" + ""),3)),"""")"),"")</f>
        <v/>
      </c>
      <c r="K811" s="3">
        <f>IFERROR(__xludf.DUMMYFUNCTION("IFERROR(IF(H811="""",0,INDEX(FILTER($Q$2:Q810,$C$2:C810=H811,$G$2:G810=G811),ROWS(FILTER($Q$2:Q810,$C$2:C810=H811,$G$2:G810=G811)),1)),1500)"),0.0)</f>
        <v>0</v>
      </c>
      <c r="L811" s="3">
        <f>IFERROR(__xludf.DUMMYFUNCTION("IFERROR(IF(I811="""",0,INDEX(FILTER($Q$2:Q810,$C$2:C810=I811,$G$2:G810=G811),ROWS(FILTER($Q$2:Q810,$C$2:C810=I811,$G$2:G810=G811)),1)),1500)"),0.0)</f>
        <v>0</v>
      </c>
      <c r="M811" s="3">
        <f>IFERROR(__xludf.DUMMYFUNCTION("IFERROR(IF(J811="""",0,INDEX(FILTER($Q$2:Q810,$C$2:C810=J811,$G$2:G810=G811),ROWS(FILTER($Q$2:Q810,$C$2:C810=J811,$G$2:G810=G811)),1)),1500)"),0.0)</f>
        <v>0</v>
      </c>
      <c r="N811" s="3">
        <f>IFERROR(__xludf.DUMMYFUNCTION("IFERROR(INDEX(FILTER($Q$2:Q810,$C$2:C810=C811,$G$2:G810=G811),ROWS(FILTER($Q$2:Q810,$C$2:C810=C811,$G$2:G810=G811)),1),1500)"),-716.0)</f>
        <v>-716</v>
      </c>
      <c r="O811" s="3">
        <f t="shared" si="3"/>
        <v>0</v>
      </c>
      <c r="P811" s="9">
        <f t="shared" si="1"/>
        <v>-1</v>
      </c>
      <c r="Q811" s="5">
        <f t="shared" si="2"/>
        <v>-717</v>
      </c>
    </row>
    <row r="812">
      <c r="H812" s="3" t="str">
        <f>IFERROR(__xludf.DUMMYFUNCTION("IFERROR(TRIM(INDEX(SPLIT(E812,"" + ""),1)),"""")"),"")</f>
        <v/>
      </c>
      <c r="I812" s="3" t="str">
        <f>IFERROR(__xludf.DUMMYFUNCTION("IFERROR(TRIM(INDEX(SPLIT(E812,"" + ""),2)),"""")"),"")</f>
        <v/>
      </c>
      <c r="J812" s="5" t="str">
        <f>IFERROR(__xludf.DUMMYFUNCTION("IFERROR(TRIM(INDEX(SPLIT(E812,"" + ""),3)),"""")"),"")</f>
        <v/>
      </c>
      <c r="K812" s="3">
        <f>IFERROR(__xludf.DUMMYFUNCTION("IFERROR(IF(H812="""",0,INDEX(FILTER($Q$2:Q811,$C$2:C811=H812,$G$2:G811=G812),ROWS(FILTER($Q$2:Q811,$C$2:C811=H812,$G$2:G811=G812)),1)),1500)"),0.0)</f>
        <v>0</v>
      </c>
      <c r="L812" s="3">
        <f>IFERROR(__xludf.DUMMYFUNCTION("IFERROR(IF(I812="""",0,INDEX(FILTER($Q$2:Q811,$C$2:C811=I812,$G$2:G811=G812),ROWS(FILTER($Q$2:Q811,$C$2:C811=I812,$G$2:G811=G812)),1)),1500)"),0.0)</f>
        <v>0</v>
      </c>
      <c r="M812" s="3">
        <f>IFERROR(__xludf.DUMMYFUNCTION("IFERROR(IF(J812="""",0,INDEX(FILTER($Q$2:Q811,$C$2:C811=J812,$G$2:G811=G812),ROWS(FILTER($Q$2:Q811,$C$2:C811=J812,$G$2:G811=G812)),1)),1500)"),0.0)</f>
        <v>0</v>
      </c>
      <c r="N812" s="3">
        <f>IFERROR(__xludf.DUMMYFUNCTION("IFERROR(INDEX(FILTER($Q$2:Q811,$C$2:C811=C812,$G$2:G811=G812),ROWS(FILTER($Q$2:Q811,$C$2:C811=C812,$G$2:G811=G812)),1),1500)"),-717.0)</f>
        <v>-717</v>
      </c>
      <c r="O812" s="3">
        <f t="shared" si="3"/>
        <v>0</v>
      </c>
      <c r="P812" s="9">
        <f t="shared" si="1"/>
        <v>-1</v>
      </c>
      <c r="Q812" s="5">
        <f t="shared" si="2"/>
        <v>-718</v>
      </c>
    </row>
    <row r="813">
      <c r="H813" s="3" t="str">
        <f>IFERROR(__xludf.DUMMYFUNCTION("IFERROR(TRIM(INDEX(SPLIT(E813,"" + ""),1)),"""")"),"")</f>
        <v/>
      </c>
      <c r="I813" s="3" t="str">
        <f>IFERROR(__xludf.DUMMYFUNCTION("IFERROR(TRIM(INDEX(SPLIT(E813,"" + ""),2)),"""")"),"")</f>
        <v/>
      </c>
      <c r="J813" s="5" t="str">
        <f>IFERROR(__xludf.DUMMYFUNCTION("IFERROR(TRIM(INDEX(SPLIT(E813,"" + ""),3)),"""")"),"")</f>
        <v/>
      </c>
      <c r="K813" s="3">
        <f>IFERROR(__xludf.DUMMYFUNCTION("IFERROR(IF(H813="""",0,INDEX(FILTER($Q$2:Q812,$C$2:C812=H813,$G$2:G812=G813),ROWS(FILTER($Q$2:Q812,$C$2:C812=H813,$G$2:G812=G813)),1)),1500)"),0.0)</f>
        <v>0</v>
      </c>
      <c r="L813" s="3">
        <f>IFERROR(__xludf.DUMMYFUNCTION("IFERROR(IF(I813="""",0,INDEX(FILTER($Q$2:Q812,$C$2:C812=I813,$G$2:G812=G813),ROWS(FILTER($Q$2:Q812,$C$2:C812=I813,$G$2:G812=G813)),1)),1500)"),0.0)</f>
        <v>0</v>
      </c>
      <c r="M813" s="3">
        <f>IFERROR(__xludf.DUMMYFUNCTION("IFERROR(IF(J813="""",0,INDEX(FILTER($Q$2:Q812,$C$2:C812=J813,$G$2:G812=G813),ROWS(FILTER($Q$2:Q812,$C$2:C812=J813,$G$2:G812=G813)),1)),1500)"),0.0)</f>
        <v>0</v>
      </c>
      <c r="N813" s="3">
        <f>IFERROR(__xludf.DUMMYFUNCTION("IFERROR(INDEX(FILTER($Q$2:Q812,$C$2:C812=C813,$G$2:G812=G813),ROWS(FILTER($Q$2:Q812,$C$2:C812=C813,$G$2:G812=G813)),1),1500)"),-718.0)</f>
        <v>-718</v>
      </c>
      <c r="O813" s="3">
        <f t="shared" si="3"/>
        <v>0</v>
      </c>
      <c r="P813" s="9">
        <f t="shared" si="1"/>
        <v>-1</v>
      </c>
      <c r="Q813" s="5">
        <f t="shared" si="2"/>
        <v>-719</v>
      </c>
    </row>
    <row r="814">
      <c r="H814" s="3" t="str">
        <f>IFERROR(__xludf.DUMMYFUNCTION("IFERROR(TRIM(INDEX(SPLIT(E814,"" + ""),1)),"""")"),"")</f>
        <v/>
      </c>
      <c r="I814" s="3" t="str">
        <f>IFERROR(__xludf.DUMMYFUNCTION("IFERROR(TRIM(INDEX(SPLIT(E814,"" + ""),2)),"""")"),"")</f>
        <v/>
      </c>
      <c r="J814" s="5" t="str">
        <f>IFERROR(__xludf.DUMMYFUNCTION("IFERROR(TRIM(INDEX(SPLIT(E814,"" + ""),3)),"""")"),"")</f>
        <v/>
      </c>
      <c r="K814" s="3">
        <f>IFERROR(__xludf.DUMMYFUNCTION("IFERROR(IF(H814="""",0,INDEX(FILTER($Q$2:Q813,$C$2:C813=H814,$G$2:G813=G814),ROWS(FILTER($Q$2:Q813,$C$2:C813=H814,$G$2:G813=G814)),1)),1500)"),0.0)</f>
        <v>0</v>
      </c>
      <c r="L814" s="3">
        <f>IFERROR(__xludf.DUMMYFUNCTION("IFERROR(IF(I814="""",0,INDEX(FILTER($Q$2:Q813,$C$2:C813=I814,$G$2:G813=G814),ROWS(FILTER($Q$2:Q813,$C$2:C813=I814,$G$2:G813=G814)),1)),1500)"),0.0)</f>
        <v>0</v>
      </c>
      <c r="M814" s="3">
        <f>IFERROR(__xludf.DUMMYFUNCTION("IFERROR(IF(J814="""",0,INDEX(FILTER($Q$2:Q813,$C$2:C813=J814,$G$2:G813=G814),ROWS(FILTER($Q$2:Q813,$C$2:C813=J814,$G$2:G813=G814)),1)),1500)"),0.0)</f>
        <v>0</v>
      </c>
      <c r="N814" s="3">
        <f>IFERROR(__xludf.DUMMYFUNCTION("IFERROR(INDEX(FILTER($Q$2:Q813,$C$2:C813=C814,$G$2:G813=G814),ROWS(FILTER($Q$2:Q813,$C$2:C813=C814,$G$2:G813=G814)),1),1500)"),-719.0)</f>
        <v>-719</v>
      </c>
      <c r="O814" s="3">
        <f t="shared" si="3"/>
        <v>0</v>
      </c>
      <c r="P814" s="9">
        <f t="shared" si="1"/>
        <v>-1</v>
      </c>
      <c r="Q814" s="5">
        <f t="shared" si="2"/>
        <v>-720</v>
      </c>
    </row>
    <row r="815">
      <c r="H815" s="3" t="str">
        <f>IFERROR(__xludf.DUMMYFUNCTION("IFERROR(TRIM(INDEX(SPLIT(E815,"" + ""),1)),"""")"),"")</f>
        <v/>
      </c>
      <c r="I815" s="3" t="str">
        <f>IFERROR(__xludf.DUMMYFUNCTION("IFERROR(TRIM(INDEX(SPLIT(E815,"" + ""),2)),"""")"),"")</f>
        <v/>
      </c>
      <c r="J815" s="5" t="str">
        <f>IFERROR(__xludf.DUMMYFUNCTION("IFERROR(TRIM(INDEX(SPLIT(E815,"" + ""),3)),"""")"),"")</f>
        <v/>
      </c>
      <c r="K815" s="3">
        <f>IFERROR(__xludf.DUMMYFUNCTION("IFERROR(IF(H815="""",0,INDEX(FILTER($Q$2:Q814,$C$2:C814=H815,$G$2:G814=G815),ROWS(FILTER($Q$2:Q814,$C$2:C814=H815,$G$2:G814=G815)),1)),1500)"),0.0)</f>
        <v>0</v>
      </c>
      <c r="L815" s="3">
        <f>IFERROR(__xludf.DUMMYFUNCTION("IFERROR(IF(I815="""",0,INDEX(FILTER($Q$2:Q814,$C$2:C814=I815,$G$2:G814=G815),ROWS(FILTER($Q$2:Q814,$C$2:C814=I815,$G$2:G814=G815)),1)),1500)"),0.0)</f>
        <v>0</v>
      </c>
      <c r="M815" s="3">
        <f>IFERROR(__xludf.DUMMYFUNCTION("IFERROR(IF(J815="""",0,INDEX(FILTER($Q$2:Q814,$C$2:C814=J815,$G$2:G814=G815),ROWS(FILTER($Q$2:Q814,$C$2:C814=J815,$G$2:G814=G815)),1)),1500)"),0.0)</f>
        <v>0</v>
      </c>
      <c r="N815" s="3">
        <f>IFERROR(__xludf.DUMMYFUNCTION("IFERROR(INDEX(FILTER($Q$2:Q814,$C$2:C814=C815,$G$2:G814=G815),ROWS(FILTER($Q$2:Q814,$C$2:C814=C815,$G$2:G814=G815)),1),1500)"),-720.0)</f>
        <v>-720</v>
      </c>
      <c r="O815" s="3">
        <f t="shared" si="3"/>
        <v>0</v>
      </c>
      <c r="P815" s="9">
        <f t="shared" si="1"/>
        <v>0</v>
      </c>
      <c r="Q815" s="5">
        <f t="shared" si="2"/>
        <v>-720</v>
      </c>
    </row>
    <row r="816">
      <c r="H816" s="3" t="str">
        <f>IFERROR(__xludf.DUMMYFUNCTION("IFERROR(TRIM(INDEX(SPLIT(E816,"" + ""),1)),"""")"),"")</f>
        <v/>
      </c>
      <c r="I816" s="3" t="str">
        <f>IFERROR(__xludf.DUMMYFUNCTION("IFERROR(TRIM(INDEX(SPLIT(E816,"" + ""),2)),"""")"),"")</f>
        <v/>
      </c>
      <c r="J816" s="5" t="str">
        <f>IFERROR(__xludf.DUMMYFUNCTION("IFERROR(TRIM(INDEX(SPLIT(E816,"" + ""),3)),"""")"),"")</f>
        <v/>
      </c>
      <c r="K816" s="3">
        <f>IFERROR(__xludf.DUMMYFUNCTION("IFERROR(IF(H816="""",0,INDEX(FILTER($Q$2:Q815,$C$2:C815=H816,$G$2:G815=G816),ROWS(FILTER($Q$2:Q815,$C$2:C815=H816,$G$2:G815=G816)),1)),1500)"),0.0)</f>
        <v>0</v>
      </c>
      <c r="L816" s="3">
        <f>IFERROR(__xludf.DUMMYFUNCTION("IFERROR(IF(I816="""",0,INDEX(FILTER($Q$2:Q815,$C$2:C815=I816,$G$2:G815=G816),ROWS(FILTER($Q$2:Q815,$C$2:C815=I816,$G$2:G815=G816)),1)),1500)"),0.0)</f>
        <v>0</v>
      </c>
      <c r="M816" s="3">
        <f>IFERROR(__xludf.DUMMYFUNCTION("IFERROR(IF(J816="""",0,INDEX(FILTER($Q$2:Q815,$C$2:C815=J816,$G$2:G815=G816),ROWS(FILTER($Q$2:Q815,$C$2:C815=J816,$G$2:G815=G816)),1)),1500)"),0.0)</f>
        <v>0</v>
      </c>
      <c r="N816" s="3">
        <f>IFERROR(__xludf.DUMMYFUNCTION("IFERROR(INDEX(FILTER($Q$2:Q815,$C$2:C815=C816,$G$2:G815=G816),ROWS(FILTER($Q$2:Q815,$C$2:C815=C816,$G$2:G815=G816)),1),1500)"),-720.0)</f>
        <v>-720</v>
      </c>
      <c r="O816" s="3">
        <f t="shared" si="3"/>
        <v>0</v>
      </c>
      <c r="P816" s="9">
        <f t="shared" si="1"/>
        <v>0</v>
      </c>
      <c r="Q816" s="5">
        <f t="shared" si="2"/>
        <v>-720</v>
      </c>
    </row>
    <row r="817">
      <c r="H817" s="3" t="str">
        <f>IFERROR(__xludf.DUMMYFUNCTION("IFERROR(TRIM(INDEX(SPLIT(E817,"" + ""),1)),"""")"),"")</f>
        <v/>
      </c>
      <c r="I817" s="3" t="str">
        <f>IFERROR(__xludf.DUMMYFUNCTION("IFERROR(TRIM(INDEX(SPLIT(E817,"" + ""),2)),"""")"),"")</f>
        <v/>
      </c>
      <c r="J817" s="5" t="str">
        <f>IFERROR(__xludf.DUMMYFUNCTION("IFERROR(TRIM(INDEX(SPLIT(E817,"" + ""),3)),"""")"),"")</f>
        <v/>
      </c>
      <c r="K817" s="3">
        <f>IFERROR(__xludf.DUMMYFUNCTION("IFERROR(IF(H817="""",0,INDEX(FILTER($Q$2:Q816,$C$2:C816=H817,$G$2:G816=G817),ROWS(FILTER($Q$2:Q816,$C$2:C816=H817,$G$2:G816=G817)),1)),1500)"),0.0)</f>
        <v>0</v>
      </c>
      <c r="L817" s="3">
        <f>IFERROR(__xludf.DUMMYFUNCTION("IFERROR(IF(I817="""",0,INDEX(FILTER($Q$2:Q816,$C$2:C816=I817,$G$2:G816=G817),ROWS(FILTER($Q$2:Q816,$C$2:C816=I817,$G$2:G816=G817)),1)),1500)"),0.0)</f>
        <v>0</v>
      </c>
      <c r="M817" s="3">
        <f>IFERROR(__xludf.DUMMYFUNCTION("IFERROR(IF(J817="""",0,INDEX(FILTER($Q$2:Q816,$C$2:C816=J817,$G$2:G816=G817),ROWS(FILTER($Q$2:Q816,$C$2:C816=J817,$G$2:G816=G817)),1)),1500)"),0.0)</f>
        <v>0</v>
      </c>
      <c r="N817" s="3">
        <f>IFERROR(__xludf.DUMMYFUNCTION("IFERROR(INDEX(FILTER($Q$2:Q816,$C$2:C816=C817,$G$2:G816=G817),ROWS(FILTER($Q$2:Q816,$C$2:C816=C817,$G$2:G816=G817)),1),1500)"),-720.0)</f>
        <v>-720</v>
      </c>
      <c r="O817" s="3">
        <f t="shared" si="3"/>
        <v>0</v>
      </c>
      <c r="P817" s="9">
        <f t="shared" si="1"/>
        <v>0</v>
      </c>
      <c r="Q817" s="5">
        <f t="shared" si="2"/>
        <v>-720</v>
      </c>
    </row>
    <row r="818">
      <c r="H818" s="3" t="str">
        <f>IFERROR(__xludf.DUMMYFUNCTION("IFERROR(TRIM(INDEX(SPLIT(E818,"" + ""),1)),"""")"),"")</f>
        <v/>
      </c>
      <c r="I818" s="3" t="str">
        <f>IFERROR(__xludf.DUMMYFUNCTION("IFERROR(TRIM(INDEX(SPLIT(E818,"" + ""),2)),"""")"),"")</f>
        <v/>
      </c>
      <c r="J818" s="5" t="str">
        <f>IFERROR(__xludf.DUMMYFUNCTION("IFERROR(TRIM(INDEX(SPLIT(E818,"" + ""),3)),"""")"),"")</f>
        <v/>
      </c>
      <c r="K818" s="3">
        <f>IFERROR(__xludf.DUMMYFUNCTION("IFERROR(IF(H818="""",0,INDEX(FILTER($Q$2:Q817,$C$2:C817=H818,$G$2:G817=G818),ROWS(FILTER($Q$2:Q817,$C$2:C817=H818,$G$2:G817=G818)),1)),1500)"),0.0)</f>
        <v>0</v>
      </c>
      <c r="L818" s="3">
        <f>IFERROR(__xludf.DUMMYFUNCTION("IFERROR(IF(I818="""",0,INDEX(FILTER($Q$2:Q817,$C$2:C817=I818,$G$2:G817=G818),ROWS(FILTER($Q$2:Q817,$C$2:C817=I818,$G$2:G817=G818)),1)),1500)"),0.0)</f>
        <v>0</v>
      </c>
      <c r="M818" s="3">
        <f>IFERROR(__xludf.DUMMYFUNCTION("IFERROR(IF(J818="""",0,INDEX(FILTER($Q$2:Q817,$C$2:C817=J818,$G$2:G817=G818),ROWS(FILTER($Q$2:Q817,$C$2:C817=J818,$G$2:G817=G818)),1)),1500)"),0.0)</f>
        <v>0</v>
      </c>
      <c r="N818" s="3">
        <f>IFERROR(__xludf.DUMMYFUNCTION("IFERROR(INDEX(FILTER($Q$2:Q817,$C$2:C817=C818,$G$2:G817=G818),ROWS(FILTER($Q$2:Q817,$C$2:C817=C818,$G$2:G817=G818)),1),1500)"),-720.0)</f>
        <v>-720</v>
      </c>
      <c r="O818" s="3">
        <f t="shared" si="3"/>
        <v>0</v>
      </c>
      <c r="P818" s="9">
        <f t="shared" si="1"/>
        <v>0</v>
      </c>
      <c r="Q818" s="5">
        <f t="shared" si="2"/>
        <v>-720</v>
      </c>
    </row>
    <row r="819">
      <c r="H819" s="3" t="str">
        <f>IFERROR(__xludf.DUMMYFUNCTION("IFERROR(TRIM(INDEX(SPLIT(E819,"" + ""),1)),"""")"),"")</f>
        <v/>
      </c>
      <c r="I819" s="3" t="str">
        <f>IFERROR(__xludf.DUMMYFUNCTION("IFERROR(TRIM(INDEX(SPLIT(E819,"" + ""),2)),"""")"),"")</f>
        <v/>
      </c>
      <c r="J819" s="5" t="str">
        <f>IFERROR(__xludf.DUMMYFUNCTION("IFERROR(TRIM(INDEX(SPLIT(E819,"" + ""),3)),"""")"),"")</f>
        <v/>
      </c>
      <c r="K819" s="3">
        <f>IFERROR(__xludf.DUMMYFUNCTION("IFERROR(IF(H819="""",0,INDEX(FILTER($Q$2:Q818,$C$2:C818=H819,$G$2:G818=G819),ROWS(FILTER($Q$2:Q818,$C$2:C818=H819,$G$2:G818=G819)),1)),1500)"),0.0)</f>
        <v>0</v>
      </c>
      <c r="L819" s="3">
        <f>IFERROR(__xludf.DUMMYFUNCTION("IFERROR(IF(I819="""",0,INDEX(FILTER($Q$2:Q818,$C$2:C818=I819,$G$2:G818=G819),ROWS(FILTER($Q$2:Q818,$C$2:C818=I819,$G$2:G818=G819)),1)),1500)"),0.0)</f>
        <v>0</v>
      </c>
      <c r="M819" s="3">
        <f>IFERROR(__xludf.DUMMYFUNCTION("IFERROR(IF(J819="""",0,INDEX(FILTER($Q$2:Q818,$C$2:C818=J819,$G$2:G818=G819),ROWS(FILTER($Q$2:Q818,$C$2:C818=J819,$G$2:G818=G819)),1)),1500)"),0.0)</f>
        <v>0</v>
      </c>
      <c r="N819" s="3">
        <f>IFERROR(__xludf.DUMMYFUNCTION("IFERROR(INDEX(FILTER($Q$2:Q818,$C$2:C818=C819,$G$2:G818=G819),ROWS(FILTER($Q$2:Q818,$C$2:C818=C819,$G$2:G818=G819)),1),1500)"),-720.0)</f>
        <v>-720</v>
      </c>
      <c r="O819" s="3">
        <f t="shared" si="3"/>
        <v>0</v>
      </c>
      <c r="P819" s="9">
        <f t="shared" si="1"/>
        <v>0</v>
      </c>
      <c r="Q819" s="5">
        <f t="shared" si="2"/>
        <v>-720</v>
      </c>
    </row>
    <row r="820">
      <c r="H820" s="3" t="str">
        <f>IFERROR(__xludf.DUMMYFUNCTION("IFERROR(TRIM(INDEX(SPLIT(E820,"" + ""),1)),"""")"),"")</f>
        <v/>
      </c>
      <c r="I820" s="3" t="str">
        <f>IFERROR(__xludf.DUMMYFUNCTION("IFERROR(TRIM(INDEX(SPLIT(E820,"" + ""),2)),"""")"),"")</f>
        <v/>
      </c>
      <c r="J820" s="5" t="str">
        <f>IFERROR(__xludf.DUMMYFUNCTION("IFERROR(TRIM(INDEX(SPLIT(E820,"" + ""),3)),"""")"),"")</f>
        <v/>
      </c>
      <c r="K820" s="3">
        <f>IFERROR(__xludf.DUMMYFUNCTION("IFERROR(IF(H820="""",0,INDEX(FILTER($Q$2:Q819,$C$2:C819=H820,$G$2:G819=G820),ROWS(FILTER($Q$2:Q819,$C$2:C819=H820,$G$2:G819=G820)),1)),1500)"),0.0)</f>
        <v>0</v>
      </c>
      <c r="L820" s="3">
        <f>IFERROR(__xludf.DUMMYFUNCTION("IFERROR(IF(I820="""",0,INDEX(FILTER($Q$2:Q819,$C$2:C819=I820,$G$2:G819=G820),ROWS(FILTER($Q$2:Q819,$C$2:C819=I820,$G$2:G819=G820)),1)),1500)"),0.0)</f>
        <v>0</v>
      </c>
      <c r="M820" s="3">
        <f>IFERROR(__xludf.DUMMYFUNCTION("IFERROR(IF(J820="""",0,INDEX(FILTER($Q$2:Q819,$C$2:C819=J820,$G$2:G819=G820),ROWS(FILTER($Q$2:Q819,$C$2:C819=J820,$G$2:G819=G820)),1)),1500)"),0.0)</f>
        <v>0</v>
      </c>
      <c r="N820" s="3">
        <f>IFERROR(__xludf.DUMMYFUNCTION("IFERROR(INDEX(FILTER($Q$2:Q819,$C$2:C819=C820,$G$2:G819=G820),ROWS(FILTER($Q$2:Q819,$C$2:C819=C820,$G$2:G819=G820)),1),1500)"),-720.0)</f>
        <v>-720</v>
      </c>
      <c r="O820" s="3">
        <f t="shared" si="3"/>
        <v>0</v>
      </c>
      <c r="P820" s="9">
        <f t="shared" si="1"/>
        <v>0</v>
      </c>
      <c r="Q820" s="5">
        <f t="shared" si="2"/>
        <v>-720</v>
      </c>
    </row>
    <row r="821">
      <c r="H821" s="3" t="str">
        <f>IFERROR(__xludf.DUMMYFUNCTION("IFERROR(TRIM(INDEX(SPLIT(E821,"" + ""),1)),"""")"),"")</f>
        <v/>
      </c>
      <c r="I821" s="3" t="str">
        <f>IFERROR(__xludf.DUMMYFUNCTION("IFERROR(TRIM(INDEX(SPLIT(E821,"" + ""),2)),"""")"),"")</f>
        <v/>
      </c>
      <c r="J821" s="5" t="str">
        <f>IFERROR(__xludf.DUMMYFUNCTION("IFERROR(TRIM(INDEX(SPLIT(E821,"" + ""),3)),"""")"),"")</f>
        <v/>
      </c>
      <c r="K821" s="3">
        <f>IFERROR(__xludf.DUMMYFUNCTION("IFERROR(IF(H821="""",0,INDEX(FILTER($Q$2:Q820,$C$2:C820=H821,$G$2:G820=G821),ROWS(FILTER($Q$2:Q820,$C$2:C820=H821,$G$2:G820=G821)),1)),1500)"),0.0)</f>
        <v>0</v>
      </c>
      <c r="L821" s="3">
        <f>IFERROR(__xludf.DUMMYFUNCTION("IFERROR(IF(I821="""",0,INDEX(FILTER($Q$2:Q820,$C$2:C820=I821,$G$2:G820=G821),ROWS(FILTER($Q$2:Q820,$C$2:C820=I821,$G$2:G820=G821)),1)),1500)"),0.0)</f>
        <v>0</v>
      </c>
      <c r="M821" s="3">
        <f>IFERROR(__xludf.DUMMYFUNCTION("IFERROR(IF(J821="""",0,INDEX(FILTER($Q$2:Q820,$C$2:C820=J821,$G$2:G820=G821),ROWS(FILTER($Q$2:Q820,$C$2:C820=J821,$G$2:G820=G821)),1)),1500)"),0.0)</f>
        <v>0</v>
      </c>
      <c r="N821" s="3">
        <f>IFERROR(__xludf.DUMMYFUNCTION("IFERROR(INDEX(FILTER($Q$2:Q820,$C$2:C820=C821,$G$2:G820=G821),ROWS(FILTER($Q$2:Q820,$C$2:C820=C821,$G$2:G820=G821)),1),1500)"),-720.0)</f>
        <v>-720</v>
      </c>
      <c r="O821" s="3">
        <f t="shared" si="3"/>
        <v>0</v>
      </c>
      <c r="P821" s="9">
        <f t="shared" si="1"/>
        <v>0</v>
      </c>
      <c r="Q821" s="5">
        <f t="shared" si="2"/>
        <v>-720</v>
      </c>
    </row>
    <row r="822">
      <c r="H822" s="3" t="str">
        <f>IFERROR(__xludf.DUMMYFUNCTION("IFERROR(TRIM(INDEX(SPLIT(E822,"" + ""),1)),"""")"),"")</f>
        <v/>
      </c>
      <c r="I822" s="3" t="str">
        <f>IFERROR(__xludf.DUMMYFUNCTION("IFERROR(TRIM(INDEX(SPLIT(E822,"" + ""),2)),"""")"),"")</f>
        <v/>
      </c>
      <c r="J822" s="5" t="str">
        <f>IFERROR(__xludf.DUMMYFUNCTION("IFERROR(TRIM(INDEX(SPLIT(E822,"" + ""),3)),"""")"),"")</f>
        <v/>
      </c>
      <c r="K822" s="3">
        <f>IFERROR(__xludf.DUMMYFUNCTION("IFERROR(IF(H822="""",0,INDEX(FILTER($Q$2:Q821,$C$2:C821=H822,$G$2:G821=G822),ROWS(FILTER($Q$2:Q821,$C$2:C821=H822,$G$2:G821=G822)),1)),1500)"),0.0)</f>
        <v>0</v>
      </c>
      <c r="L822" s="3">
        <f>IFERROR(__xludf.DUMMYFUNCTION("IFERROR(IF(I822="""",0,INDEX(FILTER($Q$2:Q821,$C$2:C821=I822,$G$2:G821=G822),ROWS(FILTER($Q$2:Q821,$C$2:C821=I822,$G$2:G821=G822)),1)),1500)"),0.0)</f>
        <v>0</v>
      </c>
      <c r="M822" s="3">
        <f>IFERROR(__xludf.DUMMYFUNCTION("IFERROR(IF(J822="""",0,INDEX(FILTER($Q$2:Q821,$C$2:C821=J822,$G$2:G821=G822),ROWS(FILTER($Q$2:Q821,$C$2:C821=J822,$G$2:G821=G822)),1)),1500)"),0.0)</f>
        <v>0</v>
      </c>
      <c r="N822" s="3">
        <f>IFERROR(__xludf.DUMMYFUNCTION("IFERROR(INDEX(FILTER($Q$2:Q821,$C$2:C821=C822,$G$2:G821=G822),ROWS(FILTER($Q$2:Q821,$C$2:C821=C822,$G$2:G821=G822)),1),1500)"),-720.0)</f>
        <v>-720</v>
      </c>
      <c r="O822" s="3">
        <f t="shared" si="3"/>
        <v>0</v>
      </c>
      <c r="P822" s="9">
        <f t="shared" si="1"/>
        <v>0</v>
      </c>
      <c r="Q822" s="5">
        <f t="shared" si="2"/>
        <v>-720</v>
      </c>
    </row>
    <row r="823">
      <c r="H823" s="3" t="str">
        <f>IFERROR(__xludf.DUMMYFUNCTION("IFERROR(TRIM(INDEX(SPLIT(E823,"" + ""),1)),"""")"),"")</f>
        <v/>
      </c>
      <c r="I823" s="3" t="str">
        <f>IFERROR(__xludf.DUMMYFUNCTION("IFERROR(TRIM(INDEX(SPLIT(E823,"" + ""),2)),"""")"),"")</f>
        <v/>
      </c>
      <c r="J823" s="5" t="str">
        <f>IFERROR(__xludf.DUMMYFUNCTION("IFERROR(TRIM(INDEX(SPLIT(E823,"" + ""),3)),"""")"),"")</f>
        <v/>
      </c>
      <c r="K823" s="3">
        <f>IFERROR(__xludf.DUMMYFUNCTION("IFERROR(IF(H823="""",0,INDEX(FILTER($Q$2:Q822,$C$2:C822=H823,$G$2:G822=G823),ROWS(FILTER($Q$2:Q822,$C$2:C822=H823,$G$2:G822=G823)),1)),1500)"),0.0)</f>
        <v>0</v>
      </c>
      <c r="L823" s="3">
        <f>IFERROR(__xludf.DUMMYFUNCTION("IFERROR(IF(I823="""",0,INDEX(FILTER($Q$2:Q822,$C$2:C822=I823,$G$2:G822=G823),ROWS(FILTER($Q$2:Q822,$C$2:C822=I823,$G$2:G822=G823)),1)),1500)"),0.0)</f>
        <v>0</v>
      </c>
      <c r="M823" s="3">
        <f>IFERROR(__xludf.DUMMYFUNCTION("IFERROR(IF(J823="""",0,INDEX(FILTER($Q$2:Q822,$C$2:C822=J823,$G$2:G822=G823),ROWS(FILTER($Q$2:Q822,$C$2:C822=J823,$G$2:G822=G823)),1)),1500)"),0.0)</f>
        <v>0</v>
      </c>
      <c r="N823" s="3">
        <f>IFERROR(__xludf.DUMMYFUNCTION("IFERROR(INDEX(FILTER($Q$2:Q822,$C$2:C822=C823,$G$2:G822=G823),ROWS(FILTER($Q$2:Q822,$C$2:C822=C823,$G$2:G822=G823)),1),1500)"),-720.0)</f>
        <v>-720</v>
      </c>
      <c r="O823" s="3">
        <f t="shared" si="3"/>
        <v>0</v>
      </c>
      <c r="P823" s="9">
        <f t="shared" si="1"/>
        <v>0</v>
      </c>
      <c r="Q823" s="5">
        <f t="shared" si="2"/>
        <v>-720</v>
      </c>
    </row>
    <row r="824">
      <c r="H824" s="3" t="str">
        <f>IFERROR(__xludf.DUMMYFUNCTION("IFERROR(TRIM(INDEX(SPLIT(E824,"" + ""),1)),"""")"),"")</f>
        <v/>
      </c>
      <c r="I824" s="3" t="str">
        <f>IFERROR(__xludf.DUMMYFUNCTION("IFERROR(TRIM(INDEX(SPLIT(E824,"" + ""),2)),"""")"),"")</f>
        <v/>
      </c>
      <c r="J824" s="5" t="str">
        <f>IFERROR(__xludf.DUMMYFUNCTION("IFERROR(TRIM(INDEX(SPLIT(E824,"" + ""),3)),"""")"),"")</f>
        <v/>
      </c>
      <c r="K824" s="3">
        <f>IFERROR(__xludf.DUMMYFUNCTION("IFERROR(IF(H824="""",0,INDEX(FILTER($Q$2:Q823,$C$2:C823=H824,$G$2:G823=G824),ROWS(FILTER($Q$2:Q823,$C$2:C823=H824,$G$2:G823=G824)),1)),1500)"),0.0)</f>
        <v>0</v>
      </c>
      <c r="L824" s="3">
        <f>IFERROR(__xludf.DUMMYFUNCTION("IFERROR(IF(I824="""",0,INDEX(FILTER($Q$2:Q823,$C$2:C823=I824,$G$2:G823=G824),ROWS(FILTER($Q$2:Q823,$C$2:C823=I824,$G$2:G823=G824)),1)),1500)"),0.0)</f>
        <v>0</v>
      </c>
      <c r="M824" s="3">
        <f>IFERROR(__xludf.DUMMYFUNCTION("IFERROR(IF(J824="""",0,INDEX(FILTER($Q$2:Q823,$C$2:C823=J824,$G$2:G823=G824),ROWS(FILTER($Q$2:Q823,$C$2:C823=J824,$G$2:G823=G824)),1)),1500)"),0.0)</f>
        <v>0</v>
      </c>
      <c r="N824" s="3">
        <f>IFERROR(__xludf.DUMMYFUNCTION("IFERROR(INDEX(FILTER($Q$2:Q823,$C$2:C823=C824,$G$2:G823=G824),ROWS(FILTER($Q$2:Q823,$C$2:C823=C824,$G$2:G823=G824)),1),1500)"),-720.0)</f>
        <v>-720</v>
      </c>
      <c r="O824" s="3">
        <f t="shared" si="3"/>
        <v>0</v>
      </c>
      <c r="P824" s="9">
        <f t="shared" si="1"/>
        <v>0</v>
      </c>
      <c r="Q824" s="5">
        <f t="shared" si="2"/>
        <v>-720</v>
      </c>
    </row>
    <row r="825">
      <c r="H825" s="3" t="str">
        <f>IFERROR(__xludf.DUMMYFUNCTION("IFERROR(TRIM(INDEX(SPLIT(E825,"" + ""),1)),"""")"),"")</f>
        <v/>
      </c>
      <c r="I825" s="3" t="str">
        <f>IFERROR(__xludf.DUMMYFUNCTION("IFERROR(TRIM(INDEX(SPLIT(E825,"" + ""),2)),"""")"),"")</f>
        <v/>
      </c>
      <c r="J825" s="5" t="str">
        <f>IFERROR(__xludf.DUMMYFUNCTION("IFERROR(TRIM(INDEX(SPLIT(E825,"" + ""),3)),"""")"),"")</f>
        <v/>
      </c>
      <c r="K825" s="3">
        <f>IFERROR(__xludf.DUMMYFUNCTION("IFERROR(IF(H825="""",0,INDEX(FILTER($Q$2:Q824,$C$2:C824=H825,$G$2:G824=G825),ROWS(FILTER($Q$2:Q824,$C$2:C824=H825,$G$2:G824=G825)),1)),1500)"),0.0)</f>
        <v>0</v>
      </c>
      <c r="L825" s="3">
        <f>IFERROR(__xludf.DUMMYFUNCTION("IFERROR(IF(I825="""",0,INDEX(FILTER($Q$2:Q824,$C$2:C824=I825,$G$2:G824=G825),ROWS(FILTER($Q$2:Q824,$C$2:C824=I825,$G$2:G824=G825)),1)),1500)"),0.0)</f>
        <v>0</v>
      </c>
      <c r="M825" s="3">
        <f>IFERROR(__xludf.DUMMYFUNCTION("IFERROR(IF(J825="""",0,INDEX(FILTER($Q$2:Q824,$C$2:C824=J825,$G$2:G824=G825),ROWS(FILTER($Q$2:Q824,$C$2:C824=J825,$G$2:G824=G825)),1)),1500)"),0.0)</f>
        <v>0</v>
      </c>
      <c r="N825" s="3">
        <f>IFERROR(__xludf.DUMMYFUNCTION("IFERROR(INDEX(FILTER($Q$2:Q824,$C$2:C824=C825,$G$2:G824=G825),ROWS(FILTER($Q$2:Q824,$C$2:C824=C825,$G$2:G824=G825)),1),1500)"),-720.0)</f>
        <v>-720</v>
      </c>
      <c r="O825" s="3">
        <f t="shared" si="3"/>
        <v>0</v>
      </c>
      <c r="P825" s="9">
        <f t="shared" si="1"/>
        <v>0</v>
      </c>
      <c r="Q825" s="5">
        <f t="shared" si="2"/>
        <v>-720</v>
      </c>
    </row>
    <row r="826">
      <c r="H826" s="3" t="str">
        <f>IFERROR(__xludf.DUMMYFUNCTION("IFERROR(TRIM(INDEX(SPLIT(E826,"" + ""),1)),"""")"),"")</f>
        <v/>
      </c>
      <c r="I826" s="3" t="str">
        <f>IFERROR(__xludf.DUMMYFUNCTION("IFERROR(TRIM(INDEX(SPLIT(E826,"" + ""),2)),"""")"),"")</f>
        <v/>
      </c>
      <c r="J826" s="5" t="str">
        <f>IFERROR(__xludf.DUMMYFUNCTION("IFERROR(TRIM(INDEX(SPLIT(E826,"" + ""),3)),"""")"),"")</f>
        <v/>
      </c>
      <c r="K826" s="3">
        <f>IFERROR(__xludf.DUMMYFUNCTION("IFERROR(IF(H826="""",0,INDEX(FILTER($Q$2:Q825,$C$2:C825=H826,$G$2:G825=G826),ROWS(FILTER($Q$2:Q825,$C$2:C825=H826,$G$2:G825=G826)),1)),1500)"),0.0)</f>
        <v>0</v>
      </c>
      <c r="L826" s="3">
        <f>IFERROR(__xludf.DUMMYFUNCTION("IFERROR(IF(I826="""",0,INDEX(FILTER($Q$2:Q825,$C$2:C825=I826,$G$2:G825=G826),ROWS(FILTER($Q$2:Q825,$C$2:C825=I826,$G$2:G825=G826)),1)),1500)"),0.0)</f>
        <v>0</v>
      </c>
      <c r="M826" s="3">
        <f>IFERROR(__xludf.DUMMYFUNCTION("IFERROR(IF(J826="""",0,INDEX(FILTER($Q$2:Q825,$C$2:C825=J826,$G$2:G825=G826),ROWS(FILTER($Q$2:Q825,$C$2:C825=J826,$G$2:G825=G826)),1)),1500)"),0.0)</f>
        <v>0</v>
      </c>
      <c r="N826" s="3">
        <f>IFERROR(__xludf.DUMMYFUNCTION("IFERROR(INDEX(FILTER($Q$2:Q825,$C$2:C825=C826,$G$2:G825=G826),ROWS(FILTER($Q$2:Q825,$C$2:C825=C826,$G$2:G825=G826)),1),1500)"),-720.0)</f>
        <v>-720</v>
      </c>
      <c r="O826" s="3">
        <f t="shared" si="3"/>
        <v>0</v>
      </c>
      <c r="P826" s="9">
        <f t="shared" si="1"/>
        <v>0</v>
      </c>
      <c r="Q826" s="5">
        <f t="shared" si="2"/>
        <v>-720</v>
      </c>
    </row>
    <row r="827">
      <c r="H827" s="3" t="str">
        <f>IFERROR(__xludf.DUMMYFUNCTION("IFERROR(TRIM(INDEX(SPLIT(E827,"" + ""),1)),"""")"),"")</f>
        <v/>
      </c>
      <c r="I827" s="3" t="str">
        <f>IFERROR(__xludf.DUMMYFUNCTION("IFERROR(TRIM(INDEX(SPLIT(E827,"" + ""),2)),"""")"),"")</f>
        <v/>
      </c>
      <c r="J827" s="5" t="str">
        <f>IFERROR(__xludf.DUMMYFUNCTION("IFERROR(TRIM(INDEX(SPLIT(E827,"" + ""),3)),"""")"),"")</f>
        <v/>
      </c>
      <c r="K827" s="3">
        <f>IFERROR(__xludf.DUMMYFUNCTION("IFERROR(IF(H827="""",0,INDEX(FILTER($Q$2:Q826,$C$2:C826=H827,$G$2:G826=G827),ROWS(FILTER($Q$2:Q826,$C$2:C826=H827,$G$2:G826=G827)),1)),1500)"),0.0)</f>
        <v>0</v>
      </c>
      <c r="L827" s="3">
        <f>IFERROR(__xludf.DUMMYFUNCTION("IFERROR(IF(I827="""",0,INDEX(FILTER($Q$2:Q826,$C$2:C826=I827,$G$2:G826=G827),ROWS(FILTER($Q$2:Q826,$C$2:C826=I827,$G$2:G826=G827)),1)),1500)"),0.0)</f>
        <v>0</v>
      </c>
      <c r="M827" s="3">
        <f>IFERROR(__xludf.DUMMYFUNCTION("IFERROR(IF(J827="""",0,INDEX(FILTER($Q$2:Q826,$C$2:C826=J827,$G$2:G826=G827),ROWS(FILTER($Q$2:Q826,$C$2:C826=J827,$G$2:G826=G827)),1)),1500)"),0.0)</f>
        <v>0</v>
      </c>
      <c r="N827" s="3">
        <f>IFERROR(__xludf.DUMMYFUNCTION("IFERROR(INDEX(FILTER($Q$2:Q826,$C$2:C826=C827,$G$2:G826=G827),ROWS(FILTER($Q$2:Q826,$C$2:C826=C827,$G$2:G826=G827)),1),1500)"),-720.0)</f>
        <v>-720</v>
      </c>
      <c r="O827" s="3">
        <f t="shared" si="3"/>
        <v>0</v>
      </c>
      <c r="P827" s="9">
        <f t="shared" si="1"/>
        <v>0</v>
      </c>
      <c r="Q827" s="5">
        <f t="shared" si="2"/>
        <v>-720</v>
      </c>
    </row>
    <row r="828">
      <c r="H828" s="3" t="str">
        <f>IFERROR(__xludf.DUMMYFUNCTION("IFERROR(TRIM(INDEX(SPLIT(E828,"" + ""),1)),"""")"),"")</f>
        <v/>
      </c>
      <c r="I828" s="3" t="str">
        <f>IFERROR(__xludf.DUMMYFUNCTION("IFERROR(TRIM(INDEX(SPLIT(E828,"" + ""),2)),"""")"),"")</f>
        <v/>
      </c>
      <c r="J828" s="5" t="str">
        <f>IFERROR(__xludf.DUMMYFUNCTION("IFERROR(TRIM(INDEX(SPLIT(E828,"" + ""),3)),"""")"),"")</f>
        <v/>
      </c>
      <c r="K828" s="3">
        <f>IFERROR(__xludf.DUMMYFUNCTION("IFERROR(IF(H828="""",0,INDEX(FILTER($Q$2:Q827,$C$2:C827=H828,$G$2:G827=G828),ROWS(FILTER($Q$2:Q827,$C$2:C827=H828,$G$2:G827=G828)),1)),1500)"),0.0)</f>
        <v>0</v>
      </c>
      <c r="L828" s="3">
        <f>IFERROR(__xludf.DUMMYFUNCTION("IFERROR(IF(I828="""",0,INDEX(FILTER($Q$2:Q827,$C$2:C827=I828,$G$2:G827=G828),ROWS(FILTER($Q$2:Q827,$C$2:C827=I828,$G$2:G827=G828)),1)),1500)"),0.0)</f>
        <v>0</v>
      </c>
      <c r="M828" s="3">
        <f>IFERROR(__xludf.DUMMYFUNCTION("IFERROR(IF(J828="""",0,INDEX(FILTER($Q$2:Q827,$C$2:C827=J828,$G$2:G827=G828),ROWS(FILTER($Q$2:Q827,$C$2:C827=J828,$G$2:G827=G828)),1)),1500)"),0.0)</f>
        <v>0</v>
      </c>
      <c r="N828" s="3">
        <f>IFERROR(__xludf.DUMMYFUNCTION("IFERROR(INDEX(FILTER($Q$2:Q827,$C$2:C827=C828,$G$2:G827=G828),ROWS(FILTER($Q$2:Q827,$C$2:C827=C828,$G$2:G827=G828)),1),1500)"),-720.0)</f>
        <v>-720</v>
      </c>
      <c r="O828" s="3">
        <f t="shared" si="3"/>
        <v>0</v>
      </c>
      <c r="P828" s="9">
        <f t="shared" si="1"/>
        <v>0</v>
      </c>
      <c r="Q828" s="5">
        <f t="shared" si="2"/>
        <v>-720</v>
      </c>
    </row>
    <row r="829">
      <c r="H829" s="3" t="str">
        <f>IFERROR(__xludf.DUMMYFUNCTION("IFERROR(TRIM(INDEX(SPLIT(E829,"" + ""),1)),"""")"),"")</f>
        <v/>
      </c>
      <c r="I829" s="3" t="str">
        <f>IFERROR(__xludf.DUMMYFUNCTION("IFERROR(TRIM(INDEX(SPLIT(E829,"" + ""),2)),"""")"),"")</f>
        <v/>
      </c>
      <c r="J829" s="5" t="str">
        <f>IFERROR(__xludf.DUMMYFUNCTION("IFERROR(TRIM(INDEX(SPLIT(E829,"" + ""),3)),"""")"),"")</f>
        <v/>
      </c>
      <c r="K829" s="3">
        <f>IFERROR(__xludf.DUMMYFUNCTION("IFERROR(IF(H829="""",0,INDEX(FILTER($Q$2:Q828,$C$2:C828=H829,$G$2:G828=G829),ROWS(FILTER($Q$2:Q828,$C$2:C828=H829,$G$2:G828=G829)),1)),1500)"),0.0)</f>
        <v>0</v>
      </c>
      <c r="L829" s="3">
        <f>IFERROR(__xludf.DUMMYFUNCTION("IFERROR(IF(I829="""",0,INDEX(FILTER($Q$2:Q828,$C$2:C828=I829,$G$2:G828=G829),ROWS(FILTER($Q$2:Q828,$C$2:C828=I829,$G$2:G828=G829)),1)),1500)"),0.0)</f>
        <v>0</v>
      </c>
      <c r="M829" s="3">
        <f>IFERROR(__xludf.DUMMYFUNCTION("IFERROR(IF(J829="""",0,INDEX(FILTER($Q$2:Q828,$C$2:C828=J829,$G$2:G828=G829),ROWS(FILTER($Q$2:Q828,$C$2:C828=J829,$G$2:G828=G829)),1)),1500)"),0.0)</f>
        <v>0</v>
      </c>
      <c r="N829" s="3">
        <f>IFERROR(__xludf.DUMMYFUNCTION("IFERROR(INDEX(FILTER($Q$2:Q828,$C$2:C828=C829,$G$2:G828=G829),ROWS(FILTER($Q$2:Q828,$C$2:C828=C829,$G$2:G828=G829)),1),1500)"),-720.0)</f>
        <v>-720</v>
      </c>
      <c r="O829" s="3">
        <f t="shared" si="3"/>
        <v>0</v>
      </c>
      <c r="P829" s="9">
        <f t="shared" si="1"/>
        <v>0</v>
      </c>
      <c r="Q829" s="5">
        <f t="shared" si="2"/>
        <v>-720</v>
      </c>
    </row>
    <row r="830">
      <c r="H830" s="3" t="str">
        <f>IFERROR(__xludf.DUMMYFUNCTION("IFERROR(TRIM(INDEX(SPLIT(E830,"" + ""),1)),"""")"),"")</f>
        <v/>
      </c>
      <c r="I830" s="3" t="str">
        <f>IFERROR(__xludf.DUMMYFUNCTION("IFERROR(TRIM(INDEX(SPLIT(E830,"" + ""),2)),"""")"),"")</f>
        <v/>
      </c>
      <c r="J830" s="5" t="str">
        <f>IFERROR(__xludf.DUMMYFUNCTION("IFERROR(TRIM(INDEX(SPLIT(E830,"" + ""),3)),"""")"),"")</f>
        <v/>
      </c>
      <c r="K830" s="3">
        <f>IFERROR(__xludf.DUMMYFUNCTION("IFERROR(IF(H830="""",0,INDEX(FILTER($Q$2:Q829,$C$2:C829=H830,$G$2:G829=G830),ROWS(FILTER($Q$2:Q829,$C$2:C829=H830,$G$2:G829=G830)),1)),1500)"),0.0)</f>
        <v>0</v>
      </c>
      <c r="L830" s="3">
        <f>IFERROR(__xludf.DUMMYFUNCTION("IFERROR(IF(I830="""",0,INDEX(FILTER($Q$2:Q829,$C$2:C829=I830,$G$2:G829=G830),ROWS(FILTER($Q$2:Q829,$C$2:C829=I830,$G$2:G829=G830)),1)),1500)"),0.0)</f>
        <v>0</v>
      </c>
      <c r="M830" s="3">
        <f>IFERROR(__xludf.DUMMYFUNCTION("IFERROR(IF(J830="""",0,INDEX(FILTER($Q$2:Q829,$C$2:C829=J830,$G$2:G829=G830),ROWS(FILTER($Q$2:Q829,$C$2:C829=J830,$G$2:G829=G830)),1)),1500)"),0.0)</f>
        <v>0</v>
      </c>
      <c r="N830" s="3">
        <f>IFERROR(__xludf.DUMMYFUNCTION("IFERROR(INDEX(FILTER($Q$2:Q829,$C$2:C829=C830,$G$2:G829=G830),ROWS(FILTER($Q$2:Q829,$C$2:C829=C830,$G$2:G829=G830)),1),1500)"),-720.0)</f>
        <v>-720</v>
      </c>
      <c r="O830" s="3">
        <f t="shared" si="3"/>
        <v>0</v>
      </c>
      <c r="P830" s="9">
        <f t="shared" si="1"/>
        <v>0</v>
      </c>
      <c r="Q830" s="5">
        <f t="shared" si="2"/>
        <v>-720</v>
      </c>
    </row>
    <row r="831">
      <c r="H831" s="3" t="str">
        <f>IFERROR(__xludf.DUMMYFUNCTION("IFERROR(TRIM(INDEX(SPLIT(E831,"" + ""),1)),"""")"),"")</f>
        <v/>
      </c>
      <c r="I831" s="3" t="str">
        <f>IFERROR(__xludf.DUMMYFUNCTION("IFERROR(TRIM(INDEX(SPLIT(E831,"" + ""),2)),"""")"),"")</f>
        <v/>
      </c>
      <c r="J831" s="5" t="str">
        <f>IFERROR(__xludf.DUMMYFUNCTION("IFERROR(TRIM(INDEX(SPLIT(E831,"" + ""),3)),"""")"),"")</f>
        <v/>
      </c>
      <c r="K831" s="3">
        <f>IFERROR(__xludf.DUMMYFUNCTION("IFERROR(IF(H831="""",0,INDEX(FILTER($Q$2:Q830,$C$2:C830=H831,$G$2:G830=G831),ROWS(FILTER($Q$2:Q830,$C$2:C830=H831,$G$2:G830=G831)),1)),1500)"),0.0)</f>
        <v>0</v>
      </c>
      <c r="L831" s="3">
        <f>IFERROR(__xludf.DUMMYFUNCTION("IFERROR(IF(I831="""",0,INDEX(FILTER($Q$2:Q830,$C$2:C830=I831,$G$2:G830=G831),ROWS(FILTER($Q$2:Q830,$C$2:C830=I831,$G$2:G830=G831)),1)),1500)"),0.0)</f>
        <v>0</v>
      </c>
      <c r="M831" s="3">
        <f>IFERROR(__xludf.DUMMYFUNCTION("IFERROR(IF(J831="""",0,INDEX(FILTER($Q$2:Q830,$C$2:C830=J831,$G$2:G830=G831),ROWS(FILTER($Q$2:Q830,$C$2:C830=J831,$G$2:G830=G831)),1)),1500)"),0.0)</f>
        <v>0</v>
      </c>
      <c r="N831" s="3">
        <f>IFERROR(__xludf.DUMMYFUNCTION("IFERROR(INDEX(FILTER($Q$2:Q830,$C$2:C830=C831,$G$2:G830=G831),ROWS(FILTER($Q$2:Q830,$C$2:C830=C831,$G$2:G830=G831)),1),1500)"),-720.0)</f>
        <v>-720</v>
      </c>
      <c r="O831" s="3">
        <f t="shared" si="3"/>
        <v>0</v>
      </c>
      <c r="P831" s="9">
        <f t="shared" si="1"/>
        <v>0</v>
      </c>
      <c r="Q831" s="5">
        <f t="shared" si="2"/>
        <v>-720</v>
      </c>
    </row>
    <row r="832">
      <c r="H832" s="3" t="str">
        <f>IFERROR(__xludf.DUMMYFUNCTION("IFERROR(TRIM(INDEX(SPLIT(E832,"" + ""),1)),"""")"),"")</f>
        <v/>
      </c>
      <c r="I832" s="3" t="str">
        <f>IFERROR(__xludf.DUMMYFUNCTION("IFERROR(TRIM(INDEX(SPLIT(E832,"" + ""),2)),"""")"),"")</f>
        <v/>
      </c>
      <c r="J832" s="5" t="str">
        <f>IFERROR(__xludf.DUMMYFUNCTION("IFERROR(TRIM(INDEX(SPLIT(E832,"" + ""),3)),"""")"),"")</f>
        <v/>
      </c>
      <c r="K832" s="3">
        <f>IFERROR(__xludf.DUMMYFUNCTION("IFERROR(IF(H832="""",0,INDEX(FILTER($Q$2:Q831,$C$2:C831=H832,$G$2:G831=G832),ROWS(FILTER($Q$2:Q831,$C$2:C831=H832,$G$2:G831=G832)),1)),1500)"),0.0)</f>
        <v>0</v>
      </c>
      <c r="L832" s="3">
        <f>IFERROR(__xludf.DUMMYFUNCTION("IFERROR(IF(I832="""",0,INDEX(FILTER($Q$2:Q831,$C$2:C831=I832,$G$2:G831=G832),ROWS(FILTER($Q$2:Q831,$C$2:C831=I832,$G$2:G831=G832)),1)),1500)"),0.0)</f>
        <v>0</v>
      </c>
      <c r="M832" s="3">
        <f>IFERROR(__xludf.DUMMYFUNCTION("IFERROR(IF(J832="""",0,INDEX(FILTER($Q$2:Q831,$C$2:C831=J832,$G$2:G831=G832),ROWS(FILTER($Q$2:Q831,$C$2:C831=J832,$G$2:G831=G832)),1)),1500)"),0.0)</f>
        <v>0</v>
      </c>
      <c r="N832" s="3">
        <f>IFERROR(__xludf.DUMMYFUNCTION("IFERROR(INDEX(FILTER($Q$2:Q831,$C$2:C831=C832,$G$2:G831=G832),ROWS(FILTER($Q$2:Q831,$C$2:C831=C832,$G$2:G831=G832)),1),1500)"),-720.0)</f>
        <v>-720</v>
      </c>
      <c r="O832" s="3">
        <f t="shared" si="3"/>
        <v>0</v>
      </c>
      <c r="P832" s="9">
        <f t="shared" si="1"/>
        <v>0</v>
      </c>
      <c r="Q832" s="5">
        <f t="shared" si="2"/>
        <v>-720</v>
      </c>
    </row>
    <row r="833">
      <c r="H833" s="3" t="str">
        <f>IFERROR(__xludf.DUMMYFUNCTION("IFERROR(TRIM(INDEX(SPLIT(E833,"" + ""),1)),"""")"),"")</f>
        <v/>
      </c>
      <c r="I833" s="3" t="str">
        <f>IFERROR(__xludf.DUMMYFUNCTION("IFERROR(TRIM(INDEX(SPLIT(E833,"" + ""),2)),"""")"),"")</f>
        <v/>
      </c>
      <c r="J833" s="5" t="str">
        <f>IFERROR(__xludf.DUMMYFUNCTION("IFERROR(TRIM(INDEX(SPLIT(E833,"" + ""),3)),"""")"),"")</f>
        <v/>
      </c>
      <c r="K833" s="3">
        <f>IFERROR(__xludf.DUMMYFUNCTION("IFERROR(IF(H833="""",0,INDEX(FILTER($Q$2:Q832,$C$2:C832=H833,$G$2:G832=G833),ROWS(FILTER($Q$2:Q832,$C$2:C832=H833,$G$2:G832=G833)),1)),1500)"),0.0)</f>
        <v>0</v>
      </c>
      <c r="L833" s="3">
        <f>IFERROR(__xludf.DUMMYFUNCTION("IFERROR(IF(I833="""",0,INDEX(FILTER($Q$2:Q832,$C$2:C832=I833,$G$2:G832=G833),ROWS(FILTER($Q$2:Q832,$C$2:C832=I833,$G$2:G832=G833)),1)),1500)"),0.0)</f>
        <v>0</v>
      </c>
      <c r="M833" s="3">
        <f>IFERROR(__xludf.DUMMYFUNCTION("IFERROR(IF(J833="""",0,INDEX(FILTER($Q$2:Q832,$C$2:C832=J833,$G$2:G832=G833),ROWS(FILTER($Q$2:Q832,$C$2:C832=J833,$G$2:G832=G833)),1)),1500)"),0.0)</f>
        <v>0</v>
      </c>
      <c r="N833" s="3">
        <f>IFERROR(__xludf.DUMMYFUNCTION("IFERROR(INDEX(FILTER($Q$2:Q832,$C$2:C832=C833,$G$2:G832=G833),ROWS(FILTER($Q$2:Q832,$C$2:C832=C833,$G$2:G832=G833)),1),1500)"),-720.0)</f>
        <v>-720</v>
      </c>
      <c r="O833" s="3">
        <f t="shared" si="3"/>
        <v>0</v>
      </c>
      <c r="P833" s="9">
        <f t="shared" si="1"/>
        <v>0</v>
      </c>
      <c r="Q833" s="5">
        <f t="shared" si="2"/>
        <v>-720</v>
      </c>
    </row>
    <row r="834">
      <c r="H834" s="3" t="str">
        <f>IFERROR(__xludf.DUMMYFUNCTION("IFERROR(TRIM(INDEX(SPLIT(E834,"" + ""),1)),"""")"),"")</f>
        <v/>
      </c>
      <c r="I834" s="3" t="str">
        <f>IFERROR(__xludf.DUMMYFUNCTION("IFERROR(TRIM(INDEX(SPLIT(E834,"" + ""),2)),"""")"),"")</f>
        <v/>
      </c>
      <c r="J834" s="5" t="str">
        <f>IFERROR(__xludf.DUMMYFUNCTION("IFERROR(TRIM(INDEX(SPLIT(E834,"" + ""),3)),"""")"),"")</f>
        <v/>
      </c>
      <c r="K834" s="3">
        <f>IFERROR(__xludf.DUMMYFUNCTION("IFERROR(IF(H834="""",0,INDEX(FILTER($Q$2:Q833,$C$2:C833=H834,$G$2:G833=G834),ROWS(FILTER($Q$2:Q833,$C$2:C833=H834,$G$2:G833=G834)),1)),1500)"),0.0)</f>
        <v>0</v>
      </c>
      <c r="L834" s="3">
        <f>IFERROR(__xludf.DUMMYFUNCTION("IFERROR(IF(I834="""",0,INDEX(FILTER($Q$2:Q833,$C$2:C833=I834,$G$2:G833=G834),ROWS(FILTER($Q$2:Q833,$C$2:C833=I834,$G$2:G833=G834)),1)),1500)"),0.0)</f>
        <v>0</v>
      </c>
      <c r="M834" s="3">
        <f>IFERROR(__xludf.DUMMYFUNCTION("IFERROR(IF(J834="""",0,INDEX(FILTER($Q$2:Q833,$C$2:C833=J834,$G$2:G833=G834),ROWS(FILTER($Q$2:Q833,$C$2:C833=J834,$G$2:G833=G834)),1)),1500)"),0.0)</f>
        <v>0</v>
      </c>
      <c r="N834" s="3">
        <f>IFERROR(__xludf.DUMMYFUNCTION("IFERROR(INDEX(FILTER($Q$2:Q833,$C$2:C833=C834,$G$2:G833=G834),ROWS(FILTER($Q$2:Q833,$C$2:C833=C834,$G$2:G833=G834)),1),1500)"),-720.0)</f>
        <v>-720</v>
      </c>
      <c r="O834" s="3">
        <f t="shared" si="3"/>
        <v>0</v>
      </c>
      <c r="P834" s="9">
        <f t="shared" si="1"/>
        <v>0</v>
      </c>
      <c r="Q834" s="5">
        <f t="shared" si="2"/>
        <v>-720</v>
      </c>
    </row>
    <row r="835">
      <c r="H835" s="3" t="str">
        <f>IFERROR(__xludf.DUMMYFUNCTION("IFERROR(TRIM(INDEX(SPLIT(E835,"" + ""),1)),"""")"),"")</f>
        <v/>
      </c>
      <c r="I835" s="3" t="str">
        <f>IFERROR(__xludf.DUMMYFUNCTION("IFERROR(TRIM(INDEX(SPLIT(E835,"" + ""),2)),"""")"),"")</f>
        <v/>
      </c>
      <c r="J835" s="5" t="str">
        <f>IFERROR(__xludf.DUMMYFUNCTION("IFERROR(TRIM(INDEX(SPLIT(E835,"" + ""),3)),"""")"),"")</f>
        <v/>
      </c>
      <c r="K835" s="3">
        <f>IFERROR(__xludf.DUMMYFUNCTION("IFERROR(IF(H835="""",0,INDEX(FILTER($Q$2:Q834,$C$2:C834=H835,$G$2:G834=G835),ROWS(FILTER($Q$2:Q834,$C$2:C834=H835,$G$2:G834=G835)),1)),1500)"),0.0)</f>
        <v>0</v>
      </c>
      <c r="L835" s="3">
        <f>IFERROR(__xludf.DUMMYFUNCTION("IFERROR(IF(I835="""",0,INDEX(FILTER($Q$2:Q834,$C$2:C834=I835,$G$2:G834=G835),ROWS(FILTER($Q$2:Q834,$C$2:C834=I835,$G$2:G834=G835)),1)),1500)"),0.0)</f>
        <v>0</v>
      </c>
      <c r="M835" s="3">
        <f>IFERROR(__xludf.DUMMYFUNCTION("IFERROR(IF(J835="""",0,INDEX(FILTER($Q$2:Q834,$C$2:C834=J835,$G$2:G834=G835),ROWS(FILTER($Q$2:Q834,$C$2:C834=J835,$G$2:G834=G835)),1)),1500)"),0.0)</f>
        <v>0</v>
      </c>
      <c r="N835" s="3">
        <f>IFERROR(__xludf.DUMMYFUNCTION("IFERROR(INDEX(FILTER($Q$2:Q834,$C$2:C834=C835,$G$2:G834=G835),ROWS(FILTER($Q$2:Q834,$C$2:C834=C835,$G$2:G834=G835)),1),1500)"),-720.0)</f>
        <v>-720</v>
      </c>
      <c r="O835" s="3">
        <f t="shared" si="3"/>
        <v>0</v>
      </c>
      <c r="P835" s="9">
        <f t="shared" si="1"/>
        <v>0</v>
      </c>
      <c r="Q835" s="5">
        <f t="shared" si="2"/>
        <v>-720</v>
      </c>
    </row>
    <row r="836">
      <c r="H836" s="3" t="str">
        <f>IFERROR(__xludf.DUMMYFUNCTION("IFERROR(TRIM(INDEX(SPLIT(E836,"" + ""),1)),"""")"),"")</f>
        <v/>
      </c>
      <c r="I836" s="3" t="str">
        <f>IFERROR(__xludf.DUMMYFUNCTION("IFERROR(TRIM(INDEX(SPLIT(E836,"" + ""),2)),"""")"),"")</f>
        <v/>
      </c>
      <c r="J836" s="5" t="str">
        <f>IFERROR(__xludf.DUMMYFUNCTION("IFERROR(TRIM(INDEX(SPLIT(E836,"" + ""),3)),"""")"),"")</f>
        <v/>
      </c>
      <c r="K836" s="3">
        <f>IFERROR(__xludf.DUMMYFUNCTION("IFERROR(IF(H836="""",0,INDEX(FILTER($Q$2:Q835,$C$2:C835=H836,$G$2:G835=G836),ROWS(FILTER($Q$2:Q835,$C$2:C835=H836,$G$2:G835=G836)),1)),1500)"),0.0)</f>
        <v>0</v>
      </c>
      <c r="L836" s="3">
        <f>IFERROR(__xludf.DUMMYFUNCTION("IFERROR(IF(I836="""",0,INDEX(FILTER($Q$2:Q835,$C$2:C835=I836,$G$2:G835=G836),ROWS(FILTER($Q$2:Q835,$C$2:C835=I836,$G$2:G835=G836)),1)),1500)"),0.0)</f>
        <v>0</v>
      </c>
      <c r="M836" s="3">
        <f>IFERROR(__xludf.DUMMYFUNCTION("IFERROR(IF(J836="""",0,INDEX(FILTER($Q$2:Q835,$C$2:C835=J836,$G$2:G835=G836),ROWS(FILTER($Q$2:Q835,$C$2:C835=J836,$G$2:G835=G836)),1)),1500)"),0.0)</f>
        <v>0</v>
      </c>
      <c r="N836" s="3">
        <f>IFERROR(__xludf.DUMMYFUNCTION("IFERROR(INDEX(FILTER($Q$2:Q835,$C$2:C835=C836,$G$2:G835=G836),ROWS(FILTER($Q$2:Q835,$C$2:C835=C836,$G$2:G835=G836)),1),1500)"),-720.0)</f>
        <v>-720</v>
      </c>
      <c r="O836" s="3">
        <f t="shared" si="3"/>
        <v>0</v>
      </c>
      <c r="P836" s="9">
        <f t="shared" si="1"/>
        <v>0</v>
      </c>
      <c r="Q836" s="5">
        <f t="shared" si="2"/>
        <v>-720</v>
      </c>
    </row>
    <row r="837">
      <c r="H837" s="3" t="str">
        <f>IFERROR(__xludf.DUMMYFUNCTION("IFERROR(TRIM(INDEX(SPLIT(E837,"" + ""),1)),"""")"),"")</f>
        <v/>
      </c>
      <c r="I837" s="3" t="str">
        <f>IFERROR(__xludf.DUMMYFUNCTION("IFERROR(TRIM(INDEX(SPLIT(E837,"" + ""),2)),"""")"),"")</f>
        <v/>
      </c>
      <c r="J837" s="5" t="str">
        <f>IFERROR(__xludf.DUMMYFUNCTION("IFERROR(TRIM(INDEX(SPLIT(E837,"" + ""),3)),"""")"),"")</f>
        <v/>
      </c>
      <c r="K837" s="3">
        <f>IFERROR(__xludf.DUMMYFUNCTION("IFERROR(IF(H837="""",0,INDEX(FILTER($Q$2:Q836,$C$2:C836=H837,$G$2:G836=G837),ROWS(FILTER($Q$2:Q836,$C$2:C836=H837,$G$2:G836=G837)),1)),1500)"),0.0)</f>
        <v>0</v>
      </c>
      <c r="L837" s="3">
        <f>IFERROR(__xludf.DUMMYFUNCTION("IFERROR(IF(I837="""",0,INDEX(FILTER($Q$2:Q836,$C$2:C836=I837,$G$2:G836=G837),ROWS(FILTER($Q$2:Q836,$C$2:C836=I837,$G$2:G836=G837)),1)),1500)"),0.0)</f>
        <v>0</v>
      </c>
      <c r="M837" s="3">
        <f>IFERROR(__xludf.DUMMYFUNCTION("IFERROR(IF(J837="""",0,INDEX(FILTER($Q$2:Q836,$C$2:C836=J837,$G$2:G836=G837),ROWS(FILTER($Q$2:Q836,$C$2:C836=J837,$G$2:G836=G837)),1)),1500)"),0.0)</f>
        <v>0</v>
      </c>
      <c r="N837" s="3">
        <f>IFERROR(__xludf.DUMMYFUNCTION("IFERROR(INDEX(FILTER($Q$2:Q836,$C$2:C836=C837,$G$2:G836=G837),ROWS(FILTER($Q$2:Q836,$C$2:C836=C837,$G$2:G836=G837)),1),1500)"),-720.0)</f>
        <v>-720</v>
      </c>
      <c r="O837" s="3">
        <f t="shared" si="3"/>
        <v>0</v>
      </c>
      <c r="P837" s="9">
        <f t="shared" si="1"/>
        <v>0</v>
      </c>
      <c r="Q837" s="5">
        <f t="shared" si="2"/>
        <v>-720</v>
      </c>
    </row>
    <row r="838">
      <c r="H838" s="3" t="str">
        <f>IFERROR(__xludf.DUMMYFUNCTION("IFERROR(TRIM(INDEX(SPLIT(E838,"" + ""),1)),"""")"),"")</f>
        <v/>
      </c>
      <c r="I838" s="3" t="str">
        <f>IFERROR(__xludf.DUMMYFUNCTION("IFERROR(TRIM(INDEX(SPLIT(E838,"" + ""),2)),"""")"),"")</f>
        <v/>
      </c>
      <c r="J838" s="5" t="str">
        <f>IFERROR(__xludf.DUMMYFUNCTION("IFERROR(TRIM(INDEX(SPLIT(E838,"" + ""),3)),"""")"),"")</f>
        <v/>
      </c>
      <c r="K838" s="3">
        <f>IFERROR(__xludf.DUMMYFUNCTION("IFERROR(IF(H838="""",0,INDEX(FILTER($Q$2:Q837,$C$2:C837=H838,$G$2:G837=G838),ROWS(FILTER($Q$2:Q837,$C$2:C837=H838,$G$2:G837=G838)),1)),1500)"),0.0)</f>
        <v>0</v>
      </c>
      <c r="L838" s="3">
        <f>IFERROR(__xludf.DUMMYFUNCTION("IFERROR(IF(I838="""",0,INDEX(FILTER($Q$2:Q837,$C$2:C837=I838,$G$2:G837=G838),ROWS(FILTER($Q$2:Q837,$C$2:C837=I838,$G$2:G837=G838)),1)),1500)"),0.0)</f>
        <v>0</v>
      </c>
      <c r="M838" s="3">
        <f>IFERROR(__xludf.DUMMYFUNCTION("IFERROR(IF(J838="""",0,INDEX(FILTER($Q$2:Q837,$C$2:C837=J838,$G$2:G837=G838),ROWS(FILTER($Q$2:Q837,$C$2:C837=J838,$G$2:G837=G838)),1)),1500)"),0.0)</f>
        <v>0</v>
      </c>
      <c r="N838" s="3">
        <f>IFERROR(__xludf.DUMMYFUNCTION("IFERROR(INDEX(FILTER($Q$2:Q837,$C$2:C837=C838,$G$2:G837=G838),ROWS(FILTER($Q$2:Q837,$C$2:C837=C838,$G$2:G837=G838)),1),1500)"),-720.0)</f>
        <v>-720</v>
      </c>
      <c r="O838" s="3">
        <f t="shared" si="3"/>
        <v>0</v>
      </c>
      <c r="P838" s="9">
        <f t="shared" si="1"/>
        <v>0</v>
      </c>
      <c r="Q838" s="5">
        <f t="shared" si="2"/>
        <v>-720</v>
      </c>
    </row>
    <row r="839">
      <c r="H839" s="3" t="str">
        <f>IFERROR(__xludf.DUMMYFUNCTION("IFERROR(TRIM(INDEX(SPLIT(E839,"" + ""),1)),"""")"),"")</f>
        <v/>
      </c>
      <c r="I839" s="3" t="str">
        <f>IFERROR(__xludf.DUMMYFUNCTION("IFERROR(TRIM(INDEX(SPLIT(E839,"" + ""),2)),"""")"),"")</f>
        <v/>
      </c>
      <c r="J839" s="5" t="str">
        <f>IFERROR(__xludf.DUMMYFUNCTION("IFERROR(TRIM(INDEX(SPLIT(E839,"" + ""),3)),"""")"),"")</f>
        <v/>
      </c>
      <c r="K839" s="3">
        <f>IFERROR(__xludf.DUMMYFUNCTION("IFERROR(IF(H839="""",0,INDEX(FILTER($Q$2:Q838,$C$2:C838=H839,$G$2:G838=G839),ROWS(FILTER($Q$2:Q838,$C$2:C838=H839,$G$2:G838=G839)),1)),1500)"),0.0)</f>
        <v>0</v>
      </c>
      <c r="L839" s="3">
        <f>IFERROR(__xludf.DUMMYFUNCTION("IFERROR(IF(I839="""",0,INDEX(FILTER($Q$2:Q838,$C$2:C838=I839,$G$2:G838=G839),ROWS(FILTER($Q$2:Q838,$C$2:C838=I839,$G$2:G838=G839)),1)),1500)"),0.0)</f>
        <v>0</v>
      </c>
      <c r="M839" s="3">
        <f>IFERROR(__xludf.DUMMYFUNCTION("IFERROR(IF(J839="""",0,INDEX(FILTER($Q$2:Q838,$C$2:C838=J839,$G$2:G838=G839),ROWS(FILTER($Q$2:Q838,$C$2:C838=J839,$G$2:G838=G839)),1)),1500)"),0.0)</f>
        <v>0</v>
      </c>
      <c r="N839" s="3">
        <f>IFERROR(__xludf.DUMMYFUNCTION("IFERROR(INDEX(FILTER($Q$2:Q838,$C$2:C838=C839,$G$2:G838=G839),ROWS(FILTER($Q$2:Q838,$C$2:C838=C839,$G$2:G838=G839)),1),1500)"),-720.0)</f>
        <v>-720</v>
      </c>
      <c r="O839" s="3">
        <f t="shared" si="3"/>
        <v>0</v>
      </c>
      <c r="P839" s="9">
        <f t="shared" si="1"/>
        <v>0</v>
      </c>
      <c r="Q839" s="5">
        <f t="shared" si="2"/>
        <v>-720</v>
      </c>
    </row>
    <row r="840">
      <c r="H840" s="3" t="str">
        <f>IFERROR(__xludf.DUMMYFUNCTION("IFERROR(TRIM(INDEX(SPLIT(E840,"" + ""),1)),"""")"),"")</f>
        <v/>
      </c>
      <c r="I840" s="3" t="str">
        <f>IFERROR(__xludf.DUMMYFUNCTION("IFERROR(TRIM(INDEX(SPLIT(E840,"" + ""),2)),"""")"),"")</f>
        <v/>
      </c>
      <c r="J840" s="5" t="str">
        <f>IFERROR(__xludf.DUMMYFUNCTION("IFERROR(TRIM(INDEX(SPLIT(E840,"" + ""),3)),"""")"),"")</f>
        <v/>
      </c>
      <c r="K840" s="3">
        <f>IFERROR(__xludf.DUMMYFUNCTION("IFERROR(IF(H840="""",0,INDEX(FILTER($Q$2:Q839,$C$2:C839=H840,$G$2:G839=G840),ROWS(FILTER($Q$2:Q839,$C$2:C839=H840,$G$2:G839=G840)),1)),1500)"),0.0)</f>
        <v>0</v>
      </c>
      <c r="L840" s="3">
        <f>IFERROR(__xludf.DUMMYFUNCTION("IFERROR(IF(I840="""",0,INDEX(FILTER($Q$2:Q839,$C$2:C839=I840,$G$2:G839=G840),ROWS(FILTER($Q$2:Q839,$C$2:C839=I840,$G$2:G839=G840)),1)),1500)"),0.0)</f>
        <v>0</v>
      </c>
      <c r="M840" s="3">
        <f>IFERROR(__xludf.DUMMYFUNCTION("IFERROR(IF(J840="""",0,INDEX(FILTER($Q$2:Q839,$C$2:C839=J840,$G$2:G839=G840),ROWS(FILTER($Q$2:Q839,$C$2:C839=J840,$G$2:G839=G840)),1)),1500)"),0.0)</f>
        <v>0</v>
      </c>
      <c r="N840" s="3">
        <f>IFERROR(__xludf.DUMMYFUNCTION("IFERROR(INDEX(FILTER($Q$2:Q839,$C$2:C839=C840,$G$2:G839=G840),ROWS(FILTER($Q$2:Q839,$C$2:C839=C840,$G$2:G839=G840)),1),1500)"),-720.0)</f>
        <v>-720</v>
      </c>
      <c r="O840" s="3">
        <f t="shared" si="3"/>
        <v>0</v>
      </c>
      <c r="P840" s="9">
        <f t="shared" si="1"/>
        <v>0</v>
      </c>
      <c r="Q840" s="5">
        <f t="shared" si="2"/>
        <v>-720</v>
      </c>
    </row>
    <row r="841">
      <c r="H841" s="3" t="str">
        <f>IFERROR(__xludf.DUMMYFUNCTION("IFERROR(TRIM(INDEX(SPLIT(E841,"" + ""),1)),"""")"),"")</f>
        <v/>
      </c>
      <c r="I841" s="3" t="str">
        <f>IFERROR(__xludf.DUMMYFUNCTION("IFERROR(TRIM(INDEX(SPLIT(E841,"" + ""),2)),"""")"),"")</f>
        <v/>
      </c>
      <c r="J841" s="5" t="str">
        <f>IFERROR(__xludf.DUMMYFUNCTION("IFERROR(TRIM(INDEX(SPLIT(E841,"" + ""),3)),"""")"),"")</f>
        <v/>
      </c>
      <c r="K841" s="3">
        <f>IFERROR(__xludf.DUMMYFUNCTION("IFERROR(IF(H841="""",0,INDEX(FILTER($Q$2:Q840,$C$2:C840=H841,$G$2:G840=G841),ROWS(FILTER($Q$2:Q840,$C$2:C840=H841,$G$2:G840=G841)),1)),1500)"),0.0)</f>
        <v>0</v>
      </c>
      <c r="L841" s="3">
        <f>IFERROR(__xludf.DUMMYFUNCTION("IFERROR(IF(I841="""",0,INDEX(FILTER($Q$2:Q840,$C$2:C840=I841,$G$2:G840=G841),ROWS(FILTER($Q$2:Q840,$C$2:C840=I841,$G$2:G840=G841)),1)),1500)"),0.0)</f>
        <v>0</v>
      </c>
      <c r="M841" s="3">
        <f>IFERROR(__xludf.DUMMYFUNCTION("IFERROR(IF(J841="""",0,INDEX(FILTER($Q$2:Q840,$C$2:C840=J841,$G$2:G840=G841),ROWS(FILTER($Q$2:Q840,$C$2:C840=J841,$G$2:G840=G841)),1)),1500)"),0.0)</f>
        <v>0</v>
      </c>
      <c r="N841" s="3">
        <f>IFERROR(__xludf.DUMMYFUNCTION("IFERROR(INDEX(FILTER($Q$2:Q840,$C$2:C840=C841,$G$2:G840=G841),ROWS(FILTER($Q$2:Q840,$C$2:C840=C841,$G$2:G840=G841)),1),1500)"),-720.0)</f>
        <v>-720</v>
      </c>
      <c r="O841" s="3">
        <f t="shared" si="3"/>
        <v>0</v>
      </c>
      <c r="P841" s="9">
        <f t="shared" si="1"/>
        <v>0</v>
      </c>
      <c r="Q841" s="5">
        <f t="shared" si="2"/>
        <v>-720</v>
      </c>
    </row>
    <row r="842">
      <c r="H842" s="3" t="str">
        <f>IFERROR(__xludf.DUMMYFUNCTION("IFERROR(TRIM(INDEX(SPLIT(E842,"" + ""),1)),"""")"),"")</f>
        <v/>
      </c>
      <c r="I842" s="3" t="str">
        <f>IFERROR(__xludf.DUMMYFUNCTION("IFERROR(TRIM(INDEX(SPLIT(E842,"" + ""),2)),"""")"),"")</f>
        <v/>
      </c>
      <c r="J842" s="5" t="str">
        <f>IFERROR(__xludf.DUMMYFUNCTION("IFERROR(TRIM(INDEX(SPLIT(E842,"" + ""),3)),"""")"),"")</f>
        <v/>
      </c>
      <c r="K842" s="3">
        <f>IFERROR(__xludf.DUMMYFUNCTION("IFERROR(IF(H842="""",0,INDEX(FILTER($Q$2:Q841,$C$2:C841=H842,$G$2:G841=G842),ROWS(FILTER($Q$2:Q841,$C$2:C841=H842,$G$2:G841=G842)),1)),1500)"),0.0)</f>
        <v>0</v>
      </c>
      <c r="L842" s="3">
        <f>IFERROR(__xludf.DUMMYFUNCTION("IFERROR(IF(I842="""",0,INDEX(FILTER($Q$2:Q841,$C$2:C841=I842,$G$2:G841=G842),ROWS(FILTER($Q$2:Q841,$C$2:C841=I842,$G$2:G841=G842)),1)),1500)"),0.0)</f>
        <v>0</v>
      </c>
      <c r="M842" s="3">
        <f>IFERROR(__xludf.DUMMYFUNCTION("IFERROR(IF(J842="""",0,INDEX(FILTER($Q$2:Q841,$C$2:C841=J842,$G$2:G841=G842),ROWS(FILTER($Q$2:Q841,$C$2:C841=J842,$G$2:G841=G842)),1)),1500)"),0.0)</f>
        <v>0</v>
      </c>
      <c r="N842" s="3">
        <f>IFERROR(__xludf.DUMMYFUNCTION("IFERROR(INDEX(FILTER($Q$2:Q841,$C$2:C841=C842,$G$2:G841=G842),ROWS(FILTER($Q$2:Q841,$C$2:C841=C842,$G$2:G841=G842)),1),1500)"),-720.0)</f>
        <v>-720</v>
      </c>
      <c r="O842" s="3">
        <f t="shared" si="3"/>
        <v>0</v>
      </c>
      <c r="P842" s="9">
        <f t="shared" si="1"/>
        <v>0</v>
      </c>
      <c r="Q842" s="5">
        <f t="shared" si="2"/>
        <v>-720</v>
      </c>
    </row>
    <row r="843">
      <c r="H843" s="3" t="str">
        <f>IFERROR(__xludf.DUMMYFUNCTION("IFERROR(TRIM(INDEX(SPLIT(E843,"" + ""),1)),"""")"),"")</f>
        <v/>
      </c>
      <c r="I843" s="3" t="str">
        <f>IFERROR(__xludf.DUMMYFUNCTION("IFERROR(TRIM(INDEX(SPLIT(E843,"" + ""),2)),"""")"),"")</f>
        <v/>
      </c>
      <c r="J843" s="5" t="str">
        <f>IFERROR(__xludf.DUMMYFUNCTION("IFERROR(TRIM(INDEX(SPLIT(E843,"" + ""),3)),"""")"),"")</f>
        <v/>
      </c>
      <c r="K843" s="3">
        <f>IFERROR(__xludf.DUMMYFUNCTION("IFERROR(IF(H843="""",0,INDEX(FILTER($Q$2:Q842,$C$2:C842=H843,$G$2:G842=G843),ROWS(FILTER($Q$2:Q842,$C$2:C842=H843,$G$2:G842=G843)),1)),1500)"),0.0)</f>
        <v>0</v>
      </c>
      <c r="L843" s="3">
        <f>IFERROR(__xludf.DUMMYFUNCTION("IFERROR(IF(I843="""",0,INDEX(FILTER($Q$2:Q842,$C$2:C842=I843,$G$2:G842=G843),ROWS(FILTER($Q$2:Q842,$C$2:C842=I843,$G$2:G842=G843)),1)),1500)"),0.0)</f>
        <v>0</v>
      </c>
      <c r="M843" s="3">
        <f>IFERROR(__xludf.DUMMYFUNCTION("IFERROR(IF(J843="""",0,INDEX(FILTER($Q$2:Q842,$C$2:C842=J843,$G$2:G842=G843),ROWS(FILTER($Q$2:Q842,$C$2:C842=J843,$G$2:G842=G843)),1)),1500)"),0.0)</f>
        <v>0</v>
      </c>
      <c r="N843" s="3">
        <f>IFERROR(__xludf.DUMMYFUNCTION("IFERROR(INDEX(FILTER($Q$2:Q842,$C$2:C842=C843,$G$2:G842=G843),ROWS(FILTER($Q$2:Q842,$C$2:C842=C843,$G$2:G842=G843)),1),1500)"),-720.0)</f>
        <v>-720</v>
      </c>
      <c r="O843" s="3">
        <f t="shared" si="3"/>
        <v>0</v>
      </c>
      <c r="P843" s="9">
        <f t="shared" si="1"/>
        <v>0</v>
      </c>
      <c r="Q843" s="5">
        <f t="shared" si="2"/>
        <v>-720</v>
      </c>
    </row>
    <row r="844">
      <c r="H844" s="3" t="str">
        <f>IFERROR(__xludf.DUMMYFUNCTION("IFERROR(TRIM(INDEX(SPLIT(E844,"" + ""),1)),"""")"),"")</f>
        <v/>
      </c>
      <c r="I844" s="3" t="str">
        <f>IFERROR(__xludf.DUMMYFUNCTION("IFERROR(TRIM(INDEX(SPLIT(E844,"" + ""),2)),"""")"),"")</f>
        <v/>
      </c>
      <c r="J844" s="5" t="str">
        <f>IFERROR(__xludf.DUMMYFUNCTION("IFERROR(TRIM(INDEX(SPLIT(E844,"" + ""),3)),"""")"),"")</f>
        <v/>
      </c>
      <c r="K844" s="3">
        <f>IFERROR(__xludf.DUMMYFUNCTION("IFERROR(IF(H844="""",0,INDEX(FILTER($Q$2:Q843,$C$2:C843=H844,$G$2:G843=G844),ROWS(FILTER($Q$2:Q843,$C$2:C843=H844,$G$2:G843=G844)),1)),1500)"),0.0)</f>
        <v>0</v>
      </c>
      <c r="L844" s="3">
        <f>IFERROR(__xludf.DUMMYFUNCTION("IFERROR(IF(I844="""",0,INDEX(FILTER($Q$2:Q843,$C$2:C843=I844,$G$2:G843=G844),ROWS(FILTER($Q$2:Q843,$C$2:C843=I844,$G$2:G843=G844)),1)),1500)"),0.0)</f>
        <v>0</v>
      </c>
      <c r="M844" s="3">
        <f>IFERROR(__xludf.DUMMYFUNCTION("IFERROR(IF(J844="""",0,INDEX(FILTER($Q$2:Q843,$C$2:C843=J844,$G$2:G843=G844),ROWS(FILTER($Q$2:Q843,$C$2:C843=J844,$G$2:G843=G844)),1)),1500)"),0.0)</f>
        <v>0</v>
      </c>
      <c r="N844" s="3">
        <f>IFERROR(__xludf.DUMMYFUNCTION("IFERROR(INDEX(FILTER($Q$2:Q843,$C$2:C843=C844,$G$2:G843=G844),ROWS(FILTER($Q$2:Q843,$C$2:C843=C844,$G$2:G843=G844)),1),1500)"),-720.0)</f>
        <v>-720</v>
      </c>
      <c r="O844" s="3">
        <f t="shared" si="3"/>
        <v>0</v>
      </c>
      <c r="P844" s="9">
        <f t="shared" si="1"/>
        <v>0</v>
      </c>
      <c r="Q844" s="5">
        <f t="shared" si="2"/>
        <v>-720</v>
      </c>
    </row>
    <row r="845">
      <c r="H845" s="3" t="str">
        <f>IFERROR(__xludf.DUMMYFUNCTION("IFERROR(TRIM(INDEX(SPLIT(E845,"" + ""),1)),"""")"),"")</f>
        <v/>
      </c>
      <c r="I845" s="3" t="str">
        <f>IFERROR(__xludf.DUMMYFUNCTION("IFERROR(TRIM(INDEX(SPLIT(E845,"" + ""),2)),"""")"),"")</f>
        <v/>
      </c>
      <c r="J845" s="5" t="str">
        <f>IFERROR(__xludf.DUMMYFUNCTION("IFERROR(TRIM(INDEX(SPLIT(E845,"" + ""),3)),"""")"),"")</f>
        <v/>
      </c>
      <c r="K845" s="3">
        <f>IFERROR(__xludf.DUMMYFUNCTION("IFERROR(IF(H845="""",0,INDEX(FILTER($Q$2:Q844,$C$2:C844=H845,$G$2:G844=G845),ROWS(FILTER($Q$2:Q844,$C$2:C844=H845,$G$2:G844=G845)),1)),1500)"),0.0)</f>
        <v>0</v>
      </c>
      <c r="L845" s="3">
        <f>IFERROR(__xludf.DUMMYFUNCTION("IFERROR(IF(I845="""",0,INDEX(FILTER($Q$2:Q844,$C$2:C844=I845,$G$2:G844=G845),ROWS(FILTER($Q$2:Q844,$C$2:C844=I845,$G$2:G844=G845)),1)),1500)"),0.0)</f>
        <v>0</v>
      </c>
      <c r="M845" s="3">
        <f>IFERROR(__xludf.DUMMYFUNCTION("IFERROR(IF(J845="""",0,INDEX(FILTER($Q$2:Q844,$C$2:C844=J845,$G$2:G844=G845),ROWS(FILTER($Q$2:Q844,$C$2:C844=J845,$G$2:G844=G845)),1)),1500)"),0.0)</f>
        <v>0</v>
      </c>
      <c r="N845" s="3">
        <f>IFERROR(__xludf.DUMMYFUNCTION("IFERROR(INDEX(FILTER($Q$2:Q844,$C$2:C844=C845,$G$2:G844=G845),ROWS(FILTER($Q$2:Q844,$C$2:C844=C845,$G$2:G844=G845)),1),1500)"),-720.0)</f>
        <v>-720</v>
      </c>
      <c r="O845" s="3">
        <f t="shared" si="3"/>
        <v>0</v>
      </c>
      <c r="P845" s="9">
        <f t="shared" si="1"/>
        <v>0</v>
      </c>
      <c r="Q845" s="5">
        <f t="shared" si="2"/>
        <v>-720</v>
      </c>
    </row>
    <row r="846">
      <c r="H846" s="3" t="str">
        <f>IFERROR(__xludf.DUMMYFUNCTION("IFERROR(TRIM(INDEX(SPLIT(E846,"" + ""),1)),"""")"),"")</f>
        <v/>
      </c>
      <c r="I846" s="3" t="str">
        <f>IFERROR(__xludf.DUMMYFUNCTION("IFERROR(TRIM(INDEX(SPLIT(E846,"" + ""),2)),"""")"),"")</f>
        <v/>
      </c>
      <c r="J846" s="5" t="str">
        <f>IFERROR(__xludf.DUMMYFUNCTION("IFERROR(TRIM(INDEX(SPLIT(E846,"" + ""),3)),"""")"),"")</f>
        <v/>
      </c>
      <c r="K846" s="3">
        <f>IFERROR(__xludf.DUMMYFUNCTION("IFERROR(IF(H846="""",0,INDEX(FILTER($Q$2:Q845,$C$2:C845=H846,$G$2:G845=G846),ROWS(FILTER($Q$2:Q845,$C$2:C845=H846,$G$2:G845=G846)),1)),1500)"),0.0)</f>
        <v>0</v>
      </c>
      <c r="L846" s="3">
        <f>IFERROR(__xludf.DUMMYFUNCTION("IFERROR(IF(I846="""",0,INDEX(FILTER($Q$2:Q845,$C$2:C845=I846,$G$2:G845=G846),ROWS(FILTER($Q$2:Q845,$C$2:C845=I846,$G$2:G845=G846)),1)),1500)"),0.0)</f>
        <v>0</v>
      </c>
      <c r="M846" s="3">
        <f>IFERROR(__xludf.DUMMYFUNCTION("IFERROR(IF(J846="""",0,INDEX(FILTER($Q$2:Q845,$C$2:C845=J846,$G$2:G845=G846),ROWS(FILTER($Q$2:Q845,$C$2:C845=J846,$G$2:G845=G846)),1)),1500)"),0.0)</f>
        <v>0</v>
      </c>
      <c r="N846" s="3">
        <f>IFERROR(__xludf.DUMMYFUNCTION("IFERROR(INDEX(FILTER($Q$2:Q845,$C$2:C845=C846,$G$2:G845=G846),ROWS(FILTER($Q$2:Q845,$C$2:C845=C846,$G$2:G845=G846)),1),1500)"),-720.0)</f>
        <v>-720</v>
      </c>
      <c r="O846" s="3">
        <f t="shared" si="3"/>
        <v>0</v>
      </c>
      <c r="P846" s="9">
        <f t="shared" si="1"/>
        <v>0</v>
      </c>
      <c r="Q846" s="5">
        <f t="shared" si="2"/>
        <v>-720</v>
      </c>
    </row>
    <row r="847">
      <c r="H847" s="3" t="str">
        <f>IFERROR(__xludf.DUMMYFUNCTION("IFERROR(TRIM(INDEX(SPLIT(E847,"" + ""),1)),"""")"),"")</f>
        <v/>
      </c>
      <c r="I847" s="3" t="str">
        <f>IFERROR(__xludf.DUMMYFUNCTION("IFERROR(TRIM(INDEX(SPLIT(E847,"" + ""),2)),"""")"),"")</f>
        <v/>
      </c>
      <c r="J847" s="5" t="str">
        <f>IFERROR(__xludf.DUMMYFUNCTION("IFERROR(TRIM(INDEX(SPLIT(E847,"" + ""),3)),"""")"),"")</f>
        <v/>
      </c>
      <c r="K847" s="3">
        <f>IFERROR(__xludf.DUMMYFUNCTION("IFERROR(IF(H847="""",0,INDEX(FILTER($Q$2:Q846,$C$2:C846=H847,$G$2:G846=G847),ROWS(FILTER($Q$2:Q846,$C$2:C846=H847,$G$2:G846=G847)),1)),1500)"),0.0)</f>
        <v>0</v>
      </c>
      <c r="L847" s="3">
        <f>IFERROR(__xludf.DUMMYFUNCTION("IFERROR(IF(I847="""",0,INDEX(FILTER($Q$2:Q846,$C$2:C846=I847,$G$2:G846=G847),ROWS(FILTER($Q$2:Q846,$C$2:C846=I847,$G$2:G846=G847)),1)),1500)"),0.0)</f>
        <v>0</v>
      </c>
      <c r="M847" s="3">
        <f>IFERROR(__xludf.DUMMYFUNCTION("IFERROR(IF(J847="""",0,INDEX(FILTER($Q$2:Q846,$C$2:C846=J847,$G$2:G846=G847),ROWS(FILTER($Q$2:Q846,$C$2:C846=J847,$G$2:G846=G847)),1)),1500)"),0.0)</f>
        <v>0</v>
      </c>
      <c r="N847" s="3">
        <f>IFERROR(__xludf.DUMMYFUNCTION("IFERROR(INDEX(FILTER($Q$2:Q846,$C$2:C846=C847,$G$2:G846=G847),ROWS(FILTER($Q$2:Q846,$C$2:C846=C847,$G$2:G846=G847)),1),1500)"),-720.0)</f>
        <v>-720</v>
      </c>
      <c r="O847" s="3">
        <f t="shared" si="3"/>
        <v>0</v>
      </c>
      <c r="P847" s="9">
        <f t="shared" si="1"/>
        <v>0</v>
      </c>
      <c r="Q847" s="5">
        <f t="shared" si="2"/>
        <v>-720</v>
      </c>
    </row>
    <row r="848">
      <c r="H848" s="3" t="str">
        <f>IFERROR(__xludf.DUMMYFUNCTION("IFERROR(TRIM(INDEX(SPLIT(E848,"" + ""),1)),"""")"),"")</f>
        <v/>
      </c>
      <c r="I848" s="3" t="str">
        <f>IFERROR(__xludf.DUMMYFUNCTION("IFERROR(TRIM(INDEX(SPLIT(E848,"" + ""),2)),"""")"),"")</f>
        <v/>
      </c>
      <c r="J848" s="5" t="str">
        <f>IFERROR(__xludf.DUMMYFUNCTION("IFERROR(TRIM(INDEX(SPLIT(E848,"" + ""),3)),"""")"),"")</f>
        <v/>
      </c>
      <c r="K848" s="3">
        <f>IFERROR(__xludf.DUMMYFUNCTION("IFERROR(IF(H848="""",0,INDEX(FILTER($Q$2:Q847,$C$2:C847=H848,$G$2:G847=G848),ROWS(FILTER($Q$2:Q847,$C$2:C847=H848,$G$2:G847=G848)),1)),1500)"),0.0)</f>
        <v>0</v>
      </c>
      <c r="L848" s="3">
        <f>IFERROR(__xludf.DUMMYFUNCTION("IFERROR(IF(I848="""",0,INDEX(FILTER($Q$2:Q847,$C$2:C847=I848,$G$2:G847=G848),ROWS(FILTER($Q$2:Q847,$C$2:C847=I848,$G$2:G847=G848)),1)),1500)"),0.0)</f>
        <v>0</v>
      </c>
      <c r="M848" s="3">
        <f>IFERROR(__xludf.DUMMYFUNCTION("IFERROR(IF(J848="""",0,INDEX(FILTER($Q$2:Q847,$C$2:C847=J848,$G$2:G847=G848),ROWS(FILTER($Q$2:Q847,$C$2:C847=J848,$G$2:G847=G848)),1)),1500)"),0.0)</f>
        <v>0</v>
      </c>
      <c r="N848" s="3">
        <f>IFERROR(__xludf.DUMMYFUNCTION("IFERROR(INDEX(FILTER($Q$2:Q847,$C$2:C847=C848,$G$2:G847=G848),ROWS(FILTER($Q$2:Q847,$C$2:C847=C848,$G$2:G847=G848)),1),1500)"),-720.0)</f>
        <v>-720</v>
      </c>
      <c r="O848" s="3">
        <f t="shared" si="3"/>
        <v>0</v>
      </c>
      <c r="P848" s="9">
        <f t="shared" si="1"/>
        <v>0</v>
      </c>
      <c r="Q848" s="5">
        <f t="shared" si="2"/>
        <v>-720</v>
      </c>
    </row>
    <row r="849">
      <c r="H849" s="3" t="str">
        <f>IFERROR(__xludf.DUMMYFUNCTION("IFERROR(TRIM(INDEX(SPLIT(E849,"" + ""),1)),"""")"),"")</f>
        <v/>
      </c>
      <c r="I849" s="3" t="str">
        <f>IFERROR(__xludf.DUMMYFUNCTION("IFERROR(TRIM(INDEX(SPLIT(E849,"" + ""),2)),"""")"),"")</f>
        <v/>
      </c>
      <c r="J849" s="5" t="str">
        <f>IFERROR(__xludf.DUMMYFUNCTION("IFERROR(TRIM(INDEX(SPLIT(E849,"" + ""),3)),"""")"),"")</f>
        <v/>
      </c>
      <c r="K849" s="3">
        <f>IFERROR(__xludf.DUMMYFUNCTION("IFERROR(IF(H849="""",0,INDEX(FILTER($Q$2:Q848,$C$2:C848=H849,$G$2:G848=G849),ROWS(FILTER($Q$2:Q848,$C$2:C848=H849,$G$2:G848=G849)),1)),1500)"),0.0)</f>
        <v>0</v>
      </c>
      <c r="L849" s="3">
        <f>IFERROR(__xludf.DUMMYFUNCTION("IFERROR(IF(I849="""",0,INDEX(FILTER($Q$2:Q848,$C$2:C848=I849,$G$2:G848=G849),ROWS(FILTER($Q$2:Q848,$C$2:C848=I849,$G$2:G848=G849)),1)),1500)"),0.0)</f>
        <v>0</v>
      </c>
      <c r="M849" s="3">
        <f>IFERROR(__xludf.DUMMYFUNCTION("IFERROR(IF(J849="""",0,INDEX(FILTER($Q$2:Q848,$C$2:C848=J849,$G$2:G848=G849),ROWS(FILTER($Q$2:Q848,$C$2:C848=J849,$G$2:G848=G849)),1)),1500)"),0.0)</f>
        <v>0</v>
      </c>
      <c r="N849" s="3">
        <f>IFERROR(__xludf.DUMMYFUNCTION("IFERROR(INDEX(FILTER($Q$2:Q848,$C$2:C848=C849,$G$2:G848=G849),ROWS(FILTER($Q$2:Q848,$C$2:C848=C849,$G$2:G848=G849)),1),1500)"),-720.0)</f>
        <v>-720</v>
      </c>
      <c r="O849" s="3">
        <f t="shared" si="3"/>
        <v>0</v>
      </c>
      <c r="P849" s="9">
        <f t="shared" si="1"/>
        <v>0</v>
      </c>
      <c r="Q849" s="5">
        <f t="shared" si="2"/>
        <v>-720</v>
      </c>
    </row>
    <row r="850">
      <c r="H850" s="3" t="str">
        <f>IFERROR(__xludf.DUMMYFUNCTION("IFERROR(TRIM(INDEX(SPLIT(E850,"" + ""),1)),"""")"),"")</f>
        <v/>
      </c>
      <c r="I850" s="3" t="str">
        <f>IFERROR(__xludf.DUMMYFUNCTION("IFERROR(TRIM(INDEX(SPLIT(E850,"" + ""),2)),"""")"),"")</f>
        <v/>
      </c>
      <c r="J850" s="5" t="str">
        <f>IFERROR(__xludf.DUMMYFUNCTION("IFERROR(TRIM(INDEX(SPLIT(E850,"" + ""),3)),"""")"),"")</f>
        <v/>
      </c>
      <c r="K850" s="3">
        <f>IFERROR(__xludf.DUMMYFUNCTION("IFERROR(IF(H850="""",0,INDEX(FILTER($Q$2:Q849,$C$2:C849=H850,$G$2:G849=G850),ROWS(FILTER($Q$2:Q849,$C$2:C849=H850,$G$2:G849=G850)),1)),1500)"),0.0)</f>
        <v>0</v>
      </c>
      <c r="L850" s="3">
        <f>IFERROR(__xludf.DUMMYFUNCTION("IFERROR(IF(I850="""",0,INDEX(FILTER($Q$2:Q849,$C$2:C849=I850,$G$2:G849=G850),ROWS(FILTER($Q$2:Q849,$C$2:C849=I850,$G$2:G849=G850)),1)),1500)"),0.0)</f>
        <v>0</v>
      </c>
      <c r="M850" s="3">
        <f>IFERROR(__xludf.DUMMYFUNCTION("IFERROR(IF(J850="""",0,INDEX(FILTER($Q$2:Q849,$C$2:C849=J850,$G$2:G849=G850),ROWS(FILTER($Q$2:Q849,$C$2:C849=J850,$G$2:G849=G850)),1)),1500)"),0.0)</f>
        <v>0</v>
      </c>
      <c r="N850" s="3">
        <f>IFERROR(__xludf.DUMMYFUNCTION("IFERROR(INDEX(FILTER($Q$2:Q849,$C$2:C849=C850,$G$2:G849=G850),ROWS(FILTER($Q$2:Q849,$C$2:C849=C850,$G$2:G849=G850)),1),1500)"),-720.0)</f>
        <v>-720</v>
      </c>
      <c r="O850" s="3">
        <f t="shared" si="3"/>
        <v>0</v>
      </c>
      <c r="P850" s="9">
        <f t="shared" si="1"/>
        <v>0</v>
      </c>
      <c r="Q850" s="5">
        <f t="shared" si="2"/>
        <v>-720</v>
      </c>
    </row>
    <row r="851">
      <c r="H851" s="3" t="str">
        <f>IFERROR(__xludf.DUMMYFUNCTION("IFERROR(TRIM(INDEX(SPLIT(E851,"" + ""),1)),"""")"),"")</f>
        <v/>
      </c>
      <c r="I851" s="3" t="str">
        <f>IFERROR(__xludf.DUMMYFUNCTION("IFERROR(TRIM(INDEX(SPLIT(E851,"" + ""),2)),"""")"),"")</f>
        <v/>
      </c>
      <c r="J851" s="5" t="str">
        <f>IFERROR(__xludf.DUMMYFUNCTION("IFERROR(TRIM(INDEX(SPLIT(E851,"" + ""),3)),"""")"),"")</f>
        <v/>
      </c>
      <c r="K851" s="3">
        <f>IFERROR(__xludf.DUMMYFUNCTION("IFERROR(IF(H851="""",0,INDEX(FILTER($Q$2:Q850,$C$2:C850=H851,$G$2:G850=G851),ROWS(FILTER($Q$2:Q850,$C$2:C850=H851,$G$2:G850=G851)),1)),1500)"),0.0)</f>
        <v>0</v>
      </c>
      <c r="L851" s="3">
        <f>IFERROR(__xludf.DUMMYFUNCTION("IFERROR(IF(I851="""",0,INDEX(FILTER($Q$2:Q850,$C$2:C850=I851,$G$2:G850=G851),ROWS(FILTER($Q$2:Q850,$C$2:C850=I851,$G$2:G850=G851)),1)),1500)"),0.0)</f>
        <v>0</v>
      </c>
      <c r="M851" s="3">
        <f>IFERROR(__xludf.DUMMYFUNCTION("IFERROR(IF(J851="""",0,INDEX(FILTER($Q$2:Q850,$C$2:C850=J851,$G$2:G850=G851),ROWS(FILTER($Q$2:Q850,$C$2:C850=J851,$G$2:G850=G851)),1)),1500)"),0.0)</f>
        <v>0</v>
      </c>
      <c r="N851" s="3">
        <f>IFERROR(__xludf.DUMMYFUNCTION("IFERROR(INDEX(FILTER($Q$2:Q850,$C$2:C850=C851,$G$2:G850=G851),ROWS(FILTER($Q$2:Q850,$C$2:C850=C851,$G$2:G850=G851)),1),1500)"),-720.0)</f>
        <v>-720</v>
      </c>
      <c r="O851" s="3">
        <f t="shared" si="3"/>
        <v>0</v>
      </c>
      <c r="P851" s="9">
        <f t="shared" si="1"/>
        <v>0</v>
      </c>
      <c r="Q851" s="5">
        <f t="shared" si="2"/>
        <v>-720</v>
      </c>
    </row>
    <row r="852">
      <c r="H852" s="3" t="str">
        <f>IFERROR(__xludf.DUMMYFUNCTION("IFERROR(TRIM(INDEX(SPLIT(E852,"" + ""),1)),"""")"),"")</f>
        <v/>
      </c>
      <c r="I852" s="3" t="str">
        <f>IFERROR(__xludf.DUMMYFUNCTION("IFERROR(TRIM(INDEX(SPLIT(E852,"" + ""),2)),"""")"),"")</f>
        <v/>
      </c>
      <c r="J852" s="5" t="str">
        <f>IFERROR(__xludf.DUMMYFUNCTION("IFERROR(TRIM(INDEX(SPLIT(E852,"" + ""),3)),"""")"),"")</f>
        <v/>
      </c>
      <c r="K852" s="3">
        <f>IFERROR(__xludf.DUMMYFUNCTION("IFERROR(IF(H852="""",0,INDEX(FILTER($Q$2:Q851,$C$2:C851=H852,$G$2:G851=G852),ROWS(FILTER($Q$2:Q851,$C$2:C851=H852,$G$2:G851=G852)),1)),1500)"),0.0)</f>
        <v>0</v>
      </c>
      <c r="L852" s="3">
        <f>IFERROR(__xludf.DUMMYFUNCTION("IFERROR(IF(I852="""",0,INDEX(FILTER($Q$2:Q851,$C$2:C851=I852,$G$2:G851=G852),ROWS(FILTER($Q$2:Q851,$C$2:C851=I852,$G$2:G851=G852)),1)),1500)"),0.0)</f>
        <v>0</v>
      </c>
      <c r="M852" s="3">
        <f>IFERROR(__xludf.DUMMYFUNCTION("IFERROR(IF(J852="""",0,INDEX(FILTER($Q$2:Q851,$C$2:C851=J852,$G$2:G851=G852),ROWS(FILTER($Q$2:Q851,$C$2:C851=J852,$G$2:G851=G852)),1)),1500)"),0.0)</f>
        <v>0</v>
      </c>
      <c r="N852" s="3">
        <f>IFERROR(__xludf.DUMMYFUNCTION("IFERROR(INDEX(FILTER($Q$2:Q851,$C$2:C851=C852,$G$2:G851=G852),ROWS(FILTER($Q$2:Q851,$C$2:C851=C852,$G$2:G851=G852)),1),1500)"),-720.0)</f>
        <v>-720</v>
      </c>
      <c r="O852" s="3">
        <f t="shared" si="3"/>
        <v>0</v>
      </c>
      <c r="P852" s="9">
        <f t="shared" si="1"/>
        <v>0</v>
      </c>
      <c r="Q852" s="5">
        <f t="shared" si="2"/>
        <v>-720</v>
      </c>
    </row>
    <row r="853">
      <c r="H853" s="3" t="str">
        <f>IFERROR(__xludf.DUMMYFUNCTION("IFERROR(TRIM(INDEX(SPLIT(E853,"" + ""),1)),"""")"),"")</f>
        <v/>
      </c>
      <c r="I853" s="3" t="str">
        <f>IFERROR(__xludf.DUMMYFUNCTION("IFERROR(TRIM(INDEX(SPLIT(E853,"" + ""),2)),"""")"),"")</f>
        <v/>
      </c>
      <c r="J853" s="5" t="str">
        <f>IFERROR(__xludf.DUMMYFUNCTION("IFERROR(TRIM(INDEX(SPLIT(E853,"" + ""),3)),"""")"),"")</f>
        <v/>
      </c>
      <c r="K853" s="3">
        <f>IFERROR(__xludf.DUMMYFUNCTION("IFERROR(IF(H853="""",0,INDEX(FILTER($Q$2:Q852,$C$2:C852=H853,$G$2:G852=G853),ROWS(FILTER($Q$2:Q852,$C$2:C852=H853,$G$2:G852=G853)),1)),1500)"),0.0)</f>
        <v>0</v>
      </c>
      <c r="L853" s="3">
        <f>IFERROR(__xludf.DUMMYFUNCTION("IFERROR(IF(I853="""",0,INDEX(FILTER($Q$2:Q852,$C$2:C852=I853,$G$2:G852=G853),ROWS(FILTER($Q$2:Q852,$C$2:C852=I853,$G$2:G852=G853)),1)),1500)"),0.0)</f>
        <v>0</v>
      </c>
      <c r="M853" s="3">
        <f>IFERROR(__xludf.DUMMYFUNCTION("IFERROR(IF(J853="""",0,INDEX(FILTER($Q$2:Q852,$C$2:C852=J853,$G$2:G852=G853),ROWS(FILTER($Q$2:Q852,$C$2:C852=J853,$G$2:G852=G853)),1)),1500)"),0.0)</f>
        <v>0</v>
      </c>
      <c r="N853" s="3">
        <f>IFERROR(__xludf.DUMMYFUNCTION("IFERROR(INDEX(FILTER($Q$2:Q852,$C$2:C852=C853,$G$2:G852=G853),ROWS(FILTER($Q$2:Q852,$C$2:C852=C853,$G$2:G852=G853)),1),1500)"),-720.0)</f>
        <v>-720</v>
      </c>
      <c r="O853" s="3">
        <f t="shared" si="3"/>
        <v>0</v>
      </c>
      <c r="P853" s="9">
        <f t="shared" si="1"/>
        <v>0</v>
      </c>
      <c r="Q853" s="5">
        <f t="shared" si="2"/>
        <v>-720</v>
      </c>
    </row>
    <row r="854">
      <c r="H854" s="3" t="str">
        <f>IFERROR(__xludf.DUMMYFUNCTION("IFERROR(TRIM(INDEX(SPLIT(E854,"" + ""),1)),"""")"),"")</f>
        <v/>
      </c>
      <c r="I854" s="3" t="str">
        <f>IFERROR(__xludf.DUMMYFUNCTION("IFERROR(TRIM(INDEX(SPLIT(E854,"" + ""),2)),"""")"),"")</f>
        <v/>
      </c>
      <c r="J854" s="5" t="str">
        <f>IFERROR(__xludf.DUMMYFUNCTION("IFERROR(TRIM(INDEX(SPLIT(E854,"" + ""),3)),"""")"),"")</f>
        <v/>
      </c>
      <c r="K854" s="3">
        <f>IFERROR(__xludf.DUMMYFUNCTION("IFERROR(IF(H854="""",0,INDEX(FILTER($Q$2:Q853,$C$2:C853=H854,$G$2:G853=G854),ROWS(FILTER($Q$2:Q853,$C$2:C853=H854,$G$2:G853=G854)),1)),1500)"),0.0)</f>
        <v>0</v>
      </c>
      <c r="L854" s="3">
        <f>IFERROR(__xludf.DUMMYFUNCTION("IFERROR(IF(I854="""",0,INDEX(FILTER($Q$2:Q853,$C$2:C853=I854,$G$2:G853=G854),ROWS(FILTER($Q$2:Q853,$C$2:C853=I854,$G$2:G853=G854)),1)),1500)"),0.0)</f>
        <v>0</v>
      </c>
      <c r="M854" s="3">
        <f>IFERROR(__xludf.DUMMYFUNCTION("IFERROR(IF(J854="""",0,INDEX(FILTER($Q$2:Q853,$C$2:C853=J854,$G$2:G853=G854),ROWS(FILTER($Q$2:Q853,$C$2:C853=J854,$G$2:G853=G854)),1)),1500)"),0.0)</f>
        <v>0</v>
      </c>
      <c r="N854" s="3">
        <f>IFERROR(__xludf.DUMMYFUNCTION("IFERROR(INDEX(FILTER($Q$2:Q853,$C$2:C853=C854,$G$2:G853=G854),ROWS(FILTER($Q$2:Q853,$C$2:C853=C854,$G$2:G853=G854)),1),1500)"),-720.0)</f>
        <v>-720</v>
      </c>
      <c r="O854" s="3">
        <f t="shared" si="3"/>
        <v>0</v>
      </c>
      <c r="P854" s="9">
        <f t="shared" si="1"/>
        <v>0</v>
      </c>
      <c r="Q854" s="5">
        <f t="shared" si="2"/>
        <v>-720</v>
      </c>
    </row>
    <row r="855">
      <c r="H855" s="3" t="str">
        <f>IFERROR(__xludf.DUMMYFUNCTION("IFERROR(TRIM(INDEX(SPLIT(E855,"" + ""),1)),"""")"),"")</f>
        <v/>
      </c>
      <c r="I855" s="3" t="str">
        <f>IFERROR(__xludf.DUMMYFUNCTION("IFERROR(TRIM(INDEX(SPLIT(E855,"" + ""),2)),"""")"),"")</f>
        <v/>
      </c>
      <c r="J855" s="5" t="str">
        <f>IFERROR(__xludf.DUMMYFUNCTION("IFERROR(TRIM(INDEX(SPLIT(E855,"" + ""),3)),"""")"),"")</f>
        <v/>
      </c>
      <c r="K855" s="3">
        <f>IFERROR(__xludf.DUMMYFUNCTION("IFERROR(IF(H855="""",0,INDEX(FILTER($Q$2:Q854,$C$2:C854=H855,$G$2:G854=G855),ROWS(FILTER($Q$2:Q854,$C$2:C854=H855,$G$2:G854=G855)),1)),1500)"),0.0)</f>
        <v>0</v>
      </c>
      <c r="L855" s="3">
        <f>IFERROR(__xludf.DUMMYFUNCTION("IFERROR(IF(I855="""",0,INDEX(FILTER($Q$2:Q854,$C$2:C854=I855,$G$2:G854=G855),ROWS(FILTER($Q$2:Q854,$C$2:C854=I855,$G$2:G854=G855)),1)),1500)"),0.0)</f>
        <v>0</v>
      </c>
      <c r="M855" s="3">
        <f>IFERROR(__xludf.DUMMYFUNCTION("IFERROR(IF(J855="""",0,INDEX(FILTER($Q$2:Q854,$C$2:C854=J855,$G$2:G854=G855),ROWS(FILTER($Q$2:Q854,$C$2:C854=J855,$G$2:G854=G855)),1)),1500)"),0.0)</f>
        <v>0</v>
      </c>
      <c r="N855" s="3">
        <f>IFERROR(__xludf.DUMMYFUNCTION("IFERROR(INDEX(FILTER($Q$2:Q854,$C$2:C854=C855,$G$2:G854=G855),ROWS(FILTER($Q$2:Q854,$C$2:C854=C855,$G$2:G854=G855)),1),1500)"),-720.0)</f>
        <v>-720</v>
      </c>
      <c r="O855" s="3">
        <f t="shared" si="3"/>
        <v>0</v>
      </c>
      <c r="P855" s="9">
        <f t="shared" si="1"/>
        <v>0</v>
      </c>
      <c r="Q855" s="5">
        <f t="shared" si="2"/>
        <v>-720</v>
      </c>
    </row>
    <row r="856">
      <c r="H856" s="3" t="str">
        <f>IFERROR(__xludf.DUMMYFUNCTION("IFERROR(TRIM(INDEX(SPLIT(E856,"" + ""),1)),"""")"),"")</f>
        <v/>
      </c>
      <c r="I856" s="3" t="str">
        <f>IFERROR(__xludf.DUMMYFUNCTION("IFERROR(TRIM(INDEX(SPLIT(E856,"" + ""),2)),"""")"),"")</f>
        <v/>
      </c>
      <c r="J856" s="5" t="str">
        <f>IFERROR(__xludf.DUMMYFUNCTION("IFERROR(TRIM(INDEX(SPLIT(E856,"" + ""),3)),"""")"),"")</f>
        <v/>
      </c>
      <c r="K856" s="3">
        <f>IFERROR(__xludf.DUMMYFUNCTION("IFERROR(IF(H856="""",0,INDEX(FILTER($Q$2:Q855,$C$2:C855=H856,$G$2:G855=G856),ROWS(FILTER($Q$2:Q855,$C$2:C855=H856,$G$2:G855=G856)),1)),1500)"),0.0)</f>
        <v>0</v>
      </c>
      <c r="L856" s="3">
        <f>IFERROR(__xludf.DUMMYFUNCTION("IFERROR(IF(I856="""",0,INDEX(FILTER($Q$2:Q855,$C$2:C855=I856,$G$2:G855=G856),ROWS(FILTER($Q$2:Q855,$C$2:C855=I856,$G$2:G855=G856)),1)),1500)"),0.0)</f>
        <v>0</v>
      </c>
      <c r="M856" s="3">
        <f>IFERROR(__xludf.DUMMYFUNCTION("IFERROR(IF(J856="""",0,INDEX(FILTER($Q$2:Q855,$C$2:C855=J856,$G$2:G855=G856),ROWS(FILTER($Q$2:Q855,$C$2:C855=J856,$G$2:G855=G856)),1)),1500)"),0.0)</f>
        <v>0</v>
      </c>
      <c r="N856" s="3">
        <f>IFERROR(__xludf.DUMMYFUNCTION("IFERROR(INDEX(FILTER($Q$2:Q855,$C$2:C855=C856,$G$2:G855=G856),ROWS(FILTER($Q$2:Q855,$C$2:C855=C856,$G$2:G855=G856)),1),1500)"),-720.0)</f>
        <v>-720</v>
      </c>
      <c r="O856" s="3">
        <f t="shared" si="3"/>
        <v>0</v>
      </c>
      <c r="P856" s="9">
        <f t="shared" si="1"/>
        <v>0</v>
      </c>
      <c r="Q856" s="5">
        <f t="shared" si="2"/>
        <v>-720</v>
      </c>
    </row>
    <row r="857">
      <c r="H857" s="3" t="str">
        <f>IFERROR(__xludf.DUMMYFUNCTION("IFERROR(TRIM(INDEX(SPLIT(E857,"" + ""),1)),"""")"),"")</f>
        <v/>
      </c>
      <c r="I857" s="3" t="str">
        <f>IFERROR(__xludf.DUMMYFUNCTION("IFERROR(TRIM(INDEX(SPLIT(E857,"" + ""),2)),"""")"),"")</f>
        <v/>
      </c>
      <c r="J857" s="5" t="str">
        <f>IFERROR(__xludf.DUMMYFUNCTION("IFERROR(TRIM(INDEX(SPLIT(E857,"" + ""),3)),"""")"),"")</f>
        <v/>
      </c>
      <c r="K857" s="3">
        <f>IFERROR(__xludf.DUMMYFUNCTION("IFERROR(IF(H857="""",0,INDEX(FILTER($Q$2:Q856,$C$2:C856=H857,$G$2:G856=G857),ROWS(FILTER($Q$2:Q856,$C$2:C856=H857,$G$2:G856=G857)),1)),1500)"),0.0)</f>
        <v>0</v>
      </c>
      <c r="L857" s="3">
        <f>IFERROR(__xludf.DUMMYFUNCTION("IFERROR(IF(I857="""",0,INDEX(FILTER($Q$2:Q856,$C$2:C856=I857,$G$2:G856=G857),ROWS(FILTER($Q$2:Q856,$C$2:C856=I857,$G$2:G856=G857)),1)),1500)"),0.0)</f>
        <v>0</v>
      </c>
      <c r="M857" s="3">
        <f>IFERROR(__xludf.DUMMYFUNCTION("IFERROR(IF(J857="""",0,INDEX(FILTER($Q$2:Q856,$C$2:C856=J857,$G$2:G856=G857),ROWS(FILTER($Q$2:Q856,$C$2:C856=J857,$G$2:G856=G857)),1)),1500)"),0.0)</f>
        <v>0</v>
      </c>
      <c r="N857" s="3">
        <f>IFERROR(__xludf.DUMMYFUNCTION("IFERROR(INDEX(FILTER($Q$2:Q856,$C$2:C856=C857,$G$2:G856=G857),ROWS(FILTER($Q$2:Q856,$C$2:C856=C857,$G$2:G856=G857)),1),1500)"),-720.0)</f>
        <v>-720</v>
      </c>
      <c r="O857" s="3">
        <f t="shared" si="3"/>
        <v>0</v>
      </c>
      <c r="P857" s="9">
        <f t="shared" si="1"/>
        <v>0</v>
      </c>
      <c r="Q857" s="5">
        <f t="shared" si="2"/>
        <v>-720</v>
      </c>
    </row>
    <row r="858">
      <c r="H858" s="3" t="str">
        <f>IFERROR(__xludf.DUMMYFUNCTION("IFERROR(TRIM(INDEX(SPLIT(E858,"" + ""),1)),"""")"),"")</f>
        <v/>
      </c>
      <c r="I858" s="3" t="str">
        <f>IFERROR(__xludf.DUMMYFUNCTION("IFERROR(TRIM(INDEX(SPLIT(E858,"" + ""),2)),"""")"),"")</f>
        <v/>
      </c>
      <c r="J858" s="5" t="str">
        <f>IFERROR(__xludf.DUMMYFUNCTION("IFERROR(TRIM(INDEX(SPLIT(E858,"" + ""),3)),"""")"),"")</f>
        <v/>
      </c>
      <c r="K858" s="3">
        <f>IFERROR(__xludf.DUMMYFUNCTION("IFERROR(IF(H858="""",0,INDEX(FILTER($Q$2:Q857,$C$2:C857=H858,$G$2:G857=G858),ROWS(FILTER($Q$2:Q857,$C$2:C857=H858,$G$2:G857=G858)),1)),1500)"),0.0)</f>
        <v>0</v>
      </c>
      <c r="L858" s="3">
        <f>IFERROR(__xludf.DUMMYFUNCTION("IFERROR(IF(I858="""",0,INDEX(FILTER($Q$2:Q857,$C$2:C857=I858,$G$2:G857=G858),ROWS(FILTER($Q$2:Q857,$C$2:C857=I858,$G$2:G857=G858)),1)),1500)"),0.0)</f>
        <v>0</v>
      </c>
      <c r="M858" s="3">
        <f>IFERROR(__xludf.DUMMYFUNCTION("IFERROR(IF(J858="""",0,INDEX(FILTER($Q$2:Q857,$C$2:C857=J858,$G$2:G857=G858),ROWS(FILTER($Q$2:Q857,$C$2:C857=J858,$G$2:G857=G858)),1)),1500)"),0.0)</f>
        <v>0</v>
      </c>
      <c r="N858" s="3">
        <f>IFERROR(__xludf.DUMMYFUNCTION("IFERROR(INDEX(FILTER($Q$2:Q857,$C$2:C857=C858,$G$2:G857=G858),ROWS(FILTER($Q$2:Q857,$C$2:C857=C858,$G$2:G857=G858)),1),1500)"),-720.0)</f>
        <v>-720</v>
      </c>
      <c r="O858" s="3">
        <f t="shared" si="3"/>
        <v>0</v>
      </c>
      <c r="P858" s="9">
        <f t="shared" si="1"/>
        <v>0</v>
      </c>
      <c r="Q858" s="5">
        <f t="shared" si="2"/>
        <v>-720</v>
      </c>
    </row>
    <row r="859">
      <c r="H859" s="3" t="str">
        <f>IFERROR(__xludf.DUMMYFUNCTION("IFERROR(TRIM(INDEX(SPLIT(E859,"" + ""),1)),"""")"),"")</f>
        <v/>
      </c>
      <c r="I859" s="3" t="str">
        <f>IFERROR(__xludf.DUMMYFUNCTION("IFERROR(TRIM(INDEX(SPLIT(E859,"" + ""),2)),"""")"),"")</f>
        <v/>
      </c>
      <c r="J859" s="5" t="str">
        <f>IFERROR(__xludf.DUMMYFUNCTION("IFERROR(TRIM(INDEX(SPLIT(E859,"" + ""),3)),"""")"),"")</f>
        <v/>
      </c>
      <c r="K859" s="3">
        <f>IFERROR(__xludf.DUMMYFUNCTION("IFERROR(IF(H859="""",0,INDEX(FILTER($Q$2:Q858,$C$2:C858=H859,$G$2:G858=G859),ROWS(FILTER($Q$2:Q858,$C$2:C858=H859,$G$2:G858=G859)),1)),1500)"),0.0)</f>
        <v>0</v>
      </c>
      <c r="L859" s="3">
        <f>IFERROR(__xludf.DUMMYFUNCTION("IFERROR(IF(I859="""",0,INDEX(FILTER($Q$2:Q858,$C$2:C858=I859,$G$2:G858=G859),ROWS(FILTER($Q$2:Q858,$C$2:C858=I859,$G$2:G858=G859)),1)),1500)"),0.0)</f>
        <v>0</v>
      </c>
      <c r="M859" s="3">
        <f>IFERROR(__xludf.DUMMYFUNCTION("IFERROR(IF(J859="""",0,INDEX(FILTER($Q$2:Q858,$C$2:C858=J859,$G$2:G858=G859),ROWS(FILTER($Q$2:Q858,$C$2:C858=J859,$G$2:G858=G859)),1)),1500)"),0.0)</f>
        <v>0</v>
      </c>
      <c r="N859" s="3">
        <f>IFERROR(__xludf.DUMMYFUNCTION("IFERROR(INDEX(FILTER($Q$2:Q858,$C$2:C858=C859,$G$2:G858=G859),ROWS(FILTER($Q$2:Q858,$C$2:C858=C859,$G$2:G858=G859)),1),1500)"),-720.0)</f>
        <v>-720</v>
      </c>
      <c r="O859" s="3">
        <f t="shared" si="3"/>
        <v>0</v>
      </c>
      <c r="P859" s="9">
        <f t="shared" si="1"/>
        <v>0</v>
      </c>
      <c r="Q859" s="5">
        <f t="shared" si="2"/>
        <v>-720</v>
      </c>
    </row>
    <row r="860">
      <c r="H860" s="3" t="str">
        <f>IFERROR(__xludf.DUMMYFUNCTION("IFERROR(TRIM(INDEX(SPLIT(E860,"" + ""),1)),"""")"),"")</f>
        <v/>
      </c>
      <c r="I860" s="3" t="str">
        <f>IFERROR(__xludf.DUMMYFUNCTION("IFERROR(TRIM(INDEX(SPLIT(E860,"" + ""),2)),"""")"),"")</f>
        <v/>
      </c>
      <c r="J860" s="5" t="str">
        <f>IFERROR(__xludf.DUMMYFUNCTION("IFERROR(TRIM(INDEX(SPLIT(E860,"" + ""),3)),"""")"),"")</f>
        <v/>
      </c>
      <c r="K860" s="3">
        <f>IFERROR(__xludf.DUMMYFUNCTION("IFERROR(IF(H860="""",0,INDEX(FILTER($Q$2:Q859,$C$2:C859=H860,$G$2:G859=G860),ROWS(FILTER($Q$2:Q859,$C$2:C859=H860,$G$2:G859=G860)),1)),1500)"),0.0)</f>
        <v>0</v>
      </c>
      <c r="L860" s="3">
        <f>IFERROR(__xludf.DUMMYFUNCTION("IFERROR(IF(I860="""",0,INDEX(FILTER($Q$2:Q859,$C$2:C859=I860,$G$2:G859=G860),ROWS(FILTER($Q$2:Q859,$C$2:C859=I860,$G$2:G859=G860)),1)),1500)"),0.0)</f>
        <v>0</v>
      </c>
      <c r="M860" s="3">
        <f>IFERROR(__xludf.DUMMYFUNCTION("IFERROR(IF(J860="""",0,INDEX(FILTER($Q$2:Q859,$C$2:C859=J860,$G$2:G859=G860),ROWS(FILTER($Q$2:Q859,$C$2:C859=J860,$G$2:G859=G860)),1)),1500)"),0.0)</f>
        <v>0</v>
      </c>
      <c r="N860" s="3">
        <f>IFERROR(__xludf.DUMMYFUNCTION("IFERROR(INDEX(FILTER($Q$2:Q859,$C$2:C859=C860,$G$2:G859=G860),ROWS(FILTER($Q$2:Q859,$C$2:C859=C860,$G$2:G859=G860)),1),1500)"),-720.0)</f>
        <v>-720</v>
      </c>
      <c r="O860" s="3">
        <f t="shared" si="3"/>
        <v>0</v>
      </c>
      <c r="P860" s="9">
        <f t="shared" si="1"/>
        <v>0</v>
      </c>
      <c r="Q860" s="5">
        <f t="shared" si="2"/>
        <v>-720</v>
      </c>
    </row>
    <row r="861">
      <c r="H861" s="3" t="str">
        <f>IFERROR(__xludf.DUMMYFUNCTION("IFERROR(TRIM(INDEX(SPLIT(E861,"" + ""),1)),"""")"),"")</f>
        <v/>
      </c>
      <c r="I861" s="3" t="str">
        <f>IFERROR(__xludf.DUMMYFUNCTION("IFERROR(TRIM(INDEX(SPLIT(E861,"" + ""),2)),"""")"),"")</f>
        <v/>
      </c>
      <c r="J861" s="5" t="str">
        <f>IFERROR(__xludf.DUMMYFUNCTION("IFERROR(TRIM(INDEX(SPLIT(E861,"" + ""),3)),"""")"),"")</f>
        <v/>
      </c>
      <c r="K861" s="3">
        <f>IFERROR(__xludf.DUMMYFUNCTION("IFERROR(IF(H861="""",0,INDEX(FILTER($Q$2:Q860,$C$2:C860=H861,$G$2:G860=G861),ROWS(FILTER($Q$2:Q860,$C$2:C860=H861,$G$2:G860=G861)),1)),1500)"),0.0)</f>
        <v>0</v>
      </c>
      <c r="L861" s="3">
        <f>IFERROR(__xludf.DUMMYFUNCTION("IFERROR(IF(I861="""",0,INDEX(FILTER($Q$2:Q860,$C$2:C860=I861,$G$2:G860=G861),ROWS(FILTER($Q$2:Q860,$C$2:C860=I861,$G$2:G860=G861)),1)),1500)"),0.0)</f>
        <v>0</v>
      </c>
      <c r="M861" s="3">
        <f>IFERROR(__xludf.DUMMYFUNCTION("IFERROR(IF(J861="""",0,INDEX(FILTER($Q$2:Q860,$C$2:C860=J861,$G$2:G860=G861),ROWS(FILTER($Q$2:Q860,$C$2:C860=J861,$G$2:G860=G861)),1)),1500)"),0.0)</f>
        <v>0</v>
      </c>
      <c r="N861" s="3">
        <f>IFERROR(__xludf.DUMMYFUNCTION("IFERROR(INDEX(FILTER($Q$2:Q860,$C$2:C860=C861,$G$2:G860=G861),ROWS(FILTER($Q$2:Q860,$C$2:C860=C861,$G$2:G860=G861)),1),1500)"),-720.0)</f>
        <v>-720</v>
      </c>
      <c r="O861" s="3">
        <f t="shared" si="3"/>
        <v>0</v>
      </c>
      <c r="P861" s="9">
        <f t="shared" si="1"/>
        <v>0</v>
      </c>
      <c r="Q861" s="5">
        <f t="shared" si="2"/>
        <v>-720</v>
      </c>
    </row>
    <row r="862">
      <c r="H862" s="3" t="str">
        <f>IFERROR(__xludf.DUMMYFUNCTION("IFERROR(TRIM(INDEX(SPLIT(E862,"" + ""),1)),"""")"),"")</f>
        <v/>
      </c>
      <c r="I862" s="3" t="str">
        <f>IFERROR(__xludf.DUMMYFUNCTION("IFERROR(TRIM(INDEX(SPLIT(E862,"" + ""),2)),"""")"),"")</f>
        <v/>
      </c>
      <c r="J862" s="5" t="str">
        <f>IFERROR(__xludf.DUMMYFUNCTION("IFERROR(TRIM(INDEX(SPLIT(E862,"" + ""),3)),"""")"),"")</f>
        <v/>
      </c>
      <c r="K862" s="3">
        <f>IFERROR(__xludf.DUMMYFUNCTION("IFERROR(IF(H862="""",0,INDEX(FILTER($Q$2:Q861,$C$2:C861=H862,$G$2:G861=G862),ROWS(FILTER($Q$2:Q861,$C$2:C861=H862,$G$2:G861=G862)),1)),1500)"),0.0)</f>
        <v>0</v>
      </c>
      <c r="L862" s="3">
        <f>IFERROR(__xludf.DUMMYFUNCTION("IFERROR(IF(I862="""",0,INDEX(FILTER($Q$2:Q861,$C$2:C861=I862,$G$2:G861=G862),ROWS(FILTER($Q$2:Q861,$C$2:C861=I862,$G$2:G861=G862)),1)),1500)"),0.0)</f>
        <v>0</v>
      </c>
      <c r="M862" s="3">
        <f>IFERROR(__xludf.DUMMYFUNCTION("IFERROR(IF(J862="""",0,INDEX(FILTER($Q$2:Q861,$C$2:C861=J862,$G$2:G861=G862),ROWS(FILTER($Q$2:Q861,$C$2:C861=J862,$G$2:G861=G862)),1)),1500)"),0.0)</f>
        <v>0</v>
      </c>
      <c r="N862" s="3">
        <f>IFERROR(__xludf.DUMMYFUNCTION("IFERROR(INDEX(FILTER($Q$2:Q861,$C$2:C861=C862,$G$2:G861=G862),ROWS(FILTER($Q$2:Q861,$C$2:C861=C862,$G$2:G861=G862)),1),1500)"),-720.0)</f>
        <v>-720</v>
      </c>
      <c r="O862" s="3">
        <f t="shared" si="3"/>
        <v>0</v>
      </c>
      <c r="P862" s="9">
        <f t="shared" si="1"/>
        <v>0</v>
      </c>
      <c r="Q862" s="5">
        <f t="shared" si="2"/>
        <v>-720</v>
      </c>
    </row>
    <row r="863">
      <c r="H863" s="3" t="str">
        <f>IFERROR(__xludf.DUMMYFUNCTION("IFERROR(TRIM(INDEX(SPLIT(E863,"" + ""),1)),"""")"),"")</f>
        <v/>
      </c>
      <c r="I863" s="3" t="str">
        <f>IFERROR(__xludf.DUMMYFUNCTION("IFERROR(TRIM(INDEX(SPLIT(E863,"" + ""),2)),"""")"),"")</f>
        <v/>
      </c>
      <c r="J863" s="5" t="str">
        <f>IFERROR(__xludf.DUMMYFUNCTION("IFERROR(TRIM(INDEX(SPLIT(E863,"" + ""),3)),"""")"),"")</f>
        <v/>
      </c>
      <c r="K863" s="3">
        <f>IFERROR(__xludf.DUMMYFUNCTION("IFERROR(IF(H863="""",0,INDEX(FILTER($Q$2:Q862,$C$2:C862=H863,$G$2:G862=G863),ROWS(FILTER($Q$2:Q862,$C$2:C862=H863,$G$2:G862=G863)),1)),1500)"),0.0)</f>
        <v>0</v>
      </c>
      <c r="L863" s="3">
        <f>IFERROR(__xludf.DUMMYFUNCTION("IFERROR(IF(I863="""",0,INDEX(FILTER($Q$2:Q862,$C$2:C862=I863,$G$2:G862=G863),ROWS(FILTER($Q$2:Q862,$C$2:C862=I863,$G$2:G862=G863)),1)),1500)"),0.0)</f>
        <v>0</v>
      </c>
      <c r="M863" s="3">
        <f>IFERROR(__xludf.DUMMYFUNCTION("IFERROR(IF(J863="""",0,INDEX(FILTER($Q$2:Q862,$C$2:C862=J863,$G$2:G862=G863),ROWS(FILTER($Q$2:Q862,$C$2:C862=J863,$G$2:G862=G863)),1)),1500)"),0.0)</f>
        <v>0</v>
      </c>
      <c r="N863" s="3">
        <f>IFERROR(__xludf.DUMMYFUNCTION("IFERROR(INDEX(FILTER($Q$2:Q862,$C$2:C862=C863,$G$2:G862=G863),ROWS(FILTER($Q$2:Q862,$C$2:C862=C863,$G$2:G862=G863)),1),1500)"),-720.0)</f>
        <v>-720</v>
      </c>
      <c r="O863" s="3">
        <f t="shared" si="3"/>
        <v>0</v>
      </c>
      <c r="P863" s="9">
        <f t="shared" si="1"/>
        <v>0</v>
      </c>
      <c r="Q863" s="5">
        <f t="shared" si="2"/>
        <v>-720</v>
      </c>
    </row>
    <row r="864">
      <c r="H864" s="3" t="str">
        <f>IFERROR(__xludf.DUMMYFUNCTION("IFERROR(TRIM(INDEX(SPLIT(E864,"" + ""),1)),"""")"),"")</f>
        <v/>
      </c>
      <c r="I864" s="3" t="str">
        <f>IFERROR(__xludf.DUMMYFUNCTION("IFERROR(TRIM(INDEX(SPLIT(E864,"" + ""),2)),"""")"),"")</f>
        <v/>
      </c>
      <c r="J864" s="5" t="str">
        <f>IFERROR(__xludf.DUMMYFUNCTION("IFERROR(TRIM(INDEX(SPLIT(E864,"" + ""),3)),"""")"),"")</f>
        <v/>
      </c>
      <c r="K864" s="3">
        <f>IFERROR(__xludf.DUMMYFUNCTION("IFERROR(IF(H864="""",0,INDEX(FILTER($Q$2:Q863,$C$2:C863=H864,$G$2:G863=G864),ROWS(FILTER($Q$2:Q863,$C$2:C863=H864,$G$2:G863=G864)),1)),1500)"),0.0)</f>
        <v>0</v>
      </c>
      <c r="L864" s="3">
        <f>IFERROR(__xludf.DUMMYFUNCTION("IFERROR(IF(I864="""",0,INDEX(FILTER($Q$2:Q863,$C$2:C863=I864,$G$2:G863=G864),ROWS(FILTER($Q$2:Q863,$C$2:C863=I864,$G$2:G863=G864)),1)),1500)"),0.0)</f>
        <v>0</v>
      </c>
      <c r="M864" s="3">
        <f>IFERROR(__xludf.DUMMYFUNCTION("IFERROR(IF(J864="""",0,INDEX(FILTER($Q$2:Q863,$C$2:C863=J864,$G$2:G863=G864),ROWS(FILTER($Q$2:Q863,$C$2:C863=J864,$G$2:G863=G864)),1)),1500)"),0.0)</f>
        <v>0</v>
      </c>
      <c r="N864" s="3">
        <f>IFERROR(__xludf.DUMMYFUNCTION("IFERROR(INDEX(FILTER($Q$2:Q863,$C$2:C863=C864,$G$2:G863=G864),ROWS(FILTER($Q$2:Q863,$C$2:C863=C864,$G$2:G863=G864)),1),1500)"),-720.0)</f>
        <v>-720</v>
      </c>
      <c r="O864" s="3">
        <f t="shared" si="3"/>
        <v>0</v>
      </c>
      <c r="P864" s="9">
        <f t="shared" si="1"/>
        <v>0</v>
      </c>
      <c r="Q864" s="5">
        <f t="shared" si="2"/>
        <v>-720</v>
      </c>
    </row>
    <row r="865">
      <c r="H865" s="3" t="str">
        <f>IFERROR(__xludf.DUMMYFUNCTION("IFERROR(TRIM(INDEX(SPLIT(E865,"" + ""),1)),"""")"),"")</f>
        <v/>
      </c>
      <c r="I865" s="3" t="str">
        <f>IFERROR(__xludf.DUMMYFUNCTION("IFERROR(TRIM(INDEX(SPLIT(E865,"" + ""),2)),"""")"),"")</f>
        <v/>
      </c>
      <c r="J865" s="5" t="str">
        <f>IFERROR(__xludf.DUMMYFUNCTION("IFERROR(TRIM(INDEX(SPLIT(E865,"" + ""),3)),"""")"),"")</f>
        <v/>
      </c>
      <c r="K865" s="3">
        <f>IFERROR(__xludf.DUMMYFUNCTION("IFERROR(IF(H865="""",0,INDEX(FILTER($Q$2:Q864,$C$2:C864=H865,$G$2:G864=G865),ROWS(FILTER($Q$2:Q864,$C$2:C864=H865,$G$2:G864=G865)),1)),1500)"),0.0)</f>
        <v>0</v>
      </c>
      <c r="L865" s="3">
        <f>IFERROR(__xludf.DUMMYFUNCTION("IFERROR(IF(I865="""",0,INDEX(FILTER($Q$2:Q864,$C$2:C864=I865,$G$2:G864=G865),ROWS(FILTER($Q$2:Q864,$C$2:C864=I865,$G$2:G864=G865)),1)),1500)"),0.0)</f>
        <v>0</v>
      </c>
      <c r="M865" s="3">
        <f>IFERROR(__xludf.DUMMYFUNCTION("IFERROR(IF(J865="""",0,INDEX(FILTER($Q$2:Q864,$C$2:C864=J865,$G$2:G864=G865),ROWS(FILTER($Q$2:Q864,$C$2:C864=J865,$G$2:G864=G865)),1)),1500)"),0.0)</f>
        <v>0</v>
      </c>
      <c r="N865" s="3">
        <f>IFERROR(__xludf.DUMMYFUNCTION("IFERROR(INDEX(FILTER($Q$2:Q864,$C$2:C864=C865,$G$2:G864=G865),ROWS(FILTER($Q$2:Q864,$C$2:C864=C865,$G$2:G864=G865)),1),1500)"),-720.0)</f>
        <v>-720</v>
      </c>
      <c r="O865" s="3">
        <f t="shared" si="3"/>
        <v>0</v>
      </c>
      <c r="P865" s="9">
        <f t="shared" si="1"/>
        <v>0</v>
      </c>
      <c r="Q865" s="5">
        <f t="shared" si="2"/>
        <v>-720</v>
      </c>
    </row>
    <row r="866">
      <c r="H866" s="3" t="str">
        <f>IFERROR(__xludf.DUMMYFUNCTION("IFERROR(TRIM(INDEX(SPLIT(E866,"" + ""),1)),"""")"),"")</f>
        <v/>
      </c>
      <c r="I866" s="3" t="str">
        <f>IFERROR(__xludf.DUMMYFUNCTION("IFERROR(TRIM(INDEX(SPLIT(E866,"" + ""),2)),"""")"),"")</f>
        <v/>
      </c>
      <c r="J866" s="5" t="str">
        <f>IFERROR(__xludf.DUMMYFUNCTION("IFERROR(TRIM(INDEX(SPLIT(E866,"" + ""),3)),"""")"),"")</f>
        <v/>
      </c>
      <c r="K866" s="3">
        <f>IFERROR(__xludf.DUMMYFUNCTION("IFERROR(IF(H866="""",0,INDEX(FILTER($Q$2:Q865,$C$2:C865=H866,$G$2:G865=G866),ROWS(FILTER($Q$2:Q865,$C$2:C865=H866,$G$2:G865=G866)),1)),1500)"),0.0)</f>
        <v>0</v>
      </c>
      <c r="L866" s="3">
        <f>IFERROR(__xludf.DUMMYFUNCTION("IFERROR(IF(I866="""",0,INDEX(FILTER($Q$2:Q865,$C$2:C865=I866,$G$2:G865=G866),ROWS(FILTER($Q$2:Q865,$C$2:C865=I866,$G$2:G865=G866)),1)),1500)"),0.0)</f>
        <v>0</v>
      </c>
      <c r="M866" s="3">
        <f>IFERROR(__xludf.DUMMYFUNCTION("IFERROR(IF(J866="""",0,INDEX(FILTER($Q$2:Q865,$C$2:C865=J866,$G$2:G865=G866),ROWS(FILTER($Q$2:Q865,$C$2:C865=J866,$G$2:G865=G866)),1)),1500)"),0.0)</f>
        <v>0</v>
      </c>
      <c r="N866" s="3">
        <f>IFERROR(__xludf.DUMMYFUNCTION("IFERROR(INDEX(FILTER($Q$2:Q865,$C$2:C865=C866,$G$2:G865=G866),ROWS(FILTER($Q$2:Q865,$C$2:C865=C866,$G$2:G865=G866)),1),1500)"),-720.0)</f>
        <v>-720</v>
      </c>
      <c r="O866" s="3">
        <f t="shared" si="3"/>
        <v>0</v>
      </c>
      <c r="P866" s="9">
        <f t="shared" si="1"/>
        <v>0</v>
      </c>
      <c r="Q866" s="5">
        <f t="shared" si="2"/>
        <v>-720</v>
      </c>
    </row>
    <row r="867">
      <c r="H867" s="3" t="str">
        <f>IFERROR(__xludf.DUMMYFUNCTION("IFERROR(TRIM(INDEX(SPLIT(E867,"" + ""),1)),"""")"),"")</f>
        <v/>
      </c>
      <c r="I867" s="3" t="str">
        <f>IFERROR(__xludf.DUMMYFUNCTION("IFERROR(TRIM(INDEX(SPLIT(E867,"" + ""),2)),"""")"),"")</f>
        <v/>
      </c>
      <c r="J867" s="5" t="str">
        <f>IFERROR(__xludf.DUMMYFUNCTION("IFERROR(TRIM(INDEX(SPLIT(E867,"" + ""),3)),"""")"),"")</f>
        <v/>
      </c>
      <c r="K867" s="3">
        <f>IFERROR(__xludf.DUMMYFUNCTION("IFERROR(IF(H867="""",0,INDEX(FILTER($Q$2:Q866,$C$2:C866=H867,$G$2:G866=G867),ROWS(FILTER($Q$2:Q866,$C$2:C866=H867,$G$2:G866=G867)),1)),1500)"),0.0)</f>
        <v>0</v>
      </c>
      <c r="L867" s="3">
        <f>IFERROR(__xludf.DUMMYFUNCTION("IFERROR(IF(I867="""",0,INDEX(FILTER($Q$2:Q866,$C$2:C866=I867,$G$2:G866=G867),ROWS(FILTER($Q$2:Q866,$C$2:C866=I867,$G$2:G866=G867)),1)),1500)"),0.0)</f>
        <v>0</v>
      </c>
      <c r="M867" s="3">
        <f>IFERROR(__xludf.DUMMYFUNCTION("IFERROR(IF(J867="""",0,INDEX(FILTER($Q$2:Q866,$C$2:C866=J867,$G$2:G866=G867),ROWS(FILTER($Q$2:Q866,$C$2:C866=J867,$G$2:G866=G867)),1)),1500)"),0.0)</f>
        <v>0</v>
      </c>
      <c r="N867" s="3">
        <f>IFERROR(__xludf.DUMMYFUNCTION("IFERROR(INDEX(FILTER($Q$2:Q866,$C$2:C866=C867,$G$2:G866=G867),ROWS(FILTER($Q$2:Q866,$C$2:C866=C867,$G$2:G866=G867)),1),1500)"),-720.0)</f>
        <v>-720</v>
      </c>
      <c r="O867" s="3">
        <f t="shared" si="3"/>
        <v>0</v>
      </c>
      <c r="P867" s="9">
        <f t="shared" si="1"/>
        <v>0</v>
      </c>
      <c r="Q867" s="5">
        <f t="shared" si="2"/>
        <v>-720</v>
      </c>
    </row>
    <row r="868">
      <c r="H868" s="3" t="str">
        <f>IFERROR(__xludf.DUMMYFUNCTION("IFERROR(TRIM(INDEX(SPLIT(E868,"" + ""),1)),"""")"),"")</f>
        <v/>
      </c>
      <c r="I868" s="3" t="str">
        <f>IFERROR(__xludf.DUMMYFUNCTION("IFERROR(TRIM(INDEX(SPLIT(E868,"" + ""),2)),"""")"),"")</f>
        <v/>
      </c>
      <c r="J868" s="5" t="str">
        <f>IFERROR(__xludf.DUMMYFUNCTION("IFERROR(TRIM(INDEX(SPLIT(E868,"" + ""),3)),"""")"),"")</f>
        <v/>
      </c>
      <c r="K868" s="3">
        <f>IFERROR(__xludf.DUMMYFUNCTION("IFERROR(IF(H868="""",0,INDEX(FILTER($Q$2:Q867,$C$2:C867=H868,$G$2:G867=G868),ROWS(FILTER($Q$2:Q867,$C$2:C867=H868,$G$2:G867=G868)),1)),1500)"),0.0)</f>
        <v>0</v>
      </c>
      <c r="L868" s="3">
        <f>IFERROR(__xludf.DUMMYFUNCTION("IFERROR(IF(I868="""",0,INDEX(FILTER($Q$2:Q867,$C$2:C867=I868,$G$2:G867=G868),ROWS(FILTER($Q$2:Q867,$C$2:C867=I868,$G$2:G867=G868)),1)),1500)"),0.0)</f>
        <v>0</v>
      </c>
      <c r="M868" s="3">
        <f>IFERROR(__xludf.DUMMYFUNCTION("IFERROR(IF(J868="""",0,INDEX(FILTER($Q$2:Q867,$C$2:C867=J868,$G$2:G867=G868),ROWS(FILTER($Q$2:Q867,$C$2:C867=J868,$G$2:G867=G868)),1)),1500)"),0.0)</f>
        <v>0</v>
      </c>
      <c r="N868" s="3">
        <f>IFERROR(__xludf.DUMMYFUNCTION("IFERROR(INDEX(FILTER($Q$2:Q867,$C$2:C867=C868,$G$2:G867=G868),ROWS(FILTER($Q$2:Q867,$C$2:C867=C868,$G$2:G867=G868)),1),1500)"),-720.0)</f>
        <v>-720</v>
      </c>
      <c r="O868" s="3">
        <f t="shared" si="3"/>
        <v>0</v>
      </c>
      <c r="P868" s="9">
        <f t="shared" si="1"/>
        <v>0</v>
      </c>
      <c r="Q868" s="5">
        <f t="shared" si="2"/>
        <v>-720</v>
      </c>
    </row>
    <row r="869">
      <c r="H869" s="3" t="str">
        <f>IFERROR(__xludf.DUMMYFUNCTION("IFERROR(TRIM(INDEX(SPLIT(E869,"" + ""),1)),"""")"),"")</f>
        <v/>
      </c>
      <c r="I869" s="3" t="str">
        <f>IFERROR(__xludf.DUMMYFUNCTION("IFERROR(TRIM(INDEX(SPLIT(E869,"" + ""),2)),"""")"),"")</f>
        <v/>
      </c>
      <c r="J869" s="5" t="str">
        <f>IFERROR(__xludf.DUMMYFUNCTION("IFERROR(TRIM(INDEX(SPLIT(E869,"" + ""),3)),"""")"),"")</f>
        <v/>
      </c>
      <c r="K869" s="3">
        <f>IFERROR(__xludf.DUMMYFUNCTION("IFERROR(IF(H869="""",0,INDEX(FILTER($Q$2:Q868,$C$2:C868=H869,$G$2:G868=G869),ROWS(FILTER($Q$2:Q868,$C$2:C868=H869,$G$2:G868=G869)),1)),1500)"),0.0)</f>
        <v>0</v>
      </c>
      <c r="L869" s="3">
        <f>IFERROR(__xludf.DUMMYFUNCTION("IFERROR(IF(I869="""",0,INDEX(FILTER($Q$2:Q868,$C$2:C868=I869,$G$2:G868=G869),ROWS(FILTER($Q$2:Q868,$C$2:C868=I869,$G$2:G868=G869)),1)),1500)"),0.0)</f>
        <v>0</v>
      </c>
      <c r="M869" s="3">
        <f>IFERROR(__xludf.DUMMYFUNCTION("IFERROR(IF(J869="""",0,INDEX(FILTER($Q$2:Q868,$C$2:C868=J869,$G$2:G868=G869),ROWS(FILTER($Q$2:Q868,$C$2:C868=J869,$G$2:G868=G869)),1)),1500)"),0.0)</f>
        <v>0</v>
      </c>
      <c r="N869" s="3">
        <f>IFERROR(__xludf.DUMMYFUNCTION("IFERROR(INDEX(FILTER($Q$2:Q868,$C$2:C868=C869,$G$2:G868=G869),ROWS(FILTER($Q$2:Q868,$C$2:C868=C869,$G$2:G868=G869)),1),1500)"),-720.0)</f>
        <v>-720</v>
      </c>
      <c r="O869" s="3">
        <f t="shared" si="3"/>
        <v>0</v>
      </c>
      <c r="P869" s="9">
        <f t="shared" si="1"/>
        <v>0</v>
      </c>
      <c r="Q869" s="5">
        <f t="shared" si="2"/>
        <v>-720</v>
      </c>
    </row>
    <row r="870">
      <c r="H870" s="3" t="str">
        <f>IFERROR(__xludf.DUMMYFUNCTION("IFERROR(TRIM(INDEX(SPLIT(E870,"" + ""),1)),"""")"),"")</f>
        <v/>
      </c>
      <c r="I870" s="3" t="str">
        <f>IFERROR(__xludf.DUMMYFUNCTION("IFERROR(TRIM(INDEX(SPLIT(E870,"" + ""),2)),"""")"),"")</f>
        <v/>
      </c>
      <c r="J870" s="5" t="str">
        <f>IFERROR(__xludf.DUMMYFUNCTION("IFERROR(TRIM(INDEX(SPLIT(E870,"" + ""),3)),"""")"),"")</f>
        <v/>
      </c>
      <c r="K870" s="3">
        <f>IFERROR(__xludf.DUMMYFUNCTION("IFERROR(IF(H870="""",0,INDEX(FILTER($Q$2:Q869,$C$2:C869=H870,$G$2:G869=G870),ROWS(FILTER($Q$2:Q869,$C$2:C869=H870,$G$2:G869=G870)),1)),1500)"),0.0)</f>
        <v>0</v>
      </c>
      <c r="L870" s="3">
        <f>IFERROR(__xludf.DUMMYFUNCTION("IFERROR(IF(I870="""",0,INDEX(FILTER($Q$2:Q869,$C$2:C869=I870,$G$2:G869=G870),ROWS(FILTER($Q$2:Q869,$C$2:C869=I870,$G$2:G869=G870)),1)),1500)"),0.0)</f>
        <v>0</v>
      </c>
      <c r="M870" s="3">
        <f>IFERROR(__xludf.DUMMYFUNCTION("IFERROR(IF(J870="""",0,INDEX(FILTER($Q$2:Q869,$C$2:C869=J870,$G$2:G869=G870),ROWS(FILTER($Q$2:Q869,$C$2:C869=J870,$G$2:G869=G870)),1)),1500)"),0.0)</f>
        <v>0</v>
      </c>
      <c r="N870" s="3">
        <f>IFERROR(__xludf.DUMMYFUNCTION("IFERROR(INDEX(FILTER($Q$2:Q869,$C$2:C869=C870,$G$2:G869=G870),ROWS(FILTER($Q$2:Q869,$C$2:C869=C870,$G$2:G869=G870)),1),1500)"),-720.0)</f>
        <v>-720</v>
      </c>
      <c r="O870" s="3">
        <f t="shared" si="3"/>
        <v>0</v>
      </c>
      <c r="P870" s="9">
        <f t="shared" si="1"/>
        <v>0</v>
      </c>
      <c r="Q870" s="5">
        <f t="shared" si="2"/>
        <v>-720</v>
      </c>
    </row>
    <row r="871">
      <c r="H871" s="3" t="str">
        <f>IFERROR(__xludf.DUMMYFUNCTION("IFERROR(TRIM(INDEX(SPLIT(E871,"" + ""),1)),"""")"),"")</f>
        <v/>
      </c>
      <c r="I871" s="3" t="str">
        <f>IFERROR(__xludf.DUMMYFUNCTION("IFERROR(TRIM(INDEX(SPLIT(E871,"" + ""),2)),"""")"),"")</f>
        <v/>
      </c>
      <c r="J871" s="5" t="str">
        <f>IFERROR(__xludf.DUMMYFUNCTION("IFERROR(TRIM(INDEX(SPLIT(E871,"" + ""),3)),"""")"),"")</f>
        <v/>
      </c>
      <c r="K871" s="3">
        <f>IFERROR(__xludf.DUMMYFUNCTION("IFERROR(IF(H871="""",0,INDEX(FILTER($Q$2:Q870,$C$2:C870=H871,$G$2:G870=G871),ROWS(FILTER($Q$2:Q870,$C$2:C870=H871,$G$2:G870=G871)),1)),1500)"),0.0)</f>
        <v>0</v>
      </c>
      <c r="L871" s="3">
        <f>IFERROR(__xludf.DUMMYFUNCTION("IFERROR(IF(I871="""",0,INDEX(FILTER($Q$2:Q870,$C$2:C870=I871,$G$2:G870=G871),ROWS(FILTER($Q$2:Q870,$C$2:C870=I871,$G$2:G870=G871)),1)),1500)"),0.0)</f>
        <v>0</v>
      </c>
      <c r="M871" s="3">
        <f>IFERROR(__xludf.DUMMYFUNCTION("IFERROR(IF(J871="""",0,INDEX(FILTER($Q$2:Q870,$C$2:C870=J871,$G$2:G870=G871),ROWS(FILTER($Q$2:Q870,$C$2:C870=J871,$G$2:G870=G871)),1)),1500)"),0.0)</f>
        <v>0</v>
      </c>
      <c r="N871" s="3">
        <f>IFERROR(__xludf.DUMMYFUNCTION("IFERROR(INDEX(FILTER($Q$2:Q870,$C$2:C870=C871,$G$2:G870=G871),ROWS(FILTER($Q$2:Q870,$C$2:C870=C871,$G$2:G870=G871)),1),1500)"),-720.0)</f>
        <v>-720</v>
      </c>
      <c r="O871" s="3">
        <f t="shared" si="3"/>
        <v>0</v>
      </c>
      <c r="P871" s="9">
        <f t="shared" si="1"/>
        <v>0</v>
      </c>
      <c r="Q871" s="5">
        <f t="shared" si="2"/>
        <v>-720</v>
      </c>
    </row>
    <row r="872">
      <c r="H872" s="3" t="str">
        <f>IFERROR(__xludf.DUMMYFUNCTION("IFERROR(TRIM(INDEX(SPLIT(E872,"" + ""),1)),"""")"),"")</f>
        <v/>
      </c>
      <c r="I872" s="3" t="str">
        <f>IFERROR(__xludf.DUMMYFUNCTION("IFERROR(TRIM(INDEX(SPLIT(E872,"" + ""),2)),"""")"),"")</f>
        <v/>
      </c>
      <c r="J872" s="5" t="str">
        <f>IFERROR(__xludf.DUMMYFUNCTION("IFERROR(TRIM(INDEX(SPLIT(E872,"" + ""),3)),"""")"),"")</f>
        <v/>
      </c>
      <c r="K872" s="3">
        <f>IFERROR(__xludf.DUMMYFUNCTION("IFERROR(IF(H872="""",0,INDEX(FILTER($Q$2:Q871,$C$2:C871=H872,$G$2:G871=G872),ROWS(FILTER($Q$2:Q871,$C$2:C871=H872,$G$2:G871=G872)),1)),1500)"),0.0)</f>
        <v>0</v>
      </c>
      <c r="L872" s="3">
        <f>IFERROR(__xludf.DUMMYFUNCTION("IFERROR(IF(I872="""",0,INDEX(FILTER($Q$2:Q871,$C$2:C871=I872,$G$2:G871=G872),ROWS(FILTER($Q$2:Q871,$C$2:C871=I872,$G$2:G871=G872)),1)),1500)"),0.0)</f>
        <v>0</v>
      </c>
      <c r="M872" s="3">
        <f>IFERROR(__xludf.DUMMYFUNCTION("IFERROR(IF(J872="""",0,INDEX(FILTER($Q$2:Q871,$C$2:C871=J872,$G$2:G871=G872),ROWS(FILTER($Q$2:Q871,$C$2:C871=J872,$G$2:G871=G872)),1)),1500)"),0.0)</f>
        <v>0</v>
      </c>
      <c r="N872" s="3">
        <f>IFERROR(__xludf.DUMMYFUNCTION("IFERROR(INDEX(FILTER($Q$2:Q871,$C$2:C871=C872,$G$2:G871=G872),ROWS(FILTER($Q$2:Q871,$C$2:C871=C872,$G$2:G871=G872)),1),1500)"),-720.0)</f>
        <v>-720</v>
      </c>
      <c r="O872" s="3">
        <f t="shared" si="3"/>
        <v>0</v>
      </c>
      <c r="P872" s="9">
        <f t="shared" si="1"/>
        <v>0</v>
      </c>
      <c r="Q872" s="5">
        <f t="shared" si="2"/>
        <v>-720</v>
      </c>
    </row>
    <row r="873">
      <c r="H873" s="3" t="str">
        <f>IFERROR(__xludf.DUMMYFUNCTION("IFERROR(TRIM(INDEX(SPLIT(E873,"" + ""),1)),"""")"),"")</f>
        <v/>
      </c>
      <c r="I873" s="3" t="str">
        <f>IFERROR(__xludf.DUMMYFUNCTION("IFERROR(TRIM(INDEX(SPLIT(E873,"" + ""),2)),"""")"),"")</f>
        <v/>
      </c>
      <c r="J873" s="5" t="str">
        <f>IFERROR(__xludf.DUMMYFUNCTION("IFERROR(TRIM(INDEX(SPLIT(E873,"" + ""),3)),"""")"),"")</f>
        <v/>
      </c>
      <c r="K873" s="3">
        <f>IFERROR(__xludf.DUMMYFUNCTION("IFERROR(IF(H873="""",0,INDEX(FILTER($Q$2:Q872,$C$2:C872=H873,$G$2:G872=G873),ROWS(FILTER($Q$2:Q872,$C$2:C872=H873,$G$2:G872=G873)),1)),1500)"),0.0)</f>
        <v>0</v>
      </c>
      <c r="L873" s="3">
        <f>IFERROR(__xludf.DUMMYFUNCTION("IFERROR(IF(I873="""",0,INDEX(FILTER($Q$2:Q872,$C$2:C872=I873,$G$2:G872=G873),ROWS(FILTER($Q$2:Q872,$C$2:C872=I873,$G$2:G872=G873)),1)),1500)"),0.0)</f>
        <v>0</v>
      </c>
      <c r="M873" s="3">
        <f>IFERROR(__xludf.DUMMYFUNCTION("IFERROR(IF(J873="""",0,INDEX(FILTER($Q$2:Q872,$C$2:C872=J873,$G$2:G872=G873),ROWS(FILTER($Q$2:Q872,$C$2:C872=J873,$G$2:G872=G873)),1)),1500)"),0.0)</f>
        <v>0</v>
      </c>
      <c r="N873" s="3">
        <f>IFERROR(__xludf.DUMMYFUNCTION("IFERROR(INDEX(FILTER($Q$2:Q872,$C$2:C872=C873,$G$2:G872=G873),ROWS(FILTER($Q$2:Q872,$C$2:C872=C873,$G$2:G872=G873)),1),1500)"),-720.0)</f>
        <v>-720</v>
      </c>
      <c r="O873" s="3">
        <f t="shared" si="3"/>
        <v>0</v>
      </c>
      <c r="P873" s="9">
        <f t="shared" si="1"/>
        <v>0</v>
      </c>
      <c r="Q873" s="5">
        <f t="shared" si="2"/>
        <v>-720</v>
      </c>
    </row>
    <row r="874">
      <c r="H874" s="3" t="str">
        <f>IFERROR(__xludf.DUMMYFUNCTION("IFERROR(TRIM(INDEX(SPLIT(E874,"" + ""),1)),"""")"),"")</f>
        <v/>
      </c>
      <c r="I874" s="3" t="str">
        <f>IFERROR(__xludf.DUMMYFUNCTION("IFERROR(TRIM(INDEX(SPLIT(E874,"" + ""),2)),"""")"),"")</f>
        <v/>
      </c>
      <c r="J874" s="5" t="str">
        <f>IFERROR(__xludf.DUMMYFUNCTION("IFERROR(TRIM(INDEX(SPLIT(E874,"" + ""),3)),"""")"),"")</f>
        <v/>
      </c>
      <c r="K874" s="3">
        <f>IFERROR(__xludf.DUMMYFUNCTION("IFERROR(IF(H874="""",0,INDEX(FILTER($Q$2:Q873,$C$2:C873=H874,$G$2:G873=G874),ROWS(FILTER($Q$2:Q873,$C$2:C873=H874,$G$2:G873=G874)),1)),1500)"),0.0)</f>
        <v>0</v>
      </c>
      <c r="L874" s="3">
        <f>IFERROR(__xludf.DUMMYFUNCTION("IFERROR(IF(I874="""",0,INDEX(FILTER($Q$2:Q873,$C$2:C873=I874,$G$2:G873=G874),ROWS(FILTER($Q$2:Q873,$C$2:C873=I874,$G$2:G873=G874)),1)),1500)"),0.0)</f>
        <v>0</v>
      </c>
      <c r="M874" s="3">
        <f>IFERROR(__xludf.DUMMYFUNCTION("IFERROR(IF(J874="""",0,INDEX(FILTER($Q$2:Q873,$C$2:C873=J874,$G$2:G873=G874),ROWS(FILTER($Q$2:Q873,$C$2:C873=J874,$G$2:G873=G874)),1)),1500)"),0.0)</f>
        <v>0</v>
      </c>
      <c r="N874" s="3">
        <f>IFERROR(__xludf.DUMMYFUNCTION("IFERROR(INDEX(FILTER($Q$2:Q873,$C$2:C873=C874,$G$2:G873=G874),ROWS(FILTER($Q$2:Q873,$C$2:C873=C874,$G$2:G873=G874)),1),1500)"),-720.0)</f>
        <v>-720</v>
      </c>
      <c r="O874" s="3">
        <f t="shared" si="3"/>
        <v>0</v>
      </c>
      <c r="P874" s="9">
        <f t="shared" si="1"/>
        <v>0</v>
      </c>
      <c r="Q874" s="5">
        <f t="shared" si="2"/>
        <v>-720</v>
      </c>
    </row>
    <row r="875">
      <c r="H875" s="3" t="str">
        <f>IFERROR(__xludf.DUMMYFUNCTION("IFERROR(TRIM(INDEX(SPLIT(E875,"" + ""),1)),"""")"),"")</f>
        <v/>
      </c>
      <c r="I875" s="3" t="str">
        <f>IFERROR(__xludf.DUMMYFUNCTION("IFERROR(TRIM(INDEX(SPLIT(E875,"" + ""),2)),"""")"),"")</f>
        <v/>
      </c>
      <c r="J875" s="5" t="str">
        <f>IFERROR(__xludf.DUMMYFUNCTION("IFERROR(TRIM(INDEX(SPLIT(E875,"" + ""),3)),"""")"),"")</f>
        <v/>
      </c>
      <c r="K875" s="3">
        <f>IFERROR(__xludf.DUMMYFUNCTION("IFERROR(IF(H875="""",0,INDEX(FILTER($Q$2:Q874,$C$2:C874=H875,$G$2:G874=G875),ROWS(FILTER($Q$2:Q874,$C$2:C874=H875,$G$2:G874=G875)),1)),1500)"),0.0)</f>
        <v>0</v>
      </c>
      <c r="L875" s="3">
        <f>IFERROR(__xludf.DUMMYFUNCTION("IFERROR(IF(I875="""",0,INDEX(FILTER($Q$2:Q874,$C$2:C874=I875,$G$2:G874=G875),ROWS(FILTER($Q$2:Q874,$C$2:C874=I875,$G$2:G874=G875)),1)),1500)"),0.0)</f>
        <v>0</v>
      </c>
      <c r="M875" s="3">
        <f>IFERROR(__xludf.DUMMYFUNCTION("IFERROR(IF(J875="""",0,INDEX(FILTER($Q$2:Q874,$C$2:C874=J875,$G$2:G874=G875),ROWS(FILTER($Q$2:Q874,$C$2:C874=J875,$G$2:G874=G875)),1)),1500)"),0.0)</f>
        <v>0</v>
      </c>
      <c r="N875" s="3">
        <f>IFERROR(__xludf.DUMMYFUNCTION("IFERROR(INDEX(FILTER($Q$2:Q874,$C$2:C874=C875,$G$2:G874=G875),ROWS(FILTER($Q$2:Q874,$C$2:C874=C875,$G$2:G874=G875)),1),1500)"),-720.0)</f>
        <v>-720</v>
      </c>
      <c r="O875" s="3">
        <f t="shared" si="3"/>
        <v>0</v>
      </c>
      <c r="P875" s="9">
        <f t="shared" si="1"/>
        <v>0</v>
      </c>
      <c r="Q875" s="5">
        <f t="shared" si="2"/>
        <v>-720</v>
      </c>
    </row>
    <row r="876">
      <c r="H876" s="3" t="str">
        <f>IFERROR(__xludf.DUMMYFUNCTION("IFERROR(TRIM(INDEX(SPLIT(E876,"" + ""),1)),"""")"),"")</f>
        <v/>
      </c>
      <c r="I876" s="3" t="str">
        <f>IFERROR(__xludf.DUMMYFUNCTION("IFERROR(TRIM(INDEX(SPLIT(E876,"" + ""),2)),"""")"),"")</f>
        <v/>
      </c>
      <c r="J876" s="5" t="str">
        <f>IFERROR(__xludf.DUMMYFUNCTION("IFERROR(TRIM(INDEX(SPLIT(E876,"" + ""),3)),"""")"),"")</f>
        <v/>
      </c>
      <c r="K876" s="3">
        <f>IFERROR(__xludf.DUMMYFUNCTION("IFERROR(IF(H876="""",0,INDEX(FILTER($Q$2:Q875,$C$2:C875=H876,$G$2:G875=G876),ROWS(FILTER($Q$2:Q875,$C$2:C875=H876,$G$2:G875=G876)),1)),1500)"),0.0)</f>
        <v>0</v>
      </c>
      <c r="L876" s="3">
        <f>IFERROR(__xludf.DUMMYFUNCTION("IFERROR(IF(I876="""",0,INDEX(FILTER($Q$2:Q875,$C$2:C875=I876,$G$2:G875=G876),ROWS(FILTER($Q$2:Q875,$C$2:C875=I876,$G$2:G875=G876)),1)),1500)"),0.0)</f>
        <v>0</v>
      </c>
      <c r="M876" s="3">
        <f>IFERROR(__xludf.DUMMYFUNCTION("IFERROR(IF(J876="""",0,INDEX(FILTER($Q$2:Q875,$C$2:C875=J876,$G$2:G875=G876),ROWS(FILTER($Q$2:Q875,$C$2:C875=J876,$G$2:G875=G876)),1)),1500)"),0.0)</f>
        <v>0</v>
      </c>
      <c r="N876" s="3">
        <f>IFERROR(__xludf.DUMMYFUNCTION("IFERROR(INDEX(FILTER($Q$2:Q875,$C$2:C875=C876,$G$2:G875=G876),ROWS(FILTER($Q$2:Q875,$C$2:C875=C876,$G$2:G875=G876)),1),1500)"),-720.0)</f>
        <v>-720</v>
      </c>
      <c r="O876" s="3">
        <f t="shared" si="3"/>
        <v>0</v>
      </c>
      <c r="P876" s="9">
        <f t="shared" si="1"/>
        <v>0</v>
      </c>
      <c r="Q876" s="5">
        <f t="shared" si="2"/>
        <v>-720</v>
      </c>
    </row>
    <row r="877">
      <c r="H877" s="3" t="str">
        <f>IFERROR(__xludf.DUMMYFUNCTION("IFERROR(TRIM(INDEX(SPLIT(E877,"" + ""),1)),"""")"),"")</f>
        <v/>
      </c>
      <c r="I877" s="3" t="str">
        <f>IFERROR(__xludf.DUMMYFUNCTION("IFERROR(TRIM(INDEX(SPLIT(E877,"" + ""),2)),"""")"),"")</f>
        <v/>
      </c>
      <c r="J877" s="5" t="str">
        <f>IFERROR(__xludf.DUMMYFUNCTION("IFERROR(TRIM(INDEX(SPLIT(E877,"" + ""),3)),"""")"),"")</f>
        <v/>
      </c>
      <c r="K877" s="3">
        <f>IFERROR(__xludf.DUMMYFUNCTION("IFERROR(IF(H877="""",0,INDEX(FILTER($Q$2:Q876,$C$2:C876=H877,$G$2:G876=G877),ROWS(FILTER($Q$2:Q876,$C$2:C876=H877,$G$2:G876=G877)),1)),1500)"),0.0)</f>
        <v>0</v>
      </c>
      <c r="L877" s="3">
        <f>IFERROR(__xludf.DUMMYFUNCTION("IFERROR(IF(I877="""",0,INDEX(FILTER($Q$2:Q876,$C$2:C876=I877,$G$2:G876=G877),ROWS(FILTER($Q$2:Q876,$C$2:C876=I877,$G$2:G876=G877)),1)),1500)"),0.0)</f>
        <v>0</v>
      </c>
      <c r="M877" s="3">
        <f>IFERROR(__xludf.DUMMYFUNCTION("IFERROR(IF(J877="""",0,INDEX(FILTER($Q$2:Q876,$C$2:C876=J877,$G$2:G876=G877),ROWS(FILTER($Q$2:Q876,$C$2:C876=J877,$G$2:G876=G877)),1)),1500)"),0.0)</f>
        <v>0</v>
      </c>
      <c r="N877" s="3">
        <f>IFERROR(__xludf.DUMMYFUNCTION("IFERROR(INDEX(FILTER($Q$2:Q876,$C$2:C876=C877,$G$2:G876=G877),ROWS(FILTER($Q$2:Q876,$C$2:C876=C877,$G$2:G876=G877)),1),1500)"),-720.0)</f>
        <v>-720</v>
      </c>
      <c r="O877" s="3">
        <f t="shared" si="3"/>
        <v>0</v>
      </c>
      <c r="P877" s="9">
        <f t="shared" si="1"/>
        <v>0</v>
      </c>
      <c r="Q877" s="5">
        <f t="shared" si="2"/>
        <v>-720</v>
      </c>
    </row>
    <row r="878">
      <c r="H878" s="3" t="str">
        <f>IFERROR(__xludf.DUMMYFUNCTION("IFERROR(TRIM(INDEX(SPLIT(E878,"" + ""),1)),"""")"),"")</f>
        <v/>
      </c>
      <c r="I878" s="3" t="str">
        <f>IFERROR(__xludf.DUMMYFUNCTION("IFERROR(TRIM(INDEX(SPLIT(E878,"" + ""),2)),"""")"),"")</f>
        <v/>
      </c>
      <c r="J878" s="5" t="str">
        <f>IFERROR(__xludf.DUMMYFUNCTION("IFERROR(TRIM(INDEX(SPLIT(E878,"" + ""),3)),"""")"),"")</f>
        <v/>
      </c>
      <c r="K878" s="3">
        <f>IFERROR(__xludf.DUMMYFUNCTION("IFERROR(IF(H878="""",0,INDEX(FILTER($Q$2:Q877,$C$2:C877=H878,$G$2:G877=G878),ROWS(FILTER($Q$2:Q877,$C$2:C877=H878,$G$2:G877=G878)),1)),1500)"),0.0)</f>
        <v>0</v>
      </c>
      <c r="L878" s="3">
        <f>IFERROR(__xludf.DUMMYFUNCTION("IFERROR(IF(I878="""",0,INDEX(FILTER($Q$2:Q877,$C$2:C877=I878,$G$2:G877=G878),ROWS(FILTER($Q$2:Q877,$C$2:C877=I878,$G$2:G877=G878)),1)),1500)"),0.0)</f>
        <v>0</v>
      </c>
      <c r="M878" s="3">
        <f>IFERROR(__xludf.DUMMYFUNCTION("IFERROR(IF(J878="""",0,INDEX(FILTER($Q$2:Q877,$C$2:C877=J878,$G$2:G877=G878),ROWS(FILTER($Q$2:Q877,$C$2:C877=J878,$G$2:G877=G878)),1)),1500)"),0.0)</f>
        <v>0</v>
      </c>
      <c r="N878" s="3">
        <f>IFERROR(__xludf.DUMMYFUNCTION("IFERROR(INDEX(FILTER($Q$2:Q877,$C$2:C877=C878,$G$2:G877=G878),ROWS(FILTER($Q$2:Q877,$C$2:C877=C878,$G$2:G877=G878)),1),1500)"),-720.0)</f>
        <v>-720</v>
      </c>
      <c r="O878" s="3">
        <f t="shared" si="3"/>
        <v>0</v>
      </c>
      <c r="P878" s="9">
        <f t="shared" si="1"/>
        <v>0</v>
      </c>
      <c r="Q878" s="5">
        <f t="shared" si="2"/>
        <v>-720</v>
      </c>
    </row>
    <row r="879">
      <c r="H879" s="3" t="str">
        <f>IFERROR(__xludf.DUMMYFUNCTION("IFERROR(TRIM(INDEX(SPLIT(E879,"" + ""),1)),"""")"),"")</f>
        <v/>
      </c>
      <c r="I879" s="3" t="str">
        <f>IFERROR(__xludf.DUMMYFUNCTION("IFERROR(TRIM(INDEX(SPLIT(E879,"" + ""),2)),"""")"),"")</f>
        <v/>
      </c>
      <c r="J879" s="5" t="str">
        <f>IFERROR(__xludf.DUMMYFUNCTION("IFERROR(TRIM(INDEX(SPLIT(E879,"" + ""),3)),"""")"),"")</f>
        <v/>
      </c>
      <c r="K879" s="3">
        <f>IFERROR(__xludf.DUMMYFUNCTION("IFERROR(IF(H879="""",0,INDEX(FILTER($Q$2:Q878,$C$2:C878=H879,$G$2:G878=G879),ROWS(FILTER($Q$2:Q878,$C$2:C878=H879,$G$2:G878=G879)),1)),1500)"),0.0)</f>
        <v>0</v>
      </c>
      <c r="L879" s="3">
        <f>IFERROR(__xludf.DUMMYFUNCTION("IFERROR(IF(I879="""",0,INDEX(FILTER($Q$2:Q878,$C$2:C878=I879,$G$2:G878=G879),ROWS(FILTER($Q$2:Q878,$C$2:C878=I879,$G$2:G878=G879)),1)),1500)"),0.0)</f>
        <v>0</v>
      </c>
      <c r="M879" s="3">
        <f>IFERROR(__xludf.DUMMYFUNCTION("IFERROR(IF(J879="""",0,INDEX(FILTER($Q$2:Q878,$C$2:C878=J879,$G$2:G878=G879),ROWS(FILTER($Q$2:Q878,$C$2:C878=J879,$G$2:G878=G879)),1)),1500)"),0.0)</f>
        <v>0</v>
      </c>
      <c r="N879" s="3">
        <f>IFERROR(__xludf.DUMMYFUNCTION("IFERROR(INDEX(FILTER($Q$2:Q878,$C$2:C878=C879,$G$2:G878=G879),ROWS(FILTER($Q$2:Q878,$C$2:C878=C879,$G$2:G878=G879)),1),1500)"),-720.0)</f>
        <v>-720</v>
      </c>
      <c r="O879" s="3">
        <f t="shared" si="3"/>
        <v>0</v>
      </c>
      <c r="P879" s="9">
        <f t="shared" si="1"/>
        <v>0</v>
      </c>
      <c r="Q879" s="5">
        <f t="shared" si="2"/>
        <v>-720</v>
      </c>
    </row>
    <row r="880">
      <c r="H880" s="3" t="str">
        <f>IFERROR(__xludf.DUMMYFUNCTION("IFERROR(TRIM(INDEX(SPLIT(E880,"" + ""),1)),"""")"),"")</f>
        <v/>
      </c>
      <c r="I880" s="3" t="str">
        <f>IFERROR(__xludf.DUMMYFUNCTION("IFERROR(TRIM(INDEX(SPLIT(E880,"" + ""),2)),"""")"),"")</f>
        <v/>
      </c>
      <c r="J880" s="5" t="str">
        <f>IFERROR(__xludf.DUMMYFUNCTION("IFERROR(TRIM(INDEX(SPLIT(E880,"" + ""),3)),"""")"),"")</f>
        <v/>
      </c>
      <c r="K880" s="3">
        <f>IFERROR(__xludf.DUMMYFUNCTION("IFERROR(IF(H880="""",0,INDEX(FILTER($Q$2:Q879,$C$2:C879=H880,$G$2:G879=G880),ROWS(FILTER($Q$2:Q879,$C$2:C879=H880,$G$2:G879=G880)),1)),1500)"),0.0)</f>
        <v>0</v>
      </c>
      <c r="L880" s="3">
        <f>IFERROR(__xludf.DUMMYFUNCTION("IFERROR(IF(I880="""",0,INDEX(FILTER($Q$2:Q879,$C$2:C879=I880,$G$2:G879=G880),ROWS(FILTER($Q$2:Q879,$C$2:C879=I880,$G$2:G879=G880)),1)),1500)"),0.0)</f>
        <v>0</v>
      </c>
      <c r="M880" s="3">
        <f>IFERROR(__xludf.DUMMYFUNCTION("IFERROR(IF(J880="""",0,INDEX(FILTER($Q$2:Q879,$C$2:C879=J880,$G$2:G879=G880),ROWS(FILTER($Q$2:Q879,$C$2:C879=J880,$G$2:G879=G880)),1)),1500)"),0.0)</f>
        <v>0</v>
      </c>
      <c r="N880" s="3">
        <f>IFERROR(__xludf.DUMMYFUNCTION("IFERROR(INDEX(FILTER($Q$2:Q879,$C$2:C879=C880,$G$2:G879=G880),ROWS(FILTER($Q$2:Q879,$C$2:C879=C880,$G$2:G879=G880)),1),1500)"),-720.0)</f>
        <v>-720</v>
      </c>
      <c r="O880" s="3">
        <f t="shared" si="3"/>
        <v>0</v>
      </c>
      <c r="P880" s="9">
        <f t="shared" si="1"/>
        <v>0</v>
      </c>
      <c r="Q880" s="5">
        <f t="shared" si="2"/>
        <v>-720</v>
      </c>
    </row>
    <row r="881">
      <c r="H881" s="3" t="str">
        <f>IFERROR(__xludf.DUMMYFUNCTION("IFERROR(TRIM(INDEX(SPLIT(E881,"" + ""),1)),"""")"),"")</f>
        <v/>
      </c>
      <c r="I881" s="3" t="str">
        <f>IFERROR(__xludf.DUMMYFUNCTION("IFERROR(TRIM(INDEX(SPLIT(E881,"" + ""),2)),"""")"),"")</f>
        <v/>
      </c>
      <c r="J881" s="5" t="str">
        <f>IFERROR(__xludf.DUMMYFUNCTION("IFERROR(TRIM(INDEX(SPLIT(E881,"" + ""),3)),"""")"),"")</f>
        <v/>
      </c>
      <c r="K881" s="3">
        <f>IFERROR(__xludf.DUMMYFUNCTION("IFERROR(IF(H881="""",0,INDEX(FILTER($Q$2:Q880,$C$2:C880=H881,$G$2:G880=G881),ROWS(FILTER($Q$2:Q880,$C$2:C880=H881,$G$2:G880=G881)),1)),1500)"),0.0)</f>
        <v>0</v>
      </c>
      <c r="L881" s="3">
        <f>IFERROR(__xludf.DUMMYFUNCTION("IFERROR(IF(I881="""",0,INDEX(FILTER($Q$2:Q880,$C$2:C880=I881,$G$2:G880=G881),ROWS(FILTER($Q$2:Q880,$C$2:C880=I881,$G$2:G880=G881)),1)),1500)"),0.0)</f>
        <v>0</v>
      </c>
      <c r="M881" s="3">
        <f>IFERROR(__xludf.DUMMYFUNCTION("IFERROR(IF(J881="""",0,INDEX(FILTER($Q$2:Q880,$C$2:C880=J881,$G$2:G880=G881),ROWS(FILTER($Q$2:Q880,$C$2:C880=J881,$G$2:G880=G881)),1)),1500)"),0.0)</f>
        <v>0</v>
      </c>
      <c r="N881" s="3">
        <f>IFERROR(__xludf.DUMMYFUNCTION("IFERROR(INDEX(FILTER($Q$2:Q880,$C$2:C880=C881,$G$2:G880=G881),ROWS(FILTER($Q$2:Q880,$C$2:C880=C881,$G$2:G880=G881)),1),1500)"),-720.0)</f>
        <v>-720</v>
      </c>
      <c r="O881" s="3">
        <f t="shared" si="3"/>
        <v>0</v>
      </c>
      <c r="P881" s="9">
        <f t="shared" si="1"/>
        <v>0</v>
      </c>
      <c r="Q881" s="5">
        <f t="shared" si="2"/>
        <v>-720</v>
      </c>
    </row>
    <row r="882">
      <c r="H882" s="3" t="str">
        <f>IFERROR(__xludf.DUMMYFUNCTION("IFERROR(TRIM(INDEX(SPLIT(E882,"" + ""),1)),"""")"),"")</f>
        <v/>
      </c>
      <c r="I882" s="3" t="str">
        <f>IFERROR(__xludf.DUMMYFUNCTION("IFERROR(TRIM(INDEX(SPLIT(E882,"" + ""),2)),"""")"),"")</f>
        <v/>
      </c>
      <c r="J882" s="5" t="str">
        <f>IFERROR(__xludf.DUMMYFUNCTION("IFERROR(TRIM(INDEX(SPLIT(E882,"" + ""),3)),"""")"),"")</f>
        <v/>
      </c>
      <c r="K882" s="3">
        <f>IFERROR(__xludf.DUMMYFUNCTION("IFERROR(IF(H882="""",0,INDEX(FILTER($Q$2:Q881,$C$2:C881=H882,$G$2:G881=G882),ROWS(FILTER($Q$2:Q881,$C$2:C881=H882,$G$2:G881=G882)),1)),1500)"),0.0)</f>
        <v>0</v>
      </c>
      <c r="L882" s="3">
        <f>IFERROR(__xludf.DUMMYFUNCTION("IFERROR(IF(I882="""",0,INDEX(FILTER($Q$2:Q881,$C$2:C881=I882,$G$2:G881=G882),ROWS(FILTER($Q$2:Q881,$C$2:C881=I882,$G$2:G881=G882)),1)),1500)"),0.0)</f>
        <v>0</v>
      </c>
      <c r="M882" s="3">
        <f>IFERROR(__xludf.DUMMYFUNCTION("IFERROR(IF(J882="""",0,INDEX(FILTER($Q$2:Q881,$C$2:C881=J882,$G$2:G881=G882),ROWS(FILTER($Q$2:Q881,$C$2:C881=J882,$G$2:G881=G882)),1)),1500)"),0.0)</f>
        <v>0</v>
      </c>
      <c r="N882" s="3">
        <f>IFERROR(__xludf.DUMMYFUNCTION("IFERROR(INDEX(FILTER($Q$2:Q881,$C$2:C881=C882,$G$2:G881=G882),ROWS(FILTER($Q$2:Q881,$C$2:C881=C882,$G$2:G881=G882)),1),1500)"),-720.0)</f>
        <v>-720</v>
      </c>
      <c r="O882" s="3">
        <f t="shared" si="3"/>
        <v>0</v>
      </c>
      <c r="P882" s="9">
        <f t="shared" si="1"/>
        <v>0</v>
      </c>
      <c r="Q882" s="5">
        <f t="shared" si="2"/>
        <v>-720</v>
      </c>
    </row>
    <row r="883">
      <c r="H883" s="3" t="str">
        <f>IFERROR(__xludf.DUMMYFUNCTION("IFERROR(TRIM(INDEX(SPLIT(E883,"" + ""),1)),"""")"),"")</f>
        <v/>
      </c>
      <c r="I883" s="3" t="str">
        <f>IFERROR(__xludf.DUMMYFUNCTION("IFERROR(TRIM(INDEX(SPLIT(E883,"" + ""),2)),"""")"),"")</f>
        <v/>
      </c>
      <c r="J883" s="5" t="str">
        <f>IFERROR(__xludf.DUMMYFUNCTION("IFERROR(TRIM(INDEX(SPLIT(E883,"" + ""),3)),"""")"),"")</f>
        <v/>
      </c>
      <c r="K883" s="3">
        <f>IFERROR(__xludf.DUMMYFUNCTION("IFERROR(IF(H883="""",0,INDEX(FILTER($Q$2:Q882,$C$2:C882=H883,$G$2:G882=G883),ROWS(FILTER($Q$2:Q882,$C$2:C882=H883,$G$2:G882=G883)),1)),1500)"),0.0)</f>
        <v>0</v>
      </c>
      <c r="L883" s="3">
        <f>IFERROR(__xludf.DUMMYFUNCTION("IFERROR(IF(I883="""",0,INDEX(FILTER($Q$2:Q882,$C$2:C882=I883,$G$2:G882=G883),ROWS(FILTER($Q$2:Q882,$C$2:C882=I883,$G$2:G882=G883)),1)),1500)"),0.0)</f>
        <v>0</v>
      </c>
      <c r="M883" s="3">
        <f>IFERROR(__xludf.DUMMYFUNCTION("IFERROR(IF(J883="""",0,INDEX(FILTER($Q$2:Q882,$C$2:C882=J883,$G$2:G882=G883),ROWS(FILTER($Q$2:Q882,$C$2:C882=J883,$G$2:G882=G883)),1)),1500)"),0.0)</f>
        <v>0</v>
      </c>
      <c r="N883" s="3">
        <f>IFERROR(__xludf.DUMMYFUNCTION("IFERROR(INDEX(FILTER($Q$2:Q882,$C$2:C882=C883,$G$2:G882=G883),ROWS(FILTER($Q$2:Q882,$C$2:C882=C883,$G$2:G882=G883)),1),1500)"),-720.0)</f>
        <v>-720</v>
      </c>
      <c r="O883" s="3">
        <f t="shared" si="3"/>
        <v>0</v>
      </c>
      <c r="P883" s="9">
        <f t="shared" si="1"/>
        <v>0</v>
      </c>
      <c r="Q883" s="5">
        <f t="shared" si="2"/>
        <v>-720</v>
      </c>
    </row>
    <row r="884">
      <c r="H884" s="3" t="str">
        <f>IFERROR(__xludf.DUMMYFUNCTION("IFERROR(TRIM(INDEX(SPLIT(E884,"" + ""),1)),"""")"),"")</f>
        <v/>
      </c>
      <c r="I884" s="3" t="str">
        <f>IFERROR(__xludf.DUMMYFUNCTION("IFERROR(TRIM(INDEX(SPLIT(E884,"" + ""),2)),"""")"),"")</f>
        <v/>
      </c>
      <c r="J884" s="5" t="str">
        <f>IFERROR(__xludf.DUMMYFUNCTION("IFERROR(TRIM(INDEX(SPLIT(E884,"" + ""),3)),"""")"),"")</f>
        <v/>
      </c>
      <c r="K884" s="3">
        <f>IFERROR(__xludf.DUMMYFUNCTION("IFERROR(IF(H884="""",0,INDEX(FILTER($Q$2:Q883,$C$2:C883=H884,$G$2:G883=G884),ROWS(FILTER($Q$2:Q883,$C$2:C883=H884,$G$2:G883=G884)),1)),1500)"),0.0)</f>
        <v>0</v>
      </c>
      <c r="L884" s="3">
        <f>IFERROR(__xludf.DUMMYFUNCTION("IFERROR(IF(I884="""",0,INDEX(FILTER($Q$2:Q883,$C$2:C883=I884,$G$2:G883=G884),ROWS(FILTER($Q$2:Q883,$C$2:C883=I884,$G$2:G883=G884)),1)),1500)"),0.0)</f>
        <v>0</v>
      </c>
      <c r="M884" s="3">
        <f>IFERROR(__xludf.DUMMYFUNCTION("IFERROR(IF(J884="""",0,INDEX(FILTER($Q$2:Q883,$C$2:C883=J884,$G$2:G883=G884),ROWS(FILTER($Q$2:Q883,$C$2:C883=J884,$G$2:G883=G884)),1)),1500)"),0.0)</f>
        <v>0</v>
      </c>
      <c r="N884" s="3">
        <f>IFERROR(__xludf.DUMMYFUNCTION("IFERROR(INDEX(FILTER($Q$2:Q883,$C$2:C883=C884,$G$2:G883=G884),ROWS(FILTER($Q$2:Q883,$C$2:C883=C884,$G$2:G883=G884)),1),1500)"),-720.0)</f>
        <v>-720</v>
      </c>
      <c r="O884" s="3">
        <f t="shared" si="3"/>
        <v>0</v>
      </c>
      <c r="P884" s="9">
        <f t="shared" si="1"/>
        <v>0</v>
      </c>
      <c r="Q884" s="5">
        <f t="shared" si="2"/>
        <v>-720</v>
      </c>
    </row>
    <row r="885">
      <c r="H885" s="3" t="str">
        <f>IFERROR(__xludf.DUMMYFUNCTION("IFERROR(TRIM(INDEX(SPLIT(E885,"" + ""),1)),"""")"),"")</f>
        <v/>
      </c>
      <c r="I885" s="3" t="str">
        <f>IFERROR(__xludf.DUMMYFUNCTION("IFERROR(TRIM(INDEX(SPLIT(E885,"" + ""),2)),"""")"),"")</f>
        <v/>
      </c>
      <c r="J885" s="5" t="str">
        <f>IFERROR(__xludf.DUMMYFUNCTION("IFERROR(TRIM(INDEX(SPLIT(E885,"" + ""),3)),"""")"),"")</f>
        <v/>
      </c>
      <c r="K885" s="3">
        <f>IFERROR(__xludf.DUMMYFUNCTION("IFERROR(IF(H885="""",0,INDEX(FILTER($Q$2:Q884,$C$2:C884=H885,$G$2:G884=G885),ROWS(FILTER($Q$2:Q884,$C$2:C884=H885,$G$2:G884=G885)),1)),1500)"),0.0)</f>
        <v>0</v>
      </c>
      <c r="L885" s="3">
        <f>IFERROR(__xludf.DUMMYFUNCTION("IFERROR(IF(I885="""",0,INDEX(FILTER($Q$2:Q884,$C$2:C884=I885,$G$2:G884=G885),ROWS(FILTER($Q$2:Q884,$C$2:C884=I885,$G$2:G884=G885)),1)),1500)"),0.0)</f>
        <v>0</v>
      </c>
      <c r="M885" s="3">
        <f>IFERROR(__xludf.DUMMYFUNCTION("IFERROR(IF(J885="""",0,INDEX(FILTER($Q$2:Q884,$C$2:C884=J885,$G$2:G884=G885),ROWS(FILTER($Q$2:Q884,$C$2:C884=J885,$G$2:G884=G885)),1)),1500)"),0.0)</f>
        <v>0</v>
      </c>
      <c r="N885" s="3">
        <f>IFERROR(__xludf.DUMMYFUNCTION("IFERROR(INDEX(FILTER($Q$2:Q884,$C$2:C884=C885,$G$2:G884=G885),ROWS(FILTER($Q$2:Q884,$C$2:C884=C885,$G$2:G884=G885)),1),1500)"),-720.0)</f>
        <v>-720</v>
      </c>
      <c r="O885" s="3">
        <f t="shared" si="3"/>
        <v>0</v>
      </c>
      <c r="P885" s="9">
        <f t="shared" si="1"/>
        <v>0</v>
      </c>
      <c r="Q885" s="5">
        <f t="shared" si="2"/>
        <v>-720</v>
      </c>
    </row>
    <row r="886">
      <c r="H886" s="3" t="str">
        <f>IFERROR(__xludf.DUMMYFUNCTION("IFERROR(TRIM(INDEX(SPLIT(E886,"" + ""),1)),"""")"),"")</f>
        <v/>
      </c>
      <c r="I886" s="3" t="str">
        <f>IFERROR(__xludf.DUMMYFUNCTION("IFERROR(TRIM(INDEX(SPLIT(E886,"" + ""),2)),"""")"),"")</f>
        <v/>
      </c>
      <c r="J886" s="5" t="str">
        <f>IFERROR(__xludf.DUMMYFUNCTION("IFERROR(TRIM(INDEX(SPLIT(E886,"" + ""),3)),"""")"),"")</f>
        <v/>
      </c>
      <c r="K886" s="3">
        <f>IFERROR(__xludf.DUMMYFUNCTION("IFERROR(IF(H886="""",0,INDEX(FILTER($Q$2:Q885,$C$2:C885=H886,$G$2:G885=G886),ROWS(FILTER($Q$2:Q885,$C$2:C885=H886,$G$2:G885=G886)),1)),1500)"),0.0)</f>
        <v>0</v>
      </c>
      <c r="L886" s="3">
        <f>IFERROR(__xludf.DUMMYFUNCTION("IFERROR(IF(I886="""",0,INDEX(FILTER($Q$2:Q885,$C$2:C885=I886,$G$2:G885=G886),ROWS(FILTER($Q$2:Q885,$C$2:C885=I886,$G$2:G885=G886)),1)),1500)"),0.0)</f>
        <v>0</v>
      </c>
      <c r="M886" s="3">
        <f>IFERROR(__xludf.DUMMYFUNCTION("IFERROR(IF(J886="""",0,INDEX(FILTER($Q$2:Q885,$C$2:C885=J886,$G$2:G885=G886),ROWS(FILTER($Q$2:Q885,$C$2:C885=J886,$G$2:G885=G886)),1)),1500)"),0.0)</f>
        <v>0</v>
      </c>
      <c r="N886" s="3">
        <f>IFERROR(__xludf.DUMMYFUNCTION("IFERROR(INDEX(FILTER($Q$2:Q885,$C$2:C885=C886,$G$2:G885=G886),ROWS(FILTER($Q$2:Q885,$C$2:C885=C886,$G$2:G885=G886)),1),1500)"),-720.0)</f>
        <v>-720</v>
      </c>
      <c r="O886" s="3">
        <f t="shared" si="3"/>
        <v>0</v>
      </c>
      <c r="P886" s="9">
        <f t="shared" si="1"/>
        <v>0</v>
      </c>
      <c r="Q886" s="5">
        <f t="shared" si="2"/>
        <v>-720</v>
      </c>
    </row>
    <row r="887">
      <c r="H887" s="3" t="str">
        <f>IFERROR(__xludf.DUMMYFUNCTION("IFERROR(TRIM(INDEX(SPLIT(E887,"" + ""),1)),"""")"),"")</f>
        <v/>
      </c>
      <c r="I887" s="3" t="str">
        <f>IFERROR(__xludf.DUMMYFUNCTION("IFERROR(TRIM(INDEX(SPLIT(E887,"" + ""),2)),"""")"),"")</f>
        <v/>
      </c>
      <c r="J887" s="5" t="str">
        <f>IFERROR(__xludf.DUMMYFUNCTION("IFERROR(TRIM(INDEX(SPLIT(E887,"" + ""),3)),"""")"),"")</f>
        <v/>
      </c>
      <c r="K887" s="3">
        <f>IFERROR(__xludf.DUMMYFUNCTION("IFERROR(IF(H887="""",0,INDEX(FILTER($Q$2:Q886,$C$2:C886=H887,$G$2:G886=G887),ROWS(FILTER($Q$2:Q886,$C$2:C886=H887,$G$2:G886=G887)),1)),1500)"),0.0)</f>
        <v>0</v>
      </c>
      <c r="L887" s="3">
        <f>IFERROR(__xludf.DUMMYFUNCTION("IFERROR(IF(I887="""",0,INDEX(FILTER($Q$2:Q886,$C$2:C886=I887,$G$2:G886=G887),ROWS(FILTER($Q$2:Q886,$C$2:C886=I887,$G$2:G886=G887)),1)),1500)"),0.0)</f>
        <v>0</v>
      </c>
      <c r="M887" s="3">
        <f>IFERROR(__xludf.DUMMYFUNCTION("IFERROR(IF(J887="""",0,INDEX(FILTER($Q$2:Q886,$C$2:C886=J887,$G$2:G886=G887),ROWS(FILTER($Q$2:Q886,$C$2:C886=J887,$G$2:G886=G887)),1)),1500)"),0.0)</f>
        <v>0</v>
      </c>
      <c r="N887" s="3">
        <f>IFERROR(__xludf.DUMMYFUNCTION("IFERROR(INDEX(FILTER($Q$2:Q886,$C$2:C886=C887,$G$2:G886=G887),ROWS(FILTER($Q$2:Q886,$C$2:C886=C887,$G$2:G886=G887)),1),1500)"),-720.0)</f>
        <v>-720</v>
      </c>
      <c r="O887" s="3">
        <f t="shared" si="3"/>
        <v>0</v>
      </c>
      <c r="P887" s="9">
        <f t="shared" si="1"/>
        <v>0</v>
      </c>
      <c r="Q887" s="5">
        <f t="shared" si="2"/>
        <v>-720</v>
      </c>
    </row>
    <row r="888">
      <c r="H888" s="3" t="str">
        <f>IFERROR(__xludf.DUMMYFUNCTION("IFERROR(TRIM(INDEX(SPLIT(E888,"" + ""),1)),"""")"),"")</f>
        <v/>
      </c>
      <c r="I888" s="3" t="str">
        <f>IFERROR(__xludf.DUMMYFUNCTION("IFERROR(TRIM(INDEX(SPLIT(E888,"" + ""),2)),"""")"),"")</f>
        <v/>
      </c>
      <c r="J888" s="5" t="str">
        <f>IFERROR(__xludf.DUMMYFUNCTION("IFERROR(TRIM(INDEX(SPLIT(E888,"" + ""),3)),"""")"),"")</f>
        <v/>
      </c>
      <c r="K888" s="3">
        <f>IFERROR(__xludf.DUMMYFUNCTION("IFERROR(IF(H888="""",0,INDEX(FILTER($Q$2:Q887,$C$2:C887=H888,$G$2:G887=G888),ROWS(FILTER($Q$2:Q887,$C$2:C887=H888,$G$2:G887=G888)),1)),1500)"),0.0)</f>
        <v>0</v>
      </c>
      <c r="L888" s="3">
        <f>IFERROR(__xludf.DUMMYFUNCTION("IFERROR(IF(I888="""",0,INDEX(FILTER($Q$2:Q887,$C$2:C887=I888,$G$2:G887=G888),ROWS(FILTER($Q$2:Q887,$C$2:C887=I888,$G$2:G887=G888)),1)),1500)"),0.0)</f>
        <v>0</v>
      </c>
      <c r="M888" s="3">
        <f>IFERROR(__xludf.DUMMYFUNCTION("IFERROR(IF(J888="""",0,INDEX(FILTER($Q$2:Q887,$C$2:C887=J888,$G$2:G887=G888),ROWS(FILTER($Q$2:Q887,$C$2:C887=J888,$G$2:G887=G888)),1)),1500)"),0.0)</f>
        <v>0</v>
      </c>
      <c r="N888" s="3">
        <f>IFERROR(__xludf.DUMMYFUNCTION("IFERROR(INDEX(FILTER($Q$2:Q887,$C$2:C887=C888,$G$2:G887=G888),ROWS(FILTER($Q$2:Q887,$C$2:C887=C888,$G$2:G887=G888)),1),1500)"),-720.0)</f>
        <v>-720</v>
      </c>
      <c r="O888" s="3">
        <f t="shared" si="3"/>
        <v>0</v>
      </c>
      <c r="P888" s="9">
        <f t="shared" si="1"/>
        <v>0</v>
      </c>
      <c r="Q888" s="5">
        <f t="shared" si="2"/>
        <v>-720</v>
      </c>
    </row>
    <row r="889">
      <c r="H889" s="3" t="str">
        <f>IFERROR(__xludf.DUMMYFUNCTION("IFERROR(TRIM(INDEX(SPLIT(E889,"" + ""),1)),"""")"),"")</f>
        <v/>
      </c>
      <c r="I889" s="3" t="str">
        <f>IFERROR(__xludf.DUMMYFUNCTION("IFERROR(TRIM(INDEX(SPLIT(E889,"" + ""),2)),"""")"),"")</f>
        <v/>
      </c>
      <c r="J889" s="5" t="str">
        <f>IFERROR(__xludf.DUMMYFUNCTION("IFERROR(TRIM(INDEX(SPLIT(E889,"" + ""),3)),"""")"),"")</f>
        <v/>
      </c>
      <c r="K889" s="3">
        <f>IFERROR(__xludf.DUMMYFUNCTION("IFERROR(IF(H889="""",0,INDEX(FILTER($Q$2:Q888,$C$2:C888=H889,$G$2:G888=G889),ROWS(FILTER($Q$2:Q888,$C$2:C888=H889,$G$2:G888=G889)),1)),1500)"),0.0)</f>
        <v>0</v>
      </c>
      <c r="L889" s="3">
        <f>IFERROR(__xludf.DUMMYFUNCTION("IFERROR(IF(I889="""",0,INDEX(FILTER($Q$2:Q888,$C$2:C888=I889,$G$2:G888=G889),ROWS(FILTER($Q$2:Q888,$C$2:C888=I889,$G$2:G888=G889)),1)),1500)"),0.0)</f>
        <v>0</v>
      </c>
      <c r="M889" s="3">
        <f>IFERROR(__xludf.DUMMYFUNCTION("IFERROR(IF(J889="""",0,INDEX(FILTER($Q$2:Q888,$C$2:C888=J889,$G$2:G888=G889),ROWS(FILTER($Q$2:Q888,$C$2:C888=J889,$G$2:G888=G889)),1)),1500)"),0.0)</f>
        <v>0</v>
      </c>
      <c r="N889" s="3">
        <f>IFERROR(__xludf.DUMMYFUNCTION("IFERROR(INDEX(FILTER($Q$2:Q888,$C$2:C888=C889,$G$2:G888=G889),ROWS(FILTER($Q$2:Q888,$C$2:C888=C889,$G$2:G888=G889)),1),1500)"),-720.0)</f>
        <v>-720</v>
      </c>
      <c r="O889" s="3">
        <f t="shared" si="3"/>
        <v>0</v>
      </c>
      <c r="P889" s="9">
        <f t="shared" si="1"/>
        <v>0</v>
      </c>
      <c r="Q889" s="5">
        <f t="shared" si="2"/>
        <v>-720</v>
      </c>
    </row>
    <row r="890">
      <c r="H890" s="3" t="str">
        <f>IFERROR(__xludf.DUMMYFUNCTION("IFERROR(TRIM(INDEX(SPLIT(E890,"" + ""),1)),"""")"),"")</f>
        <v/>
      </c>
      <c r="I890" s="3" t="str">
        <f>IFERROR(__xludf.DUMMYFUNCTION("IFERROR(TRIM(INDEX(SPLIT(E890,"" + ""),2)),"""")"),"")</f>
        <v/>
      </c>
      <c r="J890" s="5" t="str">
        <f>IFERROR(__xludf.DUMMYFUNCTION("IFERROR(TRIM(INDEX(SPLIT(E890,"" + ""),3)),"""")"),"")</f>
        <v/>
      </c>
      <c r="K890" s="3">
        <f>IFERROR(__xludf.DUMMYFUNCTION("IFERROR(IF(H890="""",0,INDEX(FILTER($Q$2:Q889,$C$2:C889=H890,$G$2:G889=G890),ROWS(FILTER($Q$2:Q889,$C$2:C889=H890,$G$2:G889=G890)),1)),1500)"),0.0)</f>
        <v>0</v>
      </c>
      <c r="L890" s="3">
        <f>IFERROR(__xludf.DUMMYFUNCTION("IFERROR(IF(I890="""",0,INDEX(FILTER($Q$2:Q889,$C$2:C889=I890,$G$2:G889=G890),ROWS(FILTER($Q$2:Q889,$C$2:C889=I890,$G$2:G889=G890)),1)),1500)"),0.0)</f>
        <v>0</v>
      </c>
      <c r="M890" s="3">
        <f>IFERROR(__xludf.DUMMYFUNCTION("IFERROR(IF(J890="""",0,INDEX(FILTER($Q$2:Q889,$C$2:C889=J890,$G$2:G889=G890),ROWS(FILTER($Q$2:Q889,$C$2:C889=J890,$G$2:G889=G890)),1)),1500)"),0.0)</f>
        <v>0</v>
      </c>
      <c r="N890" s="3">
        <f>IFERROR(__xludf.DUMMYFUNCTION("IFERROR(INDEX(FILTER($Q$2:Q889,$C$2:C889=C890,$G$2:G889=G890),ROWS(FILTER($Q$2:Q889,$C$2:C889=C890,$G$2:G889=G890)),1),1500)"),-720.0)</f>
        <v>-720</v>
      </c>
      <c r="O890" s="3">
        <f t="shared" si="3"/>
        <v>0</v>
      </c>
      <c r="P890" s="9">
        <f t="shared" si="1"/>
        <v>0</v>
      </c>
      <c r="Q890" s="5">
        <f t="shared" si="2"/>
        <v>-720</v>
      </c>
    </row>
    <row r="891">
      <c r="H891" s="3" t="str">
        <f>IFERROR(__xludf.DUMMYFUNCTION("IFERROR(TRIM(INDEX(SPLIT(E891,"" + ""),1)),"""")"),"")</f>
        <v/>
      </c>
      <c r="I891" s="3" t="str">
        <f>IFERROR(__xludf.DUMMYFUNCTION("IFERROR(TRIM(INDEX(SPLIT(E891,"" + ""),2)),"""")"),"")</f>
        <v/>
      </c>
      <c r="J891" s="5" t="str">
        <f>IFERROR(__xludf.DUMMYFUNCTION("IFERROR(TRIM(INDEX(SPLIT(E891,"" + ""),3)),"""")"),"")</f>
        <v/>
      </c>
      <c r="K891" s="3">
        <f>IFERROR(__xludf.DUMMYFUNCTION("IFERROR(IF(H891="""",0,INDEX(FILTER($Q$2:Q890,$C$2:C890=H891,$G$2:G890=G891),ROWS(FILTER($Q$2:Q890,$C$2:C890=H891,$G$2:G890=G891)),1)),1500)"),0.0)</f>
        <v>0</v>
      </c>
      <c r="L891" s="3">
        <f>IFERROR(__xludf.DUMMYFUNCTION("IFERROR(IF(I891="""",0,INDEX(FILTER($Q$2:Q890,$C$2:C890=I891,$G$2:G890=G891),ROWS(FILTER($Q$2:Q890,$C$2:C890=I891,$G$2:G890=G891)),1)),1500)"),0.0)</f>
        <v>0</v>
      </c>
      <c r="M891" s="3">
        <f>IFERROR(__xludf.DUMMYFUNCTION("IFERROR(IF(J891="""",0,INDEX(FILTER($Q$2:Q890,$C$2:C890=J891,$G$2:G890=G891),ROWS(FILTER($Q$2:Q890,$C$2:C890=J891,$G$2:G890=G891)),1)),1500)"),0.0)</f>
        <v>0</v>
      </c>
      <c r="N891" s="3">
        <f>IFERROR(__xludf.DUMMYFUNCTION("IFERROR(INDEX(FILTER($Q$2:Q890,$C$2:C890=C891,$G$2:G890=G891),ROWS(FILTER($Q$2:Q890,$C$2:C890=C891,$G$2:G890=G891)),1),1500)"),-720.0)</f>
        <v>-720</v>
      </c>
      <c r="O891" s="3">
        <f t="shared" si="3"/>
        <v>0</v>
      </c>
      <c r="P891" s="9">
        <f t="shared" si="1"/>
        <v>0</v>
      </c>
      <c r="Q891" s="5">
        <f t="shared" si="2"/>
        <v>-720</v>
      </c>
    </row>
    <row r="892">
      <c r="H892" s="3" t="str">
        <f>IFERROR(__xludf.DUMMYFUNCTION("IFERROR(TRIM(INDEX(SPLIT(E892,"" + ""),1)),"""")"),"")</f>
        <v/>
      </c>
      <c r="I892" s="3" t="str">
        <f>IFERROR(__xludf.DUMMYFUNCTION("IFERROR(TRIM(INDEX(SPLIT(E892,"" + ""),2)),"""")"),"")</f>
        <v/>
      </c>
      <c r="J892" s="5" t="str">
        <f>IFERROR(__xludf.DUMMYFUNCTION("IFERROR(TRIM(INDEX(SPLIT(E892,"" + ""),3)),"""")"),"")</f>
        <v/>
      </c>
      <c r="K892" s="3">
        <f>IFERROR(__xludf.DUMMYFUNCTION("IFERROR(IF(H892="""",0,INDEX(FILTER($Q$2:Q891,$C$2:C891=H892,$G$2:G891=G892),ROWS(FILTER($Q$2:Q891,$C$2:C891=H892,$G$2:G891=G892)),1)),1500)"),0.0)</f>
        <v>0</v>
      </c>
      <c r="L892" s="3">
        <f>IFERROR(__xludf.DUMMYFUNCTION("IFERROR(IF(I892="""",0,INDEX(FILTER($Q$2:Q891,$C$2:C891=I892,$G$2:G891=G892),ROWS(FILTER($Q$2:Q891,$C$2:C891=I892,$G$2:G891=G892)),1)),1500)"),0.0)</f>
        <v>0</v>
      </c>
      <c r="M892" s="3">
        <f>IFERROR(__xludf.DUMMYFUNCTION("IFERROR(IF(J892="""",0,INDEX(FILTER($Q$2:Q891,$C$2:C891=J892,$G$2:G891=G892),ROWS(FILTER($Q$2:Q891,$C$2:C891=J892,$G$2:G891=G892)),1)),1500)"),0.0)</f>
        <v>0</v>
      </c>
      <c r="N892" s="3">
        <f>IFERROR(__xludf.DUMMYFUNCTION("IFERROR(INDEX(FILTER($Q$2:Q891,$C$2:C891=C892,$G$2:G891=G892),ROWS(FILTER($Q$2:Q891,$C$2:C891=C892,$G$2:G891=G892)),1),1500)"),-720.0)</f>
        <v>-720</v>
      </c>
      <c r="O892" s="3">
        <f t="shared" si="3"/>
        <v>0</v>
      </c>
      <c r="P892" s="9">
        <f t="shared" si="1"/>
        <v>0</v>
      </c>
      <c r="Q892" s="5">
        <f t="shared" si="2"/>
        <v>-720</v>
      </c>
    </row>
    <row r="893">
      <c r="H893" s="3" t="str">
        <f>IFERROR(__xludf.DUMMYFUNCTION("IFERROR(TRIM(INDEX(SPLIT(E893,"" + ""),1)),"""")"),"")</f>
        <v/>
      </c>
      <c r="I893" s="3" t="str">
        <f>IFERROR(__xludf.DUMMYFUNCTION("IFERROR(TRIM(INDEX(SPLIT(E893,"" + ""),2)),"""")"),"")</f>
        <v/>
      </c>
      <c r="J893" s="5" t="str">
        <f>IFERROR(__xludf.DUMMYFUNCTION("IFERROR(TRIM(INDEX(SPLIT(E893,"" + ""),3)),"""")"),"")</f>
        <v/>
      </c>
      <c r="K893" s="3">
        <f>IFERROR(__xludf.DUMMYFUNCTION("IFERROR(IF(H893="""",0,INDEX(FILTER($Q$2:Q892,$C$2:C892=H893,$G$2:G892=G893),ROWS(FILTER($Q$2:Q892,$C$2:C892=H893,$G$2:G892=G893)),1)),1500)"),0.0)</f>
        <v>0</v>
      </c>
      <c r="L893" s="3">
        <f>IFERROR(__xludf.DUMMYFUNCTION("IFERROR(IF(I893="""",0,INDEX(FILTER($Q$2:Q892,$C$2:C892=I893,$G$2:G892=G893),ROWS(FILTER($Q$2:Q892,$C$2:C892=I893,$G$2:G892=G893)),1)),1500)"),0.0)</f>
        <v>0</v>
      </c>
      <c r="M893" s="3">
        <f>IFERROR(__xludf.DUMMYFUNCTION("IFERROR(IF(J893="""",0,INDEX(FILTER($Q$2:Q892,$C$2:C892=J893,$G$2:G892=G893),ROWS(FILTER($Q$2:Q892,$C$2:C892=J893,$G$2:G892=G893)),1)),1500)"),0.0)</f>
        <v>0</v>
      </c>
      <c r="N893" s="3">
        <f>IFERROR(__xludf.DUMMYFUNCTION("IFERROR(INDEX(FILTER($Q$2:Q892,$C$2:C892=C893,$G$2:G892=G893),ROWS(FILTER($Q$2:Q892,$C$2:C892=C893,$G$2:G892=G893)),1),1500)"),-720.0)</f>
        <v>-720</v>
      </c>
      <c r="O893" s="3">
        <f t="shared" si="3"/>
        <v>0</v>
      </c>
      <c r="P893" s="9">
        <f t="shared" si="1"/>
        <v>0</v>
      </c>
      <c r="Q893" s="5">
        <f t="shared" si="2"/>
        <v>-720</v>
      </c>
    </row>
    <row r="894">
      <c r="H894" s="3" t="str">
        <f>IFERROR(__xludf.DUMMYFUNCTION("IFERROR(TRIM(INDEX(SPLIT(E894,"" + ""),1)),"""")"),"")</f>
        <v/>
      </c>
      <c r="I894" s="3" t="str">
        <f>IFERROR(__xludf.DUMMYFUNCTION("IFERROR(TRIM(INDEX(SPLIT(E894,"" + ""),2)),"""")"),"")</f>
        <v/>
      </c>
      <c r="J894" s="5" t="str">
        <f>IFERROR(__xludf.DUMMYFUNCTION("IFERROR(TRIM(INDEX(SPLIT(E894,"" + ""),3)),"""")"),"")</f>
        <v/>
      </c>
      <c r="K894" s="3">
        <f>IFERROR(__xludf.DUMMYFUNCTION("IFERROR(IF(H894="""",0,INDEX(FILTER($Q$2:Q893,$C$2:C893=H894,$G$2:G893=G894),ROWS(FILTER($Q$2:Q893,$C$2:C893=H894,$G$2:G893=G894)),1)),1500)"),0.0)</f>
        <v>0</v>
      </c>
      <c r="L894" s="3">
        <f>IFERROR(__xludf.DUMMYFUNCTION("IFERROR(IF(I894="""",0,INDEX(FILTER($Q$2:Q893,$C$2:C893=I894,$G$2:G893=G894),ROWS(FILTER($Q$2:Q893,$C$2:C893=I894,$G$2:G893=G894)),1)),1500)"),0.0)</f>
        <v>0</v>
      </c>
      <c r="M894" s="3">
        <f>IFERROR(__xludf.DUMMYFUNCTION("IFERROR(IF(J894="""",0,INDEX(FILTER($Q$2:Q893,$C$2:C893=J894,$G$2:G893=G894),ROWS(FILTER($Q$2:Q893,$C$2:C893=J894,$G$2:G893=G894)),1)),1500)"),0.0)</f>
        <v>0</v>
      </c>
      <c r="N894" s="3">
        <f>IFERROR(__xludf.DUMMYFUNCTION("IFERROR(INDEX(FILTER($Q$2:Q893,$C$2:C893=C894,$G$2:G893=G894),ROWS(FILTER($Q$2:Q893,$C$2:C893=C894,$G$2:G893=G894)),1),1500)"),-720.0)</f>
        <v>-720</v>
      </c>
      <c r="O894" s="3">
        <f t="shared" si="3"/>
        <v>0</v>
      </c>
      <c r="P894" s="9">
        <f t="shared" si="1"/>
        <v>0</v>
      </c>
      <c r="Q894" s="5">
        <f t="shared" si="2"/>
        <v>-720</v>
      </c>
    </row>
    <row r="895">
      <c r="H895" s="3" t="str">
        <f>IFERROR(__xludf.DUMMYFUNCTION("IFERROR(TRIM(INDEX(SPLIT(E895,"" + ""),1)),"""")"),"")</f>
        <v/>
      </c>
      <c r="I895" s="3" t="str">
        <f>IFERROR(__xludf.DUMMYFUNCTION("IFERROR(TRIM(INDEX(SPLIT(E895,"" + ""),2)),"""")"),"")</f>
        <v/>
      </c>
      <c r="J895" s="5" t="str">
        <f>IFERROR(__xludf.DUMMYFUNCTION("IFERROR(TRIM(INDEX(SPLIT(E895,"" + ""),3)),"""")"),"")</f>
        <v/>
      </c>
      <c r="K895" s="3">
        <f>IFERROR(__xludf.DUMMYFUNCTION("IFERROR(IF(H895="""",0,INDEX(FILTER($Q$2:Q894,$C$2:C894=H895,$G$2:G894=G895),ROWS(FILTER($Q$2:Q894,$C$2:C894=H895,$G$2:G894=G895)),1)),1500)"),0.0)</f>
        <v>0</v>
      </c>
      <c r="L895" s="3">
        <f>IFERROR(__xludf.DUMMYFUNCTION("IFERROR(IF(I895="""",0,INDEX(FILTER($Q$2:Q894,$C$2:C894=I895,$G$2:G894=G895),ROWS(FILTER($Q$2:Q894,$C$2:C894=I895,$G$2:G894=G895)),1)),1500)"),0.0)</f>
        <v>0</v>
      </c>
      <c r="M895" s="3">
        <f>IFERROR(__xludf.DUMMYFUNCTION("IFERROR(IF(J895="""",0,INDEX(FILTER($Q$2:Q894,$C$2:C894=J895,$G$2:G894=G895),ROWS(FILTER($Q$2:Q894,$C$2:C894=J895,$G$2:G894=G895)),1)),1500)"),0.0)</f>
        <v>0</v>
      </c>
      <c r="N895" s="3">
        <f>IFERROR(__xludf.DUMMYFUNCTION("IFERROR(INDEX(FILTER($Q$2:Q894,$C$2:C894=C895,$G$2:G894=G895),ROWS(FILTER($Q$2:Q894,$C$2:C894=C895,$G$2:G894=G895)),1),1500)"),-720.0)</f>
        <v>-720</v>
      </c>
      <c r="O895" s="3">
        <f t="shared" si="3"/>
        <v>0</v>
      </c>
      <c r="P895" s="9">
        <f t="shared" si="1"/>
        <v>0</v>
      </c>
      <c r="Q895" s="5">
        <f t="shared" si="2"/>
        <v>-720</v>
      </c>
    </row>
    <row r="896">
      <c r="H896" s="3" t="str">
        <f>IFERROR(__xludf.DUMMYFUNCTION("IFERROR(TRIM(INDEX(SPLIT(E896,"" + ""),1)),"""")"),"")</f>
        <v/>
      </c>
      <c r="I896" s="3" t="str">
        <f>IFERROR(__xludf.DUMMYFUNCTION("IFERROR(TRIM(INDEX(SPLIT(E896,"" + ""),2)),"""")"),"")</f>
        <v/>
      </c>
      <c r="J896" s="5" t="str">
        <f>IFERROR(__xludf.DUMMYFUNCTION("IFERROR(TRIM(INDEX(SPLIT(E896,"" + ""),3)),"""")"),"")</f>
        <v/>
      </c>
      <c r="K896" s="3">
        <f>IFERROR(__xludf.DUMMYFUNCTION("IFERROR(IF(H896="""",0,INDEX(FILTER($Q$2:Q895,$C$2:C895=H896,$G$2:G895=G896),ROWS(FILTER($Q$2:Q895,$C$2:C895=H896,$G$2:G895=G896)),1)),1500)"),0.0)</f>
        <v>0</v>
      </c>
      <c r="L896" s="3">
        <f>IFERROR(__xludf.DUMMYFUNCTION("IFERROR(IF(I896="""",0,INDEX(FILTER($Q$2:Q895,$C$2:C895=I896,$G$2:G895=G896),ROWS(FILTER($Q$2:Q895,$C$2:C895=I896,$G$2:G895=G896)),1)),1500)"),0.0)</f>
        <v>0</v>
      </c>
      <c r="M896" s="3">
        <f>IFERROR(__xludf.DUMMYFUNCTION("IFERROR(IF(J896="""",0,INDEX(FILTER($Q$2:Q895,$C$2:C895=J896,$G$2:G895=G896),ROWS(FILTER($Q$2:Q895,$C$2:C895=J896,$G$2:G895=G896)),1)),1500)"),0.0)</f>
        <v>0</v>
      </c>
      <c r="N896" s="3">
        <f>IFERROR(__xludf.DUMMYFUNCTION("IFERROR(INDEX(FILTER($Q$2:Q895,$C$2:C895=C896,$G$2:G895=G896),ROWS(FILTER($Q$2:Q895,$C$2:C895=C896,$G$2:G895=G896)),1),1500)"),-720.0)</f>
        <v>-720</v>
      </c>
      <c r="O896" s="3">
        <f t="shared" si="3"/>
        <v>0</v>
      </c>
      <c r="P896" s="9">
        <f t="shared" si="1"/>
        <v>0</v>
      </c>
      <c r="Q896" s="5">
        <f t="shared" si="2"/>
        <v>-720</v>
      </c>
    </row>
    <row r="897">
      <c r="H897" s="3" t="str">
        <f>IFERROR(__xludf.DUMMYFUNCTION("IFERROR(TRIM(INDEX(SPLIT(E897,"" + ""),1)),"""")"),"")</f>
        <v/>
      </c>
      <c r="I897" s="3" t="str">
        <f>IFERROR(__xludf.DUMMYFUNCTION("IFERROR(TRIM(INDEX(SPLIT(E897,"" + ""),2)),"""")"),"")</f>
        <v/>
      </c>
      <c r="J897" s="5" t="str">
        <f>IFERROR(__xludf.DUMMYFUNCTION("IFERROR(TRIM(INDEX(SPLIT(E897,"" + ""),3)),"""")"),"")</f>
        <v/>
      </c>
      <c r="K897" s="3">
        <f>IFERROR(__xludf.DUMMYFUNCTION("IFERROR(IF(H897="""",0,INDEX(FILTER($Q$2:Q896,$C$2:C896=H897,$G$2:G896=G897),ROWS(FILTER($Q$2:Q896,$C$2:C896=H897,$G$2:G896=G897)),1)),1500)"),0.0)</f>
        <v>0</v>
      </c>
      <c r="L897" s="3">
        <f>IFERROR(__xludf.DUMMYFUNCTION("IFERROR(IF(I897="""",0,INDEX(FILTER($Q$2:Q896,$C$2:C896=I897,$G$2:G896=G897),ROWS(FILTER($Q$2:Q896,$C$2:C896=I897,$G$2:G896=G897)),1)),1500)"),0.0)</f>
        <v>0</v>
      </c>
      <c r="M897" s="3">
        <f>IFERROR(__xludf.DUMMYFUNCTION("IFERROR(IF(J897="""",0,INDEX(FILTER($Q$2:Q896,$C$2:C896=J897,$G$2:G896=G897),ROWS(FILTER($Q$2:Q896,$C$2:C896=J897,$G$2:G896=G897)),1)),1500)"),0.0)</f>
        <v>0</v>
      </c>
      <c r="N897" s="3">
        <f>IFERROR(__xludf.DUMMYFUNCTION("IFERROR(INDEX(FILTER($Q$2:Q896,$C$2:C896=C897,$G$2:G896=G897),ROWS(FILTER($Q$2:Q896,$C$2:C896=C897,$G$2:G896=G897)),1),1500)"),-720.0)</f>
        <v>-720</v>
      </c>
      <c r="O897" s="3">
        <f t="shared" si="3"/>
        <v>0</v>
      </c>
      <c r="P897" s="9">
        <f t="shared" si="1"/>
        <v>0</v>
      </c>
      <c r="Q897" s="5">
        <f t="shared" si="2"/>
        <v>-720</v>
      </c>
    </row>
    <row r="898">
      <c r="H898" s="3" t="str">
        <f>IFERROR(__xludf.DUMMYFUNCTION("IFERROR(TRIM(INDEX(SPLIT(E898,"" + ""),1)),"""")"),"")</f>
        <v/>
      </c>
      <c r="I898" s="3" t="str">
        <f>IFERROR(__xludf.DUMMYFUNCTION("IFERROR(TRIM(INDEX(SPLIT(E898,"" + ""),2)),"""")"),"")</f>
        <v/>
      </c>
      <c r="J898" s="5" t="str">
        <f>IFERROR(__xludf.DUMMYFUNCTION("IFERROR(TRIM(INDEX(SPLIT(E898,"" + ""),3)),"""")"),"")</f>
        <v/>
      </c>
      <c r="K898" s="3">
        <f>IFERROR(__xludf.DUMMYFUNCTION("IFERROR(IF(H898="""",0,INDEX(FILTER($Q$2:Q897,$C$2:C897=H898,$G$2:G897=G898),ROWS(FILTER($Q$2:Q897,$C$2:C897=H898,$G$2:G897=G898)),1)),1500)"),0.0)</f>
        <v>0</v>
      </c>
      <c r="L898" s="3">
        <f>IFERROR(__xludf.DUMMYFUNCTION("IFERROR(IF(I898="""",0,INDEX(FILTER($Q$2:Q897,$C$2:C897=I898,$G$2:G897=G898),ROWS(FILTER($Q$2:Q897,$C$2:C897=I898,$G$2:G897=G898)),1)),1500)"),0.0)</f>
        <v>0</v>
      </c>
      <c r="M898" s="3">
        <f>IFERROR(__xludf.DUMMYFUNCTION("IFERROR(IF(J898="""",0,INDEX(FILTER($Q$2:Q897,$C$2:C897=J898,$G$2:G897=G898),ROWS(FILTER($Q$2:Q897,$C$2:C897=J898,$G$2:G897=G898)),1)),1500)"),0.0)</f>
        <v>0</v>
      </c>
      <c r="N898" s="3">
        <f>IFERROR(__xludf.DUMMYFUNCTION("IFERROR(INDEX(FILTER($Q$2:Q897,$C$2:C897=C898,$G$2:G897=G898),ROWS(FILTER($Q$2:Q897,$C$2:C897=C898,$G$2:G897=G898)),1),1500)"),-720.0)</f>
        <v>-720</v>
      </c>
      <c r="O898" s="3">
        <f t="shared" si="3"/>
        <v>0</v>
      </c>
      <c r="P898" s="9">
        <f t="shared" si="1"/>
        <v>0</v>
      </c>
      <c r="Q898" s="5">
        <f t="shared" si="2"/>
        <v>-720</v>
      </c>
    </row>
    <row r="899">
      <c r="H899" s="3" t="str">
        <f>IFERROR(__xludf.DUMMYFUNCTION("IFERROR(TRIM(INDEX(SPLIT(E899,"" + ""),1)),"""")"),"")</f>
        <v/>
      </c>
      <c r="I899" s="3" t="str">
        <f>IFERROR(__xludf.DUMMYFUNCTION("IFERROR(TRIM(INDEX(SPLIT(E899,"" + ""),2)),"""")"),"")</f>
        <v/>
      </c>
      <c r="J899" s="5" t="str">
        <f>IFERROR(__xludf.DUMMYFUNCTION("IFERROR(TRIM(INDEX(SPLIT(E899,"" + ""),3)),"""")"),"")</f>
        <v/>
      </c>
      <c r="K899" s="3">
        <f>IFERROR(__xludf.DUMMYFUNCTION("IFERROR(IF(H899="""",0,INDEX(FILTER($Q$2:Q898,$C$2:C898=H899,$G$2:G898=G899),ROWS(FILTER($Q$2:Q898,$C$2:C898=H899,$G$2:G898=G899)),1)),1500)"),0.0)</f>
        <v>0</v>
      </c>
      <c r="L899" s="3">
        <f>IFERROR(__xludf.DUMMYFUNCTION("IFERROR(IF(I899="""",0,INDEX(FILTER($Q$2:Q898,$C$2:C898=I899,$G$2:G898=G899),ROWS(FILTER($Q$2:Q898,$C$2:C898=I899,$G$2:G898=G899)),1)),1500)"),0.0)</f>
        <v>0</v>
      </c>
      <c r="M899" s="3">
        <f>IFERROR(__xludf.DUMMYFUNCTION("IFERROR(IF(J899="""",0,INDEX(FILTER($Q$2:Q898,$C$2:C898=J899,$G$2:G898=G899),ROWS(FILTER($Q$2:Q898,$C$2:C898=J899,$G$2:G898=G899)),1)),1500)"),0.0)</f>
        <v>0</v>
      </c>
      <c r="N899" s="3">
        <f>IFERROR(__xludf.DUMMYFUNCTION("IFERROR(INDEX(FILTER($Q$2:Q898,$C$2:C898=C899,$G$2:G898=G899),ROWS(FILTER($Q$2:Q898,$C$2:C898=C899,$G$2:G898=G899)),1),1500)"),-720.0)</f>
        <v>-720</v>
      </c>
      <c r="O899" s="3">
        <f t="shared" si="3"/>
        <v>0</v>
      </c>
      <c r="P899" s="9">
        <f t="shared" si="1"/>
        <v>0</v>
      </c>
      <c r="Q899" s="5">
        <f t="shared" si="2"/>
        <v>-720</v>
      </c>
    </row>
    <row r="900">
      <c r="H900" s="3" t="str">
        <f>IFERROR(__xludf.DUMMYFUNCTION("IFERROR(TRIM(INDEX(SPLIT(E900,"" + ""),1)),"""")"),"")</f>
        <v/>
      </c>
      <c r="I900" s="3" t="str">
        <f>IFERROR(__xludf.DUMMYFUNCTION("IFERROR(TRIM(INDEX(SPLIT(E900,"" + ""),2)),"""")"),"")</f>
        <v/>
      </c>
      <c r="J900" s="5" t="str">
        <f>IFERROR(__xludf.DUMMYFUNCTION("IFERROR(TRIM(INDEX(SPLIT(E900,"" + ""),3)),"""")"),"")</f>
        <v/>
      </c>
      <c r="K900" s="3">
        <f>IFERROR(__xludf.DUMMYFUNCTION("IFERROR(IF(H900="""",0,INDEX(FILTER($Q$2:Q899,$C$2:C899=H900,$G$2:G899=G900),ROWS(FILTER($Q$2:Q899,$C$2:C899=H900,$G$2:G899=G900)),1)),1500)"),0.0)</f>
        <v>0</v>
      </c>
      <c r="L900" s="3">
        <f>IFERROR(__xludf.DUMMYFUNCTION("IFERROR(IF(I900="""",0,INDEX(FILTER($Q$2:Q899,$C$2:C899=I900,$G$2:G899=G900),ROWS(FILTER($Q$2:Q899,$C$2:C899=I900,$G$2:G899=G900)),1)),1500)"),0.0)</f>
        <v>0</v>
      </c>
      <c r="M900" s="3">
        <f>IFERROR(__xludf.DUMMYFUNCTION("IFERROR(IF(J900="""",0,INDEX(FILTER($Q$2:Q899,$C$2:C899=J900,$G$2:G899=G900),ROWS(FILTER($Q$2:Q899,$C$2:C899=J900,$G$2:G899=G900)),1)),1500)"),0.0)</f>
        <v>0</v>
      </c>
      <c r="N900" s="3">
        <f>IFERROR(__xludf.DUMMYFUNCTION("IFERROR(INDEX(FILTER($Q$2:Q899,$C$2:C899=C900,$G$2:G899=G900),ROWS(FILTER($Q$2:Q899,$C$2:C899=C900,$G$2:G899=G900)),1),1500)"),-720.0)</f>
        <v>-720</v>
      </c>
      <c r="O900" s="3">
        <f t="shared" si="3"/>
        <v>0</v>
      </c>
      <c r="P900" s="9">
        <f t="shared" si="1"/>
        <v>0</v>
      </c>
      <c r="Q900" s="5">
        <f t="shared" si="2"/>
        <v>-720</v>
      </c>
    </row>
    <row r="901">
      <c r="H901" s="3" t="str">
        <f>IFERROR(__xludf.DUMMYFUNCTION("IFERROR(TRIM(INDEX(SPLIT(E901,"" + ""),1)),"""")"),"")</f>
        <v/>
      </c>
      <c r="I901" s="3" t="str">
        <f>IFERROR(__xludf.DUMMYFUNCTION("IFERROR(TRIM(INDEX(SPLIT(E901,"" + ""),2)),"""")"),"")</f>
        <v/>
      </c>
      <c r="J901" s="5" t="str">
        <f>IFERROR(__xludf.DUMMYFUNCTION("IFERROR(TRIM(INDEX(SPLIT(E901,"" + ""),3)),"""")"),"")</f>
        <v/>
      </c>
      <c r="K901" s="3">
        <f>IFERROR(__xludf.DUMMYFUNCTION("IFERROR(IF(H901="""",0,INDEX(FILTER($Q$2:Q900,$C$2:C900=H901,$G$2:G900=G901),ROWS(FILTER($Q$2:Q900,$C$2:C900=H901,$G$2:G900=G901)),1)),1500)"),0.0)</f>
        <v>0</v>
      </c>
      <c r="L901" s="3">
        <f>IFERROR(__xludf.DUMMYFUNCTION("IFERROR(IF(I901="""",0,INDEX(FILTER($Q$2:Q900,$C$2:C900=I901,$G$2:G900=G901),ROWS(FILTER($Q$2:Q900,$C$2:C900=I901,$G$2:G900=G901)),1)),1500)"),0.0)</f>
        <v>0</v>
      </c>
      <c r="M901" s="3">
        <f>IFERROR(__xludf.DUMMYFUNCTION("IFERROR(IF(J901="""",0,INDEX(FILTER($Q$2:Q900,$C$2:C900=J901,$G$2:G900=G901),ROWS(FILTER($Q$2:Q900,$C$2:C900=J901,$G$2:G900=G901)),1)),1500)"),0.0)</f>
        <v>0</v>
      </c>
      <c r="N901" s="3">
        <f>IFERROR(__xludf.DUMMYFUNCTION("IFERROR(INDEX(FILTER($Q$2:Q900,$C$2:C900=C901,$G$2:G900=G901),ROWS(FILTER($Q$2:Q900,$C$2:C900=C901,$G$2:G900=G901)),1),1500)"),-720.0)</f>
        <v>-720</v>
      </c>
      <c r="O901" s="3">
        <f t="shared" si="3"/>
        <v>0</v>
      </c>
      <c r="P901" s="9">
        <f t="shared" si="1"/>
        <v>0</v>
      </c>
      <c r="Q901" s="5">
        <f t="shared" si="2"/>
        <v>-720</v>
      </c>
    </row>
    <row r="902">
      <c r="H902" s="3" t="str">
        <f>IFERROR(__xludf.DUMMYFUNCTION("IFERROR(TRIM(INDEX(SPLIT(E902,"" + ""),1)),"""")"),"")</f>
        <v/>
      </c>
      <c r="I902" s="3" t="str">
        <f>IFERROR(__xludf.DUMMYFUNCTION("IFERROR(TRIM(INDEX(SPLIT(E902,"" + ""),2)),"""")"),"")</f>
        <v/>
      </c>
      <c r="J902" s="5" t="str">
        <f>IFERROR(__xludf.DUMMYFUNCTION("IFERROR(TRIM(INDEX(SPLIT(E902,"" + ""),3)),"""")"),"")</f>
        <v/>
      </c>
      <c r="K902" s="3">
        <f>IFERROR(__xludf.DUMMYFUNCTION("IFERROR(IF(H902="""",0,INDEX(FILTER($Q$2:Q901,$C$2:C901=H902,$G$2:G901=G902),ROWS(FILTER($Q$2:Q901,$C$2:C901=H902,$G$2:G901=G902)),1)),1500)"),0.0)</f>
        <v>0</v>
      </c>
      <c r="L902" s="3">
        <f>IFERROR(__xludf.DUMMYFUNCTION("IFERROR(IF(I902="""",0,INDEX(FILTER($Q$2:Q901,$C$2:C901=I902,$G$2:G901=G902),ROWS(FILTER($Q$2:Q901,$C$2:C901=I902,$G$2:G901=G902)),1)),1500)"),0.0)</f>
        <v>0</v>
      </c>
      <c r="M902" s="3">
        <f>IFERROR(__xludf.DUMMYFUNCTION("IFERROR(IF(J902="""",0,INDEX(FILTER($Q$2:Q901,$C$2:C901=J902,$G$2:G901=G902),ROWS(FILTER($Q$2:Q901,$C$2:C901=J902,$G$2:G901=G902)),1)),1500)"),0.0)</f>
        <v>0</v>
      </c>
      <c r="N902" s="3">
        <f>IFERROR(__xludf.DUMMYFUNCTION("IFERROR(INDEX(FILTER($Q$2:Q901,$C$2:C901=C902,$G$2:G901=G902),ROWS(FILTER($Q$2:Q901,$C$2:C901=C902,$G$2:G901=G902)),1),1500)"),-720.0)</f>
        <v>-720</v>
      </c>
      <c r="O902" s="3">
        <f t="shared" si="3"/>
        <v>0</v>
      </c>
      <c r="P902" s="9">
        <f t="shared" si="1"/>
        <v>0</v>
      </c>
      <c r="Q902" s="5">
        <f t="shared" si="2"/>
        <v>-720</v>
      </c>
    </row>
    <row r="903">
      <c r="H903" s="3" t="str">
        <f>IFERROR(__xludf.DUMMYFUNCTION("IFERROR(TRIM(INDEX(SPLIT(E903,"" + ""),1)),"""")"),"")</f>
        <v/>
      </c>
      <c r="I903" s="3" t="str">
        <f>IFERROR(__xludf.DUMMYFUNCTION("IFERROR(TRIM(INDEX(SPLIT(E903,"" + ""),2)),"""")"),"")</f>
        <v/>
      </c>
      <c r="J903" s="5" t="str">
        <f>IFERROR(__xludf.DUMMYFUNCTION("IFERROR(TRIM(INDEX(SPLIT(E903,"" + ""),3)),"""")"),"")</f>
        <v/>
      </c>
      <c r="K903" s="3">
        <f>IFERROR(__xludf.DUMMYFUNCTION("IFERROR(IF(H903="""",0,INDEX(FILTER($Q$2:Q902,$C$2:C902=H903,$G$2:G902=G903),ROWS(FILTER($Q$2:Q902,$C$2:C902=H903,$G$2:G902=G903)),1)),1500)"),0.0)</f>
        <v>0</v>
      </c>
      <c r="L903" s="3">
        <f>IFERROR(__xludf.DUMMYFUNCTION("IFERROR(IF(I903="""",0,INDEX(FILTER($Q$2:Q902,$C$2:C902=I903,$G$2:G902=G903),ROWS(FILTER($Q$2:Q902,$C$2:C902=I903,$G$2:G902=G903)),1)),1500)"),0.0)</f>
        <v>0</v>
      </c>
      <c r="M903" s="3">
        <f>IFERROR(__xludf.DUMMYFUNCTION("IFERROR(IF(J903="""",0,INDEX(FILTER($Q$2:Q902,$C$2:C902=J903,$G$2:G902=G903),ROWS(FILTER($Q$2:Q902,$C$2:C902=J903,$G$2:G902=G903)),1)),1500)"),0.0)</f>
        <v>0</v>
      </c>
      <c r="N903" s="3">
        <f>IFERROR(__xludf.DUMMYFUNCTION("IFERROR(INDEX(FILTER($Q$2:Q902,$C$2:C902=C903,$G$2:G902=G903),ROWS(FILTER($Q$2:Q902,$C$2:C902=C903,$G$2:G902=G903)),1),1500)"),-720.0)</f>
        <v>-720</v>
      </c>
      <c r="O903" s="3">
        <f t="shared" si="3"/>
        <v>0</v>
      </c>
      <c r="P903" s="9">
        <f t="shared" si="1"/>
        <v>0</v>
      </c>
      <c r="Q903" s="5">
        <f t="shared" si="2"/>
        <v>-720</v>
      </c>
    </row>
    <row r="904">
      <c r="H904" s="3" t="str">
        <f>IFERROR(__xludf.DUMMYFUNCTION("IFERROR(TRIM(INDEX(SPLIT(E904,"" + ""),1)),"""")"),"")</f>
        <v/>
      </c>
      <c r="I904" s="3" t="str">
        <f>IFERROR(__xludf.DUMMYFUNCTION("IFERROR(TRIM(INDEX(SPLIT(E904,"" + ""),2)),"""")"),"")</f>
        <v/>
      </c>
      <c r="J904" s="5" t="str">
        <f>IFERROR(__xludf.DUMMYFUNCTION("IFERROR(TRIM(INDEX(SPLIT(E904,"" + ""),3)),"""")"),"")</f>
        <v/>
      </c>
      <c r="K904" s="3">
        <f>IFERROR(__xludf.DUMMYFUNCTION("IFERROR(IF(H904="""",0,INDEX(FILTER($Q$2:Q903,$C$2:C903=H904,$G$2:G903=G904),ROWS(FILTER($Q$2:Q903,$C$2:C903=H904,$G$2:G903=G904)),1)),1500)"),0.0)</f>
        <v>0</v>
      </c>
      <c r="L904" s="3">
        <f>IFERROR(__xludf.DUMMYFUNCTION("IFERROR(IF(I904="""",0,INDEX(FILTER($Q$2:Q903,$C$2:C903=I904,$G$2:G903=G904),ROWS(FILTER($Q$2:Q903,$C$2:C903=I904,$G$2:G903=G904)),1)),1500)"),0.0)</f>
        <v>0</v>
      </c>
      <c r="M904" s="3">
        <f>IFERROR(__xludf.DUMMYFUNCTION("IFERROR(IF(J904="""",0,INDEX(FILTER($Q$2:Q903,$C$2:C903=J904,$G$2:G903=G904),ROWS(FILTER($Q$2:Q903,$C$2:C903=J904,$G$2:G903=G904)),1)),1500)"),0.0)</f>
        <v>0</v>
      </c>
      <c r="N904" s="3">
        <f>IFERROR(__xludf.DUMMYFUNCTION("IFERROR(INDEX(FILTER($Q$2:Q903,$C$2:C903=C904,$G$2:G903=G904),ROWS(FILTER($Q$2:Q903,$C$2:C903=C904,$G$2:G903=G904)),1),1500)"),-720.0)</f>
        <v>-720</v>
      </c>
      <c r="O904" s="3">
        <f t="shared" si="3"/>
        <v>0</v>
      </c>
      <c r="P904" s="9">
        <f t="shared" si="1"/>
        <v>0</v>
      </c>
      <c r="Q904" s="5">
        <f t="shared" si="2"/>
        <v>-720</v>
      </c>
    </row>
    <row r="905">
      <c r="H905" s="3" t="str">
        <f>IFERROR(__xludf.DUMMYFUNCTION("IFERROR(TRIM(INDEX(SPLIT(E905,"" + ""),1)),"""")"),"")</f>
        <v/>
      </c>
      <c r="I905" s="3" t="str">
        <f>IFERROR(__xludf.DUMMYFUNCTION("IFERROR(TRIM(INDEX(SPLIT(E905,"" + ""),2)),"""")"),"")</f>
        <v/>
      </c>
      <c r="J905" s="5" t="str">
        <f>IFERROR(__xludf.DUMMYFUNCTION("IFERROR(TRIM(INDEX(SPLIT(E905,"" + ""),3)),"""")"),"")</f>
        <v/>
      </c>
      <c r="K905" s="3">
        <f>IFERROR(__xludf.DUMMYFUNCTION("IFERROR(IF(H905="""",0,INDEX(FILTER($Q$2:Q904,$C$2:C904=H905,$G$2:G904=G905),ROWS(FILTER($Q$2:Q904,$C$2:C904=H905,$G$2:G904=G905)),1)),1500)"),0.0)</f>
        <v>0</v>
      </c>
      <c r="L905" s="3">
        <f>IFERROR(__xludf.DUMMYFUNCTION("IFERROR(IF(I905="""",0,INDEX(FILTER($Q$2:Q904,$C$2:C904=I905,$G$2:G904=G905),ROWS(FILTER($Q$2:Q904,$C$2:C904=I905,$G$2:G904=G905)),1)),1500)"),0.0)</f>
        <v>0</v>
      </c>
      <c r="M905" s="3">
        <f>IFERROR(__xludf.DUMMYFUNCTION("IFERROR(IF(J905="""",0,INDEX(FILTER($Q$2:Q904,$C$2:C904=J905,$G$2:G904=G905),ROWS(FILTER($Q$2:Q904,$C$2:C904=J905,$G$2:G904=G905)),1)),1500)"),0.0)</f>
        <v>0</v>
      </c>
      <c r="N905" s="3">
        <f>IFERROR(__xludf.DUMMYFUNCTION("IFERROR(INDEX(FILTER($Q$2:Q904,$C$2:C904=C905,$G$2:G904=G905),ROWS(FILTER($Q$2:Q904,$C$2:C904=C905,$G$2:G904=G905)),1),1500)"),-720.0)</f>
        <v>-720</v>
      </c>
      <c r="O905" s="3">
        <f t="shared" si="3"/>
        <v>0</v>
      </c>
      <c r="P905" s="9">
        <f t="shared" si="1"/>
        <v>0</v>
      </c>
      <c r="Q905" s="5">
        <f t="shared" si="2"/>
        <v>-720</v>
      </c>
    </row>
    <row r="906">
      <c r="H906" s="3" t="str">
        <f>IFERROR(__xludf.DUMMYFUNCTION("IFERROR(TRIM(INDEX(SPLIT(E906,"" + ""),1)),"""")"),"")</f>
        <v/>
      </c>
      <c r="I906" s="3" t="str">
        <f>IFERROR(__xludf.DUMMYFUNCTION("IFERROR(TRIM(INDEX(SPLIT(E906,"" + ""),2)),"""")"),"")</f>
        <v/>
      </c>
      <c r="J906" s="5" t="str">
        <f>IFERROR(__xludf.DUMMYFUNCTION("IFERROR(TRIM(INDEX(SPLIT(E906,"" + ""),3)),"""")"),"")</f>
        <v/>
      </c>
      <c r="K906" s="3">
        <f>IFERROR(__xludf.DUMMYFUNCTION("IFERROR(IF(H906="""",0,INDEX(FILTER($Q$2:Q905,$C$2:C905=H906,$G$2:G905=G906),ROWS(FILTER($Q$2:Q905,$C$2:C905=H906,$G$2:G905=G906)),1)),1500)"),0.0)</f>
        <v>0</v>
      </c>
      <c r="L906" s="3">
        <f>IFERROR(__xludf.DUMMYFUNCTION("IFERROR(IF(I906="""",0,INDEX(FILTER($Q$2:Q905,$C$2:C905=I906,$G$2:G905=G906),ROWS(FILTER($Q$2:Q905,$C$2:C905=I906,$G$2:G905=G906)),1)),1500)"),0.0)</f>
        <v>0</v>
      </c>
      <c r="M906" s="3">
        <f>IFERROR(__xludf.DUMMYFUNCTION("IFERROR(IF(J906="""",0,INDEX(FILTER($Q$2:Q905,$C$2:C905=J906,$G$2:G905=G906),ROWS(FILTER($Q$2:Q905,$C$2:C905=J906,$G$2:G905=G906)),1)),1500)"),0.0)</f>
        <v>0</v>
      </c>
      <c r="N906" s="3">
        <f>IFERROR(__xludf.DUMMYFUNCTION("IFERROR(INDEX(FILTER($Q$2:Q905,$C$2:C905=C906,$G$2:G905=G906),ROWS(FILTER($Q$2:Q905,$C$2:C905=C906,$G$2:G905=G906)),1),1500)"),-720.0)</f>
        <v>-720</v>
      </c>
      <c r="O906" s="3">
        <f t="shared" si="3"/>
        <v>0</v>
      </c>
      <c r="P906" s="9">
        <f t="shared" si="1"/>
        <v>0</v>
      </c>
      <c r="Q906" s="5">
        <f t="shared" si="2"/>
        <v>-720</v>
      </c>
    </row>
    <row r="907">
      <c r="H907" s="3" t="str">
        <f>IFERROR(__xludf.DUMMYFUNCTION("IFERROR(TRIM(INDEX(SPLIT(E907,"" + ""),1)),"""")"),"")</f>
        <v/>
      </c>
      <c r="I907" s="3" t="str">
        <f>IFERROR(__xludf.DUMMYFUNCTION("IFERROR(TRIM(INDEX(SPLIT(E907,"" + ""),2)),"""")"),"")</f>
        <v/>
      </c>
      <c r="J907" s="5" t="str">
        <f>IFERROR(__xludf.DUMMYFUNCTION("IFERROR(TRIM(INDEX(SPLIT(E907,"" + ""),3)),"""")"),"")</f>
        <v/>
      </c>
      <c r="K907" s="3">
        <f>IFERROR(__xludf.DUMMYFUNCTION("IFERROR(IF(H907="""",0,INDEX(FILTER($Q$2:Q906,$C$2:C906=H907,$G$2:G906=G907),ROWS(FILTER($Q$2:Q906,$C$2:C906=H907,$G$2:G906=G907)),1)),1500)"),0.0)</f>
        <v>0</v>
      </c>
      <c r="L907" s="3">
        <f>IFERROR(__xludf.DUMMYFUNCTION("IFERROR(IF(I907="""",0,INDEX(FILTER($Q$2:Q906,$C$2:C906=I907,$G$2:G906=G907),ROWS(FILTER($Q$2:Q906,$C$2:C906=I907,$G$2:G906=G907)),1)),1500)"),0.0)</f>
        <v>0</v>
      </c>
      <c r="M907" s="3">
        <f>IFERROR(__xludf.DUMMYFUNCTION("IFERROR(IF(J907="""",0,INDEX(FILTER($Q$2:Q906,$C$2:C906=J907,$G$2:G906=G907),ROWS(FILTER($Q$2:Q906,$C$2:C906=J907,$G$2:G906=G907)),1)),1500)"),0.0)</f>
        <v>0</v>
      </c>
      <c r="N907" s="3">
        <f>IFERROR(__xludf.DUMMYFUNCTION("IFERROR(INDEX(FILTER($Q$2:Q906,$C$2:C906=C907,$G$2:G906=G907),ROWS(FILTER($Q$2:Q906,$C$2:C906=C907,$G$2:G906=G907)),1),1500)"),-720.0)</f>
        <v>-720</v>
      </c>
      <c r="O907" s="3">
        <f t="shared" si="3"/>
        <v>0</v>
      </c>
      <c r="P907" s="9">
        <f t="shared" si="1"/>
        <v>0</v>
      </c>
      <c r="Q907" s="5">
        <f t="shared" si="2"/>
        <v>-720</v>
      </c>
    </row>
    <row r="908">
      <c r="H908" s="3" t="str">
        <f>IFERROR(__xludf.DUMMYFUNCTION("IFERROR(TRIM(INDEX(SPLIT(E908,"" + ""),1)),"""")"),"")</f>
        <v/>
      </c>
      <c r="I908" s="3" t="str">
        <f>IFERROR(__xludf.DUMMYFUNCTION("IFERROR(TRIM(INDEX(SPLIT(E908,"" + ""),2)),"""")"),"")</f>
        <v/>
      </c>
      <c r="J908" s="5" t="str">
        <f>IFERROR(__xludf.DUMMYFUNCTION("IFERROR(TRIM(INDEX(SPLIT(E908,"" + ""),3)),"""")"),"")</f>
        <v/>
      </c>
      <c r="K908" s="3">
        <f>IFERROR(__xludf.DUMMYFUNCTION("IFERROR(IF(H908="""",0,INDEX(FILTER($Q$2:Q907,$C$2:C907=H908,$G$2:G907=G908),ROWS(FILTER($Q$2:Q907,$C$2:C907=H908,$G$2:G907=G908)),1)),1500)"),0.0)</f>
        <v>0</v>
      </c>
      <c r="L908" s="3">
        <f>IFERROR(__xludf.DUMMYFUNCTION("IFERROR(IF(I908="""",0,INDEX(FILTER($Q$2:Q907,$C$2:C907=I908,$G$2:G907=G908),ROWS(FILTER($Q$2:Q907,$C$2:C907=I908,$G$2:G907=G908)),1)),1500)"),0.0)</f>
        <v>0</v>
      </c>
      <c r="M908" s="3">
        <f>IFERROR(__xludf.DUMMYFUNCTION("IFERROR(IF(J908="""",0,INDEX(FILTER($Q$2:Q907,$C$2:C907=J908,$G$2:G907=G908),ROWS(FILTER($Q$2:Q907,$C$2:C907=J908,$G$2:G907=G908)),1)),1500)"),0.0)</f>
        <v>0</v>
      </c>
      <c r="N908" s="3">
        <f>IFERROR(__xludf.DUMMYFUNCTION("IFERROR(INDEX(FILTER($Q$2:Q907,$C$2:C907=C908,$G$2:G907=G908),ROWS(FILTER($Q$2:Q907,$C$2:C907=C908,$G$2:G907=G908)),1),1500)"),-720.0)</f>
        <v>-720</v>
      </c>
      <c r="O908" s="3">
        <f t="shared" si="3"/>
        <v>0</v>
      </c>
      <c r="P908" s="9">
        <f t="shared" si="1"/>
        <v>0</v>
      </c>
      <c r="Q908" s="5">
        <f t="shared" si="2"/>
        <v>-720</v>
      </c>
    </row>
    <row r="909">
      <c r="H909" s="3" t="str">
        <f>IFERROR(__xludf.DUMMYFUNCTION("IFERROR(TRIM(INDEX(SPLIT(E909,"" + ""),1)),"""")"),"")</f>
        <v/>
      </c>
      <c r="I909" s="3" t="str">
        <f>IFERROR(__xludf.DUMMYFUNCTION("IFERROR(TRIM(INDEX(SPLIT(E909,"" + ""),2)),"""")"),"")</f>
        <v/>
      </c>
      <c r="J909" s="5" t="str">
        <f>IFERROR(__xludf.DUMMYFUNCTION("IFERROR(TRIM(INDEX(SPLIT(E909,"" + ""),3)),"""")"),"")</f>
        <v/>
      </c>
      <c r="K909" s="3">
        <f>IFERROR(__xludf.DUMMYFUNCTION("IFERROR(IF(H909="""",0,INDEX(FILTER($Q$2:Q908,$C$2:C908=H909,$G$2:G908=G909),ROWS(FILTER($Q$2:Q908,$C$2:C908=H909,$G$2:G908=G909)),1)),1500)"),0.0)</f>
        <v>0</v>
      </c>
      <c r="L909" s="3">
        <f>IFERROR(__xludf.DUMMYFUNCTION("IFERROR(IF(I909="""",0,INDEX(FILTER($Q$2:Q908,$C$2:C908=I909,$G$2:G908=G909),ROWS(FILTER($Q$2:Q908,$C$2:C908=I909,$G$2:G908=G909)),1)),1500)"),0.0)</f>
        <v>0</v>
      </c>
      <c r="M909" s="3">
        <f>IFERROR(__xludf.DUMMYFUNCTION("IFERROR(IF(J909="""",0,INDEX(FILTER($Q$2:Q908,$C$2:C908=J909,$G$2:G908=G909),ROWS(FILTER($Q$2:Q908,$C$2:C908=J909,$G$2:G908=G909)),1)),1500)"),0.0)</f>
        <v>0</v>
      </c>
      <c r="N909" s="3">
        <f>IFERROR(__xludf.DUMMYFUNCTION("IFERROR(INDEX(FILTER($Q$2:Q908,$C$2:C908=C909,$G$2:G908=G909),ROWS(FILTER($Q$2:Q908,$C$2:C908=C909,$G$2:G908=G909)),1),1500)"),-720.0)</f>
        <v>-720</v>
      </c>
      <c r="O909" s="3">
        <f t="shared" si="3"/>
        <v>0</v>
      </c>
      <c r="P909" s="9">
        <f t="shared" si="1"/>
        <v>0</v>
      </c>
      <c r="Q909" s="5">
        <f t="shared" si="2"/>
        <v>-720</v>
      </c>
    </row>
    <row r="910">
      <c r="H910" s="3" t="str">
        <f>IFERROR(__xludf.DUMMYFUNCTION("IFERROR(TRIM(INDEX(SPLIT(E910,"" + ""),1)),"""")"),"")</f>
        <v/>
      </c>
      <c r="I910" s="3" t="str">
        <f>IFERROR(__xludf.DUMMYFUNCTION("IFERROR(TRIM(INDEX(SPLIT(E910,"" + ""),2)),"""")"),"")</f>
        <v/>
      </c>
      <c r="J910" s="5" t="str">
        <f>IFERROR(__xludf.DUMMYFUNCTION("IFERROR(TRIM(INDEX(SPLIT(E910,"" + ""),3)),"""")"),"")</f>
        <v/>
      </c>
      <c r="K910" s="3">
        <f>IFERROR(__xludf.DUMMYFUNCTION("IFERROR(IF(H910="""",0,INDEX(FILTER($Q$2:Q909,$C$2:C909=H910,$G$2:G909=G910),ROWS(FILTER($Q$2:Q909,$C$2:C909=H910,$G$2:G909=G910)),1)),1500)"),0.0)</f>
        <v>0</v>
      </c>
      <c r="L910" s="3">
        <f>IFERROR(__xludf.DUMMYFUNCTION("IFERROR(IF(I910="""",0,INDEX(FILTER($Q$2:Q909,$C$2:C909=I910,$G$2:G909=G910),ROWS(FILTER($Q$2:Q909,$C$2:C909=I910,$G$2:G909=G910)),1)),1500)"),0.0)</f>
        <v>0</v>
      </c>
      <c r="M910" s="3">
        <f>IFERROR(__xludf.DUMMYFUNCTION("IFERROR(IF(J910="""",0,INDEX(FILTER($Q$2:Q909,$C$2:C909=J910,$G$2:G909=G910),ROWS(FILTER($Q$2:Q909,$C$2:C909=J910,$G$2:G909=G910)),1)),1500)"),0.0)</f>
        <v>0</v>
      </c>
      <c r="N910" s="3">
        <f>IFERROR(__xludf.DUMMYFUNCTION("IFERROR(INDEX(FILTER($Q$2:Q909,$C$2:C909=C910,$G$2:G909=G910),ROWS(FILTER($Q$2:Q909,$C$2:C909=C910,$G$2:G909=G910)),1),1500)"),-720.0)</f>
        <v>-720</v>
      </c>
      <c r="O910" s="3">
        <f t="shared" si="3"/>
        <v>0</v>
      </c>
      <c r="P910" s="9">
        <f t="shared" si="1"/>
        <v>0</v>
      </c>
      <c r="Q910" s="5">
        <f t="shared" si="2"/>
        <v>-720</v>
      </c>
    </row>
    <row r="911">
      <c r="H911" s="3" t="str">
        <f>IFERROR(__xludf.DUMMYFUNCTION("IFERROR(TRIM(INDEX(SPLIT(E911,"" + ""),1)),"""")"),"")</f>
        <v/>
      </c>
      <c r="I911" s="3" t="str">
        <f>IFERROR(__xludf.DUMMYFUNCTION("IFERROR(TRIM(INDEX(SPLIT(E911,"" + ""),2)),"""")"),"")</f>
        <v/>
      </c>
      <c r="J911" s="5" t="str">
        <f>IFERROR(__xludf.DUMMYFUNCTION("IFERROR(TRIM(INDEX(SPLIT(E911,"" + ""),3)),"""")"),"")</f>
        <v/>
      </c>
      <c r="K911" s="3">
        <f>IFERROR(__xludf.DUMMYFUNCTION("IFERROR(IF(H911="""",0,INDEX(FILTER($Q$2:Q910,$C$2:C910=H911,$G$2:G910=G911),ROWS(FILTER($Q$2:Q910,$C$2:C910=H911,$G$2:G910=G911)),1)),1500)"),0.0)</f>
        <v>0</v>
      </c>
      <c r="L911" s="3">
        <f>IFERROR(__xludf.DUMMYFUNCTION("IFERROR(IF(I911="""",0,INDEX(FILTER($Q$2:Q910,$C$2:C910=I911,$G$2:G910=G911),ROWS(FILTER($Q$2:Q910,$C$2:C910=I911,$G$2:G910=G911)),1)),1500)"),0.0)</f>
        <v>0</v>
      </c>
      <c r="M911" s="3">
        <f>IFERROR(__xludf.DUMMYFUNCTION("IFERROR(IF(J911="""",0,INDEX(FILTER($Q$2:Q910,$C$2:C910=J911,$G$2:G910=G911),ROWS(FILTER($Q$2:Q910,$C$2:C910=J911,$G$2:G910=G911)),1)),1500)"),0.0)</f>
        <v>0</v>
      </c>
      <c r="N911" s="3">
        <f>IFERROR(__xludf.DUMMYFUNCTION("IFERROR(INDEX(FILTER($Q$2:Q910,$C$2:C910=C911,$G$2:G910=G911),ROWS(FILTER($Q$2:Q910,$C$2:C910=C911,$G$2:G910=G911)),1),1500)"),-720.0)</f>
        <v>-720</v>
      </c>
      <c r="O911" s="3">
        <f t="shared" si="3"/>
        <v>0</v>
      </c>
      <c r="P911" s="9">
        <f t="shared" si="1"/>
        <v>0</v>
      </c>
      <c r="Q911" s="5">
        <f t="shared" si="2"/>
        <v>-720</v>
      </c>
    </row>
    <row r="912">
      <c r="H912" s="3" t="str">
        <f>IFERROR(__xludf.DUMMYFUNCTION("IFERROR(TRIM(INDEX(SPLIT(E912,"" + ""),1)),"""")"),"")</f>
        <v/>
      </c>
      <c r="I912" s="3" t="str">
        <f>IFERROR(__xludf.DUMMYFUNCTION("IFERROR(TRIM(INDEX(SPLIT(E912,"" + ""),2)),"""")"),"")</f>
        <v/>
      </c>
      <c r="J912" s="5" t="str">
        <f>IFERROR(__xludf.DUMMYFUNCTION("IFERROR(TRIM(INDEX(SPLIT(E912,"" + ""),3)),"""")"),"")</f>
        <v/>
      </c>
      <c r="K912" s="3">
        <f>IFERROR(__xludf.DUMMYFUNCTION("IFERROR(IF(H912="""",0,INDEX(FILTER($Q$2:Q911,$C$2:C911=H912,$G$2:G911=G912),ROWS(FILTER($Q$2:Q911,$C$2:C911=H912,$G$2:G911=G912)),1)),1500)"),0.0)</f>
        <v>0</v>
      </c>
      <c r="L912" s="3">
        <f>IFERROR(__xludf.DUMMYFUNCTION("IFERROR(IF(I912="""",0,INDEX(FILTER($Q$2:Q911,$C$2:C911=I912,$G$2:G911=G912),ROWS(FILTER($Q$2:Q911,$C$2:C911=I912,$G$2:G911=G912)),1)),1500)"),0.0)</f>
        <v>0</v>
      </c>
      <c r="M912" s="3">
        <f>IFERROR(__xludf.DUMMYFUNCTION("IFERROR(IF(J912="""",0,INDEX(FILTER($Q$2:Q911,$C$2:C911=J912,$G$2:G911=G912),ROWS(FILTER($Q$2:Q911,$C$2:C911=J912,$G$2:G911=G912)),1)),1500)"),0.0)</f>
        <v>0</v>
      </c>
      <c r="N912" s="3">
        <f>IFERROR(__xludf.DUMMYFUNCTION("IFERROR(INDEX(FILTER($Q$2:Q911,$C$2:C911=C912,$G$2:G911=G912),ROWS(FILTER($Q$2:Q911,$C$2:C911=C912,$G$2:G911=G912)),1),1500)"),-720.0)</f>
        <v>-720</v>
      </c>
      <c r="O912" s="3">
        <f t="shared" si="3"/>
        <v>0</v>
      </c>
      <c r="P912" s="9">
        <f t="shared" si="1"/>
        <v>0</v>
      </c>
      <c r="Q912" s="5">
        <f t="shared" si="2"/>
        <v>-720</v>
      </c>
    </row>
    <row r="913">
      <c r="H913" s="3" t="str">
        <f>IFERROR(__xludf.DUMMYFUNCTION("IFERROR(TRIM(INDEX(SPLIT(E913,"" + ""),1)),"""")"),"")</f>
        <v/>
      </c>
      <c r="I913" s="3" t="str">
        <f>IFERROR(__xludf.DUMMYFUNCTION("IFERROR(TRIM(INDEX(SPLIT(E913,"" + ""),2)),"""")"),"")</f>
        <v/>
      </c>
      <c r="J913" s="5" t="str">
        <f>IFERROR(__xludf.DUMMYFUNCTION("IFERROR(TRIM(INDEX(SPLIT(E913,"" + ""),3)),"""")"),"")</f>
        <v/>
      </c>
      <c r="K913" s="3">
        <f>IFERROR(__xludf.DUMMYFUNCTION("IFERROR(IF(H913="""",0,INDEX(FILTER($Q$2:Q912,$C$2:C912=H913,$G$2:G912=G913),ROWS(FILTER($Q$2:Q912,$C$2:C912=H913,$G$2:G912=G913)),1)),1500)"),0.0)</f>
        <v>0</v>
      </c>
      <c r="L913" s="3">
        <f>IFERROR(__xludf.DUMMYFUNCTION("IFERROR(IF(I913="""",0,INDEX(FILTER($Q$2:Q912,$C$2:C912=I913,$G$2:G912=G913),ROWS(FILTER($Q$2:Q912,$C$2:C912=I913,$G$2:G912=G913)),1)),1500)"),0.0)</f>
        <v>0</v>
      </c>
      <c r="M913" s="3">
        <f>IFERROR(__xludf.DUMMYFUNCTION("IFERROR(IF(J913="""",0,INDEX(FILTER($Q$2:Q912,$C$2:C912=J913,$G$2:G912=G913),ROWS(FILTER($Q$2:Q912,$C$2:C912=J913,$G$2:G912=G913)),1)),1500)"),0.0)</f>
        <v>0</v>
      </c>
      <c r="N913" s="3">
        <f>IFERROR(__xludf.DUMMYFUNCTION("IFERROR(INDEX(FILTER($Q$2:Q912,$C$2:C912=C913,$G$2:G912=G913),ROWS(FILTER($Q$2:Q912,$C$2:C912=C913,$G$2:G912=G913)),1),1500)"),-720.0)</f>
        <v>-720</v>
      </c>
      <c r="O913" s="3">
        <f t="shared" si="3"/>
        <v>0</v>
      </c>
      <c r="P913" s="9">
        <f t="shared" si="1"/>
        <v>0</v>
      </c>
      <c r="Q913" s="5">
        <f t="shared" si="2"/>
        <v>-720</v>
      </c>
    </row>
    <row r="914">
      <c r="H914" s="3" t="str">
        <f>IFERROR(__xludf.DUMMYFUNCTION("IFERROR(TRIM(INDEX(SPLIT(E914,"" + ""),1)),"""")"),"")</f>
        <v/>
      </c>
      <c r="I914" s="3" t="str">
        <f>IFERROR(__xludf.DUMMYFUNCTION("IFERROR(TRIM(INDEX(SPLIT(E914,"" + ""),2)),"""")"),"")</f>
        <v/>
      </c>
      <c r="J914" s="5" t="str">
        <f>IFERROR(__xludf.DUMMYFUNCTION("IFERROR(TRIM(INDEX(SPLIT(E914,"" + ""),3)),"""")"),"")</f>
        <v/>
      </c>
      <c r="K914" s="3">
        <f>IFERROR(__xludf.DUMMYFUNCTION("IFERROR(IF(H914="""",0,INDEX(FILTER($Q$2:Q913,$C$2:C913=H914,$G$2:G913=G914),ROWS(FILTER($Q$2:Q913,$C$2:C913=H914,$G$2:G913=G914)),1)),1500)"),0.0)</f>
        <v>0</v>
      </c>
      <c r="L914" s="3">
        <f>IFERROR(__xludf.DUMMYFUNCTION("IFERROR(IF(I914="""",0,INDEX(FILTER($Q$2:Q913,$C$2:C913=I914,$G$2:G913=G914),ROWS(FILTER($Q$2:Q913,$C$2:C913=I914,$G$2:G913=G914)),1)),1500)"),0.0)</f>
        <v>0</v>
      </c>
      <c r="M914" s="3">
        <f>IFERROR(__xludf.DUMMYFUNCTION("IFERROR(IF(J914="""",0,INDEX(FILTER($Q$2:Q913,$C$2:C913=J914,$G$2:G913=G914),ROWS(FILTER($Q$2:Q913,$C$2:C913=J914,$G$2:G913=G914)),1)),1500)"),0.0)</f>
        <v>0</v>
      </c>
      <c r="N914" s="3">
        <f>IFERROR(__xludf.DUMMYFUNCTION("IFERROR(INDEX(FILTER($Q$2:Q913,$C$2:C913=C914,$G$2:G913=G914),ROWS(FILTER($Q$2:Q913,$C$2:C913=C914,$G$2:G913=G914)),1),1500)"),-720.0)</f>
        <v>-720</v>
      </c>
      <c r="O914" s="3">
        <f t="shared" si="3"/>
        <v>0</v>
      </c>
      <c r="P914" s="9">
        <f t="shared" si="1"/>
        <v>0</v>
      </c>
      <c r="Q914" s="5">
        <f t="shared" si="2"/>
        <v>-720</v>
      </c>
    </row>
    <row r="915">
      <c r="H915" s="3" t="str">
        <f>IFERROR(__xludf.DUMMYFUNCTION("IFERROR(TRIM(INDEX(SPLIT(E915,"" + ""),1)),"""")"),"")</f>
        <v/>
      </c>
      <c r="I915" s="3" t="str">
        <f>IFERROR(__xludf.DUMMYFUNCTION("IFERROR(TRIM(INDEX(SPLIT(E915,"" + ""),2)),"""")"),"")</f>
        <v/>
      </c>
      <c r="J915" s="5" t="str">
        <f>IFERROR(__xludf.DUMMYFUNCTION("IFERROR(TRIM(INDEX(SPLIT(E915,"" + ""),3)),"""")"),"")</f>
        <v/>
      </c>
      <c r="K915" s="3">
        <f>IFERROR(__xludf.DUMMYFUNCTION("IFERROR(IF(H915="""",0,INDEX(FILTER($Q$2:Q914,$C$2:C914=H915,$G$2:G914=G915),ROWS(FILTER($Q$2:Q914,$C$2:C914=H915,$G$2:G914=G915)),1)),1500)"),0.0)</f>
        <v>0</v>
      </c>
      <c r="L915" s="3">
        <f>IFERROR(__xludf.DUMMYFUNCTION("IFERROR(IF(I915="""",0,INDEX(FILTER($Q$2:Q914,$C$2:C914=I915,$G$2:G914=G915),ROWS(FILTER($Q$2:Q914,$C$2:C914=I915,$G$2:G914=G915)),1)),1500)"),0.0)</f>
        <v>0</v>
      </c>
      <c r="M915" s="3">
        <f>IFERROR(__xludf.DUMMYFUNCTION("IFERROR(IF(J915="""",0,INDEX(FILTER($Q$2:Q914,$C$2:C914=J915,$G$2:G914=G915),ROWS(FILTER($Q$2:Q914,$C$2:C914=J915,$G$2:G914=G915)),1)),1500)"),0.0)</f>
        <v>0</v>
      </c>
      <c r="N915" s="3">
        <f>IFERROR(__xludf.DUMMYFUNCTION("IFERROR(INDEX(FILTER($Q$2:Q914,$C$2:C914=C915,$G$2:G914=G915),ROWS(FILTER($Q$2:Q914,$C$2:C914=C915,$G$2:G914=G915)),1),1500)"),-720.0)</f>
        <v>-720</v>
      </c>
      <c r="O915" s="3">
        <f t="shared" si="3"/>
        <v>0</v>
      </c>
      <c r="P915" s="9">
        <f t="shared" si="1"/>
        <v>0</v>
      </c>
      <c r="Q915" s="5">
        <f t="shared" si="2"/>
        <v>-720</v>
      </c>
    </row>
    <row r="916">
      <c r="H916" s="3" t="str">
        <f>IFERROR(__xludf.DUMMYFUNCTION("IFERROR(TRIM(INDEX(SPLIT(E916,"" + ""),1)),"""")"),"")</f>
        <v/>
      </c>
      <c r="I916" s="3" t="str">
        <f>IFERROR(__xludf.DUMMYFUNCTION("IFERROR(TRIM(INDEX(SPLIT(E916,"" + ""),2)),"""")"),"")</f>
        <v/>
      </c>
      <c r="J916" s="5" t="str">
        <f>IFERROR(__xludf.DUMMYFUNCTION("IFERROR(TRIM(INDEX(SPLIT(E916,"" + ""),3)),"""")"),"")</f>
        <v/>
      </c>
      <c r="K916" s="3">
        <f>IFERROR(__xludf.DUMMYFUNCTION("IFERROR(IF(H916="""",0,INDEX(FILTER($Q$2:Q915,$C$2:C915=H916,$G$2:G915=G916),ROWS(FILTER($Q$2:Q915,$C$2:C915=H916,$G$2:G915=G916)),1)),1500)"),0.0)</f>
        <v>0</v>
      </c>
      <c r="L916" s="3">
        <f>IFERROR(__xludf.DUMMYFUNCTION("IFERROR(IF(I916="""",0,INDEX(FILTER($Q$2:Q915,$C$2:C915=I916,$G$2:G915=G916),ROWS(FILTER($Q$2:Q915,$C$2:C915=I916,$G$2:G915=G916)),1)),1500)"),0.0)</f>
        <v>0</v>
      </c>
      <c r="M916" s="3">
        <f>IFERROR(__xludf.DUMMYFUNCTION("IFERROR(IF(J916="""",0,INDEX(FILTER($Q$2:Q915,$C$2:C915=J916,$G$2:G915=G916),ROWS(FILTER($Q$2:Q915,$C$2:C915=J916,$G$2:G915=G916)),1)),1500)"),0.0)</f>
        <v>0</v>
      </c>
      <c r="N916" s="3">
        <f>IFERROR(__xludf.DUMMYFUNCTION("IFERROR(INDEX(FILTER($Q$2:Q915,$C$2:C915=C916,$G$2:G915=G916),ROWS(FILTER($Q$2:Q915,$C$2:C915=C916,$G$2:G915=G916)),1),1500)"),-720.0)</f>
        <v>-720</v>
      </c>
      <c r="O916" s="3">
        <f t="shared" si="3"/>
        <v>0</v>
      </c>
      <c r="P916" s="9">
        <f t="shared" si="1"/>
        <v>0</v>
      </c>
      <c r="Q916" s="5">
        <f t="shared" si="2"/>
        <v>-720</v>
      </c>
    </row>
    <row r="917">
      <c r="H917" s="3" t="str">
        <f>IFERROR(__xludf.DUMMYFUNCTION("IFERROR(TRIM(INDEX(SPLIT(E917,"" + ""),1)),"""")"),"")</f>
        <v/>
      </c>
      <c r="I917" s="3" t="str">
        <f>IFERROR(__xludf.DUMMYFUNCTION("IFERROR(TRIM(INDEX(SPLIT(E917,"" + ""),2)),"""")"),"")</f>
        <v/>
      </c>
      <c r="J917" s="5" t="str">
        <f>IFERROR(__xludf.DUMMYFUNCTION("IFERROR(TRIM(INDEX(SPLIT(E917,"" + ""),3)),"""")"),"")</f>
        <v/>
      </c>
      <c r="K917" s="3">
        <f>IFERROR(__xludf.DUMMYFUNCTION("IFERROR(IF(H917="""",0,INDEX(FILTER($Q$2:Q916,$C$2:C916=H917,$G$2:G916=G917),ROWS(FILTER($Q$2:Q916,$C$2:C916=H917,$G$2:G916=G917)),1)),1500)"),0.0)</f>
        <v>0</v>
      </c>
      <c r="L917" s="3">
        <f>IFERROR(__xludf.DUMMYFUNCTION("IFERROR(IF(I917="""",0,INDEX(FILTER($Q$2:Q916,$C$2:C916=I917,$G$2:G916=G917),ROWS(FILTER($Q$2:Q916,$C$2:C916=I917,$G$2:G916=G917)),1)),1500)"),0.0)</f>
        <v>0</v>
      </c>
      <c r="M917" s="3">
        <f>IFERROR(__xludf.DUMMYFUNCTION("IFERROR(IF(J917="""",0,INDEX(FILTER($Q$2:Q916,$C$2:C916=J917,$G$2:G916=G917),ROWS(FILTER($Q$2:Q916,$C$2:C916=J917,$G$2:G916=G917)),1)),1500)"),0.0)</f>
        <v>0</v>
      </c>
      <c r="N917" s="3">
        <f>IFERROR(__xludf.DUMMYFUNCTION("IFERROR(INDEX(FILTER($Q$2:Q916,$C$2:C916=C917,$G$2:G916=G917),ROWS(FILTER($Q$2:Q916,$C$2:C916=C917,$G$2:G916=G917)),1),1500)"),-720.0)</f>
        <v>-720</v>
      </c>
      <c r="O917" s="3">
        <f t="shared" si="3"/>
        <v>0</v>
      </c>
      <c r="P917" s="9">
        <f t="shared" si="1"/>
        <v>0</v>
      </c>
      <c r="Q917" s="5">
        <f t="shared" si="2"/>
        <v>-720</v>
      </c>
    </row>
    <row r="918">
      <c r="H918" s="3" t="str">
        <f>IFERROR(__xludf.DUMMYFUNCTION("IFERROR(TRIM(INDEX(SPLIT(E918,"" + ""),1)),"""")"),"")</f>
        <v/>
      </c>
      <c r="I918" s="3" t="str">
        <f>IFERROR(__xludf.DUMMYFUNCTION("IFERROR(TRIM(INDEX(SPLIT(E918,"" + ""),2)),"""")"),"")</f>
        <v/>
      </c>
      <c r="J918" s="5" t="str">
        <f>IFERROR(__xludf.DUMMYFUNCTION("IFERROR(TRIM(INDEX(SPLIT(E918,"" + ""),3)),"""")"),"")</f>
        <v/>
      </c>
      <c r="K918" s="3">
        <f>IFERROR(__xludf.DUMMYFUNCTION("IFERROR(IF(H918="""",0,INDEX(FILTER($Q$2:Q917,$C$2:C917=H918,$G$2:G917=G918),ROWS(FILTER($Q$2:Q917,$C$2:C917=H918,$G$2:G917=G918)),1)),1500)"),0.0)</f>
        <v>0</v>
      </c>
      <c r="L918" s="3">
        <f>IFERROR(__xludf.DUMMYFUNCTION("IFERROR(IF(I918="""",0,INDEX(FILTER($Q$2:Q917,$C$2:C917=I918,$G$2:G917=G918),ROWS(FILTER($Q$2:Q917,$C$2:C917=I918,$G$2:G917=G918)),1)),1500)"),0.0)</f>
        <v>0</v>
      </c>
      <c r="M918" s="3">
        <f>IFERROR(__xludf.DUMMYFUNCTION("IFERROR(IF(J918="""",0,INDEX(FILTER($Q$2:Q917,$C$2:C917=J918,$G$2:G917=G918),ROWS(FILTER($Q$2:Q917,$C$2:C917=J918,$G$2:G917=G918)),1)),1500)"),0.0)</f>
        <v>0</v>
      </c>
      <c r="N918" s="3">
        <f>IFERROR(__xludf.DUMMYFUNCTION("IFERROR(INDEX(FILTER($Q$2:Q917,$C$2:C917=C918,$G$2:G917=G918),ROWS(FILTER($Q$2:Q917,$C$2:C917=C918,$G$2:G917=G918)),1),1500)"),-720.0)</f>
        <v>-720</v>
      </c>
      <c r="O918" s="3">
        <f t="shared" si="3"/>
        <v>0</v>
      </c>
      <c r="P918" s="9">
        <f t="shared" si="1"/>
        <v>0</v>
      </c>
      <c r="Q918" s="5">
        <f t="shared" si="2"/>
        <v>-720</v>
      </c>
    </row>
    <row r="919">
      <c r="H919" s="3" t="str">
        <f>IFERROR(__xludf.DUMMYFUNCTION("IFERROR(TRIM(INDEX(SPLIT(E919,"" + ""),1)),"""")"),"")</f>
        <v/>
      </c>
      <c r="I919" s="3" t="str">
        <f>IFERROR(__xludf.DUMMYFUNCTION("IFERROR(TRIM(INDEX(SPLIT(E919,"" + ""),2)),"""")"),"")</f>
        <v/>
      </c>
      <c r="J919" s="5" t="str">
        <f>IFERROR(__xludf.DUMMYFUNCTION("IFERROR(TRIM(INDEX(SPLIT(E919,"" + ""),3)),"""")"),"")</f>
        <v/>
      </c>
      <c r="K919" s="3">
        <f>IFERROR(__xludf.DUMMYFUNCTION("IFERROR(IF(H919="""",0,INDEX(FILTER($Q$2:Q918,$C$2:C918=H919,$G$2:G918=G919),ROWS(FILTER($Q$2:Q918,$C$2:C918=H919,$G$2:G918=G919)),1)),1500)"),0.0)</f>
        <v>0</v>
      </c>
      <c r="L919" s="3">
        <f>IFERROR(__xludf.DUMMYFUNCTION("IFERROR(IF(I919="""",0,INDEX(FILTER($Q$2:Q918,$C$2:C918=I919,$G$2:G918=G919),ROWS(FILTER($Q$2:Q918,$C$2:C918=I919,$G$2:G918=G919)),1)),1500)"),0.0)</f>
        <v>0</v>
      </c>
      <c r="M919" s="3">
        <f>IFERROR(__xludf.DUMMYFUNCTION("IFERROR(IF(J919="""",0,INDEX(FILTER($Q$2:Q918,$C$2:C918=J919,$G$2:G918=G919),ROWS(FILTER($Q$2:Q918,$C$2:C918=J919,$G$2:G918=G919)),1)),1500)"),0.0)</f>
        <v>0</v>
      </c>
      <c r="N919" s="3">
        <f>IFERROR(__xludf.DUMMYFUNCTION("IFERROR(INDEX(FILTER($Q$2:Q918,$C$2:C918=C919,$G$2:G918=G919),ROWS(FILTER($Q$2:Q918,$C$2:C918=C919,$G$2:G918=G919)),1),1500)"),-720.0)</f>
        <v>-720</v>
      </c>
      <c r="O919" s="3">
        <f t="shared" si="3"/>
        <v>0</v>
      </c>
      <c r="P919" s="9">
        <f t="shared" si="1"/>
        <v>0</v>
      </c>
      <c r="Q919" s="5">
        <f t="shared" si="2"/>
        <v>-720</v>
      </c>
    </row>
    <row r="920">
      <c r="H920" s="3" t="str">
        <f>IFERROR(__xludf.DUMMYFUNCTION("IFERROR(TRIM(INDEX(SPLIT(E920,"" + ""),1)),"""")"),"")</f>
        <v/>
      </c>
      <c r="I920" s="3" t="str">
        <f>IFERROR(__xludf.DUMMYFUNCTION("IFERROR(TRIM(INDEX(SPLIT(E920,"" + ""),2)),"""")"),"")</f>
        <v/>
      </c>
      <c r="J920" s="5" t="str">
        <f>IFERROR(__xludf.DUMMYFUNCTION("IFERROR(TRIM(INDEX(SPLIT(E920,"" + ""),3)),"""")"),"")</f>
        <v/>
      </c>
      <c r="K920" s="3">
        <f>IFERROR(__xludf.DUMMYFUNCTION("IFERROR(IF(H920="""",0,INDEX(FILTER($Q$2:Q919,$C$2:C919=H920,$G$2:G919=G920),ROWS(FILTER($Q$2:Q919,$C$2:C919=H920,$G$2:G919=G920)),1)),1500)"),0.0)</f>
        <v>0</v>
      </c>
      <c r="L920" s="3">
        <f>IFERROR(__xludf.DUMMYFUNCTION("IFERROR(IF(I920="""",0,INDEX(FILTER($Q$2:Q919,$C$2:C919=I920,$G$2:G919=G920),ROWS(FILTER($Q$2:Q919,$C$2:C919=I920,$G$2:G919=G920)),1)),1500)"),0.0)</f>
        <v>0</v>
      </c>
      <c r="M920" s="3">
        <f>IFERROR(__xludf.DUMMYFUNCTION("IFERROR(IF(J920="""",0,INDEX(FILTER($Q$2:Q919,$C$2:C919=J920,$G$2:G919=G920),ROWS(FILTER($Q$2:Q919,$C$2:C919=J920,$G$2:G919=G920)),1)),1500)"),0.0)</f>
        <v>0</v>
      </c>
      <c r="N920" s="3">
        <f>IFERROR(__xludf.DUMMYFUNCTION("IFERROR(INDEX(FILTER($Q$2:Q919,$C$2:C919=C920,$G$2:G919=G920),ROWS(FILTER($Q$2:Q919,$C$2:C919=C920,$G$2:G919=G920)),1),1500)"),-720.0)</f>
        <v>-720</v>
      </c>
      <c r="O920" s="3">
        <f t="shared" si="3"/>
        <v>0</v>
      </c>
      <c r="P920" s="9">
        <f t="shared" si="1"/>
        <v>0</v>
      </c>
      <c r="Q920" s="5">
        <f t="shared" si="2"/>
        <v>-720</v>
      </c>
    </row>
    <row r="921">
      <c r="H921" s="3" t="str">
        <f>IFERROR(__xludf.DUMMYFUNCTION("IFERROR(TRIM(INDEX(SPLIT(E921,"" + ""),1)),"""")"),"")</f>
        <v/>
      </c>
      <c r="I921" s="3" t="str">
        <f>IFERROR(__xludf.DUMMYFUNCTION("IFERROR(TRIM(INDEX(SPLIT(E921,"" + ""),2)),"""")"),"")</f>
        <v/>
      </c>
      <c r="J921" s="5" t="str">
        <f>IFERROR(__xludf.DUMMYFUNCTION("IFERROR(TRIM(INDEX(SPLIT(E921,"" + ""),3)),"""")"),"")</f>
        <v/>
      </c>
      <c r="K921" s="3">
        <f>IFERROR(__xludf.DUMMYFUNCTION("IFERROR(IF(H921="""",0,INDEX(FILTER($Q$2:Q920,$C$2:C920=H921,$G$2:G920=G921),ROWS(FILTER($Q$2:Q920,$C$2:C920=H921,$G$2:G920=G921)),1)),1500)"),0.0)</f>
        <v>0</v>
      </c>
      <c r="L921" s="3">
        <f>IFERROR(__xludf.DUMMYFUNCTION("IFERROR(IF(I921="""",0,INDEX(FILTER($Q$2:Q920,$C$2:C920=I921,$G$2:G920=G921),ROWS(FILTER($Q$2:Q920,$C$2:C920=I921,$G$2:G920=G921)),1)),1500)"),0.0)</f>
        <v>0</v>
      </c>
      <c r="M921" s="3">
        <f>IFERROR(__xludf.DUMMYFUNCTION("IFERROR(IF(J921="""",0,INDEX(FILTER($Q$2:Q920,$C$2:C920=J921,$G$2:G920=G921),ROWS(FILTER($Q$2:Q920,$C$2:C920=J921,$G$2:G920=G921)),1)),1500)"),0.0)</f>
        <v>0</v>
      </c>
      <c r="N921" s="3">
        <f>IFERROR(__xludf.DUMMYFUNCTION("IFERROR(INDEX(FILTER($Q$2:Q920,$C$2:C920=C921,$G$2:G920=G921),ROWS(FILTER($Q$2:Q920,$C$2:C920=C921,$G$2:G920=G921)),1),1500)"),-720.0)</f>
        <v>-720</v>
      </c>
      <c r="O921" s="3">
        <f t="shared" si="3"/>
        <v>0</v>
      </c>
      <c r="P921" s="9">
        <f t="shared" si="1"/>
        <v>0</v>
      </c>
      <c r="Q921" s="5">
        <f t="shared" si="2"/>
        <v>-720</v>
      </c>
    </row>
    <row r="922">
      <c r="H922" s="3" t="str">
        <f>IFERROR(__xludf.DUMMYFUNCTION("IFERROR(TRIM(INDEX(SPLIT(E922,"" + ""),1)),"""")"),"")</f>
        <v/>
      </c>
      <c r="I922" s="3" t="str">
        <f>IFERROR(__xludf.DUMMYFUNCTION("IFERROR(TRIM(INDEX(SPLIT(E922,"" + ""),2)),"""")"),"")</f>
        <v/>
      </c>
      <c r="J922" s="5" t="str">
        <f>IFERROR(__xludf.DUMMYFUNCTION("IFERROR(TRIM(INDEX(SPLIT(E922,"" + ""),3)),"""")"),"")</f>
        <v/>
      </c>
      <c r="K922" s="3">
        <f>IFERROR(__xludf.DUMMYFUNCTION("IFERROR(IF(H922="""",0,INDEX(FILTER($Q$2:Q921,$C$2:C921=H922,$G$2:G921=G922),ROWS(FILTER($Q$2:Q921,$C$2:C921=H922,$G$2:G921=G922)),1)),1500)"),0.0)</f>
        <v>0</v>
      </c>
      <c r="L922" s="3">
        <f>IFERROR(__xludf.DUMMYFUNCTION("IFERROR(IF(I922="""",0,INDEX(FILTER($Q$2:Q921,$C$2:C921=I922,$G$2:G921=G922),ROWS(FILTER($Q$2:Q921,$C$2:C921=I922,$G$2:G921=G922)),1)),1500)"),0.0)</f>
        <v>0</v>
      </c>
      <c r="M922" s="3">
        <f>IFERROR(__xludf.DUMMYFUNCTION("IFERROR(IF(J922="""",0,INDEX(FILTER($Q$2:Q921,$C$2:C921=J922,$G$2:G921=G922),ROWS(FILTER($Q$2:Q921,$C$2:C921=J922,$G$2:G921=G922)),1)),1500)"),0.0)</f>
        <v>0</v>
      </c>
      <c r="N922" s="3">
        <f>IFERROR(__xludf.DUMMYFUNCTION("IFERROR(INDEX(FILTER($Q$2:Q921,$C$2:C921=C922,$G$2:G921=G922),ROWS(FILTER($Q$2:Q921,$C$2:C921=C922,$G$2:G921=G922)),1),1500)"),-720.0)</f>
        <v>-720</v>
      </c>
      <c r="O922" s="3">
        <f t="shared" si="3"/>
        <v>0</v>
      </c>
      <c r="P922" s="9">
        <f t="shared" si="1"/>
        <v>0</v>
      </c>
      <c r="Q922" s="5">
        <f t="shared" si="2"/>
        <v>-720</v>
      </c>
    </row>
    <row r="923">
      <c r="H923" s="3" t="str">
        <f>IFERROR(__xludf.DUMMYFUNCTION("IFERROR(TRIM(INDEX(SPLIT(E923,"" + ""),1)),"""")"),"")</f>
        <v/>
      </c>
      <c r="I923" s="3" t="str">
        <f>IFERROR(__xludf.DUMMYFUNCTION("IFERROR(TRIM(INDEX(SPLIT(E923,"" + ""),2)),"""")"),"")</f>
        <v/>
      </c>
      <c r="J923" s="5" t="str">
        <f>IFERROR(__xludf.DUMMYFUNCTION("IFERROR(TRIM(INDEX(SPLIT(E923,"" + ""),3)),"""")"),"")</f>
        <v/>
      </c>
      <c r="K923" s="3">
        <f>IFERROR(__xludf.DUMMYFUNCTION("IFERROR(IF(H923="""",0,INDEX(FILTER($Q$2:Q922,$C$2:C922=H923,$G$2:G922=G923),ROWS(FILTER($Q$2:Q922,$C$2:C922=H923,$G$2:G922=G923)),1)),1500)"),0.0)</f>
        <v>0</v>
      </c>
      <c r="L923" s="3">
        <f>IFERROR(__xludf.DUMMYFUNCTION("IFERROR(IF(I923="""",0,INDEX(FILTER($Q$2:Q922,$C$2:C922=I923,$G$2:G922=G923),ROWS(FILTER($Q$2:Q922,$C$2:C922=I923,$G$2:G922=G923)),1)),1500)"),0.0)</f>
        <v>0</v>
      </c>
      <c r="M923" s="3">
        <f>IFERROR(__xludf.DUMMYFUNCTION("IFERROR(IF(J923="""",0,INDEX(FILTER($Q$2:Q922,$C$2:C922=J923,$G$2:G922=G923),ROWS(FILTER($Q$2:Q922,$C$2:C922=J923,$G$2:G922=G923)),1)),1500)"),0.0)</f>
        <v>0</v>
      </c>
      <c r="N923" s="3">
        <f>IFERROR(__xludf.DUMMYFUNCTION("IFERROR(INDEX(FILTER($Q$2:Q922,$C$2:C922=C923,$G$2:G922=G923),ROWS(FILTER($Q$2:Q922,$C$2:C922=C923,$G$2:G922=G923)),1),1500)"),-720.0)</f>
        <v>-720</v>
      </c>
      <c r="O923" s="3">
        <f t="shared" si="3"/>
        <v>0</v>
      </c>
      <c r="P923" s="9">
        <f t="shared" si="1"/>
        <v>0</v>
      </c>
      <c r="Q923" s="5">
        <f t="shared" si="2"/>
        <v>-720</v>
      </c>
    </row>
    <row r="924">
      <c r="H924" s="3" t="str">
        <f>IFERROR(__xludf.DUMMYFUNCTION("IFERROR(TRIM(INDEX(SPLIT(E924,"" + ""),1)),"""")"),"")</f>
        <v/>
      </c>
      <c r="I924" s="3" t="str">
        <f>IFERROR(__xludf.DUMMYFUNCTION("IFERROR(TRIM(INDEX(SPLIT(E924,"" + ""),2)),"""")"),"")</f>
        <v/>
      </c>
      <c r="J924" s="5" t="str">
        <f>IFERROR(__xludf.DUMMYFUNCTION("IFERROR(TRIM(INDEX(SPLIT(E924,"" + ""),3)),"""")"),"")</f>
        <v/>
      </c>
      <c r="K924" s="3">
        <f>IFERROR(__xludf.DUMMYFUNCTION("IFERROR(IF(H924="""",0,INDEX(FILTER($Q$2:Q923,$C$2:C923=H924,$G$2:G923=G924),ROWS(FILTER($Q$2:Q923,$C$2:C923=H924,$G$2:G923=G924)),1)),1500)"),0.0)</f>
        <v>0</v>
      </c>
      <c r="L924" s="3">
        <f>IFERROR(__xludf.DUMMYFUNCTION("IFERROR(IF(I924="""",0,INDEX(FILTER($Q$2:Q923,$C$2:C923=I924,$G$2:G923=G924),ROWS(FILTER($Q$2:Q923,$C$2:C923=I924,$G$2:G923=G924)),1)),1500)"),0.0)</f>
        <v>0</v>
      </c>
      <c r="M924" s="3">
        <f>IFERROR(__xludf.DUMMYFUNCTION("IFERROR(IF(J924="""",0,INDEX(FILTER($Q$2:Q923,$C$2:C923=J924,$G$2:G923=G924),ROWS(FILTER($Q$2:Q923,$C$2:C923=J924,$G$2:G923=G924)),1)),1500)"),0.0)</f>
        <v>0</v>
      </c>
      <c r="N924" s="3">
        <f>IFERROR(__xludf.DUMMYFUNCTION("IFERROR(INDEX(FILTER($Q$2:Q923,$C$2:C923=C924,$G$2:G923=G924),ROWS(FILTER($Q$2:Q923,$C$2:C923=C924,$G$2:G923=G924)),1),1500)"),-720.0)</f>
        <v>-720</v>
      </c>
      <c r="O924" s="3">
        <f t="shared" si="3"/>
        <v>0</v>
      </c>
      <c r="P924" s="9">
        <f t="shared" si="1"/>
        <v>0</v>
      </c>
      <c r="Q924" s="5">
        <f t="shared" si="2"/>
        <v>-720</v>
      </c>
    </row>
    <row r="925">
      <c r="H925" s="3" t="str">
        <f>IFERROR(__xludf.DUMMYFUNCTION("IFERROR(TRIM(INDEX(SPLIT(E925,"" + ""),1)),"""")"),"")</f>
        <v/>
      </c>
      <c r="I925" s="3" t="str">
        <f>IFERROR(__xludf.DUMMYFUNCTION("IFERROR(TRIM(INDEX(SPLIT(E925,"" + ""),2)),"""")"),"")</f>
        <v/>
      </c>
      <c r="J925" s="5" t="str">
        <f>IFERROR(__xludf.DUMMYFUNCTION("IFERROR(TRIM(INDEX(SPLIT(E925,"" + ""),3)),"""")"),"")</f>
        <v/>
      </c>
      <c r="K925" s="3">
        <f>IFERROR(__xludf.DUMMYFUNCTION("IFERROR(IF(H925="""",0,INDEX(FILTER($Q$2:Q924,$C$2:C924=H925,$G$2:G924=G925),ROWS(FILTER($Q$2:Q924,$C$2:C924=H925,$G$2:G924=G925)),1)),1500)"),0.0)</f>
        <v>0</v>
      </c>
      <c r="L925" s="3">
        <f>IFERROR(__xludf.DUMMYFUNCTION("IFERROR(IF(I925="""",0,INDEX(FILTER($Q$2:Q924,$C$2:C924=I925,$G$2:G924=G925),ROWS(FILTER($Q$2:Q924,$C$2:C924=I925,$G$2:G924=G925)),1)),1500)"),0.0)</f>
        <v>0</v>
      </c>
      <c r="M925" s="3">
        <f>IFERROR(__xludf.DUMMYFUNCTION("IFERROR(IF(J925="""",0,INDEX(FILTER($Q$2:Q924,$C$2:C924=J925,$G$2:G924=G925),ROWS(FILTER($Q$2:Q924,$C$2:C924=J925,$G$2:G924=G925)),1)),1500)"),0.0)</f>
        <v>0</v>
      </c>
      <c r="N925" s="3">
        <f>IFERROR(__xludf.DUMMYFUNCTION("IFERROR(INDEX(FILTER($Q$2:Q924,$C$2:C924=C925,$G$2:G924=G925),ROWS(FILTER($Q$2:Q924,$C$2:C924=C925,$G$2:G924=G925)),1),1500)"),-720.0)</f>
        <v>-720</v>
      </c>
      <c r="O925" s="3">
        <f t="shared" si="3"/>
        <v>0</v>
      </c>
      <c r="P925" s="9">
        <f t="shared" si="1"/>
        <v>0</v>
      </c>
      <c r="Q925" s="5">
        <f t="shared" si="2"/>
        <v>-720</v>
      </c>
    </row>
    <row r="926">
      <c r="H926" s="3" t="str">
        <f>IFERROR(__xludf.DUMMYFUNCTION("IFERROR(TRIM(INDEX(SPLIT(E926,"" + ""),1)),"""")"),"")</f>
        <v/>
      </c>
      <c r="I926" s="3" t="str">
        <f>IFERROR(__xludf.DUMMYFUNCTION("IFERROR(TRIM(INDEX(SPLIT(E926,"" + ""),2)),"""")"),"")</f>
        <v/>
      </c>
      <c r="J926" s="5" t="str">
        <f>IFERROR(__xludf.DUMMYFUNCTION("IFERROR(TRIM(INDEX(SPLIT(E926,"" + ""),3)),"""")"),"")</f>
        <v/>
      </c>
      <c r="K926" s="3">
        <f>IFERROR(__xludf.DUMMYFUNCTION("IFERROR(IF(H926="""",0,INDEX(FILTER($Q$2:Q925,$C$2:C925=H926,$G$2:G925=G926),ROWS(FILTER($Q$2:Q925,$C$2:C925=H926,$G$2:G925=G926)),1)),1500)"),0.0)</f>
        <v>0</v>
      </c>
      <c r="L926" s="3">
        <f>IFERROR(__xludf.DUMMYFUNCTION("IFERROR(IF(I926="""",0,INDEX(FILTER($Q$2:Q925,$C$2:C925=I926,$G$2:G925=G926),ROWS(FILTER($Q$2:Q925,$C$2:C925=I926,$G$2:G925=G926)),1)),1500)"),0.0)</f>
        <v>0</v>
      </c>
      <c r="M926" s="3">
        <f>IFERROR(__xludf.DUMMYFUNCTION("IFERROR(IF(J926="""",0,INDEX(FILTER($Q$2:Q925,$C$2:C925=J926,$G$2:G925=G926),ROWS(FILTER($Q$2:Q925,$C$2:C925=J926,$G$2:G925=G926)),1)),1500)"),0.0)</f>
        <v>0</v>
      </c>
      <c r="N926" s="3">
        <f>IFERROR(__xludf.DUMMYFUNCTION("IFERROR(INDEX(FILTER($Q$2:Q925,$C$2:C925=C926,$G$2:G925=G926),ROWS(FILTER($Q$2:Q925,$C$2:C925=C926,$G$2:G925=G926)),1),1500)"),-720.0)</f>
        <v>-720</v>
      </c>
      <c r="O926" s="3">
        <f t="shared" si="3"/>
        <v>0</v>
      </c>
      <c r="P926" s="9">
        <f t="shared" si="1"/>
        <v>0</v>
      </c>
      <c r="Q926" s="5">
        <f t="shared" si="2"/>
        <v>-720</v>
      </c>
    </row>
    <row r="927">
      <c r="H927" s="3" t="str">
        <f>IFERROR(__xludf.DUMMYFUNCTION("IFERROR(TRIM(INDEX(SPLIT(E927,"" + ""),1)),"""")"),"")</f>
        <v/>
      </c>
      <c r="I927" s="3" t="str">
        <f>IFERROR(__xludf.DUMMYFUNCTION("IFERROR(TRIM(INDEX(SPLIT(E927,"" + ""),2)),"""")"),"")</f>
        <v/>
      </c>
      <c r="J927" s="5" t="str">
        <f>IFERROR(__xludf.DUMMYFUNCTION("IFERROR(TRIM(INDEX(SPLIT(E927,"" + ""),3)),"""")"),"")</f>
        <v/>
      </c>
      <c r="K927" s="3">
        <f>IFERROR(__xludf.DUMMYFUNCTION("IFERROR(IF(H927="""",0,INDEX(FILTER($Q$2:Q926,$C$2:C926=H927,$G$2:G926=G927),ROWS(FILTER($Q$2:Q926,$C$2:C926=H927,$G$2:G926=G927)),1)),1500)"),0.0)</f>
        <v>0</v>
      </c>
      <c r="L927" s="3">
        <f>IFERROR(__xludf.DUMMYFUNCTION("IFERROR(IF(I927="""",0,INDEX(FILTER($Q$2:Q926,$C$2:C926=I927,$G$2:G926=G927),ROWS(FILTER($Q$2:Q926,$C$2:C926=I927,$G$2:G926=G927)),1)),1500)"),0.0)</f>
        <v>0</v>
      </c>
      <c r="M927" s="3">
        <f>IFERROR(__xludf.DUMMYFUNCTION("IFERROR(IF(J927="""",0,INDEX(FILTER($Q$2:Q926,$C$2:C926=J927,$G$2:G926=G927),ROWS(FILTER($Q$2:Q926,$C$2:C926=J927,$G$2:G926=G927)),1)),1500)"),0.0)</f>
        <v>0</v>
      </c>
      <c r="N927" s="3">
        <f>IFERROR(__xludf.DUMMYFUNCTION("IFERROR(INDEX(FILTER($Q$2:Q926,$C$2:C926=C927,$G$2:G926=G927),ROWS(FILTER($Q$2:Q926,$C$2:C926=C927,$G$2:G926=G927)),1),1500)"),-720.0)</f>
        <v>-720</v>
      </c>
      <c r="O927" s="3">
        <f t="shared" si="3"/>
        <v>0</v>
      </c>
      <c r="P927" s="9">
        <f t="shared" si="1"/>
        <v>0</v>
      </c>
      <c r="Q927" s="5">
        <f t="shared" si="2"/>
        <v>-720</v>
      </c>
    </row>
    <row r="928">
      <c r="H928" s="3" t="str">
        <f>IFERROR(__xludf.DUMMYFUNCTION("IFERROR(TRIM(INDEX(SPLIT(E928,"" + ""),1)),"""")"),"")</f>
        <v/>
      </c>
      <c r="I928" s="3" t="str">
        <f>IFERROR(__xludf.DUMMYFUNCTION("IFERROR(TRIM(INDEX(SPLIT(E928,"" + ""),2)),"""")"),"")</f>
        <v/>
      </c>
      <c r="J928" s="5" t="str">
        <f>IFERROR(__xludf.DUMMYFUNCTION("IFERROR(TRIM(INDEX(SPLIT(E928,"" + ""),3)),"""")"),"")</f>
        <v/>
      </c>
      <c r="K928" s="3">
        <f>IFERROR(__xludf.DUMMYFUNCTION("IFERROR(IF(H928="""",0,INDEX(FILTER($Q$2:Q927,$C$2:C927=H928,$G$2:G927=G928),ROWS(FILTER($Q$2:Q927,$C$2:C927=H928,$G$2:G927=G928)),1)),1500)"),0.0)</f>
        <v>0</v>
      </c>
      <c r="L928" s="3">
        <f>IFERROR(__xludf.DUMMYFUNCTION("IFERROR(IF(I928="""",0,INDEX(FILTER($Q$2:Q927,$C$2:C927=I928,$G$2:G927=G928),ROWS(FILTER($Q$2:Q927,$C$2:C927=I928,$G$2:G927=G928)),1)),1500)"),0.0)</f>
        <v>0</v>
      </c>
      <c r="M928" s="3">
        <f>IFERROR(__xludf.DUMMYFUNCTION("IFERROR(IF(J928="""",0,INDEX(FILTER($Q$2:Q927,$C$2:C927=J928,$G$2:G927=G928),ROWS(FILTER($Q$2:Q927,$C$2:C927=J928,$G$2:G927=G928)),1)),1500)"),0.0)</f>
        <v>0</v>
      </c>
      <c r="N928" s="3">
        <f>IFERROR(__xludf.DUMMYFUNCTION("IFERROR(INDEX(FILTER($Q$2:Q927,$C$2:C927=C928,$G$2:G927=G928),ROWS(FILTER($Q$2:Q927,$C$2:C927=C928,$G$2:G927=G928)),1),1500)"),-720.0)</f>
        <v>-720</v>
      </c>
      <c r="O928" s="3">
        <f t="shared" si="3"/>
        <v>0</v>
      </c>
      <c r="P928" s="9">
        <f t="shared" si="1"/>
        <v>0</v>
      </c>
      <c r="Q928" s="5">
        <f t="shared" si="2"/>
        <v>-720</v>
      </c>
    </row>
    <row r="929">
      <c r="H929" s="3" t="str">
        <f>IFERROR(__xludf.DUMMYFUNCTION("IFERROR(TRIM(INDEX(SPLIT(E929,"" + ""),1)),"""")"),"")</f>
        <v/>
      </c>
      <c r="I929" s="3" t="str">
        <f>IFERROR(__xludf.DUMMYFUNCTION("IFERROR(TRIM(INDEX(SPLIT(E929,"" + ""),2)),"""")"),"")</f>
        <v/>
      </c>
      <c r="J929" s="5" t="str">
        <f>IFERROR(__xludf.DUMMYFUNCTION("IFERROR(TRIM(INDEX(SPLIT(E929,"" + ""),3)),"""")"),"")</f>
        <v/>
      </c>
      <c r="K929" s="3">
        <f>IFERROR(__xludf.DUMMYFUNCTION("IFERROR(IF(H929="""",0,INDEX(FILTER($Q$2:Q928,$C$2:C928=H929,$G$2:G928=G929),ROWS(FILTER($Q$2:Q928,$C$2:C928=H929,$G$2:G928=G929)),1)),1500)"),0.0)</f>
        <v>0</v>
      </c>
      <c r="L929" s="3">
        <f>IFERROR(__xludf.DUMMYFUNCTION("IFERROR(IF(I929="""",0,INDEX(FILTER($Q$2:Q928,$C$2:C928=I929,$G$2:G928=G929),ROWS(FILTER($Q$2:Q928,$C$2:C928=I929,$G$2:G928=G929)),1)),1500)"),0.0)</f>
        <v>0</v>
      </c>
      <c r="M929" s="3">
        <f>IFERROR(__xludf.DUMMYFUNCTION("IFERROR(IF(J929="""",0,INDEX(FILTER($Q$2:Q928,$C$2:C928=J929,$G$2:G928=G929),ROWS(FILTER($Q$2:Q928,$C$2:C928=J929,$G$2:G928=G929)),1)),1500)"),0.0)</f>
        <v>0</v>
      </c>
      <c r="N929" s="3">
        <f>IFERROR(__xludf.DUMMYFUNCTION("IFERROR(INDEX(FILTER($Q$2:Q928,$C$2:C928=C929,$G$2:G928=G929),ROWS(FILTER($Q$2:Q928,$C$2:C928=C929,$G$2:G928=G929)),1),1500)"),-720.0)</f>
        <v>-720</v>
      </c>
      <c r="O929" s="3">
        <f t="shared" si="3"/>
        <v>0</v>
      </c>
      <c r="P929" s="9">
        <f t="shared" si="1"/>
        <v>0</v>
      </c>
      <c r="Q929" s="5">
        <f t="shared" si="2"/>
        <v>-720</v>
      </c>
    </row>
    <row r="930">
      <c r="H930" s="3" t="str">
        <f>IFERROR(__xludf.DUMMYFUNCTION("IFERROR(TRIM(INDEX(SPLIT(E930,"" + ""),1)),"""")"),"")</f>
        <v/>
      </c>
      <c r="I930" s="3" t="str">
        <f>IFERROR(__xludf.DUMMYFUNCTION("IFERROR(TRIM(INDEX(SPLIT(E930,"" + ""),2)),"""")"),"")</f>
        <v/>
      </c>
      <c r="J930" s="5" t="str">
        <f>IFERROR(__xludf.DUMMYFUNCTION("IFERROR(TRIM(INDEX(SPLIT(E930,"" + ""),3)),"""")"),"")</f>
        <v/>
      </c>
      <c r="K930" s="3">
        <f>IFERROR(__xludf.DUMMYFUNCTION("IFERROR(IF(H930="""",0,INDEX(FILTER($Q$2:Q929,$C$2:C929=H930,$G$2:G929=G930),ROWS(FILTER($Q$2:Q929,$C$2:C929=H930,$G$2:G929=G930)),1)),1500)"),0.0)</f>
        <v>0</v>
      </c>
      <c r="L930" s="3">
        <f>IFERROR(__xludf.DUMMYFUNCTION("IFERROR(IF(I930="""",0,INDEX(FILTER($Q$2:Q929,$C$2:C929=I930,$G$2:G929=G930),ROWS(FILTER($Q$2:Q929,$C$2:C929=I930,$G$2:G929=G930)),1)),1500)"),0.0)</f>
        <v>0</v>
      </c>
      <c r="M930" s="3">
        <f>IFERROR(__xludf.DUMMYFUNCTION("IFERROR(IF(J930="""",0,INDEX(FILTER($Q$2:Q929,$C$2:C929=J930,$G$2:G929=G930),ROWS(FILTER($Q$2:Q929,$C$2:C929=J930,$G$2:G929=G930)),1)),1500)"),0.0)</f>
        <v>0</v>
      </c>
      <c r="N930" s="3">
        <f>IFERROR(__xludf.DUMMYFUNCTION("IFERROR(INDEX(FILTER($Q$2:Q929,$C$2:C929=C930,$G$2:G929=G930),ROWS(FILTER($Q$2:Q929,$C$2:C929=C930,$G$2:G929=G930)),1),1500)"),-720.0)</f>
        <v>-720</v>
      </c>
      <c r="O930" s="3">
        <f t="shared" si="3"/>
        <v>0</v>
      </c>
      <c r="P930" s="9">
        <f t="shared" si="1"/>
        <v>0</v>
      </c>
      <c r="Q930" s="5">
        <f t="shared" si="2"/>
        <v>-720</v>
      </c>
    </row>
    <row r="931">
      <c r="H931" s="3" t="str">
        <f>IFERROR(__xludf.DUMMYFUNCTION("IFERROR(TRIM(INDEX(SPLIT(E931,"" + ""),1)),"""")"),"")</f>
        <v/>
      </c>
      <c r="I931" s="3" t="str">
        <f>IFERROR(__xludf.DUMMYFUNCTION("IFERROR(TRIM(INDEX(SPLIT(E931,"" + ""),2)),"""")"),"")</f>
        <v/>
      </c>
      <c r="J931" s="5" t="str">
        <f>IFERROR(__xludf.DUMMYFUNCTION("IFERROR(TRIM(INDEX(SPLIT(E931,"" + ""),3)),"""")"),"")</f>
        <v/>
      </c>
      <c r="K931" s="3">
        <f>IFERROR(__xludf.DUMMYFUNCTION("IFERROR(IF(H931="""",0,INDEX(FILTER($Q$2:Q930,$C$2:C930=H931,$G$2:G930=G931),ROWS(FILTER($Q$2:Q930,$C$2:C930=H931,$G$2:G930=G931)),1)),1500)"),0.0)</f>
        <v>0</v>
      </c>
      <c r="L931" s="3">
        <f>IFERROR(__xludf.DUMMYFUNCTION("IFERROR(IF(I931="""",0,INDEX(FILTER($Q$2:Q930,$C$2:C930=I931,$G$2:G930=G931),ROWS(FILTER($Q$2:Q930,$C$2:C930=I931,$G$2:G930=G931)),1)),1500)"),0.0)</f>
        <v>0</v>
      </c>
      <c r="M931" s="3">
        <f>IFERROR(__xludf.DUMMYFUNCTION("IFERROR(IF(J931="""",0,INDEX(FILTER($Q$2:Q930,$C$2:C930=J931,$G$2:G930=G931),ROWS(FILTER($Q$2:Q930,$C$2:C930=J931,$G$2:G930=G931)),1)),1500)"),0.0)</f>
        <v>0</v>
      </c>
      <c r="N931" s="3">
        <f>IFERROR(__xludf.DUMMYFUNCTION("IFERROR(INDEX(FILTER($Q$2:Q930,$C$2:C930=C931,$G$2:G930=G931),ROWS(FILTER($Q$2:Q930,$C$2:C930=C931,$G$2:G930=G931)),1),1500)"),-720.0)</f>
        <v>-720</v>
      </c>
      <c r="O931" s="3">
        <f t="shared" si="3"/>
        <v>0</v>
      </c>
      <c r="P931" s="9">
        <f t="shared" si="1"/>
        <v>0</v>
      </c>
      <c r="Q931" s="5">
        <f t="shared" si="2"/>
        <v>-720</v>
      </c>
    </row>
    <row r="932">
      <c r="H932" s="3" t="str">
        <f>IFERROR(__xludf.DUMMYFUNCTION("IFERROR(TRIM(INDEX(SPLIT(E932,"" + ""),1)),"""")"),"")</f>
        <v/>
      </c>
      <c r="I932" s="3" t="str">
        <f>IFERROR(__xludf.DUMMYFUNCTION("IFERROR(TRIM(INDEX(SPLIT(E932,"" + ""),2)),"""")"),"")</f>
        <v/>
      </c>
      <c r="J932" s="5" t="str">
        <f>IFERROR(__xludf.DUMMYFUNCTION("IFERROR(TRIM(INDEX(SPLIT(E932,"" + ""),3)),"""")"),"")</f>
        <v/>
      </c>
      <c r="K932" s="3">
        <f>IFERROR(__xludf.DUMMYFUNCTION("IFERROR(IF(H932="""",0,INDEX(FILTER($Q$2:Q931,$C$2:C931=H932,$G$2:G931=G932),ROWS(FILTER($Q$2:Q931,$C$2:C931=H932,$G$2:G931=G932)),1)),1500)"),0.0)</f>
        <v>0</v>
      </c>
      <c r="L932" s="3">
        <f>IFERROR(__xludf.DUMMYFUNCTION("IFERROR(IF(I932="""",0,INDEX(FILTER($Q$2:Q931,$C$2:C931=I932,$G$2:G931=G932),ROWS(FILTER($Q$2:Q931,$C$2:C931=I932,$G$2:G931=G932)),1)),1500)"),0.0)</f>
        <v>0</v>
      </c>
      <c r="M932" s="3">
        <f>IFERROR(__xludf.DUMMYFUNCTION("IFERROR(IF(J932="""",0,INDEX(FILTER($Q$2:Q931,$C$2:C931=J932,$G$2:G931=G932),ROWS(FILTER($Q$2:Q931,$C$2:C931=J932,$G$2:G931=G932)),1)),1500)"),0.0)</f>
        <v>0</v>
      </c>
      <c r="N932" s="3">
        <f>IFERROR(__xludf.DUMMYFUNCTION("IFERROR(INDEX(FILTER($Q$2:Q931,$C$2:C931=C932,$G$2:G931=G932),ROWS(FILTER($Q$2:Q931,$C$2:C931=C932,$G$2:G931=G932)),1),1500)"),-720.0)</f>
        <v>-720</v>
      </c>
      <c r="O932" s="3">
        <f t="shared" si="3"/>
        <v>0</v>
      </c>
      <c r="P932" s="9">
        <f t="shared" si="1"/>
        <v>0</v>
      </c>
      <c r="Q932" s="5">
        <f t="shared" si="2"/>
        <v>-720</v>
      </c>
    </row>
    <row r="933">
      <c r="H933" s="3" t="str">
        <f>IFERROR(__xludf.DUMMYFUNCTION("IFERROR(TRIM(INDEX(SPLIT(E933,"" + ""),1)),"""")"),"")</f>
        <v/>
      </c>
      <c r="I933" s="3" t="str">
        <f>IFERROR(__xludf.DUMMYFUNCTION("IFERROR(TRIM(INDEX(SPLIT(E933,"" + ""),2)),"""")"),"")</f>
        <v/>
      </c>
      <c r="J933" s="5" t="str">
        <f>IFERROR(__xludf.DUMMYFUNCTION("IFERROR(TRIM(INDEX(SPLIT(E933,"" + ""),3)),"""")"),"")</f>
        <v/>
      </c>
      <c r="K933" s="3">
        <f>IFERROR(__xludf.DUMMYFUNCTION("IFERROR(IF(H933="""",0,INDEX(FILTER($Q$2:Q932,$C$2:C932=H933,$G$2:G932=G933),ROWS(FILTER($Q$2:Q932,$C$2:C932=H933,$G$2:G932=G933)),1)),1500)"),0.0)</f>
        <v>0</v>
      </c>
      <c r="L933" s="3">
        <f>IFERROR(__xludf.DUMMYFUNCTION("IFERROR(IF(I933="""",0,INDEX(FILTER($Q$2:Q932,$C$2:C932=I933,$G$2:G932=G933),ROWS(FILTER($Q$2:Q932,$C$2:C932=I933,$G$2:G932=G933)),1)),1500)"),0.0)</f>
        <v>0</v>
      </c>
      <c r="M933" s="3">
        <f>IFERROR(__xludf.DUMMYFUNCTION("IFERROR(IF(J933="""",0,INDEX(FILTER($Q$2:Q932,$C$2:C932=J933,$G$2:G932=G933),ROWS(FILTER($Q$2:Q932,$C$2:C932=J933,$G$2:G932=G933)),1)),1500)"),0.0)</f>
        <v>0</v>
      </c>
      <c r="N933" s="3">
        <f>IFERROR(__xludf.DUMMYFUNCTION("IFERROR(INDEX(FILTER($Q$2:Q932,$C$2:C932=C933,$G$2:G932=G933),ROWS(FILTER($Q$2:Q932,$C$2:C932=C933,$G$2:G932=G933)),1),1500)"),-720.0)</f>
        <v>-720</v>
      </c>
      <c r="O933" s="3">
        <f t="shared" si="3"/>
        <v>0</v>
      </c>
      <c r="P933" s="9">
        <f t="shared" si="1"/>
        <v>0</v>
      </c>
      <c r="Q933" s="5">
        <f t="shared" si="2"/>
        <v>-720</v>
      </c>
    </row>
    <row r="934">
      <c r="H934" s="3" t="str">
        <f>IFERROR(__xludf.DUMMYFUNCTION("IFERROR(TRIM(INDEX(SPLIT(E934,"" + ""),1)),"""")"),"")</f>
        <v/>
      </c>
      <c r="I934" s="3" t="str">
        <f>IFERROR(__xludf.DUMMYFUNCTION("IFERROR(TRIM(INDEX(SPLIT(E934,"" + ""),2)),"""")"),"")</f>
        <v/>
      </c>
      <c r="J934" s="5" t="str">
        <f>IFERROR(__xludf.DUMMYFUNCTION("IFERROR(TRIM(INDEX(SPLIT(E934,"" + ""),3)),"""")"),"")</f>
        <v/>
      </c>
      <c r="K934" s="3">
        <f>IFERROR(__xludf.DUMMYFUNCTION("IFERROR(IF(H934="""",0,INDEX(FILTER($Q$2:Q933,$C$2:C933=H934,$G$2:G933=G934),ROWS(FILTER($Q$2:Q933,$C$2:C933=H934,$G$2:G933=G934)),1)),1500)"),0.0)</f>
        <v>0</v>
      </c>
      <c r="L934" s="3">
        <f>IFERROR(__xludf.DUMMYFUNCTION("IFERROR(IF(I934="""",0,INDEX(FILTER($Q$2:Q933,$C$2:C933=I934,$G$2:G933=G934),ROWS(FILTER($Q$2:Q933,$C$2:C933=I934,$G$2:G933=G934)),1)),1500)"),0.0)</f>
        <v>0</v>
      </c>
      <c r="M934" s="3">
        <f>IFERROR(__xludf.DUMMYFUNCTION("IFERROR(IF(J934="""",0,INDEX(FILTER($Q$2:Q933,$C$2:C933=J934,$G$2:G933=G934),ROWS(FILTER($Q$2:Q933,$C$2:C933=J934,$G$2:G933=G934)),1)),1500)"),0.0)</f>
        <v>0</v>
      </c>
      <c r="N934" s="3">
        <f>IFERROR(__xludf.DUMMYFUNCTION("IFERROR(INDEX(FILTER($Q$2:Q933,$C$2:C933=C934,$G$2:G933=G934),ROWS(FILTER($Q$2:Q933,$C$2:C933=C934,$G$2:G933=G934)),1),1500)"),-720.0)</f>
        <v>-720</v>
      </c>
      <c r="O934" s="3">
        <f t="shared" si="3"/>
        <v>0</v>
      </c>
      <c r="P934" s="9">
        <f t="shared" si="1"/>
        <v>0</v>
      </c>
      <c r="Q934" s="5">
        <f t="shared" si="2"/>
        <v>-720</v>
      </c>
    </row>
    <row r="935">
      <c r="H935" s="3" t="str">
        <f>IFERROR(__xludf.DUMMYFUNCTION("IFERROR(TRIM(INDEX(SPLIT(E935,"" + ""),1)),"""")"),"")</f>
        <v/>
      </c>
      <c r="I935" s="3" t="str">
        <f>IFERROR(__xludf.DUMMYFUNCTION("IFERROR(TRIM(INDEX(SPLIT(E935,"" + ""),2)),"""")"),"")</f>
        <v/>
      </c>
      <c r="J935" s="5" t="str">
        <f>IFERROR(__xludf.DUMMYFUNCTION("IFERROR(TRIM(INDEX(SPLIT(E935,"" + ""),3)),"""")"),"")</f>
        <v/>
      </c>
      <c r="K935" s="3">
        <f>IFERROR(__xludf.DUMMYFUNCTION("IFERROR(IF(H935="""",0,INDEX(FILTER($Q$2:Q934,$C$2:C934=H935,$G$2:G934=G935),ROWS(FILTER($Q$2:Q934,$C$2:C934=H935,$G$2:G934=G935)),1)),1500)"),0.0)</f>
        <v>0</v>
      </c>
      <c r="L935" s="3">
        <f>IFERROR(__xludf.DUMMYFUNCTION("IFERROR(IF(I935="""",0,INDEX(FILTER($Q$2:Q934,$C$2:C934=I935,$G$2:G934=G935),ROWS(FILTER($Q$2:Q934,$C$2:C934=I935,$G$2:G934=G935)),1)),1500)"),0.0)</f>
        <v>0</v>
      </c>
      <c r="M935" s="3">
        <f>IFERROR(__xludf.DUMMYFUNCTION("IFERROR(IF(J935="""",0,INDEX(FILTER($Q$2:Q934,$C$2:C934=J935,$G$2:G934=G935),ROWS(FILTER($Q$2:Q934,$C$2:C934=J935,$G$2:G934=G935)),1)),1500)"),0.0)</f>
        <v>0</v>
      </c>
      <c r="N935" s="3">
        <f>IFERROR(__xludf.DUMMYFUNCTION("IFERROR(INDEX(FILTER($Q$2:Q934,$C$2:C934=C935,$G$2:G934=G935),ROWS(FILTER($Q$2:Q934,$C$2:C934=C935,$G$2:G934=G935)),1),1500)"),-720.0)</f>
        <v>-720</v>
      </c>
      <c r="O935" s="3">
        <f t="shared" si="3"/>
        <v>0</v>
      </c>
      <c r="P935" s="9">
        <f t="shared" si="1"/>
        <v>0</v>
      </c>
      <c r="Q935" s="5">
        <f t="shared" si="2"/>
        <v>-720</v>
      </c>
    </row>
    <row r="936">
      <c r="H936" s="3" t="str">
        <f>IFERROR(__xludf.DUMMYFUNCTION("IFERROR(TRIM(INDEX(SPLIT(E936,"" + ""),1)),"""")"),"")</f>
        <v/>
      </c>
      <c r="I936" s="3" t="str">
        <f>IFERROR(__xludf.DUMMYFUNCTION("IFERROR(TRIM(INDEX(SPLIT(E936,"" + ""),2)),"""")"),"")</f>
        <v/>
      </c>
      <c r="J936" s="5" t="str">
        <f>IFERROR(__xludf.DUMMYFUNCTION("IFERROR(TRIM(INDEX(SPLIT(E936,"" + ""),3)),"""")"),"")</f>
        <v/>
      </c>
      <c r="K936" s="3">
        <f>IFERROR(__xludf.DUMMYFUNCTION("IFERROR(IF(H936="""",0,INDEX(FILTER($Q$2:Q935,$C$2:C935=H936,$G$2:G935=G936),ROWS(FILTER($Q$2:Q935,$C$2:C935=H936,$G$2:G935=G936)),1)),1500)"),0.0)</f>
        <v>0</v>
      </c>
      <c r="L936" s="3">
        <f>IFERROR(__xludf.DUMMYFUNCTION("IFERROR(IF(I936="""",0,INDEX(FILTER($Q$2:Q935,$C$2:C935=I936,$G$2:G935=G936),ROWS(FILTER($Q$2:Q935,$C$2:C935=I936,$G$2:G935=G936)),1)),1500)"),0.0)</f>
        <v>0</v>
      </c>
      <c r="M936" s="3">
        <f>IFERROR(__xludf.DUMMYFUNCTION("IFERROR(IF(J936="""",0,INDEX(FILTER($Q$2:Q935,$C$2:C935=J936,$G$2:G935=G936),ROWS(FILTER($Q$2:Q935,$C$2:C935=J936,$G$2:G935=G936)),1)),1500)"),0.0)</f>
        <v>0</v>
      </c>
      <c r="N936" s="3">
        <f>IFERROR(__xludf.DUMMYFUNCTION("IFERROR(INDEX(FILTER($Q$2:Q935,$C$2:C935=C936,$G$2:G935=G936),ROWS(FILTER($Q$2:Q935,$C$2:C935=C936,$G$2:G935=G936)),1),1500)"),-720.0)</f>
        <v>-720</v>
      </c>
      <c r="O936" s="3">
        <f t="shared" si="3"/>
        <v>0</v>
      </c>
      <c r="P936" s="9">
        <f t="shared" si="1"/>
        <v>0</v>
      </c>
      <c r="Q936" s="5">
        <f t="shared" si="2"/>
        <v>-720</v>
      </c>
    </row>
    <row r="937">
      <c r="H937" s="3" t="str">
        <f>IFERROR(__xludf.DUMMYFUNCTION("IFERROR(TRIM(INDEX(SPLIT(E937,"" + ""),1)),"""")"),"")</f>
        <v/>
      </c>
      <c r="I937" s="3" t="str">
        <f>IFERROR(__xludf.DUMMYFUNCTION("IFERROR(TRIM(INDEX(SPLIT(E937,"" + ""),2)),"""")"),"")</f>
        <v/>
      </c>
      <c r="J937" s="5" t="str">
        <f>IFERROR(__xludf.DUMMYFUNCTION("IFERROR(TRIM(INDEX(SPLIT(E937,"" + ""),3)),"""")"),"")</f>
        <v/>
      </c>
      <c r="K937" s="3">
        <f>IFERROR(__xludf.DUMMYFUNCTION("IFERROR(IF(H937="""",0,INDEX(FILTER($Q$2:Q936,$C$2:C936=H937,$G$2:G936=G937),ROWS(FILTER($Q$2:Q936,$C$2:C936=H937,$G$2:G936=G937)),1)),1500)"),0.0)</f>
        <v>0</v>
      </c>
      <c r="L937" s="3">
        <f>IFERROR(__xludf.DUMMYFUNCTION("IFERROR(IF(I937="""",0,INDEX(FILTER($Q$2:Q936,$C$2:C936=I937,$G$2:G936=G937),ROWS(FILTER($Q$2:Q936,$C$2:C936=I937,$G$2:G936=G937)),1)),1500)"),0.0)</f>
        <v>0</v>
      </c>
      <c r="M937" s="3">
        <f>IFERROR(__xludf.DUMMYFUNCTION("IFERROR(IF(J937="""",0,INDEX(FILTER($Q$2:Q936,$C$2:C936=J937,$G$2:G936=G937),ROWS(FILTER($Q$2:Q936,$C$2:C936=J937,$G$2:G936=G937)),1)),1500)"),0.0)</f>
        <v>0</v>
      </c>
      <c r="N937" s="3">
        <f>IFERROR(__xludf.DUMMYFUNCTION("IFERROR(INDEX(FILTER($Q$2:Q936,$C$2:C936=C937,$G$2:G936=G937),ROWS(FILTER($Q$2:Q936,$C$2:C936=C937,$G$2:G936=G937)),1),1500)"),-720.0)</f>
        <v>-720</v>
      </c>
      <c r="O937" s="3">
        <f t="shared" si="3"/>
        <v>0</v>
      </c>
      <c r="P937" s="9">
        <f t="shared" si="1"/>
        <v>0</v>
      </c>
      <c r="Q937" s="5">
        <f t="shared" si="2"/>
        <v>-720</v>
      </c>
    </row>
    <row r="938">
      <c r="H938" s="3" t="str">
        <f>IFERROR(__xludf.DUMMYFUNCTION("IFERROR(TRIM(INDEX(SPLIT(E938,"" + ""),1)),"""")"),"")</f>
        <v/>
      </c>
      <c r="I938" s="3" t="str">
        <f>IFERROR(__xludf.DUMMYFUNCTION("IFERROR(TRIM(INDEX(SPLIT(E938,"" + ""),2)),"""")"),"")</f>
        <v/>
      </c>
      <c r="J938" s="5" t="str">
        <f>IFERROR(__xludf.DUMMYFUNCTION("IFERROR(TRIM(INDEX(SPLIT(E938,"" + ""),3)),"""")"),"")</f>
        <v/>
      </c>
      <c r="K938" s="3">
        <f>IFERROR(__xludf.DUMMYFUNCTION("IFERROR(IF(H938="""",0,INDEX(FILTER($Q$2:Q937,$C$2:C937=H938,$G$2:G937=G938),ROWS(FILTER($Q$2:Q937,$C$2:C937=H938,$G$2:G937=G938)),1)),1500)"),0.0)</f>
        <v>0</v>
      </c>
      <c r="L938" s="3">
        <f>IFERROR(__xludf.DUMMYFUNCTION("IFERROR(IF(I938="""",0,INDEX(FILTER($Q$2:Q937,$C$2:C937=I938,$G$2:G937=G938),ROWS(FILTER($Q$2:Q937,$C$2:C937=I938,$G$2:G937=G938)),1)),1500)"),0.0)</f>
        <v>0</v>
      </c>
      <c r="M938" s="3">
        <f>IFERROR(__xludf.DUMMYFUNCTION("IFERROR(IF(J938="""",0,INDEX(FILTER($Q$2:Q937,$C$2:C937=J938,$G$2:G937=G938),ROWS(FILTER($Q$2:Q937,$C$2:C937=J938,$G$2:G937=G938)),1)),1500)"),0.0)</f>
        <v>0</v>
      </c>
      <c r="N938" s="3">
        <f>IFERROR(__xludf.DUMMYFUNCTION("IFERROR(INDEX(FILTER($Q$2:Q937,$C$2:C937=C938,$G$2:G937=G938),ROWS(FILTER($Q$2:Q937,$C$2:C937=C938,$G$2:G937=G938)),1),1500)"),-720.0)</f>
        <v>-720</v>
      </c>
      <c r="O938" s="3">
        <f t="shared" si="3"/>
        <v>0</v>
      </c>
      <c r="P938" s="9">
        <f t="shared" si="1"/>
        <v>0</v>
      </c>
      <c r="Q938" s="5">
        <f t="shared" si="2"/>
        <v>-720</v>
      </c>
    </row>
    <row r="939">
      <c r="H939" s="3" t="str">
        <f>IFERROR(__xludf.DUMMYFUNCTION("IFERROR(TRIM(INDEX(SPLIT(E939,"" + ""),1)),"""")"),"")</f>
        <v/>
      </c>
      <c r="I939" s="3" t="str">
        <f>IFERROR(__xludf.DUMMYFUNCTION("IFERROR(TRIM(INDEX(SPLIT(E939,"" + ""),2)),"""")"),"")</f>
        <v/>
      </c>
      <c r="J939" s="5" t="str">
        <f>IFERROR(__xludf.DUMMYFUNCTION("IFERROR(TRIM(INDEX(SPLIT(E939,"" + ""),3)),"""")"),"")</f>
        <v/>
      </c>
      <c r="K939" s="3">
        <f>IFERROR(__xludf.DUMMYFUNCTION("IFERROR(IF(H939="""",0,INDEX(FILTER($Q$2:Q938,$C$2:C938=H939,$G$2:G938=G939),ROWS(FILTER($Q$2:Q938,$C$2:C938=H939,$G$2:G938=G939)),1)),1500)"),0.0)</f>
        <v>0</v>
      </c>
      <c r="L939" s="3">
        <f>IFERROR(__xludf.DUMMYFUNCTION("IFERROR(IF(I939="""",0,INDEX(FILTER($Q$2:Q938,$C$2:C938=I939,$G$2:G938=G939),ROWS(FILTER($Q$2:Q938,$C$2:C938=I939,$G$2:G938=G939)),1)),1500)"),0.0)</f>
        <v>0</v>
      </c>
      <c r="M939" s="3">
        <f>IFERROR(__xludf.DUMMYFUNCTION("IFERROR(IF(J939="""",0,INDEX(FILTER($Q$2:Q938,$C$2:C938=J939,$G$2:G938=G939),ROWS(FILTER($Q$2:Q938,$C$2:C938=J939,$G$2:G938=G939)),1)),1500)"),0.0)</f>
        <v>0</v>
      </c>
      <c r="N939" s="3">
        <f>IFERROR(__xludf.DUMMYFUNCTION("IFERROR(INDEX(FILTER($Q$2:Q938,$C$2:C938=C939,$G$2:G938=G939),ROWS(FILTER($Q$2:Q938,$C$2:C938=C939,$G$2:G938=G939)),1),1500)"),-720.0)</f>
        <v>-720</v>
      </c>
      <c r="O939" s="3">
        <f t="shared" si="3"/>
        <v>0</v>
      </c>
      <c r="P939" s="9">
        <f t="shared" si="1"/>
        <v>0</v>
      </c>
      <c r="Q939" s="5">
        <f t="shared" si="2"/>
        <v>-720</v>
      </c>
    </row>
    <row r="940">
      <c r="H940" s="3" t="str">
        <f>IFERROR(__xludf.DUMMYFUNCTION("IFERROR(TRIM(INDEX(SPLIT(E940,"" + ""),1)),"""")"),"")</f>
        <v/>
      </c>
      <c r="I940" s="3" t="str">
        <f>IFERROR(__xludf.DUMMYFUNCTION("IFERROR(TRIM(INDEX(SPLIT(E940,"" + ""),2)),"""")"),"")</f>
        <v/>
      </c>
      <c r="J940" s="5" t="str">
        <f>IFERROR(__xludf.DUMMYFUNCTION("IFERROR(TRIM(INDEX(SPLIT(E940,"" + ""),3)),"""")"),"")</f>
        <v/>
      </c>
      <c r="K940" s="3">
        <f>IFERROR(__xludf.DUMMYFUNCTION("IFERROR(IF(H940="""",0,INDEX(FILTER($Q$2:Q939,$C$2:C939=H940,$G$2:G939=G940),ROWS(FILTER($Q$2:Q939,$C$2:C939=H940,$G$2:G939=G940)),1)),1500)"),0.0)</f>
        <v>0</v>
      </c>
      <c r="L940" s="3">
        <f>IFERROR(__xludf.DUMMYFUNCTION("IFERROR(IF(I940="""",0,INDEX(FILTER($Q$2:Q939,$C$2:C939=I940,$G$2:G939=G940),ROWS(FILTER($Q$2:Q939,$C$2:C939=I940,$G$2:G939=G940)),1)),1500)"),0.0)</f>
        <v>0</v>
      </c>
      <c r="M940" s="3">
        <f>IFERROR(__xludf.DUMMYFUNCTION("IFERROR(IF(J940="""",0,INDEX(FILTER($Q$2:Q939,$C$2:C939=J940,$G$2:G939=G940),ROWS(FILTER($Q$2:Q939,$C$2:C939=J940,$G$2:G939=G940)),1)),1500)"),0.0)</f>
        <v>0</v>
      </c>
      <c r="N940" s="3">
        <f>IFERROR(__xludf.DUMMYFUNCTION("IFERROR(INDEX(FILTER($Q$2:Q939,$C$2:C939=C940,$G$2:G939=G940),ROWS(FILTER($Q$2:Q939,$C$2:C939=C940,$G$2:G939=G940)),1),1500)"),-720.0)</f>
        <v>-720</v>
      </c>
      <c r="O940" s="3">
        <f t="shared" si="3"/>
        <v>0</v>
      </c>
      <c r="P940" s="9">
        <f t="shared" si="1"/>
        <v>0</v>
      </c>
      <c r="Q940" s="5">
        <f t="shared" si="2"/>
        <v>-720</v>
      </c>
    </row>
    <row r="941">
      <c r="H941" s="3" t="str">
        <f>IFERROR(__xludf.DUMMYFUNCTION("IFERROR(TRIM(INDEX(SPLIT(E941,"" + ""),1)),"""")"),"")</f>
        <v/>
      </c>
      <c r="I941" s="3" t="str">
        <f>IFERROR(__xludf.DUMMYFUNCTION("IFERROR(TRIM(INDEX(SPLIT(E941,"" + ""),2)),"""")"),"")</f>
        <v/>
      </c>
      <c r="J941" s="5" t="str">
        <f>IFERROR(__xludf.DUMMYFUNCTION("IFERROR(TRIM(INDEX(SPLIT(E941,"" + ""),3)),"""")"),"")</f>
        <v/>
      </c>
      <c r="K941" s="3">
        <f>IFERROR(__xludf.DUMMYFUNCTION("IFERROR(IF(H941="""",0,INDEX(FILTER($Q$2:Q940,$C$2:C940=H941,$G$2:G940=G941),ROWS(FILTER($Q$2:Q940,$C$2:C940=H941,$G$2:G940=G941)),1)),1500)"),0.0)</f>
        <v>0</v>
      </c>
      <c r="L941" s="3">
        <f>IFERROR(__xludf.DUMMYFUNCTION("IFERROR(IF(I941="""",0,INDEX(FILTER($Q$2:Q940,$C$2:C940=I941,$G$2:G940=G941),ROWS(FILTER($Q$2:Q940,$C$2:C940=I941,$G$2:G940=G941)),1)),1500)"),0.0)</f>
        <v>0</v>
      </c>
      <c r="M941" s="3">
        <f>IFERROR(__xludf.DUMMYFUNCTION("IFERROR(IF(J941="""",0,INDEX(FILTER($Q$2:Q940,$C$2:C940=J941,$G$2:G940=G941),ROWS(FILTER($Q$2:Q940,$C$2:C940=J941,$G$2:G940=G941)),1)),1500)"),0.0)</f>
        <v>0</v>
      </c>
      <c r="N941" s="3">
        <f>IFERROR(__xludf.DUMMYFUNCTION("IFERROR(INDEX(FILTER($Q$2:Q940,$C$2:C940=C941,$G$2:G940=G941),ROWS(FILTER($Q$2:Q940,$C$2:C940=C941,$G$2:G940=G941)),1),1500)"),-720.0)</f>
        <v>-720</v>
      </c>
      <c r="O941" s="3">
        <f t="shared" si="3"/>
        <v>0</v>
      </c>
      <c r="P941" s="9">
        <f t="shared" si="1"/>
        <v>0</v>
      </c>
      <c r="Q941" s="5">
        <f t="shared" si="2"/>
        <v>-720</v>
      </c>
    </row>
    <row r="942">
      <c r="H942" s="3" t="str">
        <f>IFERROR(__xludf.DUMMYFUNCTION("IFERROR(TRIM(INDEX(SPLIT(E942,"" + ""),1)),"""")"),"")</f>
        <v/>
      </c>
      <c r="I942" s="3" t="str">
        <f>IFERROR(__xludf.DUMMYFUNCTION("IFERROR(TRIM(INDEX(SPLIT(E942,"" + ""),2)),"""")"),"")</f>
        <v/>
      </c>
      <c r="J942" s="5" t="str">
        <f>IFERROR(__xludf.DUMMYFUNCTION("IFERROR(TRIM(INDEX(SPLIT(E942,"" + ""),3)),"""")"),"")</f>
        <v/>
      </c>
      <c r="K942" s="3">
        <f>IFERROR(__xludf.DUMMYFUNCTION("IFERROR(IF(H942="""",0,INDEX(FILTER($Q$2:Q941,$C$2:C941=H942,$G$2:G941=G942),ROWS(FILTER($Q$2:Q941,$C$2:C941=H942,$G$2:G941=G942)),1)),1500)"),0.0)</f>
        <v>0</v>
      </c>
      <c r="L942" s="3">
        <f>IFERROR(__xludf.DUMMYFUNCTION("IFERROR(IF(I942="""",0,INDEX(FILTER($Q$2:Q941,$C$2:C941=I942,$G$2:G941=G942),ROWS(FILTER($Q$2:Q941,$C$2:C941=I942,$G$2:G941=G942)),1)),1500)"),0.0)</f>
        <v>0</v>
      </c>
      <c r="M942" s="3">
        <f>IFERROR(__xludf.DUMMYFUNCTION("IFERROR(IF(J942="""",0,INDEX(FILTER($Q$2:Q941,$C$2:C941=J942,$G$2:G941=G942),ROWS(FILTER($Q$2:Q941,$C$2:C941=J942,$G$2:G941=G942)),1)),1500)"),0.0)</f>
        <v>0</v>
      </c>
      <c r="N942" s="3">
        <f>IFERROR(__xludf.DUMMYFUNCTION("IFERROR(INDEX(FILTER($Q$2:Q941,$C$2:C941=C942,$G$2:G941=G942),ROWS(FILTER($Q$2:Q941,$C$2:C941=C942,$G$2:G941=G942)),1),1500)"),-720.0)</f>
        <v>-720</v>
      </c>
      <c r="O942" s="3">
        <f t="shared" si="3"/>
        <v>0</v>
      </c>
      <c r="P942" s="9">
        <f t="shared" si="1"/>
        <v>0</v>
      </c>
      <c r="Q942" s="5">
        <f t="shared" si="2"/>
        <v>-720</v>
      </c>
    </row>
    <row r="943">
      <c r="H943" s="3" t="str">
        <f>IFERROR(__xludf.DUMMYFUNCTION("IFERROR(TRIM(INDEX(SPLIT(E943,"" + ""),1)),"""")"),"")</f>
        <v/>
      </c>
      <c r="I943" s="3" t="str">
        <f>IFERROR(__xludf.DUMMYFUNCTION("IFERROR(TRIM(INDEX(SPLIT(E943,"" + ""),2)),"""")"),"")</f>
        <v/>
      </c>
      <c r="J943" s="5" t="str">
        <f>IFERROR(__xludf.DUMMYFUNCTION("IFERROR(TRIM(INDEX(SPLIT(E943,"" + ""),3)),"""")"),"")</f>
        <v/>
      </c>
      <c r="K943" s="3">
        <f>IFERROR(__xludf.DUMMYFUNCTION("IFERROR(IF(H943="""",0,INDEX(FILTER($Q$2:Q942,$C$2:C942=H943,$G$2:G942=G943),ROWS(FILTER($Q$2:Q942,$C$2:C942=H943,$G$2:G942=G943)),1)),1500)"),0.0)</f>
        <v>0</v>
      </c>
      <c r="L943" s="3">
        <f>IFERROR(__xludf.DUMMYFUNCTION("IFERROR(IF(I943="""",0,INDEX(FILTER($Q$2:Q942,$C$2:C942=I943,$G$2:G942=G943),ROWS(FILTER($Q$2:Q942,$C$2:C942=I943,$G$2:G942=G943)),1)),1500)"),0.0)</f>
        <v>0</v>
      </c>
      <c r="M943" s="3">
        <f>IFERROR(__xludf.DUMMYFUNCTION("IFERROR(IF(J943="""",0,INDEX(FILTER($Q$2:Q942,$C$2:C942=J943,$G$2:G942=G943),ROWS(FILTER($Q$2:Q942,$C$2:C942=J943,$G$2:G942=G943)),1)),1500)"),0.0)</f>
        <v>0</v>
      </c>
      <c r="N943" s="3">
        <f>IFERROR(__xludf.DUMMYFUNCTION("IFERROR(INDEX(FILTER($Q$2:Q942,$C$2:C942=C943,$G$2:G942=G943),ROWS(FILTER($Q$2:Q942,$C$2:C942=C943,$G$2:G942=G943)),1),1500)"),-720.0)</f>
        <v>-720</v>
      </c>
      <c r="O943" s="3">
        <f t="shared" si="3"/>
        <v>0</v>
      </c>
      <c r="P943" s="9">
        <f t="shared" si="1"/>
        <v>0</v>
      </c>
      <c r="Q943" s="5">
        <f t="shared" si="2"/>
        <v>-720</v>
      </c>
    </row>
    <row r="944">
      <c r="H944" s="3" t="str">
        <f>IFERROR(__xludf.DUMMYFUNCTION("IFERROR(TRIM(INDEX(SPLIT(E944,"" + ""),1)),"""")"),"")</f>
        <v/>
      </c>
      <c r="I944" s="3" t="str">
        <f>IFERROR(__xludf.DUMMYFUNCTION("IFERROR(TRIM(INDEX(SPLIT(E944,"" + ""),2)),"""")"),"")</f>
        <v/>
      </c>
      <c r="J944" s="5" t="str">
        <f>IFERROR(__xludf.DUMMYFUNCTION("IFERROR(TRIM(INDEX(SPLIT(E944,"" + ""),3)),"""")"),"")</f>
        <v/>
      </c>
      <c r="K944" s="3">
        <f>IFERROR(__xludf.DUMMYFUNCTION("IFERROR(IF(H944="""",0,INDEX(FILTER($Q$2:Q943,$C$2:C943=H944,$G$2:G943=G944),ROWS(FILTER($Q$2:Q943,$C$2:C943=H944,$G$2:G943=G944)),1)),1500)"),0.0)</f>
        <v>0</v>
      </c>
      <c r="L944" s="3">
        <f>IFERROR(__xludf.DUMMYFUNCTION("IFERROR(IF(I944="""",0,INDEX(FILTER($Q$2:Q943,$C$2:C943=I944,$G$2:G943=G944),ROWS(FILTER($Q$2:Q943,$C$2:C943=I944,$G$2:G943=G944)),1)),1500)"),0.0)</f>
        <v>0</v>
      </c>
      <c r="M944" s="3">
        <f>IFERROR(__xludf.DUMMYFUNCTION("IFERROR(IF(J944="""",0,INDEX(FILTER($Q$2:Q943,$C$2:C943=J944,$G$2:G943=G944),ROWS(FILTER($Q$2:Q943,$C$2:C943=J944,$G$2:G943=G944)),1)),1500)"),0.0)</f>
        <v>0</v>
      </c>
      <c r="N944" s="3">
        <f>IFERROR(__xludf.DUMMYFUNCTION("IFERROR(INDEX(FILTER($Q$2:Q943,$C$2:C943=C944,$G$2:G943=G944),ROWS(FILTER($Q$2:Q943,$C$2:C943=C944,$G$2:G943=G944)),1),1500)"),-720.0)</f>
        <v>-720</v>
      </c>
      <c r="O944" s="3">
        <f t="shared" si="3"/>
        <v>0</v>
      </c>
      <c r="P944" s="9">
        <f t="shared" si="1"/>
        <v>0</v>
      </c>
      <c r="Q944" s="5">
        <f t="shared" si="2"/>
        <v>-720</v>
      </c>
    </row>
    <row r="945">
      <c r="H945" s="3" t="str">
        <f>IFERROR(__xludf.DUMMYFUNCTION("IFERROR(TRIM(INDEX(SPLIT(E945,"" + ""),1)),"""")"),"")</f>
        <v/>
      </c>
      <c r="I945" s="3" t="str">
        <f>IFERROR(__xludf.DUMMYFUNCTION("IFERROR(TRIM(INDEX(SPLIT(E945,"" + ""),2)),"""")"),"")</f>
        <v/>
      </c>
      <c r="J945" s="5" t="str">
        <f>IFERROR(__xludf.DUMMYFUNCTION("IFERROR(TRIM(INDEX(SPLIT(E945,"" + ""),3)),"""")"),"")</f>
        <v/>
      </c>
      <c r="K945" s="3">
        <f>IFERROR(__xludf.DUMMYFUNCTION("IFERROR(IF(H945="""",0,INDEX(FILTER($Q$2:Q944,$C$2:C944=H945,$G$2:G944=G945),ROWS(FILTER($Q$2:Q944,$C$2:C944=H945,$G$2:G944=G945)),1)),1500)"),0.0)</f>
        <v>0</v>
      </c>
      <c r="L945" s="3">
        <f>IFERROR(__xludf.DUMMYFUNCTION("IFERROR(IF(I945="""",0,INDEX(FILTER($Q$2:Q944,$C$2:C944=I945,$G$2:G944=G945),ROWS(FILTER($Q$2:Q944,$C$2:C944=I945,$G$2:G944=G945)),1)),1500)"),0.0)</f>
        <v>0</v>
      </c>
      <c r="M945" s="3">
        <f>IFERROR(__xludf.DUMMYFUNCTION("IFERROR(IF(J945="""",0,INDEX(FILTER($Q$2:Q944,$C$2:C944=J945,$G$2:G944=G945),ROWS(FILTER($Q$2:Q944,$C$2:C944=J945,$G$2:G944=G945)),1)),1500)"),0.0)</f>
        <v>0</v>
      </c>
      <c r="N945" s="3">
        <f>IFERROR(__xludf.DUMMYFUNCTION("IFERROR(INDEX(FILTER($Q$2:Q944,$C$2:C944=C945,$G$2:G944=G945),ROWS(FILTER($Q$2:Q944,$C$2:C944=C945,$G$2:G944=G945)),1),1500)"),-720.0)</f>
        <v>-720</v>
      </c>
      <c r="O945" s="3">
        <f t="shared" si="3"/>
        <v>0</v>
      </c>
      <c r="P945" s="9">
        <f t="shared" si="1"/>
        <v>0</v>
      </c>
      <c r="Q945" s="5">
        <f t="shared" si="2"/>
        <v>-720</v>
      </c>
    </row>
    <row r="946">
      <c r="H946" s="3" t="str">
        <f>IFERROR(__xludf.DUMMYFUNCTION("IFERROR(TRIM(INDEX(SPLIT(E946,"" + ""),1)),"""")"),"")</f>
        <v/>
      </c>
      <c r="I946" s="3" t="str">
        <f>IFERROR(__xludf.DUMMYFUNCTION("IFERROR(TRIM(INDEX(SPLIT(E946,"" + ""),2)),"""")"),"")</f>
        <v/>
      </c>
      <c r="J946" s="5" t="str">
        <f>IFERROR(__xludf.DUMMYFUNCTION("IFERROR(TRIM(INDEX(SPLIT(E946,"" + ""),3)),"""")"),"")</f>
        <v/>
      </c>
      <c r="K946" s="3">
        <f>IFERROR(__xludf.DUMMYFUNCTION("IFERROR(IF(H946="""",0,INDEX(FILTER($Q$2:Q945,$C$2:C945=H946,$G$2:G945=G946),ROWS(FILTER($Q$2:Q945,$C$2:C945=H946,$G$2:G945=G946)),1)),1500)"),0.0)</f>
        <v>0</v>
      </c>
      <c r="L946" s="3">
        <f>IFERROR(__xludf.DUMMYFUNCTION("IFERROR(IF(I946="""",0,INDEX(FILTER($Q$2:Q945,$C$2:C945=I946,$G$2:G945=G946),ROWS(FILTER($Q$2:Q945,$C$2:C945=I946,$G$2:G945=G946)),1)),1500)"),0.0)</f>
        <v>0</v>
      </c>
      <c r="M946" s="3">
        <f>IFERROR(__xludf.DUMMYFUNCTION("IFERROR(IF(J946="""",0,INDEX(FILTER($Q$2:Q945,$C$2:C945=J946,$G$2:G945=G946),ROWS(FILTER($Q$2:Q945,$C$2:C945=J946,$G$2:G945=G946)),1)),1500)"),0.0)</f>
        <v>0</v>
      </c>
      <c r="N946" s="3">
        <f>IFERROR(__xludf.DUMMYFUNCTION("IFERROR(INDEX(FILTER($Q$2:Q945,$C$2:C945=C946,$G$2:G945=G946),ROWS(FILTER($Q$2:Q945,$C$2:C945=C946,$G$2:G945=G946)),1),1500)"),-720.0)</f>
        <v>-720</v>
      </c>
      <c r="O946" s="3">
        <f t="shared" si="3"/>
        <v>0</v>
      </c>
      <c r="P946" s="9">
        <f t="shared" si="1"/>
        <v>0</v>
      </c>
      <c r="Q946" s="5">
        <f t="shared" si="2"/>
        <v>-720</v>
      </c>
    </row>
    <row r="947">
      <c r="H947" s="3" t="str">
        <f>IFERROR(__xludf.DUMMYFUNCTION("IFERROR(TRIM(INDEX(SPLIT(E947,"" + ""),1)),"""")"),"")</f>
        <v/>
      </c>
      <c r="I947" s="3" t="str">
        <f>IFERROR(__xludf.DUMMYFUNCTION("IFERROR(TRIM(INDEX(SPLIT(E947,"" + ""),2)),"""")"),"")</f>
        <v/>
      </c>
      <c r="J947" s="5" t="str">
        <f>IFERROR(__xludf.DUMMYFUNCTION("IFERROR(TRIM(INDEX(SPLIT(E947,"" + ""),3)),"""")"),"")</f>
        <v/>
      </c>
      <c r="K947" s="3">
        <f>IFERROR(__xludf.DUMMYFUNCTION("IFERROR(IF(H947="""",0,INDEX(FILTER($Q$2:Q946,$C$2:C946=H947,$G$2:G946=G947),ROWS(FILTER($Q$2:Q946,$C$2:C946=H947,$G$2:G946=G947)),1)),1500)"),0.0)</f>
        <v>0</v>
      </c>
      <c r="L947" s="3">
        <f>IFERROR(__xludf.DUMMYFUNCTION("IFERROR(IF(I947="""",0,INDEX(FILTER($Q$2:Q946,$C$2:C946=I947,$G$2:G946=G947),ROWS(FILTER($Q$2:Q946,$C$2:C946=I947,$G$2:G946=G947)),1)),1500)"),0.0)</f>
        <v>0</v>
      </c>
      <c r="M947" s="3">
        <f>IFERROR(__xludf.DUMMYFUNCTION("IFERROR(IF(J947="""",0,INDEX(FILTER($Q$2:Q946,$C$2:C946=J947,$G$2:G946=G947),ROWS(FILTER($Q$2:Q946,$C$2:C946=J947,$G$2:G946=G947)),1)),1500)"),0.0)</f>
        <v>0</v>
      </c>
      <c r="N947" s="3">
        <f>IFERROR(__xludf.DUMMYFUNCTION("IFERROR(INDEX(FILTER($Q$2:Q946,$C$2:C946=C947,$G$2:G946=G947),ROWS(FILTER($Q$2:Q946,$C$2:C946=C947,$G$2:G946=G947)),1),1500)"),-720.0)</f>
        <v>-720</v>
      </c>
      <c r="O947" s="3">
        <f t="shared" si="3"/>
        <v>0</v>
      </c>
      <c r="P947" s="9">
        <f t="shared" si="1"/>
        <v>0</v>
      </c>
      <c r="Q947" s="5">
        <f t="shared" si="2"/>
        <v>-720</v>
      </c>
    </row>
    <row r="948">
      <c r="H948" s="3" t="str">
        <f>IFERROR(__xludf.DUMMYFUNCTION("IFERROR(TRIM(INDEX(SPLIT(E948,"" + ""),1)),"""")"),"")</f>
        <v/>
      </c>
      <c r="I948" s="3" t="str">
        <f>IFERROR(__xludf.DUMMYFUNCTION("IFERROR(TRIM(INDEX(SPLIT(E948,"" + ""),2)),"""")"),"")</f>
        <v/>
      </c>
      <c r="J948" s="5" t="str">
        <f>IFERROR(__xludf.DUMMYFUNCTION("IFERROR(TRIM(INDEX(SPLIT(E948,"" + ""),3)),"""")"),"")</f>
        <v/>
      </c>
      <c r="K948" s="3">
        <f>IFERROR(__xludf.DUMMYFUNCTION("IFERROR(IF(H948="""",0,INDEX(FILTER($Q$2:Q947,$C$2:C947=H948,$G$2:G947=G948),ROWS(FILTER($Q$2:Q947,$C$2:C947=H948,$G$2:G947=G948)),1)),1500)"),0.0)</f>
        <v>0</v>
      </c>
      <c r="L948" s="3">
        <f>IFERROR(__xludf.DUMMYFUNCTION("IFERROR(IF(I948="""",0,INDEX(FILTER($Q$2:Q947,$C$2:C947=I948,$G$2:G947=G948),ROWS(FILTER($Q$2:Q947,$C$2:C947=I948,$G$2:G947=G948)),1)),1500)"),0.0)</f>
        <v>0</v>
      </c>
      <c r="M948" s="3">
        <f>IFERROR(__xludf.DUMMYFUNCTION("IFERROR(IF(J948="""",0,INDEX(FILTER($Q$2:Q947,$C$2:C947=J948,$G$2:G947=G948),ROWS(FILTER($Q$2:Q947,$C$2:C947=J948,$G$2:G947=G948)),1)),1500)"),0.0)</f>
        <v>0</v>
      </c>
      <c r="N948" s="3">
        <f>IFERROR(__xludf.DUMMYFUNCTION("IFERROR(INDEX(FILTER($Q$2:Q947,$C$2:C947=C948,$G$2:G947=G948),ROWS(FILTER($Q$2:Q947,$C$2:C947=C948,$G$2:G947=G948)),1),1500)"),-720.0)</f>
        <v>-720</v>
      </c>
      <c r="O948" s="3">
        <f t="shared" si="3"/>
        <v>0</v>
      </c>
      <c r="P948" s="9">
        <f t="shared" si="1"/>
        <v>0</v>
      </c>
      <c r="Q948" s="5">
        <f t="shared" si="2"/>
        <v>-720</v>
      </c>
    </row>
    <row r="949">
      <c r="H949" s="3" t="str">
        <f>IFERROR(__xludf.DUMMYFUNCTION("IFERROR(TRIM(INDEX(SPLIT(E949,"" + ""),1)),"""")"),"")</f>
        <v/>
      </c>
      <c r="I949" s="3" t="str">
        <f>IFERROR(__xludf.DUMMYFUNCTION("IFERROR(TRIM(INDEX(SPLIT(E949,"" + ""),2)),"""")"),"")</f>
        <v/>
      </c>
      <c r="J949" s="5" t="str">
        <f>IFERROR(__xludf.DUMMYFUNCTION("IFERROR(TRIM(INDEX(SPLIT(E949,"" + ""),3)),"""")"),"")</f>
        <v/>
      </c>
      <c r="K949" s="3">
        <f>IFERROR(__xludf.DUMMYFUNCTION("IFERROR(IF(H949="""",0,INDEX(FILTER($Q$2:Q948,$C$2:C948=H949,$G$2:G948=G949),ROWS(FILTER($Q$2:Q948,$C$2:C948=H949,$G$2:G948=G949)),1)),1500)"),0.0)</f>
        <v>0</v>
      </c>
      <c r="L949" s="3">
        <f>IFERROR(__xludf.DUMMYFUNCTION("IFERROR(IF(I949="""",0,INDEX(FILTER($Q$2:Q948,$C$2:C948=I949,$G$2:G948=G949),ROWS(FILTER($Q$2:Q948,$C$2:C948=I949,$G$2:G948=G949)),1)),1500)"),0.0)</f>
        <v>0</v>
      </c>
      <c r="M949" s="3">
        <f>IFERROR(__xludf.DUMMYFUNCTION("IFERROR(IF(J949="""",0,INDEX(FILTER($Q$2:Q948,$C$2:C948=J949,$G$2:G948=G949),ROWS(FILTER($Q$2:Q948,$C$2:C948=J949,$G$2:G948=G949)),1)),1500)"),0.0)</f>
        <v>0</v>
      </c>
      <c r="N949" s="3">
        <f>IFERROR(__xludf.DUMMYFUNCTION("IFERROR(INDEX(FILTER($Q$2:Q948,$C$2:C948=C949,$G$2:G948=G949),ROWS(FILTER($Q$2:Q948,$C$2:C948=C949,$G$2:G948=G949)),1),1500)"),-720.0)</f>
        <v>-720</v>
      </c>
      <c r="O949" s="3">
        <f t="shared" si="3"/>
        <v>0</v>
      </c>
      <c r="P949" s="9">
        <f t="shared" si="1"/>
        <v>0</v>
      </c>
      <c r="Q949" s="5">
        <f t="shared" si="2"/>
        <v>-720</v>
      </c>
    </row>
    <row r="950">
      <c r="H950" s="3" t="str">
        <f>IFERROR(__xludf.DUMMYFUNCTION("IFERROR(TRIM(INDEX(SPLIT(E950,"" + ""),1)),"""")"),"")</f>
        <v/>
      </c>
      <c r="I950" s="3" t="str">
        <f>IFERROR(__xludf.DUMMYFUNCTION("IFERROR(TRIM(INDEX(SPLIT(E950,"" + ""),2)),"""")"),"")</f>
        <v/>
      </c>
      <c r="J950" s="5" t="str">
        <f>IFERROR(__xludf.DUMMYFUNCTION("IFERROR(TRIM(INDEX(SPLIT(E950,"" + ""),3)),"""")"),"")</f>
        <v/>
      </c>
      <c r="K950" s="3">
        <f>IFERROR(__xludf.DUMMYFUNCTION("IFERROR(IF(H950="""",0,INDEX(FILTER($Q$2:Q949,$C$2:C949=H950,$G$2:G949=G950),ROWS(FILTER($Q$2:Q949,$C$2:C949=H950,$G$2:G949=G950)),1)),1500)"),0.0)</f>
        <v>0</v>
      </c>
      <c r="L950" s="3">
        <f>IFERROR(__xludf.DUMMYFUNCTION("IFERROR(IF(I950="""",0,INDEX(FILTER($Q$2:Q949,$C$2:C949=I950,$G$2:G949=G950),ROWS(FILTER($Q$2:Q949,$C$2:C949=I950,$G$2:G949=G950)),1)),1500)"),0.0)</f>
        <v>0</v>
      </c>
      <c r="M950" s="3">
        <f>IFERROR(__xludf.DUMMYFUNCTION("IFERROR(IF(J950="""",0,INDEX(FILTER($Q$2:Q949,$C$2:C949=J950,$G$2:G949=G950),ROWS(FILTER($Q$2:Q949,$C$2:C949=J950,$G$2:G949=G950)),1)),1500)"),0.0)</f>
        <v>0</v>
      </c>
      <c r="N950" s="3">
        <f>IFERROR(__xludf.DUMMYFUNCTION("IFERROR(INDEX(FILTER($Q$2:Q949,$C$2:C949=C950,$G$2:G949=G950),ROWS(FILTER($Q$2:Q949,$C$2:C949=C950,$G$2:G949=G950)),1),1500)"),-720.0)</f>
        <v>-720</v>
      </c>
      <c r="O950" s="3">
        <f t="shared" si="3"/>
        <v>0</v>
      </c>
      <c r="P950" s="9">
        <f t="shared" si="1"/>
        <v>0</v>
      </c>
      <c r="Q950" s="5">
        <f t="shared" si="2"/>
        <v>-720</v>
      </c>
    </row>
    <row r="951">
      <c r="H951" s="3" t="str">
        <f>IFERROR(__xludf.DUMMYFUNCTION("IFERROR(TRIM(INDEX(SPLIT(E951,"" + ""),1)),"""")"),"")</f>
        <v/>
      </c>
      <c r="I951" s="3" t="str">
        <f>IFERROR(__xludf.DUMMYFUNCTION("IFERROR(TRIM(INDEX(SPLIT(E951,"" + ""),2)),"""")"),"")</f>
        <v/>
      </c>
      <c r="J951" s="5" t="str">
        <f>IFERROR(__xludf.DUMMYFUNCTION("IFERROR(TRIM(INDEX(SPLIT(E951,"" + ""),3)),"""")"),"")</f>
        <v/>
      </c>
      <c r="K951" s="3">
        <f>IFERROR(__xludf.DUMMYFUNCTION("IFERROR(IF(H951="""",0,INDEX(FILTER($Q$2:Q950,$C$2:C950=H951,$G$2:G950=G951),ROWS(FILTER($Q$2:Q950,$C$2:C950=H951,$G$2:G950=G951)),1)),1500)"),0.0)</f>
        <v>0</v>
      </c>
      <c r="L951" s="3">
        <f>IFERROR(__xludf.DUMMYFUNCTION("IFERROR(IF(I951="""",0,INDEX(FILTER($Q$2:Q950,$C$2:C950=I951,$G$2:G950=G951),ROWS(FILTER($Q$2:Q950,$C$2:C950=I951,$G$2:G950=G951)),1)),1500)"),0.0)</f>
        <v>0</v>
      </c>
      <c r="M951" s="3">
        <f>IFERROR(__xludf.DUMMYFUNCTION("IFERROR(IF(J951="""",0,INDEX(FILTER($Q$2:Q950,$C$2:C950=J951,$G$2:G950=G951),ROWS(FILTER($Q$2:Q950,$C$2:C950=J951,$G$2:G950=G951)),1)),1500)"),0.0)</f>
        <v>0</v>
      </c>
      <c r="N951" s="3">
        <f>IFERROR(__xludf.DUMMYFUNCTION("IFERROR(INDEX(FILTER($Q$2:Q950,$C$2:C950=C951,$G$2:G950=G951),ROWS(FILTER($Q$2:Q950,$C$2:C950=C951,$G$2:G950=G951)),1),1500)"),-720.0)</f>
        <v>-720</v>
      </c>
      <c r="O951" s="3">
        <f t="shared" si="3"/>
        <v>0</v>
      </c>
      <c r="P951" s="9">
        <f t="shared" si="1"/>
        <v>0</v>
      </c>
      <c r="Q951" s="5">
        <f t="shared" si="2"/>
        <v>-720</v>
      </c>
    </row>
    <row r="952">
      <c r="H952" s="3" t="str">
        <f>IFERROR(__xludf.DUMMYFUNCTION("IFERROR(TRIM(INDEX(SPLIT(E952,"" + ""),1)),"""")"),"")</f>
        <v/>
      </c>
      <c r="I952" s="3" t="str">
        <f>IFERROR(__xludf.DUMMYFUNCTION("IFERROR(TRIM(INDEX(SPLIT(E952,"" + ""),2)),"""")"),"")</f>
        <v/>
      </c>
      <c r="J952" s="5" t="str">
        <f>IFERROR(__xludf.DUMMYFUNCTION("IFERROR(TRIM(INDEX(SPLIT(E952,"" + ""),3)),"""")"),"")</f>
        <v/>
      </c>
      <c r="K952" s="3">
        <f>IFERROR(__xludf.DUMMYFUNCTION("IFERROR(IF(H952="""",0,INDEX(FILTER($Q$2:Q951,$C$2:C951=H952,$G$2:G951=G952),ROWS(FILTER($Q$2:Q951,$C$2:C951=H952,$G$2:G951=G952)),1)),1500)"),0.0)</f>
        <v>0</v>
      </c>
      <c r="L952" s="3">
        <f>IFERROR(__xludf.DUMMYFUNCTION("IFERROR(IF(I952="""",0,INDEX(FILTER($Q$2:Q951,$C$2:C951=I952,$G$2:G951=G952),ROWS(FILTER($Q$2:Q951,$C$2:C951=I952,$G$2:G951=G952)),1)),1500)"),0.0)</f>
        <v>0</v>
      </c>
      <c r="M952" s="3">
        <f>IFERROR(__xludf.DUMMYFUNCTION("IFERROR(IF(J952="""",0,INDEX(FILTER($Q$2:Q951,$C$2:C951=J952,$G$2:G951=G952),ROWS(FILTER($Q$2:Q951,$C$2:C951=J952,$G$2:G951=G952)),1)),1500)"),0.0)</f>
        <v>0</v>
      </c>
      <c r="N952" s="3">
        <f>IFERROR(__xludf.DUMMYFUNCTION("IFERROR(INDEX(FILTER($Q$2:Q951,$C$2:C951=C952,$G$2:G951=G952),ROWS(FILTER($Q$2:Q951,$C$2:C951=C952,$G$2:G951=G952)),1),1500)"),-720.0)</f>
        <v>-720</v>
      </c>
      <c r="O952" s="3">
        <f t="shared" si="3"/>
        <v>0</v>
      </c>
      <c r="P952" s="9">
        <f t="shared" si="1"/>
        <v>0</v>
      </c>
      <c r="Q952" s="5">
        <f t="shared" si="2"/>
        <v>-720</v>
      </c>
    </row>
    <row r="953">
      <c r="H953" s="3" t="str">
        <f>IFERROR(__xludf.DUMMYFUNCTION("IFERROR(TRIM(INDEX(SPLIT(E953,"" + ""),1)),"""")"),"")</f>
        <v/>
      </c>
      <c r="I953" s="3" t="str">
        <f>IFERROR(__xludf.DUMMYFUNCTION("IFERROR(TRIM(INDEX(SPLIT(E953,"" + ""),2)),"""")"),"")</f>
        <v/>
      </c>
      <c r="J953" s="5" t="str">
        <f>IFERROR(__xludf.DUMMYFUNCTION("IFERROR(TRIM(INDEX(SPLIT(E953,"" + ""),3)),"""")"),"")</f>
        <v/>
      </c>
      <c r="K953" s="3">
        <f>IFERROR(__xludf.DUMMYFUNCTION("IFERROR(IF(H953="""",0,INDEX(FILTER($Q$2:Q952,$C$2:C952=H953,$G$2:G952=G953),ROWS(FILTER($Q$2:Q952,$C$2:C952=H953,$G$2:G952=G953)),1)),1500)"),0.0)</f>
        <v>0</v>
      </c>
      <c r="L953" s="3">
        <f>IFERROR(__xludf.DUMMYFUNCTION("IFERROR(IF(I953="""",0,INDEX(FILTER($Q$2:Q952,$C$2:C952=I953,$G$2:G952=G953),ROWS(FILTER($Q$2:Q952,$C$2:C952=I953,$G$2:G952=G953)),1)),1500)"),0.0)</f>
        <v>0</v>
      </c>
      <c r="M953" s="3">
        <f>IFERROR(__xludf.DUMMYFUNCTION("IFERROR(IF(J953="""",0,INDEX(FILTER($Q$2:Q952,$C$2:C952=J953,$G$2:G952=G953),ROWS(FILTER($Q$2:Q952,$C$2:C952=J953,$G$2:G952=G953)),1)),1500)"),0.0)</f>
        <v>0</v>
      </c>
      <c r="N953" s="3">
        <f>IFERROR(__xludf.DUMMYFUNCTION("IFERROR(INDEX(FILTER($Q$2:Q952,$C$2:C952=C953,$G$2:G952=G953),ROWS(FILTER($Q$2:Q952,$C$2:C952=C953,$G$2:G952=G953)),1),1500)"),-720.0)</f>
        <v>-720</v>
      </c>
      <c r="O953" s="3">
        <f t="shared" si="3"/>
        <v>0</v>
      </c>
      <c r="P953" s="9">
        <f t="shared" si="1"/>
        <v>0</v>
      </c>
      <c r="Q953" s="5">
        <f t="shared" si="2"/>
        <v>-720</v>
      </c>
    </row>
    <row r="954">
      <c r="H954" s="3" t="str">
        <f>IFERROR(__xludf.DUMMYFUNCTION("IFERROR(TRIM(INDEX(SPLIT(E954,"" + ""),1)),"""")"),"")</f>
        <v/>
      </c>
      <c r="I954" s="3" t="str">
        <f>IFERROR(__xludf.DUMMYFUNCTION("IFERROR(TRIM(INDEX(SPLIT(E954,"" + ""),2)),"""")"),"")</f>
        <v/>
      </c>
      <c r="J954" s="5" t="str">
        <f>IFERROR(__xludf.DUMMYFUNCTION("IFERROR(TRIM(INDEX(SPLIT(E954,"" + ""),3)),"""")"),"")</f>
        <v/>
      </c>
      <c r="K954" s="3">
        <f>IFERROR(__xludf.DUMMYFUNCTION("IFERROR(IF(H954="""",0,INDEX(FILTER($Q$2:Q953,$C$2:C953=H954,$G$2:G953=G954),ROWS(FILTER($Q$2:Q953,$C$2:C953=H954,$G$2:G953=G954)),1)),1500)"),0.0)</f>
        <v>0</v>
      </c>
      <c r="L954" s="3">
        <f>IFERROR(__xludf.DUMMYFUNCTION("IFERROR(IF(I954="""",0,INDEX(FILTER($Q$2:Q953,$C$2:C953=I954,$G$2:G953=G954),ROWS(FILTER($Q$2:Q953,$C$2:C953=I954,$G$2:G953=G954)),1)),1500)"),0.0)</f>
        <v>0</v>
      </c>
      <c r="M954" s="3">
        <f>IFERROR(__xludf.DUMMYFUNCTION("IFERROR(IF(J954="""",0,INDEX(FILTER($Q$2:Q953,$C$2:C953=J954,$G$2:G953=G954),ROWS(FILTER($Q$2:Q953,$C$2:C953=J954,$G$2:G953=G954)),1)),1500)"),0.0)</f>
        <v>0</v>
      </c>
      <c r="N954" s="3">
        <f>IFERROR(__xludf.DUMMYFUNCTION("IFERROR(INDEX(FILTER($Q$2:Q953,$C$2:C953=C954,$G$2:G953=G954),ROWS(FILTER($Q$2:Q953,$C$2:C953=C954,$G$2:G953=G954)),1),1500)"),-720.0)</f>
        <v>-720</v>
      </c>
      <c r="O954" s="3">
        <f t="shared" si="3"/>
        <v>0</v>
      </c>
      <c r="P954" s="9">
        <f t="shared" si="1"/>
        <v>0</v>
      </c>
      <c r="Q954" s="5">
        <f t="shared" si="2"/>
        <v>-720</v>
      </c>
    </row>
    <row r="955">
      <c r="H955" s="3" t="str">
        <f>IFERROR(__xludf.DUMMYFUNCTION("IFERROR(TRIM(INDEX(SPLIT(E955,"" + ""),1)),"""")"),"")</f>
        <v/>
      </c>
      <c r="I955" s="3" t="str">
        <f>IFERROR(__xludf.DUMMYFUNCTION("IFERROR(TRIM(INDEX(SPLIT(E955,"" + ""),2)),"""")"),"")</f>
        <v/>
      </c>
      <c r="J955" s="5" t="str">
        <f>IFERROR(__xludf.DUMMYFUNCTION("IFERROR(TRIM(INDEX(SPLIT(E955,"" + ""),3)),"""")"),"")</f>
        <v/>
      </c>
      <c r="K955" s="3">
        <f>IFERROR(__xludf.DUMMYFUNCTION("IFERROR(IF(H955="""",0,INDEX(FILTER($Q$2:Q954,$C$2:C954=H955,$G$2:G954=G955),ROWS(FILTER($Q$2:Q954,$C$2:C954=H955,$G$2:G954=G955)),1)),1500)"),0.0)</f>
        <v>0</v>
      </c>
      <c r="L955" s="3">
        <f>IFERROR(__xludf.DUMMYFUNCTION("IFERROR(IF(I955="""",0,INDEX(FILTER($Q$2:Q954,$C$2:C954=I955,$G$2:G954=G955),ROWS(FILTER($Q$2:Q954,$C$2:C954=I955,$G$2:G954=G955)),1)),1500)"),0.0)</f>
        <v>0</v>
      </c>
      <c r="M955" s="3">
        <f>IFERROR(__xludf.DUMMYFUNCTION("IFERROR(IF(J955="""",0,INDEX(FILTER($Q$2:Q954,$C$2:C954=J955,$G$2:G954=G955),ROWS(FILTER($Q$2:Q954,$C$2:C954=J955,$G$2:G954=G955)),1)),1500)"),0.0)</f>
        <v>0</v>
      </c>
      <c r="N955" s="3">
        <f>IFERROR(__xludf.DUMMYFUNCTION("IFERROR(INDEX(FILTER($Q$2:Q954,$C$2:C954=C955,$G$2:G954=G955),ROWS(FILTER($Q$2:Q954,$C$2:C954=C955,$G$2:G954=G955)),1),1500)"),-720.0)</f>
        <v>-720</v>
      </c>
      <c r="O955" s="3">
        <f t="shared" si="3"/>
        <v>0</v>
      </c>
      <c r="P955" s="9">
        <f t="shared" si="1"/>
        <v>0</v>
      </c>
      <c r="Q955" s="5">
        <f t="shared" si="2"/>
        <v>-720</v>
      </c>
    </row>
    <row r="956">
      <c r="H956" s="3" t="str">
        <f>IFERROR(__xludf.DUMMYFUNCTION("IFERROR(TRIM(INDEX(SPLIT(E956,"" + ""),1)),"""")"),"")</f>
        <v/>
      </c>
      <c r="I956" s="3" t="str">
        <f>IFERROR(__xludf.DUMMYFUNCTION("IFERROR(TRIM(INDEX(SPLIT(E956,"" + ""),2)),"""")"),"")</f>
        <v/>
      </c>
      <c r="J956" s="5" t="str">
        <f>IFERROR(__xludf.DUMMYFUNCTION("IFERROR(TRIM(INDEX(SPLIT(E956,"" + ""),3)),"""")"),"")</f>
        <v/>
      </c>
      <c r="K956" s="3">
        <f>IFERROR(__xludf.DUMMYFUNCTION("IFERROR(IF(H956="""",0,INDEX(FILTER($Q$2:Q955,$C$2:C955=H956,$G$2:G955=G956),ROWS(FILTER($Q$2:Q955,$C$2:C955=H956,$G$2:G955=G956)),1)),1500)"),0.0)</f>
        <v>0</v>
      </c>
      <c r="L956" s="3">
        <f>IFERROR(__xludf.DUMMYFUNCTION("IFERROR(IF(I956="""",0,INDEX(FILTER($Q$2:Q955,$C$2:C955=I956,$G$2:G955=G956),ROWS(FILTER($Q$2:Q955,$C$2:C955=I956,$G$2:G955=G956)),1)),1500)"),0.0)</f>
        <v>0</v>
      </c>
      <c r="M956" s="3">
        <f>IFERROR(__xludf.DUMMYFUNCTION("IFERROR(IF(J956="""",0,INDEX(FILTER($Q$2:Q955,$C$2:C955=J956,$G$2:G955=G956),ROWS(FILTER($Q$2:Q955,$C$2:C955=J956,$G$2:G955=G956)),1)),1500)"),0.0)</f>
        <v>0</v>
      </c>
      <c r="N956" s="3">
        <f>IFERROR(__xludf.DUMMYFUNCTION("IFERROR(INDEX(FILTER($Q$2:Q955,$C$2:C955=C956,$G$2:G955=G956),ROWS(FILTER($Q$2:Q955,$C$2:C955=C956,$G$2:G955=G956)),1),1500)"),-720.0)</f>
        <v>-720</v>
      </c>
      <c r="O956" s="3">
        <f t="shared" si="3"/>
        <v>0</v>
      </c>
      <c r="P956" s="9">
        <f t="shared" si="1"/>
        <v>0</v>
      </c>
      <c r="Q956" s="5">
        <f t="shared" si="2"/>
        <v>-720</v>
      </c>
    </row>
    <row r="957">
      <c r="H957" s="3" t="str">
        <f>IFERROR(__xludf.DUMMYFUNCTION("IFERROR(TRIM(INDEX(SPLIT(E957,"" + ""),1)),"""")"),"")</f>
        <v/>
      </c>
      <c r="I957" s="3" t="str">
        <f>IFERROR(__xludf.DUMMYFUNCTION("IFERROR(TRIM(INDEX(SPLIT(E957,"" + ""),2)),"""")"),"")</f>
        <v/>
      </c>
      <c r="J957" s="5" t="str">
        <f>IFERROR(__xludf.DUMMYFUNCTION("IFERROR(TRIM(INDEX(SPLIT(E957,"" + ""),3)),"""")"),"")</f>
        <v/>
      </c>
      <c r="K957" s="3">
        <f>IFERROR(__xludf.DUMMYFUNCTION("IFERROR(IF(H957="""",0,INDEX(FILTER($Q$2:Q956,$C$2:C956=H957,$G$2:G956=G957),ROWS(FILTER($Q$2:Q956,$C$2:C956=H957,$G$2:G956=G957)),1)),1500)"),0.0)</f>
        <v>0</v>
      </c>
      <c r="L957" s="3">
        <f>IFERROR(__xludf.DUMMYFUNCTION("IFERROR(IF(I957="""",0,INDEX(FILTER($Q$2:Q956,$C$2:C956=I957,$G$2:G956=G957),ROWS(FILTER($Q$2:Q956,$C$2:C956=I957,$G$2:G956=G957)),1)),1500)"),0.0)</f>
        <v>0</v>
      </c>
      <c r="M957" s="3">
        <f>IFERROR(__xludf.DUMMYFUNCTION("IFERROR(IF(J957="""",0,INDEX(FILTER($Q$2:Q956,$C$2:C956=J957,$G$2:G956=G957),ROWS(FILTER($Q$2:Q956,$C$2:C956=J957,$G$2:G956=G957)),1)),1500)"),0.0)</f>
        <v>0</v>
      </c>
      <c r="N957" s="3">
        <f>IFERROR(__xludf.DUMMYFUNCTION("IFERROR(INDEX(FILTER($Q$2:Q956,$C$2:C956=C957,$G$2:G956=G957),ROWS(FILTER($Q$2:Q956,$C$2:C956=C957,$G$2:G956=G957)),1),1500)"),-720.0)</f>
        <v>-720</v>
      </c>
      <c r="O957" s="3">
        <f t="shared" si="3"/>
        <v>0</v>
      </c>
      <c r="P957" s="9">
        <f t="shared" si="1"/>
        <v>0</v>
      </c>
      <c r="Q957" s="5">
        <f t="shared" si="2"/>
        <v>-720</v>
      </c>
    </row>
    <row r="958">
      <c r="H958" s="3" t="str">
        <f>IFERROR(__xludf.DUMMYFUNCTION("IFERROR(TRIM(INDEX(SPLIT(E958,"" + ""),1)),"""")"),"")</f>
        <v/>
      </c>
      <c r="I958" s="3" t="str">
        <f>IFERROR(__xludf.DUMMYFUNCTION("IFERROR(TRIM(INDEX(SPLIT(E958,"" + ""),2)),"""")"),"")</f>
        <v/>
      </c>
      <c r="J958" s="5" t="str">
        <f>IFERROR(__xludf.DUMMYFUNCTION("IFERROR(TRIM(INDEX(SPLIT(E958,"" + ""),3)),"""")"),"")</f>
        <v/>
      </c>
      <c r="K958" s="3">
        <f>IFERROR(__xludf.DUMMYFUNCTION("IFERROR(IF(H958="""",0,INDEX(FILTER($Q$2:Q957,$C$2:C957=H958,$G$2:G957=G958),ROWS(FILTER($Q$2:Q957,$C$2:C957=H958,$G$2:G957=G958)),1)),1500)"),0.0)</f>
        <v>0</v>
      </c>
      <c r="L958" s="3">
        <f>IFERROR(__xludf.DUMMYFUNCTION("IFERROR(IF(I958="""",0,INDEX(FILTER($Q$2:Q957,$C$2:C957=I958,$G$2:G957=G958),ROWS(FILTER($Q$2:Q957,$C$2:C957=I958,$G$2:G957=G958)),1)),1500)"),0.0)</f>
        <v>0</v>
      </c>
      <c r="M958" s="3">
        <f>IFERROR(__xludf.DUMMYFUNCTION("IFERROR(IF(J958="""",0,INDEX(FILTER($Q$2:Q957,$C$2:C957=J958,$G$2:G957=G958),ROWS(FILTER($Q$2:Q957,$C$2:C957=J958,$G$2:G957=G958)),1)),1500)"),0.0)</f>
        <v>0</v>
      </c>
      <c r="N958" s="3">
        <f>IFERROR(__xludf.DUMMYFUNCTION("IFERROR(INDEX(FILTER($Q$2:Q957,$C$2:C957=C958,$G$2:G957=G958),ROWS(FILTER($Q$2:Q957,$C$2:C957=C958,$G$2:G957=G958)),1),1500)"),-720.0)</f>
        <v>-720</v>
      </c>
      <c r="O958" s="3">
        <f t="shared" si="3"/>
        <v>0</v>
      </c>
      <c r="P958" s="9">
        <f t="shared" si="1"/>
        <v>0</v>
      </c>
      <c r="Q958" s="5">
        <f t="shared" si="2"/>
        <v>-720</v>
      </c>
    </row>
    <row r="959">
      <c r="H959" s="3" t="str">
        <f>IFERROR(__xludf.DUMMYFUNCTION("IFERROR(TRIM(INDEX(SPLIT(E959,"" + ""),1)),"""")"),"")</f>
        <v/>
      </c>
      <c r="I959" s="3" t="str">
        <f>IFERROR(__xludf.DUMMYFUNCTION("IFERROR(TRIM(INDEX(SPLIT(E959,"" + ""),2)),"""")"),"")</f>
        <v/>
      </c>
      <c r="J959" s="5" t="str">
        <f>IFERROR(__xludf.DUMMYFUNCTION("IFERROR(TRIM(INDEX(SPLIT(E959,"" + ""),3)),"""")"),"")</f>
        <v/>
      </c>
      <c r="K959" s="3">
        <f>IFERROR(__xludf.DUMMYFUNCTION("IFERROR(IF(H959="""",0,INDEX(FILTER($Q$2:Q958,$C$2:C958=H959,$G$2:G958=G959),ROWS(FILTER($Q$2:Q958,$C$2:C958=H959,$G$2:G958=G959)),1)),1500)"),0.0)</f>
        <v>0</v>
      </c>
      <c r="L959" s="3">
        <f>IFERROR(__xludf.DUMMYFUNCTION("IFERROR(IF(I959="""",0,INDEX(FILTER($Q$2:Q958,$C$2:C958=I959,$G$2:G958=G959),ROWS(FILTER($Q$2:Q958,$C$2:C958=I959,$G$2:G958=G959)),1)),1500)"),0.0)</f>
        <v>0</v>
      </c>
      <c r="M959" s="3">
        <f>IFERROR(__xludf.DUMMYFUNCTION("IFERROR(IF(J959="""",0,INDEX(FILTER($Q$2:Q958,$C$2:C958=J959,$G$2:G958=G959),ROWS(FILTER($Q$2:Q958,$C$2:C958=J959,$G$2:G958=G959)),1)),1500)"),0.0)</f>
        <v>0</v>
      </c>
      <c r="N959" s="3">
        <f>IFERROR(__xludf.DUMMYFUNCTION("IFERROR(INDEX(FILTER($Q$2:Q958,$C$2:C958=C959,$G$2:G958=G959),ROWS(FILTER($Q$2:Q958,$C$2:C958=C959,$G$2:G958=G959)),1),1500)"),-720.0)</f>
        <v>-720</v>
      </c>
      <c r="O959" s="3">
        <f t="shared" si="3"/>
        <v>0</v>
      </c>
      <c r="P959" s="9">
        <f t="shared" si="1"/>
        <v>0</v>
      </c>
      <c r="Q959" s="5">
        <f t="shared" si="2"/>
        <v>-720</v>
      </c>
    </row>
    <row r="960">
      <c r="H960" s="3" t="str">
        <f>IFERROR(__xludf.DUMMYFUNCTION("IFERROR(TRIM(INDEX(SPLIT(E960,"" + ""),1)),"""")"),"")</f>
        <v/>
      </c>
      <c r="I960" s="3" t="str">
        <f>IFERROR(__xludf.DUMMYFUNCTION("IFERROR(TRIM(INDEX(SPLIT(E960,"" + ""),2)),"""")"),"")</f>
        <v/>
      </c>
      <c r="J960" s="5" t="str">
        <f>IFERROR(__xludf.DUMMYFUNCTION("IFERROR(TRIM(INDEX(SPLIT(E960,"" + ""),3)),"""")"),"")</f>
        <v/>
      </c>
      <c r="K960" s="3">
        <f>IFERROR(__xludf.DUMMYFUNCTION("IFERROR(IF(H960="""",0,INDEX(FILTER($Q$2:Q959,$C$2:C959=H960,$G$2:G959=G960),ROWS(FILTER($Q$2:Q959,$C$2:C959=H960,$G$2:G959=G960)),1)),1500)"),0.0)</f>
        <v>0</v>
      </c>
      <c r="L960" s="3">
        <f>IFERROR(__xludf.DUMMYFUNCTION("IFERROR(IF(I960="""",0,INDEX(FILTER($Q$2:Q959,$C$2:C959=I960,$G$2:G959=G960),ROWS(FILTER($Q$2:Q959,$C$2:C959=I960,$G$2:G959=G960)),1)),1500)"),0.0)</f>
        <v>0</v>
      </c>
      <c r="M960" s="3">
        <f>IFERROR(__xludf.DUMMYFUNCTION("IFERROR(IF(J960="""",0,INDEX(FILTER($Q$2:Q959,$C$2:C959=J960,$G$2:G959=G960),ROWS(FILTER($Q$2:Q959,$C$2:C959=J960,$G$2:G959=G960)),1)),1500)"),0.0)</f>
        <v>0</v>
      </c>
      <c r="N960" s="3">
        <f>IFERROR(__xludf.DUMMYFUNCTION("IFERROR(INDEX(FILTER($Q$2:Q959,$C$2:C959=C960,$G$2:G959=G960),ROWS(FILTER($Q$2:Q959,$C$2:C959=C960,$G$2:G959=G960)),1),1500)"),-720.0)</f>
        <v>-720</v>
      </c>
      <c r="O960" s="3">
        <f t="shared" si="3"/>
        <v>0</v>
      </c>
      <c r="P960" s="9">
        <f t="shared" si="1"/>
        <v>0</v>
      </c>
      <c r="Q960" s="5">
        <f t="shared" si="2"/>
        <v>-720</v>
      </c>
    </row>
    <row r="961">
      <c r="H961" s="3" t="str">
        <f>IFERROR(__xludf.DUMMYFUNCTION("IFERROR(TRIM(INDEX(SPLIT(E961,"" + ""),1)),"""")"),"")</f>
        <v/>
      </c>
      <c r="I961" s="3" t="str">
        <f>IFERROR(__xludf.DUMMYFUNCTION("IFERROR(TRIM(INDEX(SPLIT(E961,"" + ""),2)),"""")"),"")</f>
        <v/>
      </c>
      <c r="J961" s="5" t="str">
        <f>IFERROR(__xludf.DUMMYFUNCTION("IFERROR(TRIM(INDEX(SPLIT(E961,"" + ""),3)),"""")"),"")</f>
        <v/>
      </c>
      <c r="K961" s="3">
        <f>IFERROR(__xludf.DUMMYFUNCTION("IFERROR(IF(H961="""",0,INDEX(FILTER($Q$2:Q960,$C$2:C960=H961,$G$2:G960=G961),ROWS(FILTER($Q$2:Q960,$C$2:C960=H961,$G$2:G960=G961)),1)),1500)"),0.0)</f>
        <v>0</v>
      </c>
      <c r="L961" s="3">
        <f>IFERROR(__xludf.DUMMYFUNCTION("IFERROR(IF(I961="""",0,INDEX(FILTER($Q$2:Q960,$C$2:C960=I961,$G$2:G960=G961),ROWS(FILTER($Q$2:Q960,$C$2:C960=I961,$G$2:G960=G961)),1)),1500)"),0.0)</f>
        <v>0</v>
      </c>
      <c r="M961" s="3">
        <f>IFERROR(__xludf.DUMMYFUNCTION("IFERROR(IF(J961="""",0,INDEX(FILTER($Q$2:Q960,$C$2:C960=J961,$G$2:G960=G961),ROWS(FILTER($Q$2:Q960,$C$2:C960=J961,$G$2:G960=G961)),1)),1500)"),0.0)</f>
        <v>0</v>
      </c>
      <c r="N961" s="3">
        <f>IFERROR(__xludf.DUMMYFUNCTION("IFERROR(INDEX(FILTER($Q$2:Q960,$C$2:C960=C961,$G$2:G960=G961),ROWS(FILTER($Q$2:Q960,$C$2:C960=C961,$G$2:G960=G961)),1),1500)"),-720.0)</f>
        <v>-720</v>
      </c>
      <c r="O961" s="3">
        <f t="shared" si="3"/>
        <v>0</v>
      </c>
      <c r="P961" s="9">
        <f t="shared" si="1"/>
        <v>0</v>
      </c>
      <c r="Q961" s="5">
        <f t="shared" si="2"/>
        <v>-720</v>
      </c>
    </row>
    <row r="962">
      <c r="H962" s="3" t="str">
        <f>IFERROR(__xludf.DUMMYFUNCTION("IFERROR(TRIM(INDEX(SPLIT(E962,"" + ""),1)),"""")"),"")</f>
        <v/>
      </c>
      <c r="I962" s="3" t="str">
        <f>IFERROR(__xludf.DUMMYFUNCTION("IFERROR(TRIM(INDEX(SPLIT(E962,"" + ""),2)),"""")"),"")</f>
        <v/>
      </c>
      <c r="J962" s="5" t="str">
        <f>IFERROR(__xludf.DUMMYFUNCTION("IFERROR(TRIM(INDEX(SPLIT(E962,"" + ""),3)),"""")"),"")</f>
        <v/>
      </c>
      <c r="K962" s="3">
        <f>IFERROR(__xludf.DUMMYFUNCTION("IFERROR(IF(H962="""",0,INDEX(FILTER($Q$2:Q961,$C$2:C961=H962,$G$2:G961=G962),ROWS(FILTER($Q$2:Q961,$C$2:C961=H962,$G$2:G961=G962)),1)),1500)"),0.0)</f>
        <v>0</v>
      </c>
      <c r="L962" s="3">
        <f>IFERROR(__xludf.DUMMYFUNCTION("IFERROR(IF(I962="""",0,INDEX(FILTER($Q$2:Q961,$C$2:C961=I962,$G$2:G961=G962),ROWS(FILTER($Q$2:Q961,$C$2:C961=I962,$G$2:G961=G962)),1)),1500)"),0.0)</f>
        <v>0</v>
      </c>
      <c r="M962" s="3">
        <f>IFERROR(__xludf.DUMMYFUNCTION("IFERROR(IF(J962="""",0,INDEX(FILTER($Q$2:Q961,$C$2:C961=J962,$G$2:G961=G962),ROWS(FILTER($Q$2:Q961,$C$2:C961=J962,$G$2:G961=G962)),1)),1500)"),0.0)</f>
        <v>0</v>
      </c>
      <c r="N962" s="3">
        <f>IFERROR(__xludf.DUMMYFUNCTION("IFERROR(INDEX(FILTER($Q$2:Q961,$C$2:C961=C962,$G$2:G961=G962),ROWS(FILTER($Q$2:Q961,$C$2:C961=C962,$G$2:G961=G962)),1),1500)"),-720.0)</f>
        <v>-720</v>
      </c>
      <c r="O962" s="3">
        <f t="shared" si="3"/>
        <v>0</v>
      </c>
      <c r="P962" s="9">
        <f t="shared" si="1"/>
        <v>0</v>
      </c>
      <c r="Q962" s="5">
        <f t="shared" si="2"/>
        <v>-720</v>
      </c>
    </row>
    <row r="963">
      <c r="H963" s="3" t="str">
        <f>IFERROR(__xludf.DUMMYFUNCTION("IFERROR(TRIM(INDEX(SPLIT(E963,"" + ""),1)),"""")"),"")</f>
        <v/>
      </c>
      <c r="I963" s="3" t="str">
        <f>IFERROR(__xludf.DUMMYFUNCTION("IFERROR(TRIM(INDEX(SPLIT(E963,"" + ""),2)),"""")"),"")</f>
        <v/>
      </c>
      <c r="J963" s="5" t="str">
        <f>IFERROR(__xludf.DUMMYFUNCTION("IFERROR(TRIM(INDEX(SPLIT(E963,"" + ""),3)),"""")"),"")</f>
        <v/>
      </c>
      <c r="K963" s="3">
        <f>IFERROR(__xludf.DUMMYFUNCTION("IFERROR(IF(H963="""",0,INDEX(FILTER($Q$2:Q962,$C$2:C962=H963,$G$2:G962=G963),ROWS(FILTER($Q$2:Q962,$C$2:C962=H963,$G$2:G962=G963)),1)),1500)"),0.0)</f>
        <v>0</v>
      </c>
      <c r="L963" s="3">
        <f>IFERROR(__xludf.DUMMYFUNCTION("IFERROR(IF(I963="""",0,INDEX(FILTER($Q$2:Q962,$C$2:C962=I963,$G$2:G962=G963),ROWS(FILTER($Q$2:Q962,$C$2:C962=I963,$G$2:G962=G963)),1)),1500)"),0.0)</f>
        <v>0</v>
      </c>
      <c r="M963" s="3">
        <f>IFERROR(__xludf.DUMMYFUNCTION("IFERROR(IF(J963="""",0,INDEX(FILTER($Q$2:Q962,$C$2:C962=J963,$G$2:G962=G963),ROWS(FILTER($Q$2:Q962,$C$2:C962=J963,$G$2:G962=G963)),1)),1500)"),0.0)</f>
        <v>0</v>
      </c>
      <c r="N963" s="3">
        <f>IFERROR(__xludf.DUMMYFUNCTION("IFERROR(INDEX(FILTER($Q$2:Q962,$C$2:C962=C963,$G$2:G962=G963),ROWS(FILTER($Q$2:Q962,$C$2:C962=C963,$G$2:G962=G963)),1),1500)"),-720.0)</f>
        <v>-720</v>
      </c>
      <c r="O963" s="3">
        <f t="shared" si="3"/>
        <v>0</v>
      </c>
      <c r="P963" s="9">
        <f t="shared" si="1"/>
        <v>0</v>
      </c>
      <c r="Q963" s="5">
        <f t="shared" si="2"/>
        <v>-720</v>
      </c>
    </row>
    <row r="964">
      <c r="H964" s="3" t="str">
        <f>IFERROR(__xludf.DUMMYFUNCTION("IFERROR(TRIM(INDEX(SPLIT(E964,"" + ""),1)),"""")"),"")</f>
        <v/>
      </c>
      <c r="I964" s="3" t="str">
        <f>IFERROR(__xludf.DUMMYFUNCTION("IFERROR(TRIM(INDEX(SPLIT(E964,"" + ""),2)),"""")"),"")</f>
        <v/>
      </c>
      <c r="J964" s="5" t="str">
        <f>IFERROR(__xludf.DUMMYFUNCTION("IFERROR(TRIM(INDEX(SPLIT(E964,"" + ""),3)),"""")"),"")</f>
        <v/>
      </c>
      <c r="K964" s="3">
        <f>IFERROR(__xludf.DUMMYFUNCTION("IFERROR(IF(H964="""",0,INDEX(FILTER($Q$2:Q963,$C$2:C963=H964,$G$2:G963=G964),ROWS(FILTER($Q$2:Q963,$C$2:C963=H964,$G$2:G963=G964)),1)),1500)"),0.0)</f>
        <v>0</v>
      </c>
      <c r="L964" s="3">
        <f>IFERROR(__xludf.DUMMYFUNCTION("IFERROR(IF(I964="""",0,INDEX(FILTER($Q$2:Q963,$C$2:C963=I964,$G$2:G963=G964),ROWS(FILTER($Q$2:Q963,$C$2:C963=I964,$G$2:G963=G964)),1)),1500)"),0.0)</f>
        <v>0</v>
      </c>
      <c r="M964" s="3">
        <f>IFERROR(__xludf.DUMMYFUNCTION("IFERROR(IF(J964="""",0,INDEX(FILTER($Q$2:Q963,$C$2:C963=J964,$G$2:G963=G964),ROWS(FILTER($Q$2:Q963,$C$2:C963=J964,$G$2:G963=G964)),1)),1500)"),0.0)</f>
        <v>0</v>
      </c>
      <c r="N964" s="3">
        <f>IFERROR(__xludf.DUMMYFUNCTION("IFERROR(INDEX(FILTER($Q$2:Q963,$C$2:C963=C964,$G$2:G963=G964),ROWS(FILTER($Q$2:Q963,$C$2:C963=C964,$G$2:G963=G964)),1),1500)"),-720.0)</f>
        <v>-720</v>
      </c>
      <c r="O964" s="3">
        <f t="shared" si="3"/>
        <v>0</v>
      </c>
      <c r="P964" s="9">
        <f t="shared" si="1"/>
        <v>0</v>
      </c>
      <c r="Q964" s="5">
        <f t="shared" si="2"/>
        <v>-720</v>
      </c>
    </row>
    <row r="965">
      <c r="H965" s="3" t="str">
        <f>IFERROR(__xludf.DUMMYFUNCTION("IFERROR(TRIM(INDEX(SPLIT(E965,"" + ""),1)),"""")"),"")</f>
        <v/>
      </c>
      <c r="I965" s="3" t="str">
        <f>IFERROR(__xludf.DUMMYFUNCTION("IFERROR(TRIM(INDEX(SPLIT(E965,"" + ""),2)),"""")"),"")</f>
        <v/>
      </c>
      <c r="J965" s="5" t="str">
        <f>IFERROR(__xludf.DUMMYFUNCTION("IFERROR(TRIM(INDEX(SPLIT(E965,"" + ""),3)),"""")"),"")</f>
        <v/>
      </c>
      <c r="K965" s="3">
        <f>IFERROR(__xludf.DUMMYFUNCTION("IFERROR(IF(H965="""",0,INDEX(FILTER($Q$2:Q964,$C$2:C964=H965,$G$2:G964=G965),ROWS(FILTER($Q$2:Q964,$C$2:C964=H965,$G$2:G964=G965)),1)),1500)"),0.0)</f>
        <v>0</v>
      </c>
      <c r="L965" s="3">
        <f>IFERROR(__xludf.DUMMYFUNCTION("IFERROR(IF(I965="""",0,INDEX(FILTER($Q$2:Q964,$C$2:C964=I965,$G$2:G964=G965),ROWS(FILTER($Q$2:Q964,$C$2:C964=I965,$G$2:G964=G965)),1)),1500)"),0.0)</f>
        <v>0</v>
      </c>
      <c r="M965" s="3">
        <f>IFERROR(__xludf.DUMMYFUNCTION("IFERROR(IF(J965="""",0,INDEX(FILTER($Q$2:Q964,$C$2:C964=J965,$G$2:G964=G965),ROWS(FILTER($Q$2:Q964,$C$2:C964=J965,$G$2:G964=G965)),1)),1500)"),0.0)</f>
        <v>0</v>
      </c>
      <c r="N965" s="3">
        <f>IFERROR(__xludf.DUMMYFUNCTION("IFERROR(INDEX(FILTER($Q$2:Q964,$C$2:C964=C965,$G$2:G964=G965),ROWS(FILTER($Q$2:Q964,$C$2:C964=C965,$G$2:G964=G965)),1),1500)"),-720.0)</f>
        <v>-720</v>
      </c>
      <c r="O965" s="3">
        <f t="shared" si="3"/>
        <v>0</v>
      </c>
      <c r="P965" s="9">
        <f t="shared" si="1"/>
        <v>0</v>
      </c>
      <c r="Q965" s="5">
        <f t="shared" si="2"/>
        <v>-720</v>
      </c>
    </row>
    <row r="966">
      <c r="H966" s="3" t="str">
        <f>IFERROR(__xludf.DUMMYFUNCTION("IFERROR(TRIM(INDEX(SPLIT(E966,"" + ""),1)),"""")"),"")</f>
        <v/>
      </c>
      <c r="I966" s="3" t="str">
        <f>IFERROR(__xludf.DUMMYFUNCTION("IFERROR(TRIM(INDEX(SPLIT(E966,"" + ""),2)),"""")"),"")</f>
        <v/>
      </c>
      <c r="J966" s="5" t="str">
        <f>IFERROR(__xludf.DUMMYFUNCTION("IFERROR(TRIM(INDEX(SPLIT(E966,"" + ""),3)),"""")"),"")</f>
        <v/>
      </c>
      <c r="K966" s="3">
        <f>IFERROR(__xludf.DUMMYFUNCTION("IFERROR(IF(H966="""",0,INDEX(FILTER($Q$2:Q965,$C$2:C965=H966,$G$2:G965=G966),ROWS(FILTER($Q$2:Q965,$C$2:C965=H966,$G$2:G965=G966)),1)),1500)"),0.0)</f>
        <v>0</v>
      </c>
      <c r="L966" s="3">
        <f>IFERROR(__xludf.DUMMYFUNCTION("IFERROR(IF(I966="""",0,INDEX(FILTER($Q$2:Q965,$C$2:C965=I966,$G$2:G965=G966),ROWS(FILTER($Q$2:Q965,$C$2:C965=I966,$G$2:G965=G966)),1)),1500)"),0.0)</f>
        <v>0</v>
      </c>
      <c r="M966" s="3">
        <f>IFERROR(__xludf.DUMMYFUNCTION("IFERROR(IF(J966="""",0,INDEX(FILTER($Q$2:Q965,$C$2:C965=J966,$G$2:G965=G966),ROWS(FILTER($Q$2:Q965,$C$2:C965=J966,$G$2:G965=G966)),1)),1500)"),0.0)</f>
        <v>0</v>
      </c>
      <c r="N966" s="3">
        <f>IFERROR(__xludf.DUMMYFUNCTION("IFERROR(INDEX(FILTER($Q$2:Q965,$C$2:C965=C966,$G$2:G965=G966),ROWS(FILTER($Q$2:Q965,$C$2:C965=C966,$G$2:G965=G966)),1),1500)"),-720.0)</f>
        <v>-720</v>
      </c>
      <c r="O966" s="3">
        <f t="shared" si="3"/>
        <v>0</v>
      </c>
      <c r="P966" s="9">
        <f t="shared" si="1"/>
        <v>0</v>
      </c>
      <c r="Q966" s="5">
        <f t="shared" si="2"/>
        <v>-720</v>
      </c>
    </row>
    <row r="967">
      <c r="H967" s="3" t="str">
        <f>IFERROR(__xludf.DUMMYFUNCTION("IFERROR(TRIM(INDEX(SPLIT(E967,"" + ""),1)),"""")"),"")</f>
        <v/>
      </c>
      <c r="I967" s="3" t="str">
        <f>IFERROR(__xludf.DUMMYFUNCTION("IFERROR(TRIM(INDEX(SPLIT(E967,"" + ""),2)),"""")"),"")</f>
        <v/>
      </c>
      <c r="J967" s="5" t="str">
        <f>IFERROR(__xludf.DUMMYFUNCTION("IFERROR(TRIM(INDEX(SPLIT(E967,"" + ""),3)),"""")"),"")</f>
        <v/>
      </c>
      <c r="K967" s="3">
        <f>IFERROR(__xludf.DUMMYFUNCTION("IFERROR(IF(H967="""",0,INDEX(FILTER($Q$2:Q966,$C$2:C966=H967,$G$2:G966=G967),ROWS(FILTER($Q$2:Q966,$C$2:C966=H967,$G$2:G966=G967)),1)),1500)"),0.0)</f>
        <v>0</v>
      </c>
      <c r="L967" s="3">
        <f>IFERROR(__xludf.DUMMYFUNCTION("IFERROR(IF(I967="""",0,INDEX(FILTER($Q$2:Q966,$C$2:C966=I967,$G$2:G966=G967),ROWS(FILTER($Q$2:Q966,$C$2:C966=I967,$G$2:G966=G967)),1)),1500)"),0.0)</f>
        <v>0</v>
      </c>
      <c r="M967" s="3">
        <f>IFERROR(__xludf.DUMMYFUNCTION("IFERROR(IF(J967="""",0,INDEX(FILTER($Q$2:Q966,$C$2:C966=J967,$G$2:G966=G967),ROWS(FILTER($Q$2:Q966,$C$2:C966=J967,$G$2:G966=G967)),1)),1500)"),0.0)</f>
        <v>0</v>
      </c>
      <c r="N967" s="3">
        <f>IFERROR(__xludf.DUMMYFUNCTION("IFERROR(INDEX(FILTER($Q$2:Q966,$C$2:C966=C967,$G$2:G966=G967),ROWS(FILTER($Q$2:Q966,$C$2:C966=C967,$G$2:G966=G967)),1),1500)"),-720.0)</f>
        <v>-720</v>
      </c>
      <c r="O967" s="3">
        <f t="shared" si="3"/>
        <v>0</v>
      </c>
      <c r="P967" s="9">
        <f t="shared" si="1"/>
        <v>0</v>
      </c>
      <c r="Q967" s="5">
        <f t="shared" si="2"/>
        <v>-720</v>
      </c>
    </row>
    <row r="968">
      <c r="H968" s="3" t="str">
        <f>IFERROR(__xludf.DUMMYFUNCTION("IFERROR(TRIM(INDEX(SPLIT(E968,"" + ""),1)),"""")"),"")</f>
        <v/>
      </c>
      <c r="I968" s="3" t="str">
        <f>IFERROR(__xludf.DUMMYFUNCTION("IFERROR(TRIM(INDEX(SPLIT(E968,"" + ""),2)),"""")"),"")</f>
        <v/>
      </c>
      <c r="J968" s="5" t="str">
        <f>IFERROR(__xludf.DUMMYFUNCTION("IFERROR(TRIM(INDEX(SPLIT(E968,"" + ""),3)),"""")"),"")</f>
        <v/>
      </c>
      <c r="K968" s="3">
        <f>IFERROR(__xludf.DUMMYFUNCTION("IFERROR(IF(H968="""",0,INDEX(FILTER($Q$2:Q967,$C$2:C967=H968,$G$2:G967=G968),ROWS(FILTER($Q$2:Q967,$C$2:C967=H968,$G$2:G967=G968)),1)),1500)"),0.0)</f>
        <v>0</v>
      </c>
      <c r="L968" s="3">
        <f>IFERROR(__xludf.DUMMYFUNCTION("IFERROR(IF(I968="""",0,INDEX(FILTER($Q$2:Q967,$C$2:C967=I968,$G$2:G967=G968),ROWS(FILTER($Q$2:Q967,$C$2:C967=I968,$G$2:G967=G968)),1)),1500)"),0.0)</f>
        <v>0</v>
      </c>
      <c r="M968" s="3">
        <f>IFERROR(__xludf.DUMMYFUNCTION("IFERROR(IF(J968="""",0,INDEX(FILTER($Q$2:Q967,$C$2:C967=J968,$G$2:G967=G968),ROWS(FILTER($Q$2:Q967,$C$2:C967=J968,$G$2:G967=G968)),1)),1500)"),0.0)</f>
        <v>0</v>
      </c>
      <c r="N968" s="3">
        <f>IFERROR(__xludf.DUMMYFUNCTION("IFERROR(INDEX(FILTER($Q$2:Q967,$C$2:C967=C968,$G$2:G967=G968),ROWS(FILTER($Q$2:Q967,$C$2:C967=C968,$G$2:G967=G968)),1),1500)"),-720.0)</f>
        <v>-720</v>
      </c>
      <c r="O968" s="3">
        <f t="shared" si="3"/>
        <v>0</v>
      </c>
      <c r="P968" s="9">
        <f t="shared" si="1"/>
        <v>0</v>
      </c>
      <c r="Q968" s="5">
        <f t="shared" si="2"/>
        <v>-720</v>
      </c>
    </row>
    <row r="969">
      <c r="H969" s="3" t="str">
        <f>IFERROR(__xludf.DUMMYFUNCTION("IFERROR(TRIM(INDEX(SPLIT(E969,"" + ""),1)),"""")"),"")</f>
        <v/>
      </c>
      <c r="I969" s="3" t="str">
        <f>IFERROR(__xludf.DUMMYFUNCTION("IFERROR(TRIM(INDEX(SPLIT(E969,"" + ""),2)),"""")"),"")</f>
        <v/>
      </c>
      <c r="J969" s="5" t="str">
        <f>IFERROR(__xludf.DUMMYFUNCTION("IFERROR(TRIM(INDEX(SPLIT(E969,"" + ""),3)),"""")"),"")</f>
        <v/>
      </c>
      <c r="K969" s="3">
        <f>IFERROR(__xludf.DUMMYFUNCTION("IFERROR(IF(H969="""",0,INDEX(FILTER($Q$2:Q968,$C$2:C968=H969,$G$2:G968=G969),ROWS(FILTER($Q$2:Q968,$C$2:C968=H969,$G$2:G968=G969)),1)),1500)"),0.0)</f>
        <v>0</v>
      </c>
      <c r="L969" s="3">
        <f>IFERROR(__xludf.DUMMYFUNCTION("IFERROR(IF(I969="""",0,INDEX(FILTER($Q$2:Q968,$C$2:C968=I969,$G$2:G968=G969),ROWS(FILTER($Q$2:Q968,$C$2:C968=I969,$G$2:G968=G969)),1)),1500)"),0.0)</f>
        <v>0</v>
      </c>
      <c r="M969" s="3">
        <f>IFERROR(__xludf.DUMMYFUNCTION("IFERROR(IF(J969="""",0,INDEX(FILTER($Q$2:Q968,$C$2:C968=J969,$G$2:G968=G969),ROWS(FILTER($Q$2:Q968,$C$2:C968=J969,$G$2:G968=G969)),1)),1500)"),0.0)</f>
        <v>0</v>
      </c>
      <c r="N969" s="3">
        <f>IFERROR(__xludf.DUMMYFUNCTION("IFERROR(INDEX(FILTER($Q$2:Q968,$C$2:C968=C969,$G$2:G968=G969),ROWS(FILTER($Q$2:Q968,$C$2:C968=C969,$G$2:G968=G969)),1),1500)"),-720.0)</f>
        <v>-720</v>
      </c>
      <c r="O969" s="3">
        <f t="shared" si="3"/>
        <v>0</v>
      </c>
      <c r="P969" s="9">
        <f t="shared" si="1"/>
        <v>0</v>
      </c>
      <c r="Q969" s="5">
        <f t="shared" si="2"/>
        <v>-720</v>
      </c>
    </row>
    <row r="970">
      <c r="H970" s="3" t="str">
        <f>IFERROR(__xludf.DUMMYFUNCTION("IFERROR(TRIM(INDEX(SPLIT(E970,"" + ""),1)),"""")"),"")</f>
        <v/>
      </c>
      <c r="I970" s="3" t="str">
        <f>IFERROR(__xludf.DUMMYFUNCTION("IFERROR(TRIM(INDEX(SPLIT(E970,"" + ""),2)),"""")"),"")</f>
        <v/>
      </c>
      <c r="J970" s="5" t="str">
        <f>IFERROR(__xludf.DUMMYFUNCTION("IFERROR(TRIM(INDEX(SPLIT(E970,"" + ""),3)),"""")"),"")</f>
        <v/>
      </c>
      <c r="K970" s="3">
        <f>IFERROR(__xludf.DUMMYFUNCTION("IFERROR(IF(H970="""",0,INDEX(FILTER($Q$2:Q969,$C$2:C969=H970,$G$2:G969=G970),ROWS(FILTER($Q$2:Q969,$C$2:C969=H970,$G$2:G969=G970)),1)),1500)"),0.0)</f>
        <v>0</v>
      </c>
      <c r="L970" s="3">
        <f>IFERROR(__xludf.DUMMYFUNCTION("IFERROR(IF(I970="""",0,INDEX(FILTER($Q$2:Q969,$C$2:C969=I970,$G$2:G969=G970),ROWS(FILTER($Q$2:Q969,$C$2:C969=I970,$G$2:G969=G970)),1)),1500)"),0.0)</f>
        <v>0</v>
      </c>
      <c r="M970" s="3">
        <f>IFERROR(__xludf.DUMMYFUNCTION("IFERROR(IF(J970="""",0,INDEX(FILTER($Q$2:Q969,$C$2:C969=J970,$G$2:G969=G970),ROWS(FILTER($Q$2:Q969,$C$2:C969=J970,$G$2:G969=G970)),1)),1500)"),0.0)</f>
        <v>0</v>
      </c>
      <c r="N970" s="3">
        <f>IFERROR(__xludf.DUMMYFUNCTION("IFERROR(INDEX(FILTER($Q$2:Q969,$C$2:C969=C970,$G$2:G969=G970),ROWS(FILTER($Q$2:Q969,$C$2:C969=C970,$G$2:G969=G970)),1),1500)"),-720.0)</f>
        <v>-720</v>
      </c>
      <c r="O970" s="3">
        <f t="shared" si="3"/>
        <v>0</v>
      </c>
      <c r="P970" s="9">
        <f t="shared" si="1"/>
        <v>0</v>
      </c>
      <c r="Q970" s="5">
        <f t="shared" si="2"/>
        <v>-720</v>
      </c>
    </row>
    <row r="971">
      <c r="H971" s="3" t="str">
        <f>IFERROR(__xludf.DUMMYFUNCTION("IFERROR(TRIM(INDEX(SPLIT(E971,"" + ""),1)),"""")"),"")</f>
        <v/>
      </c>
      <c r="I971" s="3" t="str">
        <f>IFERROR(__xludf.DUMMYFUNCTION("IFERROR(TRIM(INDEX(SPLIT(E971,"" + ""),2)),"""")"),"")</f>
        <v/>
      </c>
      <c r="J971" s="5" t="str">
        <f>IFERROR(__xludf.DUMMYFUNCTION("IFERROR(TRIM(INDEX(SPLIT(E971,"" + ""),3)),"""")"),"")</f>
        <v/>
      </c>
      <c r="K971" s="3">
        <f>IFERROR(__xludf.DUMMYFUNCTION("IFERROR(IF(H971="""",0,INDEX(FILTER($Q$2:Q970,$C$2:C970=H971,$G$2:G970=G971),ROWS(FILTER($Q$2:Q970,$C$2:C970=H971,$G$2:G970=G971)),1)),1500)"),0.0)</f>
        <v>0</v>
      </c>
      <c r="L971" s="3">
        <f>IFERROR(__xludf.DUMMYFUNCTION("IFERROR(IF(I971="""",0,INDEX(FILTER($Q$2:Q970,$C$2:C970=I971,$G$2:G970=G971),ROWS(FILTER($Q$2:Q970,$C$2:C970=I971,$G$2:G970=G971)),1)),1500)"),0.0)</f>
        <v>0</v>
      </c>
      <c r="M971" s="3">
        <f>IFERROR(__xludf.DUMMYFUNCTION("IFERROR(IF(J971="""",0,INDEX(FILTER($Q$2:Q970,$C$2:C970=J971,$G$2:G970=G971),ROWS(FILTER($Q$2:Q970,$C$2:C970=J971,$G$2:G970=G971)),1)),1500)"),0.0)</f>
        <v>0</v>
      </c>
      <c r="N971" s="3">
        <f>IFERROR(__xludf.DUMMYFUNCTION("IFERROR(INDEX(FILTER($Q$2:Q970,$C$2:C970=C971,$G$2:G970=G971),ROWS(FILTER($Q$2:Q970,$C$2:C970=C971,$G$2:G970=G971)),1),1500)"),-720.0)</f>
        <v>-720</v>
      </c>
      <c r="O971" s="3">
        <f t="shared" si="3"/>
        <v>0</v>
      </c>
      <c r="P971" s="9">
        <f t="shared" si="1"/>
        <v>0</v>
      </c>
      <c r="Q971" s="5">
        <f t="shared" si="2"/>
        <v>-720</v>
      </c>
    </row>
    <row r="972">
      <c r="H972" s="3" t="str">
        <f>IFERROR(__xludf.DUMMYFUNCTION("IFERROR(TRIM(INDEX(SPLIT(E972,"" + ""),1)),"""")"),"")</f>
        <v/>
      </c>
      <c r="I972" s="3" t="str">
        <f>IFERROR(__xludf.DUMMYFUNCTION("IFERROR(TRIM(INDEX(SPLIT(E972,"" + ""),2)),"""")"),"")</f>
        <v/>
      </c>
      <c r="J972" s="5" t="str">
        <f>IFERROR(__xludf.DUMMYFUNCTION("IFERROR(TRIM(INDEX(SPLIT(E972,"" + ""),3)),"""")"),"")</f>
        <v/>
      </c>
      <c r="K972" s="3">
        <f>IFERROR(__xludf.DUMMYFUNCTION("IFERROR(IF(H972="""",0,INDEX(FILTER($Q$2:Q971,$C$2:C971=H972,$G$2:G971=G972),ROWS(FILTER($Q$2:Q971,$C$2:C971=H972,$G$2:G971=G972)),1)),1500)"),0.0)</f>
        <v>0</v>
      </c>
      <c r="L972" s="3">
        <f>IFERROR(__xludf.DUMMYFUNCTION("IFERROR(IF(I972="""",0,INDEX(FILTER($Q$2:Q971,$C$2:C971=I972,$G$2:G971=G972),ROWS(FILTER($Q$2:Q971,$C$2:C971=I972,$G$2:G971=G972)),1)),1500)"),0.0)</f>
        <v>0</v>
      </c>
      <c r="M972" s="3">
        <f>IFERROR(__xludf.DUMMYFUNCTION("IFERROR(IF(J972="""",0,INDEX(FILTER($Q$2:Q971,$C$2:C971=J972,$G$2:G971=G972),ROWS(FILTER($Q$2:Q971,$C$2:C971=J972,$G$2:G971=G972)),1)),1500)"),0.0)</f>
        <v>0</v>
      </c>
      <c r="N972" s="3">
        <f>IFERROR(__xludf.DUMMYFUNCTION("IFERROR(INDEX(FILTER($Q$2:Q971,$C$2:C971=C972,$G$2:G971=G972),ROWS(FILTER($Q$2:Q971,$C$2:C971=C972,$G$2:G971=G972)),1),1500)"),-720.0)</f>
        <v>-720</v>
      </c>
      <c r="O972" s="3">
        <f t="shared" si="3"/>
        <v>0</v>
      </c>
      <c r="P972" s="9">
        <f t="shared" si="1"/>
        <v>0</v>
      </c>
      <c r="Q972" s="5">
        <f t="shared" si="2"/>
        <v>-720</v>
      </c>
    </row>
    <row r="973">
      <c r="H973" s="3" t="str">
        <f>IFERROR(__xludf.DUMMYFUNCTION("IFERROR(TRIM(INDEX(SPLIT(E973,"" + ""),1)),"""")"),"")</f>
        <v/>
      </c>
      <c r="I973" s="3" t="str">
        <f>IFERROR(__xludf.DUMMYFUNCTION("IFERROR(TRIM(INDEX(SPLIT(E973,"" + ""),2)),"""")"),"")</f>
        <v/>
      </c>
      <c r="J973" s="5" t="str">
        <f>IFERROR(__xludf.DUMMYFUNCTION("IFERROR(TRIM(INDEX(SPLIT(E973,"" + ""),3)),"""")"),"")</f>
        <v/>
      </c>
      <c r="K973" s="3">
        <f>IFERROR(__xludf.DUMMYFUNCTION("IFERROR(IF(H973="""",0,INDEX(FILTER($Q$2:Q972,$C$2:C972=H973,$G$2:G972=G973),ROWS(FILTER($Q$2:Q972,$C$2:C972=H973,$G$2:G972=G973)),1)),1500)"),0.0)</f>
        <v>0</v>
      </c>
      <c r="L973" s="3">
        <f>IFERROR(__xludf.DUMMYFUNCTION("IFERROR(IF(I973="""",0,INDEX(FILTER($Q$2:Q972,$C$2:C972=I973,$G$2:G972=G973),ROWS(FILTER($Q$2:Q972,$C$2:C972=I973,$G$2:G972=G973)),1)),1500)"),0.0)</f>
        <v>0</v>
      </c>
      <c r="M973" s="3">
        <f>IFERROR(__xludf.DUMMYFUNCTION("IFERROR(IF(J973="""",0,INDEX(FILTER($Q$2:Q972,$C$2:C972=J973,$G$2:G972=G973),ROWS(FILTER($Q$2:Q972,$C$2:C972=J973,$G$2:G972=G973)),1)),1500)"),0.0)</f>
        <v>0</v>
      </c>
      <c r="N973" s="3">
        <f>IFERROR(__xludf.DUMMYFUNCTION("IFERROR(INDEX(FILTER($Q$2:Q972,$C$2:C972=C973,$G$2:G972=G973),ROWS(FILTER($Q$2:Q972,$C$2:C972=C973,$G$2:G972=G973)),1),1500)"),-720.0)</f>
        <v>-720</v>
      </c>
      <c r="O973" s="3">
        <f t="shared" si="3"/>
        <v>0</v>
      </c>
      <c r="P973" s="9">
        <f t="shared" si="1"/>
        <v>0</v>
      </c>
      <c r="Q973" s="5">
        <f t="shared" si="2"/>
        <v>-720</v>
      </c>
    </row>
    <row r="974">
      <c r="H974" s="3" t="str">
        <f>IFERROR(__xludf.DUMMYFUNCTION("IFERROR(TRIM(INDEX(SPLIT(E974,"" + ""),1)),"""")"),"")</f>
        <v/>
      </c>
      <c r="I974" s="3" t="str">
        <f>IFERROR(__xludf.DUMMYFUNCTION("IFERROR(TRIM(INDEX(SPLIT(E974,"" + ""),2)),"""")"),"")</f>
        <v/>
      </c>
      <c r="J974" s="5" t="str">
        <f>IFERROR(__xludf.DUMMYFUNCTION("IFERROR(TRIM(INDEX(SPLIT(E974,"" + ""),3)),"""")"),"")</f>
        <v/>
      </c>
      <c r="K974" s="3">
        <f>IFERROR(__xludf.DUMMYFUNCTION("IFERROR(IF(H974="""",0,INDEX(FILTER($Q$2:Q973,$C$2:C973=H974,$G$2:G973=G974),ROWS(FILTER($Q$2:Q973,$C$2:C973=H974,$G$2:G973=G974)),1)),1500)"),0.0)</f>
        <v>0</v>
      </c>
      <c r="L974" s="3">
        <f>IFERROR(__xludf.DUMMYFUNCTION("IFERROR(IF(I974="""",0,INDEX(FILTER($Q$2:Q973,$C$2:C973=I974,$G$2:G973=G974),ROWS(FILTER($Q$2:Q973,$C$2:C973=I974,$G$2:G973=G974)),1)),1500)"),0.0)</f>
        <v>0</v>
      </c>
      <c r="M974" s="3">
        <f>IFERROR(__xludf.DUMMYFUNCTION("IFERROR(IF(J974="""",0,INDEX(FILTER($Q$2:Q973,$C$2:C973=J974,$G$2:G973=G974),ROWS(FILTER($Q$2:Q973,$C$2:C973=J974,$G$2:G973=G974)),1)),1500)"),0.0)</f>
        <v>0</v>
      </c>
      <c r="N974" s="3">
        <f>IFERROR(__xludf.DUMMYFUNCTION("IFERROR(INDEX(FILTER($Q$2:Q973,$C$2:C973=C974,$G$2:G973=G974),ROWS(FILTER($Q$2:Q973,$C$2:C973=C974,$G$2:G973=G974)),1),1500)"),-720.0)</f>
        <v>-720</v>
      </c>
      <c r="O974" s="3">
        <f t="shared" si="3"/>
        <v>0</v>
      </c>
      <c r="P974" s="9">
        <f t="shared" si="1"/>
        <v>0</v>
      </c>
      <c r="Q974" s="5">
        <f t="shared" si="2"/>
        <v>-720</v>
      </c>
    </row>
    <row r="975">
      <c r="H975" s="3" t="str">
        <f>IFERROR(__xludf.DUMMYFUNCTION("IFERROR(TRIM(INDEX(SPLIT(E975,"" + ""),1)),"""")"),"")</f>
        <v/>
      </c>
      <c r="I975" s="3" t="str">
        <f>IFERROR(__xludf.DUMMYFUNCTION("IFERROR(TRIM(INDEX(SPLIT(E975,"" + ""),2)),"""")"),"")</f>
        <v/>
      </c>
      <c r="J975" s="5" t="str">
        <f>IFERROR(__xludf.DUMMYFUNCTION("IFERROR(TRIM(INDEX(SPLIT(E975,"" + ""),3)),"""")"),"")</f>
        <v/>
      </c>
      <c r="K975" s="3">
        <f>IFERROR(__xludf.DUMMYFUNCTION("IFERROR(IF(H975="""",0,INDEX(FILTER($Q$2:Q974,$C$2:C974=H975,$G$2:G974=G975),ROWS(FILTER($Q$2:Q974,$C$2:C974=H975,$G$2:G974=G975)),1)),1500)"),0.0)</f>
        <v>0</v>
      </c>
      <c r="L975" s="3">
        <f>IFERROR(__xludf.DUMMYFUNCTION("IFERROR(IF(I975="""",0,INDEX(FILTER($Q$2:Q974,$C$2:C974=I975,$G$2:G974=G975),ROWS(FILTER($Q$2:Q974,$C$2:C974=I975,$G$2:G974=G975)),1)),1500)"),0.0)</f>
        <v>0</v>
      </c>
      <c r="M975" s="3">
        <f>IFERROR(__xludf.DUMMYFUNCTION("IFERROR(IF(J975="""",0,INDEX(FILTER($Q$2:Q974,$C$2:C974=J975,$G$2:G974=G975),ROWS(FILTER($Q$2:Q974,$C$2:C974=J975,$G$2:G974=G975)),1)),1500)"),0.0)</f>
        <v>0</v>
      </c>
      <c r="N975" s="3">
        <f>IFERROR(__xludf.DUMMYFUNCTION("IFERROR(INDEX(FILTER($Q$2:Q974,$C$2:C974=C975,$G$2:G974=G975),ROWS(FILTER($Q$2:Q974,$C$2:C974=C975,$G$2:G974=G975)),1),1500)"),-720.0)</f>
        <v>-720</v>
      </c>
      <c r="O975" s="3">
        <f t="shared" si="3"/>
        <v>0</v>
      </c>
      <c r="P975" s="9">
        <f t="shared" si="1"/>
        <v>0</v>
      </c>
      <c r="Q975" s="5">
        <f t="shared" si="2"/>
        <v>-720</v>
      </c>
    </row>
    <row r="976">
      <c r="H976" s="3" t="str">
        <f>IFERROR(__xludf.DUMMYFUNCTION("IFERROR(TRIM(INDEX(SPLIT(E976,"" + ""),1)),"""")"),"")</f>
        <v/>
      </c>
      <c r="I976" s="3" t="str">
        <f>IFERROR(__xludf.DUMMYFUNCTION("IFERROR(TRIM(INDEX(SPLIT(E976,"" + ""),2)),"""")"),"")</f>
        <v/>
      </c>
      <c r="J976" s="5" t="str">
        <f>IFERROR(__xludf.DUMMYFUNCTION("IFERROR(TRIM(INDEX(SPLIT(E976,"" + ""),3)),"""")"),"")</f>
        <v/>
      </c>
      <c r="K976" s="3">
        <f>IFERROR(__xludf.DUMMYFUNCTION("IFERROR(IF(H976="""",0,INDEX(FILTER($Q$2:Q975,$C$2:C975=H976,$G$2:G975=G976),ROWS(FILTER($Q$2:Q975,$C$2:C975=H976,$G$2:G975=G976)),1)),1500)"),0.0)</f>
        <v>0</v>
      </c>
      <c r="L976" s="3">
        <f>IFERROR(__xludf.DUMMYFUNCTION("IFERROR(IF(I976="""",0,INDEX(FILTER($Q$2:Q975,$C$2:C975=I976,$G$2:G975=G976),ROWS(FILTER($Q$2:Q975,$C$2:C975=I976,$G$2:G975=G976)),1)),1500)"),0.0)</f>
        <v>0</v>
      </c>
      <c r="M976" s="3">
        <f>IFERROR(__xludf.DUMMYFUNCTION("IFERROR(IF(J976="""",0,INDEX(FILTER($Q$2:Q975,$C$2:C975=J976,$G$2:G975=G976),ROWS(FILTER($Q$2:Q975,$C$2:C975=J976,$G$2:G975=G976)),1)),1500)"),0.0)</f>
        <v>0</v>
      </c>
      <c r="N976" s="3">
        <f>IFERROR(__xludf.DUMMYFUNCTION("IFERROR(INDEX(FILTER($Q$2:Q975,$C$2:C975=C976,$G$2:G975=G976),ROWS(FILTER($Q$2:Q975,$C$2:C975=C976,$G$2:G975=G976)),1),1500)"),-720.0)</f>
        <v>-720</v>
      </c>
      <c r="O976" s="3">
        <f t="shared" si="3"/>
        <v>0</v>
      </c>
      <c r="P976" s="9">
        <f t="shared" si="1"/>
        <v>0</v>
      </c>
      <c r="Q976" s="5">
        <f t="shared" si="2"/>
        <v>-720</v>
      </c>
    </row>
    <row r="977">
      <c r="H977" s="3" t="str">
        <f>IFERROR(__xludf.DUMMYFUNCTION("IFERROR(TRIM(INDEX(SPLIT(E977,"" + ""),1)),"""")"),"")</f>
        <v/>
      </c>
      <c r="I977" s="3" t="str">
        <f>IFERROR(__xludf.DUMMYFUNCTION("IFERROR(TRIM(INDEX(SPLIT(E977,"" + ""),2)),"""")"),"")</f>
        <v/>
      </c>
      <c r="J977" s="5" t="str">
        <f>IFERROR(__xludf.DUMMYFUNCTION("IFERROR(TRIM(INDEX(SPLIT(E977,"" + ""),3)),"""")"),"")</f>
        <v/>
      </c>
      <c r="K977" s="3">
        <f>IFERROR(__xludf.DUMMYFUNCTION("IFERROR(IF(H977="""",0,INDEX(FILTER($Q$2:Q976,$C$2:C976=H977,$G$2:G976=G977),ROWS(FILTER($Q$2:Q976,$C$2:C976=H977,$G$2:G976=G977)),1)),1500)"),0.0)</f>
        <v>0</v>
      </c>
      <c r="L977" s="3">
        <f>IFERROR(__xludf.DUMMYFUNCTION("IFERROR(IF(I977="""",0,INDEX(FILTER($Q$2:Q976,$C$2:C976=I977,$G$2:G976=G977),ROWS(FILTER($Q$2:Q976,$C$2:C976=I977,$G$2:G976=G977)),1)),1500)"),0.0)</f>
        <v>0</v>
      </c>
      <c r="M977" s="3">
        <f>IFERROR(__xludf.DUMMYFUNCTION("IFERROR(IF(J977="""",0,INDEX(FILTER($Q$2:Q976,$C$2:C976=J977,$G$2:G976=G977),ROWS(FILTER($Q$2:Q976,$C$2:C976=J977,$G$2:G976=G977)),1)),1500)"),0.0)</f>
        <v>0</v>
      </c>
      <c r="N977" s="3">
        <f>IFERROR(__xludf.DUMMYFUNCTION("IFERROR(INDEX(FILTER($Q$2:Q976,$C$2:C976=C977,$G$2:G976=G977),ROWS(FILTER($Q$2:Q976,$C$2:C976=C977,$G$2:G976=G977)),1),1500)"),-720.0)</f>
        <v>-720</v>
      </c>
      <c r="O977" s="3">
        <f t="shared" si="3"/>
        <v>0</v>
      </c>
      <c r="P977" s="9">
        <f t="shared" si="1"/>
        <v>0</v>
      </c>
      <c r="Q977" s="5">
        <f t="shared" si="2"/>
        <v>-720</v>
      </c>
    </row>
    <row r="978">
      <c r="H978" s="3" t="str">
        <f>IFERROR(__xludf.DUMMYFUNCTION("IFERROR(TRIM(INDEX(SPLIT(E978,"" + ""),1)),"""")"),"")</f>
        <v/>
      </c>
      <c r="I978" s="3" t="str">
        <f>IFERROR(__xludf.DUMMYFUNCTION("IFERROR(TRIM(INDEX(SPLIT(E978,"" + ""),2)),"""")"),"")</f>
        <v/>
      </c>
      <c r="J978" s="5" t="str">
        <f>IFERROR(__xludf.DUMMYFUNCTION("IFERROR(TRIM(INDEX(SPLIT(E978,"" + ""),3)),"""")"),"")</f>
        <v/>
      </c>
      <c r="K978" s="3">
        <f>IFERROR(__xludf.DUMMYFUNCTION("IFERROR(IF(H978="""",0,INDEX(FILTER($Q$2:Q977,$C$2:C977=H978,$G$2:G977=G978),ROWS(FILTER($Q$2:Q977,$C$2:C977=H978,$G$2:G977=G978)),1)),1500)"),0.0)</f>
        <v>0</v>
      </c>
      <c r="L978" s="3">
        <f>IFERROR(__xludf.DUMMYFUNCTION("IFERROR(IF(I978="""",0,INDEX(FILTER($Q$2:Q977,$C$2:C977=I978,$G$2:G977=G978),ROWS(FILTER($Q$2:Q977,$C$2:C977=I978,$G$2:G977=G978)),1)),1500)"),0.0)</f>
        <v>0</v>
      </c>
      <c r="M978" s="3">
        <f>IFERROR(__xludf.DUMMYFUNCTION("IFERROR(IF(J978="""",0,INDEX(FILTER($Q$2:Q977,$C$2:C977=J978,$G$2:G977=G978),ROWS(FILTER($Q$2:Q977,$C$2:C977=J978,$G$2:G977=G978)),1)),1500)"),0.0)</f>
        <v>0</v>
      </c>
      <c r="N978" s="3">
        <f>IFERROR(__xludf.DUMMYFUNCTION("IFERROR(INDEX(FILTER($Q$2:Q977,$C$2:C977=C978,$G$2:G977=G978),ROWS(FILTER($Q$2:Q977,$C$2:C977=C978,$G$2:G977=G978)),1),1500)"),-720.0)</f>
        <v>-720</v>
      </c>
      <c r="O978" s="3">
        <f t="shared" si="3"/>
        <v>0</v>
      </c>
      <c r="P978" s="9">
        <f t="shared" si="1"/>
        <v>0</v>
      </c>
      <c r="Q978" s="5">
        <f t="shared" si="2"/>
        <v>-720</v>
      </c>
    </row>
    <row r="979">
      <c r="H979" s="3" t="str">
        <f>IFERROR(__xludf.DUMMYFUNCTION("IFERROR(TRIM(INDEX(SPLIT(E979,"" + ""),1)),"""")"),"")</f>
        <v/>
      </c>
      <c r="I979" s="3" t="str">
        <f>IFERROR(__xludf.DUMMYFUNCTION("IFERROR(TRIM(INDEX(SPLIT(E979,"" + ""),2)),"""")"),"")</f>
        <v/>
      </c>
      <c r="J979" s="5" t="str">
        <f>IFERROR(__xludf.DUMMYFUNCTION("IFERROR(TRIM(INDEX(SPLIT(E979,"" + ""),3)),"""")"),"")</f>
        <v/>
      </c>
      <c r="K979" s="3">
        <f>IFERROR(__xludf.DUMMYFUNCTION("IFERROR(IF(H979="""",0,INDEX(FILTER($Q$2:Q978,$C$2:C978=H979,$G$2:G978=G979),ROWS(FILTER($Q$2:Q978,$C$2:C978=H979,$G$2:G978=G979)),1)),1500)"),0.0)</f>
        <v>0</v>
      </c>
      <c r="L979" s="3">
        <f>IFERROR(__xludf.DUMMYFUNCTION("IFERROR(IF(I979="""",0,INDEX(FILTER($Q$2:Q978,$C$2:C978=I979,$G$2:G978=G979),ROWS(FILTER($Q$2:Q978,$C$2:C978=I979,$G$2:G978=G979)),1)),1500)"),0.0)</f>
        <v>0</v>
      </c>
      <c r="M979" s="3">
        <f>IFERROR(__xludf.DUMMYFUNCTION("IFERROR(IF(J979="""",0,INDEX(FILTER($Q$2:Q978,$C$2:C978=J979,$G$2:G978=G979),ROWS(FILTER($Q$2:Q978,$C$2:C978=J979,$G$2:G978=G979)),1)),1500)"),0.0)</f>
        <v>0</v>
      </c>
      <c r="N979" s="3">
        <f>IFERROR(__xludf.DUMMYFUNCTION("IFERROR(INDEX(FILTER($Q$2:Q978,$C$2:C978=C979,$G$2:G978=G979),ROWS(FILTER($Q$2:Q978,$C$2:C978=C979,$G$2:G978=G979)),1),1500)"),-720.0)</f>
        <v>-720</v>
      </c>
      <c r="O979" s="3">
        <f t="shared" si="3"/>
        <v>0</v>
      </c>
      <c r="P979" s="9">
        <f t="shared" si="1"/>
        <v>0</v>
      </c>
      <c r="Q979" s="5">
        <f t="shared" si="2"/>
        <v>-720</v>
      </c>
    </row>
    <row r="980">
      <c r="H980" s="3" t="str">
        <f>IFERROR(__xludf.DUMMYFUNCTION("IFERROR(TRIM(INDEX(SPLIT(E980,"" + ""),1)),"""")"),"")</f>
        <v/>
      </c>
      <c r="I980" s="3" t="str">
        <f>IFERROR(__xludf.DUMMYFUNCTION("IFERROR(TRIM(INDEX(SPLIT(E980,"" + ""),2)),"""")"),"")</f>
        <v/>
      </c>
      <c r="J980" s="5" t="str">
        <f>IFERROR(__xludf.DUMMYFUNCTION("IFERROR(TRIM(INDEX(SPLIT(E980,"" + ""),3)),"""")"),"")</f>
        <v/>
      </c>
      <c r="K980" s="3">
        <f>IFERROR(__xludf.DUMMYFUNCTION("IFERROR(IF(H980="""",0,INDEX(FILTER($Q$2:Q979,$C$2:C979=H980,$G$2:G979=G980),ROWS(FILTER($Q$2:Q979,$C$2:C979=H980,$G$2:G979=G980)),1)),1500)"),0.0)</f>
        <v>0</v>
      </c>
      <c r="L980" s="3">
        <f>IFERROR(__xludf.DUMMYFUNCTION("IFERROR(IF(I980="""",0,INDEX(FILTER($Q$2:Q979,$C$2:C979=I980,$G$2:G979=G980),ROWS(FILTER($Q$2:Q979,$C$2:C979=I980,$G$2:G979=G980)),1)),1500)"),0.0)</f>
        <v>0</v>
      </c>
      <c r="M980" s="3">
        <f>IFERROR(__xludf.DUMMYFUNCTION("IFERROR(IF(J980="""",0,INDEX(FILTER($Q$2:Q979,$C$2:C979=J980,$G$2:G979=G980),ROWS(FILTER($Q$2:Q979,$C$2:C979=J980,$G$2:G979=G980)),1)),1500)"),0.0)</f>
        <v>0</v>
      </c>
      <c r="N980" s="3">
        <f>IFERROR(__xludf.DUMMYFUNCTION("IFERROR(INDEX(FILTER($Q$2:Q979,$C$2:C979=C980,$G$2:G979=G980),ROWS(FILTER($Q$2:Q979,$C$2:C979=C980,$G$2:G979=G980)),1),1500)"),-720.0)</f>
        <v>-720</v>
      </c>
      <c r="O980" s="3">
        <f t="shared" si="3"/>
        <v>0</v>
      </c>
      <c r="P980" s="9">
        <f t="shared" si="1"/>
        <v>0</v>
      </c>
      <c r="Q980" s="5">
        <f t="shared" si="2"/>
        <v>-720</v>
      </c>
    </row>
    <row r="981">
      <c r="H981" s="3" t="str">
        <f>IFERROR(__xludf.DUMMYFUNCTION("IFERROR(TRIM(INDEX(SPLIT(E981,"" + ""),1)),"""")"),"")</f>
        <v/>
      </c>
      <c r="I981" s="3" t="str">
        <f>IFERROR(__xludf.DUMMYFUNCTION("IFERROR(TRIM(INDEX(SPLIT(E981,"" + ""),2)),"""")"),"")</f>
        <v/>
      </c>
      <c r="J981" s="5" t="str">
        <f>IFERROR(__xludf.DUMMYFUNCTION("IFERROR(TRIM(INDEX(SPLIT(E981,"" + ""),3)),"""")"),"")</f>
        <v/>
      </c>
      <c r="K981" s="3">
        <f>IFERROR(__xludf.DUMMYFUNCTION("IFERROR(IF(H981="""",0,INDEX(FILTER($Q$2:Q980,$C$2:C980=H981,$G$2:G980=G981),ROWS(FILTER($Q$2:Q980,$C$2:C980=H981,$G$2:G980=G981)),1)),1500)"),0.0)</f>
        <v>0</v>
      </c>
      <c r="L981" s="3">
        <f>IFERROR(__xludf.DUMMYFUNCTION("IFERROR(IF(I981="""",0,INDEX(FILTER($Q$2:Q980,$C$2:C980=I981,$G$2:G980=G981),ROWS(FILTER($Q$2:Q980,$C$2:C980=I981,$G$2:G980=G981)),1)),1500)"),0.0)</f>
        <v>0</v>
      </c>
      <c r="M981" s="3">
        <f>IFERROR(__xludf.DUMMYFUNCTION("IFERROR(IF(J981="""",0,INDEX(FILTER($Q$2:Q980,$C$2:C980=J981,$G$2:G980=G981),ROWS(FILTER($Q$2:Q980,$C$2:C980=J981,$G$2:G980=G981)),1)),1500)"),0.0)</f>
        <v>0</v>
      </c>
      <c r="N981" s="3">
        <f>IFERROR(__xludf.DUMMYFUNCTION("IFERROR(INDEX(FILTER($Q$2:Q980,$C$2:C980=C981,$G$2:G980=G981),ROWS(FILTER($Q$2:Q980,$C$2:C980=C981,$G$2:G980=G981)),1),1500)"),-720.0)</f>
        <v>-720</v>
      </c>
      <c r="O981" s="3">
        <f t="shared" si="3"/>
        <v>0</v>
      </c>
      <c r="P981" s="9">
        <f t="shared" si="1"/>
        <v>0</v>
      </c>
      <c r="Q981" s="5">
        <f t="shared" si="2"/>
        <v>-720</v>
      </c>
    </row>
    <row r="982">
      <c r="H982" s="3" t="str">
        <f>IFERROR(__xludf.DUMMYFUNCTION("IFERROR(TRIM(INDEX(SPLIT(E982,"" + ""),1)),"""")"),"")</f>
        <v/>
      </c>
      <c r="I982" s="3" t="str">
        <f>IFERROR(__xludf.DUMMYFUNCTION("IFERROR(TRIM(INDEX(SPLIT(E982,"" + ""),2)),"""")"),"")</f>
        <v/>
      </c>
      <c r="J982" s="5" t="str">
        <f>IFERROR(__xludf.DUMMYFUNCTION("IFERROR(TRIM(INDEX(SPLIT(E982,"" + ""),3)),"""")"),"")</f>
        <v/>
      </c>
      <c r="K982" s="3">
        <f>IFERROR(__xludf.DUMMYFUNCTION("IFERROR(IF(H982="""",0,INDEX(FILTER($Q$2:Q981,$C$2:C981=H982,$G$2:G981=G982),ROWS(FILTER($Q$2:Q981,$C$2:C981=H982,$G$2:G981=G982)),1)),1500)"),0.0)</f>
        <v>0</v>
      </c>
      <c r="L982" s="3">
        <f>IFERROR(__xludf.DUMMYFUNCTION("IFERROR(IF(I982="""",0,INDEX(FILTER($Q$2:Q981,$C$2:C981=I982,$G$2:G981=G982),ROWS(FILTER($Q$2:Q981,$C$2:C981=I982,$G$2:G981=G982)),1)),1500)"),0.0)</f>
        <v>0</v>
      </c>
      <c r="M982" s="3">
        <f>IFERROR(__xludf.DUMMYFUNCTION("IFERROR(IF(J982="""",0,INDEX(FILTER($Q$2:Q981,$C$2:C981=J982,$G$2:G981=G982),ROWS(FILTER($Q$2:Q981,$C$2:C981=J982,$G$2:G981=G982)),1)),1500)"),0.0)</f>
        <v>0</v>
      </c>
      <c r="N982" s="3">
        <f>IFERROR(__xludf.DUMMYFUNCTION("IFERROR(INDEX(FILTER($Q$2:Q981,$C$2:C981=C982,$G$2:G981=G982),ROWS(FILTER($Q$2:Q981,$C$2:C981=C982,$G$2:G981=G982)),1),1500)"),-720.0)</f>
        <v>-720</v>
      </c>
      <c r="O982" s="3">
        <f t="shared" si="3"/>
        <v>0</v>
      </c>
      <c r="P982" s="9">
        <f t="shared" si="1"/>
        <v>0</v>
      </c>
      <c r="Q982" s="5">
        <f t="shared" si="2"/>
        <v>-720</v>
      </c>
    </row>
    <row r="983">
      <c r="H983" s="3" t="str">
        <f>IFERROR(__xludf.DUMMYFUNCTION("IFERROR(TRIM(INDEX(SPLIT(E983,"" + ""),1)),"""")"),"")</f>
        <v/>
      </c>
      <c r="I983" s="3" t="str">
        <f>IFERROR(__xludf.DUMMYFUNCTION("IFERROR(TRIM(INDEX(SPLIT(E983,"" + ""),2)),"""")"),"")</f>
        <v/>
      </c>
      <c r="J983" s="5" t="str">
        <f>IFERROR(__xludf.DUMMYFUNCTION("IFERROR(TRIM(INDEX(SPLIT(E983,"" + ""),3)),"""")"),"")</f>
        <v/>
      </c>
      <c r="K983" s="3">
        <f>IFERROR(__xludf.DUMMYFUNCTION("IFERROR(IF(H983="""",0,INDEX(FILTER($Q$2:Q982,$C$2:C982=H983,$G$2:G982=G983),ROWS(FILTER($Q$2:Q982,$C$2:C982=H983,$G$2:G982=G983)),1)),1500)"),0.0)</f>
        <v>0</v>
      </c>
      <c r="L983" s="3">
        <f>IFERROR(__xludf.DUMMYFUNCTION("IFERROR(IF(I983="""",0,INDEX(FILTER($Q$2:Q982,$C$2:C982=I983,$G$2:G982=G983),ROWS(FILTER($Q$2:Q982,$C$2:C982=I983,$G$2:G982=G983)),1)),1500)"),0.0)</f>
        <v>0</v>
      </c>
      <c r="M983" s="3">
        <f>IFERROR(__xludf.DUMMYFUNCTION("IFERROR(IF(J983="""",0,INDEX(FILTER($Q$2:Q982,$C$2:C982=J983,$G$2:G982=G983),ROWS(FILTER($Q$2:Q982,$C$2:C982=J983,$G$2:G982=G983)),1)),1500)"),0.0)</f>
        <v>0</v>
      </c>
      <c r="N983" s="3">
        <f>IFERROR(__xludf.DUMMYFUNCTION("IFERROR(INDEX(FILTER($Q$2:Q982,$C$2:C982=C983,$G$2:G982=G983),ROWS(FILTER($Q$2:Q982,$C$2:C982=C983,$G$2:G982=G983)),1),1500)"),-720.0)</f>
        <v>-720</v>
      </c>
      <c r="O983" s="3">
        <f t="shared" si="3"/>
        <v>0</v>
      </c>
      <c r="P983" s="9">
        <f t="shared" si="1"/>
        <v>0</v>
      </c>
      <c r="Q983" s="5">
        <f t="shared" si="2"/>
        <v>-720</v>
      </c>
    </row>
    <row r="984">
      <c r="H984" s="3" t="str">
        <f>IFERROR(__xludf.DUMMYFUNCTION("IFERROR(TRIM(INDEX(SPLIT(E984,"" + ""),1)),"""")"),"")</f>
        <v/>
      </c>
      <c r="I984" s="3" t="str">
        <f>IFERROR(__xludf.DUMMYFUNCTION("IFERROR(TRIM(INDEX(SPLIT(E984,"" + ""),2)),"""")"),"")</f>
        <v/>
      </c>
      <c r="J984" s="5" t="str">
        <f>IFERROR(__xludf.DUMMYFUNCTION("IFERROR(TRIM(INDEX(SPLIT(E984,"" + ""),3)),"""")"),"")</f>
        <v/>
      </c>
      <c r="K984" s="3">
        <f>IFERROR(__xludf.DUMMYFUNCTION("IFERROR(IF(H984="""",0,INDEX(FILTER($Q$2:Q983,$C$2:C983=H984,$G$2:G983=G984),ROWS(FILTER($Q$2:Q983,$C$2:C983=H984,$G$2:G983=G984)),1)),1500)"),0.0)</f>
        <v>0</v>
      </c>
      <c r="L984" s="3">
        <f>IFERROR(__xludf.DUMMYFUNCTION("IFERROR(IF(I984="""",0,INDEX(FILTER($Q$2:Q983,$C$2:C983=I984,$G$2:G983=G984),ROWS(FILTER($Q$2:Q983,$C$2:C983=I984,$G$2:G983=G984)),1)),1500)"),0.0)</f>
        <v>0</v>
      </c>
      <c r="M984" s="3">
        <f>IFERROR(__xludf.DUMMYFUNCTION("IFERROR(IF(J984="""",0,INDEX(FILTER($Q$2:Q983,$C$2:C983=J984,$G$2:G983=G984),ROWS(FILTER($Q$2:Q983,$C$2:C983=J984,$G$2:G983=G984)),1)),1500)"),0.0)</f>
        <v>0</v>
      </c>
      <c r="N984" s="3">
        <f>IFERROR(__xludf.DUMMYFUNCTION("IFERROR(INDEX(FILTER($Q$2:Q983,$C$2:C983=C984,$G$2:G983=G984),ROWS(FILTER($Q$2:Q983,$C$2:C983=C984,$G$2:G983=G984)),1),1500)"),-720.0)</f>
        <v>-720</v>
      </c>
      <c r="O984" s="3">
        <f t="shared" si="3"/>
        <v>0</v>
      </c>
      <c r="P984" s="9">
        <f t="shared" si="1"/>
        <v>0</v>
      </c>
      <c r="Q984" s="5">
        <f t="shared" si="2"/>
        <v>-720</v>
      </c>
    </row>
    <row r="985">
      <c r="H985" s="3" t="str">
        <f>IFERROR(__xludf.DUMMYFUNCTION("IFERROR(TRIM(INDEX(SPLIT(E985,"" + ""),1)),"""")"),"")</f>
        <v/>
      </c>
      <c r="I985" s="3" t="str">
        <f>IFERROR(__xludf.DUMMYFUNCTION("IFERROR(TRIM(INDEX(SPLIT(E985,"" + ""),2)),"""")"),"")</f>
        <v/>
      </c>
      <c r="J985" s="5" t="str">
        <f>IFERROR(__xludf.DUMMYFUNCTION("IFERROR(TRIM(INDEX(SPLIT(E985,"" + ""),3)),"""")"),"")</f>
        <v/>
      </c>
      <c r="K985" s="3">
        <f>IFERROR(__xludf.DUMMYFUNCTION("IFERROR(IF(H985="""",0,INDEX(FILTER($Q$2:Q984,$C$2:C984=H985,$G$2:G984=G985),ROWS(FILTER($Q$2:Q984,$C$2:C984=H985,$G$2:G984=G985)),1)),1500)"),0.0)</f>
        <v>0</v>
      </c>
      <c r="L985" s="3">
        <f>IFERROR(__xludf.DUMMYFUNCTION("IFERROR(IF(I985="""",0,INDEX(FILTER($Q$2:Q984,$C$2:C984=I985,$G$2:G984=G985),ROWS(FILTER($Q$2:Q984,$C$2:C984=I985,$G$2:G984=G985)),1)),1500)"),0.0)</f>
        <v>0</v>
      </c>
      <c r="M985" s="3">
        <f>IFERROR(__xludf.DUMMYFUNCTION("IFERROR(IF(J985="""",0,INDEX(FILTER($Q$2:Q984,$C$2:C984=J985,$G$2:G984=G985),ROWS(FILTER($Q$2:Q984,$C$2:C984=J985,$G$2:G984=G985)),1)),1500)"),0.0)</f>
        <v>0</v>
      </c>
      <c r="N985" s="3">
        <f>IFERROR(__xludf.DUMMYFUNCTION("IFERROR(INDEX(FILTER($Q$2:Q984,$C$2:C984=C985,$G$2:G984=G985),ROWS(FILTER($Q$2:Q984,$C$2:C984=C985,$G$2:G984=G985)),1),1500)"),-720.0)</f>
        <v>-720</v>
      </c>
      <c r="O985" s="3">
        <f t="shared" si="3"/>
        <v>0</v>
      </c>
      <c r="P985" s="9">
        <f t="shared" si="1"/>
        <v>0</v>
      </c>
      <c r="Q985" s="5">
        <f t="shared" si="2"/>
        <v>-720</v>
      </c>
    </row>
    <row r="986">
      <c r="H986" s="3" t="str">
        <f>IFERROR(__xludf.DUMMYFUNCTION("IFERROR(TRIM(INDEX(SPLIT(E986,"" + ""),1)),"""")"),"")</f>
        <v/>
      </c>
      <c r="I986" s="3" t="str">
        <f>IFERROR(__xludf.DUMMYFUNCTION("IFERROR(TRIM(INDEX(SPLIT(E986,"" + ""),2)),"""")"),"")</f>
        <v/>
      </c>
      <c r="J986" s="5" t="str">
        <f>IFERROR(__xludf.DUMMYFUNCTION("IFERROR(TRIM(INDEX(SPLIT(E986,"" + ""),3)),"""")"),"")</f>
        <v/>
      </c>
      <c r="K986" s="3">
        <f>IFERROR(__xludf.DUMMYFUNCTION("IFERROR(IF(H986="""",0,INDEX(FILTER($Q$2:Q985,$C$2:C985=H986,$G$2:G985=G986),ROWS(FILTER($Q$2:Q985,$C$2:C985=H986,$G$2:G985=G986)),1)),1500)"),0.0)</f>
        <v>0</v>
      </c>
      <c r="L986" s="3">
        <f>IFERROR(__xludf.DUMMYFUNCTION("IFERROR(IF(I986="""",0,INDEX(FILTER($Q$2:Q985,$C$2:C985=I986,$G$2:G985=G986),ROWS(FILTER($Q$2:Q985,$C$2:C985=I986,$G$2:G985=G986)),1)),1500)"),0.0)</f>
        <v>0</v>
      </c>
      <c r="M986" s="3">
        <f>IFERROR(__xludf.DUMMYFUNCTION("IFERROR(IF(J986="""",0,INDEX(FILTER($Q$2:Q985,$C$2:C985=J986,$G$2:G985=G986),ROWS(FILTER($Q$2:Q985,$C$2:C985=J986,$G$2:G985=G986)),1)),1500)"),0.0)</f>
        <v>0</v>
      </c>
      <c r="N986" s="3">
        <f>IFERROR(__xludf.DUMMYFUNCTION("IFERROR(INDEX(FILTER($Q$2:Q985,$C$2:C985=C986,$G$2:G985=G986),ROWS(FILTER($Q$2:Q985,$C$2:C985=C986,$G$2:G985=G986)),1),1500)"),-720.0)</f>
        <v>-720</v>
      </c>
      <c r="O986" s="3">
        <f t="shared" si="3"/>
        <v>0</v>
      </c>
      <c r="P986" s="9">
        <f t="shared" si="1"/>
        <v>0</v>
      </c>
      <c r="Q986" s="5">
        <f t="shared" si="2"/>
        <v>-720</v>
      </c>
    </row>
    <row r="987">
      <c r="H987" s="3" t="str">
        <f>IFERROR(__xludf.DUMMYFUNCTION("IFERROR(TRIM(INDEX(SPLIT(E987,"" + ""),1)),"""")"),"")</f>
        <v/>
      </c>
      <c r="I987" s="3" t="str">
        <f>IFERROR(__xludf.DUMMYFUNCTION("IFERROR(TRIM(INDEX(SPLIT(E987,"" + ""),2)),"""")"),"")</f>
        <v/>
      </c>
      <c r="J987" s="5" t="str">
        <f>IFERROR(__xludf.DUMMYFUNCTION("IFERROR(TRIM(INDEX(SPLIT(E987,"" + ""),3)),"""")"),"")</f>
        <v/>
      </c>
      <c r="K987" s="3">
        <f>IFERROR(__xludf.DUMMYFUNCTION("IFERROR(IF(H987="""",0,INDEX(FILTER($Q$2:Q986,$C$2:C986=H987,$G$2:G986=G987),ROWS(FILTER($Q$2:Q986,$C$2:C986=H987,$G$2:G986=G987)),1)),1500)"),0.0)</f>
        <v>0</v>
      </c>
      <c r="L987" s="3">
        <f>IFERROR(__xludf.DUMMYFUNCTION("IFERROR(IF(I987="""",0,INDEX(FILTER($Q$2:Q986,$C$2:C986=I987,$G$2:G986=G987),ROWS(FILTER($Q$2:Q986,$C$2:C986=I987,$G$2:G986=G987)),1)),1500)"),0.0)</f>
        <v>0</v>
      </c>
      <c r="M987" s="3">
        <f>IFERROR(__xludf.DUMMYFUNCTION("IFERROR(IF(J987="""",0,INDEX(FILTER($Q$2:Q986,$C$2:C986=J987,$G$2:G986=G987),ROWS(FILTER($Q$2:Q986,$C$2:C986=J987,$G$2:G986=G987)),1)),1500)"),0.0)</f>
        <v>0</v>
      </c>
      <c r="N987" s="3">
        <f>IFERROR(__xludf.DUMMYFUNCTION("IFERROR(INDEX(FILTER($Q$2:Q986,$C$2:C986=C987,$G$2:G986=G987),ROWS(FILTER($Q$2:Q986,$C$2:C986=C987,$G$2:G986=G987)),1),1500)"),-720.0)</f>
        <v>-720</v>
      </c>
      <c r="O987" s="3">
        <f t="shared" si="3"/>
        <v>0</v>
      </c>
      <c r="P987" s="9">
        <f t="shared" si="1"/>
        <v>0</v>
      </c>
      <c r="Q987" s="5">
        <f t="shared" si="2"/>
        <v>-720</v>
      </c>
    </row>
    <row r="988">
      <c r="H988" s="3" t="str">
        <f>IFERROR(__xludf.DUMMYFUNCTION("IFERROR(TRIM(INDEX(SPLIT(E988,"" + ""),1)),"""")"),"")</f>
        <v/>
      </c>
      <c r="I988" s="3" t="str">
        <f>IFERROR(__xludf.DUMMYFUNCTION("IFERROR(TRIM(INDEX(SPLIT(E988,"" + ""),2)),"""")"),"")</f>
        <v/>
      </c>
      <c r="J988" s="5" t="str">
        <f>IFERROR(__xludf.DUMMYFUNCTION("IFERROR(TRIM(INDEX(SPLIT(E988,"" + ""),3)),"""")"),"")</f>
        <v/>
      </c>
      <c r="K988" s="3">
        <f>IFERROR(__xludf.DUMMYFUNCTION("IFERROR(IF(H988="""",0,INDEX(FILTER($Q$2:Q987,$C$2:C987=H988,$G$2:G987=G988),ROWS(FILTER($Q$2:Q987,$C$2:C987=H988,$G$2:G987=G988)),1)),1500)"),0.0)</f>
        <v>0</v>
      </c>
      <c r="L988" s="3">
        <f>IFERROR(__xludf.DUMMYFUNCTION("IFERROR(IF(I988="""",0,INDEX(FILTER($Q$2:Q987,$C$2:C987=I988,$G$2:G987=G988),ROWS(FILTER($Q$2:Q987,$C$2:C987=I988,$G$2:G987=G988)),1)),1500)"),0.0)</f>
        <v>0</v>
      </c>
      <c r="M988" s="3">
        <f>IFERROR(__xludf.DUMMYFUNCTION("IFERROR(IF(J988="""",0,INDEX(FILTER($Q$2:Q987,$C$2:C987=J988,$G$2:G987=G988),ROWS(FILTER($Q$2:Q987,$C$2:C987=J988,$G$2:G987=G988)),1)),1500)"),0.0)</f>
        <v>0</v>
      </c>
      <c r="N988" s="3">
        <f>IFERROR(__xludf.DUMMYFUNCTION("IFERROR(INDEX(FILTER($Q$2:Q987,$C$2:C987=C988,$G$2:G987=G988),ROWS(FILTER($Q$2:Q987,$C$2:C987=C988,$G$2:G987=G988)),1),1500)"),-720.0)</f>
        <v>-720</v>
      </c>
      <c r="O988" s="3">
        <f t="shared" si="3"/>
        <v>0</v>
      </c>
      <c r="P988" s="9">
        <f t="shared" si="1"/>
        <v>0</v>
      </c>
      <c r="Q988" s="5">
        <f t="shared" si="2"/>
        <v>-720</v>
      </c>
    </row>
    <row r="989">
      <c r="H989" s="3" t="str">
        <f>IFERROR(__xludf.DUMMYFUNCTION("IFERROR(TRIM(INDEX(SPLIT(E989,"" + ""),1)),"""")"),"")</f>
        <v/>
      </c>
      <c r="I989" s="3" t="str">
        <f>IFERROR(__xludf.DUMMYFUNCTION("IFERROR(TRIM(INDEX(SPLIT(E989,"" + ""),2)),"""")"),"")</f>
        <v/>
      </c>
      <c r="J989" s="5" t="str">
        <f>IFERROR(__xludf.DUMMYFUNCTION("IFERROR(TRIM(INDEX(SPLIT(E989,"" + ""),3)),"""")"),"")</f>
        <v/>
      </c>
      <c r="K989" s="3">
        <f>IFERROR(__xludf.DUMMYFUNCTION("IFERROR(IF(H989="""",0,INDEX(FILTER($Q$2:Q988,$C$2:C988=H989,$G$2:G988=G989),ROWS(FILTER($Q$2:Q988,$C$2:C988=H989,$G$2:G988=G989)),1)),1500)"),0.0)</f>
        <v>0</v>
      </c>
      <c r="L989" s="3">
        <f>IFERROR(__xludf.DUMMYFUNCTION("IFERROR(IF(I989="""",0,INDEX(FILTER($Q$2:Q988,$C$2:C988=I989,$G$2:G988=G989),ROWS(FILTER($Q$2:Q988,$C$2:C988=I989,$G$2:G988=G989)),1)),1500)"),0.0)</f>
        <v>0</v>
      </c>
      <c r="M989" s="3">
        <f>IFERROR(__xludf.DUMMYFUNCTION("IFERROR(IF(J989="""",0,INDEX(FILTER($Q$2:Q988,$C$2:C988=J989,$G$2:G988=G989),ROWS(FILTER($Q$2:Q988,$C$2:C988=J989,$G$2:G988=G989)),1)),1500)"),0.0)</f>
        <v>0</v>
      </c>
      <c r="N989" s="3">
        <f>IFERROR(__xludf.DUMMYFUNCTION("IFERROR(INDEX(FILTER($Q$2:Q988,$C$2:C988=C989,$G$2:G988=G989),ROWS(FILTER($Q$2:Q988,$C$2:C988=C989,$G$2:G988=G989)),1),1500)"),-720.0)</f>
        <v>-720</v>
      </c>
      <c r="O989" s="3">
        <f t="shared" si="3"/>
        <v>0</v>
      </c>
      <c r="P989" s="9">
        <f t="shared" si="1"/>
        <v>0</v>
      </c>
      <c r="Q989" s="5">
        <f t="shared" si="2"/>
        <v>-720</v>
      </c>
    </row>
    <row r="990">
      <c r="H990" s="3" t="str">
        <f>IFERROR(__xludf.DUMMYFUNCTION("IFERROR(TRIM(INDEX(SPLIT(E990,"" + ""),1)),"""")"),"")</f>
        <v/>
      </c>
      <c r="I990" s="3" t="str">
        <f>IFERROR(__xludf.DUMMYFUNCTION("IFERROR(TRIM(INDEX(SPLIT(E990,"" + ""),2)),"""")"),"")</f>
        <v/>
      </c>
      <c r="J990" s="5" t="str">
        <f>IFERROR(__xludf.DUMMYFUNCTION("IFERROR(TRIM(INDEX(SPLIT(E990,"" + ""),3)),"""")"),"")</f>
        <v/>
      </c>
      <c r="K990" s="3">
        <f>IFERROR(__xludf.DUMMYFUNCTION("IFERROR(IF(H990="""",0,INDEX(FILTER($Q$2:Q989,$C$2:C989=H990,$G$2:G989=G990),ROWS(FILTER($Q$2:Q989,$C$2:C989=H990,$G$2:G989=G990)),1)),1500)"),0.0)</f>
        <v>0</v>
      </c>
      <c r="L990" s="3">
        <f>IFERROR(__xludf.DUMMYFUNCTION("IFERROR(IF(I990="""",0,INDEX(FILTER($Q$2:Q989,$C$2:C989=I990,$G$2:G989=G990),ROWS(FILTER($Q$2:Q989,$C$2:C989=I990,$G$2:G989=G990)),1)),1500)"),0.0)</f>
        <v>0</v>
      </c>
      <c r="M990" s="3">
        <f>IFERROR(__xludf.DUMMYFUNCTION("IFERROR(IF(J990="""",0,INDEX(FILTER($Q$2:Q989,$C$2:C989=J990,$G$2:G989=G990),ROWS(FILTER($Q$2:Q989,$C$2:C989=J990,$G$2:G989=G990)),1)),1500)"),0.0)</f>
        <v>0</v>
      </c>
      <c r="N990" s="3">
        <f>IFERROR(__xludf.DUMMYFUNCTION("IFERROR(INDEX(FILTER($Q$2:Q989,$C$2:C989=C990,$G$2:G989=G990),ROWS(FILTER($Q$2:Q989,$C$2:C989=C990,$G$2:G989=G990)),1),1500)"),-720.0)</f>
        <v>-720</v>
      </c>
      <c r="O990" s="3">
        <f t="shared" si="3"/>
        <v>0</v>
      </c>
      <c r="P990" s="9">
        <f t="shared" si="1"/>
        <v>0</v>
      </c>
      <c r="Q990" s="5">
        <f t="shared" si="2"/>
        <v>-720</v>
      </c>
    </row>
    <row r="991">
      <c r="H991" s="3" t="str">
        <f>IFERROR(__xludf.DUMMYFUNCTION("IFERROR(TRIM(INDEX(SPLIT(E991,"" + ""),1)),"""")"),"")</f>
        <v/>
      </c>
      <c r="I991" s="3" t="str">
        <f>IFERROR(__xludf.DUMMYFUNCTION("IFERROR(TRIM(INDEX(SPLIT(E991,"" + ""),2)),"""")"),"")</f>
        <v/>
      </c>
      <c r="J991" s="5" t="str">
        <f>IFERROR(__xludf.DUMMYFUNCTION("IFERROR(TRIM(INDEX(SPLIT(E991,"" + ""),3)),"""")"),"")</f>
        <v/>
      </c>
      <c r="K991" s="3">
        <f>IFERROR(__xludf.DUMMYFUNCTION("IFERROR(IF(H991="""",0,INDEX(FILTER($Q$2:Q990,$C$2:C990=H991,$G$2:G990=G991),ROWS(FILTER($Q$2:Q990,$C$2:C990=H991,$G$2:G990=G991)),1)),1500)"),0.0)</f>
        <v>0</v>
      </c>
      <c r="L991" s="3">
        <f>IFERROR(__xludf.DUMMYFUNCTION("IFERROR(IF(I991="""",0,INDEX(FILTER($Q$2:Q990,$C$2:C990=I991,$G$2:G990=G991),ROWS(FILTER($Q$2:Q990,$C$2:C990=I991,$G$2:G990=G991)),1)),1500)"),0.0)</f>
        <v>0</v>
      </c>
      <c r="M991" s="3">
        <f>IFERROR(__xludf.DUMMYFUNCTION("IFERROR(IF(J991="""",0,INDEX(FILTER($Q$2:Q990,$C$2:C990=J991,$G$2:G990=G991),ROWS(FILTER($Q$2:Q990,$C$2:C990=J991,$G$2:G990=G991)),1)),1500)"),0.0)</f>
        <v>0</v>
      </c>
      <c r="N991" s="3">
        <f>IFERROR(__xludf.DUMMYFUNCTION("IFERROR(INDEX(FILTER($Q$2:Q990,$C$2:C990=C991,$G$2:G990=G991),ROWS(FILTER($Q$2:Q990,$C$2:C990=C991,$G$2:G990=G991)),1),1500)"),-720.0)</f>
        <v>-720</v>
      </c>
      <c r="O991" s="3">
        <f t="shared" si="3"/>
        <v>0</v>
      </c>
      <c r="P991" s="9">
        <f t="shared" si="1"/>
        <v>0</v>
      </c>
      <c r="Q991" s="5">
        <f t="shared" si="2"/>
        <v>-720</v>
      </c>
    </row>
    <row r="992">
      <c r="H992" s="3" t="str">
        <f>IFERROR(__xludf.DUMMYFUNCTION("IFERROR(TRIM(INDEX(SPLIT(E992,"" + ""),1)),"""")"),"")</f>
        <v/>
      </c>
      <c r="I992" s="3" t="str">
        <f>IFERROR(__xludf.DUMMYFUNCTION("IFERROR(TRIM(INDEX(SPLIT(E992,"" + ""),2)),"""")"),"")</f>
        <v/>
      </c>
      <c r="J992" s="5" t="str">
        <f>IFERROR(__xludf.DUMMYFUNCTION("IFERROR(TRIM(INDEX(SPLIT(E992,"" + ""),3)),"""")"),"")</f>
        <v/>
      </c>
      <c r="K992" s="3">
        <f>IFERROR(__xludf.DUMMYFUNCTION("IFERROR(IF(H992="""",0,INDEX(FILTER($Q$2:Q991,$C$2:C991=H992,$G$2:G991=G992),ROWS(FILTER($Q$2:Q991,$C$2:C991=H992,$G$2:G991=G992)),1)),1500)"),0.0)</f>
        <v>0</v>
      </c>
      <c r="L992" s="3">
        <f>IFERROR(__xludf.DUMMYFUNCTION("IFERROR(IF(I992="""",0,INDEX(FILTER($Q$2:Q991,$C$2:C991=I992,$G$2:G991=G992),ROWS(FILTER($Q$2:Q991,$C$2:C991=I992,$G$2:G991=G992)),1)),1500)"),0.0)</f>
        <v>0</v>
      </c>
      <c r="M992" s="3">
        <f>IFERROR(__xludf.DUMMYFUNCTION("IFERROR(IF(J992="""",0,INDEX(FILTER($Q$2:Q991,$C$2:C991=J992,$G$2:G991=G992),ROWS(FILTER($Q$2:Q991,$C$2:C991=J992,$G$2:G991=G992)),1)),1500)"),0.0)</f>
        <v>0</v>
      </c>
      <c r="N992" s="3">
        <f>IFERROR(__xludf.DUMMYFUNCTION("IFERROR(INDEX(FILTER($Q$2:Q991,$C$2:C991=C992,$G$2:G991=G992),ROWS(FILTER($Q$2:Q991,$C$2:C991=C992,$G$2:G991=G992)),1),1500)"),-720.0)</f>
        <v>-720</v>
      </c>
      <c r="O992" s="3">
        <f t="shared" si="3"/>
        <v>0</v>
      </c>
      <c r="P992" s="9">
        <f t="shared" si="1"/>
        <v>0</v>
      </c>
      <c r="Q992" s="5">
        <f t="shared" si="2"/>
        <v>-720</v>
      </c>
    </row>
    <row r="993">
      <c r="H993" s="3" t="str">
        <f>IFERROR(__xludf.DUMMYFUNCTION("IFERROR(TRIM(INDEX(SPLIT(E993,"" + ""),1)),"""")"),"")</f>
        <v/>
      </c>
      <c r="I993" s="3" t="str">
        <f>IFERROR(__xludf.DUMMYFUNCTION("IFERROR(TRIM(INDEX(SPLIT(E993,"" + ""),2)),"""")"),"")</f>
        <v/>
      </c>
      <c r="J993" s="5" t="str">
        <f>IFERROR(__xludf.DUMMYFUNCTION("IFERROR(TRIM(INDEX(SPLIT(E993,"" + ""),3)),"""")"),"")</f>
        <v/>
      </c>
      <c r="K993" s="3">
        <f>IFERROR(__xludf.DUMMYFUNCTION("IFERROR(IF(H993="""",0,INDEX(FILTER($Q$2:Q992,$C$2:C992=H993,$G$2:G992=G993),ROWS(FILTER($Q$2:Q992,$C$2:C992=H993,$G$2:G992=G993)),1)),1500)"),0.0)</f>
        <v>0</v>
      </c>
      <c r="L993" s="3">
        <f>IFERROR(__xludf.DUMMYFUNCTION("IFERROR(IF(I993="""",0,INDEX(FILTER($Q$2:Q992,$C$2:C992=I993,$G$2:G992=G993),ROWS(FILTER($Q$2:Q992,$C$2:C992=I993,$G$2:G992=G993)),1)),1500)"),0.0)</f>
        <v>0</v>
      </c>
      <c r="M993" s="3">
        <f>IFERROR(__xludf.DUMMYFUNCTION("IFERROR(IF(J993="""",0,INDEX(FILTER($Q$2:Q992,$C$2:C992=J993,$G$2:G992=G993),ROWS(FILTER($Q$2:Q992,$C$2:C992=J993,$G$2:G992=G993)),1)),1500)"),0.0)</f>
        <v>0</v>
      </c>
      <c r="N993" s="3">
        <f>IFERROR(__xludf.DUMMYFUNCTION("IFERROR(INDEX(FILTER($Q$2:Q992,$C$2:C992=C993,$G$2:G992=G993),ROWS(FILTER($Q$2:Q992,$C$2:C992=C993,$G$2:G992=G993)),1),1500)"),-720.0)</f>
        <v>-720</v>
      </c>
      <c r="O993" s="3">
        <f t="shared" si="3"/>
        <v>0</v>
      </c>
      <c r="P993" s="9">
        <f t="shared" si="1"/>
        <v>0</v>
      </c>
      <c r="Q993" s="5">
        <f t="shared" si="2"/>
        <v>-720</v>
      </c>
    </row>
    <row r="994">
      <c r="H994" s="3" t="str">
        <f>IFERROR(__xludf.DUMMYFUNCTION("IFERROR(TRIM(INDEX(SPLIT(E994,"" + ""),1)),"""")"),"")</f>
        <v/>
      </c>
      <c r="I994" s="3" t="str">
        <f>IFERROR(__xludf.DUMMYFUNCTION("IFERROR(TRIM(INDEX(SPLIT(E994,"" + ""),2)),"""")"),"")</f>
        <v/>
      </c>
      <c r="J994" s="5" t="str">
        <f>IFERROR(__xludf.DUMMYFUNCTION("IFERROR(TRIM(INDEX(SPLIT(E994,"" + ""),3)),"""")"),"")</f>
        <v/>
      </c>
      <c r="K994" s="3">
        <f>IFERROR(__xludf.DUMMYFUNCTION("IFERROR(IF(H994="""",0,INDEX(FILTER($Q$2:Q993,$C$2:C993=H994,$G$2:G993=G994),ROWS(FILTER($Q$2:Q993,$C$2:C993=H994,$G$2:G993=G994)),1)),1500)"),0.0)</f>
        <v>0</v>
      </c>
      <c r="L994" s="3">
        <f>IFERROR(__xludf.DUMMYFUNCTION("IFERROR(IF(I994="""",0,INDEX(FILTER($Q$2:Q993,$C$2:C993=I994,$G$2:G993=G994),ROWS(FILTER($Q$2:Q993,$C$2:C993=I994,$G$2:G993=G994)),1)),1500)"),0.0)</f>
        <v>0</v>
      </c>
      <c r="M994" s="3">
        <f>IFERROR(__xludf.DUMMYFUNCTION("IFERROR(IF(J994="""",0,INDEX(FILTER($Q$2:Q993,$C$2:C993=J994,$G$2:G993=G994),ROWS(FILTER($Q$2:Q993,$C$2:C993=J994,$G$2:G993=G994)),1)),1500)"),0.0)</f>
        <v>0</v>
      </c>
      <c r="N994" s="3">
        <f>IFERROR(__xludf.DUMMYFUNCTION("IFERROR(INDEX(FILTER($Q$2:Q993,$C$2:C993=C994,$G$2:G993=G994),ROWS(FILTER($Q$2:Q993,$C$2:C993=C994,$G$2:G993=G994)),1),1500)"),-720.0)</f>
        <v>-720</v>
      </c>
      <c r="O994" s="3">
        <f t="shared" si="3"/>
        <v>0</v>
      </c>
      <c r="P994" s="9">
        <f t="shared" si="1"/>
        <v>0</v>
      </c>
      <c r="Q994" s="5">
        <f t="shared" si="2"/>
        <v>-720</v>
      </c>
    </row>
    <row r="995">
      <c r="H995" s="3" t="str">
        <f>IFERROR(__xludf.DUMMYFUNCTION("IFERROR(TRIM(INDEX(SPLIT(E995,"" + ""),1)),"""")"),"")</f>
        <v/>
      </c>
      <c r="I995" s="3" t="str">
        <f>IFERROR(__xludf.DUMMYFUNCTION("IFERROR(TRIM(INDEX(SPLIT(E995,"" + ""),2)),"""")"),"")</f>
        <v/>
      </c>
      <c r="J995" s="5" t="str">
        <f>IFERROR(__xludf.DUMMYFUNCTION("IFERROR(TRIM(INDEX(SPLIT(E995,"" + ""),3)),"""")"),"")</f>
        <v/>
      </c>
      <c r="K995" s="3">
        <f>IFERROR(__xludf.DUMMYFUNCTION("IFERROR(IF(H995="""",0,INDEX(FILTER($Q$2:Q994,$C$2:C994=H995,$G$2:G994=G995),ROWS(FILTER($Q$2:Q994,$C$2:C994=H995,$G$2:G994=G995)),1)),1500)"),0.0)</f>
        <v>0</v>
      </c>
      <c r="L995" s="3">
        <f>IFERROR(__xludf.DUMMYFUNCTION("IFERROR(IF(I995="""",0,INDEX(FILTER($Q$2:Q994,$C$2:C994=I995,$G$2:G994=G995),ROWS(FILTER($Q$2:Q994,$C$2:C994=I995,$G$2:G994=G995)),1)),1500)"),0.0)</f>
        <v>0</v>
      </c>
      <c r="M995" s="3">
        <f>IFERROR(__xludf.DUMMYFUNCTION("IFERROR(IF(J995="""",0,INDEX(FILTER($Q$2:Q994,$C$2:C994=J995,$G$2:G994=G995),ROWS(FILTER($Q$2:Q994,$C$2:C994=J995,$G$2:G994=G995)),1)),1500)"),0.0)</f>
        <v>0</v>
      </c>
      <c r="N995" s="3">
        <f>IFERROR(__xludf.DUMMYFUNCTION("IFERROR(INDEX(FILTER($Q$2:Q994,$C$2:C994=C995,$G$2:G994=G995),ROWS(FILTER($Q$2:Q994,$C$2:C994=C995,$G$2:G994=G995)),1),1500)"),-720.0)</f>
        <v>-720</v>
      </c>
      <c r="O995" s="3">
        <f t="shared" si="3"/>
        <v>0</v>
      </c>
      <c r="P995" s="9">
        <f t="shared" si="1"/>
        <v>0</v>
      </c>
      <c r="Q995" s="5">
        <f t="shared" si="2"/>
        <v>-720</v>
      </c>
    </row>
    <row r="996">
      <c r="H996" s="3" t="str">
        <f>IFERROR(__xludf.DUMMYFUNCTION("IFERROR(TRIM(INDEX(SPLIT(E996,"" + ""),1)),"""")"),"")</f>
        <v/>
      </c>
      <c r="I996" s="3" t="str">
        <f>IFERROR(__xludf.DUMMYFUNCTION("IFERROR(TRIM(INDEX(SPLIT(E996,"" + ""),2)),"""")"),"")</f>
        <v/>
      </c>
      <c r="J996" s="5" t="str">
        <f>IFERROR(__xludf.DUMMYFUNCTION("IFERROR(TRIM(INDEX(SPLIT(E996,"" + ""),3)),"""")"),"")</f>
        <v/>
      </c>
      <c r="K996" s="3">
        <f>IFERROR(__xludf.DUMMYFUNCTION("IFERROR(IF(H996="""",0,INDEX(FILTER($Q$2:Q995,$C$2:C995=H996,$G$2:G995=G996),ROWS(FILTER($Q$2:Q995,$C$2:C995=H996,$G$2:G995=G996)),1)),1500)"),0.0)</f>
        <v>0</v>
      </c>
      <c r="L996" s="3">
        <f>IFERROR(__xludf.DUMMYFUNCTION("IFERROR(IF(I996="""",0,INDEX(FILTER($Q$2:Q995,$C$2:C995=I996,$G$2:G995=G996),ROWS(FILTER($Q$2:Q995,$C$2:C995=I996,$G$2:G995=G996)),1)),1500)"),0.0)</f>
        <v>0</v>
      </c>
      <c r="M996" s="3">
        <f>IFERROR(__xludf.DUMMYFUNCTION("IFERROR(IF(J996="""",0,INDEX(FILTER($Q$2:Q995,$C$2:C995=J996,$G$2:G995=G996),ROWS(FILTER($Q$2:Q995,$C$2:C995=J996,$G$2:G995=G996)),1)),1500)"),0.0)</f>
        <v>0</v>
      </c>
      <c r="N996" s="3">
        <f>IFERROR(__xludf.DUMMYFUNCTION("IFERROR(INDEX(FILTER($Q$2:Q995,$C$2:C995=C996,$G$2:G995=G996),ROWS(FILTER($Q$2:Q995,$C$2:C995=C996,$G$2:G995=G996)),1),1500)"),-720.0)</f>
        <v>-720</v>
      </c>
      <c r="O996" s="3">
        <f t="shared" si="3"/>
        <v>0</v>
      </c>
      <c r="P996" s="9">
        <f t="shared" si="1"/>
        <v>0</v>
      </c>
      <c r="Q996" s="5">
        <f t="shared" si="2"/>
        <v>-720</v>
      </c>
    </row>
    <row r="997">
      <c r="H997" s="3" t="str">
        <f>IFERROR(__xludf.DUMMYFUNCTION("IFERROR(TRIM(INDEX(SPLIT(E997,"" + ""),1)),"""")"),"")</f>
        <v/>
      </c>
      <c r="I997" s="3" t="str">
        <f>IFERROR(__xludf.DUMMYFUNCTION("IFERROR(TRIM(INDEX(SPLIT(E997,"" + ""),2)),"""")"),"")</f>
        <v/>
      </c>
      <c r="J997" s="5" t="str">
        <f>IFERROR(__xludf.DUMMYFUNCTION("IFERROR(TRIM(INDEX(SPLIT(E997,"" + ""),3)),"""")"),"")</f>
        <v/>
      </c>
      <c r="K997" s="3">
        <f>IFERROR(__xludf.DUMMYFUNCTION("IFERROR(IF(H997="""",0,INDEX(FILTER($Q$2:Q996,$C$2:C996=H997,$G$2:G996=G997),ROWS(FILTER($Q$2:Q996,$C$2:C996=H997,$G$2:G996=G997)),1)),1500)"),0.0)</f>
        <v>0</v>
      </c>
      <c r="L997" s="3">
        <f>IFERROR(__xludf.DUMMYFUNCTION("IFERROR(IF(I997="""",0,INDEX(FILTER($Q$2:Q996,$C$2:C996=I997,$G$2:G996=G997),ROWS(FILTER($Q$2:Q996,$C$2:C996=I997,$G$2:G996=G997)),1)),1500)"),0.0)</f>
        <v>0</v>
      </c>
      <c r="M997" s="3">
        <f>IFERROR(__xludf.DUMMYFUNCTION("IFERROR(IF(J997="""",0,INDEX(FILTER($Q$2:Q996,$C$2:C996=J997,$G$2:G996=G997),ROWS(FILTER($Q$2:Q996,$C$2:C996=J997,$G$2:G996=G997)),1)),1500)"),0.0)</f>
        <v>0</v>
      </c>
      <c r="N997" s="3">
        <f>IFERROR(__xludf.DUMMYFUNCTION("IFERROR(INDEX(FILTER($Q$2:Q996,$C$2:C996=C997,$G$2:G996=G997),ROWS(FILTER($Q$2:Q996,$C$2:C996=C997,$G$2:G996=G997)),1),1500)"),-720.0)</f>
        <v>-720</v>
      </c>
      <c r="O997" s="3">
        <f t="shared" si="3"/>
        <v>0</v>
      </c>
      <c r="P997" s="9">
        <f t="shared" si="1"/>
        <v>0</v>
      </c>
      <c r="Q997" s="5">
        <f t="shared" si="2"/>
        <v>-720</v>
      </c>
    </row>
    <row r="998">
      <c r="H998" s="3" t="str">
        <f>IFERROR(__xludf.DUMMYFUNCTION("IFERROR(TRIM(INDEX(SPLIT(E998,"" + ""),1)),"""")"),"")</f>
        <v/>
      </c>
      <c r="I998" s="3" t="str">
        <f>IFERROR(__xludf.DUMMYFUNCTION("IFERROR(TRIM(INDEX(SPLIT(E998,"" + ""),2)),"""")"),"")</f>
        <v/>
      </c>
      <c r="J998" s="5" t="str">
        <f>IFERROR(__xludf.DUMMYFUNCTION("IFERROR(TRIM(INDEX(SPLIT(E998,"" + ""),3)),"""")"),"")</f>
        <v/>
      </c>
      <c r="K998" s="3">
        <f>IFERROR(__xludf.DUMMYFUNCTION("IFERROR(IF(H998="""",0,INDEX(FILTER($Q$2:Q997,$C$2:C997=H998,$G$2:G997=G998),ROWS(FILTER($Q$2:Q997,$C$2:C997=H998,$G$2:G997=G998)),1)),1500)"),0.0)</f>
        <v>0</v>
      </c>
      <c r="L998" s="3">
        <f>IFERROR(__xludf.DUMMYFUNCTION("IFERROR(IF(I998="""",0,INDEX(FILTER($Q$2:Q997,$C$2:C997=I998,$G$2:G997=G998),ROWS(FILTER($Q$2:Q997,$C$2:C997=I998,$G$2:G997=G998)),1)),1500)"),0.0)</f>
        <v>0</v>
      </c>
      <c r="M998" s="3">
        <f>IFERROR(__xludf.DUMMYFUNCTION("IFERROR(IF(J998="""",0,INDEX(FILTER($Q$2:Q997,$C$2:C997=J998,$G$2:G997=G998),ROWS(FILTER($Q$2:Q997,$C$2:C997=J998,$G$2:G997=G998)),1)),1500)"),0.0)</f>
        <v>0</v>
      </c>
      <c r="N998" s="3">
        <f>IFERROR(__xludf.DUMMYFUNCTION("IFERROR(INDEX(FILTER($Q$2:Q997,$C$2:C997=C998,$G$2:G997=G998),ROWS(FILTER($Q$2:Q997,$C$2:C997=C998,$G$2:G997=G998)),1),1500)"),-720.0)</f>
        <v>-720</v>
      </c>
      <c r="O998" s="3">
        <f t="shared" si="3"/>
        <v>0</v>
      </c>
      <c r="P998" s="9">
        <f t="shared" si="1"/>
        <v>0</v>
      </c>
      <c r="Q998" s="5">
        <f t="shared" si="2"/>
        <v>-720</v>
      </c>
    </row>
    <row r="999">
      <c r="H999" s="3" t="str">
        <f>IFERROR(__xludf.DUMMYFUNCTION("IFERROR(TRIM(INDEX(SPLIT(E999,"" + ""),1)),"""")"),"")</f>
        <v/>
      </c>
      <c r="I999" s="3" t="str">
        <f>IFERROR(__xludf.DUMMYFUNCTION("IFERROR(TRIM(INDEX(SPLIT(E999,"" + ""),2)),"""")"),"")</f>
        <v/>
      </c>
      <c r="J999" s="5" t="str">
        <f>IFERROR(__xludf.DUMMYFUNCTION("IFERROR(TRIM(INDEX(SPLIT(E999,"" + ""),3)),"""")"),"")</f>
        <v/>
      </c>
      <c r="K999" s="3">
        <f>IFERROR(__xludf.DUMMYFUNCTION("IFERROR(IF(H999="""",0,INDEX(FILTER($Q$2:Q998,$C$2:C998=H999,$G$2:G998=G999),ROWS(FILTER($Q$2:Q998,$C$2:C998=H999,$G$2:G998=G999)),1)),1500)"),0.0)</f>
        <v>0</v>
      </c>
      <c r="L999" s="3">
        <f>IFERROR(__xludf.DUMMYFUNCTION("IFERROR(IF(I999="""",0,INDEX(FILTER($Q$2:Q998,$C$2:C998=I999,$G$2:G998=G999),ROWS(FILTER($Q$2:Q998,$C$2:C998=I999,$G$2:G998=G999)),1)),1500)"),0.0)</f>
        <v>0</v>
      </c>
      <c r="M999" s="3">
        <f>IFERROR(__xludf.DUMMYFUNCTION("IFERROR(IF(J999="""",0,INDEX(FILTER($Q$2:Q998,$C$2:C998=J999,$G$2:G998=G999),ROWS(FILTER($Q$2:Q998,$C$2:C998=J999,$G$2:G998=G999)),1)),1500)"),0.0)</f>
        <v>0</v>
      </c>
      <c r="N999" s="3">
        <f>IFERROR(__xludf.DUMMYFUNCTION("IFERROR(INDEX(FILTER($Q$2:Q998,$C$2:C998=C999,$G$2:G998=G999),ROWS(FILTER($Q$2:Q998,$C$2:C998=C999,$G$2:G998=G999)),1),1500)"),-720.0)</f>
        <v>-720</v>
      </c>
      <c r="O999" s="3">
        <f t="shared" si="3"/>
        <v>0</v>
      </c>
      <c r="P999" s="9">
        <f t="shared" si="1"/>
        <v>0</v>
      </c>
      <c r="Q999" s="5">
        <f t="shared" si="2"/>
        <v>-720</v>
      </c>
    </row>
    <row r="1000">
      <c r="H1000" s="3" t="str">
        <f>IFERROR(__xludf.DUMMYFUNCTION("IFERROR(TRIM(INDEX(SPLIT(E1000,"" + ""),1)),"""")"),"")</f>
        <v/>
      </c>
      <c r="I1000" s="3" t="str">
        <f>IFERROR(__xludf.DUMMYFUNCTION("IFERROR(TRIM(INDEX(SPLIT(E1000,"" + ""),2)),"""")"),"")</f>
        <v/>
      </c>
      <c r="J1000" s="5" t="str">
        <f>IFERROR(__xludf.DUMMYFUNCTION("IFERROR(TRIM(INDEX(SPLIT(E1000,"" + ""),3)),"""")"),"")</f>
        <v/>
      </c>
      <c r="K1000" s="3">
        <f>IFERROR(__xludf.DUMMYFUNCTION("IFERROR(IF(H1000="""",0,INDEX(FILTER($Q$2:Q999,$C$2:C999=H1000,$G$2:G999=G1000),ROWS(FILTER($Q$2:Q999,$C$2:C999=H1000,$G$2:G999=G1000)),1)),1500)"),0.0)</f>
        <v>0</v>
      </c>
      <c r="L1000" s="3">
        <f>IFERROR(__xludf.DUMMYFUNCTION("IFERROR(IF(I1000="""",0,INDEX(FILTER($Q$2:Q999,$C$2:C999=I1000,$G$2:G999=G1000),ROWS(FILTER($Q$2:Q999,$C$2:C999=I1000,$G$2:G999=G1000)),1)),1500)"),0.0)</f>
        <v>0</v>
      </c>
      <c r="M1000" s="3">
        <f>IFERROR(__xludf.DUMMYFUNCTION("IFERROR(IF(J1000="""",0,INDEX(FILTER($Q$2:Q999,$C$2:C999=J1000,$G$2:G999=G1000),ROWS(FILTER($Q$2:Q999,$C$2:C999=J1000,$G$2:G999=G1000)),1)),1500)"),0.0)</f>
        <v>0</v>
      </c>
      <c r="N1000" s="3">
        <f>IFERROR(__xludf.DUMMYFUNCTION("IFERROR(INDEX(FILTER($Q$2:Q999,$C$2:C999=C1000,$G$2:G999=G1000),ROWS(FILTER($Q$2:Q999,$C$2:C999=C1000,$G$2:G999=G1000)),1),1500)"),-720.0)</f>
        <v>-720</v>
      </c>
      <c r="O1000" s="3">
        <f t="shared" si="3"/>
        <v>0</v>
      </c>
      <c r="P1000" s="9">
        <f t="shared" si="1"/>
        <v>0</v>
      </c>
      <c r="Q1000" s="5">
        <f t="shared" si="2"/>
        <v>-720</v>
      </c>
    </row>
    <row r="1001">
      <c r="J1001" s="5"/>
      <c r="P1001" s="9"/>
      <c r="Q1001" s="5"/>
    </row>
    <row r="1002">
      <c r="J1002" s="5"/>
      <c r="P1002" s="9"/>
      <c r="Q1002" s="5"/>
    </row>
    <row r="1003">
      <c r="J1003" s="5"/>
      <c r="P1003" s="9"/>
      <c r="Q1003" s="5"/>
    </row>
    <row r="1004">
      <c r="J1004" s="5"/>
      <c r="P1004" s="9"/>
      <c r="Q1004" s="5"/>
    </row>
    <row r="1005">
      <c r="J1005" s="5"/>
      <c r="P1005" s="9"/>
      <c r="Q1005" s="5"/>
    </row>
    <row r="1006">
      <c r="J1006" s="5"/>
      <c r="P1006" s="9"/>
      <c r="Q1006" s="5"/>
    </row>
    <row r="1007">
      <c r="J1007" s="5"/>
      <c r="P1007" s="9"/>
      <c r="Q1007" s="5"/>
    </row>
    <row r="1008">
      <c r="J1008" s="5"/>
      <c r="P1008" s="9"/>
      <c r="Q1008" s="5"/>
    </row>
    <row r="1009">
      <c r="J1009" s="5"/>
      <c r="P1009" s="9"/>
      <c r="Q1009" s="5"/>
    </row>
    <row r="1010">
      <c r="J1010" s="5"/>
      <c r="P1010" s="9"/>
      <c r="Q1010" s="5"/>
    </row>
    <row r="1011">
      <c r="J1011" s="5"/>
      <c r="P1011" s="9"/>
      <c r="Q1011" s="5"/>
    </row>
    <row r="1012">
      <c r="J1012" s="5"/>
      <c r="P1012" s="9"/>
      <c r="Q1012" s="5"/>
    </row>
    <row r="1013">
      <c r="J1013" s="5"/>
      <c r="P1013" s="9"/>
      <c r="Q1013" s="5"/>
    </row>
    <row r="1014">
      <c r="J1014" s="5"/>
      <c r="P1014" s="9"/>
      <c r="Q1014" s="5"/>
    </row>
    <row r="1015">
      <c r="J1015" s="5"/>
      <c r="P1015" s="9"/>
      <c r="Q1015" s="5"/>
    </row>
    <row r="1016">
      <c r="J1016" s="5"/>
      <c r="P1016" s="9"/>
      <c r="Q1016" s="5"/>
    </row>
    <row r="1017">
      <c r="J1017" s="5"/>
      <c r="P1017" s="9"/>
      <c r="Q1017" s="5"/>
    </row>
    <row r="1018">
      <c r="J1018" s="5"/>
      <c r="P1018" s="9"/>
      <c r="Q1018" s="5"/>
    </row>
    <row r="1019">
      <c r="J1019" s="5"/>
      <c r="P1019" s="9"/>
      <c r="Q1019" s="5"/>
    </row>
    <row r="1020">
      <c r="J1020" s="5"/>
      <c r="P1020" s="9"/>
      <c r="Q1020" s="5"/>
    </row>
    <row r="1021">
      <c r="J1021" s="5"/>
      <c r="P1021" s="9"/>
      <c r="Q1021" s="5"/>
    </row>
    <row r="1022">
      <c r="J1022" s="5"/>
      <c r="P1022" s="9"/>
      <c r="Q1022" s="5"/>
    </row>
    <row r="1023">
      <c r="J1023" s="5"/>
      <c r="P1023" s="9"/>
      <c r="Q1023" s="5"/>
    </row>
    <row r="1024">
      <c r="J1024" s="5"/>
      <c r="P1024" s="9"/>
      <c r="Q1024" s="5"/>
    </row>
    <row r="1025">
      <c r="J1025" s="5"/>
      <c r="P1025" s="9"/>
      <c r="Q1025" s="5"/>
    </row>
    <row r="1026">
      <c r="J1026" s="5"/>
      <c r="P1026" s="9"/>
      <c r="Q1026" s="5"/>
    </row>
    <row r="1027">
      <c r="J1027" s="5"/>
      <c r="P1027" s="9"/>
      <c r="Q1027" s="5"/>
    </row>
    <row r="1028">
      <c r="J1028" s="5"/>
      <c r="P1028" s="9"/>
      <c r="Q1028" s="5"/>
    </row>
    <row r="1029">
      <c r="J1029" s="5"/>
      <c r="P1029" s="9"/>
      <c r="Q1029" s="5"/>
    </row>
    <row r="1030">
      <c r="J1030" s="5"/>
      <c r="P1030" s="9"/>
      <c r="Q1030" s="5"/>
    </row>
    <row r="1031">
      <c r="J1031" s="5"/>
      <c r="P1031" s="9"/>
      <c r="Q1031" s="5"/>
    </row>
    <row r="1032">
      <c r="J1032" s="5"/>
      <c r="P1032" s="9"/>
      <c r="Q1032" s="5"/>
    </row>
    <row r="1033">
      <c r="J1033" s="5"/>
      <c r="P1033" s="9"/>
      <c r="Q1033" s="5"/>
    </row>
    <row r="1034">
      <c r="J1034" s="5"/>
      <c r="P1034" s="9"/>
      <c r="Q1034" s="5"/>
    </row>
    <row r="1035">
      <c r="J1035" s="5"/>
      <c r="P1035" s="9"/>
      <c r="Q1035" s="5"/>
    </row>
    <row r="1036">
      <c r="J1036" s="5"/>
      <c r="P1036" s="9"/>
      <c r="Q1036" s="5"/>
    </row>
    <row r="1037">
      <c r="J1037" s="5"/>
      <c r="P1037" s="9"/>
      <c r="Q1037" s="5"/>
    </row>
    <row r="1038">
      <c r="J1038" s="5"/>
      <c r="P1038" s="9"/>
      <c r="Q1038" s="5"/>
    </row>
    <row r="1039">
      <c r="J1039" s="5"/>
      <c r="P1039" s="9"/>
      <c r="Q1039" s="5"/>
    </row>
    <row r="1040">
      <c r="J1040" s="5"/>
      <c r="P1040" s="9"/>
      <c r="Q1040" s="5"/>
    </row>
    <row r="1041">
      <c r="J1041" s="5"/>
      <c r="P1041" s="9"/>
      <c r="Q1041" s="5"/>
    </row>
    <row r="1042">
      <c r="J1042" s="5"/>
      <c r="P1042" s="9"/>
      <c r="Q1042" s="5"/>
    </row>
    <row r="1043">
      <c r="J1043" s="5"/>
      <c r="P1043" s="9"/>
      <c r="Q1043" s="5"/>
    </row>
    <row r="1044">
      <c r="J1044" s="5"/>
      <c r="P1044" s="9"/>
      <c r="Q1044" s="5"/>
    </row>
    <row r="1045">
      <c r="J1045" s="5"/>
      <c r="P1045" s="9"/>
      <c r="Q1045" s="5"/>
    </row>
    <row r="1046">
      <c r="J1046" s="5"/>
      <c r="P1046" s="9"/>
      <c r="Q1046" s="5"/>
    </row>
    <row r="1047">
      <c r="J1047" s="5"/>
      <c r="P1047" s="9"/>
      <c r="Q1047" s="5"/>
    </row>
    <row r="1048">
      <c r="J1048" s="5"/>
      <c r="P1048" s="9"/>
      <c r="Q1048" s="5"/>
    </row>
    <row r="1049">
      <c r="J1049" s="5"/>
      <c r="P1049" s="9"/>
      <c r="Q1049" s="5"/>
    </row>
    <row r="1050">
      <c r="J1050" s="5"/>
      <c r="P1050" s="9"/>
      <c r="Q1050" s="5"/>
    </row>
    <row r="1051">
      <c r="J1051" s="5"/>
      <c r="P1051" s="9"/>
      <c r="Q1051" s="5"/>
    </row>
    <row r="1052">
      <c r="J1052" s="5"/>
      <c r="P1052" s="9"/>
      <c r="Q1052" s="5"/>
    </row>
    <row r="1053">
      <c r="J1053" s="5"/>
      <c r="P1053" s="9"/>
      <c r="Q1053" s="5"/>
    </row>
    <row r="1054">
      <c r="J1054" s="5"/>
      <c r="P1054" s="9"/>
      <c r="Q1054" s="5"/>
    </row>
    <row r="1055">
      <c r="J1055" s="5"/>
      <c r="P1055" s="9"/>
      <c r="Q1055" s="5"/>
    </row>
    <row r="1056">
      <c r="J1056" s="5"/>
      <c r="P1056" s="9"/>
      <c r="Q1056" s="5"/>
    </row>
    <row r="1057">
      <c r="J1057" s="5"/>
      <c r="P1057" s="9"/>
      <c r="Q1057" s="5"/>
    </row>
    <row r="1058">
      <c r="J1058" s="5"/>
      <c r="P1058" s="9"/>
      <c r="Q1058" s="5"/>
    </row>
    <row r="1059">
      <c r="J1059" s="5"/>
      <c r="P1059" s="9"/>
      <c r="Q1059" s="5"/>
    </row>
    <row r="1060">
      <c r="J1060" s="5"/>
      <c r="P1060" s="9"/>
      <c r="Q1060" s="5"/>
    </row>
    <row r="1061">
      <c r="J1061" s="5"/>
      <c r="P1061" s="9"/>
      <c r="Q1061" s="5"/>
    </row>
    <row r="1062">
      <c r="J1062" s="5"/>
      <c r="P1062" s="9"/>
      <c r="Q1062" s="5"/>
    </row>
    <row r="1063">
      <c r="J1063" s="5"/>
      <c r="P1063" s="9"/>
      <c r="Q1063" s="5"/>
    </row>
    <row r="1064">
      <c r="J1064" s="5"/>
      <c r="P1064" s="9"/>
      <c r="Q1064" s="5"/>
    </row>
    <row r="1065">
      <c r="J1065" s="5"/>
      <c r="P1065" s="9"/>
      <c r="Q1065" s="5"/>
    </row>
    <row r="1066">
      <c r="J1066" s="5"/>
      <c r="P1066" s="9"/>
      <c r="Q1066" s="5"/>
    </row>
    <row r="1067">
      <c r="J1067" s="5"/>
      <c r="P1067" s="9"/>
      <c r="Q1067" s="5"/>
    </row>
    <row r="1068">
      <c r="J1068" s="5"/>
      <c r="P1068" s="9"/>
      <c r="Q1068" s="5"/>
    </row>
    <row r="1069">
      <c r="J1069" s="5"/>
      <c r="P1069" s="9"/>
      <c r="Q1069" s="5"/>
    </row>
    <row r="1070">
      <c r="J1070" s="5"/>
      <c r="P1070" s="9"/>
      <c r="Q1070" s="5"/>
    </row>
    <row r="1071">
      <c r="J1071" s="5"/>
      <c r="P1071" s="9"/>
      <c r="Q1071" s="5"/>
    </row>
    <row r="1072">
      <c r="J1072" s="5"/>
      <c r="P1072" s="9"/>
      <c r="Q1072" s="5"/>
    </row>
    <row r="1073">
      <c r="J1073" s="5"/>
      <c r="P1073" s="9"/>
      <c r="Q1073" s="5"/>
    </row>
    <row r="1074">
      <c r="J1074" s="5"/>
      <c r="P1074" s="9"/>
      <c r="Q1074" s="5"/>
    </row>
    <row r="1075">
      <c r="J1075" s="5"/>
      <c r="P1075" s="9"/>
      <c r="Q1075" s="5"/>
    </row>
    <row r="1076">
      <c r="J1076" s="5"/>
      <c r="P1076" s="9"/>
      <c r="Q1076" s="5"/>
    </row>
    <row r="1077">
      <c r="J1077" s="5"/>
      <c r="P1077" s="9"/>
      <c r="Q1077" s="5"/>
    </row>
    <row r="1078">
      <c r="J1078" s="5"/>
      <c r="P1078" s="9"/>
      <c r="Q1078" s="5"/>
    </row>
    <row r="1079">
      <c r="J1079" s="5"/>
      <c r="P1079" s="9"/>
      <c r="Q1079" s="5"/>
    </row>
    <row r="1080">
      <c r="J1080" s="5"/>
      <c r="P1080" s="9"/>
      <c r="Q1080" s="5"/>
    </row>
    <row r="1081">
      <c r="J1081" s="5"/>
      <c r="P1081" s="9"/>
      <c r="Q1081" s="5"/>
    </row>
    <row r="1082">
      <c r="J1082" s="5"/>
      <c r="P1082" s="9"/>
      <c r="Q1082" s="5"/>
    </row>
    <row r="1083">
      <c r="J1083" s="5"/>
      <c r="P1083" s="9"/>
      <c r="Q1083" s="5"/>
    </row>
    <row r="1084">
      <c r="J1084" s="5"/>
      <c r="P1084" s="9"/>
      <c r="Q1084" s="5"/>
    </row>
    <row r="1085">
      <c r="J1085" s="5"/>
      <c r="P1085" s="9"/>
      <c r="Q1085" s="5"/>
    </row>
    <row r="1086">
      <c r="J1086" s="5"/>
      <c r="P1086" s="9"/>
      <c r="Q1086" s="5"/>
    </row>
    <row r="1087">
      <c r="J1087" s="5"/>
      <c r="P1087" s="9"/>
      <c r="Q1087" s="5"/>
    </row>
    <row r="1088">
      <c r="J1088" s="5"/>
      <c r="P1088" s="9"/>
      <c r="Q1088" s="5"/>
    </row>
    <row r="1089">
      <c r="J1089" s="5"/>
      <c r="P1089" s="9"/>
      <c r="Q1089" s="5"/>
    </row>
    <row r="1090">
      <c r="J1090" s="5"/>
      <c r="P1090" s="9"/>
      <c r="Q1090" s="5"/>
    </row>
    <row r="1091">
      <c r="J1091" s="5"/>
      <c r="P1091" s="9"/>
      <c r="Q1091" s="5"/>
    </row>
    <row r="1092">
      <c r="J1092" s="5"/>
      <c r="P1092" s="9"/>
      <c r="Q1092" s="5"/>
    </row>
    <row r="1093">
      <c r="J1093" s="5"/>
      <c r="P1093" s="9"/>
      <c r="Q1093" s="5"/>
    </row>
    <row r="1094">
      <c r="J1094" s="5"/>
      <c r="P1094" s="9"/>
      <c r="Q1094" s="5"/>
    </row>
    <row r="1095">
      <c r="J1095" s="5"/>
      <c r="P1095" s="9"/>
      <c r="Q1095" s="5"/>
    </row>
    <row r="1096">
      <c r="J1096" s="5"/>
      <c r="P1096" s="9"/>
      <c r="Q1096" s="5"/>
    </row>
    <row r="1097">
      <c r="J1097" s="5"/>
      <c r="P1097" s="9"/>
      <c r="Q1097" s="5"/>
    </row>
    <row r="1098">
      <c r="J1098" s="5"/>
      <c r="P1098" s="9"/>
      <c r="Q1098" s="5"/>
    </row>
    <row r="1099">
      <c r="J1099" s="5"/>
      <c r="P1099" s="9"/>
      <c r="Q1099" s="5"/>
    </row>
    <row r="1100">
      <c r="J1100" s="5"/>
      <c r="P1100" s="9"/>
      <c r="Q1100" s="5"/>
    </row>
    <row r="1101">
      <c r="J1101" s="5"/>
      <c r="P1101" s="9"/>
      <c r="Q1101" s="5"/>
    </row>
    <row r="1102">
      <c r="J1102" s="5"/>
      <c r="P1102" s="9"/>
      <c r="Q1102" s="5"/>
    </row>
    <row r="1103">
      <c r="J1103" s="5"/>
      <c r="P1103" s="9"/>
      <c r="Q1103" s="5"/>
    </row>
    <row r="1104">
      <c r="J1104" s="5"/>
      <c r="P1104" s="9"/>
      <c r="Q1104" s="5"/>
    </row>
    <row r="1105">
      <c r="J1105" s="5"/>
      <c r="P1105" s="9"/>
      <c r="Q1105" s="5"/>
    </row>
    <row r="1106">
      <c r="J1106" s="5"/>
      <c r="P1106" s="9"/>
      <c r="Q1106" s="5"/>
    </row>
    <row r="1107">
      <c r="J1107" s="5"/>
      <c r="P1107" s="9"/>
      <c r="Q1107" s="5"/>
    </row>
    <row r="1108">
      <c r="J1108" s="5"/>
      <c r="P1108" s="9"/>
      <c r="Q1108" s="5"/>
    </row>
    <row r="1109">
      <c r="J1109" s="5"/>
      <c r="P1109" s="9"/>
      <c r="Q1109" s="5"/>
    </row>
    <row r="1110">
      <c r="J1110" s="5"/>
      <c r="P1110" s="9"/>
      <c r="Q1110" s="5"/>
    </row>
    <row r="1111">
      <c r="J1111" s="5"/>
      <c r="P1111" s="9"/>
      <c r="Q1111" s="5"/>
    </row>
    <row r="1112">
      <c r="J1112" s="5"/>
      <c r="P1112" s="9"/>
      <c r="Q1112" s="5"/>
    </row>
    <row r="1113">
      <c r="J1113" s="5"/>
      <c r="P1113" s="9"/>
      <c r="Q1113" s="5"/>
    </row>
    <row r="1114">
      <c r="J1114" s="5"/>
      <c r="P1114" s="9"/>
      <c r="Q1114" s="5"/>
    </row>
    <row r="1115">
      <c r="J1115" s="5"/>
      <c r="P1115" s="9"/>
      <c r="Q1115" s="5"/>
    </row>
    <row r="1116">
      <c r="J1116" s="5"/>
      <c r="P1116" s="9"/>
      <c r="Q1116" s="5"/>
    </row>
    <row r="1117">
      <c r="J1117" s="5"/>
      <c r="P1117" s="9"/>
      <c r="Q1117" s="5"/>
    </row>
    <row r="1118">
      <c r="J1118" s="5"/>
      <c r="P1118" s="9"/>
      <c r="Q1118" s="5"/>
    </row>
    <row r="1119">
      <c r="J1119" s="5"/>
      <c r="P1119" s="9"/>
      <c r="Q1119" s="5"/>
    </row>
    <row r="1120">
      <c r="J1120" s="5"/>
      <c r="P1120" s="9"/>
      <c r="Q1120" s="5"/>
    </row>
    <row r="1121">
      <c r="J1121" s="5"/>
      <c r="P1121" s="9"/>
      <c r="Q1121" s="5"/>
    </row>
    <row r="1122">
      <c r="J1122" s="5"/>
      <c r="P1122" s="9"/>
      <c r="Q1122" s="5"/>
    </row>
    <row r="1123">
      <c r="J1123" s="5"/>
      <c r="P1123" s="9"/>
      <c r="Q1123" s="5"/>
    </row>
    <row r="1124">
      <c r="J1124" s="5"/>
      <c r="P1124" s="9"/>
      <c r="Q1124" s="5"/>
    </row>
    <row r="1125">
      <c r="J1125" s="5"/>
      <c r="P1125" s="9"/>
      <c r="Q1125" s="5"/>
    </row>
    <row r="1126">
      <c r="J1126" s="5"/>
      <c r="P1126" s="9"/>
      <c r="Q1126" s="5"/>
    </row>
    <row r="1127">
      <c r="J1127" s="5"/>
      <c r="P1127" s="9"/>
      <c r="Q1127" s="5"/>
    </row>
    <row r="1128">
      <c r="J1128" s="5"/>
      <c r="P1128" s="9"/>
      <c r="Q1128" s="5"/>
    </row>
    <row r="1129">
      <c r="J1129" s="5"/>
      <c r="P1129" s="9"/>
      <c r="Q1129" s="5"/>
    </row>
    <row r="1130">
      <c r="J1130" s="5"/>
      <c r="P1130" s="9"/>
      <c r="Q1130" s="5"/>
    </row>
    <row r="1131">
      <c r="J1131" s="5"/>
      <c r="P1131" s="9"/>
      <c r="Q1131" s="5"/>
    </row>
    <row r="1132">
      <c r="J1132" s="5"/>
      <c r="P1132" s="9"/>
      <c r="Q1132" s="5"/>
    </row>
    <row r="1133">
      <c r="J1133" s="5"/>
      <c r="P1133" s="9"/>
      <c r="Q1133" s="5"/>
    </row>
    <row r="1134">
      <c r="J1134" s="5"/>
      <c r="P1134" s="9"/>
      <c r="Q1134" s="5"/>
    </row>
    <row r="1135">
      <c r="J1135" s="5"/>
      <c r="P1135" s="9"/>
      <c r="Q1135" s="5"/>
    </row>
    <row r="1136">
      <c r="J1136" s="5"/>
      <c r="P1136" s="9"/>
      <c r="Q1136" s="5"/>
    </row>
    <row r="1137">
      <c r="J1137" s="5"/>
      <c r="P1137" s="9"/>
      <c r="Q1137" s="5"/>
    </row>
    <row r="1138">
      <c r="J1138" s="5"/>
      <c r="P1138" s="9"/>
      <c r="Q1138" s="5"/>
    </row>
    <row r="1139">
      <c r="J1139" s="5"/>
      <c r="P1139" s="9"/>
      <c r="Q1139" s="5"/>
    </row>
    <row r="1140">
      <c r="J1140" s="5"/>
      <c r="P1140" s="9"/>
      <c r="Q1140" s="5"/>
    </row>
    <row r="1141">
      <c r="J1141" s="5"/>
      <c r="P1141" s="9"/>
      <c r="Q1141" s="5"/>
    </row>
    <row r="1142">
      <c r="J1142" s="5"/>
      <c r="P1142" s="9"/>
      <c r="Q1142" s="5"/>
    </row>
    <row r="1143">
      <c r="J1143" s="5"/>
      <c r="P1143" s="9"/>
      <c r="Q1143" s="5"/>
    </row>
    <row r="1144">
      <c r="J1144" s="5"/>
      <c r="P1144" s="9"/>
      <c r="Q1144" s="5"/>
    </row>
    <row r="1145">
      <c r="J1145" s="5"/>
      <c r="P1145" s="9"/>
      <c r="Q1145" s="5"/>
    </row>
    <row r="1146">
      <c r="J1146" s="5"/>
      <c r="P1146" s="9"/>
      <c r="Q1146" s="5"/>
    </row>
    <row r="1147">
      <c r="J1147" s="5"/>
      <c r="P1147" s="9"/>
      <c r="Q1147" s="5"/>
    </row>
    <row r="1148">
      <c r="J1148" s="5"/>
      <c r="P1148" s="9"/>
      <c r="Q1148" s="5"/>
    </row>
    <row r="1149">
      <c r="J1149" s="5"/>
      <c r="P1149" s="9"/>
      <c r="Q1149" s="5"/>
    </row>
    <row r="1150">
      <c r="J1150" s="5"/>
      <c r="P1150" s="9"/>
      <c r="Q1150" s="5"/>
    </row>
    <row r="1151">
      <c r="J1151" s="5"/>
      <c r="P1151" s="9"/>
      <c r="Q1151" s="5"/>
    </row>
    <row r="1152">
      <c r="J1152" s="5"/>
      <c r="P1152" s="9"/>
      <c r="Q1152" s="5"/>
    </row>
    <row r="1153">
      <c r="J1153" s="5"/>
      <c r="P1153" s="9"/>
      <c r="Q1153" s="5"/>
    </row>
    <row r="1154">
      <c r="J1154" s="5"/>
      <c r="P1154" s="9"/>
      <c r="Q1154" s="5"/>
    </row>
    <row r="1155">
      <c r="J1155" s="5"/>
      <c r="P1155" s="9"/>
      <c r="Q1155" s="5"/>
    </row>
    <row r="1156">
      <c r="J1156" s="5"/>
      <c r="P1156" s="9"/>
      <c r="Q1156" s="5"/>
    </row>
    <row r="1157">
      <c r="J1157" s="5"/>
      <c r="P1157" s="9"/>
      <c r="Q1157" s="5"/>
    </row>
    <row r="1158">
      <c r="J1158" s="5"/>
      <c r="P1158" s="9"/>
      <c r="Q1158" s="5"/>
    </row>
    <row r="1159">
      <c r="J1159" s="5"/>
      <c r="P1159" s="9"/>
      <c r="Q1159" s="5"/>
    </row>
    <row r="1160">
      <c r="J1160" s="5"/>
      <c r="P1160" s="9"/>
      <c r="Q1160" s="5"/>
    </row>
    <row r="1161">
      <c r="J1161" s="5"/>
      <c r="P1161" s="9"/>
      <c r="Q1161" s="5"/>
    </row>
    <row r="1162">
      <c r="J1162" s="5"/>
      <c r="P1162" s="9"/>
      <c r="Q1162" s="5"/>
    </row>
    <row r="1163">
      <c r="J1163" s="5"/>
      <c r="P1163" s="9"/>
      <c r="Q1163" s="5"/>
    </row>
    <row r="1164">
      <c r="J1164" s="5"/>
      <c r="P1164" s="9"/>
      <c r="Q1164" s="5"/>
    </row>
    <row r="1165">
      <c r="J1165" s="5"/>
      <c r="P1165" s="9"/>
      <c r="Q1165" s="5"/>
    </row>
    <row r="1166">
      <c r="J1166" s="5"/>
      <c r="P1166" s="9"/>
      <c r="Q1166" s="5"/>
    </row>
    <row r="1167">
      <c r="J1167" s="5"/>
      <c r="P1167" s="9"/>
      <c r="Q1167" s="5"/>
    </row>
    <row r="1168">
      <c r="J1168" s="5"/>
      <c r="P1168" s="9"/>
      <c r="Q1168" s="5"/>
    </row>
    <row r="1169">
      <c r="J1169" s="5"/>
      <c r="P1169" s="9"/>
      <c r="Q1169" s="5"/>
    </row>
    <row r="1170">
      <c r="J1170" s="5"/>
      <c r="P1170" s="9"/>
      <c r="Q1170" s="5"/>
    </row>
    <row r="1171">
      <c r="J1171" s="5"/>
      <c r="P1171" s="9"/>
      <c r="Q1171" s="5"/>
    </row>
    <row r="1172">
      <c r="J1172" s="5"/>
      <c r="P1172" s="9"/>
      <c r="Q1172" s="5"/>
    </row>
    <row r="1173">
      <c r="J1173" s="5"/>
      <c r="P1173" s="9"/>
      <c r="Q1173" s="5"/>
    </row>
    <row r="1174">
      <c r="J1174" s="5"/>
      <c r="P1174" s="9"/>
      <c r="Q1174" s="5"/>
    </row>
    <row r="1175">
      <c r="J1175" s="5"/>
      <c r="P1175" s="9"/>
      <c r="Q1175" s="5"/>
    </row>
    <row r="1176">
      <c r="J1176" s="5"/>
      <c r="P1176" s="9"/>
      <c r="Q1176" s="5"/>
    </row>
    <row r="1177">
      <c r="J1177" s="5"/>
      <c r="P1177" s="9"/>
      <c r="Q1177" s="5"/>
    </row>
    <row r="1178">
      <c r="J1178" s="5"/>
      <c r="P1178" s="9"/>
      <c r="Q1178" s="5"/>
    </row>
    <row r="1179">
      <c r="J1179" s="5"/>
      <c r="P1179" s="9"/>
      <c r="Q1179" s="5"/>
    </row>
    <row r="1180">
      <c r="J1180" s="5"/>
      <c r="P1180" s="9"/>
      <c r="Q1180" s="5"/>
    </row>
    <row r="1181">
      <c r="J1181" s="5"/>
      <c r="P1181" s="9"/>
      <c r="Q1181" s="5"/>
    </row>
    <row r="1182">
      <c r="J1182" s="5"/>
      <c r="P1182" s="9"/>
      <c r="Q1182" s="5"/>
    </row>
    <row r="1183">
      <c r="J1183" s="5"/>
      <c r="P1183" s="9"/>
      <c r="Q1183" s="5"/>
    </row>
    <row r="1184">
      <c r="J1184" s="5"/>
      <c r="P1184" s="9"/>
      <c r="Q1184" s="5"/>
    </row>
    <row r="1185">
      <c r="J1185" s="5"/>
      <c r="P1185" s="9"/>
      <c r="Q1185" s="5"/>
    </row>
    <row r="1186">
      <c r="J1186" s="5"/>
      <c r="P1186" s="9"/>
      <c r="Q1186" s="5"/>
    </row>
    <row r="1187">
      <c r="J1187" s="5"/>
      <c r="P1187" s="9"/>
      <c r="Q1187" s="5"/>
    </row>
    <row r="1188">
      <c r="J1188" s="5"/>
      <c r="P1188" s="9"/>
      <c r="Q1188" s="5"/>
    </row>
    <row r="1189">
      <c r="J1189" s="5"/>
      <c r="P1189" s="9"/>
      <c r="Q1189" s="5"/>
    </row>
    <row r="1190">
      <c r="J1190" s="5"/>
      <c r="P1190" s="9"/>
      <c r="Q1190" s="5"/>
    </row>
    <row r="1191">
      <c r="J1191" s="5"/>
      <c r="P1191" s="9"/>
      <c r="Q1191" s="5"/>
    </row>
    <row r="1192">
      <c r="J1192" s="5"/>
      <c r="P1192" s="9"/>
      <c r="Q1192" s="5"/>
    </row>
    <row r="1193">
      <c r="J1193" s="5"/>
      <c r="P1193" s="9"/>
      <c r="Q1193" s="5"/>
    </row>
    <row r="1194">
      <c r="J1194" s="5"/>
      <c r="P1194" s="9"/>
      <c r="Q1194" s="5"/>
    </row>
    <row r="1195">
      <c r="J1195" s="5"/>
      <c r="P1195" s="9"/>
      <c r="Q1195" s="5"/>
    </row>
    <row r="1196">
      <c r="J1196" s="5"/>
      <c r="P1196" s="9"/>
      <c r="Q1196" s="5"/>
    </row>
    <row r="1197">
      <c r="J1197" s="5"/>
      <c r="P1197" s="9"/>
      <c r="Q1197" s="5"/>
    </row>
    <row r="1198">
      <c r="J1198" s="5"/>
      <c r="P1198" s="9"/>
      <c r="Q1198" s="5"/>
    </row>
    <row r="1199">
      <c r="J1199" s="5"/>
      <c r="P1199" s="9"/>
      <c r="Q1199" s="5"/>
    </row>
    <row r="1200">
      <c r="J1200" s="5"/>
      <c r="P1200" s="9"/>
      <c r="Q1200" s="5"/>
    </row>
    <row r="1201">
      <c r="J1201" s="5"/>
      <c r="P1201" s="9"/>
      <c r="Q1201" s="5"/>
    </row>
    <row r="1202">
      <c r="J1202" s="5"/>
      <c r="P1202" s="9"/>
      <c r="Q1202" s="5"/>
    </row>
    <row r="1203">
      <c r="J1203" s="5"/>
      <c r="P1203" s="9"/>
      <c r="Q1203" s="5"/>
    </row>
    <row r="1204">
      <c r="J1204" s="5"/>
      <c r="P1204" s="9"/>
      <c r="Q1204" s="5"/>
    </row>
    <row r="1205">
      <c r="J1205" s="5"/>
      <c r="P1205" s="9"/>
      <c r="Q1205" s="5"/>
    </row>
    <row r="1206">
      <c r="J1206" s="5"/>
      <c r="P1206" s="9"/>
      <c r="Q1206" s="5"/>
    </row>
    <row r="1207">
      <c r="J1207" s="5"/>
      <c r="P1207" s="9"/>
      <c r="Q1207" s="5"/>
    </row>
    <row r="1208">
      <c r="J1208" s="5"/>
      <c r="P1208" s="9"/>
      <c r="Q1208" s="5"/>
    </row>
    <row r="1209">
      <c r="J1209" s="5"/>
      <c r="P1209" s="9"/>
      <c r="Q1209" s="5"/>
    </row>
    <row r="1210">
      <c r="J1210" s="5"/>
      <c r="P1210" s="9"/>
      <c r="Q1210" s="5"/>
    </row>
    <row r="1211">
      <c r="J1211" s="5"/>
      <c r="P1211" s="9"/>
      <c r="Q1211" s="5"/>
    </row>
    <row r="1212">
      <c r="J1212" s="5"/>
      <c r="P1212" s="9"/>
      <c r="Q1212" s="5"/>
    </row>
    <row r="1213">
      <c r="J1213" s="5"/>
      <c r="P1213" s="9"/>
      <c r="Q1213" s="5"/>
    </row>
    <row r="1214">
      <c r="J1214" s="5"/>
      <c r="P1214" s="9"/>
      <c r="Q1214" s="5"/>
    </row>
    <row r="1215">
      <c r="J1215" s="5"/>
      <c r="P1215" s="9"/>
      <c r="Q1215" s="5"/>
    </row>
    <row r="1216">
      <c r="J1216" s="5"/>
      <c r="P1216" s="9"/>
      <c r="Q1216" s="5"/>
    </row>
    <row r="1217">
      <c r="J1217" s="5"/>
      <c r="P1217" s="9"/>
      <c r="Q1217" s="5"/>
    </row>
    <row r="1218">
      <c r="J1218" s="5"/>
      <c r="P1218" s="9"/>
      <c r="Q1218" s="5"/>
    </row>
    <row r="1219">
      <c r="J1219" s="5"/>
      <c r="P1219" s="9"/>
      <c r="Q1219" s="5"/>
    </row>
    <row r="1220">
      <c r="J1220" s="5"/>
      <c r="P1220" s="9"/>
      <c r="Q1220" s="5"/>
    </row>
    <row r="1221">
      <c r="J1221" s="5"/>
      <c r="P1221" s="9"/>
      <c r="Q1221" s="5"/>
    </row>
    <row r="1222">
      <c r="J1222" s="5"/>
      <c r="P1222" s="9"/>
      <c r="Q1222" s="5"/>
    </row>
    <row r="1223">
      <c r="J1223" s="5"/>
      <c r="P1223" s="9"/>
      <c r="Q1223" s="5"/>
    </row>
    <row r="1224">
      <c r="J1224" s="5"/>
      <c r="P1224" s="9"/>
      <c r="Q1224" s="5"/>
    </row>
    <row r="1225">
      <c r="J1225" s="5"/>
      <c r="P1225" s="9"/>
      <c r="Q1225" s="5"/>
    </row>
    <row r="1226">
      <c r="J1226" s="5"/>
      <c r="P1226" s="9"/>
      <c r="Q1226" s="5"/>
    </row>
    <row r="1227">
      <c r="J1227" s="5"/>
      <c r="P1227" s="9"/>
      <c r="Q1227" s="5"/>
    </row>
    <row r="1228">
      <c r="J1228" s="5"/>
      <c r="P1228" s="9"/>
      <c r="Q1228" s="5"/>
    </row>
    <row r="1229">
      <c r="J1229" s="5"/>
      <c r="P1229" s="9"/>
      <c r="Q1229" s="5"/>
    </row>
    <row r="1230">
      <c r="J1230" s="5"/>
      <c r="P1230" s="9"/>
      <c r="Q1230" s="5"/>
    </row>
    <row r="1231">
      <c r="J1231" s="5"/>
      <c r="P1231" s="9"/>
      <c r="Q1231" s="5"/>
    </row>
    <row r="1232">
      <c r="J1232" s="5"/>
      <c r="P1232" s="9"/>
      <c r="Q1232" s="5"/>
    </row>
    <row r="1233">
      <c r="J1233" s="5"/>
      <c r="P1233" s="9"/>
      <c r="Q1233" s="5"/>
    </row>
    <row r="1234">
      <c r="J1234" s="5"/>
      <c r="P1234" s="9"/>
      <c r="Q1234" s="5"/>
    </row>
    <row r="1235">
      <c r="J1235" s="5"/>
      <c r="P1235" s="9"/>
      <c r="Q1235" s="5"/>
    </row>
    <row r="1236">
      <c r="J1236" s="5"/>
      <c r="P1236" s="9"/>
      <c r="Q1236" s="5"/>
    </row>
    <row r="1237">
      <c r="J1237" s="5"/>
      <c r="P1237" s="9"/>
      <c r="Q1237" s="5"/>
    </row>
    <row r="1238">
      <c r="J1238" s="5"/>
      <c r="P1238" s="9"/>
      <c r="Q1238" s="5"/>
    </row>
    <row r="1239">
      <c r="J1239" s="5"/>
      <c r="P1239" s="9"/>
      <c r="Q1239" s="5"/>
    </row>
    <row r="1240">
      <c r="J1240" s="5"/>
      <c r="P1240" s="9"/>
      <c r="Q1240" s="5"/>
    </row>
    <row r="1241">
      <c r="J1241" s="5"/>
      <c r="P1241" s="9"/>
      <c r="Q1241" s="5"/>
    </row>
    <row r="1242">
      <c r="J1242" s="5"/>
      <c r="P1242" s="9"/>
      <c r="Q1242" s="5"/>
    </row>
    <row r="1243">
      <c r="J1243" s="5"/>
      <c r="P1243" s="9"/>
      <c r="Q1243" s="5"/>
    </row>
    <row r="1244">
      <c r="J1244" s="5"/>
      <c r="P1244" s="9"/>
      <c r="Q1244" s="5"/>
    </row>
    <row r="1245">
      <c r="J1245" s="5"/>
      <c r="P1245" s="9"/>
      <c r="Q1245" s="5"/>
    </row>
    <row r="1246">
      <c r="J1246" s="5"/>
      <c r="P1246" s="9"/>
      <c r="Q1246" s="5"/>
    </row>
    <row r="1247">
      <c r="J1247" s="5"/>
      <c r="P1247" s="9"/>
      <c r="Q1247" s="5"/>
    </row>
    <row r="1248">
      <c r="J1248" s="5"/>
      <c r="P1248" s="9"/>
      <c r="Q1248" s="5"/>
    </row>
    <row r="1249">
      <c r="J1249" s="5"/>
      <c r="P1249" s="9"/>
      <c r="Q1249" s="5"/>
    </row>
    <row r="1250">
      <c r="J1250" s="5"/>
      <c r="P1250" s="9"/>
      <c r="Q1250" s="5"/>
    </row>
    <row r="1251">
      <c r="J1251" s="5"/>
      <c r="P1251" s="9"/>
      <c r="Q1251" s="5"/>
    </row>
    <row r="1252">
      <c r="J1252" s="5"/>
      <c r="P1252" s="9"/>
      <c r="Q1252" s="5"/>
    </row>
    <row r="1253">
      <c r="J1253" s="5"/>
      <c r="P1253" s="9"/>
      <c r="Q1253" s="5"/>
    </row>
    <row r="1254">
      <c r="J1254" s="5"/>
      <c r="P1254" s="9"/>
      <c r="Q1254" s="5"/>
    </row>
    <row r="1255">
      <c r="J1255" s="5"/>
      <c r="P1255" s="9"/>
      <c r="Q1255" s="5"/>
    </row>
    <row r="1256">
      <c r="J1256" s="5"/>
      <c r="P1256" s="9"/>
      <c r="Q1256" s="5"/>
    </row>
    <row r="1257">
      <c r="J1257" s="5"/>
      <c r="P1257" s="9"/>
      <c r="Q1257" s="5"/>
    </row>
    <row r="1258">
      <c r="J1258" s="5"/>
      <c r="P1258" s="9"/>
      <c r="Q1258" s="5"/>
    </row>
    <row r="1259">
      <c r="J1259" s="5"/>
      <c r="P1259" s="9"/>
      <c r="Q1259" s="5"/>
    </row>
    <row r="1260">
      <c r="J1260" s="5"/>
      <c r="P1260" s="9"/>
      <c r="Q1260" s="5"/>
    </row>
    <row r="1261">
      <c r="J1261" s="5"/>
      <c r="P1261" s="9"/>
      <c r="Q1261" s="5"/>
    </row>
    <row r="1262">
      <c r="J1262" s="5"/>
      <c r="P1262" s="9"/>
      <c r="Q1262" s="5"/>
    </row>
    <row r="1263">
      <c r="J1263" s="5"/>
      <c r="P1263" s="9"/>
      <c r="Q1263" s="5"/>
    </row>
    <row r="1264">
      <c r="J1264" s="5"/>
      <c r="P1264" s="9"/>
      <c r="Q1264" s="5"/>
    </row>
    <row r="1265">
      <c r="J1265" s="5"/>
      <c r="P1265" s="9"/>
      <c r="Q1265" s="5"/>
    </row>
    <row r="1266">
      <c r="J1266" s="5"/>
      <c r="P1266" s="9"/>
      <c r="Q1266" s="5"/>
    </row>
    <row r="1267">
      <c r="J1267" s="5"/>
      <c r="P1267" s="9"/>
      <c r="Q1267" s="5"/>
    </row>
    <row r="1268">
      <c r="J1268" s="5"/>
      <c r="P1268" s="9"/>
      <c r="Q1268" s="5"/>
    </row>
    <row r="1269">
      <c r="J1269" s="5"/>
      <c r="P1269" s="9"/>
      <c r="Q1269" s="5"/>
    </row>
    <row r="1270">
      <c r="J1270" s="5"/>
      <c r="P1270" s="9"/>
      <c r="Q1270" s="5"/>
    </row>
    <row r="1271">
      <c r="J1271" s="5"/>
      <c r="P1271" s="9"/>
      <c r="Q1271" s="5"/>
    </row>
    <row r="1272">
      <c r="J1272" s="5"/>
      <c r="P1272" s="9"/>
      <c r="Q1272" s="5"/>
    </row>
    <row r="1273">
      <c r="J1273" s="5"/>
      <c r="P1273" s="9"/>
      <c r="Q1273" s="5"/>
    </row>
    <row r="1274">
      <c r="J1274" s="5"/>
      <c r="P1274" s="9"/>
      <c r="Q1274" s="5"/>
    </row>
    <row r="1275">
      <c r="J1275" s="5"/>
      <c r="P1275" s="9"/>
      <c r="Q1275" s="5"/>
    </row>
    <row r="1276">
      <c r="J1276" s="5"/>
      <c r="P1276" s="9"/>
      <c r="Q1276" s="5"/>
    </row>
    <row r="1277">
      <c r="J1277" s="5"/>
      <c r="P1277" s="9"/>
      <c r="Q1277" s="5"/>
    </row>
    <row r="1278">
      <c r="J1278" s="5"/>
      <c r="P1278" s="9"/>
      <c r="Q1278" s="5"/>
    </row>
    <row r="1279">
      <c r="J1279" s="5"/>
      <c r="P1279" s="9"/>
      <c r="Q1279" s="5"/>
    </row>
    <row r="1280">
      <c r="J1280" s="5"/>
      <c r="P1280" s="9"/>
      <c r="Q1280" s="5"/>
    </row>
    <row r="1281">
      <c r="J1281" s="5"/>
      <c r="P1281" s="9"/>
      <c r="Q1281" s="5"/>
    </row>
    <row r="1282">
      <c r="J1282" s="5"/>
      <c r="P1282" s="9"/>
      <c r="Q1282" s="5"/>
    </row>
    <row r="1283">
      <c r="J1283" s="5"/>
      <c r="P1283" s="9"/>
      <c r="Q1283" s="5"/>
    </row>
    <row r="1284">
      <c r="J1284" s="5"/>
      <c r="P1284" s="9"/>
      <c r="Q1284" s="5"/>
    </row>
    <row r="1285">
      <c r="J1285" s="5"/>
      <c r="P1285" s="9"/>
      <c r="Q1285" s="5"/>
    </row>
    <row r="1286">
      <c r="J1286" s="5"/>
      <c r="P1286" s="9"/>
      <c r="Q1286" s="5"/>
    </row>
    <row r="1287">
      <c r="J1287" s="5"/>
      <c r="P1287" s="9"/>
      <c r="Q1287" s="5"/>
    </row>
    <row r="1288">
      <c r="J1288" s="5"/>
      <c r="P1288" s="9"/>
      <c r="Q1288" s="5"/>
    </row>
    <row r="1289">
      <c r="J1289" s="5"/>
      <c r="P1289" s="9"/>
      <c r="Q1289" s="5"/>
    </row>
    <row r="1290">
      <c r="J1290" s="5"/>
      <c r="P1290" s="9"/>
      <c r="Q1290" s="5"/>
    </row>
    <row r="1291">
      <c r="J1291" s="5"/>
      <c r="P1291" s="9"/>
      <c r="Q1291" s="5"/>
    </row>
    <row r="1292">
      <c r="J1292" s="5"/>
      <c r="P1292" s="9"/>
      <c r="Q1292" s="5"/>
    </row>
    <row r="1293">
      <c r="J1293" s="5"/>
      <c r="P1293" s="9"/>
      <c r="Q1293" s="5"/>
    </row>
    <row r="1294">
      <c r="J1294" s="5"/>
      <c r="P1294" s="9"/>
      <c r="Q1294" s="5"/>
    </row>
    <row r="1295">
      <c r="J1295" s="5"/>
      <c r="P1295" s="9"/>
      <c r="Q1295" s="5"/>
    </row>
    <row r="1296">
      <c r="J1296" s="5"/>
      <c r="P1296" s="9"/>
      <c r="Q1296" s="5"/>
    </row>
    <row r="1297">
      <c r="J1297" s="5"/>
      <c r="P1297" s="9"/>
      <c r="Q1297" s="5"/>
    </row>
    <row r="1298">
      <c r="J1298" s="5"/>
      <c r="P1298" s="9"/>
      <c r="Q1298" s="5"/>
    </row>
    <row r="1299">
      <c r="J1299" s="5"/>
      <c r="P1299" s="9"/>
      <c r="Q1299" s="5"/>
    </row>
    <row r="1300">
      <c r="J1300" s="5"/>
      <c r="P1300" s="9"/>
      <c r="Q1300" s="5"/>
    </row>
    <row r="1301">
      <c r="J1301" s="5"/>
      <c r="P1301" s="9"/>
      <c r="Q1301" s="5"/>
    </row>
    <row r="1302">
      <c r="J1302" s="5"/>
      <c r="P1302" s="9"/>
      <c r="Q1302" s="5"/>
    </row>
    <row r="1303">
      <c r="J1303" s="5"/>
      <c r="P1303" s="9"/>
      <c r="Q1303" s="5"/>
    </row>
    <row r="1304">
      <c r="J1304" s="5"/>
      <c r="P1304" s="9"/>
      <c r="Q1304" s="5"/>
    </row>
    <row r="1305">
      <c r="J1305" s="5"/>
      <c r="P1305" s="9"/>
      <c r="Q1305" s="5"/>
    </row>
    <row r="1306">
      <c r="J1306" s="5"/>
      <c r="P1306" s="9"/>
      <c r="Q1306" s="5"/>
    </row>
    <row r="1307">
      <c r="J1307" s="5"/>
      <c r="P1307" s="9"/>
      <c r="Q1307" s="5"/>
    </row>
    <row r="1308">
      <c r="J1308" s="5"/>
      <c r="P1308" s="9"/>
      <c r="Q1308" s="5"/>
    </row>
    <row r="1309">
      <c r="J1309" s="5"/>
      <c r="P1309" s="9"/>
      <c r="Q1309" s="5"/>
    </row>
    <row r="1310">
      <c r="J1310" s="5"/>
      <c r="P1310" s="9"/>
      <c r="Q1310" s="5"/>
    </row>
    <row r="1311">
      <c r="J1311" s="5"/>
      <c r="P1311" s="9"/>
      <c r="Q1311" s="5"/>
    </row>
    <row r="1312">
      <c r="J1312" s="5"/>
      <c r="P1312" s="9"/>
      <c r="Q1312" s="5"/>
    </row>
    <row r="1313">
      <c r="J1313" s="5"/>
      <c r="P1313" s="9"/>
      <c r="Q1313" s="5"/>
    </row>
    <row r="1314">
      <c r="J1314" s="5"/>
      <c r="P1314" s="9"/>
      <c r="Q1314" s="5"/>
    </row>
    <row r="1315">
      <c r="J1315" s="5"/>
      <c r="P1315" s="9"/>
      <c r="Q1315" s="5"/>
    </row>
    <row r="1316">
      <c r="J1316" s="5"/>
      <c r="P1316" s="9"/>
      <c r="Q1316" s="5"/>
    </row>
    <row r="1317">
      <c r="J1317" s="5"/>
      <c r="P1317" s="9"/>
      <c r="Q1317" s="5"/>
    </row>
    <row r="1318">
      <c r="J1318" s="5"/>
      <c r="P1318" s="9"/>
      <c r="Q1318" s="5"/>
    </row>
    <row r="1319">
      <c r="J1319" s="5"/>
      <c r="P1319" s="9"/>
      <c r="Q1319" s="5"/>
    </row>
    <row r="1320">
      <c r="J1320" s="5"/>
      <c r="P1320" s="9"/>
      <c r="Q1320" s="5"/>
    </row>
    <row r="1321">
      <c r="J1321" s="5"/>
      <c r="P1321" s="9"/>
      <c r="Q1321" s="5"/>
    </row>
    <row r="1322">
      <c r="J1322" s="5"/>
      <c r="P1322" s="9"/>
      <c r="Q1322" s="5"/>
    </row>
    <row r="1323">
      <c r="J1323" s="5"/>
      <c r="P1323" s="9"/>
      <c r="Q1323" s="5"/>
    </row>
    <row r="1324">
      <c r="J1324" s="5"/>
      <c r="P1324" s="9"/>
      <c r="Q1324" s="5"/>
    </row>
    <row r="1325">
      <c r="J1325" s="5"/>
      <c r="P1325" s="9"/>
      <c r="Q1325" s="5"/>
    </row>
    <row r="1326">
      <c r="J1326" s="5"/>
      <c r="P1326" s="9"/>
      <c r="Q1326" s="5"/>
    </row>
    <row r="1327">
      <c r="J1327" s="5"/>
      <c r="P1327" s="9"/>
      <c r="Q1327" s="5"/>
    </row>
    <row r="1328">
      <c r="J1328" s="5"/>
      <c r="P1328" s="9"/>
      <c r="Q1328" s="5"/>
    </row>
    <row r="1329">
      <c r="J1329" s="5"/>
      <c r="P1329" s="9"/>
      <c r="Q1329" s="5"/>
    </row>
    <row r="1330">
      <c r="J1330" s="5"/>
      <c r="P1330" s="9"/>
      <c r="Q1330" s="5"/>
    </row>
    <row r="1331">
      <c r="J1331" s="5"/>
      <c r="P1331" s="9"/>
      <c r="Q1331" s="5"/>
    </row>
    <row r="1332">
      <c r="J1332" s="5"/>
      <c r="P1332" s="9"/>
      <c r="Q1332" s="5"/>
    </row>
    <row r="1333">
      <c r="J1333" s="5"/>
      <c r="P1333" s="9"/>
      <c r="Q1333" s="5"/>
    </row>
    <row r="1334">
      <c r="J1334" s="5"/>
      <c r="P1334" s="9"/>
      <c r="Q1334" s="5"/>
    </row>
    <row r="1335">
      <c r="J1335" s="5"/>
      <c r="P1335" s="9"/>
      <c r="Q1335" s="5"/>
    </row>
    <row r="1336">
      <c r="J1336" s="5"/>
      <c r="P1336" s="9"/>
      <c r="Q1336" s="5"/>
    </row>
    <row r="1337">
      <c r="J1337" s="5"/>
      <c r="P1337" s="9"/>
      <c r="Q1337" s="5"/>
    </row>
    <row r="1338">
      <c r="J1338" s="5"/>
      <c r="P1338" s="9"/>
      <c r="Q1338" s="5"/>
    </row>
    <row r="1339">
      <c r="J1339" s="5"/>
      <c r="P1339" s="9"/>
      <c r="Q1339" s="5"/>
    </row>
    <row r="1340">
      <c r="J1340" s="5"/>
      <c r="P1340" s="9"/>
      <c r="Q1340" s="5"/>
    </row>
    <row r="1341">
      <c r="J1341" s="5"/>
      <c r="P1341" s="9"/>
      <c r="Q1341" s="5"/>
    </row>
    <row r="1342">
      <c r="J1342" s="5"/>
      <c r="P1342" s="9"/>
      <c r="Q1342" s="5"/>
    </row>
    <row r="1343">
      <c r="J1343" s="5"/>
      <c r="P1343" s="9"/>
      <c r="Q1343" s="5"/>
    </row>
    <row r="1344">
      <c r="J1344" s="5"/>
      <c r="P1344" s="9"/>
      <c r="Q1344" s="5"/>
    </row>
    <row r="1345">
      <c r="J1345" s="5"/>
      <c r="P1345" s="9"/>
      <c r="Q1345" s="5"/>
    </row>
    <row r="1346">
      <c r="J1346" s="5"/>
      <c r="P1346" s="9"/>
      <c r="Q1346" s="5"/>
    </row>
    <row r="1347">
      <c r="J1347" s="5"/>
      <c r="P1347" s="9"/>
      <c r="Q1347" s="5"/>
    </row>
    <row r="1348">
      <c r="J1348" s="5"/>
      <c r="P1348" s="9"/>
      <c r="Q1348" s="5"/>
    </row>
    <row r="1349">
      <c r="J1349" s="5"/>
      <c r="P1349" s="9"/>
      <c r="Q1349" s="5"/>
    </row>
    <row r="1350">
      <c r="J1350" s="5"/>
      <c r="P1350" s="9"/>
      <c r="Q1350" s="5"/>
    </row>
    <row r="1351">
      <c r="J1351" s="5"/>
      <c r="P1351" s="9"/>
      <c r="Q1351" s="5"/>
    </row>
    <row r="1352">
      <c r="J1352" s="5"/>
      <c r="P1352" s="9"/>
      <c r="Q1352" s="5"/>
    </row>
    <row r="1353">
      <c r="J1353" s="5"/>
      <c r="P1353" s="9"/>
      <c r="Q1353" s="5"/>
    </row>
    <row r="1354">
      <c r="J1354" s="5"/>
      <c r="P1354" s="9"/>
      <c r="Q1354" s="5"/>
    </row>
    <row r="1355">
      <c r="J1355" s="5"/>
      <c r="P1355" s="9"/>
      <c r="Q1355" s="5"/>
    </row>
    <row r="1356">
      <c r="J1356" s="5"/>
      <c r="P1356" s="9"/>
      <c r="Q1356" s="5"/>
    </row>
    <row r="1357">
      <c r="J1357" s="5"/>
      <c r="P1357" s="9"/>
      <c r="Q1357" s="5"/>
    </row>
    <row r="1358">
      <c r="J1358" s="5"/>
      <c r="P1358" s="9"/>
      <c r="Q1358" s="5"/>
    </row>
    <row r="1359">
      <c r="J1359" s="5"/>
      <c r="P1359" s="9"/>
      <c r="Q1359" s="5"/>
    </row>
    <row r="1360">
      <c r="J1360" s="5"/>
      <c r="P1360" s="9"/>
      <c r="Q1360" s="5"/>
    </row>
    <row r="1361">
      <c r="J1361" s="5"/>
      <c r="P1361" s="9"/>
      <c r="Q1361" s="5"/>
    </row>
    <row r="1362">
      <c r="J1362" s="5"/>
      <c r="P1362" s="9"/>
      <c r="Q1362" s="5"/>
    </row>
    <row r="1363">
      <c r="J1363" s="5"/>
      <c r="P1363" s="9"/>
      <c r="Q1363" s="5"/>
    </row>
    <row r="1364">
      <c r="J1364" s="5"/>
      <c r="P1364" s="9"/>
      <c r="Q1364" s="5"/>
    </row>
    <row r="1365">
      <c r="J1365" s="5"/>
      <c r="P1365" s="9"/>
      <c r="Q1365" s="5"/>
    </row>
    <row r="1366">
      <c r="J1366" s="5"/>
      <c r="P1366" s="9"/>
      <c r="Q1366" s="5"/>
    </row>
    <row r="1367">
      <c r="J1367" s="5"/>
      <c r="P1367" s="9"/>
      <c r="Q1367" s="5"/>
    </row>
    <row r="1368">
      <c r="J1368" s="5"/>
      <c r="P1368" s="9"/>
      <c r="Q1368" s="5"/>
    </row>
    <row r="1369">
      <c r="J1369" s="5"/>
      <c r="P1369" s="9"/>
      <c r="Q1369" s="5"/>
    </row>
    <row r="1370">
      <c r="J1370" s="5"/>
      <c r="P1370" s="9"/>
      <c r="Q1370" s="5"/>
    </row>
    <row r="1371">
      <c r="J1371" s="5"/>
      <c r="P1371" s="9"/>
      <c r="Q1371" s="5"/>
    </row>
    <row r="1372">
      <c r="J1372" s="5"/>
      <c r="P1372" s="9"/>
      <c r="Q1372" s="5"/>
    </row>
    <row r="1373">
      <c r="J1373" s="5"/>
      <c r="P1373" s="9"/>
      <c r="Q1373" s="5"/>
    </row>
    <row r="1374">
      <c r="J1374" s="5"/>
      <c r="P1374" s="9"/>
      <c r="Q1374" s="5"/>
    </row>
    <row r="1375">
      <c r="J1375" s="5"/>
      <c r="P1375" s="9"/>
      <c r="Q1375" s="5"/>
    </row>
    <row r="1376">
      <c r="J1376" s="5"/>
      <c r="P1376" s="9"/>
      <c r="Q1376" s="5"/>
    </row>
    <row r="1377">
      <c r="J1377" s="5"/>
      <c r="P1377" s="9"/>
      <c r="Q1377" s="5"/>
    </row>
    <row r="1378">
      <c r="J1378" s="5"/>
      <c r="P1378" s="9"/>
      <c r="Q1378" s="5"/>
    </row>
    <row r="1379">
      <c r="J1379" s="5"/>
      <c r="P1379" s="9"/>
      <c r="Q1379" s="5"/>
    </row>
    <row r="1380">
      <c r="J1380" s="5"/>
      <c r="P1380" s="9"/>
      <c r="Q1380" s="5"/>
    </row>
    <row r="1381">
      <c r="J1381" s="5"/>
      <c r="P1381" s="9"/>
      <c r="Q1381" s="5"/>
    </row>
    <row r="1382">
      <c r="J1382" s="5"/>
      <c r="P1382" s="9"/>
      <c r="Q1382" s="5"/>
    </row>
    <row r="1383">
      <c r="J1383" s="5"/>
      <c r="P1383" s="9"/>
      <c r="Q1383" s="5"/>
    </row>
    <row r="1384">
      <c r="J1384" s="5"/>
      <c r="P1384" s="9"/>
      <c r="Q1384" s="5"/>
    </row>
    <row r="1385">
      <c r="J1385" s="5"/>
      <c r="P1385" s="9"/>
      <c r="Q1385" s="5"/>
    </row>
    <row r="1386">
      <c r="J1386" s="5"/>
      <c r="P1386" s="9"/>
      <c r="Q1386" s="5"/>
    </row>
    <row r="1387">
      <c r="J1387" s="5"/>
      <c r="P1387" s="9"/>
      <c r="Q1387" s="5"/>
    </row>
    <row r="1388">
      <c r="J1388" s="5"/>
      <c r="P1388" s="9"/>
      <c r="Q1388" s="5"/>
    </row>
    <row r="1389">
      <c r="J1389" s="5"/>
      <c r="P1389" s="9"/>
      <c r="Q1389" s="5"/>
    </row>
    <row r="1390">
      <c r="J1390" s="5"/>
      <c r="P1390" s="9"/>
      <c r="Q1390" s="5"/>
    </row>
    <row r="1391">
      <c r="J1391" s="5"/>
      <c r="P1391" s="9"/>
      <c r="Q1391" s="5"/>
    </row>
    <row r="1392">
      <c r="J1392" s="5"/>
      <c r="P1392" s="9"/>
      <c r="Q1392" s="5"/>
    </row>
    <row r="1393">
      <c r="J1393" s="5"/>
      <c r="P1393" s="9"/>
      <c r="Q1393" s="5"/>
    </row>
    <row r="1394">
      <c r="J1394" s="5"/>
      <c r="P1394" s="9"/>
      <c r="Q1394" s="5"/>
    </row>
    <row r="1395">
      <c r="J1395" s="5"/>
      <c r="P1395" s="9"/>
      <c r="Q1395" s="5"/>
    </row>
    <row r="1396">
      <c r="J1396" s="5"/>
      <c r="P1396" s="9"/>
      <c r="Q1396" s="5"/>
    </row>
    <row r="1397">
      <c r="J1397" s="5"/>
      <c r="P1397" s="9"/>
      <c r="Q1397" s="5"/>
    </row>
    <row r="1398">
      <c r="J1398" s="5"/>
      <c r="P1398" s="9"/>
      <c r="Q1398" s="5"/>
    </row>
    <row r="1399">
      <c r="J1399" s="5"/>
      <c r="P1399" s="9"/>
      <c r="Q1399" s="5"/>
    </row>
    <row r="1400">
      <c r="J1400" s="5"/>
      <c r="P1400" s="9"/>
      <c r="Q1400" s="5"/>
    </row>
    <row r="1401">
      <c r="J1401" s="5"/>
      <c r="P1401" s="9"/>
      <c r="Q1401" s="5"/>
    </row>
    <row r="1402">
      <c r="J1402" s="5"/>
      <c r="P1402" s="9"/>
      <c r="Q1402" s="5"/>
    </row>
    <row r="1403">
      <c r="J1403" s="5"/>
      <c r="P1403" s="9"/>
      <c r="Q1403" s="5"/>
    </row>
    <row r="1404">
      <c r="J1404" s="5"/>
      <c r="P1404" s="9"/>
      <c r="Q1404" s="5"/>
    </row>
    <row r="1405">
      <c r="J1405" s="5"/>
      <c r="P1405" s="9"/>
      <c r="Q1405" s="5"/>
    </row>
    <row r="1406">
      <c r="J1406" s="5"/>
      <c r="P1406" s="9"/>
      <c r="Q1406" s="5"/>
    </row>
    <row r="1407">
      <c r="J1407" s="5"/>
      <c r="P1407" s="9"/>
      <c r="Q1407" s="5"/>
    </row>
    <row r="1408">
      <c r="J1408" s="5"/>
      <c r="P1408" s="9"/>
      <c r="Q1408" s="5"/>
    </row>
    <row r="1409">
      <c r="J1409" s="5"/>
      <c r="P1409" s="9"/>
      <c r="Q1409" s="5"/>
    </row>
    <row r="1410">
      <c r="J1410" s="5"/>
      <c r="P1410" s="9"/>
      <c r="Q1410" s="5"/>
    </row>
    <row r="1411">
      <c r="J1411" s="5"/>
      <c r="P1411" s="9"/>
      <c r="Q1411" s="5"/>
    </row>
    <row r="1412">
      <c r="J1412" s="5"/>
      <c r="P1412" s="9"/>
      <c r="Q1412" s="5"/>
    </row>
    <row r="1413">
      <c r="J1413" s="5"/>
      <c r="P1413" s="9"/>
      <c r="Q1413" s="5"/>
    </row>
    <row r="1414">
      <c r="J1414" s="5"/>
      <c r="P1414" s="9"/>
      <c r="Q1414" s="5"/>
    </row>
    <row r="1415">
      <c r="J1415" s="5"/>
      <c r="P1415" s="9"/>
      <c r="Q1415" s="5"/>
    </row>
    <row r="1416">
      <c r="J1416" s="5"/>
      <c r="P1416" s="9"/>
      <c r="Q1416" s="5"/>
    </row>
    <row r="1417">
      <c r="J1417" s="5"/>
      <c r="P1417" s="9"/>
      <c r="Q1417" s="5"/>
    </row>
    <row r="1418">
      <c r="J1418" s="5"/>
      <c r="P1418" s="9"/>
      <c r="Q1418" s="5"/>
    </row>
    <row r="1419">
      <c r="J1419" s="5"/>
      <c r="P1419" s="9"/>
      <c r="Q1419" s="5"/>
    </row>
    <row r="1420">
      <c r="J1420" s="5"/>
      <c r="P1420" s="9"/>
      <c r="Q1420" s="5"/>
    </row>
    <row r="1421">
      <c r="J1421" s="5"/>
      <c r="P1421" s="9"/>
      <c r="Q1421" s="5"/>
    </row>
    <row r="1422">
      <c r="J1422" s="5"/>
      <c r="P1422" s="9"/>
      <c r="Q1422" s="5"/>
    </row>
    <row r="1423">
      <c r="J1423" s="5"/>
      <c r="P1423" s="9"/>
      <c r="Q1423" s="5"/>
    </row>
    <row r="1424">
      <c r="J1424" s="5"/>
      <c r="P1424" s="9"/>
      <c r="Q1424" s="5"/>
    </row>
    <row r="1425">
      <c r="J1425" s="5"/>
      <c r="P1425" s="9"/>
      <c r="Q1425" s="5"/>
    </row>
    <row r="1426">
      <c r="J1426" s="5"/>
      <c r="P1426" s="9"/>
      <c r="Q1426" s="5"/>
    </row>
    <row r="1427">
      <c r="J1427" s="5"/>
      <c r="P1427" s="9"/>
      <c r="Q1427" s="5"/>
    </row>
    <row r="1428">
      <c r="J1428" s="5"/>
      <c r="P1428" s="9"/>
      <c r="Q1428" s="5"/>
    </row>
    <row r="1429">
      <c r="J1429" s="5"/>
      <c r="P1429" s="9"/>
      <c r="Q1429" s="5"/>
    </row>
    <row r="1430">
      <c r="J1430" s="5"/>
      <c r="P1430" s="9"/>
      <c r="Q1430" s="5"/>
    </row>
    <row r="1431">
      <c r="J1431" s="5"/>
      <c r="P1431" s="9"/>
      <c r="Q1431" s="5"/>
    </row>
    <row r="1432">
      <c r="J1432" s="5"/>
      <c r="P1432" s="9"/>
      <c r="Q1432" s="5"/>
    </row>
    <row r="1433">
      <c r="J1433" s="5"/>
      <c r="P1433" s="9"/>
      <c r="Q1433" s="5"/>
    </row>
    <row r="1434">
      <c r="J1434" s="5"/>
      <c r="P1434" s="9"/>
      <c r="Q1434" s="5"/>
    </row>
    <row r="1435">
      <c r="J1435" s="5"/>
      <c r="P1435" s="9"/>
      <c r="Q1435" s="5"/>
    </row>
    <row r="1436">
      <c r="J1436" s="5"/>
      <c r="P1436" s="9"/>
      <c r="Q1436" s="5"/>
    </row>
    <row r="1437">
      <c r="J1437" s="5"/>
      <c r="P1437" s="9"/>
      <c r="Q1437" s="5"/>
    </row>
    <row r="1438">
      <c r="J1438" s="5"/>
      <c r="P1438" s="9"/>
      <c r="Q1438" s="5"/>
    </row>
    <row r="1439">
      <c r="J1439" s="5"/>
      <c r="P1439" s="9"/>
      <c r="Q1439" s="5"/>
    </row>
    <row r="1440">
      <c r="J1440" s="5"/>
      <c r="P1440" s="9"/>
      <c r="Q1440" s="5"/>
    </row>
    <row r="1441">
      <c r="J1441" s="5"/>
      <c r="P1441" s="9"/>
      <c r="Q1441" s="5"/>
    </row>
    <row r="1442">
      <c r="J1442" s="5"/>
      <c r="P1442" s="9"/>
      <c r="Q1442" s="5"/>
    </row>
    <row r="1443">
      <c r="J1443" s="5"/>
      <c r="P1443" s="9"/>
      <c r="Q1443" s="5"/>
    </row>
    <row r="1444">
      <c r="J1444" s="5"/>
      <c r="P1444" s="9"/>
      <c r="Q1444" s="5"/>
    </row>
    <row r="1445">
      <c r="J1445" s="5"/>
      <c r="P1445" s="9"/>
      <c r="Q1445" s="5"/>
    </row>
    <row r="1446">
      <c r="J1446" s="5"/>
      <c r="P1446" s="9"/>
      <c r="Q1446" s="5"/>
    </row>
    <row r="1447">
      <c r="J1447" s="5"/>
      <c r="P1447" s="9"/>
      <c r="Q1447" s="5"/>
    </row>
    <row r="1448">
      <c r="J1448" s="5"/>
      <c r="P1448" s="9"/>
      <c r="Q1448" s="5"/>
    </row>
    <row r="1449">
      <c r="J1449" s="5"/>
      <c r="P1449" s="9"/>
      <c r="Q1449" s="5"/>
    </row>
    <row r="1450">
      <c r="J1450" s="5"/>
      <c r="P1450" s="9"/>
      <c r="Q1450" s="5"/>
    </row>
    <row r="1451">
      <c r="J1451" s="5"/>
      <c r="P1451" s="9"/>
      <c r="Q1451" s="5"/>
    </row>
    <row r="1452">
      <c r="J1452" s="5"/>
      <c r="P1452" s="9"/>
      <c r="Q1452" s="5"/>
    </row>
    <row r="1453">
      <c r="J1453" s="5"/>
      <c r="P1453" s="9"/>
      <c r="Q1453" s="5"/>
    </row>
    <row r="1454">
      <c r="J1454" s="5"/>
      <c r="P1454" s="9"/>
      <c r="Q1454" s="5"/>
    </row>
    <row r="1455">
      <c r="J1455" s="5"/>
      <c r="P1455" s="9"/>
      <c r="Q1455" s="5"/>
    </row>
    <row r="1456">
      <c r="J1456" s="5"/>
      <c r="P1456" s="9"/>
      <c r="Q1456" s="5"/>
    </row>
    <row r="1457">
      <c r="J1457" s="5"/>
      <c r="P1457" s="9"/>
      <c r="Q1457" s="5"/>
    </row>
    <row r="1458">
      <c r="J1458" s="5"/>
      <c r="P1458" s="9"/>
      <c r="Q1458" s="5"/>
    </row>
    <row r="1459">
      <c r="J1459" s="5"/>
      <c r="P1459" s="9"/>
      <c r="Q1459" s="5"/>
    </row>
    <row r="1460">
      <c r="J1460" s="5"/>
      <c r="P1460" s="9"/>
      <c r="Q1460" s="5"/>
    </row>
    <row r="1461">
      <c r="J1461" s="5"/>
      <c r="P1461" s="9"/>
      <c r="Q1461" s="5"/>
    </row>
    <row r="1462">
      <c r="J1462" s="5"/>
      <c r="P1462" s="9"/>
      <c r="Q1462" s="5"/>
    </row>
    <row r="1463">
      <c r="J1463" s="5"/>
      <c r="P1463" s="9"/>
      <c r="Q1463" s="5"/>
    </row>
    <row r="1464">
      <c r="J1464" s="5"/>
      <c r="P1464" s="9"/>
      <c r="Q1464" s="5"/>
    </row>
    <row r="1465">
      <c r="J1465" s="5"/>
      <c r="P1465" s="9"/>
      <c r="Q1465" s="5"/>
    </row>
    <row r="1466">
      <c r="J1466" s="5"/>
      <c r="P1466" s="9"/>
      <c r="Q1466" s="5"/>
    </row>
    <row r="1467">
      <c r="J1467" s="5"/>
      <c r="P1467" s="9"/>
      <c r="Q1467" s="5"/>
    </row>
    <row r="1468">
      <c r="J1468" s="5"/>
      <c r="P1468" s="9"/>
      <c r="Q1468" s="5"/>
    </row>
    <row r="1469">
      <c r="J1469" s="5"/>
      <c r="P1469" s="9"/>
      <c r="Q1469" s="5"/>
    </row>
    <row r="1470">
      <c r="J1470" s="5"/>
      <c r="P1470" s="9"/>
      <c r="Q1470" s="5"/>
    </row>
    <row r="1471">
      <c r="J1471" s="5"/>
      <c r="P1471" s="9"/>
      <c r="Q1471" s="5"/>
    </row>
    <row r="1472">
      <c r="J1472" s="5"/>
      <c r="P1472" s="9"/>
      <c r="Q1472" s="5"/>
    </row>
    <row r="1473">
      <c r="J1473" s="5"/>
      <c r="P1473" s="9"/>
      <c r="Q1473" s="5"/>
    </row>
    <row r="1474">
      <c r="J1474" s="5"/>
      <c r="P1474" s="9"/>
      <c r="Q1474" s="5"/>
    </row>
    <row r="1475">
      <c r="J1475" s="5"/>
      <c r="P1475" s="9"/>
      <c r="Q1475" s="5"/>
    </row>
    <row r="1476">
      <c r="J1476" s="5"/>
      <c r="P1476" s="9"/>
      <c r="Q1476" s="5"/>
    </row>
    <row r="1477">
      <c r="J1477" s="5"/>
      <c r="P1477" s="9"/>
      <c r="Q1477" s="5"/>
    </row>
    <row r="1478">
      <c r="J1478" s="5"/>
      <c r="P1478" s="9"/>
      <c r="Q1478" s="5"/>
    </row>
    <row r="1479">
      <c r="J1479" s="5"/>
      <c r="P1479" s="9"/>
      <c r="Q1479" s="5"/>
    </row>
    <row r="1480">
      <c r="J1480" s="5"/>
      <c r="P1480" s="9"/>
      <c r="Q1480" s="5"/>
    </row>
    <row r="1481">
      <c r="J1481" s="5"/>
      <c r="P1481" s="9"/>
      <c r="Q1481" s="5"/>
    </row>
    <row r="1482">
      <c r="J1482" s="5"/>
      <c r="P1482" s="9"/>
      <c r="Q1482" s="5"/>
    </row>
    <row r="1483">
      <c r="J1483" s="5"/>
      <c r="P1483" s="9"/>
      <c r="Q1483" s="5"/>
    </row>
    <row r="1484">
      <c r="J1484" s="5"/>
      <c r="P1484" s="9"/>
      <c r="Q1484" s="5"/>
    </row>
    <row r="1485">
      <c r="J1485" s="5"/>
      <c r="P1485" s="9"/>
      <c r="Q1485" s="5"/>
    </row>
    <row r="1486">
      <c r="J1486" s="5"/>
      <c r="P1486" s="9"/>
      <c r="Q1486" s="5"/>
    </row>
    <row r="1487">
      <c r="J1487" s="5"/>
      <c r="P1487" s="9"/>
      <c r="Q1487" s="5"/>
    </row>
    <row r="1488">
      <c r="J1488" s="5"/>
      <c r="P1488" s="9"/>
      <c r="Q1488" s="5"/>
    </row>
    <row r="1489">
      <c r="J1489" s="5"/>
      <c r="P1489" s="9"/>
      <c r="Q1489" s="5"/>
    </row>
    <row r="1490">
      <c r="J1490" s="5"/>
      <c r="P1490" s="9"/>
      <c r="Q1490" s="5"/>
    </row>
    <row r="1491">
      <c r="J1491" s="5"/>
      <c r="P1491" s="9"/>
      <c r="Q1491" s="5"/>
    </row>
    <row r="1492">
      <c r="J1492" s="5"/>
      <c r="P1492" s="9"/>
      <c r="Q1492" s="5"/>
    </row>
    <row r="1493">
      <c r="J1493" s="5"/>
      <c r="P1493" s="9"/>
      <c r="Q1493" s="5"/>
    </row>
    <row r="1494">
      <c r="J1494" s="5"/>
      <c r="P1494" s="9"/>
      <c r="Q1494" s="5"/>
    </row>
    <row r="1495">
      <c r="J1495" s="5"/>
      <c r="P1495" s="9"/>
      <c r="Q1495" s="5"/>
    </row>
    <row r="1496">
      <c r="J1496" s="5"/>
      <c r="P1496" s="9"/>
      <c r="Q1496" s="5"/>
    </row>
    <row r="1497">
      <c r="J1497" s="5"/>
      <c r="P1497" s="9"/>
      <c r="Q1497" s="5"/>
    </row>
    <row r="1498">
      <c r="J1498" s="5"/>
      <c r="P1498" s="9"/>
      <c r="Q1498" s="5"/>
    </row>
    <row r="1499">
      <c r="J1499" s="5"/>
      <c r="P1499" s="9"/>
      <c r="Q1499" s="5"/>
    </row>
    <row r="1500">
      <c r="J1500" s="5"/>
      <c r="P1500" s="9"/>
      <c r="Q1500" s="5"/>
    </row>
    <row r="1501">
      <c r="J1501" s="5"/>
      <c r="P1501" s="9"/>
      <c r="Q1501" s="5"/>
    </row>
    <row r="1502">
      <c r="J1502" s="5"/>
      <c r="P1502" s="9"/>
      <c r="Q1502" s="5"/>
    </row>
    <row r="1503">
      <c r="J1503" s="5"/>
      <c r="P1503" s="9"/>
      <c r="Q1503" s="5"/>
    </row>
    <row r="1504">
      <c r="J1504" s="5"/>
      <c r="P1504" s="9"/>
      <c r="Q1504" s="5"/>
    </row>
    <row r="1505">
      <c r="J1505" s="5"/>
      <c r="P1505" s="9"/>
      <c r="Q1505" s="5"/>
    </row>
    <row r="1506">
      <c r="J1506" s="5"/>
      <c r="P1506" s="9"/>
      <c r="Q1506" s="5"/>
    </row>
    <row r="1507">
      <c r="J1507" s="5"/>
      <c r="P1507" s="9"/>
      <c r="Q1507" s="5"/>
    </row>
    <row r="1508">
      <c r="J1508" s="5"/>
      <c r="P1508" s="9"/>
      <c r="Q1508" s="5"/>
    </row>
    <row r="1509">
      <c r="J1509" s="5"/>
      <c r="P1509" s="9"/>
      <c r="Q1509" s="5"/>
    </row>
    <row r="1510">
      <c r="J1510" s="5"/>
      <c r="P1510" s="9"/>
      <c r="Q1510" s="5"/>
    </row>
    <row r="1511">
      <c r="J1511" s="5"/>
      <c r="P1511" s="9"/>
      <c r="Q1511" s="5"/>
    </row>
    <row r="1512">
      <c r="J1512" s="5"/>
      <c r="P1512" s="9"/>
      <c r="Q1512" s="5"/>
    </row>
    <row r="1513">
      <c r="J1513" s="5"/>
      <c r="P1513" s="9"/>
      <c r="Q1513" s="5"/>
    </row>
    <row r="1514">
      <c r="J1514" s="5"/>
      <c r="P1514" s="9"/>
      <c r="Q1514" s="5"/>
    </row>
    <row r="1515">
      <c r="J1515" s="5"/>
      <c r="P1515" s="9"/>
      <c r="Q1515" s="5"/>
    </row>
    <row r="1516">
      <c r="J1516" s="5"/>
      <c r="P1516" s="9"/>
      <c r="Q1516" s="5"/>
    </row>
    <row r="1517">
      <c r="J1517" s="5"/>
      <c r="P1517" s="9"/>
      <c r="Q1517" s="5"/>
    </row>
    <row r="1518">
      <c r="J1518" s="5"/>
      <c r="P1518" s="9"/>
      <c r="Q1518" s="5"/>
    </row>
    <row r="1519">
      <c r="J1519" s="5"/>
      <c r="P1519" s="9"/>
      <c r="Q1519" s="5"/>
    </row>
    <row r="1520">
      <c r="J1520" s="5"/>
      <c r="P1520" s="9"/>
      <c r="Q1520" s="5"/>
    </row>
    <row r="1521">
      <c r="J1521" s="5"/>
      <c r="P1521" s="9"/>
      <c r="Q1521" s="5"/>
    </row>
    <row r="1522">
      <c r="J1522" s="5"/>
      <c r="P1522" s="9"/>
      <c r="Q1522" s="5"/>
    </row>
    <row r="1523">
      <c r="J1523" s="5"/>
      <c r="P1523" s="9"/>
      <c r="Q1523" s="5"/>
    </row>
    <row r="1524">
      <c r="J1524" s="5"/>
      <c r="P1524" s="9"/>
      <c r="Q1524" s="5"/>
    </row>
    <row r="1525">
      <c r="J1525" s="5"/>
      <c r="P1525" s="9"/>
      <c r="Q1525" s="5"/>
    </row>
    <row r="1526">
      <c r="J1526" s="5"/>
      <c r="P1526" s="9"/>
      <c r="Q1526" s="5"/>
    </row>
    <row r="1527">
      <c r="J1527" s="5"/>
      <c r="P1527" s="9"/>
      <c r="Q1527" s="5"/>
    </row>
    <row r="1528">
      <c r="J1528" s="5"/>
      <c r="P1528" s="9"/>
      <c r="Q1528" s="5"/>
    </row>
    <row r="1529">
      <c r="J1529" s="5"/>
      <c r="P1529" s="9"/>
      <c r="Q1529" s="5"/>
    </row>
    <row r="1530">
      <c r="J1530" s="5"/>
      <c r="P1530" s="9"/>
      <c r="Q1530" s="5"/>
    </row>
    <row r="1531">
      <c r="J1531" s="5"/>
      <c r="P1531" s="9"/>
      <c r="Q1531" s="5"/>
    </row>
    <row r="1532">
      <c r="J1532" s="5"/>
      <c r="P1532" s="9"/>
      <c r="Q1532" s="5"/>
    </row>
    <row r="1533">
      <c r="J1533" s="5"/>
      <c r="P1533" s="9"/>
      <c r="Q1533" s="5"/>
    </row>
    <row r="1534">
      <c r="J1534" s="5"/>
      <c r="P1534" s="9"/>
      <c r="Q1534" s="5"/>
    </row>
    <row r="1535">
      <c r="J1535" s="5"/>
      <c r="P1535" s="9"/>
      <c r="Q1535" s="5"/>
    </row>
    <row r="1536">
      <c r="J1536" s="5"/>
      <c r="P1536" s="9"/>
      <c r="Q1536" s="5"/>
    </row>
    <row r="1537">
      <c r="J1537" s="5"/>
      <c r="P1537" s="9"/>
      <c r="Q1537" s="5"/>
    </row>
    <row r="1538">
      <c r="J1538" s="5"/>
      <c r="P1538" s="9"/>
      <c r="Q1538" s="5"/>
    </row>
    <row r="1539">
      <c r="J1539" s="5"/>
      <c r="P1539" s="9"/>
      <c r="Q1539" s="5"/>
    </row>
    <row r="1540">
      <c r="J1540" s="5"/>
      <c r="P1540" s="9"/>
      <c r="Q1540" s="5"/>
    </row>
    <row r="1541">
      <c r="J1541" s="5"/>
      <c r="P1541" s="9"/>
      <c r="Q1541" s="5"/>
    </row>
    <row r="1542">
      <c r="J1542" s="5"/>
      <c r="P1542" s="9"/>
      <c r="Q1542" s="5"/>
    </row>
    <row r="1543">
      <c r="J1543" s="5"/>
      <c r="P1543" s="9"/>
      <c r="Q1543" s="5"/>
    </row>
    <row r="1544">
      <c r="J1544" s="5"/>
      <c r="P1544" s="9"/>
      <c r="Q1544" s="5"/>
    </row>
    <row r="1545">
      <c r="J1545" s="5"/>
      <c r="P1545" s="9"/>
      <c r="Q1545" s="5"/>
    </row>
    <row r="1546">
      <c r="J1546" s="5"/>
      <c r="P1546" s="9"/>
      <c r="Q1546" s="5"/>
    </row>
    <row r="1547">
      <c r="J1547" s="5"/>
      <c r="P1547" s="9"/>
      <c r="Q1547" s="5"/>
    </row>
    <row r="1548">
      <c r="J1548" s="5"/>
      <c r="P1548" s="9"/>
      <c r="Q1548" s="5"/>
    </row>
    <row r="1549">
      <c r="J1549" s="5"/>
      <c r="P1549" s="9"/>
      <c r="Q1549" s="5"/>
    </row>
    <row r="1550">
      <c r="J1550" s="5"/>
      <c r="P1550" s="9"/>
      <c r="Q1550" s="5"/>
    </row>
    <row r="1551">
      <c r="J1551" s="5"/>
      <c r="P1551" s="9"/>
      <c r="Q1551" s="5"/>
    </row>
    <row r="1552">
      <c r="J1552" s="5"/>
      <c r="P1552" s="9"/>
      <c r="Q1552" s="5"/>
    </row>
    <row r="1553">
      <c r="J1553" s="5"/>
      <c r="P1553" s="9"/>
      <c r="Q1553" s="5"/>
    </row>
    <row r="1554">
      <c r="J1554" s="5"/>
      <c r="P1554" s="9"/>
      <c r="Q1554" s="5"/>
    </row>
    <row r="1555">
      <c r="J1555" s="5"/>
      <c r="P1555" s="9"/>
      <c r="Q1555" s="5"/>
    </row>
    <row r="1556">
      <c r="J1556" s="5"/>
      <c r="P1556" s="9"/>
      <c r="Q1556" s="5"/>
    </row>
    <row r="1557">
      <c r="J1557" s="5"/>
      <c r="P1557" s="9"/>
      <c r="Q1557" s="5"/>
    </row>
    <row r="1558">
      <c r="J1558" s="5"/>
      <c r="P1558" s="9"/>
      <c r="Q1558" s="5"/>
    </row>
    <row r="1559">
      <c r="J1559" s="5"/>
      <c r="P1559" s="9"/>
      <c r="Q1559" s="5"/>
    </row>
    <row r="1560">
      <c r="J1560" s="5"/>
      <c r="P1560" s="9"/>
      <c r="Q1560" s="5"/>
    </row>
    <row r="1561">
      <c r="J1561" s="5"/>
      <c r="P1561" s="9"/>
      <c r="Q1561" s="5"/>
    </row>
    <row r="1562">
      <c r="J1562" s="5"/>
      <c r="P1562" s="9"/>
      <c r="Q1562" s="5"/>
    </row>
    <row r="1563">
      <c r="J1563" s="5"/>
      <c r="P1563" s="9"/>
      <c r="Q1563" s="5"/>
    </row>
    <row r="1564">
      <c r="J1564" s="5"/>
      <c r="P1564" s="9"/>
      <c r="Q1564" s="5"/>
    </row>
    <row r="1565">
      <c r="J1565" s="5"/>
      <c r="P1565" s="9"/>
      <c r="Q1565" s="5"/>
    </row>
    <row r="1566">
      <c r="J1566" s="5"/>
      <c r="P1566" s="9"/>
      <c r="Q1566" s="5"/>
    </row>
    <row r="1567">
      <c r="J1567" s="5"/>
      <c r="P1567" s="9"/>
      <c r="Q1567" s="5"/>
    </row>
    <row r="1568">
      <c r="J1568" s="5"/>
      <c r="P1568" s="9"/>
      <c r="Q1568" s="5"/>
    </row>
    <row r="1569">
      <c r="J1569" s="5"/>
      <c r="P1569" s="9"/>
      <c r="Q1569" s="5"/>
    </row>
    <row r="1570">
      <c r="J1570" s="5"/>
      <c r="P1570" s="9"/>
      <c r="Q1570" s="5"/>
    </row>
    <row r="1571">
      <c r="J1571" s="5"/>
      <c r="P1571" s="9"/>
      <c r="Q1571" s="5"/>
    </row>
    <row r="1572">
      <c r="J1572" s="5"/>
      <c r="P1572" s="9"/>
      <c r="Q1572" s="5"/>
    </row>
    <row r="1573">
      <c r="J1573" s="5"/>
      <c r="P1573" s="9"/>
      <c r="Q1573" s="5"/>
    </row>
    <row r="1574">
      <c r="J1574" s="5"/>
      <c r="P1574" s="9"/>
      <c r="Q1574" s="5"/>
    </row>
    <row r="1575">
      <c r="J1575" s="5"/>
      <c r="P1575" s="9"/>
      <c r="Q1575" s="5"/>
    </row>
    <row r="1576">
      <c r="J1576" s="5"/>
      <c r="P1576" s="9"/>
      <c r="Q1576" s="5"/>
    </row>
    <row r="1577">
      <c r="J1577" s="5"/>
      <c r="P1577" s="9"/>
      <c r="Q1577" s="5"/>
    </row>
    <row r="1578">
      <c r="J1578" s="5"/>
      <c r="P1578" s="9"/>
      <c r="Q1578" s="5"/>
    </row>
    <row r="1579">
      <c r="J1579" s="5"/>
      <c r="P1579" s="9"/>
      <c r="Q1579" s="5"/>
    </row>
    <row r="1580">
      <c r="J1580" s="5"/>
      <c r="P1580" s="9"/>
      <c r="Q1580" s="5"/>
    </row>
    <row r="1581">
      <c r="J1581" s="5"/>
      <c r="P1581" s="9"/>
      <c r="Q1581" s="5"/>
    </row>
    <row r="1582">
      <c r="J1582" s="5"/>
      <c r="P1582" s="9"/>
      <c r="Q1582" s="5"/>
    </row>
    <row r="1583">
      <c r="J1583" s="5"/>
      <c r="P1583" s="9"/>
      <c r="Q1583" s="5"/>
    </row>
    <row r="1584">
      <c r="J1584" s="5"/>
      <c r="P1584" s="9"/>
      <c r="Q1584" s="5"/>
    </row>
    <row r="1585">
      <c r="J1585" s="5"/>
      <c r="P1585" s="9"/>
      <c r="Q1585" s="5"/>
    </row>
    <row r="1586">
      <c r="J1586" s="5"/>
      <c r="P1586" s="9"/>
      <c r="Q1586" s="5"/>
    </row>
    <row r="1587">
      <c r="J1587" s="5"/>
      <c r="P1587" s="9"/>
      <c r="Q1587" s="5"/>
    </row>
    <row r="1588">
      <c r="J1588" s="5"/>
      <c r="P1588" s="9"/>
      <c r="Q1588" s="5"/>
    </row>
    <row r="1589">
      <c r="J1589" s="5"/>
      <c r="P1589" s="9"/>
      <c r="Q1589" s="5"/>
    </row>
    <row r="1590">
      <c r="J1590" s="5"/>
      <c r="P1590" s="9"/>
      <c r="Q1590" s="5"/>
    </row>
    <row r="1591">
      <c r="J1591" s="5"/>
      <c r="P1591" s="9"/>
      <c r="Q1591" s="5"/>
    </row>
    <row r="1592">
      <c r="J1592" s="5"/>
      <c r="P1592" s="9"/>
      <c r="Q1592" s="5"/>
    </row>
    <row r="1593">
      <c r="J1593" s="5"/>
      <c r="P1593" s="9"/>
      <c r="Q1593" s="5"/>
    </row>
    <row r="1594">
      <c r="J1594" s="5"/>
      <c r="P1594" s="9"/>
      <c r="Q1594" s="5"/>
    </row>
    <row r="1595">
      <c r="J1595" s="5"/>
      <c r="P1595" s="9"/>
      <c r="Q1595" s="5"/>
    </row>
    <row r="1596">
      <c r="J1596" s="5"/>
      <c r="P1596" s="9"/>
      <c r="Q1596" s="5"/>
    </row>
    <row r="1597">
      <c r="J1597" s="5"/>
      <c r="P1597" s="9"/>
      <c r="Q1597" s="5"/>
    </row>
    <row r="1598">
      <c r="J1598" s="5"/>
      <c r="P1598" s="9"/>
      <c r="Q1598" s="5"/>
    </row>
    <row r="1599">
      <c r="J1599" s="5"/>
      <c r="P1599" s="9"/>
      <c r="Q1599" s="5"/>
    </row>
    <row r="1600">
      <c r="J1600" s="5"/>
      <c r="P1600" s="9"/>
      <c r="Q1600" s="5"/>
    </row>
    <row r="1601">
      <c r="J1601" s="5"/>
      <c r="P1601" s="9"/>
      <c r="Q1601" s="5"/>
    </row>
    <row r="1602">
      <c r="J1602" s="5"/>
      <c r="P1602" s="9"/>
      <c r="Q1602" s="5"/>
    </row>
    <row r="1603">
      <c r="J1603" s="5"/>
      <c r="P1603" s="9"/>
      <c r="Q1603" s="5"/>
    </row>
    <row r="1604">
      <c r="J1604" s="5"/>
      <c r="P1604" s="9"/>
      <c r="Q1604" s="5"/>
    </row>
    <row r="1605">
      <c r="J1605" s="5"/>
      <c r="P1605" s="9"/>
      <c r="Q1605" s="5"/>
    </row>
    <row r="1606">
      <c r="J1606" s="5"/>
      <c r="P1606" s="9"/>
      <c r="Q1606" s="5"/>
    </row>
    <row r="1607">
      <c r="J1607" s="5"/>
      <c r="P1607" s="9"/>
      <c r="Q1607" s="5"/>
    </row>
    <row r="1608">
      <c r="J1608" s="5"/>
      <c r="P1608" s="9"/>
      <c r="Q1608" s="5"/>
    </row>
    <row r="1609">
      <c r="J1609" s="5"/>
      <c r="P1609" s="9"/>
      <c r="Q1609" s="5"/>
    </row>
    <row r="1610">
      <c r="J1610" s="5"/>
      <c r="P1610" s="9"/>
      <c r="Q1610" s="5"/>
    </row>
    <row r="1611">
      <c r="J1611" s="5"/>
      <c r="P1611" s="9"/>
      <c r="Q1611" s="5"/>
    </row>
    <row r="1612">
      <c r="J1612" s="5"/>
      <c r="P1612" s="9"/>
      <c r="Q1612" s="5"/>
    </row>
    <row r="1613">
      <c r="J1613" s="5"/>
      <c r="P1613" s="9"/>
      <c r="Q1613" s="5"/>
    </row>
    <row r="1614">
      <c r="J1614" s="5"/>
      <c r="P1614" s="9"/>
      <c r="Q1614" s="5"/>
    </row>
    <row r="1615">
      <c r="J1615" s="5"/>
      <c r="P1615" s="9"/>
      <c r="Q1615" s="5"/>
    </row>
    <row r="1616">
      <c r="J1616" s="5"/>
      <c r="P1616" s="9"/>
      <c r="Q1616" s="5"/>
    </row>
    <row r="1617">
      <c r="J1617" s="5"/>
      <c r="P1617" s="9"/>
      <c r="Q1617" s="5"/>
    </row>
    <row r="1618">
      <c r="J1618" s="5"/>
      <c r="P1618" s="9"/>
      <c r="Q1618" s="5"/>
    </row>
    <row r="1619">
      <c r="J1619" s="5"/>
      <c r="P1619" s="9"/>
      <c r="Q1619" s="5"/>
    </row>
    <row r="1620">
      <c r="J1620" s="5"/>
      <c r="P1620" s="9"/>
      <c r="Q1620" s="5"/>
    </row>
    <row r="1621">
      <c r="J1621" s="5"/>
      <c r="P1621" s="9"/>
      <c r="Q1621" s="5"/>
    </row>
    <row r="1622">
      <c r="J1622" s="5"/>
      <c r="P1622" s="9"/>
      <c r="Q1622" s="5"/>
    </row>
    <row r="1623">
      <c r="J1623" s="5"/>
      <c r="P1623" s="9"/>
      <c r="Q1623" s="5"/>
    </row>
    <row r="1624">
      <c r="J1624" s="5"/>
      <c r="P1624" s="9"/>
      <c r="Q1624" s="5"/>
    </row>
    <row r="1625">
      <c r="J1625" s="5"/>
      <c r="P1625" s="9"/>
      <c r="Q1625" s="5"/>
    </row>
    <row r="1626">
      <c r="J1626" s="5"/>
      <c r="P1626" s="9"/>
      <c r="Q1626" s="5"/>
    </row>
    <row r="1627">
      <c r="J1627" s="5"/>
      <c r="P1627" s="9"/>
      <c r="Q1627" s="5"/>
    </row>
    <row r="1628">
      <c r="J1628" s="5"/>
      <c r="P1628" s="9"/>
      <c r="Q1628" s="5"/>
    </row>
    <row r="1629">
      <c r="J1629" s="5"/>
      <c r="P1629" s="9"/>
      <c r="Q1629" s="5"/>
    </row>
    <row r="1630">
      <c r="J1630" s="5"/>
      <c r="P1630" s="9"/>
      <c r="Q1630" s="5"/>
    </row>
    <row r="1631">
      <c r="J1631" s="5"/>
      <c r="P1631" s="9"/>
      <c r="Q1631" s="5"/>
    </row>
    <row r="1632">
      <c r="J1632" s="5"/>
      <c r="P1632" s="9"/>
      <c r="Q1632" s="5"/>
    </row>
    <row r="1633">
      <c r="J1633" s="5"/>
      <c r="P1633" s="9"/>
      <c r="Q1633" s="5"/>
    </row>
    <row r="1634">
      <c r="J1634" s="5"/>
      <c r="P1634" s="9"/>
      <c r="Q1634" s="5"/>
    </row>
    <row r="1635">
      <c r="J1635" s="5"/>
      <c r="P1635" s="9"/>
      <c r="Q1635" s="5"/>
    </row>
    <row r="1636">
      <c r="J1636" s="5"/>
      <c r="P1636" s="9"/>
      <c r="Q1636" s="5"/>
    </row>
    <row r="1637">
      <c r="J1637" s="5"/>
      <c r="P1637" s="9"/>
      <c r="Q1637" s="5"/>
    </row>
    <row r="1638">
      <c r="J1638" s="5"/>
      <c r="P1638" s="9"/>
      <c r="Q1638" s="5"/>
    </row>
    <row r="1639">
      <c r="J1639" s="5"/>
      <c r="P1639" s="9"/>
      <c r="Q1639" s="5"/>
    </row>
    <row r="1640">
      <c r="J1640" s="5"/>
      <c r="P1640" s="9"/>
      <c r="Q1640" s="5"/>
    </row>
    <row r="1641">
      <c r="J1641" s="5"/>
      <c r="P1641" s="9"/>
      <c r="Q1641" s="5"/>
    </row>
    <row r="1642">
      <c r="J1642" s="5"/>
      <c r="P1642" s="9"/>
      <c r="Q1642" s="5"/>
    </row>
    <row r="1643">
      <c r="J1643" s="5"/>
      <c r="P1643" s="9"/>
      <c r="Q1643" s="5"/>
    </row>
    <row r="1644">
      <c r="J1644" s="5"/>
      <c r="P1644" s="9"/>
      <c r="Q1644" s="5"/>
    </row>
    <row r="1645">
      <c r="J1645" s="5"/>
      <c r="P1645" s="9"/>
      <c r="Q1645" s="5"/>
    </row>
    <row r="1646">
      <c r="J1646" s="5"/>
      <c r="P1646" s="9"/>
      <c r="Q1646" s="5"/>
    </row>
    <row r="1647">
      <c r="J1647" s="5"/>
      <c r="P1647" s="9"/>
      <c r="Q1647" s="5"/>
    </row>
    <row r="1648">
      <c r="J1648" s="5"/>
      <c r="P1648" s="9"/>
      <c r="Q1648" s="5"/>
    </row>
    <row r="1649">
      <c r="J1649" s="5"/>
      <c r="P1649" s="9"/>
      <c r="Q1649" s="5"/>
    </row>
    <row r="1650">
      <c r="J1650" s="5"/>
      <c r="P1650" s="9"/>
      <c r="Q1650" s="5"/>
    </row>
    <row r="1651">
      <c r="J1651" s="5"/>
      <c r="P1651" s="9"/>
      <c r="Q1651" s="5"/>
    </row>
    <row r="1652">
      <c r="J1652" s="5"/>
      <c r="P1652" s="9"/>
      <c r="Q1652" s="5"/>
    </row>
    <row r="1653">
      <c r="J1653" s="5"/>
      <c r="P1653" s="9"/>
      <c r="Q1653" s="5"/>
    </row>
    <row r="1654">
      <c r="J1654" s="5"/>
      <c r="P1654" s="9"/>
      <c r="Q1654" s="5"/>
    </row>
    <row r="1655">
      <c r="J1655" s="5"/>
      <c r="P1655" s="9"/>
      <c r="Q1655" s="5"/>
    </row>
    <row r="1656">
      <c r="J1656" s="5"/>
      <c r="P1656" s="9"/>
      <c r="Q1656" s="5"/>
    </row>
    <row r="1657">
      <c r="J1657" s="5"/>
      <c r="P1657" s="9"/>
      <c r="Q1657" s="5"/>
    </row>
    <row r="1658">
      <c r="J1658" s="5"/>
      <c r="P1658" s="9"/>
      <c r="Q1658" s="5"/>
    </row>
    <row r="1659">
      <c r="J1659" s="5"/>
      <c r="P1659" s="9"/>
      <c r="Q1659" s="5"/>
    </row>
    <row r="1660">
      <c r="J1660" s="5"/>
      <c r="P1660" s="9"/>
      <c r="Q1660" s="5"/>
    </row>
    <row r="1661">
      <c r="J1661" s="5"/>
      <c r="P1661" s="9"/>
      <c r="Q1661" s="5"/>
    </row>
    <row r="1662">
      <c r="J1662" s="5"/>
      <c r="P1662" s="9"/>
      <c r="Q1662" s="5"/>
    </row>
    <row r="1663">
      <c r="J1663" s="5"/>
      <c r="P1663" s="9"/>
      <c r="Q1663" s="5"/>
    </row>
    <row r="1664">
      <c r="J1664" s="5"/>
      <c r="P1664" s="9"/>
      <c r="Q1664" s="5"/>
    </row>
    <row r="1665">
      <c r="J1665" s="5"/>
      <c r="P1665" s="9"/>
      <c r="Q1665" s="5"/>
    </row>
    <row r="1666">
      <c r="J1666" s="5"/>
      <c r="P1666" s="9"/>
      <c r="Q1666" s="5"/>
    </row>
    <row r="1667">
      <c r="J1667" s="5"/>
      <c r="P1667" s="9"/>
      <c r="Q1667" s="5"/>
    </row>
    <row r="1668">
      <c r="J1668" s="5"/>
      <c r="P1668" s="9"/>
      <c r="Q1668" s="5"/>
    </row>
    <row r="1669">
      <c r="J1669" s="5"/>
      <c r="P1669" s="9"/>
      <c r="Q1669" s="5"/>
    </row>
    <row r="1670">
      <c r="J1670" s="5"/>
      <c r="P1670" s="9"/>
      <c r="Q1670" s="5"/>
    </row>
    <row r="1671">
      <c r="J1671" s="5"/>
      <c r="P1671" s="9"/>
      <c r="Q1671" s="5"/>
    </row>
    <row r="1672">
      <c r="J1672" s="5"/>
      <c r="P1672" s="9"/>
      <c r="Q1672" s="5"/>
    </row>
    <row r="1673">
      <c r="J1673" s="5"/>
      <c r="P1673" s="9"/>
      <c r="Q1673" s="5"/>
    </row>
    <row r="1674">
      <c r="J1674" s="5"/>
      <c r="P1674" s="9"/>
      <c r="Q1674" s="5"/>
    </row>
    <row r="1675">
      <c r="J1675" s="5"/>
      <c r="P1675" s="9"/>
      <c r="Q1675" s="5"/>
    </row>
    <row r="1676">
      <c r="J1676" s="5"/>
      <c r="P1676" s="9"/>
      <c r="Q1676" s="5"/>
    </row>
    <row r="1677">
      <c r="J1677" s="5"/>
      <c r="P1677" s="9"/>
      <c r="Q1677" s="5"/>
    </row>
    <row r="1678">
      <c r="J1678" s="5"/>
      <c r="P1678" s="9"/>
      <c r="Q1678" s="5"/>
    </row>
    <row r="1679">
      <c r="J1679" s="5"/>
      <c r="P1679" s="9"/>
      <c r="Q1679" s="5"/>
    </row>
    <row r="1680">
      <c r="J1680" s="5"/>
      <c r="P1680" s="9"/>
      <c r="Q1680" s="5"/>
    </row>
    <row r="1681">
      <c r="J1681" s="5"/>
      <c r="P1681" s="9"/>
      <c r="Q1681" s="5"/>
    </row>
    <row r="1682">
      <c r="J1682" s="5"/>
      <c r="P1682" s="9"/>
      <c r="Q1682" s="5"/>
    </row>
    <row r="1683">
      <c r="J1683" s="5"/>
      <c r="P1683" s="9"/>
      <c r="Q1683" s="5"/>
    </row>
    <row r="1684">
      <c r="J1684" s="5"/>
      <c r="P1684" s="9"/>
      <c r="Q1684" s="5"/>
    </row>
    <row r="1685">
      <c r="J1685" s="5"/>
      <c r="P1685" s="9"/>
      <c r="Q1685" s="5"/>
    </row>
    <row r="1686">
      <c r="J1686" s="5"/>
      <c r="P1686" s="9"/>
      <c r="Q1686" s="5"/>
    </row>
    <row r="1687">
      <c r="J1687" s="5"/>
      <c r="P1687" s="9"/>
      <c r="Q1687" s="5"/>
    </row>
    <row r="1688">
      <c r="J1688" s="5"/>
      <c r="P1688" s="9"/>
      <c r="Q1688" s="5"/>
    </row>
    <row r="1689">
      <c r="J1689" s="5"/>
      <c r="P1689" s="9"/>
      <c r="Q1689" s="5"/>
    </row>
    <row r="1690">
      <c r="J1690" s="5"/>
      <c r="P1690" s="9"/>
      <c r="Q1690" s="5"/>
    </row>
    <row r="1691">
      <c r="J1691" s="5"/>
      <c r="P1691" s="9"/>
      <c r="Q1691" s="5"/>
    </row>
    <row r="1692">
      <c r="J1692" s="5"/>
      <c r="P1692" s="9"/>
      <c r="Q1692" s="5"/>
    </row>
    <row r="1693">
      <c r="J1693" s="5"/>
      <c r="P1693" s="9"/>
      <c r="Q1693" s="5"/>
    </row>
    <row r="1694">
      <c r="J1694" s="5"/>
      <c r="P1694" s="9"/>
      <c r="Q1694" s="5"/>
    </row>
    <row r="1695">
      <c r="J1695" s="5"/>
      <c r="P1695" s="9"/>
      <c r="Q1695" s="5"/>
    </row>
    <row r="1696">
      <c r="J1696" s="5"/>
      <c r="P1696" s="9"/>
      <c r="Q1696" s="5"/>
    </row>
    <row r="1697">
      <c r="J1697" s="5"/>
      <c r="P1697" s="9"/>
      <c r="Q1697" s="5"/>
    </row>
    <row r="1698">
      <c r="J1698" s="5"/>
      <c r="P1698" s="9"/>
      <c r="Q1698" s="5"/>
    </row>
    <row r="1699">
      <c r="J1699" s="5"/>
      <c r="P1699" s="9"/>
      <c r="Q1699" s="5"/>
    </row>
    <row r="1700">
      <c r="J1700" s="5"/>
      <c r="P1700" s="9"/>
      <c r="Q1700" s="5"/>
    </row>
    <row r="1701">
      <c r="J1701" s="5"/>
      <c r="P1701" s="9"/>
      <c r="Q1701" s="5"/>
    </row>
    <row r="1702">
      <c r="J1702" s="5"/>
      <c r="P1702" s="9"/>
      <c r="Q1702" s="5"/>
    </row>
    <row r="1703">
      <c r="J1703" s="5"/>
      <c r="P1703" s="9"/>
      <c r="Q1703" s="5"/>
    </row>
    <row r="1704">
      <c r="J1704" s="5"/>
      <c r="P1704" s="9"/>
      <c r="Q1704" s="5"/>
    </row>
    <row r="1705">
      <c r="J1705" s="5"/>
      <c r="P1705" s="9"/>
      <c r="Q1705" s="5"/>
    </row>
    <row r="1706">
      <c r="J1706" s="5"/>
      <c r="P1706" s="9"/>
      <c r="Q1706" s="5"/>
    </row>
    <row r="1707">
      <c r="J1707" s="5"/>
      <c r="P1707" s="9"/>
      <c r="Q1707" s="5"/>
    </row>
    <row r="1708">
      <c r="J1708" s="5"/>
      <c r="P1708" s="9"/>
      <c r="Q1708" s="5"/>
    </row>
    <row r="1709">
      <c r="J1709" s="5"/>
      <c r="P1709" s="9"/>
      <c r="Q1709" s="5"/>
    </row>
    <row r="1710">
      <c r="J1710" s="5"/>
      <c r="P1710" s="9"/>
      <c r="Q1710" s="5"/>
    </row>
    <row r="1711">
      <c r="J1711" s="5"/>
      <c r="P1711" s="9"/>
      <c r="Q1711" s="5"/>
    </row>
    <row r="1712">
      <c r="J1712" s="5"/>
      <c r="P1712" s="9"/>
      <c r="Q1712" s="5"/>
    </row>
    <row r="1713">
      <c r="J1713" s="5"/>
      <c r="P1713" s="9"/>
      <c r="Q1713" s="5"/>
    </row>
    <row r="1714">
      <c r="J1714" s="5"/>
      <c r="P1714" s="9"/>
      <c r="Q1714" s="5"/>
    </row>
    <row r="1715">
      <c r="J1715" s="5"/>
      <c r="P1715" s="9"/>
      <c r="Q1715" s="5"/>
    </row>
    <row r="1716">
      <c r="J1716" s="5"/>
      <c r="P1716" s="9"/>
      <c r="Q1716" s="5"/>
    </row>
    <row r="1717">
      <c r="J1717" s="5"/>
      <c r="P1717" s="9"/>
      <c r="Q1717" s="5"/>
    </row>
    <row r="1718">
      <c r="J1718" s="5"/>
      <c r="P1718" s="9"/>
      <c r="Q1718" s="5"/>
    </row>
    <row r="1719">
      <c r="J1719" s="5"/>
      <c r="P1719" s="9"/>
      <c r="Q1719" s="5"/>
    </row>
    <row r="1720">
      <c r="J1720" s="5"/>
      <c r="P1720" s="9"/>
      <c r="Q1720" s="5"/>
    </row>
    <row r="1721">
      <c r="J1721" s="5"/>
      <c r="P1721" s="9"/>
      <c r="Q1721" s="5"/>
    </row>
    <row r="1722">
      <c r="J1722" s="5"/>
      <c r="P1722" s="9"/>
      <c r="Q1722" s="5"/>
    </row>
    <row r="1723">
      <c r="J1723" s="5"/>
      <c r="P1723" s="9"/>
      <c r="Q1723" s="5"/>
    </row>
    <row r="1724">
      <c r="J1724" s="5"/>
      <c r="P1724" s="9"/>
      <c r="Q1724" s="5"/>
    </row>
    <row r="1725">
      <c r="J1725" s="5"/>
      <c r="P1725" s="9"/>
      <c r="Q1725" s="5"/>
    </row>
    <row r="1726">
      <c r="J1726" s="5"/>
      <c r="P1726" s="9"/>
      <c r="Q1726" s="5"/>
    </row>
    <row r="1727">
      <c r="J1727" s="5"/>
      <c r="P1727" s="9"/>
      <c r="Q1727" s="5"/>
    </row>
    <row r="1728">
      <c r="J1728" s="5"/>
      <c r="P1728" s="9"/>
      <c r="Q1728" s="5"/>
    </row>
    <row r="1729">
      <c r="J1729" s="5"/>
      <c r="P1729" s="9"/>
      <c r="Q1729" s="5"/>
    </row>
    <row r="1730">
      <c r="J1730" s="5"/>
      <c r="P1730" s="9"/>
      <c r="Q1730" s="5"/>
    </row>
    <row r="1731">
      <c r="J1731" s="5"/>
      <c r="P1731" s="9"/>
      <c r="Q1731" s="5"/>
    </row>
    <row r="1732">
      <c r="J1732" s="5"/>
      <c r="P1732" s="9"/>
      <c r="Q1732" s="5"/>
    </row>
    <row r="1733">
      <c r="J1733" s="5"/>
      <c r="P1733" s="9"/>
      <c r="Q1733" s="5"/>
    </row>
    <row r="1734">
      <c r="J1734" s="5"/>
      <c r="P1734" s="9"/>
      <c r="Q1734" s="5"/>
    </row>
    <row r="1735">
      <c r="J1735" s="5"/>
      <c r="P1735" s="9"/>
      <c r="Q1735" s="5"/>
    </row>
    <row r="1736">
      <c r="J1736" s="5"/>
      <c r="P1736" s="9"/>
      <c r="Q1736" s="5"/>
    </row>
    <row r="1737">
      <c r="J1737" s="5"/>
      <c r="P1737" s="9"/>
      <c r="Q1737" s="5"/>
    </row>
    <row r="1738">
      <c r="J1738" s="5"/>
      <c r="P1738" s="9"/>
      <c r="Q1738" s="5"/>
    </row>
    <row r="1739">
      <c r="J1739" s="5"/>
      <c r="P1739" s="9"/>
      <c r="Q1739" s="5"/>
    </row>
    <row r="1740">
      <c r="J1740" s="5"/>
      <c r="P1740" s="9"/>
      <c r="Q1740" s="5"/>
    </row>
    <row r="1741">
      <c r="J1741" s="5"/>
      <c r="P1741" s="9"/>
      <c r="Q1741" s="5"/>
    </row>
    <row r="1742">
      <c r="J1742" s="5"/>
      <c r="P1742" s="9"/>
      <c r="Q1742" s="5"/>
    </row>
    <row r="1743">
      <c r="J1743" s="5"/>
      <c r="P1743" s="9"/>
      <c r="Q1743" s="5"/>
    </row>
    <row r="1744">
      <c r="J1744" s="5"/>
      <c r="P1744" s="9"/>
      <c r="Q1744" s="5"/>
    </row>
    <row r="1745">
      <c r="J1745" s="5"/>
      <c r="P1745" s="9"/>
      <c r="Q1745" s="5"/>
    </row>
    <row r="1746">
      <c r="J1746" s="5"/>
      <c r="P1746" s="9"/>
      <c r="Q1746" s="5"/>
    </row>
    <row r="1747">
      <c r="J1747" s="5"/>
      <c r="P1747" s="9"/>
      <c r="Q1747" s="5"/>
    </row>
    <row r="1748">
      <c r="J1748" s="5"/>
      <c r="P1748" s="9"/>
      <c r="Q1748" s="5"/>
    </row>
    <row r="1749">
      <c r="J1749" s="5"/>
      <c r="P1749" s="9"/>
      <c r="Q1749" s="5"/>
    </row>
    <row r="1750">
      <c r="J1750" s="5"/>
      <c r="P1750" s="9"/>
      <c r="Q1750" s="5"/>
    </row>
    <row r="1751">
      <c r="J1751" s="5"/>
      <c r="P1751" s="9"/>
      <c r="Q1751" s="5"/>
    </row>
    <row r="1752">
      <c r="J1752" s="5"/>
      <c r="P1752" s="9"/>
      <c r="Q1752" s="5"/>
    </row>
    <row r="1753">
      <c r="J1753" s="5"/>
      <c r="P1753" s="9"/>
      <c r="Q1753" s="5"/>
    </row>
    <row r="1754">
      <c r="J1754" s="5"/>
      <c r="P1754" s="9"/>
      <c r="Q1754" s="5"/>
    </row>
    <row r="1755">
      <c r="J1755" s="5"/>
      <c r="P1755" s="9"/>
      <c r="Q1755" s="5"/>
    </row>
    <row r="1756">
      <c r="J1756" s="5"/>
      <c r="P1756" s="9"/>
      <c r="Q1756" s="5"/>
    </row>
    <row r="1757">
      <c r="J1757" s="5"/>
      <c r="P1757" s="9"/>
      <c r="Q1757" s="5"/>
    </row>
    <row r="1758">
      <c r="J1758" s="5"/>
      <c r="P1758" s="9"/>
      <c r="Q1758" s="5"/>
    </row>
    <row r="1759">
      <c r="J1759" s="5"/>
      <c r="P1759" s="9"/>
      <c r="Q1759" s="5"/>
    </row>
    <row r="1760">
      <c r="J1760" s="5"/>
      <c r="P1760" s="9"/>
      <c r="Q1760" s="5"/>
    </row>
    <row r="1761">
      <c r="J1761" s="5"/>
      <c r="P1761" s="9"/>
      <c r="Q1761" s="5"/>
    </row>
    <row r="1762">
      <c r="J1762" s="5"/>
      <c r="P1762" s="9"/>
      <c r="Q1762" s="5"/>
    </row>
    <row r="1763">
      <c r="J1763" s="5"/>
      <c r="P1763" s="9"/>
      <c r="Q1763" s="5"/>
    </row>
    <row r="1764">
      <c r="J1764" s="5"/>
      <c r="P1764" s="9"/>
      <c r="Q1764" s="5"/>
    </row>
    <row r="1765">
      <c r="J1765" s="5"/>
      <c r="P1765" s="9"/>
      <c r="Q1765" s="5"/>
    </row>
    <row r="1766">
      <c r="J1766" s="5"/>
      <c r="P1766" s="9"/>
      <c r="Q1766" s="5"/>
    </row>
    <row r="1767">
      <c r="J1767" s="5"/>
      <c r="P1767" s="9"/>
      <c r="Q1767" s="5"/>
    </row>
    <row r="1768">
      <c r="J1768" s="5"/>
      <c r="P1768" s="9"/>
      <c r="Q1768" s="5"/>
    </row>
    <row r="1769">
      <c r="J1769" s="5"/>
      <c r="P1769" s="9"/>
      <c r="Q1769" s="5"/>
    </row>
    <row r="1770">
      <c r="J1770" s="5"/>
      <c r="P1770" s="9"/>
      <c r="Q1770" s="5"/>
    </row>
    <row r="1771">
      <c r="J1771" s="5"/>
      <c r="P1771" s="9"/>
      <c r="Q1771" s="5"/>
    </row>
    <row r="1772">
      <c r="J1772" s="5"/>
      <c r="P1772" s="9"/>
      <c r="Q1772" s="5"/>
    </row>
    <row r="1773">
      <c r="J1773" s="5"/>
      <c r="P1773" s="9"/>
      <c r="Q1773" s="5"/>
    </row>
    <row r="1774">
      <c r="J1774" s="5"/>
      <c r="P1774" s="9"/>
      <c r="Q1774" s="5"/>
    </row>
    <row r="1775">
      <c r="J1775" s="5"/>
      <c r="P1775" s="9"/>
      <c r="Q1775" s="5"/>
    </row>
    <row r="1776">
      <c r="J1776" s="5"/>
      <c r="P1776" s="9"/>
      <c r="Q1776" s="5"/>
    </row>
    <row r="1777">
      <c r="J1777" s="5"/>
      <c r="P1777" s="9"/>
      <c r="Q1777" s="5"/>
    </row>
    <row r="1778">
      <c r="J1778" s="5"/>
      <c r="P1778" s="9"/>
      <c r="Q1778" s="5"/>
    </row>
    <row r="1779">
      <c r="J1779" s="5"/>
      <c r="P1779" s="9"/>
      <c r="Q1779" s="5"/>
    </row>
    <row r="1780">
      <c r="J1780" s="5"/>
      <c r="P1780" s="9"/>
      <c r="Q1780" s="5"/>
    </row>
    <row r="1781">
      <c r="J1781" s="5"/>
      <c r="P1781" s="9"/>
      <c r="Q1781" s="5"/>
    </row>
    <row r="1782">
      <c r="J1782" s="5"/>
      <c r="P1782" s="9"/>
      <c r="Q1782" s="5"/>
    </row>
    <row r="1783">
      <c r="J1783" s="5"/>
      <c r="P1783" s="9"/>
      <c r="Q1783" s="5"/>
    </row>
    <row r="1784">
      <c r="J1784" s="5"/>
      <c r="P1784" s="9"/>
      <c r="Q1784" s="5"/>
    </row>
    <row r="1785">
      <c r="J1785" s="5"/>
      <c r="P1785" s="9"/>
      <c r="Q1785" s="5"/>
    </row>
    <row r="1786">
      <c r="J1786" s="5"/>
      <c r="P1786" s="9"/>
      <c r="Q1786" s="5"/>
    </row>
    <row r="1787">
      <c r="J1787" s="5"/>
      <c r="P1787" s="9"/>
      <c r="Q1787" s="5"/>
    </row>
    <row r="1788">
      <c r="J1788" s="5"/>
      <c r="P1788" s="9"/>
      <c r="Q1788" s="5"/>
    </row>
    <row r="1789">
      <c r="J1789" s="5"/>
      <c r="P1789" s="9"/>
      <c r="Q1789" s="5"/>
    </row>
    <row r="1790">
      <c r="J1790" s="5"/>
      <c r="P1790" s="9"/>
      <c r="Q1790" s="5"/>
    </row>
    <row r="1791">
      <c r="J1791" s="5"/>
      <c r="P1791" s="9"/>
      <c r="Q1791" s="5"/>
    </row>
    <row r="1792">
      <c r="J1792" s="5"/>
      <c r="P1792" s="9"/>
      <c r="Q1792" s="5"/>
    </row>
    <row r="1793">
      <c r="J1793" s="5"/>
      <c r="P1793" s="9"/>
      <c r="Q1793" s="5"/>
    </row>
    <row r="1794">
      <c r="J1794" s="5"/>
      <c r="P1794" s="9"/>
      <c r="Q1794" s="5"/>
    </row>
    <row r="1795">
      <c r="J1795" s="5"/>
      <c r="P1795" s="9"/>
      <c r="Q1795" s="5"/>
    </row>
    <row r="1796">
      <c r="J1796" s="5"/>
      <c r="P1796" s="9"/>
      <c r="Q1796" s="5"/>
    </row>
    <row r="1797">
      <c r="J1797" s="5"/>
      <c r="P1797" s="9"/>
      <c r="Q1797" s="5"/>
    </row>
    <row r="1798">
      <c r="J1798" s="5"/>
      <c r="P1798" s="9"/>
      <c r="Q1798" s="5"/>
    </row>
    <row r="1799">
      <c r="J1799" s="5"/>
      <c r="P1799" s="9"/>
      <c r="Q1799" s="5"/>
    </row>
    <row r="1800">
      <c r="J1800" s="5"/>
      <c r="P1800" s="9"/>
      <c r="Q1800" s="5"/>
    </row>
    <row r="1801">
      <c r="J1801" s="5"/>
      <c r="P1801" s="9"/>
      <c r="Q1801" s="5"/>
    </row>
    <row r="1802">
      <c r="J1802" s="5"/>
      <c r="P1802" s="9"/>
      <c r="Q1802" s="5"/>
    </row>
    <row r="1803">
      <c r="J1803" s="5"/>
      <c r="P1803" s="9"/>
      <c r="Q1803" s="5"/>
    </row>
    <row r="1804">
      <c r="J1804" s="5"/>
      <c r="P1804" s="9"/>
      <c r="Q1804" s="5"/>
    </row>
    <row r="1805">
      <c r="J1805" s="5"/>
      <c r="P1805" s="9"/>
      <c r="Q1805" s="5"/>
    </row>
    <row r="1806">
      <c r="J1806" s="5"/>
      <c r="P1806" s="9"/>
      <c r="Q1806" s="5"/>
    </row>
    <row r="1807">
      <c r="J1807" s="5"/>
      <c r="P1807" s="9"/>
      <c r="Q1807" s="5"/>
    </row>
    <row r="1808">
      <c r="J1808" s="5"/>
      <c r="P1808" s="9"/>
      <c r="Q1808" s="5"/>
    </row>
    <row r="1809">
      <c r="J1809" s="5"/>
      <c r="P1809" s="9"/>
      <c r="Q1809" s="5"/>
    </row>
    <row r="1810">
      <c r="J1810" s="5"/>
      <c r="P1810" s="9"/>
      <c r="Q1810" s="5"/>
    </row>
    <row r="1811">
      <c r="J1811" s="5"/>
      <c r="P1811" s="9"/>
      <c r="Q1811" s="5"/>
    </row>
    <row r="1812">
      <c r="J1812" s="5"/>
      <c r="P1812" s="9"/>
      <c r="Q1812" s="5"/>
    </row>
    <row r="1813">
      <c r="J1813" s="5"/>
      <c r="P1813" s="9"/>
      <c r="Q1813" s="5"/>
    </row>
    <row r="1814">
      <c r="J1814" s="5"/>
      <c r="P1814" s="9"/>
      <c r="Q1814" s="5"/>
    </row>
    <row r="1815">
      <c r="J1815" s="5"/>
      <c r="P1815" s="9"/>
      <c r="Q1815" s="5"/>
    </row>
    <row r="1816">
      <c r="J1816" s="5"/>
      <c r="P1816" s="9"/>
      <c r="Q1816" s="5"/>
    </row>
    <row r="1817">
      <c r="J1817" s="5"/>
      <c r="P1817" s="9"/>
      <c r="Q1817" s="5"/>
    </row>
    <row r="1818">
      <c r="J1818" s="5"/>
      <c r="P1818" s="9"/>
      <c r="Q1818" s="5"/>
    </row>
    <row r="1819">
      <c r="J1819" s="5"/>
      <c r="P1819" s="9"/>
      <c r="Q1819" s="5"/>
    </row>
    <row r="1820">
      <c r="J1820" s="5"/>
      <c r="P1820" s="9"/>
      <c r="Q1820" s="5"/>
    </row>
    <row r="1821">
      <c r="J1821" s="5"/>
      <c r="P1821" s="9"/>
      <c r="Q1821" s="5"/>
    </row>
    <row r="1822">
      <c r="J1822" s="5"/>
      <c r="P1822" s="9"/>
      <c r="Q1822" s="5"/>
    </row>
    <row r="1823">
      <c r="J1823" s="5"/>
      <c r="P1823" s="9"/>
      <c r="Q1823" s="5"/>
    </row>
    <row r="1824">
      <c r="J1824" s="5"/>
      <c r="P1824" s="9"/>
      <c r="Q1824" s="5"/>
    </row>
    <row r="1825">
      <c r="J1825" s="5"/>
      <c r="P1825" s="9"/>
      <c r="Q1825" s="5"/>
    </row>
    <row r="1826">
      <c r="J1826" s="5"/>
      <c r="P1826" s="9"/>
      <c r="Q1826" s="5"/>
    </row>
    <row r="1827">
      <c r="J1827" s="5"/>
      <c r="P1827" s="9"/>
      <c r="Q1827" s="5"/>
    </row>
    <row r="1828">
      <c r="J1828" s="5"/>
      <c r="P1828" s="9"/>
      <c r="Q1828" s="5"/>
    </row>
    <row r="1829">
      <c r="J1829" s="5"/>
      <c r="P1829" s="9"/>
      <c r="Q1829" s="5"/>
    </row>
    <row r="1830">
      <c r="J1830" s="5"/>
      <c r="P1830" s="9"/>
      <c r="Q1830" s="5"/>
    </row>
    <row r="1831">
      <c r="J1831" s="5"/>
      <c r="P1831" s="9"/>
      <c r="Q1831" s="5"/>
    </row>
    <row r="1832">
      <c r="J1832" s="5"/>
      <c r="P1832" s="9"/>
      <c r="Q1832" s="5"/>
    </row>
    <row r="1833">
      <c r="J1833" s="5"/>
      <c r="P1833" s="9"/>
      <c r="Q1833" s="5"/>
    </row>
    <row r="1834">
      <c r="J1834" s="5"/>
      <c r="P1834" s="9"/>
      <c r="Q1834" s="5"/>
    </row>
    <row r="1835">
      <c r="J1835" s="5"/>
      <c r="P1835" s="9"/>
      <c r="Q1835" s="5"/>
    </row>
    <row r="1836">
      <c r="J1836" s="5"/>
      <c r="P1836" s="9"/>
      <c r="Q1836" s="5"/>
    </row>
    <row r="1837">
      <c r="J1837" s="5"/>
      <c r="P1837" s="9"/>
      <c r="Q1837" s="5"/>
    </row>
    <row r="1838">
      <c r="J1838" s="5"/>
      <c r="P1838" s="9"/>
      <c r="Q1838" s="5"/>
    </row>
    <row r="1839">
      <c r="J1839" s="5"/>
      <c r="P1839" s="9"/>
      <c r="Q1839" s="5"/>
    </row>
    <row r="1840">
      <c r="J1840" s="5"/>
      <c r="P1840" s="9"/>
      <c r="Q1840" s="5"/>
    </row>
    <row r="1841">
      <c r="J1841" s="5"/>
      <c r="P1841" s="9"/>
      <c r="Q1841" s="5"/>
    </row>
    <row r="1842">
      <c r="J1842" s="5"/>
      <c r="P1842" s="9"/>
      <c r="Q1842" s="5"/>
    </row>
    <row r="1843">
      <c r="J1843" s="5"/>
      <c r="P1843" s="9"/>
      <c r="Q1843" s="5"/>
    </row>
    <row r="1844">
      <c r="J1844" s="5"/>
      <c r="P1844" s="9"/>
      <c r="Q1844" s="5"/>
    </row>
    <row r="1845">
      <c r="J1845" s="5"/>
      <c r="P1845" s="9"/>
      <c r="Q1845" s="5"/>
    </row>
    <row r="1846">
      <c r="J1846" s="5"/>
      <c r="P1846" s="9"/>
      <c r="Q1846" s="5"/>
    </row>
    <row r="1847">
      <c r="J1847" s="5"/>
      <c r="P1847" s="9"/>
      <c r="Q1847" s="5"/>
    </row>
    <row r="1848">
      <c r="J1848" s="5"/>
      <c r="P1848" s="9"/>
      <c r="Q1848" s="5"/>
    </row>
    <row r="1849">
      <c r="J1849" s="5"/>
      <c r="P1849" s="9"/>
      <c r="Q1849" s="5"/>
    </row>
    <row r="1850">
      <c r="J1850" s="5"/>
      <c r="P1850" s="9"/>
      <c r="Q1850" s="5"/>
    </row>
    <row r="1851">
      <c r="J1851" s="5"/>
      <c r="P1851" s="9"/>
      <c r="Q1851" s="5"/>
    </row>
    <row r="1852">
      <c r="J1852" s="5"/>
      <c r="P1852" s="9"/>
      <c r="Q1852" s="5"/>
    </row>
    <row r="1853">
      <c r="J1853" s="5"/>
      <c r="P1853" s="9"/>
      <c r="Q1853" s="5"/>
    </row>
    <row r="1854">
      <c r="J1854" s="5"/>
      <c r="P1854" s="9"/>
      <c r="Q1854" s="5"/>
    </row>
    <row r="1855">
      <c r="J1855" s="5"/>
      <c r="P1855" s="9"/>
      <c r="Q1855" s="5"/>
    </row>
    <row r="1856">
      <c r="J1856" s="5"/>
      <c r="P1856" s="9"/>
      <c r="Q1856" s="5"/>
    </row>
    <row r="1857">
      <c r="J1857" s="5"/>
      <c r="P1857" s="9"/>
      <c r="Q1857" s="5"/>
    </row>
    <row r="1858">
      <c r="J1858" s="5"/>
      <c r="P1858" s="9"/>
      <c r="Q1858" s="5"/>
    </row>
    <row r="1859">
      <c r="J1859" s="5"/>
      <c r="P1859" s="9"/>
      <c r="Q1859" s="5"/>
    </row>
    <row r="1860">
      <c r="J1860" s="5"/>
      <c r="P1860" s="9"/>
      <c r="Q1860" s="5"/>
    </row>
    <row r="1861">
      <c r="J1861" s="5"/>
      <c r="P1861" s="9"/>
      <c r="Q1861" s="5"/>
    </row>
    <row r="1862">
      <c r="J1862" s="5"/>
      <c r="P1862" s="9"/>
      <c r="Q1862" s="5"/>
    </row>
    <row r="1863">
      <c r="J1863" s="5"/>
      <c r="P1863" s="9"/>
      <c r="Q1863" s="5"/>
    </row>
    <row r="1864">
      <c r="J1864" s="5"/>
      <c r="P1864" s="9"/>
      <c r="Q1864" s="5"/>
    </row>
    <row r="1865">
      <c r="J1865" s="5"/>
      <c r="P1865" s="9"/>
      <c r="Q1865" s="5"/>
    </row>
    <row r="1866">
      <c r="J1866" s="5"/>
      <c r="P1866" s="9"/>
      <c r="Q1866" s="5"/>
    </row>
    <row r="1867">
      <c r="J1867" s="5"/>
      <c r="P1867" s="9"/>
      <c r="Q1867" s="5"/>
    </row>
    <row r="1868">
      <c r="J1868" s="5"/>
      <c r="P1868" s="9"/>
      <c r="Q1868" s="5"/>
    </row>
    <row r="1869">
      <c r="J1869" s="5"/>
      <c r="P1869" s="9"/>
      <c r="Q1869" s="5"/>
    </row>
    <row r="1870">
      <c r="J1870" s="5"/>
      <c r="P1870" s="9"/>
      <c r="Q1870" s="5"/>
    </row>
    <row r="1871">
      <c r="J1871" s="5"/>
      <c r="P1871" s="9"/>
      <c r="Q1871" s="5"/>
    </row>
    <row r="1872">
      <c r="J1872" s="5"/>
      <c r="P1872" s="9"/>
      <c r="Q1872" s="5"/>
    </row>
    <row r="1873">
      <c r="J1873" s="5"/>
      <c r="P1873" s="9"/>
      <c r="Q1873" s="5"/>
    </row>
    <row r="1874">
      <c r="J1874" s="5"/>
      <c r="P1874" s="9"/>
      <c r="Q1874" s="5"/>
    </row>
    <row r="1875">
      <c r="J1875" s="5"/>
      <c r="P1875" s="9"/>
      <c r="Q1875" s="5"/>
    </row>
    <row r="1876">
      <c r="J1876" s="5"/>
      <c r="P1876" s="9"/>
      <c r="Q1876" s="5"/>
    </row>
    <row r="1877">
      <c r="J1877" s="5"/>
      <c r="P1877" s="9"/>
      <c r="Q1877" s="5"/>
    </row>
    <row r="1878">
      <c r="J1878" s="5"/>
      <c r="P1878" s="9"/>
      <c r="Q1878" s="5"/>
    </row>
    <row r="1879">
      <c r="J1879" s="5"/>
      <c r="P1879" s="9"/>
      <c r="Q1879" s="5"/>
    </row>
    <row r="1880">
      <c r="J1880" s="5"/>
      <c r="P1880" s="9"/>
      <c r="Q1880" s="5"/>
    </row>
    <row r="1881">
      <c r="J1881" s="5"/>
      <c r="P1881" s="9"/>
      <c r="Q1881" s="5"/>
    </row>
    <row r="1882">
      <c r="J1882" s="5"/>
      <c r="P1882" s="9"/>
      <c r="Q1882" s="5"/>
    </row>
    <row r="1883">
      <c r="J1883" s="5"/>
      <c r="P1883" s="9"/>
      <c r="Q1883" s="5"/>
    </row>
    <row r="1884">
      <c r="J1884" s="5"/>
      <c r="P1884" s="9"/>
      <c r="Q1884" s="5"/>
    </row>
    <row r="1885">
      <c r="J1885" s="5"/>
      <c r="P1885" s="9"/>
      <c r="Q1885" s="5"/>
    </row>
    <row r="1886">
      <c r="J1886" s="5"/>
      <c r="P1886" s="9"/>
      <c r="Q1886" s="5"/>
    </row>
    <row r="1887">
      <c r="J1887" s="5"/>
      <c r="P1887" s="9"/>
      <c r="Q1887" s="5"/>
    </row>
    <row r="1888">
      <c r="J1888" s="5"/>
      <c r="P1888" s="9"/>
      <c r="Q1888" s="5"/>
    </row>
    <row r="1889">
      <c r="J1889" s="5"/>
      <c r="P1889" s="9"/>
      <c r="Q1889" s="5"/>
    </row>
    <row r="1890">
      <c r="J1890" s="5"/>
      <c r="P1890" s="9"/>
      <c r="Q1890" s="5"/>
    </row>
    <row r="1891">
      <c r="J1891" s="5"/>
      <c r="P1891" s="9"/>
      <c r="Q1891" s="5"/>
    </row>
    <row r="1892">
      <c r="J1892" s="5"/>
      <c r="P1892" s="9"/>
      <c r="Q1892" s="5"/>
    </row>
    <row r="1893">
      <c r="J1893" s="5"/>
      <c r="P1893" s="9"/>
      <c r="Q1893" s="5"/>
    </row>
    <row r="1894">
      <c r="J1894" s="5"/>
      <c r="P1894" s="9"/>
      <c r="Q1894" s="5"/>
    </row>
    <row r="1895">
      <c r="J1895" s="5"/>
      <c r="P1895" s="9"/>
      <c r="Q1895" s="5"/>
    </row>
    <row r="1896">
      <c r="J1896" s="5"/>
      <c r="P1896" s="9"/>
      <c r="Q1896" s="5"/>
    </row>
    <row r="1897">
      <c r="J1897" s="5"/>
      <c r="P1897" s="9"/>
      <c r="Q1897" s="5"/>
    </row>
    <row r="1898">
      <c r="J1898" s="5"/>
      <c r="P1898" s="9"/>
      <c r="Q1898" s="5"/>
    </row>
    <row r="1899">
      <c r="J1899" s="5"/>
      <c r="P1899" s="9"/>
      <c r="Q1899" s="5"/>
    </row>
    <row r="1900">
      <c r="J1900" s="5"/>
      <c r="P1900" s="9"/>
      <c r="Q1900" s="5"/>
    </row>
    <row r="1901">
      <c r="J1901" s="5"/>
      <c r="P1901" s="9"/>
      <c r="Q1901" s="5"/>
    </row>
    <row r="1902">
      <c r="J1902" s="5"/>
      <c r="P1902" s="9"/>
      <c r="Q1902" s="5"/>
    </row>
    <row r="1903">
      <c r="J1903" s="5"/>
      <c r="P1903" s="9"/>
      <c r="Q1903" s="5"/>
    </row>
    <row r="1904">
      <c r="J1904" s="5"/>
      <c r="P1904" s="9"/>
      <c r="Q1904" s="5"/>
    </row>
    <row r="1905">
      <c r="J1905" s="5"/>
      <c r="P1905" s="9"/>
      <c r="Q1905" s="5"/>
    </row>
    <row r="1906">
      <c r="J1906" s="5"/>
      <c r="P1906" s="9"/>
      <c r="Q1906" s="5"/>
    </row>
    <row r="1907">
      <c r="J1907" s="5"/>
      <c r="P1907" s="9"/>
      <c r="Q1907" s="5"/>
    </row>
    <row r="1908">
      <c r="J1908" s="5"/>
      <c r="P1908" s="9"/>
      <c r="Q1908" s="5"/>
    </row>
    <row r="1909">
      <c r="J1909" s="5"/>
      <c r="P1909" s="9"/>
      <c r="Q1909" s="5"/>
    </row>
    <row r="1910">
      <c r="J1910" s="5"/>
      <c r="P1910" s="9"/>
      <c r="Q1910" s="5"/>
    </row>
    <row r="1911">
      <c r="J1911" s="5"/>
      <c r="P1911" s="9"/>
      <c r="Q1911" s="5"/>
    </row>
    <row r="1912">
      <c r="J1912" s="5"/>
      <c r="P1912" s="9"/>
      <c r="Q1912" s="5"/>
    </row>
    <row r="1913">
      <c r="J1913" s="5"/>
      <c r="P1913" s="9"/>
      <c r="Q1913" s="5"/>
    </row>
    <row r="1914">
      <c r="J1914" s="5"/>
      <c r="P1914" s="9"/>
      <c r="Q1914" s="5"/>
    </row>
    <row r="1915">
      <c r="J1915" s="5"/>
      <c r="P1915" s="9"/>
      <c r="Q1915" s="5"/>
    </row>
    <row r="1916">
      <c r="J1916" s="5"/>
      <c r="P1916" s="9"/>
      <c r="Q1916" s="5"/>
    </row>
    <row r="1917">
      <c r="J1917" s="5"/>
      <c r="P1917" s="9"/>
      <c r="Q1917" s="5"/>
    </row>
    <row r="1918">
      <c r="J1918" s="5"/>
      <c r="P1918" s="9"/>
      <c r="Q1918" s="5"/>
    </row>
    <row r="1919">
      <c r="J1919" s="5"/>
      <c r="P1919" s="9"/>
      <c r="Q1919" s="5"/>
    </row>
    <row r="1920">
      <c r="J1920" s="5"/>
      <c r="P1920" s="9"/>
      <c r="Q1920" s="5"/>
    </row>
    <row r="1921">
      <c r="J1921" s="5"/>
      <c r="P1921" s="9"/>
      <c r="Q1921" s="5"/>
    </row>
    <row r="1922">
      <c r="J1922" s="5"/>
      <c r="P1922" s="9"/>
      <c r="Q1922" s="5"/>
    </row>
    <row r="1923">
      <c r="J1923" s="5"/>
      <c r="P1923" s="9"/>
      <c r="Q1923" s="5"/>
    </row>
    <row r="1924">
      <c r="J1924" s="5"/>
      <c r="P1924" s="9"/>
      <c r="Q1924" s="5"/>
    </row>
    <row r="1925">
      <c r="J1925" s="5"/>
      <c r="P1925" s="9"/>
      <c r="Q1925" s="5"/>
    </row>
    <row r="1926">
      <c r="J1926" s="5"/>
      <c r="P1926" s="9"/>
      <c r="Q1926" s="5"/>
    </row>
    <row r="1927">
      <c r="J1927" s="5"/>
      <c r="P1927" s="9"/>
      <c r="Q1927" s="5"/>
    </row>
    <row r="1928">
      <c r="J1928" s="5"/>
      <c r="P1928" s="9"/>
      <c r="Q1928" s="5"/>
    </row>
    <row r="1929">
      <c r="J1929" s="5"/>
      <c r="P1929" s="9"/>
      <c r="Q1929" s="5"/>
    </row>
    <row r="1930">
      <c r="J1930" s="5"/>
      <c r="P1930" s="9"/>
      <c r="Q1930" s="5"/>
    </row>
    <row r="1931">
      <c r="J1931" s="5"/>
      <c r="P1931" s="9"/>
      <c r="Q1931" s="5"/>
    </row>
    <row r="1932">
      <c r="J1932" s="5"/>
      <c r="P1932" s="9"/>
      <c r="Q1932" s="5"/>
    </row>
    <row r="1933">
      <c r="J1933" s="5"/>
      <c r="P1933" s="9"/>
      <c r="Q1933" s="5"/>
    </row>
    <row r="1934">
      <c r="J1934" s="5"/>
      <c r="P1934" s="9"/>
      <c r="Q1934" s="5"/>
    </row>
    <row r="1935">
      <c r="J1935" s="5"/>
      <c r="P1935" s="9"/>
      <c r="Q1935" s="5"/>
    </row>
    <row r="1936">
      <c r="J1936" s="5"/>
      <c r="P1936" s="9"/>
      <c r="Q1936" s="5"/>
    </row>
    <row r="1937">
      <c r="J1937" s="5"/>
      <c r="P1937" s="9"/>
      <c r="Q1937" s="5"/>
    </row>
    <row r="1938">
      <c r="J1938" s="5"/>
      <c r="P1938" s="9"/>
      <c r="Q1938" s="5"/>
    </row>
    <row r="1939">
      <c r="J1939" s="5"/>
      <c r="P1939" s="9"/>
      <c r="Q1939" s="5"/>
    </row>
    <row r="1940">
      <c r="J1940" s="5"/>
      <c r="P1940" s="9"/>
      <c r="Q1940" s="5"/>
    </row>
    <row r="1941">
      <c r="J1941" s="5"/>
      <c r="P1941" s="9"/>
      <c r="Q1941" s="5"/>
    </row>
    <row r="1942">
      <c r="J1942" s="5"/>
      <c r="P1942" s="9"/>
      <c r="Q1942" s="5"/>
    </row>
    <row r="1943">
      <c r="J1943" s="5"/>
      <c r="P1943" s="9"/>
      <c r="Q1943" s="5"/>
    </row>
    <row r="1944">
      <c r="J1944" s="5"/>
      <c r="P1944" s="9"/>
      <c r="Q1944" s="5"/>
    </row>
    <row r="1945">
      <c r="J1945" s="5"/>
      <c r="P1945" s="9"/>
      <c r="Q1945" s="5"/>
    </row>
    <row r="1946">
      <c r="J1946" s="5"/>
      <c r="P1946" s="9"/>
      <c r="Q1946" s="5"/>
    </row>
    <row r="1947">
      <c r="J1947" s="5"/>
      <c r="P1947" s="9"/>
      <c r="Q1947" s="5"/>
    </row>
    <row r="1948">
      <c r="J1948" s="5"/>
      <c r="P1948" s="9"/>
      <c r="Q1948" s="5"/>
    </row>
    <row r="1949">
      <c r="J1949" s="5"/>
      <c r="P1949" s="9"/>
      <c r="Q1949" s="5"/>
    </row>
    <row r="1950">
      <c r="J1950" s="5"/>
      <c r="P1950" s="9"/>
      <c r="Q1950" s="5"/>
    </row>
    <row r="1951">
      <c r="J1951" s="5"/>
      <c r="P1951" s="9"/>
      <c r="Q1951" s="5"/>
    </row>
    <row r="1952">
      <c r="J1952" s="5"/>
      <c r="P1952" s="9"/>
      <c r="Q1952" s="5"/>
    </row>
    <row r="1953">
      <c r="J1953" s="5"/>
      <c r="P1953" s="9"/>
      <c r="Q1953" s="5"/>
    </row>
    <row r="1954">
      <c r="J1954" s="5"/>
      <c r="P1954" s="9"/>
      <c r="Q1954" s="5"/>
    </row>
    <row r="1955">
      <c r="J1955" s="5"/>
      <c r="P1955" s="9"/>
      <c r="Q1955" s="5"/>
    </row>
    <row r="1956">
      <c r="J1956" s="5"/>
      <c r="P1956" s="9"/>
      <c r="Q1956" s="5"/>
    </row>
    <row r="1957">
      <c r="J1957" s="5"/>
      <c r="P1957" s="9"/>
      <c r="Q1957" s="5"/>
    </row>
    <row r="1958">
      <c r="J1958" s="5"/>
      <c r="P1958" s="9"/>
      <c r="Q1958" s="5"/>
    </row>
    <row r="1959">
      <c r="J1959" s="5"/>
      <c r="P1959" s="9"/>
      <c r="Q1959" s="5"/>
    </row>
    <row r="1960">
      <c r="J1960" s="5"/>
      <c r="P1960" s="9"/>
      <c r="Q1960" s="5"/>
    </row>
    <row r="1961">
      <c r="J1961" s="5"/>
      <c r="P1961" s="9"/>
      <c r="Q1961" s="5"/>
    </row>
    <row r="1962">
      <c r="J1962" s="5"/>
      <c r="P1962" s="9"/>
      <c r="Q1962" s="5"/>
    </row>
    <row r="1963">
      <c r="J1963" s="5"/>
      <c r="P1963" s="9"/>
      <c r="Q1963" s="5"/>
    </row>
    <row r="1964">
      <c r="J1964" s="5"/>
      <c r="P1964" s="9"/>
      <c r="Q1964" s="5"/>
    </row>
    <row r="1965">
      <c r="J1965" s="5"/>
      <c r="P1965" s="9"/>
      <c r="Q1965" s="5"/>
    </row>
    <row r="1966">
      <c r="J1966" s="5"/>
      <c r="P1966" s="9"/>
      <c r="Q1966" s="5"/>
    </row>
    <row r="1967">
      <c r="J1967" s="5"/>
      <c r="P1967" s="9"/>
      <c r="Q1967" s="5"/>
    </row>
    <row r="1968">
      <c r="J1968" s="5"/>
      <c r="P1968" s="9"/>
      <c r="Q1968" s="5"/>
    </row>
    <row r="1969">
      <c r="J1969" s="5"/>
      <c r="P1969" s="9"/>
      <c r="Q1969" s="5"/>
    </row>
    <row r="1970">
      <c r="J1970" s="5"/>
      <c r="P1970" s="9"/>
      <c r="Q1970" s="5"/>
    </row>
    <row r="1971">
      <c r="J1971" s="5"/>
      <c r="P1971" s="9"/>
      <c r="Q1971" s="5"/>
    </row>
    <row r="1972">
      <c r="J1972" s="5"/>
      <c r="P1972" s="9"/>
      <c r="Q1972" s="5"/>
    </row>
    <row r="1973">
      <c r="J1973" s="5"/>
      <c r="P1973" s="9"/>
      <c r="Q1973" s="5"/>
    </row>
    <row r="1974">
      <c r="J1974" s="5"/>
      <c r="P1974" s="9"/>
      <c r="Q1974" s="5"/>
    </row>
    <row r="1975">
      <c r="J1975" s="5"/>
      <c r="P1975" s="9"/>
      <c r="Q1975" s="5"/>
    </row>
    <row r="1976">
      <c r="J1976" s="5"/>
      <c r="P1976" s="9"/>
      <c r="Q1976" s="5"/>
    </row>
    <row r="1977">
      <c r="J1977" s="5"/>
      <c r="P1977" s="9"/>
      <c r="Q1977" s="5"/>
    </row>
    <row r="1978">
      <c r="J1978" s="5"/>
      <c r="P1978" s="9"/>
      <c r="Q1978" s="5"/>
    </row>
    <row r="1979">
      <c r="J1979" s="5"/>
      <c r="P1979" s="9"/>
      <c r="Q1979" s="5"/>
    </row>
    <row r="1980">
      <c r="J1980" s="5"/>
      <c r="P1980" s="9"/>
      <c r="Q1980" s="5"/>
    </row>
    <row r="1981">
      <c r="J1981" s="5"/>
      <c r="P1981" s="9"/>
      <c r="Q1981" s="5"/>
    </row>
    <row r="1982">
      <c r="J1982" s="5"/>
      <c r="P1982" s="9"/>
      <c r="Q1982" s="5"/>
    </row>
    <row r="1983">
      <c r="J1983" s="5"/>
      <c r="P1983" s="9"/>
      <c r="Q1983" s="5"/>
    </row>
    <row r="1984">
      <c r="J1984" s="5"/>
      <c r="P1984" s="9"/>
      <c r="Q1984" s="5"/>
    </row>
    <row r="1985">
      <c r="J1985" s="5"/>
      <c r="P1985" s="9"/>
      <c r="Q1985" s="5"/>
    </row>
    <row r="1986">
      <c r="J1986" s="5"/>
      <c r="P1986" s="9"/>
      <c r="Q1986" s="5"/>
    </row>
    <row r="1987">
      <c r="J1987" s="5"/>
      <c r="P1987" s="9"/>
      <c r="Q1987" s="5"/>
    </row>
    <row r="1988">
      <c r="J1988" s="5"/>
      <c r="P1988" s="9"/>
      <c r="Q1988" s="5"/>
    </row>
    <row r="1989">
      <c r="J1989" s="5"/>
      <c r="P1989" s="9"/>
      <c r="Q1989" s="5"/>
    </row>
    <row r="1990">
      <c r="J1990" s="5"/>
      <c r="P1990" s="9"/>
      <c r="Q1990" s="5"/>
    </row>
    <row r="1991">
      <c r="J1991" s="5"/>
      <c r="P1991" s="9"/>
      <c r="Q1991" s="5"/>
    </row>
    <row r="1992">
      <c r="J1992" s="5"/>
      <c r="P1992" s="9"/>
      <c r="Q1992" s="5"/>
    </row>
    <row r="1993">
      <c r="J1993" s="5"/>
      <c r="P1993" s="9"/>
      <c r="Q1993" s="5"/>
    </row>
    <row r="1994">
      <c r="J1994" s="5"/>
      <c r="P1994" s="9"/>
      <c r="Q1994" s="5"/>
    </row>
    <row r="1995">
      <c r="J1995" s="5"/>
      <c r="P1995" s="9"/>
      <c r="Q1995" s="5"/>
    </row>
    <row r="1996">
      <c r="J1996" s="5"/>
      <c r="P1996" s="9"/>
      <c r="Q1996" s="5"/>
    </row>
    <row r="1997">
      <c r="J1997" s="5"/>
      <c r="P1997" s="9"/>
      <c r="Q1997" s="5"/>
    </row>
    <row r="1998">
      <c r="J1998" s="5"/>
      <c r="P1998" s="9"/>
      <c r="Q1998" s="5"/>
    </row>
    <row r="1999">
      <c r="J1999" s="5"/>
      <c r="P1999" s="9"/>
      <c r="Q1999" s="5"/>
    </row>
    <row r="2000">
      <c r="J2000" s="5"/>
      <c r="P2000" s="9"/>
      <c r="Q2000" s="5"/>
    </row>
    <row r="2001">
      <c r="J2001" s="5"/>
      <c r="P2001" s="9"/>
      <c r="Q2001" s="5"/>
    </row>
    <row r="2002">
      <c r="J2002" s="5"/>
      <c r="P2002" s="9"/>
      <c r="Q2002" s="5"/>
    </row>
    <row r="2003">
      <c r="J2003" s="5"/>
      <c r="P2003" s="9"/>
      <c r="Q2003" s="5"/>
    </row>
    <row r="2004">
      <c r="J2004" s="5"/>
      <c r="P2004" s="9"/>
      <c r="Q2004" s="5"/>
    </row>
    <row r="2005">
      <c r="J2005" s="5"/>
      <c r="P2005" s="9"/>
      <c r="Q2005" s="5"/>
    </row>
    <row r="2006">
      <c r="J2006" s="5"/>
      <c r="P2006" s="9"/>
      <c r="Q2006" s="5"/>
    </row>
    <row r="2007">
      <c r="J2007" s="5"/>
      <c r="P2007" s="9"/>
      <c r="Q2007" s="5"/>
    </row>
    <row r="2008">
      <c r="J2008" s="5"/>
      <c r="P2008" s="9"/>
      <c r="Q2008" s="5"/>
    </row>
    <row r="2009">
      <c r="J2009" s="5"/>
      <c r="P2009" s="9"/>
      <c r="Q2009" s="5"/>
    </row>
    <row r="2010">
      <c r="J2010" s="5"/>
      <c r="P2010" s="9"/>
      <c r="Q2010" s="5"/>
    </row>
    <row r="2011">
      <c r="J2011" s="5"/>
      <c r="P2011" s="9"/>
      <c r="Q2011" s="5"/>
    </row>
    <row r="2012">
      <c r="J2012" s="5"/>
      <c r="P2012" s="9"/>
      <c r="Q2012" s="5"/>
    </row>
    <row r="2013">
      <c r="J2013" s="5"/>
      <c r="P2013" s="9"/>
      <c r="Q2013" s="5"/>
    </row>
    <row r="2014">
      <c r="J2014" s="5"/>
      <c r="P2014" s="9"/>
      <c r="Q2014" s="5"/>
    </row>
    <row r="2015">
      <c r="J2015" s="5"/>
      <c r="P2015" s="9"/>
      <c r="Q2015" s="5"/>
    </row>
    <row r="2016">
      <c r="J2016" s="5"/>
      <c r="P2016" s="9"/>
      <c r="Q2016" s="5"/>
    </row>
    <row r="2017">
      <c r="J2017" s="5"/>
      <c r="P2017" s="9"/>
      <c r="Q2017" s="5"/>
    </row>
    <row r="2018">
      <c r="J2018" s="5"/>
      <c r="P2018" s="9"/>
      <c r="Q2018" s="5"/>
    </row>
    <row r="2019">
      <c r="J2019" s="5"/>
      <c r="P2019" s="9"/>
      <c r="Q2019" s="5"/>
    </row>
    <row r="2020">
      <c r="J2020" s="5"/>
      <c r="P2020" s="9"/>
      <c r="Q2020" s="5"/>
    </row>
    <row r="2021">
      <c r="J2021" s="5"/>
      <c r="P2021" s="9"/>
      <c r="Q2021" s="5"/>
    </row>
    <row r="2022">
      <c r="J2022" s="5"/>
      <c r="P2022" s="9"/>
      <c r="Q2022" s="5"/>
    </row>
    <row r="2023">
      <c r="J2023" s="5"/>
      <c r="P2023" s="9"/>
      <c r="Q2023" s="5"/>
    </row>
    <row r="2024">
      <c r="J2024" s="5"/>
      <c r="P2024" s="9"/>
      <c r="Q2024" s="5"/>
    </row>
    <row r="2025">
      <c r="J2025" s="5"/>
      <c r="P2025" s="9"/>
      <c r="Q2025" s="5"/>
    </row>
    <row r="2026">
      <c r="J2026" s="5"/>
      <c r="P2026" s="9"/>
      <c r="Q2026" s="5"/>
    </row>
    <row r="2027">
      <c r="J2027" s="5"/>
      <c r="P2027" s="9"/>
      <c r="Q2027" s="5"/>
    </row>
    <row r="2028">
      <c r="J2028" s="5"/>
      <c r="P2028" s="9"/>
      <c r="Q2028" s="5"/>
    </row>
    <row r="2029">
      <c r="J2029" s="5"/>
      <c r="P2029" s="9"/>
      <c r="Q2029" s="5"/>
    </row>
    <row r="2030">
      <c r="J2030" s="5"/>
      <c r="P2030" s="9"/>
      <c r="Q2030" s="5"/>
    </row>
    <row r="2031">
      <c r="J2031" s="5"/>
      <c r="P2031" s="9"/>
      <c r="Q2031" s="5"/>
    </row>
    <row r="2032">
      <c r="J2032" s="5"/>
      <c r="P2032" s="9"/>
      <c r="Q2032" s="5"/>
    </row>
    <row r="2033">
      <c r="J2033" s="5"/>
      <c r="P2033" s="9"/>
      <c r="Q2033" s="5"/>
    </row>
    <row r="2034">
      <c r="J2034" s="5"/>
      <c r="P2034" s="9"/>
      <c r="Q2034" s="5"/>
    </row>
    <row r="2035">
      <c r="J2035" s="5"/>
      <c r="P2035" s="9"/>
      <c r="Q2035" s="5"/>
    </row>
    <row r="2036">
      <c r="J2036" s="5"/>
      <c r="P2036" s="9"/>
      <c r="Q2036" s="5"/>
    </row>
    <row r="2037">
      <c r="J2037" s="5"/>
      <c r="P2037" s="9"/>
      <c r="Q2037" s="5"/>
    </row>
    <row r="2038">
      <c r="J2038" s="5"/>
      <c r="P2038" s="9"/>
      <c r="Q2038" s="5"/>
    </row>
    <row r="2039">
      <c r="J2039" s="5"/>
      <c r="P2039" s="9"/>
      <c r="Q2039" s="5"/>
    </row>
    <row r="2040">
      <c r="J2040" s="5"/>
      <c r="P2040" s="9"/>
      <c r="Q2040" s="5"/>
    </row>
    <row r="2041">
      <c r="J2041" s="5"/>
      <c r="P2041" s="9"/>
      <c r="Q2041" s="5"/>
    </row>
    <row r="2042">
      <c r="J2042" s="5"/>
      <c r="P2042" s="9"/>
      <c r="Q2042" s="5"/>
    </row>
    <row r="2043">
      <c r="J2043" s="5"/>
      <c r="P2043" s="9"/>
      <c r="Q2043" s="5"/>
    </row>
    <row r="2044">
      <c r="J2044" s="5"/>
      <c r="P2044" s="9"/>
      <c r="Q2044" s="5"/>
    </row>
    <row r="2045">
      <c r="J2045" s="5"/>
      <c r="P2045" s="9"/>
      <c r="Q2045" s="5"/>
    </row>
    <row r="2046">
      <c r="J2046" s="5"/>
      <c r="P2046" s="9"/>
      <c r="Q2046" s="5"/>
    </row>
    <row r="2047">
      <c r="J2047" s="5"/>
      <c r="P2047" s="9"/>
      <c r="Q2047" s="5"/>
    </row>
    <row r="2048">
      <c r="J2048" s="5"/>
      <c r="P2048" s="9"/>
      <c r="Q2048" s="5"/>
    </row>
    <row r="2049">
      <c r="J2049" s="5"/>
      <c r="P2049" s="9"/>
      <c r="Q2049" s="5"/>
    </row>
    <row r="2050">
      <c r="J2050" s="5"/>
      <c r="P2050" s="9"/>
      <c r="Q2050" s="5"/>
    </row>
    <row r="2051">
      <c r="J2051" s="5"/>
      <c r="P2051" s="9"/>
      <c r="Q2051" s="5"/>
    </row>
    <row r="2052">
      <c r="J2052" s="5"/>
      <c r="P2052" s="9"/>
      <c r="Q2052" s="5"/>
    </row>
    <row r="2053">
      <c r="J2053" s="5"/>
      <c r="P2053" s="9"/>
      <c r="Q2053" s="5"/>
    </row>
    <row r="2054">
      <c r="J2054" s="5"/>
      <c r="P2054" s="9"/>
      <c r="Q2054" s="5"/>
    </row>
    <row r="2055">
      <c r="J2055" s="5"/>
      <c r="P2055" s="9"/>
      <c r="Q2055" s="5"/>
    </row>
    <row r="2056">
      <c r="J2056" s="5"/>
      <c r="P2056" s="9"/>
      <c r="Q2056" s="5"/>
    </row>
    <row r="2057">
      <c r="J2057" s="5"/>
      <c r="P2057" s="9"/>
      <c r="Q2057" s="5"/>
    </row>
    <row r="2058">
      <c r="J2058" s="5"/>
      <c r="P2058" s="9"/>
      <c r="Q2058" s="5"/>
    </row>
    <row r="2059">
      <c r="J2059" s="5"/>
      <c r="P2059" s="9"/>
      <c r="Q2059" s="5"/>
    </row>
    <row r="2060">
      <c r="J2060" s="5"/>
      <c r="P2060" s="9"/>
      <c r="Q2060" s="5"/>
    </row>
    <row r="2061">
      <c r="J2061" s="5"/>
      <c r="P2061" s="9"/>
      <c r="Q2061" s="5"/>
    </row>
    <row r="2062">
      <c r="J2062" s="5"/>
      <c r="P2062" s="9"/>
      <c r="Q2062" s="5"/>
    </row>
    <row r="2063">
      <c r="J2063" s="5"/>
      <c r="P2063" s="9"/>
      <c r="Q2063" s="5"/>
    </row>
    <row r="2064">
      <c r="J2064" s="5"/>
      <c r="P2064" s="9"/>
      <c r="Q2064" s="5"/>
    </row>
    <row r="2065">
      <c r="J2065" s="5"/>
      <c r="P2065" s="9"/>
      <c r="Q2065" s="5"/>
    </row>
    <row r="2066">
      <c r="J2066" s="5"/>
      <c r="P2066" s="9"/>
      <c r="Q2066" s="5"/>
    </row>
    <row r="2067">
      <c r="J2067" s="5"/>
      <c r="P2067" s="9"/>
      <c r="Q2067" s="5"/>
    </row>
    <row r="2068">
      <c r="J2068" s="5"/>
      <c r="P2068" s="9"/>
      <c r="Q2068" s="5"/>
    </row>
    <row r="2069">
      <c r="J2069" s="5"/>
      <c r="P2069" s="9"/>
      <c r="Q2069" s="5"/>
    </row>
    <row r="2070">
      <c r="J2070" s="5"/>
      <c r="P2070" s="9"/>
      <c r="Q2070" s="5"/>
    </row>
    <row r="2071">
      <c r="J2071" s="5"/>
      <c r="P2071" s="9"/>
      <c r="Q2071" s="5"/>
    </row>
    <row r="2072">
      <c r="J2072" s="5"/>
      <c r="P2072" s="9"/>
      <c r="Q2072" s="5"/>
    </row>
    <row r="2073">
      <c r="J2073" s="5"/>
      <c r="P2073" s="9"/>
      <c r="Q2073" s="5"/>
    </row>
    <row r="2074">
      <c r="J2074" s="5"/>
      <c r="P2074" s="9"/>
      <c r="Q2074" s="5"/>
    </row>
    <row r="2075">
      <c r="J2075" s="5"/>
      <c r="P2075" s="9"/>
      <c r="Q2075" s="5"/>
    </row>
    <row r="2076">
      <c r="J2076" s="5"/>
      <c r="P2076" s="9"/>
      <c r="Q2076" s="5"/>
    </row>
    <row r="2077">
      <c r="J2077" s="5"/>
      <c r="P2077" s="9"/>
      <c r="Q2077" s="5"/>
    </row>
    <row r="2078">
      <c r="J2078" s="5"/>
      <c r="P2078" s="9"/>
      <c r="Q2078" s="5"/>
    </row>
    <row r="2079">
      <c r="J2079" s="5"/>
      <c r="P2079" s="9"/>
      <c r="Q2079" s="5"/>
    </row>
    <row r="2080">
      <c r="J2080" s="5"/>
      <c r="P2080" s="9"/>
      <c r="Q2080" s="5"/>
    </row>
    <row r="2081">
      <c r="J2081" s="5"/>
      <c r="P2081" s="9"/>
      <c r="Q2081" s="5"/>
    </row>
    <row r="2082">
      <c r="J2082" s="5"/>
      <c r="P2082" s="9"/>
      <c r="Q2082" s="5"/>
    </row>
    <row r="2083">
      <c r="J2083" s="5"/>
      <c r="P2083" s="9"/>
      <c r="Q2083" s="5"/>
    </row>
    <row r="2084">
      <c r="J2084" s="5"/>
      <c r="P2084" s="9"/>
      <c r="Q2084" s="5"/>
    </row>
    <row r="2085">
      <c r="J2085" s="5"/>
      <c r="P2085" s="9"/>
      <c r="Q2085" s="5"/>
    </row>
    <row r="2086">
      <c r="J2086" s="5"/>
      <c r="P2086" s="9"/>
      <c r="Q2086" s="5"/>
    </row>
    <row r="2087">
      <c r="J2087" s="5"/>
      <c r="P2087" s="9"/>
      <c r="Q2087" s="5"/>
    </row>
    <row r="2088">
      <c r="J2088" s="5"/>
      <c r="P2088" s="9"/>
      <c r="Q2088" s="5"/>
    </row>
    <row r="2089">
      <c r="J2089" s="5"/>
      <c r="P2089" s="9"/>
      <c r="Q2089" s="5"/>
    </row>
    <row r="2090">
      <c r="J2090" s="5"/>
      <c r="P2090" s="9"/>
      <c r="Q2090" s="5"/>
    </row>
    <row r="2091">
      <c r="J2091" s="5"/>
      <c r="P2091" s="9"/>
      <c r="Q2091" s="5"/>
    </row>
    <row r="2092">
      <c r="J2092" s="5"/>
      <c r="P2092" s="9"/>
      <c r="Q2092" s="5"/>
    </row>
    <row r="2093">
      <c r="J2093" s="5"/>
      <c r="P2093" s="9"/>
      <c r="Q2093" s="5"/>
    </row>
    <row r="2094">
      <c r="J2094" s="5"/>
      <c r="P2094" s="9"/>
      <c r="Q2094" s="5"/>
    </row>
    <row r="2095">
      <c r="J2095" s="5"/>
      <c r="P2095" s="9"/>
      <c r="Q2095" s="5"/>
    </row>
    <row r="2096">
      <c r="J2096" s="5"/>
      <c r="P2096" s="9"/>
      <c r="Q2096" s="5"/>
    </row>
    <row r="2097">
      <c r="J2097" s="5"/>
      <c r="P2097" s="9"/>
      <c r="Q2097" s="5"/>
    </row>
    <row r="2098">
      <c r="J2098" s="5"/>
      <c r="P2098" s="9"/>
      <c r="Q2098" s="5"/>
    </row>
    <row r="2099">
      <c r="J2099" s="5"/>
      <c r="P2099" s="9"/>
      <c r="Q2099" s="5"/>
    </row>
    <row r="2100">
      <c r="J2100" s="5"/>
      <c r="P2100" s="9"/>
      <c r="Q2100" s="5"/>
    </row>
    <row r="2101">
      <c r="J2101" s="5"/>
      <c r="P2101" s="9"/>
      <c r="Q2101" s="5"/>
    </row>
    <row r="2102">
      <c r="J2102" s="5"/>
      <c r="P2102" s="9"/>
      <c r="Q2102" s="5"/>
    </row>
    <row r="2103">
      <c r="J2103" s="5"/>
      <c r="P2103" s="9"/>
      <c r="Q2103" s="5"/>
    </row>
    <row r="2104">
      <c r="J2104" s="5"/>
      <c r="P2104" s="9"/>
      <c r="Q2104" s="5"/>
    </row>
    <row r="2105">
      <c r="J2105" s="5"/>
      <c r="P2105" s="9"/>
      <c r="Q2105" s="5"/>
    </row>
    <row r="2106">
      <c r="J2106" s="5"/>
      <c r="P2106" s="9"/>
      <c r="Q2106" s="5"/>
    </row>
    <row r="2107">
      <c r="J2107" s="5"/>
      <c r="P2107" s="9"/>
      <c r="Q2107" s="5"/>
    </row>
    <row r="2108">
      <c r="J2108" s="5"/>
      <c r="P2108" s="9"/>
      <c r="Q2108" s="5"/>
    </row>
    <row r="2109">
      <c r="J2109" s="5"/>
      <c r="P2109" s="9"/>
      <c r="Q2109" s="5"/>
    </row>
    <row r="2110">
      <c r="J2110" s="5"/>
      <c r="P2110" s="9"/>
      <c r="Q2110" s="5"/>
    </row>
    <row r="2111">
      <c r="J2111" s="5"/>
      <c r="P2111" s="9"/>
      <c r="Q2111" s="5"/>
    </row>
    <row r="2112">
      <c r="J2112" s="5"/>
      <c r="P2112" s="9"/>
      <c r="Q2112" s="5"/>
    </row>
    <row r="2113">
      <c r="J2113" s="5"/>
      <c r="P2113" s="9"/>
      <c r="Q2113" s="5"/>
    </row>
    <row r="2114">
      <c r="J2114" s="5"/>
      <c r="P2114" s="9"/>
      <c r="Q2114" s="5"/>
    </row>
    <row r="2115">
      <c r="J2115" s="5"/>
      <c r="P2115" s="9"/>
      <c r="Q2115" s="5"/>
    </row>
    <row r="2116">
      <c r="J2116" s="5"/>
      <c r="P2116" s="9"/>
      <c r="Q2116" s="5"/>
    </row>
    <row r="2117">
      <c r="J2117" s="5"/>
      <c r="P2117" s="9"/>
      <c r="Q2117" s="5"/>
    </row>
    <row r="2118">
      <c r="J2118" s="5"/>
      <c r="P2118" s="9"/>
      <c r="Q2118" s="5"/>
    </row>
    <row r="2119">
      <c r="J2119" s="5"/>
      <c r="P2119" s="9"/>
      <c r="Q2119" s="5"/>
    </row>
    <row r="2120">
      <c r="J2120" s="5"/>
      <c r="P2120" s="9"/>
      <c r="Q2120" s="5"/>
    </row>
    <row r="2121">
      <c r="J2121" s="5"/>
      <c r="P2121" s="9"/>
      <c r="Q2121" s="5"/>
    </row>
    <row r="2122">
      <c r="J2122" s="5"/>
      <c r="P2122" s="9"/>
      <c r="Q2122" s="5"/>
    </row>
    <row r="2123">
      <c r="J2123" s="5"/>
      <c r="P2123" s="9"/>
      <c r="Q2123" s="5"/>
    </row>
    <row r="2124">
      <c r="J2124" s="5"/>
      <c r="P2124" s="9"/>
      <c r="Q2124" s="5"/>
    </row>
    <row r="2125">
      <c r="J2125" s="5"/>
      <c r="P2125" s="9"/>
      <c r="Q2125" s="5"/>
    </row>
    <row r="2126">
      <c r="J2126" s="5"/>
      <c r="P2126" s="9"/>
      <c r="Q2126" s="5"/>
    </row>
    <row r="2127">
      <c r="J2127" s="5"/>
      <c r="P2127" s="9"/>
      <c r="Q2127" s="5"/>
    </row>
    <row r="2128">
      <c r="J2128" s="5"/>
      <c r="P2128" s="9"/>
      <c r="Q2128" s="5"/>
    </row>
    <row r="2129">
      <c r="J2129" s="5"/>
      <c r="P2129" s="9"/>
      <c r="Q2129" s="5"/>
    </row>
    <row r="2130">
      <c r="J2130" s="5"/>
      <c r="P2130" s="9"/>
      <c r="Q2130" s="5"/>
    </row>
    <row r="2131">
      <c r="J2131" s="5"/>
      <c r="P2131" s="9"/>
      <c r="Q2131" s="5"/>
    </row>
    <row r="2132">
      <c r="J2132" s="5"/>
      <c r="P2132" s="9"/>
      <c r="Q2132" s="5"/>
    </row>
    <row r="2133">
      <c r="J2133" s="5"/>
      <c r="P2133" s="9"/>
      <c r="Q2133" s="5"/>
    </row>
    <row r="2134">
      <c r="J2134" s="5"/>
      <c r="P2134" s="9"/>
      <c r="Q2134" s="5"/>
    </row>
    <row r="2135">
      <c r="J2135" s="5"/>
      <c r="P2135" s="9"/>
      <c r="Q2135" s="5"/>
    </row>
    <row r="2136">
      <c r="J2136" s="5"/>
      <c r="P2136" s="9"/>
      <c r="Q2136" s="5"/>
    </row>
    <row r="2137">
      <c r="J2137" s="5"/>
      <c r="P2137" s="9"/>
      <c r="Q2137" s="5"/>
    </row>
    <row r="2138">
      <c r="J2138" s="5"/>
      <c r="P2138" s="9"/>
      <c r="Q2138" s="5"/>
    </row>
    <row r="2139">
      <c r="J2139" s="5"/>
      <c r="P2139" s="9"/>
      <c r="Q2139" s="5"/>
    </row>
    <row r="2140">
      <c r="J2140" s="5"/>
      <c r="P2140" s="9"/>
      <c r="Q2140" s="5"/>
    </row>
    <row r="2141">
      <c r="J2141" s="5"/>
      <c r="P2141" s="9"/>
      <c r="Q2141" s="5"/>
    </row>
    <row r="2142">
      <c r="J2142" s="5"/>
      <c r="P2142" s="9"/>
      <c r="Q2142" s="5"/>
    </row>
    <row r="2143">
      <c r="J2143" s="5"/>
      <c r="P2143" s="9"/>
      <c r="Q2143" s="5"/>
    </row>
    <row r="2144">
      <c r="J2144" s="5"/>
      <c r="P2144" s="9"/>
      <c r="Q2144" s="5"/>
    </row>
    <row r="2145">
      <c r="J2145" s="5"/>
      <c r="P2145" s="9"/>
      <c r="Q2145" s="5"/>
    </row>
    <row r="2146">
      <c r="J2146" s="5"/>
      <c r="P2146" s="9"/>
      <c r="Q2146" s="5"/>
    </row>
    <row r="2147">
      <c r="J2147" s="5"/>
      <c r="P2147" s="9"/>
      <c r="Q2147" s="5"/>
    </row>
    <row r="2148">
      <c r="J2148" s="5"/>
      <c r="P2148" s="9"/>
      <c r="Q2148" s="5"/>
    </row>
    <row r="2149">
      <c r="J2149" s="5"/>
      <c r="P2149" s="9"/>
      <c r="Q2149" s="5"/>
    </row>
    <row r="2150">
      <c r="J2150" s="5"/>
      <c r="P2150" s="9"/>
      <c r="Q2150" s="5"/>
    </row>
    <row r="2151">
      <c r="J2151" s="5"/>
      <c r="P2151" s="9"/>
      <c r="Q2151" s="5"/>
    </row>
    <row r="2152">
      <c r="J2152" s="5"/>
      <c r="P2152" s="9"/>
      <c r="Q2152" s="5"/>
    </row>
    <row r="2153">
      <c r="J2153" s="5"/>
      <c r="P2153" s="9"/>
      <c r="Q2153" s="5"/>
    </row>
    <row r="2154">
      <c r="J2154" s="5"/>
      <c r="P2154" s="9"/>
      <c r="Q2154" s="5"/>
    </row>
    <row r="2155">
      <c r="J2155" s="5"/>
      <c r="P2155" s="9"/>
      <c r="Q2155" s="5"/>
    </row>
    <row r="2156">
      <c r="J2156" s="5"/>
      <c r="P2156" s="9"/>
      <c r="Q2156" s="5"/>
    </row>
    <row r="2157">
      <c r="J2157" s="5"/>
      <c r="P2157" s="9"/>
      <c r="Q2157" s="5"/>
    </row>
    <row r="2158">
      <c r="J2158" s="5"/>
      <c r="P2158" s="9"/>
      <c r="Q2158" s="5"/>
    </row>
    <row r="2159">
      <c r="J2159" s="5"/>
      <c r="P2159" s="9"/>
      <c r="Q2159" s="5"/>
    </row>
    <row r="2160">
      <c r="J2160" s="5"/>
      <c r="P2160" s="9"/>
      <c r="Q2160" s="5"/>
    </row>
    <row r="2161">
      <c r="J2161" s="5"/>
      <c r="P2161" s="9"/>
      <c r="Q2161" s="5"/>
    </row>
    <row r="2162">
      <c r="J2162" s="5"/>
      <c r="P2162" s="9"/>
      <c r="Q2162" s="5"/>
    </row>
    <row r="2163">
      <c r="J2163" s="5"/>
      <c r="P2163" s="9"/>
      <c r="Q2163" s="5"/>
    </row>
    <row r="2164">
      <c r="J2164" s="5"/>
      <c r="P2164" s="9"/>
      <c r="Q2164" s="5"/>
    </row>
    <row r="2165">
      <c r="J2165" s="5"/>
      <c r="P2165" s="9"/>
      <c r="Q2165" s="5"/>
    </row>
    <row r="2166">
      <c r="J2166" s="5"/>
      <c r="P2166" s="9"/>
      <c r="Q2166" s="5"/>
    </row>
    <row r="2167">
      <c r="J2167" s="5"/>
      <c r="P2167" s="9"/>
      <c r="Q2167" s="5"/>
    </row>
    <row r="2168">
      <c r="J2168" s="5"/>
      <c r="P2168" s="9"/>
      <c r="Q2168" s="5"/>
    </row>
    <row r="2169">
      <c r="J2169" s="5"/>
      <c r="P2169" s="9"/>
      <c r="Q2169" s="5"/>
    </row>
    <row r="2170">
      <c r="J2170" s="5"/>
      <c r="P2170" s="9"/>
      <c r="Q2170" s="5"/>
    </row>
    <row r="2171">
      <c r="J2171" s="5"/>
      <c r="P2171" s="9"/>
      <c r="Q2171" s="5"/>
    </row>
    <row r="2172">
      <c r="J2172" s="5"/>
      <c r="P2172" s="9"/>
      <c r="Q2172" s="5"/>
    </row>
    <row r="2173">
      <c r="J2173" s="5"/>
      <c r="P2173" s="9"/>
      <c r="Q2173" s="5"/>
    </row>
    <row r="2174">
      <c r="J2174" s="5"/>
      <c r="P2174" s="9"/>
      <c r="Q2174" s="5"/>
    </row>
    <row r="2175">
      <c r="J2175" s="5"/>
      <c r="P2175" s="9"/>
      <c r="Q2175" s="5"/>
    </row>
    <row r="2176">
      <c r="J2176" s="5"/>
      <c r="P2176" s="9"/>
      <c r="Q2176" s="5"/>
    </row>
    <row r="2177">
      <c r="J2177" s="5"/>
      <c r="P2177" s="9"/>
      <c r="Q2177" s="5"/>
    </row>
    <row r="2178">
      <c r="J2178" s="5"/>
      <c r="P2178" s="9"/>
      <c r="Q2178" s="5"/>
    </row>
    <row r="2179">
      <c r="J2179" s="5"/>
      <c r="P2179" s="9"/>
      <c r="Q2179" s="5"/>
    </row>
    <row r="2180">
      <c r="J2180" s="5"/>
      <c r="P2180" s="9"/>
      <c r="Q2180" s="5"/>
    </row>
    <row r="2181">
      <c r="J2181" s="5"/>
      <c r="P2181" s="9"/>
      <c r="Q2181" s="5"/>
    </row>
    <row r="2182">
      <c r="J2182" s="5"/>
      <c r="P2182" s="9"/>
      <c r="Q2182" s="5"/>
    </row>
    <row r="2183">
      <c r="J2183" s="5"/>
      <c r="P2183" s="9"/>
      <c r="Q2183" s="5"/>
    </row>
    <row r="2184">
      <c r="J2184" s="5"/>
      <c r="P2184" s="9"/>
      <c r="Q2184" s="5"/>
    </row>
    <row r="2185">
      <c r="J2185" s="5"/>
      <c r="P2185" s="9"/>
      <c r="Q2185" s="5"/>
    </row>
    <row r="2186">
      <c r="J2186" s="5"/>
      <c r="P2186" s="9"/>
      <c r="Q2186" s="5"/>
    </row>
    <row r="2187">
      <c r="J2187" s="5"/>
      <c r="P2187" s="9"/>
      <c r="Q2187" s="5"/>
    </row>
    <row r="2188">
      <c r="J2188" s="5"/>
      <c r="P2188" s="9"/>
      <c r="Q2188" s="5"/>
    </row>
    <row r="2189">
      <c r="J2189" s="5"/>
      <c r="P2189" s="9"/>
      <c r="Q2189" s="5"/>
    </row>
    <row r="2190">
      <c r="J2190" s="5"/>
      <c r="P2190" s="9"/>
      <c r="Q2190" s="5"/>
    </row>
    <row r="2191">
      <c r="J2191" s="5"/>
      <c r="P2191" s="9"/>
      <c r="Q2191" s="5"/>
    </row>
    <row r="2192">
      <c r="J2192" s="5"/>
      <c r="P2192" s="9"/>
      <c r="Q2192" s="5"/>
    </row>
    <row r="2193">
      <c r="J2193" s="5"/>
      <c r="P2193" s="9"/>
      <c r="Q2193" s="5"/>
    </row>
    <row r="2194">
      <c r="J2194" s="5"/>
      <c r="P2194" s="9"/>
      <c r="Q2194" s="5"/>
    </row>
    <row r="2195">
      <c r="J2195" s="5"/>
      <c r="P2195" s="9"/>
      <c r="Q2195" s="5"/>
    </row>
    <row r="2196">
      <c r="J2196" s="5"/>
      <c r="P2196" s="9"/>
      <c r="Q2196" s="5"/>
    </row>
    <row r="2197">
      <c r="J2197" s="5"/>
      <c r="P2197" s="9"/>
      <c r="Q2197" s="5"/>
    </row>
    <row r="2198">
      <c r="J2198" s="5"/>
      <c r="P2198" s="9"/>
      <c r="Q2198" s="5"/>
    </row>
    <row r="2199">
      <c r="J2199" s="5"/>
      <c r="P2199" s="9"/>
      <c r="Q2199" s="5"/>
    </row>
    <row r="2200">
      <c r="J2200" s="5"/>
      <c r="P2200" s="9"/>
      <c r="Q2200" s="5"/>
    </row>
    <row r="2201">
      <c r="J2201" s="5"/>
      <c r="P2201" s="9"/>
      <c r="Q2201" s="5"/>
    </row>
    <row r="2202">
      <c r="J2202" s="5"/>
      <c r="P2202" s="9"/>
      <c r="Q2202" s="5"/>
    </row>
    <row r="2203">
      <c r="J2203" s="5"/>
      <c r="P2203" s="9"/>
      <c r="Q2203" s="5"/>
    </row>
    <row r="2204">
      <c r="J2204" s="5"/>
      <c r="P2204" s="9"/>
      <c r="Q2204" s="5"/>
    </row>
    <row r="2205">
      <c r="J2205" s="5"/>
      <c r="P2205" s="9"/>
      <c r="Q2205" s="5"/>
    </row>
    <row r="2206">
      <c r="J2206" s="5"/>
      <c r="P2206" s="9"/>
      <c r="Q2206" s="5"/>
    </row>
    <row r="2207">
      <c r="J2207" s="5"/>
      <c r="P2207" s="9"/>
      <c r="Q2207" s="5"/>
    </row>
    <row r="2208">
      <c r="J2208" s="5"/>
      <c r="P2208" s="9"/>
      <c r="Q2208" s="5"/>
    </row>
    <row r="2209">
      <c r="J2209" s="5"/>
      <c r="P2209" s="9"/>
      <c r="Q2209" s="5"/>
    </row>
    <row r="2210">
      <c r="J2210" s="5"/>
      <c r="P2210" s="9"/>
      <c r="Q2210" s="5"/>
    </row>
    <row r="2211">
      <c r="J2211" s="5"/>
      <c r="P2211" s="9"/>
      <c r="Q2211" s="5"/>
    </row>
    <row r="2212">
      <c r="J2212" s="5"/>
      <c r="P2212" s="9"/>
      <c r="Q2212" s="5"/>
    </row>
    <row r="2213">
      <c r="J2213" s="5"/>
      <c r="P2213" s="9"/>
      <c r="Q2213" s="5"/>
    </row>
    <row r="2214">
      <c r="J2214" s="5"/>
      <c r="P2214" s="9"/>
      <c r="Q2214" s="5"/>
    </row>
    <row r="2215">
      <c r="J2215" s="5"/>
      <c r="P2215" s="9"/>
      <c r="Q2215" s="5"/>
    </row>
    <row r="2216">
      <c r="J2216" s="5"/>
      <c r="P2216" s="9"/>
      <c r="Q2216" s="5"/>
    </row>
    <row r="2217">
      <c r="J2217" s="5"/>
      <c r="P2217" s="9"/>
      <c r="Q2217" s="5"/>
    </row>
    <row r="2218">
      <c r="J2218" s="5"/>
      <c r="P2218" s="9"/>
      <c r="Q2218" s="5"/>
    </row>
    <row r="2219">
      <c r="J2219" s="5"/>
      <c r="P2219" s="9"/>
      <c r="Q2219" s="5"/>
    </row>
    <row r="2220">
      <c r="J2220" s="5"/>
      <c r="P2220" s="9"/>
      <c r="Q2220" s="5"/>
    </row>
    <row r="2221">
      <c r="J2221" s="5"/>
      <c r="P2221" s="9"/>
      <c r="Q2221" s="5"/>
    </row>
    <row r="2222">
      <c r="J2222" s="5"/>
      <c r="P2222" s="9"/>
      <c r="Q2222" s="5"/>
    </row>
    <row r="2223">
      <c r="J2223" s="5"/>
      <c r="P2223" s="9"/>
      <c r="Q2223" s="5"/>
    </row>
    <row r="2224">
      <c r="J2224" s="5"/>
      <c r="P2224" s="9"/>
      <c r="Q2224" s="5"/>
    </row>
    <row r="2225">
      <c r="J2225" s="5"/>
      <c r="P2225" s="9"/>
      <c r="Q2225" s="5"/>
    </row>
    <row r="2226">
      <c r="J2226" s="5"/>
      <c r="P2226" s="9"/>
      <c r="Q2226" s="5"/>
    </row>
    <row r="2227">
      <c r="J2227" s="5"/>
      <c r="P2227" s="9"/>
      <c r="Q2227" s="5"/>
    </row>
    <row r="2228">
      <c r="J2228" s="5"/>
      <c r="P2228" s="9"/>
      <c r="Q2228" s="5"/>
    </row>
    <row r="2229">
      <c r="J2229" s="5"/>
      <c r="P2229" s="9"/>
      <c r="Q2229" s="5"/>
    </row>
    <row r="2230">
      <c r="J2230" s="5"/>
      <c r="P2230" s="9"/>
      <c r="Q2230" s="5"/>
    </row>
    <row r="2231">
      <c r="J2231" s="5"/>
      <c r="P2231" s="9"/>
      <c r="Q2231" s="5"/>
    </row>
    <row r="2232">
      <c r="J2232" s="5"/>
      <c r="P2232" s="9"/>
      <c r="Q2232" s="5"/>
    </row>
    <row r="2233">
      <c r="J2233" s="5"/>
      <c r="P2233" s="9"/>
      <c r="Q2233" s="5"/>
    </row>
    <row r="2234">
      <c r="J2234" s="5"/>
      <c r="P2234" s="9"/>
      <c r="Q2234" s="5"/>
    </row>
    <row r="2235">
      <c r="J2235" s="5"/>
      <c r="P2235" s="9"/>
      <c r="Q2235" s="5"/>
    </row>
    <row r="2236">
      <c r="J2236" s="5"/>
      <c r="P2236" s="9"/>
      <c r="Q2236" s="5"/>
    </row>
    <row r="2237">
      <c r="J2237" s="5"/>
      <c r="P2237" s="9"/>
      <c r="Q2237" s="5"/>
    </row>
    <row r="2238">
      <c r="J2238" s="5"/>
      <c r="P2238" s="9"/>
      <c r="Q2238" s="5"/>
    </row>
    <row r="2239">
      <c r="J2239" s="5"/>
      <c r="P2239" s="9"/>
      <c r="Q2239" s="5"/>
    </row>
    <row r="2240">
      <c r="J2240" s="5"/>
      <c r="P2240" s="9"/>
      <c r="Q2240" s="5"/>
    </row>
    <row r="2241">
      <c r="J2241" s="5"/>
      <c r="P2241" s="9"/>
      <c r="Q2241" s="5"/>
    </row>
    <row r="2242">
      <c r="J2242" s="5"/>
      <c r="P2242" s="9"/>
      <c r="Q2242" s="5"/>
    </row>
    <row r="2243">
      <c r="J2243" s="5"/>
      <c r="P2243" s="9"/>
      <c r="Q2243" s="5"/>
    </row>
    <row r="2244">
      <c r="J2244" s="5"/>
      <c r="P2244" s="9"/>
      <c r="Q2244" s="5"/>
    </row>
    <row r="2245">
      <c r="J2245" s="5"/>
      <c r="P2245" s="9"/>
      <c r="Q2245" s="5"/>
    </row>
    <row r="2246">
      <c r="J2246" s="5"/>
      <c r="P2246" s="9"/>
      <c r="Q2246" s="5"/>
    </row>
    <row r="2247">
      <c r="J2247" s="5"/>
      <c r="P2247" s="9"/>
      <c r="Q2247" s="5"/>
    </row>
    <row r="2248">
      <c r="J2248" s="5"/>
      <c r="P2248" s="9"/>
      <c r="Q2248" s="5"/>
    </row>
    <row r="2249">
      <c r="J2249" s="5"/>
      <c r="P2249" s="9"/>
      <c r="Q2249" s="5"/>
    </row>
    <row r="2250">
      <c r="J2250" s="5"/>
      <c r="P2250" s="9"/>
      <c r="Q2250" s="5"/>
    </row>
    <row r="2251">
      <c r="J2251" s="5"/>
      <c r="P2251" s="9"/>
      <c r="Q2251" s="5"/>
    </row>
    <row r="2252">
      <c r="J2252" s="5"/>
      <c r="P2252" s="9"/>
      <c r="Q2252" s="5"/>
    </row>
    <row r="2253">
      <c r="J2253" s="5"/>
      <c r="P2253" s="9"/>
      <c r="Q2253" s="5"/>
    </row>
    <row r="2254">
      <c r="J2254" s="5"/>
      <c r="P2254" s="9"/>
      <c r="Q2254" s="5"/>
    </row>
    <row r="2255">
      <c r="J2255" s="5"/>
      <c r="P2255" s="9"/>
      <c r="Q2255" s="5"/>
    </row>
    <row r="2256">
      <c r="J2256" s="5"/>
      <c r="P2256" s="9"/>
      <c r="Q2256" s="5"/>
    </row>
    <row r="2257">
      <c r="J2257" s="5"/>
      <c r="P2257" s="9"/>
      <c r="Q2257" s="5"/>
    </row>
    <row r="2258">
      <c r="J2258" s="5"/>
      <c r="P2258" s="9"/>
      <c r="Q2258" s="5"/>
    </row>
    <row r="2259">
      <c r="J2259" s="5"/>
      <c r="P2259" s="9"/>
      <c r="Q2259" s="5"/>
    </row>
    <row r="2260">
      <c r="J2260" s="5"/>
      <c r="P2260" s="9"/>
      <c r="Q2260" s="5"/>
    </row>
    <row r="2261">
      <c r="J2261" s="5"/>
      <c r="P2261" s="9"/>
      <c r="Q2261" s="5"/>
    </row>
    <row r="2262">
      <c r="J2262" s="5"/>
      <c r="P2262" s="9"/>
      <c r="Q2262" s="5"/>
    </row>
    <row r="2263">
      <c r="J2263" s="5"/>
      <c r="P2263" s="9"/>
      <c r="Q2263" s="5"/>
    </row>
    <row r="2264">
      <c r="J2264" s="5"/>
      <c r="P2264" s="9"/>
      <c r="Q2264" s="5"/>
    </row>
    <row r="2265">
      <c r="J2265" s="5"/>
      <c r="P2265" s="9"/>
      <c r="Q2265" s="5"/>
    </row>
    <row r="2266">
      <c r="J2266" s="5"/>
      <c r="P2266" s="9"/>
      <c r="Q2266" s="5"/>
    </row>
    <row r="2267">
      <c r="J2267" s="5"/>
      <c r="P2267" s="9"/>
      <c r="Q2267" s="5"/>
    </row>
    <row r="2268">
      <c r="J2268" s="5"/>
      <c r="P2268" s="9"/>
      <c r="Q2268" s="5"/>
    </row>
    <row r="2269">
      <c r="J2269" s="5"/>
      <c r="P2269" s="9"/>
      <c r="Q2269" s="5"/>
    </row>
    <row r="2270">
      <c r="J2270" s="5"/>
      <c r="P2270" s="9"/>
      <c r="Q2270" s="5"/>
    </row>
    <row r="2271">
      <c r="J2271" s="5"/>
      <c r="P2271" s="9"/>
      <c r="Q2271" s="5"/>
    </row>
    <row r="2272">
      <c r="J2272" s="5"/>
      <c r="P2272" s="9"/>
      <c r="Q2272" s="5"/>
    </row>
    <row r="2273">
      <c r="J2273" s="5"/>
      <c r="P2273" s="9"/>
      <c r="Q2273" s="5"/>
    </row>
    <row r="2274">
      <c r="J2274" s="5"/>
      <c r="P2274" s="9"/>
      <c r="Q2274" s="5"/>
    </row>
    <row r="2275">
      <c r="J2275" s="5"/>
      <c r="P2275" s="9"/>
      <c r="Q2275" s="5"/>
    </row>
    <row r="2276">
      <c r="J2276" s="5"/>
      <c r="P2276" s="9"/>
      <c r="Q2276" s="5"/>
    </row>
    <row r="2277">
      <c r="J2277" s="5"/>
      <c r="P2277" s="9"/>
      <c r="Q2277" s="5"/>
    </row>
    <row r="2278">
      <c r="J2278" s="5"/>
      <c r="P2278" s="9"/>
      <c r="Q2278" s="5"/>
    </row>
    <row r="2279">
      <c r="J2279" s="5"/>
      <c r="P2279" s="9"/>
      <c r="Q2279" s="5"/>
    </row>
    <row r="2280">
      <c r="J2280" s="5"/>
      <c r="P2280" s="9"/>
      <c r="Q2280" s="5"/>
    </row>
    <row r="2281">
      <c r="J2281" s="5"/>
      <c r="P2281" s="9"/>
      <c r="Q2281" s="5"/>
    </row>
    <row r="2282">
      <c r="J2282" s="5"/>
      <c r="P2282" s="9"/>
      <c r="Q2282" s="5"/>
    </row>
    <row r="2283">
      <c r="J2283" s="5"/>
      <c r="P2283" s="9"/>
      <c r="Q2283" s="5"/>
    </row>
    <row r="2284">
      <c r="J2284" s="5"/>
      <c r="P2284" s="9"/>
      <c r="Q2284" s="5"/>
    </row>
    <row r="2285">
      <c r="J2285" s="5"/>
      <c r="P2285" s="9"/>
      <c r="Q2285" s="5"/>
    </row>
    <row r="2286">
      <c r="J2286" s="5"/>
      <c r="P2286" s="9"/>
      <c r="Q2286" s="5"/>
    </row>
    <row r="2287">
      <c r="J2287" s="5"/>
      <c r="P2287" s="9"/>
      <c r="Q2287" s="5"/>
    </row>
    <row r="2288">
      <c r="J2288" s="5"/>
      <c r="P2288" s="9"/>
      <c r="Q2288" s="5"/>
    </row>
    <row r="2289">
      <c r="J2289" s="5"/>
      <c r="P2289" s="9"/>
      <c r="Q2289" s="5"/>
    </row>
    <row r="2290">
      <c r="J2290" s="5"/>
      <c r="P2290" s="9"/>
      <c r="Q2290" s="5"/>
    </row>
    <row r="2291">
      <c r="J2291" s="5"/>
      <c r="P2291" s="9"/>
      <c r="Q2291" s="5"/>
    </row>
    <row r="2292">
      <c r="J2292" s="5"/>
      <c r="P2292" s="9"/>
      <c r="Q2292" s="5"/>
    </row>
    <row r="2293">
      <c r="J2293" s="5"/>
      <c r="P2293" s="9"/>
      <c r="Q2293" s="5"/>
    </row>
    <row r="2294">
      <c r="J2294" s="5"/>
      <c r="P2294" s="9"/>
      <c r="Q2294" s="5"/>
    </row>
    <row r="2295">
      <c r="J2295" s="5"/>
      <c r="P2295" s="9"/>
      <c r="Q2295" s="5"/>
    </row>
    <row r="2296">
      <c r="J2296" s="5"/>
      <c r="P2296" s="9"/>
      <c r="Q2296" s="5"/>
    </row>
    <row r="2297">
      <c r="J2297" s="5"/>
      <c r="P2297" s="9"/>
      <c r="Q2297" s="5"/>
    </row>
    <row r="2298">
      <c r="J2298" s="5"/>
      <c r="P2298" s="9"/>
      <c r="Q2298" s="5"/>
    </row>
    <row r="2299">
      <c r="J2299" s="5"/>
      <c r="P2299" s="9"/>
      <c r="Q2299" s="5"/>
    </row>
    <row r="2300">
      <c r="J2300" s="5"/>
      <c r="P2300" s="9"/>
      <c r="Q2300" s="5"/>
    </row>
    <row r="2301">
      <c r="J2301" s="5"/>
      <c r="P2301" s="9"/>
      <c r="Q2301" s="5"/>
    </row>
    <row r="2302">
      <c r="J2302" s="5"/>
      <c r="P2302" s="9"/>
      <c r="Q2302" s="5"/>
    </row>
    <row r="2303">
      <c r="J2303" s="5"/>
      <c r="P2303" s="9"/>
      <c r="Q2303" s="5"/>
    </row>
    <row r="2304">
      <c r="J2304" s="5"/>
      <c r="P2304" s="9"/>
      <c r="Q2304" s="5"/>
    </row>
    <row r="2305">
      <c r="J2305" s="5"/>
      <c r="P2305" s="9"/>
      <c r="Q2305" s="5"/>
    </row>
    <row r="2306">
      <c r="J2306" s="5"/>
      <c r="P2306" s="9"/>
      <c r="Q2306" s="5"/>
    </row>
    <row r="2307">
      <c r="J2307" s="5"/>
      <c r="P2307" s="9"/>
      <c r="Q2307" s="5"/>
    </row>
    <row r="2308">
      <c r="J2308" s="5"/>
      <c r="P2308" s="9"/>
      <c r="Q2308" s="5"/>
    </row>
    <row r="2309">
      <c r="J2309" s="5"/>
      <c r="P2309" s="9"/>
      <c r="Q2309" s="5"/>
    </row>
    <row r="2310">
      <c r="J2310" s="5"/>
      <c r="P2310" s="9"/>
      <c r="Q2310" s="5"/>
    </row>
    <row r="2311">
      <c r="J2311" s="5"/>
      <c r="P2311" s="9"/>
      <c r="Q2311" s="5"/>
    </row>
    <row r="2312">
      <c r="J2312" s="5"/>
      <c r="P2312" s="9"/>
      <c r="Q2312" s="5"/>
    </row>
    <row r="2313">
      <c r="J2313" s="5"/>
      <c r="P2313" s="9"/>
      <c r="Q2313" s="5"/>
    </row>
    <row r="2314">
      <c r="J2314" s="5"/>
      <c r="P2314" s="9"/>
      <c r="Q2314" s="5"/>
    </row>
    <row r="2315">
      <c r="J2315" s="5"/>
      <c r="P2315" s="9"/>
      <c r="Q2315" s="5"/>
    </row>
    <row r="2316">
      <c r="J2316" s="5"/>
      <c r="P2316" s="9"/>
      <c r="Q2316" s="5"/>
    </row>
    <row r="2317">
      <c r="J2317" s="5"/>
      <c r="P2317" s="9"/>
      <c r="Q2317" s="5"/>
    </row>
    <row r="2318">
      <c r="J2318" s="5"/>
      <c r="P2318" s="9"/>
      <c r="Q2318" s="5"/>
    </row>
    <row r="2319">
      <c r="J2319" s="5"/>
      <c r="P2319" s="9"/>
      <c r="Q2319" s="5"/>
    </row>
    <row r="2320">
      <c r="J2320" s="5"/>
      <c r="P2320" s="9"/>
      <c r="Q2320" s="5"/>
    </row>
    <row r="2321">
      <c r="J2321" s="5"/>
      <c r="P2321" s="9"/>
      <c r="Q2321" s="5"/>
    </row>
    <row r="2322">
      <c r="J2322" s="5"/>
      <c r="P2322" s="9"/>
      <c r="Q2322" s="5"/>
    </row>
    <row r="2323">
      <c r="J2323" s="5"/>
      <c r="P2323" s="9"/>
      <c r="Q2323" s="5"/>
    </row>
    <row r="2324">
      <c r="J2324" s="5"/>
      <c r="P2324" s="9"/>
      <c r="Q2324" s="5"/>
    </row>
    <row r="2325">
      <c r="J2325" s="5"/>
      <c r="P2325" s="9"/>
      <c r="Q2325" s="5"/>
    </row>
    <row r="2326">
      <c r="J2326" s="5"/>
      <c r="P2326" s="9"/>
      <c r="Q2326" s="5"/>
    </row>
    <row r="2327">
      <c r="J2327" s="5"/>
      <c r="P2327" s="9"/>
      <c r="Q2327" s="5"/>
    </row>
    <row r="2328">
      <c r="J2328" s="5"/>
      <c r="P2328" s="9"/>
      <c r="Q2328" s="5"/>
    </row>
    <row r="2329">
      <c r="J2329" s="5"/>
      <c r="P2329" s="9"/>
      <c r="Q2329" s="5"/>
    </row>
    <row r="2330">
      <c r="J2330" s="5"/>
      <c r="P2330" s="9"/>
      <c r="Q2330" s="5"/>
    </row>
    <row r="2331">
      <c r="J2331" s="5"/>
      <c r="P2331" s="9"/>
      <c r="Q2331" s="5"/>
    </row>
    <row r="2332">
      <c r="J2332" s="5"/>
      <c r="P2332" s="9"/>
      <c r="Q2332" s="5"/>
    </row>
    <row r="2333">
      <c r="J2333" s="5"/>
      <c r="P2333" s="9"/>
      <c r="Q2333" s="5"/>
    </row>
    <row r="2334">
      <c r="J2334" s="5"/>
      <c r="P2334" s="9"/>
      <c r="Q2334" s="5"/>
    </row>
    <row r="2335">
      <c r="J2335" s="5"/>
      <c r="P2335" s="9"/>
      <c r="Q2335" s="5"/>
    </row>
    <row r="2336">
      <c r="J2336" s="5"/>
      <c r="P2336" s="9"/>
      <c r="Q2336" s="5"/>
    </row>
    <row r="2337">
      <c r="J2337" s="5"/>
      <c r="P2337" s="9"/>
      <c r="Q2337" s="5"/>
    </row>
    <row r="2338">
      <c r="J2338" s="5"/>
      <c r="P2338" s="9"/>
      <c r="Q2338" s="5"/>
    </row>
    <row r="2339">
      <c r="J2339" s="5"/>
      <c r="P2339" s="9"/>
      <c r="Q2339" s="5"/>
    </row>
    <row r="2340">
      <c r="J2340" s="5"/>
      <c r="P2340" s="9"/>
      <c r="Q2340" s="5"/>
    </row>
    <row r="2341">
      <c r="J2341" s="5"/>
      <c r="P2341" s="9"/>
      <c r="Q2341" s="5"/>
    </row>
    <row r="2342">
      <c r="J2342" s="5"/>
      <c r="P2342" s="9"/>
      <c r="Q2342" s="5"/>
    </row>
    <row r="2343">
      <c r="J2343" s="5"/>
      <c r="P2343" s="9"/>
      <c r="Q2343" s="5"/>
    </row>
    <row r="2344">
      <c r="J2344" s="5"/>
      <c r="P2344" s="9"/>
      <c r="Q2344" s="5"/>
    </row>
    <row r="2345">
      <c r="J2345" s="5"/>
      <c r="P2345" s="9"/>
      <c r="Q2345" s="5"/>
    </row>
    <row r="2346">
      <c r="J2346" s="5"/>
      <c r="P2346" s="9"/>
      <c r="Q2346" s="5"/>
    </row>
    <row r="2347">
      <c r="J2347" s="5"/>
      <c r="P2347" s="9"/>
      <c r="Q2347" s="5"/>
    </row>
    <row r="2348">
      <c r="J2348" s="5"/>
      <c r="P2348" s="9"/>
      <c r="Q2348" s="5"/>
    </row>
    <row r="2349">
      <c r="J2349" s="5"/>
      <c r="P2349" s="9"/>
      <c r="Q2349" s="5"/>
    </row>
    <row r="2350">
      <c r="J2350" s="5"/>
      <c r="P2350" s="9"/>
      <c r="Q2350" s="5"/>
    </row>
    <row r="2351">
      <c r="J2351" s="5"/>
      <c r="P2351" s="9"/>
      <c r="Q2351" s="5"/>
    </row>
    <row r="2352">
      <c r="J2352" s="5"/>
      <c r="P2352" s="9"/>
      <c r="Q2352" s="5"/>
    </row>
    <row r="2353">
      <c r="J2353" s="5"/>
      <c r="P2353" s="9"/>
      <c r="Q2353" s="5"/>
    </row>
    <row r="2354">
      <c r="J2354" s="5"/>
      <c r="P2354" s="9"/>
      <c r="Q2354" s="5"/>
    </row>
    <row r="2355">
      <c r="J2355" s="5"/>
      <c r="P2355" s="9"/>
      <c r="Q2355" s="5"/>
    </row>
    <row r="2356">
      <c r="J2356" s="5"/>
      <c r="P2356" s="9"/>
      <c r="Q2356" s="5"/>
    </row>
    <row r="2357">
      <c r="J2357" s="5"/>
      <c r="P2357" s="9"/>
      <c r="Q2357" s="5"/>
    </row>
    <row r="2358">
      <c r="J2358" s="5"/>
      <c r="P2358" s="9"/>
      <c r="Q2358" s="5"/>
    </row>
    <row r="2359">
      <c r="J2359" s="5"/>
      <c r="P2359" s="9"/>
      <c r="Q2359" s="5"/>
    </row>
    <row r="2360">
      <c r="J2360" s="5"/>
      <c r="P2360" s="9"/>
      <c r="Q2360" s="5"/>
    </row>
    <row r="2361">
      <c r="J2361" s="5"/>
      <c r="P2361" s="9"/>
      <c r="Q2361" s="5"/>
    </row>
    <row r="2362">
      <c r="J2362" s="5"/>
      <c r="P2362" s="9"/>
      <c r="Q2362" s="5"/>
    </row>
    <row r="2363">
      <c r="J2363" s="5"/>
      <c r="P2363" s="9"/>
      <c r="Q2363" s="5"/>
    </row>
    <row r="2364">
      <c r="J2364" s="5"/>
      <c r="P2364" s="9"/>
      <c r="Q2364" s="5"/>
    </row>
    <row r="2365">
      <c r="J2365" s="5"/>
      <c r="P2365" s="9"/>
      <c r="Q2365" s="5"/>
    </row>
    <row r="2366">
      <c r="J2366" s="5"/>
      <c r="P2366" s="9"/>
      <c r="Q2366" s="5"/>
    </row>
    <row r="2367">
      <c r="J2367" s="5"/>
      <c r="P2367" s="9"/>
      <c r="Q2367" s="5"/>
    </row>
    <row r="2368">
      <c r="J2368" s="5"/>
      <c r="P2368" s="9"/>
      <c r="Q2368" s="5"/>
    </row>
    <row r="2369">
      <c r="J2369" s="5"/>
      <c r="P2369" s="9"/>
      <c r="Q2369" s="5"/>
    </row>
    <row r="2370">
      <c r="J2370" s="5"/>
      <c r="P2370" s="9"/>
      <c r="Q2370" s="5"/>
    </row>
    <row r="2371">
      <c r="J2371" s="5"/>
      <c r="P2371" s="9"/>
      <c r="Q2371" s="5"/>
    </row>
    <row r="2372">
      <c r="J2372" s="5"/>
      <c r="P2372" s="9"/>
      <c r="Q2372" s="5"/>
    </row>
    <row r="2373">
      <c r="J2373" s="5"/>
      <c r="P2373" s="9"/>
      <c r="Q2373" s="5"/>
    </row>
    <row r="2374">
      <c r="J2374" s="5"/>
      <c r="P2374" s="9"/>
      <c r="Q2374" s="5"/>
    </row>
    <row r="2375">
      <c r="J2375" s="5"/>
      <c r="P2375" s="9"/>
      <c r="Q2375" s="5"/>
    </row>
    <row r="2376">
      <c r="J2376" s="5"/>
      <c r="P2376" s="9"/>
      <c r="Q2376" s="5"/>
    </row>
    <row r="2377">
      <c r="J2377" s="5"/>
      <c r="P2377" s="9"/>
      <c r="Q2377" s="5"/>
    </row>
    <row r="2378">
      <c r="J2378" s="5"/>
      <c r="P2378" s="9"/>
      <c r="Q2378" s="5"/>
    </row>
    <row r="2379">
      <c r="J2379" s="5"/>
      <c r="P2379" s="9"/>
      <c r="Q2379" s="5"/>
    </row>
    <row r="2380">
      <c r="J2380" s="5"/>
      <c r="P2380" s="9"/>
      <c r="Q2380" s="5"/>
    </row>
    <row r="2381">
      <c r="J2381" s="5"/>
      <c r="P2381" s="9"/>
      <c r="Q2381" s="5"/>
    </row>
    <row r="2382">
      <c r="J2382" s="5"/>
      <c r="P2382" s="9"/>
      <c r="Q2382" s="5"/>
    </row>
    <row r="2383">
      <c r="J2383" s="5"/>
      <c r="P2383" s="9"/>
      <c r="Q2383" s="5"/>
    </row>
    <row r="2384">
      <c r="J2384" s="5"/>
      <c r="P2384" s="9"/>
      <c r="Q2384" s="5"/>
    </row>
    <row r="2385">
      <c r="J2385" s="5"/>
      <c r="P2385" s="9"/>
      <c r="Q2385" s="5"/>
    </row>
    <row r="2386">
      <c r="J2386" s="5"/>
      <c r="P2386" s="9"/>
      <c r="Q2386" s="5"/>
    </row>
    <row r="2387">
      <c r="J2387" s="5"/>
      <c r="P2387" s="9"/>
      <c r="Q2387" s="5"/>
    </row>
    <row r="2388">
      <c r="J2388" s="5"/>
      <c r="P2388" s="9"/>
      <c r="Q2388" s="5"/>
    </row>
    <row r="2389">
      <c r="J2389" s="5"/>
      <c r="P2389" s="9"/>
      <c r="Q2389" s="5"/>
    </row>
    <row r="2390">
      <c r="J2390" s="5"/>
      <c r="P2390" s="9"/>
      <c r="Q2390" s="5"/>
    </row>
    <row r="2391">
      <c r="J2391" s="5"/>
      <c r="P2391" s="9"/>
      <c r="Q2391" s="5"/>
    </row>
    <row r="2392">
      <c r="J2392" s="5"/>
      <c r="P2392" s="9"/>
      <c r="Q2392" s="5"/>
    </row>
    <row r="2393">
      <c r="J2393" s="5"/>
      <c r="P2393" s="9"/>
      <c r="Q2393" s="5"/>
    </row>
    <row r="2394">
      <c r="J2394" s="5"/>
      <c r="P2394" s="9"/>
      <c r="Q2394" s="5"/>
    </row>
    <row r="2395">
      <c r="J2395" s="5"/>
      <c r="P2395" s="9"/>
      <c r="Q2395" s="5"/>
    </row>
    <row r="2396">
      <c r="J2396" s="5"/>
      <c r="P2396" s="9"/>
      <c r="Q2396" s="5"/>
    </row>
    <row r="2397">
      <c r="J2397" s="5"/>
      <c r="P2397" s="9"/>
      <c r="Q2397" s="5"/>
    </row>
    <row r="2398">
      <c r="J2398" s="5"/>
      <c r="P2398" s="9"/>
      <c r="Q2398" s="5"/>
    </row>
    <row r="2399">
      <c r="J2399" s="5"/>
      <c r="P2399" s="9"/>
      <c r="Q2399" s="5"/>
    </row>
    <row r="2400">
      <c r="J2400" s="5"/>
      <c r="P2400" s="9"/>
      <c r="Q2400" s="5"/>
    </row>
    <row r="2401">
      <c r="J2401" s="5"/>
      <c r="P2401" s="9"/>
      <c r="Q2401" s="5"/>
    </row>
    <row r="2402">
      <c r="J2402" s="5"/>
      <c r="P2402" s="9"/>
      <c r="Q2402" s="5"/>
    </row>
    <row r="2403">
      <c r="J2403" s="5"/>
      <c r="P2403" s="9"/>
      <c r="Q2403" s="5"/>
    </row>
    <row r="2404">
      <c r="J2404" s="5"/>
      <c r="P2404" s="9"/>
      <c r="Q2404" s="5"/>
    </row>
    <row r="2405">
      <c r="J2405" s="5"/>
      <c r="P2405" s="9"/>
      <c r="Q2405" s="5"/>
    </row>
    <row r="2406">
      <c r="J2406" s="5"/>
      <c r="P2406" s="9"/>
      <c r="Q2406" s="5"/>
    </row>
    <row r="2407">
      <c r="J2407" s="5"/>
      <c r="P2407" s="9"/>
      <c r="Q2407" s="5"/>
    </row>
    <row r="2408">
      <c r="J2408" s="5"/>
      <c r="P2408" s="9"/>
      <c r="Q2408" s="5"/>
    </row>
    <row r="2409">
      <c r="J2409" s="5"/>
      <c r="P2409" s="9"/>
      <c r="Q2409" s="5"/>
    </row>
    <row r="2410">
      <c r="J2410" s="5"/>
      <c r="P2410" s="9"/>
      <c r="Q2410" s="5"/>
    </row>
    <row r="2411">
      <c r="J2411" s="5"/>
      <c r="P2411" s="9"/>
      <c r="Q2411" s="5"/>
    </row>
    <row r="2412">
      <c r="J2412" s="5"/>
      <c r="P2412" s="9"/>
      <c r="Q2412" s="5"/>
    </row>
    <row r="2413">
      <c r="J2413" s="5"/>
      <c r="P2413" s="9"/>
      <c r="Q2413" s="5"/>
    </row>
    <row r="2414">
      <c r="J2414" s="5"/>
      <c r="P2414" s="9"/>
      <c r="Q2414" s="5"/>
    </row>
    <row r="2415">
      <c r="J2415" s="5"/>
      <c r="P2415" s="9"/>
      <c r="Q2415" s="5"/>
    </row>
    <row r="2416">
      <c r="J2416" s="5"/>
      <c r="P2416" s="9"/>
      <c r="Q2416" s="5"/>
    </row>
    <row r="2417">
      <c r="J2417" s="5"/>
      <c r="P2417" s="9"/>
      <c r="Q2417" s="5"/>
    </row>
    <row r="2418">
      <c r="J2418" s="5"/>
      <c r="P2418" s="9"/>
      <c r="Q2418" s="5"/>
    </row>
    <row r="2419">
      <c r="J2419" s="5"/>
      <c r="P2419" s="9"/>
      <c r="Q2419" s="5"/>
    </row>
    <row r="2420">
      <c r="J2420" s="5"/>
      <c r="P2420" s="9"/>
      <c r="Q2420" s="5"/>
    </row>
    <row r="2421">
      <c r="J2421" s="5"/>
      <c r="P2421" s="9"/>
      <c r="Q2421" s="5"/>
    </row>
    <row r="2422">
      <c r="J2422" s="5"/>
      <c r="P2422" s="9"/>
      <c r="Q2422" s="5"/>
    </row>
    <row r="2423">
      <c r="J2423" s="5"/>
      <c r="P2423" s="9"/>
      <c r="Q2423" s="5"/>
    </row>
    <row r="2424">
      <c r="J2424" s="5"/>
      <c r="P2424" s="9"/>
      <c r="Q2424" s="5"/>
    </row>
    <row r="2425">
      <c r="J2425" s="5"/>
      <c r="P2425" s="9"/>
      <c r="Q2425" s="5"/>
    </row>
    <row r="2426">
      <c r="J2426" s="5"/>
      <c r="P2426" s="9"/>
      <c r="Q2426" s="5"/>
    </row>
    <row r="2427">
      <c r="J2427" s="5"/>
      <c r="P2427" s="9"/>
      <c r="Q2427" s="5"/>
    </row>
    <row r="2428">
      <c r="J2428" s="5"/>
      <c r="P2428" s="9"/>
      <c r="Q2428" s="5"/>
    </row>
    <row r="2429">
      <c r="J2429" s="5"/>
      <c r="P2429" s="9"/>
      <c r="Q2429" s="5"/>
    </row>
    <row r="2430">
      <c r="J2430" s="5"/>
      <c r="P2430" s="9"/>
      <c r="Q2430" s="5"/>
    </row>
    <row r="2431">
      <c r="J2431" s="5"/>
      <c r="P2431" s="9"/>
      <c r="Q2431" s="5"/>
    </row>
    <row r="2432">
      <c r="J2432" s="5"/>
      <c r="P2432" s="9"/>
      <c r="Q2432" s="5"/>
    </row>
    <row r="2433">
      <c r="J2433" s="5"/>
      <c r="P2433" s="9"/>
      <c r="Q2433" s="5"/>
    </row>
    <row r="2434">
      <c r="J2434" s="5"/>
      <c r="P2434" s="9"/>
      <c r="Q2434" s="5"/>
    </row>
    <row r="2435">
      <c r="J2435" s="5"/>
      <c r="P2435" s="9"/>
      <c r="Q2435" s="5"/>
    </row>
    <row r="2436">
      <c r="J2436" s="5"/>
      <c r="P2436" s="9"/>
      <c r="Q2436" s="5"/>
    </row>
    <row r="2437">
      <c r="J2437" s="5"/>
      <c r="P2437" s="9"/>
      <c r="Q2437" s="5"/>
    </row>
    <row r="2438">
      <c r="J2438" s="5"/>
      <c r="P2438" s="9"/>
      <c r="Q2438" s="5"/>
    </row>
    <row r="2439">
      <c r="J2439" s="5"/>
      <c r="P2439" s="9"/>
      <c r="Q2439" s="5"/>
    </row>
    <row r="2440">
      <c r="J2440" s="5"/>
      <c r="P2440" s="9"/>
      <c r="Q2440" s="5"/>
    </row>
    <row r="2441">
      <c r="J2441" s="5"/>
      <c r="P2441" s="9"/>
      <c r="Q2441" s="5"/>
    </row>
    <row r="2442">
      <c r="J2442" s="5"/>
      <c r="P2442" s="9"/>
      <c r="Q2442" s="5"/>
    </row>
    <row r="2443">
      <c r="J2443" s="5"/>
      <c r="P2443" s="9"/>
      <c r="Q2443" s="5"/>
    </row>
    <row r="2444">
      <c r="J2444" s="5"/>
      <c r="P2444" s="9"/>
      <c r="Q2444" s="5"/>
    </row>
    <row r="2445">
      <c r="J2445" s="5"/>
      <c r="P2445" s="9"/>
      <c r="Q2445" s="5"/>
    </row>
    <row r="2446">
      <c r="J2446" s="5"/>
      <c r="P2446" s="9"/>
      <c r="Q2446" s="5"/>
    </row>
    <row r="2447">
      <c r="J2447" s="5"/>
      <c r="P2447" s="9"/>
      <c r="Q2447" s="5"/>
    </row>
    <row r="2448">
      <c r="J2448" s="5"/>
      <c r="P2448" s="9"/>
      <c r="Q2448" s="5"/>
    </row>
    <row r="2449">
      <c r="J2449" s="5"/>
      <c r="P2449" s="9"/>
      <c r="Q2449" s="5"/>
    </row>
    <row r="2450">
      <c r="J2450" s="5"/>
      <c r="P2450" s="9"/>
      <c r="Q2450" s="5"/>
    </row>
    <row r="2451">
      <c r="J2451" s="5"/>
      <c r="P2451" s="9"/>
      <c r="Q2451" s="5"/>
    </row>
    <row r="2452">
      <c r="J2452" s="5"/>
      <c r="P2452" s="9"/>
      <c r="Q2452" s="5"/>
    </row>
    <row r="2453">
      <c r="J2453" s="5"/>
      <c r="P2453" s="9"/>
      <c r="Q2453" s="5"/>
    </row>
    <row r="2454">
      <c r="J2454" s="5"/>
      <c r="P2454" s="9"/>
      <c r="Q2454" s="5"/>
    </row>
    <row r="2455">
      <c r="J2455" s="5"/>
      <c r="P2455" s="9"/>
      <c r="Q2455" s="5"/>
    </row>
    <row r="2456">
      <c r="J2456" s="5"/>
      <c r="P2456" s="9"/>
      <c r="Q2456" s="5"/>
    </row>
    <row r="2457">
      <c r="J2457" s="5"/>
      <c r="P2457" s="9"/>
      <c r="Q2457" s="5"/>
    </row>
    <row r="2458">
      <c r="J2458" s="5"/>
      <c r="P2458" s="9"/>
      <c r="Q2458" s="5"/>
    </row>
    <row r="2459">
      <c r="J2459" s="5"/>
      <c r="P2459" s="9"/>
      <c r="Q2459" s="5"/>
    </row>
    <row r="2460">
      <c r="J2460" s="5"/>
      <c r="P2460" s="9"/>
      <c r="Q2460" s="5"/>
    </row>
    <row r="2461">
      <c r="J2461" s="5"/>
      <c r="P2461" s="9"/>
      <c r="Q2461" s="5"/>
    </row>
    <row r="2462">
      <c r="J2462" s="5"/>
      <c r="P2462" s="9"/>
      <c r="Q2462" s="5"/>
    </row>
    <row r="2463">
      <c r="J2463" s="5"/>
      <c r="P2463" s="9"/>
      <c r="Q2463" s="5"/>
    </row>
    <row r="2464">
      <c r="J2464" s="5"/>
      <c r="P2464" s="9"/>
      <c r="Q2464" s="5"/>
    </row>
    <row r="2465">
      <c r="J2465" s="5"/>
      <c r="P2465" s="9"/>
      <c r="Q2465" s="5"/>
    </row>
    <row r="2466">
      <c r="J2466" s="5"/>
      <c r="P2466" s="9"/>
      <c r="Q2466" s="5"/>
    </row>
    <row r="2467">
      <c r="J2467" s="5"/>
      <c r="P2467" s="9"/>
      <c r="Q2467" s="5"/>
    </row>
    <row r="2468">
      <c r="J2468" s="5"/>
      <c r="P2468" s="9"/>
      <c r="Q2468" s="5"/>
    </row>
    <row r="2469">
      <c r="J2469" s="5"/>
      <c r="P2469" s="9"/>
      <c r="Q2469" s="5"/>
    </row>
    <row r="2470">
      <c r="J2470" s="5"/>
      <c r="P2470" s="9"/>
      <c r="Q2470" s="5"/>
    </row>
    <row r="2471">
      <c r="J2471" s="5"/>
      <c r="P2471" s="9"/>
      <c r="Q2471" s="5"/>
    </row>
    <row r="2472">
      <c r="J2472" s="5"/>
      <c r="P2472" s="9"/>
      <c r="Q2472" s="5"/>
    </row>
    <row r="2473">
      <c r="J2473" s="5"/>
      <c r="P2473" s="9"/>
      <c r="Q2473" s="5"/>
    </row>
    <row r="2474">
      <c r="J2474" s="5"/>
      <c r="P2474" s="9"/>
      <c r="Q2474" s="5"/>
    </row>
    <row r="2475">
      <c r="J2475" s="5"/>
      <c r="P2475" s="9"/>
      <c r="Q2475" s="5"/>
    </row>
    <row r="2476">
      <c r="J2476" s="5"/>
      <c r="P2476" s="9"/>
      <c r="Q2476" s="5"/>
    </row>
    <row r="2477">
      <c r="J2477" s="5"/>
      <c r="P2477" s="9"/>
      <c r="Q2477" s="5"/>
    </row>
    <row r="2478">
      <c r="J2478" s="5"/>
      <c r="P2478" s="9"/>
      <c r="Q2478" s="5"/>
    </row>
    <row r="2479">
      <c r="J2479" s="5"/>
      <c r="P2479" s="9"/>
      <c r="Q2479" s="5"/>
    </row>
    <row r="2480">
      <c r="J2480" s="5"/>
      <c r="P2480" s="9"/>
      <c r="Q2480" s="5"/>
    </row>
    <row r="2481">
      <c r="J2481" s="5"/>
      <c r="P2481" s="9"/>
      <c r="Q2481" s="5"/>
    </row>
    <row r="2482">
      <c r="J2482" s="5"/>
      <c r="P2482" s="9"/>
      <c r="Q2482" s="5"/>
    </row>
    <row r="2483">
      <c r="J2483" s="5"/>
      <c r="P2483" s="9"/>
      <c r="Q2483" s="5"/>
    </row>
    <row r="2484">
      <c r="J2484" s="5"/>
      <c r="P2484" s="9"/>
      <c r="Q2484" s="5"/>
    </row>
    <row r="2485">
      <c r="J2485" s="5"/>
      <c r="P2485" s="9"/>
      <c r="Q2485" s="5"/>
    </row>
    <row r="2486">
      <c r="J2486" s="5"/>
      <c r="P2486" s="9"/>
      <c r="Q2486" s="5"/>
    </row>
    <row r="2487">
      <c r="J2487" s="5"/>
      <c r="P2487" s="9"/>
      <c r="Q2487" s="5"/>
    </row>
    <row r="2488">
      <c r="J2488" s="5"/>
      <c r="P2488" s="9"/>
      <c r="Q2488" s="5"/>
    </row>
    <row r="2489">
      <c r="J2489" s="5"/>
      <c r="P2489" s="9"/>
      <c r="Q2489" s="5"/>
    </row>
    <row r="2490">
      <c r="J2490" s="5"/>
      <c r="P2490" s="9"/>
      <c r="Q2490" s="5"/>
    </row>
    <row r="2491">
      <c r="J2491" s="5"/>
      <c r="P2491" s="9"/>
      <c r="Q2491" s="5"/>
    </row>
    <row r="2492">
      <c r="J2492" s="5"/>
      <c r="P2492" s="9"/>
      <c r="Q2492" s="5"/>
    </row>
    <row r="2493">
      <c r="J2493" s="5"/>
      <c r="P2493" s="9"/>
      <c r="Q2493" s="5"/>
    </row>
    <row r="2494">
      <c r="J2494" s="5"/>
      <c r="P2494" s="9"/>
      <c r="Q2494" s="5"/>
    </row>
    <row r="2495">
      <c r="J2495" s="5"/>
      <c r="P2495" s="9"/>
      <c r="Q2495" s="5"/>
    </row>
    <row r="2496">
      <c r="J2496" s="5"/>
      <c r="P2496" s="9"/>
      <c r="Q2496" s="5"/>
    </row>
    <row r="2497">
      <c r="J2497" s="5"/>
      <c r="P2497" s="9"/>
      <c r="Q2497" s="5"/>
    </row>
    <row r="2498">
      <c r="J2498" s="5"/>
      <c r="P2498" s="9"/>
      <c r="Q2498" s="5"/>
    </row>
    <row r="2499">
      <c r="J2499" s="5"/>
      <c r="P2499" s="9"/>
      <c r="Q2499" s="5"/>
    </row>
    <row r="2500">
      <c r="J2500" s="5"/>
      <c r="P2500" s="9"/>
      <c r="Q2500" s="5"/>
    </row>
    <row r="2501">
      <c r="J2501" s="5"/>
      <c r="P2501" s="9"/>
      <c r="Q2501" s="5"/>
    </row>
    <row r="2502">
      <c r="J2502" s="5"/>
      <c r="P2502" s="9"/>
      <c r="Q2502" s="5"/>
    </row>
    <row r="2503">
      <c r="J2503" s="5"/>
      <c r="P2503" s="9"/>
      <c r="Q2503" s="5"/>
    </row>
    <row r="2504">
      <c r="J2504" s="5"/>
      <c r="P2504" s="9"/>
      <c r="Q2504" s="5"/>
    </row>
    <row r="2505">
      <c r="J2505" s="5"/>
      <c r="P2505" s="9"/>
      <c r="Q2505" s="5"/>
    </row>
    <row r="2506">
      <c r="J2506" s="5"/>
      <c r="P2506" s="9"/>
      <c r="Q2506" s="5"/>
    </row>
    <row r="2507">
      <c r="J2507" s="5"/>
      <c r="P2507" s="9"/>
      <c r="Q2507" s="5"/>
    </row>
    <row r="2508">
      <c r="J2508" s="5"/>
      <c r="P2508" s="9"/>
      <c r="Q2508" s="5"/>
    </row>
    <row r="2509">
      <c r="J2509" s="5"/>
      <c r="P2509" s="9"/>
      <c r="Q2509" s="5"/>
    </row>
    <row r="2510">
      <c r="J2510" s="5"/>
      <c r="P2510" s="9"/>
      <c r="Q2510" s="5"/>
    </row>
    <row r="2511">
      <c r="J2511" s="5"/>
      <c r="P2511" s="9"/>
      <c r="Q2511" s="5"/>
    </row>
    <row r="2512">
      <c r="J2512" s="5"/>
      <c r="P2512" s="9"/>
      <c r="Q2512" s="5"/>
    </row>
    <row r="2513">
      <c r="J2513" s="5"/>
      <c r="P2513" s="9"/>
      <c r="Q2513" s="5"/>
    </row>
    <row r="2514">
      <c r="J2514" s="5"/>
      <c r="P2514" s="9"/>
      <c r="Q2514" s="5"/>
    </row>
    <row r="2515">
      <c r="J2515" s="5"/>
      <c r="P2515" s="9"/>
      <c r="Q2515" s="5"/>
    </row>
    <row r="2516">
      <c r="J2516" s="5"/>
      <c r="P2516" s="9"/>
      <c r="Q2516" s="5"/>
    </row>
    <row r="2517">
      <c r="J2517" s="5"/>
      <c r="P2517" s="9"/>
      <c r="Q2517" s="5"/>
    </row>
    <row r="2518">
      <c r="J2518" s="5"/>
      <c r="P2518" s="9"/>
      <c r="Q2518" s="5"/>
    </row>
    <row r="2519">
      <c r="J2519" s="5"/>
      <c r="P2519" s="9"/>
      <c r="Q2519" s="5"/>
    </row>
    <row r="2520">
      <c r="J2520" s="5"/>
      <c r="P2520" s="9"/>
      <c r="Q2520" s="5"/>
    </row>
    <row r="2521">
      <c r="J2521" s="5"/>
      <c r="P2521" s="9"/>
      <c r="Q2521" s="5"/>
    </row>
    <row r="2522">
      <c r="J2522" s="5"/>
      <c r="P2522" s="9"/>
      <c r="Q2522" s="5"/>
    </row>
    <row r="2523">
      <c r="J2523" s="5"/>
      <c r="P2523" s="9"/>
      <c r="Q2523" s="5"/>
    </row>
    <row r="2524">
      <c r="J2524" s="5"/>
      <c r="P2524" s="9"/>
      <c r="Q2524" s="5"/>
    </row>
    <row r="2525">
      <c r="J2525" s="5"/>
      <c r="P2525" s="9"/>
      <c r="Q2525" s="5"/>
    </row>
    <row r="2526">
      <c r="J2526" s="5"/>
      <c r="P2526" s="9"/>
      <c r="Q2526" s="5"/>
    </row>
    <row r="2527">
      <c r="J2527" s="5"/>
      <c r="P2527" s="9"/>
      <c r="Q2527" s="5"/>
    </row>
    <row r="2528">
      <c r="J2528" s="5"/>
      <c r="P2528" s="9"/>
      <c r="Q2528" s="5"/>
    </row>
    <row r="2529">
      <c r="J2529" s="5"/>
      <c r="P2529" s="9"/>
      <c r="Q2529" s="5"/>
    </row>
    <row r="2530">
      <c r="J2530" s="5"/>
      <c r="P2530" s="9"/>
      <c r="Q2530" s="5"/>
    </row>
    <row r="2531">
      <c r="J2531" s="5"/>
      <c r="P2531" s="9"/>
      <c r="Q2531" s="5"/>
    </row>
    <row r="2532">
      <c r="J2532" s="5"/>
      <c r="P2532" s="9"/>
      <c r="Q2532" s="5"/>
    </row>
    <row r="2533">
      <c r="J2533" s="5"/>
      <c r="P2533" s="9"/>
      <c r="Q2533" s="5"/>
    </row>
    <row r="2534">
      <c r="J2534" s="5"/>
      <c r="P2534" s="9"/>
      <c r="Q2534" s="5"/>
    </row>
    <row r="2535">
      <c r="J2535" s="5"/>
      <c r="P2535" s="9"/>
      <c r="Q2535" s="5"/>
    </row>
    <row r="2536">
      <c r="J2536" s="5"/>
      <c r="P2536" s="9"/>
      <c r="Q2536" s="5"/>
    </row>
    <row r="2537">
      <c r="J2537" s="5"/>
      <c r="P2537" s="9"/>
      <c r="Q2537" s="5"/>
    </row>
    <row r="2538">
      <c r="J2538" s="5"/>
      <c r="P2538" s="9"/>
      <c r="Q2538" s="5"/>
    </row>
    <row r="2539">
      <c r="J2539" s="5"/>
      <c r="P2539" s="9"/>
      <c r="Q2539" s="5"/>
    </row>
    <row r="2540">
      <c r="J2540" s="5"/>
      <c r="P2540" s="9"/>
      <c r="Q2540" s="5"/>
    </row>
    <row r="2541">
      <c r="J2541" s="5"/>
      <c r="P2541" s="9"/>
      <c r="Q2541" s="5"/>
    </row>
    <row r="2542">
      <c r="J2542" s="5"/>
      <c r="P2542" s="9"/>
      <c r="Q2542" s="5"/>
    </row>
    <row r="2543">
      <c r="J2543" s="5"/>
      <c r="P2543" s="9"/>
      <c r="Q2543" s="5"/>
    </row>
    <row r="2544">
      <c r="J2544" s="5"/>
      <c r="P2544" s="9"/>
      <c r="Q2544" s="5"/>
    </row>
    <row r="2545">
      <c r="J2545" s="5"/>
      <c r="P2545" s="9"/>
      <c r="Q2545" s="5"/>
    </row>
    <row r="2546">
      <c r="J2546" s="5"/>
      <c r="P2546" s="9"/>
      <c r="Q2546" s="5"/>
    </row>
    <row r="2547">
      <c r="J2547" s="5"/>
      <c r="P2547" s="9"/>
      <c r="Q2547" s="5"/>
    </row>
    <row r="2548">
      <c r="J2548" s="5"/>
      <c r="P2548" s="9"/>
      <c r="Q2548" s="5"/>
    </row>
    <row r="2549">
      <c r="J2549" s="5"/>
      <c r="P2549" s="9"/>
      <c r="Q2549" s="5"/>
    </row>
    <row r="2550">
      <c r="J2550" s="5"/>
      <c r="P2550" s="9"/>
      <c r="Q2550" s="5"/>
    </row>
    <row r="2551">
      <c r="J2551" s="5"/>
      <c r="P2551" s="9"/>
      <c r="Q2551" s="5"/>
    </row>
    <row r="2552">
      <c r="J2552" s="5"/>
      <c r="P2552" s="9"/>
      <c r="Q2552" s="5"/>
    </row>
    <row r="2553">
      <c r="J2553" s="5"/>
      <c r="P2553" s="9"/>
      <c r="Q2553" s="5"/>
    </row>
    <row r="2554">
      <c r="J2554" s="5"/>
      <c r="P2554" s="9"/>
      <c r="Q2554" s="5"/>
    </row>
    <row r="2555">
      <c r="J2555" s="5"/>
      <c r="P2555" s="9"/>
      <c r="Q2555" s="5"/>
    </row>
    <row r="2556">
      <c r="J2556" s="5"/>
      <c r="P2556" s="9"/>
      <c r="Q2556" s="5"/>
    </row>
    <row r="2557">
      <c r="J2557" s="5"/>
      <c r="P2557" s="9"/>
      <c r="Q2557" s="5"/>
    </row>
    <row r="2558">
      <c r="J2558" s="5"/>
      <c r="P2558" s="9"/>
      <c r="Q2558" s="5"/>
    </row>
    <row r="2559">
      <c r="J2559" s="5"/>
      <c r="P2559" s="9"/>
      <c r="Q2559" s="5"/>
    </row>
    <row r="2560">
      <c r="J2560" s="5"/>
      <c r="P2560" s="9"/>
      <c r="Q2560" s="5"/>
    </row>
    <row r="2561">
      <c r="J2561" s="5"/>
      <c r="P2561" s="9"/>
      <c r="Q2561" s="5"/>
    </row>
    <row r="2562">
      <c r="J2562" s="5"/>
      <c r="P2562" s="9"/>
      <c r="Q2562" s="5"/>
    </row>
    <row r="2563">
      <c r="J2563" s="5"/>
      <c r="P2563" s="9"/>
      <c r="Q2563" s="5"/>
    </row>
    <row r="2564">
      <c r="J2564" s="5"/>
      <c r="P2564" s="9"/>
      <c r="Q2564" s="5"/>
    </row>
    <row r="2565">
      <c r="J2565" s="5"/>
      <c r="P2565" s="9"/>
      <c r="Q2565" s="5"/>
    </row>
    <row r="2566">
      <c r="J2566" s="5"/>
      <c r="P2566" s="9"/>
      <c r="Q2566" s="5"/>
    </row>
    <row r="2567">
      <c r="J2567" s="5"/>
      <c r="P2567" s="9"/>
      <c r="Q2567" s="5"/>
    </row>
    <row r="2568">
      <c r="J2568" s="5"/>
      <c r="P2568" s="9"/>
      <c r="Q2568" s="5"/>
    </row>
    <row r="2569">
      <c r="J2569" s="5"/>
      <c r="P2569" s="9"/>
      <c r="Q2569" s="5"/>
    </row>
    <row r="2570">
      <c r="J2570" s="5"/>
      <c r="P2570" s="9"/>
      <c r="Q2570" s="5"/>
    </row>
    <row r="2571">
      <c r="J2571" s="5"/>
      <c r="P2571" s="9"/>
      <c r="Q2571" s="5"/>
    </row>
    <row r="2572">
      <c r="J2572" s="5"/>
      <c r="P2572" s="9"/>
      <c r="Q2572" s="5"/>
    </row>
    <row r="2573">
      <c r="J2573" s="5"/>
      <c r="P2573" s="9"/>
      <c r="Q2573" s="5"/>
    </row>
    <row r="2574">
      <c r="J2574" s="5"/>
      <c r="P2574" s="9"/>
      <c r="Q2574" s="5"/>
    </row>
    <row r="2575">
      <c r="J2575" s="5"/>
      <c r="P2575" s="9"/>
      <c r="Q2575" s="5"/>
    </row>
    <row r="2576">
      <c r="J2576" s="5"/>
      <c r="P2576" s="9"/>
      <c r="Q2576" s="5"/>
    </row>
    <row r="2577">
      <c r="J2577" s="5"/>
      <c r="P2577" s="9"/>
      <c r="Q2577" s="5"/>
    </row>
    <row r="2578">
      <c r="J2578" s="5"/>
      <c r="P2578" s="9"/>
      <c r="Q2578" s="5"/>
    </row>
    <row r="2579">
      <c r="J2579" s="5"/>
      <c r="P2579" s="9"/>
      <c r="Q2579" s="5"/>
    </row>
    <row r="2580">
      <c r="J2580" s="5"/>
      <c r="P2580" s="9"/>
      <c r="Q2580" s="5"/>
    </row>
    <row r="2581">
      <c r="J2581" s="5"/>
      <c r="P2581" s="9"/>
      <c r="Q2581" s="5"/>
    </row>
    <row r="2582">
      <c r="J2582" s="5"/>
      <c r="P2582" s="9"/>
      <c r="Q2582" s="5"/>
    </row>
    <row r="2583">
      <c r="J2583" s="5"/>
      <c r="P2583" s="9"/>
      <c r="Q2583" s="5"/>
    </row>
    <row r="2584">
      <c r="J2584" s="5"/>
      <c r="P2584" s="9"/>
      <c r="Q2584" s="5"/>
    </row>
    <row r="2585">
      <c r="J2585" s="5"/>
      <c r="P2585" s="9"/>
      <c r="Q2585" s="5"/>
    </row>
    <row r="2586">
      <c r="J2586" s="5"/>
      <c r="P2586" s="9"/>
      <c r="Q2586" s="5"/>
    </row>
    <row r="2587">
      <c r="J2587" s="5"/>
      <c r="P2587" s="9"/>
      <c r="Q2587" s="5"/>
    </row>
    <row r="2588">
      <c r="J2588" s="5"/>
      <c r="P2588" s="9"/>
      <c r="Q2588" s="5"/>
    </row>
    <row r="2589">
      <c r="J2589" s="5"/>
      <c r="P2589" s="9"/>
      <c r="Q2589" s="5"/>
    </row>
    <row r="2590">
      <c r="J2590" s="5"/>
      <c r="P2590" s="9"/>
      <c r="Q2590" s="5"/>
    </row>
    <row r="2591">
      <c r="J2591" s="5"/>
      <c r="P2591" s="9"/>
      <c r="Q2591" s="5"/>
    </row>
    <row r="2592">
      <c r="J2592" s="5"/>
      <c r="P2592" s="9"/>
      <c r="Q2592" s="5"/>
    </row>
    <row r="2593">
      <c r="J2593" s="5"/>
      <c r="P2593" s="9"/>
      <c r="Q2593" s="5"/>
    </row>
    <row r="2594">
      <c r="J2594" s="5"/>
      <c r="P2594" s="9"/>
      <c r="Q2594" s="5"/>
    </row>
    <row r="2595">
      <c r="J2595" s="5"/>
      <c r="P2595" s="9"/>
      <c r="Q2595" s="5"/>
    </row>
    <row r="2596">
      <c r="J2596" s="5"/>
      <c r="P2596" s="9"/>
      <c r="Q2596" s="5"/>
    </row>
    <row r="2597">
      <c r="J2597" s="5"/>
      <c r="P2597" s="9"/>
      <c r="Q2597" s="5"/>
    </row>
    <row r="2598">
      <c r="J2598" s="5"/>
      <c r="P2598" s="9"/>
      <c r="Q2598" s="5"/>
    </row>
    <row r="2599">
      <c r="J2599" s="5"/>
      <c r="P2599" s="9"/>
      <c r="Q2599" s="5"/>
    </row>
    <row r="2600">
      <c r="J2600" s="5"/>
      <c r="P2600" s="9"/>
      <c r="Q2600" s="5"/>
    </row>
    <row r="2601">
      <c r="J2601" s="5"/>
      <c r="P2601" s="9"/>
      <c r="Q2601" s="5"/>
    </row>
    <row r="2602">
      <c r="J2602" s="5"/>
      <c r="P2602" s="9"/>
      <c r="Q2602" s="5"/>
    </row>
    <row r="2603">
      <c r="J2603" s="5"/>
      <c r="P2603" s="9"/>
      <c r="Q2603" s="5"/>
    </row>
    <row r="2604">
      <c r="J2604" s="5"/>
      <c r="P2604" s="9"/>
      <c r="Q2604" s="5"/>
    </row>
    <row r="2605">
      <c r="J2605" s="5"/>
      <c r="P2605" s="9"/>
      <c r="Q2605" s="5"/>
    </row>
    <row r="2606">
      <c r="J2606" s="5"/>
      <c r="P2606" s="9"/>
      <c r="Q2606" s="5"/>
    </row>
    <row r="2607">
      <c r="J2607" s="5"/>
      <c r="P2607" s="9"/>
      <c r="Q2607" s="5"/>
    </row>
    <row r="2608">
      <c r="J2608" s="5"/>
      <c r="P2608" s="9"/>
      <c r="Q2608" s="5"/>
    </row>
    <row r="2609">
      <c r="J2609" s="5"/>
      <c r="P2609" s="9"/>
      <c r="Q2609" s="5"/>
    </row>
    <row r="2610">
      <c r="J2610" s="5"/>
      <c r="P2610" s="9"/>
      <c r="Q2610" s="5"/>
    </row>
    <row r="2611">
      <c r="J2611" s="5"/>
      <c r="P2611" s="9"/>
      <c r="Q2611" s="5"/>
    </row>
    <row r="2612">
      <c r="J2612" s="5"/>
      <c r="P2612" s="9"/>
      <c r="Q2612" s="5"/>
    </row>
    <row r="2613">
      <c r="J2613" s="5"/>
      <c r="P2613" s="9"/>
      <c r="Q2613" s="5"/>
    </row>
    <row r="2614">
      <c r="J2614" s="5"/>
      <c r="P2614" s="9"/>
      <c r="Q2614" s="5"/>
    </row>
    <row r="2615">
      <c r="J2615" s="5"/>
      <c r="P2615" s="9"/>
      <c r="Q2615" s="5"/>
    </row>
    <row r="2616">
      <c r="J2616" s="5"/>
      <c r="P2616" s="9"/>
      <c r="Q2616" s="5"/>
    </row>
    <row r="2617">
      <c r="J2617" s="5"/>
      <c r="P2617" s="9"/>
      <c r="Q2617" s="5"/>
    </row>
    <row r="2618">
      <c r="J2618" s="5"/>
      <c r="P2618" s="9"/>
      <c r="Q2618" s="5"/>
    </row>
    <row r="2619">
      <c r="J2619" s="5"/>
      <c r="P2619" s="9"/>
      <c r="Q2619" s="5"/>
    </row>
    <row r="2620">
      <c r="J2620" s="5"/>
      <c r="P2620" s="9"/>
      <c r="Q2620" s="5"/>
    </row>
    <row r="2621">
      <c r="J2621" s="5"/>
      <c r="P2621" s="9"/>
      <c r="Q2621" s="5"/>
    </row>
    <row r="2622">
      <c r="J2622" s="5"/>
      <c r="P2622" s="9"/>
      <c r="Q2622" s="5"/>
    </row>
    <row r="2623">
      <c r="J2623" s="5"/>
      <c r="P2623" s="9"/>
      <c r="Q2623" s="5"/>
    </row>
    <row r="2624">
      <c r="J2624" s="5"/>
      <c r="P2624" s="9"/>
      <c r="Q2624" s="5"/>
    </row>
    <row r="2625">
      <c r="J2625" s="5"/>
      <c r="P2625" s="9"/>
      <c r="Q2625" s="5"/>
    </row>
    <row r="2626">
      <c r="J2626" s="5"/>
      <c r="P2626" s="9"/>
      <c r="Q2626" s="5"/>
    </row>
    <row r="2627">
      <c r="J2627" s="5"/>
      <c r="P2627" s="9"/>
      <c r="Q2627" s="5"/>
    </row>
    <row r="2628">
      <c r="J2628" s="5"/>
      <c r="P2628" s="9"/>
      <c r="Q2628" s="5"/>
    </row>
    <row r="2629">
      <c r="J2629" s="5"/>
      <c r="P2629" s="9"/>
      <c r="Q2629" s="5"/>
    </row>
    <row r="2630">
      <c r="J2630" s="5"/>
      <c r="P2630" s="9"/>
      <c r="Q2630" s="5"/>
    </row>
    <row r="2631">
      <c r="J2631" s="5"/>
      <c r="P2631" s="9"/>
      <c r="Q2631" s="5"/>
    </row>
    <row r="2632">
      <c r="J2632" s="5"/>
      <c r="P2632" s="9"/>
      <c r="Q2632" s="5"/>
    </row>
    <row r="2633">
      <c r="J2633" s="5"/>
      <c r="P2633" s="9"/>
      <c r="Q2633" s="5"/>
    </row>
    <row r="2634">
      <c r="J2634" s="5"/>
      <c r="P2634" s="9"/>
      <c r="Q2634" s="5"/>
    </row>
    <row r="2635">
      <c r="J2635" s="5"/>
      <c r="P2635" s="9"/>
      <c r="Q2635" s="5"/>
    </row>
    <row r="2636">
      <c r="J2636" s="5"/>
      <c r="P2636" s="9"/>
      <c r="Q2636" s="5"/>
    </row>
    <row r="2637">
      <c r="J2637" s="5"/>
      <c r="P2637" s="9"/>
      <c r="Q2637" s="5"/>
    </row>
    <row r="2638">
      <c r="J2638" s="5"/>
      <c r="P2638" s="9"/>
      <c r="Q2638" s="5"/>
    </row>
    <row r="2639">
      <c r="J2639" s="5"/>
      <c r="P2639" s="9"/>
      <c r="Q2639" s="5"/>
    </row>
    <row r="2640">
      <c r="J2640" s="5"/>
      <c r="P2640" s="9"/>
      <c r="Q2640" s="5"/>
    </row>
    <row r="2641">
      <c r="J2641" s="5"/>
      <c r="P2641" s="9"/>
      <c r="Q2641" s="5"/>
    </row>
    <row r="2642">
      <c r="J2642" s="5"/>
      <c r="P2642" s="9"/>
      <c r="Q2642" s="5"/>
    </row>
    <row r="2643">
      <c r="J2643" s="5"/>
      <c r="P2643" s="9"/>
      <c r="Q2643" s="5"/>
    </row>
    <row r="2644">
      <c r="J2644" s="5"/>
      <c r="P2644" s="9"/>
      <c r="Q2644" s="5"/>
    </row>
    <row r="2645">
      <c r="J2645" s="5"/>
      <c r="P2645" s="9"/>
      <c r="Q2645" s="5"/>
    </row>
    <row r="2646">
      <c r="J2646" s="5"/>
      <c r="P2646" s="9"/>
      <c r="Q2646" s="5"/>
    </row>
    <row r="2647">
      <c r="J2647" s="5"/>
      <c r="P2647" s="9"/>
      <c r="Q2647" s="5"/>
    </row>
    <row r="2648">
      <c r="J2648" s="5"/>
      <c r="P2648" s="9"/>
      <c r="Q2648" s="5"/>
    </row>
    <row r="2649">
      <c r="J2649" s="5"/>
      <c r="P2649" s="9"/>
      <c r="Q2649" s="5"/>
    </row>
    <row r="2650">
      <c r="J2650" s="5"/>
      <c r="P2650" s="9"/>
      <c r="Q2650" s="5"/>
    </row>
    <row r="2651">
      <c r="J2651" s="5"/>
      <c r="P2651" s="9"/>
      <c r="Q2651" s="5"/>
    </row>
    <row r="2652">
      <c r="J2652" s="5"/>
      <c r="P2652" s="9"/>
      <c r="Q2652" s="5"/>
    </row>
    <row r="2653">
      <c r="J2653" s="5"/>
      <c r="P2653" s="9"/>
      <c r="Q2653" s="5"/>
    </row>
    <row r="2654">
      <c r="J2654" s="5"/>
      <c r="P2654" s="9"/>
      <c r="Q2654" s="5"/>
    </row>
    <row r="2655">
      <c r="J2655" s="5"/>
      <c r="P2655" s="9"/>
      <c r="Q2655" s="5"/>
    </row>
    <row r="2656">
      <c r="J2656" s="5"/>
      <c r="P2656" s="9"/>
      <c r="Q2656" s="5"/>
    </row>
    <row r="2657">
      <c r="J2657" s="5"/>
      <c r="P2657" s="9"/>
      <c r="Q2657" s="5"/>
    </row>
    <row r="2658">
      <c r="J2658" s="5"/>
      <c r="P2658" s="9"/>
      <c r="Q2658" s="5"/>
    </row>
    <row r="2659">
      <c r="J2659" s="5"/>
      <c r="P2659" s="9"/>
      <c r="Q2659" s="5"/>
    </row>
    <row r="2660">
      <c r="J2660" s="5"/>
      <c r="P2660" s="9"/>
      <c r="Q2660" s="5"/>
    </row>
    <row r="2661">
      <c r="J2661" s="5"/>
      <c r="P2661" s="9"/>
      <c r="Q2661" s="5"/>
    </row>
    <row r="2662">
      <c r="J2662" s="5"/>
      <c r="P2662" s="9"/>
      <c r="Q2662" s="5"/>
    </row>
    <row r="2663">
      <c r="J2663" s="5"/>
      <c r="P2663" s="9"/>
      <c r="Q2663" s="5"/>
    </row>
    <row r="2664">
      <c r="J2664" s="5"/>
      <c r="P2664" s="9"/>
      <c r="Q2664" s="5"/>
    </row>
    <row r="2665">
      <c r="J2665" s="5"/>
      <c r="P2665" s="9"/>
      <c r="Q2665" s="5"/>
    </row>
    <row r="2666">
      <c r="J2666" s="5"/>
      <c r="P2666" s="9"/>
      <c r="Q2666" s="5"/>
    </row>
    <row r="2667">
      <c r="J2667" s="5"/>
      <c r="P2667" s="9"/>
      <c r="Q2667" s="5"/>
    </row>
    <row r="2668">
      <c r="J2668" s="5"/>
      <c r="P2668" s="9"/>
      <c r="Q2668" s="5"/>
    </row>
    <row r="2669">
      <c r="J2669" s="5"/>
      <c r="P2669" s="9"/>
      <c r="Q2669" s="5"/>
    </row>
    <row r="2670">
      <c r="J2670" s="5"/>
      <c r="P2670" s="9"/>
      <c r="Q2670" s="5"/>
    </row>
    <row r="2671">
      <c r="J2671" s="5"/>
      <c r="P2671" s="9"/>
      <c r="Q2671" s="5"/>
    </row>
    <row r="2672">
      <c r="J2672" s="5"/>
      <c r="P2672" s="9"/>
      <c r="Q2672" s="5"/>
    </row>
    <row r="2673">
      <c r="J2673" s="5"/>
      <c r="P2673" s="9"/>
      <c r="Q2673" s="5"/>
    </row>
    <row r="2674">
      <c r="J2674" s="5"/>
      <c r="P2674" s="9"/>
      <c r="Q2674" s="5"/>
    </row>
    <row r="2675">
      <c r="J2675" s="5"/>
      <c r="P2675" s="9"/>
      <c r="Q2675" s="5"/>
    </row>
    <row r="2676">
      <c r="J2676" s="5"/>
      <c r="P2676" s="9"/>
      <c r="Q2676" s="5"/>
    </row>
    <row r="2677">
      <c r="J2677" s="5"/>
      <c r="P2677" s="9"/>
      <c r="Q2677" s="5"/>
    </row>
    <row r="2678">
      <c r="J2678" s="5"/>
      <c r="P2678" s="9"/>
      <c r="Q2678" s="5"/>
    </row>
    <row r="2679">
      <c r="J2679" s="5"/>
      <c r="P2679" s="9"/>
      <c r="Q2679" s="5"/>
    </row>
    <row r="2680">
      <c r="J2680" s="5"/>
      <c r="P2680" s="9"/>
      <c r="Q2680" s="5"/>
    </row>
    <row r="2681">
      <c r="J2681" s="5"/>
      <c r="P2681" s="9"/>
      <c r="Q2681" s="5"/>
    </row>
    <row r="2682">
      <c r="J2682" s="5"/>
      <c r="P2682" s="9"/>
      <c r="Q2682" s="5"/>
    </row>
    <row r="2683">
      <c r="J2683" s="5"/>
      <c r="P2683" s="9"/>
      <c r="Q2683" s="5"/>
    </row>
    <row r="2684">
      <c r="J2684" s="5"/>
      <c r="P2684" s="9"/>
      <c r="Q2684" s="5"/>
    </row>
    <row r="2685">
      <c r="J2685" s="5"/>
      <c r="P2685" s="9"/>
      <c r="Q2685" s="5"/>
    </row>
    <row r="2686">
      <c r="J2686" s="5"/>
      <c r="P2686" s="9"/>
      <c r="Q2686" s="5"/>
    </row>
    <row r="2687">
      <c r="J2687" s="5"/>
      <c r="P2687" s="9"/>
      <c r="Q2687" s="5"/>
    </row>
    <row r="2688">
      <c r="J2688" s="5"/>
      <c r="P2688" s="9"/>
      <c r="Q2688" s="5"/>
    </row>
    <row r="2689">
      <c r="J2689" s="5"/>
      <c r="P2689" s="9"/>
      <c r="Q2689" s="5"/>
    </row>
    <row r="2690">
      <c r="J2690" s="5"/>
      <c r="P2690" s="9"/>
      <c r="Q2690" s="5"/>
    </row>
    <row r="2691">
      <c r="J2691" s="5"/>
      <c r="P2691" s="9"/>
      <c r="Q2691" s="5"/>
    </row>
    <row r="2692">
      <c r="J2692" s="5"/>
      <c r="P2692" s="9"/>
      <c r="Q2692" s="5"/>
    </row>
    <row r="2693">
      <c r="J2693" s="5"/>
      <c r="P2693" s="9"/>
      <c r="Q2693" s="5"/>
    </row>
    <row r="2694">
      <c r="J2694" s="5"/>
      <c r="P2694" s="9"/>
      <c r="Q2694" s="5"/>
    </row>
    <row r="2695">
      <c r="J2695" s="5"/>
      <c r="P2695" s="9"/>
      <c r="Q2695" s="5"/>
    </row>
    <row r="2696">
      <c r="J2696" s="5"/>
      <c r="P2696" s="9"/>
      <c r="Q2696" s="5"/>
    </row>
    <row r="2697">
      <c r="J2697" s="5"/>
      <c r="P2697" s="9"/>
      <c r="Q2697" s="5"/>
    </row>
    <row r="2698">
      <c r="J2698" s="5"/>
      <c r="P2698" s="9"/>
      <c r="Q2698" s="5"/>
    </row>
    <row r="2699">
      <c r="J2699" s="5"/>
      <c r="P2699" s="9"/>
      <c r="Q2699" s="5"/>
    </row>
    <row r="2700">
      <c r="J2700" s="5"/>
      <c r="P2700" s="9"/>
      <c r="Q2700" s="5"/>
    </row>
    <row r="2701">
      <c r="J2701" s="5"/>
      <c r="P2701" s="9"/>
      <c r="Q2701" s="5"/>
    </row>
    <row r="2702">
      <c r="J2702" s="5"/>
      <c r="P2702" s="9"/>
      <c r="Q2702" s="5"/>
    </row>
    <row r="2703">
      <c r="J2703" s="5"/>
      <c r="P2703" s="9"/>
      <c r="Q2703" s="5"/>
    </row>
    <row r="2704">
      <c r="J2704" s="5"/>
      <c r="P2704" s="9"/>
      <c r="Q2704" s="5"/>
    </row>
    <row r="2705">
      <c r="J2705" s="5"/>
      <c r="P2705" s="9"/>
      <c r="Q2705" s="5"/>
    </row>
    <row r="2706">
      <c r="J2706" s="5"/>
      <c r="P2706" s="9"/>
      <c r="Q2706" s="5"/>
    </row>
    <row r="2707">
      <c r="J2707" s="5"/>
      <c r="P2707" s="9"/>
      <c r="Q2707" s="5"/>
    </row>
    <row r="2708">
      <c r="J2708" s="5"/>
      <c r="P2708" s="9"/>
      <c r="Q2708" s="5"/>
    </row>
    <row r="2709">
      <c r="J2709" s="5"/>
      <c r="P2709" s="9"/>
      <c r="Q2709" s="5"/>
    </row>
    <row r="2710">
      <c r="J2710" s="5"/>
      <c r="P2710" s="9"/>
      <c r="Q2710" s="5"/>
    </row>
    <row r="2711">
      <c r="J2711" s="5"/>
      <c r="P2711" s="9"/>
      <c r="Q2711" s="5"/>
    </row>
    <row r="2712">
      <c r="J2712" s="5"/>
      <c r="P2712" s="9"/>
      <c r="Q2712" s="5"/>
    </row>
    <row r="2713">
      <c r="J2713" s="5"/>
      <c r="P2713" s="9"/>
      <c r="Q2713" s="5"/>
    </row>
    <row r="2714">
      <c r="J2714" s="5"/>
      <c r="P2714" s="9"/>
      <c r="Q2714" s="5"/>
    </row>
    <row r="2715">
      <c r="J2715" s="5"/>
      <c r="P2715" s="9"/>
      <c r="Q2715" s="5"/>
    </row>
    <row r="2716">
      <c r="J2716" s="5"/>
      <c r="P2716" s="9"/>
      <c r="Q2716" s="5"/>
    </row>
    <row r="2717">
      <c r="J2717" s="5"/>
      <c r="P2717" s="9"/>
      <c r="Q2717" s="5"/>
    </row>
    <row r="2718">
      <c r="J2718" s="5"/>
      <c r="P2718" s="9"/>
      <c r="Q2718" s="5"/>
    </row>
    <row r="2719">
      <c r="J2719" s="5"/>
      <c r="P2719" s="9"/>
      <c r="Q2719" s="5"/>
    </row>
    <row r="2720">
      <c r="J2720" s="5"/>
      <c r="P2720" s="9"/>
      <c r="Q2720" s="5"/>
    </row>
    <row r="2721">
      <c r="J2721" s="5"/>
      <c r="P2721" s="9"/>
      <c r="Q2721" s="5"/>
    </row>
    <row r="2722">
      <c r="J2722" s="5"/>
      <c r="P2722" s="9"/>
      <c r="Q2722" s="5"/>
    </row>
    <row r="2723">
      <c r="J2723" s="5"/>
      <c r="P2723" s="9"/>
      <c r="Q2723" s="5"/>
    </row>
    <row r="2724">
      <c r="J2724" s="5"/>
      <c r="P2724" s="9"/>
      <c r="Q2724" s="5"/>
    </row>
    <row r="2725">
      <c r="J2725" s="5"/>
      <c r="P2725" s="9"/>
      <c r="Q2725" s="5"/>
    </row>
    <row r="2726">
      <c r="J2726" s="5"/>
      <c r="P2726" s="9"/>
      <c r="Q2726" s="5"/>
    </row>
    <row r="2727">
      <c r="J2727" s="5"/>
      <c r="P2727" s="9"/>
      <c r="Q2727" s="5"/>
    </row>
    <row r="2728">
      <c r="J2728" s="5"/>
      <c r="P2728" s="9"/>
      <c r="Q2728" s="5"/>
    </row>
    <row r="2729">
      <c r="J2729" s="5"/>
      <c r="P2729" s="9"/>
      <c r="Q2729" s="5"/>
    </row>
    <row r="2730">
      <c r="J2730" s="5"/>
      <c r="P2730" s="9"/>
      <c r="Q2730" s="5"/>
    </row>
    <row r="2731">
      <c r="J2731" s="5"/>
      <c r="P2731" s="9"/>
      <c r="Q2731" s="5"/>
    </row>
    <row r="2732">
      <c r="J2732" s="5"/>
      <c r="P2732" s="9"/>
      <c r="Q2732" s="5"/>
    </row>
    <row r="2733">
      <c r="J2733" s="5"/>
      <c r="P2733" s="9"/>
      <c r="Q2733" s="5"/>
    </row>
    <row r="2734">
      <c r="J2734" s="5"/>
      <c r="P2734" s="9"/>
      <c r="Q2734" s="5"/>
    </row>
    <row r="2735">
      <c r="J2735" s="5"/>
      <c r="P2735" s="9"/>
      <c r="Q2735" s="5"/>
    </row>
    <row r="2736">
      <c r="J2736" s="5"/>
      <c r="P2736" s="9"/>
      <c r="Q2736" s="5"/>
    </row>
    <row r="2737">
      <c r="J2737" s="5"/>
      <c r="P2737" s="9"/>
      <c r="Q2737" s="5"/>
    </row>
    <row r="2738">
      <c r="J2738" s="5"/>
      <c r="P2738" s="9"/>
      <c r="Q2738" s="5"/>
    </row>
    <row r="2739">
      <c r="J2739" s="5"/>
      <c r="P2739" s="9"/>
      <c r="Q2739" s="5"/>
    </row>
    <row r="2740">
      <c r="J2740" s="5"/>
      <c r="P2740" s="9"/>
      <c r="Q2740" s="5"/>
    </row>
    <row r="2741">
      <c r="J2741" s="5"/>
      <c r="P2741" s="9"/>
      <c r="Q2741" s="5"/>
    </row>
    <row r="2742">
      <c r="J2742" s="5"/>
      <c r="P2742" s="9"/>
      <c r="Q2742" s="5"/>
    </row>
    <row r="2743">
      <c r="J2743" s="5"/>
      <c r="P2743" s="9"/>
      <c r="Q2743" s="5"/>
    </row>
    <row r="2744">
      <c r="J2744" s="5"/>
      <c r="P2744" s="9"/>
      <c r="Q2744" s="5"/>
    </row>
    <row r="2745">
      <c r="J2745" s="5"/>
      <c r="P2745" s="9"/>
      <c r="Q2745" s="5"/>
    </row>
    <row r="2746">
      <c r="J2746" s="5"/>
      <c r="P2746" s="9"/>
      <c r="Q2746" s="5"/>
    </row>
    <row r="2747">
      <c r="J2747" s="5"/>
      <c r="P2747" s="9"/>
      <c r="Q2747" s="5"/>
    </row>
    <row r="2748">
      <c r="J2748" s="5"/>
      <c r="P2748" s="9"/>
      <c r="Q2748" s="5"/>
    </row>
    <row r="2749">
      <c r="J2749" s="5"/>
      <c r="P2749" s="9"/>
      <c r="Q2749" s="5"/>
    </row>
    <row r="2750">
      <c r="J2750" s="5"/>
      <c r="P2750" s="9"/>
      <c r="Q2750" s="5"/>
    </row>
    <row r="2751">
      <c r="J2751" s="5"/>
      <c r="P2751" s="9"/>
      <c r="Q2751" s="5"/>
    </row>
    <row r="2752">
      <c r="J2752" s="5"/>
      <c r="P2752" s="9"/>
      <c r="Q2752" s="5"/>
    </row>
    <row r="2753">
      <c r="J2753" s="5"/>
      <c r="P2753" s="9"/>
      <c r="Q2753" s="5"/>
    </row>
    <row r="2754">
      <c r="J2754" s="5"/>
      <c r="P2754" s="9"/>
      <c r="Q2754" s="5"/>
    </row>
    <row r="2755">
      <c r="J2755" s="5"/>
      <c r="P2755" s="9"/>
      <c r="Q2755" s="5"/>
    </row>
    <row r="2756">
      <c r="J2756" s="5"/>
      <c r="P2756" s="9"/>
      <c r="Q2756" s="5"/>
    </row>
    <row r="2757">
      <c r="J2757" s="5"/>
      <c r="P2757" s="9"/>
      <c r="Q2757" s="5"/>
    </row>
    <row r="2758">
      <c r="J2758" s="5"/>
      <c r="P2758" s="9"/>
      <c r="Q2758" s="5"/>
    </row>
    <row r="2759">
      <c r="J2759" s="5"/>
      <c r="P2759" s="9"/>
      <c r="Q2759" s="5"/>
    </row>
    <row r="2760">
      <c r="J2760" s="5"/>
      <c r="P2760" s="9"/>
      <c r="Q2760" s="5"/>
    </row>
    <row r="2761">
      <c r="J2761" s="5"/>
      <c r="P2761" s="9"/>
      <c r="Q2761" s="5"/>
    </row>
    <row r="2762">
      <c r="J2762" s="5"/>
      <c r="P2762" s="9"/>
      <c r="Q2762" s="5"/>
    </row>
    <row r="2763">
      <c r="J2763" s="5"/>
      <c r="P2763" s="9"/>
      <c r="Q2763" s="5"/>
    </row>
    <row r="2764">
      <c r="J2764" s="5"/>
      <c r="P2764" s="9"/>
      <c r="Q2764" s="5"/>
    </row>
    <row r="2765">
      <c r="J2765" s="5"/>
      <c r="P2765" s="9"/>
      <c r="Q2765" s="5"/>
    </row>
    <row r="2766">
      <c r="J2766" s="5"/>
      <c r="P2766" s="9"/>
      <c r="Q2766" s="5"/>
    </row>
    <row r="2767">
      <c r="J2767" s="5"/>
      <c r="P2767" s="9"/>
      <c r="Q2767" s="5"/>
    </row>
    <row r="2768">
      <c r="J2768" s="5"/>
      <c r="P2768" s="9"/>
      <c r="Q2768" s="5"/>
    </row>
    <row r="2769">
      <c r="J2769" s="5"/>
      <c r="P2769" s="9"/>
      <c r="Q2769" s="5"/>
    </row>
    <row r="2770">
      <c r="J2770" s="5"/>
      <c r="P2770" s="9"/>
      <c r="Q2770" s="5"/>
    </row>
    <row r="2771">
      <c r="J2771" s="5"/>
      <c r="P2771" s="9"/>
      <c r="Q2771" s="5"/>
    </row>
    <row r="2772">
      <c r="J2772" s="5"/>
      <c r="P2772" s="9"/>
      <c r="Q2772" s="5"/>
    </row>
    <row r="2773">
      <c r="J2773" s="5"/>
      <c r="P2773" s="9"/>
      <c r="Q2773" s="5"/>
    </row>
    <row r="2774">
      <c r="J2774" s="5"/>
      <c r="P2774" s="9"/>
      <c r="Q2774" s="5"/>
    </row>
    <row r="2775">
      <c r="J2775" s="5"/>
      <c r="P2775" s="9"/>
      <c r="Q2775" s="5"/>
    </row>
    <row r="2776">
      <c r="J2776" s="5"/>
      <c r="P2776" s="9"/>
      <c r="Q2776" s="5"/>
    </row>
    <row r="2777">
      <c r="J2777" s="5"/>
      <c r="P2777" s="9"/>
      <c r="Q2777" s="5"/>
    </row>
    <row r="2778">
      <c r="J2778" s="5"/>
      <c r="P2778" s="9"/>
      <c r="Q2778" s="5"/>
    </row>
    <row r="2779">
      <c r="J2779" s="5"/>
      <c r="P2779" s="9"/>
      <c r="Q2779" s="5"/>
    </row>
    <row r="2780">
      <c r="J2780" s="5"/>
      <c r="P2780" s="9"/>
      <c r="Q2780" s="5"/>
    </row>
    <row r="2781">
      <c r="J2781" s="5"/>
      <c r="P2781" s="9"/>
      <c r="Q2781" s="5"/>
    </row>
    <row r="2782">
      <c r="J2782" s="5"/>
      <c r="P2782" s="9"/>
      <c r="Q2782" s="5"/>
    </row>
    <row r="2783">
      <c r="J2783" s="5"/>
      <c r="P2783" s="9"/>
      <c r="Q2783" s="5"/>
    </row>
    <row r="2784">
      <c r="J2784" s="5"/>
      <c r="P2784" s="9"/>
      <c r="Q2784" s="5"/>
    </row>
    <row r="2785">
      <c r="J2785" s="5"/>
      <c r="P2785" s="9"/>
      <c r="Q2785" s="5"/>
    </row>
    <row r="2786">
      <c r="J2786" s="5"/>
      <c r="P2786" s="9"/>
      <c r="Q2786" s="5"/>
    </row>
    <row r="2787">
      <c r="J2787" s="5"/>
      <c r="P2787" s="9"/>
      <c r="Q2787" s="5"/>
    </row>
    <row r="2788">
      <c r="J2788" s="5"/>
      <c r="P2788" s="9"/>
      <c r="Q2788" s="5"/>
    </row>
    <row r="2789">
      <c r="J2789" s="5"/>
      <c r="P2789" s="9"/>
      <c r="Q2789" s="5"/>
    </row>
    <row r="2790">
      <c r="J2790" s="5"/>
      <c r="P2790" s="9"/>
      <c r="Q2790" s="5"/>
    </row>
    <row r="2791">
      <c r="J2791" s="5"/>
      <c r="P2791" s="9"/>
      <c r="Q2791" s="5"/>
    </row>
    <row r="2792">
      <c r="J2792" s="5"/>
      <c r="P2792" s="9"/>
      <c r="Q2792" s="5"/>
    </row>
    <row r="2793">
      <c r="J2793" s="5"/>
      <c r="P2793" s="9"/>
      <c r="Q2793" s="5"/>
    </row>
    <row r="2794">
      <c r="J2794" s="5"/>
      <c r="P2794" s="9"/>
      <c r="Q2794" s="5"/>
    </row>
    <row r="2795">
      <c r="J2795" s="5"/>
      <c r="P2795" s="9"/>
      <c r="Q2795" s="5"/>
    </row>
    <row r="2796">
      <c r="J2796" s="5"/>
      <c r="P2796" s="9"/>
      <c r="Q2796" s="5"/>
    </row>
    <row r="2797">
      <c r="J2797" s="5"/>
      <c r="P2797" s="9"/>
      <c r="Q2797" s="5"/>
    </row>
    <row r="2798">
      <c r="J2798" s="5"/>
      <c r="P2798" s="9"/>
      <c r="Q2798" s="5"/>
    </row>
    <row r="2799">
      <c r="J2799" s="5"/>
      <c r="P2799" s="9"/>
      <c r="Q2799" s="5"/>
    </row>
    <row r="2800">
      <c r="J2800" s="5"/>
      <c r="P2800" s="9"/>
      <c r="Q2800" s="5"/>
    </row>
    <row r="2801">
      <c r="J2801" s="5"/>
      <c r="P2801" s="9"/>
      <c r="Q2801" s="5"/>
    </row>
    <row r="2802">
      <c r="J2802" s="5"/>
      <c r="P2802" s="9"/>
      <c r="Q2802" s="5"/>
    </row>
    <row r="2803">
      <c r="J2803" s="5"/>
      <c r="P2803" s="9"/>
      <c r="Q2803" s="5"/>
    </row>
    <row r="2804">
      <c r="J2804" s="5"/>
      <c r="P2804" s="9"/>
      <c r="Q2804" s="5"/>
    </row>
    <row r="2805">
      <c r="J2805" s="5"/>
      <c r="P2805" s="9"/>
      <c r="Q2805" s="5"/>
    </row>
    <row r="2806">
      <c r="J2806" s="5"/>
      <c r="P2806" s="9"/>
      <c r="Q2806" s="5"/>
    </row>
    <row r="2807">
      <c r="J2807" s="5"/>
      <c r="P2807" s="9"/>
      <c r="Q2807" s="5"/>
    </row>
    <row r="2808">
      <c r="J2808" s="5"/>
      <c r="P2808" s="9"/>
      <c r="Q2808" s="5"/>
    </row>
    <row r="2809">
      <c r="J2809" s="5"/>
      <c r="P2809" s="9"/>
      <c r="Q2809" s="5"/>
    </row>
    <row r="2810">
      <c r="J2810" s="5"/>
      <c r="P2810" s="9"/>
      <c r="Q2810" s="5"/>
    </row>
    <row r="2811">
      <c r="J2811" s="5"/>
      <c r="P2811" s="9"/>
      <c r="Q2811" s="5"/>
    </row>
    <row r="2812">
      <c r="J2812" s="5"/>
      <c r="P2812" s="9"/>
      <c r="Q2812" s="5"/>
    </row>
    <row r="2813">
      <c r="J2813" s="5"/>
      <c r="P2813" s="9"/>
      <c r="Q2813" s="5"/>
    </row>
    <row r="2814">
      <c r="J2814" s="5"/>
      <c r="P2814" s="9"/>
      <c r="Q2814" s="5"/>
    </row>
    <row r="2815">
      <c r="J2815" s="5"/>
      <c r="P2815" s="9"/>
      <c r="Q2815" s="5"/>
    </row>
    <row r="2816">
      <c r="J2816" s="5"/>
      <c r="P2816" s="9"/>
      <c r="Q2816" s="5"/>
    </row>
    <row r="2817">
      <c r="J2817" s="5"/>
      <c r="P2817" s="9"/>
      <c r="Q2817" s="5"/>
    </row>
    <row r="2818">
      <c r="J2818" s="5"/>
      <c r="P2818" s="9"/>
      <c r="Q2818" s="5"/>
    </row>
    <row r="2819">
      <c r="J2819" s="5"/>
      <c r="P2819" s="9"/>
      <c r="Q2819" s="5"/>
    </row>
    <row r="2820">
      <c r="J2820" s="5"/>
      <c r="P2820" s="9"/>
      <c r="Q2820" s="5"/>
    </row>
    <row r="2821">
      <c r="J2821" s="5"/>
      <c r="P2821" s="9"/>
      <c r="Q2821" s="5"/>
    </row>
    <row r="2822">
      <c r="J2822" s="5"/>
      <c r="P2822" s="9"/>
      <c r="Q2822" s="5"/>
    </row>
    <row r="2823">
      <c r="J2823" s="5"/>
      <c r="P2823" s="9"/>
      <c r="Q2823" s="5"/>
    </row>
    <row r="2824">
      <c r="J2824" s="5"/>
      <c r="P2824" s="9"/>
      <c r="Q2824" s="5"/>
    </row>
    <row r="2825">
      <c r="J2825" s="5"/>
      <c r="P2825" s="9"/>
      <c r="Q2825" s="5"/>
    </row>
    <row r="2826">
      <c r="J2826" s="5"/>
      <c r="P2826" s="9"/>
      <c r="Q2826" s="5"/>
    </row>
    <row r="2827">
      <c r="J2827" s="5"/>
      <c r="P2827" s="9"/>
      <c r="Q2827" s="5"/>
    </row>
    <row r="2828">
      <c r="J2828" s="5"/>
      <c r="P2828" s="9"/>
      <c r="Q2828" s="5"/>
    </row>
    <row r="2829">
      <c r="J2829" s="5"/>
      <c r="P2829" s="9"/>
      <c r="Q2829" s="5"/>
    </row>
    <row r="2830">
      <c r="J2830" s="5"/>
      <c r="P2830" s="9"/>
      <c r="Q2830" s="5"/>
    </row>
    <row r="2831">
      <c r="J2831" s="5"/>
      <c r="P2831" s="9"/>
      <c r="Q2831" s="5"/>
    </row>
    <row r="2832">
      <c r="J2832" s="5"/>
      <c r="P2832" s="9"/>
      <c r="Q2832" s="5"/>
    </row>
    <row r="2833">
      <c r="J2833" s="5"/>
      <c r="P2833" s="9"/>
      <c r="Q2833" s="5"/>
    </row>
    <row r="2834">
      <c r="J2834" s="5"/>
      <c r="P2834" s="9"/>
      <c r="Q2834" s="5"/>
    </row>
    <row r="2835">
      <c r="J2835" s="5"/>
      <c r="P2835" s="9"/>
      <c r="Q2835" s="5"/>
    </row>
    <row r="2836">
      <c r="J2836" s="5"/>
      <c r="P2836" s="9"/>
      <c r="Q2836" s="5"/>
    </row>
    <row r="2837">
      <c r="J2837" s="5"/>
      <c r="P2837" s="9"/>
      <c r="Q2837" s="5"/>
    </row>
    <row r="2838">
      <c r="J2838" s="5"/>
      <c r="P2838" s="9"/>
      <c r="Q2838" s="5"/>
    </row>
    <row r="2839">
      <c r="J2839" s="5"/>
      <c r="P2839" s="9"/>
      <c r="Q2839" s="5"/>
    </row>
    <row r="2840">
      <c r="J2840" s="5"/>
      <c r="P2840" s="9"/>
      <c r="Q2840" s="5"/>
    </row>
    <row r="2841">
      <c r="J2841" s="5"/>
      <c r="P2841" s="9"/>
      <c r="Q2841" s="5"/>
    </row>
    <row r="2842">
      <c r="J2842" s="5"/>
      <c r="P2842" s="9"/>
      <c r="Q2842" s="5"/>
    </row>
    <row r="2843">
      <c r="J2843" s="5"/>
      <c r="P2843" s="9"/>
      <c r="Q2843" s="5"/>
    </row>
    <row r="2844">
      <c r="J2844" s="5"/>
      <c r="P2844" s="9"/>
      <c r="Q2844" s="5"/>
    </row>
    <row r="2845">
      <c r="J2845" s="5"/>
      <c r="P2845" s="9"/>
      <c r="Q2845" s="5"/>
    </row>
    <row r="2846">
      <c r="J2846" s="5"/>
      <c r="P2846" s="9"/>
      <c r="Q2846" s="5"/>
    </row>
    <row r="2847">
      <c r="J2847" s="5"/>
      <c r="P2847" s="9"/>
      <c r="Q2847" s="5"/>
    </row>
    <row r="2848">
      <c r="J2848" s="5"/>
      <c r="P2848" s="9"/>
      <c r="Q2848" s="5"/>
    </row>
    <row r="2849">
      <c r="J2849" s="5"/>
      <c r="P2849" s="9"/>
      <c r="Q2849" s="5"/>
    </row>
    <row r="2850">
      <c r="J2850" s="5"/>
      <c r="P2850" s="9"/>
      <c r="Q2850" s="5"/>
    </row>
    <row r="2851">
      <c r="J2851" s="5"/>
      <c r="P2851" s="9"/>
      <c r="Q2851" s="5"/>
    </row>
    <row r="2852">
      <c r="J2852" s="5"/>
      <c r="P2852" s="9"/>
      <c r="Q2852" s="5"/>
    </row>
    <row r="2853">
      <c r="J2853" s="5"/>
      <c r="P2853" s="9"/>
      <c r="Q2853" s="5"/>
    </row>
    <row r="2854">
      <c r="J2854" s="5"/>
      <c r="P2854" s="9"/>
      <c r="Q2854" s="5"/>
    </row>
    <row r="2855">
      <c r="J2855" s="5"/>
      <c r="P2855" s="9"/>
      <c r="Q2855" s="5"/>
    </row>
    <row r="2856">
      <c r="J2856" s="5"/>
      <c r="P2856" s="9"/>
      <c r="Q2856" s="5"/>
    </row>
    <row r="2857">
      <c r="J2857" s="5"/>
      <c r="P2857" s="9"/>
      <c r="Q2857" s="5"/>
    </row>
    <row r="2858">
      <c r="J2858" s="5"/>
      <c r="P2858" s="9"/>
      <c r="Q2858" s="5"/>
    </row>
    <row r="2859">
      <c r="J2859" s="5"/>
      <c r="P2859" s="9"/>
      <c r="Q2859" s="5"/>
    </row>
    <row r="2860">
      <c r="J2860" s="5"/>
      <c r="P2860" s="9"/>
      <c r="Q2860" s="5"/>
    </row>
    <row r="2861">
      <c r="J2861" s="5"/>
      <c r="P2861" s="9"/>
      <c r="Q2861" s="5"/>
    </row>
    <row r="2862">
      <c r="J2862" s="5"/>
      <c r="P2862" s="9"/>
      <c r="Q2862" s="5"/>
    </row>
    <row r="2863">
      <c r="J2863" s="5"/>
      <c r="P2863" s="9"/>
      <c r="Q2863" s="5"/>
    </row>
    <row r="2864">
      <c r="J2864" s="5"/>
      <c r="P2864" s="9"/>
      <c r="Q2864" s="5"/>
    </row>
    <row r="2865">
      <c r="J2865" s="5"/>
      <c r="P2865" s="9"/>
      <c r="Q2865" s="5"/>
    </row>
    <row r="2866">
      <c r="J2866" s="5"/>
      <c r="P2866" s="9"/>
      <c r="Q2866" s="5"/>
    </row>
    <row r="2867">
      <c r="J2867" s="5"/>
      <c r="P2867" s="9"/>
      <c r="Q2867" s="5"/>
    </row>
    <row r="2868">
      <c r="J2868" s="5"/>
      <c r="P2868" s="9"/>
      <c r="Q2868" s="5"/>
    </row>
    <row r="2869">
      <c r="J2869" s="5"/>
      <c r="P2869" s="9"/>
      <c r="Q2869" s="5"/>
    </row>
    <row r="2870">
      <c r="J2870" s="5"/>
      <c r="P2870" s="9"/>
      <c r="Q2870" s="5"/>
    </row>
    <row r="2871">
      <c r="J2871" s="5"/>
      <c r="P2871" s="9"/>
      <c r="Q2871" s="5"/>
    </row>
    <row r="2872">
      <c r="J2872" s="5"/>
      <c r="P2872" s="9"/>
      <c r="Q2872" s="5"/>
    </row>
    <row r="2873">
      <c r="J2873" s="5"/>
      <c r="P2873" s="9"/>
      <c r="Q2873" s="5"/>
    </row>
    <row r="2874">
      <c r="J2874" s="5"/>
      <c r="P2874" s="9"/>
      <c r="Q2874" s="5"/>
    </row>
    <row r="2875">
      <c r="J2875" s="5"/>
      <c r="P2875" s="9"/>
      <c r="Q2875" s="5"/>
    </row>
    <row r="2876">
      <c r="J2876" s="5"/>
      <c r="P2876" s="9"/>
      <c r="Q2876" s="5"/>
    </row>
    <row r="2877">
      <c r="J2877" s="5"/>
      <c r="P2877" s="9"/>
      <c r="Q2877" s="5"/>
    </row>
    <row r="2878">
      <c r="J2878" s="5"/>
      <c r="P2878" s="9"/>
      <c r="Q2878" s="5"/>
    </row>
    <row r="2879">
      <c r="J2879" s="5"/>
      <c r="P2879" s="9"/>
      <c r="Q2879" s="5"/>
    </row>
    <row r="2880">
      <c r="J2880" s="5"/>
      <c r="P2880" s="9"/>
      <c r="Q2880" s="5"/>
    </row>
    <row r="2881">
      <c r="J2881" s="5"/>
      <c r="P2881" s="9"/>
      <c r="Q2881" s="5"/>
    </row>
    <row r="2882">
      <c r="J2882" s="5"/>
      <c r="P2882" s="9"/>
      <c r="Q2882" s="5"/>
    </row>
    <row r="2883">
      <c r="J2883" s="5"/>
      <c r="P2883" s="9"/>
      <c r="Q2883" s="5"/>
    </row>
    <row r="2884">
      <c r="J2884" s="5"/>
      <c r="P2884" s="9"/>
      <c r="Q2884" s="5"/>
    </row>
    <row r="2885">
      <c r="J2885" s="5"/>
      <c r="P2885" s="9"/>
      <c r="Q2885" s="5"/>
    </row>
    <row r="2886">
      <c r="J2886" s="5"/>
      <c r="P2886" s="9"/>
      <c r="Q2886" s="5"/>
    </row>
    <row r="2887">
      <c r="J2887" s="5"/>
      <c r="P2887" s="9"/>
      <c r="Q2887" s="5"/>
    </row>
    <row r="2888">
      <c r="J2888" s="5"/>
      <c r="P2888" s="9"/>
      <c r="Q2888" s="5"/>
    </row>
    <row r="2889">
      <c r="J2889" s="5"/>
      <c r="P2889" s="9"/>
      <c r="Q2889" s="5"/>
    </row>
    <row r="2890">
      <c r="J2890" s="5"/>
      <c r="P2890" s="9"/>
      <c r="Q2890" s="5"/>
    </row>
    <row r="2891">
      <c r="J2891" s="5"/>
      <c r="P2891" s="9"/>
      <c r="Q2891" s="5"/>
    </row>
    <row r="2892">
      <c r="J2892" s="5"/>
      <c r="P2892" s="9"/>
      <c r="Q2892" s="5"/>
    </row>
    <row r="2893">
      <c r="J2893" s="5"/>
      <c r="P2893" s="9"/>
      <c r="Q2893" s="5"/>
    </row>
    <row r="2894">
      <c r="J2894" s="5"/>
      <c r="P2894" s="9"/>
      <c r="Q2894" s="5"/>
    </row>
    <row r="2895">
      <c r="J2895" s="5"/>
      <c r="P2895" s="9"/>
      <c r="Q2895" s="5"/>
    </row>
    <row r="2896">
      <c r="J2896" s="5"/>
      <c r="P2896" s="9"/>
      <c r="Q2896" s="5"/>
    </row>
    <row r="2897">
      <c r="J2897" s="5"/>
      <c r="P2897" s="9"/>
      <c r="Q2897" s="5"/>
    </row>
    <row r="2898">
      <c r="J2898" s="5"/>
      <c r="P2898" s="9"/>
      <c r="Q2898" s="5"/>
    </row>
    <row r="2899">
      <c r="J2899" s="5"/>
      <c r="P2899" s="9"/>
      <c r="Q2899" s="5"/>
    </row>
    <row r="2900">
      <c r="J2900" s="5"/>
      <c r="P2900" s="9"/>
      <c r="Q2900" s="5"/>
    </row>
    <row r="2901">
      <c r="J2901" s="5"/>
      <c r="P2901" s="9"/>
      <c r="Q2901" s="5"/>
    </row>
    <row r="2902">
      <c r="J2902" s="5"/>
      <c r="P2902" s="9"/>
      <c r="Q2902" s="5"/>
    </row>
    <row r="2903">
      <c r="J2903" s="5"/>
      <c r="P2903" s="9"/>
      <c r="Q2903" s="5"/>
    </row>
    <row r="2904">
      <c r="J2904" s="5"/>
      <c r="P2904" s="9"/>
      <c r="Q2904" s="5"/>
    </row>
    <row r="2905">
      <c r="J2905" s="5"/>
      <c r="P2905" s="9"/>
      <c r="Q2905" s="5"/>
    </row>
    <row r="2906">
      <c r="J2906" s="5"/>
      <c r="P2906" s="9"/>
      <c r="Q2906" s="5"/>
    </row>
    <row r="2907">
      <c r="J2907" s="5"/>
      <c r="P2907" s="9"/>
      <c r="Q2907" s="5"/>
    </row>
    <row r="2908">
      <c r="J2908" s="5"/>
      <c r="P2908" s="9"/>
      <c r="Q2908" s="5"/>
    </row>
    <row r="2909">
      <c r="J2909" s="5"/>
      <c r="P2909" s="9"/>
      <c r="Q2909" s="5"/>
    </row>
    <row r="2910">
      <c r="J2910" s="5"/>
      <c r="P2910" s="9"/>
      <c r="Q2910" s="5"/>
    </row>
    <row r="2911">
      <c r="J2911" s="5"/>
      <c r="P2911" s="9"/>
      <c r="Q2911" s="5"/>
    </row>
    <row r="2912">
      <c r="J2912" s="5"/>
      <c r="P2912" s="9"/>
      <c r="Q2912" s="5"/>
    </row>
    <row r="2913">
      <c r="J2913" s="5"/>
      <c r="P2913" s="9"/>
      <c r="Q2913" s="5"/>
    </row>
    <row r="2914">
      <c r="J2914" s="5"/>
      <c r="P2914" s="9"/>
      <c r="Q2914" s="5"/>
    </row>
    <row r="2915">
      <c r="J2915" s="5"/>
      <c r="P2915" s="9"/>
      <c r="Q2915" s="5"/>
    </row>
    <row r="2916">
      <c r="J2916" s="5"/>
      <c r="P2916" s="9"/>
      <c r="Q2916" s="5"/>
    </row>
    <row r="2917">
      <c r="J2917" s="5"/>
      <c r="P2917" s="9"/>
      <c r="Q2917" s="5"/>
    </row>
    <row r="2918">
      <c r="J2918" s="5"/>
      <c r="P2918" s="9"/>
      <c r="Q2918" s="5"/>
    </row>
    <row r="2919">
      <c r="J2919" s="5"/>
      <c r="P2919" s="9"/>
      <c r="Q2919" s="5"/>
    </row>
    <row r="2920">
      <c r="J2920" s="5"/>
      <c r="P2920" s="9"/>
      <c r="Q2920" s="5"/>
    </row>
    <row r="2921">
      <c r="J2921" s="5"/>
      <c r="P2921" s="9"/>
      <c r="Q2921" s="5"/>
    </row>
    <row r="2922">
      <c r="J2922" s="5"/>
      <c r="P2922" s="9"/>
      <c r="Q2922" s="5"/>
    </row>
    <row r="2923">
      <c r="J2923" s="5"/>
      <c r="P2923" s="9"/>
      <c r="Q2923" s="5"/>
    </row>
    <row r="2924">
      <c r="J2924" s="5"/>
      <c r="P2924" s="9"/>
      <c r="Q2924" s="5"/>
    </row>
    <row r="2925">
      <c r="J2925" s="5"/>
      <c r="P2925" s="9"/>
      <c r="Q2925" s="5"/>
    </row>
    <row r="2926">
      <c r="J2926" s="5"/>
      <c r="P2926" s="9"/>
      <c r="Q2926" s="5"/>
    </row>
    <row r="2927">
      <c r="J2927" s="5"/>
      <c r="P2927" s="9"/>
      <c r="Q2927" s="5"/>
    </row>
    <row r="2928">
      <c r="J2928" s="5"/>
      <c r="P2928" s="9"/>
      <c r="Q2928" s="5"/>
    </row>
    <row r="2929">
      <c r="J2929" s="5"/>
      <c r="P2929" s="9"/>
      <c r="Q2929" s="5"/>
    </row>
    <row r="2930">
      <c r="J2930" s="5"/>
      <c r="P2930" s="9"/>
      <c r="Q2930" s="5"/>
    </row>
    <row r="2931">
      <c r="J2931" s="5"/>
      <c r="P2931" s="9"/>
      <c r="Q2931" s="5"/>
    </row>
    <row r="2932">
      <c r="J2932" s="5"/>
      <c r="P2932" s="9"/>
      <c r="Q2932" s="5"/>
    </row>
    <row r="2933">
      <c r="J2933" s="5"/>
      <c r="P2933" s="9"/>
      <c r="Q2933" s="5"/>
    </row>
    <row r="2934">
      <c r="J2934" s="5"/>
      <c r="P2934" s="9"/>
      <c r="Q2934" s="5"/>
    </row>
    <row r="2935">
      <c r="J2935" s="5"/>
      <c r="P2935" s="9"/>
      <c r="Q2935" s="5"/>
    </row>
    <row r="2936">
      <c r="J2936" s="5"/>
      <c r="P2936" s="9"/>
      <c r="Q2936" s="5"/>
    </row>
    <row r="2937">
      <c r="J2937" s="5"/>
      <c r="P2937" s="9"/>
      <c r="Q2937" s="5"/>
    </row>
    <row r="2938">
      <c r="J2938" s="5"/>
      <c r="P2938" s="9"/>
      <c r="Q2938" s="5"/>
    </row>
    <row r="2939">
      <c r="J2939" s="5"/>
      <c r="P2939" s="9"/>
      <c r="Q2939" s="5"/>
    </row>
    <row r="2940">
      <c r="J2940" s="5"/>
      <c r="P2940" s="9"/>
      <c r="Q2940" s="5"/>
    </row>
    <row r="2941">
      <c r="J2941" s="5"/>
      <c r="P2941" s="9"/>
      <c r="Q2941" s="5"/>
    </row>
    <row r="2942">
      <c r="J2942" s="5"/>
      <c r="P2942" s="9"/>
      <c r="Q2942" s="5"/>
    </row>
    <row r="2943">
      <c r="J2943" s="5"/>
      <c r="P2943" s="9"/>
      <c r="Q2943" s="5"/>
    </row>
    <row r="2944">
      <c r="J2944" s="5"/>
      <c r="P2944" s="9"/>
      <c r="Q2944" s="5"/>
    </row>
    <row r="2945">
      <c r="J2945" s="5"/>
      <c r="P2945" s="9"/>
      <c r="Q2945" s="5"/>
    </row>
    <row r="2946">
      <c r="J2946" s="5"/>
      <c r="P2946" s="9"/>
      <c r="Q2946" s="5"/>
    </row>
    <row r="2947">
      <c r="J2947" s="5"/>
      <c r="P2947" s="9"/>
      <c r="Q2947" s="5"/>
    </row>
    <row r="2948">
      <c r="J2948" s="5"/>
      <c r="P2948" s="9"/>
      <c r="Q2948" s="5"/>
    </row>
    <row r="2949">
      <c r="J2949" s="5"/>
      <c r="P2949" s="9"/>
      <c r="Q2949" s="5"/>
    </row>
    <row r="2950">
      <c r="J2950" s="5"/>
      <c r="P2950" s="9"/>
      <c r="Q2950" s="5"/>
    </row>
    <row r="2951">
      <c r="J2951" s="5"/>
      <c r="P2951" s="9"/>
      <c r="Q2951" s="5"/>
    </row>
    <row r="2952">
      <c r="J2952" s="5"/>
      <c r="P2952" s="9"/>
      <c r="Q2952" s="5"/>
    </row>
    <row r="2953">
      <c r="J2953" s="5"/>
      <c r="P2953" s="9"/>
      <c r="Q2953" s="5"/>
    </row>
    <row r="2954">
      <c r="J2954" s="5"/>
      <c r="P2954" s="9"/>
      <c r="Q2954" s="5"/>
    </row>
    <row r="2955">
      <c r="J2955" s="5"/>
      <c r="P2955" s="9"/>
      <c r="Q2955" s="5"/>
    </row>
    <row r="2956">
      <c r="J2956" s="5"/>
      <c r="P2956" s="9"/>
      <c r="Q2956" s="5"/>
    </row>
    <row r="2957">
      <c r="J2957" s="5"/>
      <c r="P2957" s="9"/>
      <c r="Q2957" s="5"/>
    </row>
    <row r="2958">
      <c r="J2958" s="5"/>
      <c r="P2958" s="9"/>
      <c r="Q2958" s="5"/>
    </row>
    <row r="2959">
      <c r="J2959" s="5"/>
      <c r="P2959" s="9"/>
      <c r="Q2959" s="5"/>
    </row>
    <row r="2960">
      <c r="J2960" s="5"/>
      <c r="P2960" s="9"/>
      <c r="Q2960" s="5"/>
    </row>
    <row r="2961">
      <c r="J2961" s="5"/>
      <c r="P2961" s="9"/>
      <c r="Q2961" s="5"/>
    </row>
    <row r="2962">
      <c r="J2962" s="5"/>
      <c r="P2962" s="9"/>
      <c r="Q2962" s="5"/>
    </row>
    <row r="2963">
      <c r="J2963" s="5"/>
      <c r="P2963" s="9"/>
      <c r="Q2963" s="5"/>
    </row>
    <row r="2964">
      <c r="J2964" s="5"/>
      <c r="P2964" s="9"/>
      <c r="Q2964" s="5"/>
    </row>
    <row r="2965">
      <c r="J2965" s="5"/>
      <c r="P2965" s="9"/>
      <c r="Q2965" s="5"/>
    </row>
    <row r="2966">
      <c r="J2966" s="5"/>
      <c r="P2966" s="9"/>
      <c r="Q2966" s="5"/>
    </row>
    <row r="2967">
      <c r="J2967" s="5"/>
      <c r="P2967" s="9"/>
      <c r="Q2967" s="5"/>
    </row>
    <row r="2968">
      <c r="J2968" s="5"/>
      <c r="P2968" s="9"/>
      <c r="Q2968" s="5"/>
    </row>
    <row r="2969">
      <c r="J2969" s="5"/>
      <c r="P2969" s="9"/>
      <c r="Q2969" s="5"/>
    </row>
    <row r="2970">
      <c r="J2970" s="5"/>
      <c r="P2970" s="9"/>
      <c r="Q2970" s="5"/>
    </row>
    <row r="2971">
      <c r="J2971" s="5"/>
      <c r="P2971" s="9"/>
      <c r="Q2971" s="5"/>
    </row>
    <row r="2972">
      <c r="J2972" s="5"/>
      <c r="P2972" s="9"/>
      <c r="Q2972" s="5"/>
    </row>
    <row r="2973">
      <c r="J2973" s="5"/>
      <c r="P2973" s="9"/>
      <c r="Q2973" s="5"/>
    </row>
    <row r="2974">
      <c r="J2974" s="5"/>
      <c r="P2974" s="9"/>
      <c r="Q2974" s="5"/>
    </row>
    <row r="2975">
      <c r="J2975" s="5"/>
      <c r="P2975" s="9"/>
      <c r="Q2975" s="5"/>
    </row>
    <row r="2976">
      <c r="J2976" s="5"/>
      <c r="P2976" s="9"/>
      <c r="Q2976" s="5"/>
    </row>
    <row r="2977">
      <c r="J2977" s="5"/>
      <c r="P2977" s="9"/>
      <c r="Q2977" s="5"/>
    </row>
    <row r="2978">
      <c r="J2978" s="5"/>
      <c r="P2978" s="9"/>
      <c r="Q2978" s="5"/>
    </row>
    <row r="2979">
      <c r="J2979" s="5"/>
      <c r="P2979" s="9"/>
      <c r="Q2979" s="5"/>
    </row>
    <row r="2980">
      <c r="J2980" s="5"/>
      <c r="P2980" s="9"/>
      <c r="Q2980" s="5"/>
    </row>
    <row r="2981">
      <c r="J2981" s="5"/>
      <c r="P2981" s="9"/>
      <c r="Q2981" s="5"/>
    </row>
    <row r="2982">
      <c r="J2982" s="5"/>
      <c r="P2982" s="9"/>
      <c r="Q2982" s="5"/>
    </row>
    <row r="2983">
      <c r="J2983" s="5"/>
      <c r="P2983" s="9"/>
      <c r="Q2983" s="5"/>
    </row>
    <row r="2984">
      <c r="J2984" s="5"/>
      <c r="P2984" s="9"/>
      <c r="Q2984" s="5"/>
    </row>
    <row r="2985">
      <c r="J2985" s="5"/>
      <c r="P2985" s="9"/>
      <c r="Q2985" s="5"/>
    </row>
    <row r="2986">
      <c r="J2986" s="5"/>
      <c r="P2986" s="9"/>
      <c r="Q2986" s="5"/>
    </row>
    <row r="2987">
      <c r="J2987" s="5"/>
      <c r="P2987" s="9"/>
      <c r="Q2987" s="5"/>
    </row>
    <row r="2988">
      <c r="J2988" s="5"/>
      <c r="P2988" s="9"/>
      <c r="Q2988" s="5"/>
    </row>
    <row r="2989">
      <c r="J2989" s="5"/>
      <c r="P2989" s="9"/>
      <c r="Q2989" s="5"/>
    </row>
    <row r="2990">
      <c r="J2990" s="5"/>
      <c r="P2990" s="9"/>
      <c r="Q2990" s="5"/>
    </row>
    <row r="2991">
      <c r="J2991" s="5"/>
      <c r="P2991" s="9"/>
      <c r="Q2991" s="5"/>
    </row>
    <row r="2992">
      <c r="J2992" s="5"/>
      <c r="P2992" s="9"/>
      <c r="Q2992" s="5"/>
    </row>
    <row r="2993">
      <c r="J2993" s="5"/>
      <c r="P2993" s="9"/>
      <c r="Q2993" s="5"/>
    </row>
    <row r="2994">
      <c r="J2994" s="5"/>
      <c r="P2994" s="9"/>
      <c r="Q2994" s="5"/>
    </row>
    <row r="2995">
      <c r="J2995" s="5"/>
      <c r="P2995" s="9"/>
      <c r="Q2995" s="5"/>
    </row>
    <row r="2996">
      <c r="J2996" s="5"/>
      <c r="P2996" s="9"/>
      <c r="Q2996" s="5"/>
    </row>
    <row r="2997">
      <c r="J2997" s="5"/>
      <c r="P2997" s="9"/>
      <c r="Q2997" s="5"/>
    </row>
    <row r="2998">
      <c r="J2998" s="5"/>
      <c r="P2998" s="9"/>
      <c r="Q2998" s="5"/>
    </row>
    <row r="2999">
      <c r="J2999" s="5"/>
      <c r="P2999" s="9"/>
      <c r="Q2999" s="5"/>
    </row>
    <row r="3000">
      <c r="J3000" s="5"/>
      <c r="P3000" s="9"/>
      <c r="Q3000" s="5"/>
    </row>
    <row r="3001">
      <c r="J3001" s="5"/>
      <c r="P3001" s="9"/>
      <c r="Q3001" s="5"/>
    </row>
    <row r="3002">
      <c r="J3002" s="5"/>
      <c r="P3002" s="9"/>
      <c r="Q3002" s="5"/>
    </row>
    <row r="3003">
      <c r="J3003" s="5"/>
      <c r="P3003" s="9"/>
      <c r="Q3003" s="5"/>
    </row>
    <row r="3004">
      <c r="J3004" s="5"/>
      <c r="P3004" s="9"/>
      <c r="Q3004" s="5"/>
    </row>
    <row r="3005">
      <c r="J3005" s="5"/>
      <c r="P3005" s="9"/>
      <c r="Q3005" s="5"/>
    </row>
    <row r="3006">
      <c r="J3006" s="5"/>
      <c r="P3006" s="9"/>
      <c r="Q3006" s="5"/>
    </row>
    <row r="3007">
      <c r="J3007" s="5"/>
      <c r="P3007" s="9"/>
      <c r="Q3007" s="5"/>
    </row>
    <row r="3008">
      <c r="J3008" s="5"/>
      <c r="P3008" s="9"/>
      <c r="Q3008" s="5"/>
    </row>
    <row r="3009">
      <c r="J3009" s="5"/>
      <c r="P3009" s="9"/>
      <c r="Q3009" s="5"/>
    </row>
    <row r="3010">
      <c r="J3010" s="5"/>
      <c r="P3010" s="9"/>
      <c r="Q3010" s="5"/>
    </row>
    <row r="3011">
      <c r="J3011" s="5"/>
      <c r="P3011" s="9"/>
      <c r="Q3011" s="5"/>
    </row>
    <row r="3012">
      <c r="J3012" s="5"/>
      <c r="P3012" s="9"/>
      <c r="Q3012" s="5"/>
    </row>
    <row r="3013">
      <c r="J3013" s="5"/>
      <c r="P3013" s="9"/>
      <c r="Q3013" s="5"/>
    </row>
    <row r="3014">
      <c r="J3014" s="5"/>
      <c r="P3014" s="9"/>
      <c r="Q3014" s="5"/>
    </row>
    <row r="3015">
      <c r="J3015" s="5"/>
      <c r="P3015" s="9"/>
      <c r="Q3015" s="5"/>
    </row>
    <row r="3016">
      <c r="J3016" s="5"/>
      <c r="P3016" s="9"/>
      <c r="Q3016" s="5"/>
    </row>
    <row r="3017">
      <c r="J3017" s="5"/>
      <c r="P3017" s="9"/>
      <c r="Q3017" s="5"/>
    </row>
    <row r="3018">
      <c r="J3018" s="5"/>
      <c r="P3018" s="9"/>
      <c r="Q3018" s="5"/>
    </row>
    <row r="3019">
      <c r="J3019" s="5"/>
      <c r="P3019" s="9"/>
      <c r="Q3019" s="5"/>
    </row>
    <row r="3020">
      <c r="J3020" s="5"/>
      <c r="P3020" s="9"/>
      <c r="Q3020" s="5"/>
    </row>
    <row r="3021">
      <c r="J3021" s="5"/>
      <c r="P3021" s="9"/>
      <c r="Q3021" s="5"/>
    </row>
    <row r="3022">
      <c r="J3022" s="5"/>
      <c r="P3022" s="9"/>
      <c r="Q3022" s="5"/>
    </row>
    <row r="3023">
      <c r="J3023" s="5"/>
      <c r="P3023" s="9"/>
      <c r="Q3023" s="5"/>
    </row>
    <row r="3024">
      <c r="J3024" s="5"/>
      <c r="P3024" s="9"/>
      <c r="Q3024" s="5"/>
    </row>
    <row r="3025">
      <c r="J3025" s="5"/>
      <c r="P3025" s="9"/>
      <c r="Q3025" s="5"/>
    </row>
    <row r="3026">
      <c r="J3026" s="5"/>
      <c r="P3026" s="9"/>
      <c r="Q3026" s="5"/>
    </row>
    <row r="3027">
      <c r="J3027" s="5"/>
      <c r="P3027" s="9"/>
      <c r="Q3027" s="5"/>
    </row>
    <row r="3028">
      <c r="J3028" s="5"/>
      <c r="P3028" s="9"/>
      <c r="Q3028" s="5"/>
    </row>
    <row r="3029">
      <c r="J3029" s="5"/>
      <c r="P3029" s="9"/>
      <c r="Q3029" s="5"/>
    </row>
    <row r="3030">
      <c r="J3030" s="5"/>
      <c r="P3030" s="9"/>
      <c r="Q3030" s="5"/>
    </row>
    <row r="3031">
      <c r="J3031" s="5"/>
      <c r="P3031" s="9"/>
      <c r="Q3031" s="5"/>
    </row>
    <row r="3032">
      <c r="J3032" s="5"/>
      <c r="P3032" s="9"/>
      <c r="Q3032" s="5"/>
    </row>
    <row r="3033">
      <c r="J3033" s="5"/>
      <c r="P3033" s="9"/>
      <c r="Q3033" s="5"/>
    </row>
    <row r="3034">
      <c r="J3034" s="5"/>
      <c r="P3034" s="9"/>
      <c r="Q3034" s="5"/>
    </row>
    <row r="3035">
      <c r="J3035" s="5"/>
      <c r="P3035" s="9"/>
      <c r="Q3035" s="5"/>
    </row>
    <row r="3036">
      <c r="J3036" s="5"/>
      <c r="P3036" s="9"/>
      <c r="Q3036" s="5"/>
    </row>
    <row r="3037">
      <c r="J3037" s="5"/>
      <c r="P3037" s="9"/>
      <c r="Q3037" s="5"/>
    </row>
    <row r="3038">
      <c r="J3038" s="5"/>
      <c r="P3038" s="9"/>
      <c r="Q3038" s="5"/>
    </row>
    <row r="3039">
      <c r="J3039" s="5"/>
      <c r="P3039" s="9"/>
      <c r="Q3039" s="5"/>
    </row>
    <row r="3040">
      <c r="J3040" s="5"/>
      <c r="P3040" s="9"/>
      <c r="Q3040" s="5"/>
    </row>
    <row r="3041">
      <c r="J3041" s="5"/>
      <c r="P3041" s="9"/>
      <c r="Q3041" s="5"/>
    </row>
    <row r="3042">
      <c r="J3042" s="5"/>
      <c r="P3042" s="9"/>
      <c r="Q3042" s="5"/>
    </row>
    <row r="3043">
      <c r="J3043" s="5"/>
      <c r="P3043" s="9"/>
      <c r="Q3043" s="5"/>
    </row>
    <row r="3044">
      <c r="J3044" s="5"/>
      <c r="P3044" s="9"/>
      <c r="Q3044" s="5"/>
    </row>
    <row r="3045">
      <c r="J3045" s="5"/>
      <c r="P3045" s="9"/>
      <c r="Q3045" s="5"/>
    </row>
    <row r="3046">
      <c r="J3046" s="5"/>
      <c r="P3046" s="9"/>
      <c r="Q3046" s="5"/>
    </row>
    <row r="3047">
      <c r="J3047" s="5"/>
      <c r="P3047" s="9"/>
      <c r="Q3047" s="5"/>
    </row>
    <row r="3048">
      <c r="J3048" s="5"/>
      <c r="P3048" s="9"/>
      <c r="Q3048" s="5"/>
    </row>
    <row r="3049">
      <c r="J3049" s="5"/>
      <c r="P3049" s="9"/>
      <c r="Q3049" s="5"/>
    </row>
    <row r="3050">
      <c r="J3050" s="5"/>
      <c r="P3050" s="9"/>
      <c r="Q3050" s="5"/>
    </row>
    <row r="3051">
      <c r="J3051" s="5"/>
      <c r="P3051" s="9"/>
      <c r="Q3051" s="5"/>
    </row>
    <row r="3052">
      <c r="J3052" s="5"/>
      <c r="P3052" s="9"/>
      <c r="Q3052" s="5"/>
    </row>
    <row r="3053">
      <c r="J3053" s="5"/>
      <c r="P3053" s="9"/>
      <c r="Q3053" s="5"/>
    </row>
    <row r="3054">
      <c r="J3054" s="5"/>
      <c r="P3054" s="9"/>
      <c r="Q3054" s="5"/>
    </row>
    <row r="3055">
      <c r="J3055" s="5"/>
      <c r="P3055" s="9"/>
      <c r="Q3055" s="5"/>
    </row>
    <row r="3056">
      <c r="J3056" s="5"/>
      <c r="P3056" s="9"/>
      <c r="Q3056" s="5"/>
    </row>
    <row r="3057">
      <c r="J3057" s="5"/>
      <c r="P3057" s="9"/>
      <c r="Q3057" s="5"/>
    </row>
    <row r="3058">
      <c r="J3058" s="5"/>
      <c r="P3058" s="9"/>
      <c r="Q3058" s="5"/>
    </row>
    <row r="3059">
      <c r="J3059" s="5"/>
      <c r="P3059" s="9"/>
      <c r="Q3059" s="5"/>
    </row>
    <row r="3060">
      <c r="J3060" s="5"/>
      <c r="P3060" s="9"/>
      <c r="Q3060" s="5"/>
    </row>
    <row r="3061">
      <c r="J3061" s="5"/>
      <c r="P3061" s="9"/>
      <c r="Q3061" s="5"/>
    </row>
    <row r="3062">
      <c r="J3062" s="5"/>
      <c r="P3062" s="9"/>
      <c r="Q3062" s="5"/>
    </row>
    <row r="3063">
      <c r="J3063" s="5"/>
      <c r="P3063" s="9"/>
      <c r="Q3063" s="5"/>
    </row>
    <row r="3064">
      <c r="J3064" s="5"/>
      <c r="P3064" s="9"/>
      <c r="Q3064" s="5"/>
    </row>
    <row r="3065">
      <c r="J3065" s="5"/>
      <c r="P3065" s="9"/>
      <c r="Q3065" s="5"/>
    </row>
    <row r="3066">
      <c r="J3066" s="5"/>
      <c r="P3066" s="9"/>
      <c r="Q3066" s="5"/>
    </row>
    <row r="3067">
      <c r="J3067" s="5"/>
      <c r="P3067" s="9"/>
      <c r="Q3067" s="5"/>
    </row>
    <row r="3068">
      <c r="J3068" s="5"/>
      <c r="P3068" s="9"/>
      <c r="Q3068" s="5"/>
    </row>
    <row r="3069">
      <c r="J3069" s="5"/>
      <c r="P3069" s="9"/>
      <c r="Q3069" s="5"/>
    </row>
    <row r="3070">
      <c r="J3070" s="5"/>
      <c r="P3070" s="9"/>
      <c r="Q3070" s="5"/>
    </row>
    <row r="3071">
      <c r="J3071" s="5"/>
      <c r="P3071" s="9"/>
      <c r="Q3071" s="5"/>
    </row>
    <row r="3072">
      <c r="J3072" s="5"/>
      <c r="P3072" s="9"/>
      <c r="Q3072" s="5"/>
    </row>
    <row r="3073">
      <c r="J3073" s="5"/>
      <c r="P3073" s="9"/>
      <c r="Q3073" s="5"/>
    </row>
    <row r="3074">
      <c r="J3074" s="5"/>
      <c r="P3074" s="9"/>
      <c r="Q3074" s="5"/>
    </row>
    <row r="3075">
      <c r="J3075" s="5"/>
      <c r="P3075" s="9"/>
      <c r="Q3075" s="5"/>
    </row>
    <row r="3076">
      <c r="J3076" s="5"/>
      <c r="P3076" s="9"/>
      <c r="Q3076" s="5"/>
    </row>
    <row r="3077">
      <c r="J3077" s="5"/>
      <c r="P3077" s="9"/>
      <c r="Q3077" s="5"/>
    </row>
    <row r="3078">
      <c r="J3078" s="5"/>
      <c r="P3078" s="9"/>
      <c r="Q3078" s="5"/>
    </row>
    <row r="3079">
      <c r="J3079" s="5"/>
      <c r="P3079" s="9"/>
      <c r="Q3079" s="5"/>
    </row>
    <row r="3080">
      <c r="J3080" s="5"/>
      <c r="P3080" s="9"/>
      <c r="Q3080" s="5"/>
    </row>
    <row r="3081">
      <c r="J3081" s="5"/>
      <c r="P3081" s="9"/>
      <c r="Q3081" s="5"/>
    </row>
    <row r="3082">
      <c r="J3082" s="5"/>
      <c r="P3082" s="9"/>
      <c r="Q3082" s="5"/>
    </row>
    <row r="3083">
      <c r="J3083" s="5"/>
      <c r="P3083" s="9"/>
      <c r="Q3083" s="5"/>
    </row>
    <row r="3084">
      <c r="J3084" s="5"/>
      <c r="P3084" s="9"/>
      <c r="Q3084" s="5"/>
    </row>
    <row r="3085">
      <c r="J3085" s="5"/>
      <c r="P3085" s="9"/>
      <c r="Q3085" s="5"/>
    </row>
    <row r="3086">
      <c r="J3086" s="5"/>
      <c r="P3086" s="9"/>
      <c r="Q3086" s="5"/>
    </row>
    <row r="3087">
      <c r="J3087" s="5"/>
      <c r="P3087" s="9"/>
      <c r="Q3087" s="5"/>
    </row>
    <row r="3088">
      <c r="J3088" s="5"/>
      <c r="P3088" s="9"/>
      <c r="Q3088" s="5"/>
    </row>
    <row r="3089">
      <c r="J3089" s="5"/>
      <c r="P3089" s="9"/>
      <c r="Q3089" s="5"/>
    </row>
    <row r="3090">
      <c r="J3090" s="5"/>
      <c r="P3090" s="9"/>
      <c r="Q3090" s="5"/>
    </row>
    <row r="3091">
      <c r="J3091" s="5"/>
      <c r="P3091" s="9"/>
      <c r="Q3091" s="5"/>
    </row>
    <row r="3092">
      <c r="J3092" s="5"/>
      <c r="P3092" s="9"/>
      <c r="Q3092" s="5"/>
    </row>
    <row r="3093">
      <c r="J3093" s="5"/>
      <c r="P3093" s="9"/>
      <c r="Q3093" s="5"/>
    </row>
    <row r="3094">
      <c r="J3094" s="5"/>
      <c r="P3094" s="9"/>
      <c r="Q3094" s="5"/>
    </row>
    <row r="3095">
      <c r="J3095" s="5"/>
      <c r="P3095" s="9"/>
      <c r="Q3095" s="5"/>
    </row>
    <row r="3096">
      <c r="J3096" s="5"/>
      <c r="P3096" s="9"/>
      <c r="Q3096" s="5"/>
    </row>
    <row r="3097">
      <c r="J3097" s="5"/>
      <c r="P3097" s="9"/>
      <c r="Q3097" s="5"/>
    </row>
    <row r="3098">
      <c r="J3098" s="5"/>
      <c r="P3098" s="9"/>
      <c r="Q3098" s="5"/>
    </row>
    <row r="3099">
      <c r="J3099" s="5"/>
      <c r="P3099" s="9"/>
      <c r="Q3099" s="5"/>
    </row>
    <row r="3100">
      <c r="J3100" s="5"/>
      <c r="P3100" s="9"/>
      <c r="Q3100" s="5"/>
    </row>
    <row r="3101">
      <c r="J3101" s="5"/>
      <c r="P3101" s="9"/>
      <c r="Q3101" s="5"/>
    </row>
    <row r="3102">
      <c r="J3102" s="5"/>
      <c r="P3102" s="9"/>
      <c r="Q3102" s="5"/>
    </row>
    <row r="3103">
      <c r="J3103" s="5"/>
      <c r="P3103" s="9"/>
      <c r="Q3103" s="5"/>
    </row>
    <row r="3104">
      <c r="J3104" s="5"/>
      <c r="P3104" s="9"/>
      <c r="Q3104" s="5"/>
    </row>
    <row r="3105">
      <c r="J3105" s="5"/>
      <c r="P3105" s="9"/>
      <c r="Q3105" s="5"/>
    </row>
    <row r="3106">
      <c r="J3106" s="5"/>
      <c r="P3106" s="9"/>
      <c r="Q3106" s="5"/>
    </row>
    <row r="3107">
      <c r="J3107" s="5"/>
      <c r="P3107" s="9"/>
      <c r="Q3107" s="5"/>
    </row>
    <row r="3108">
      <c r="J3108" s="5"/>
      <c r="P3108" s="9"/>
      <c r="Q3108" s="5"/>
    </row>
    <row r="3109">
      <c r="J3109" s="5"/>
      <c r="P3109" s="9"/>
      <c r="Q3109" s="5"/>
    </row>
    <row r="3110">
      <c r="J3110" s="5"/>
      <c r="P3110" s="9"/>
      <c r="Q3110" s="5"/>
    </row>
    <row r="3111">
      <c r="J3111" s="5"/>
      <c r="P3111" s="9"/>
      <c r="Q3111" s="5"/>
    </row>
    <row r="3112">
      <c r="J3112" s="5"/>
      <c r="P3112" s="9"/>
      <c r="Q3112" s="5"/>
    </row>
    <row r="3113">
      <c r="J3113" s="5"/>
      <c r="P3113" s="9"/>
      <c r="Q3113" s="5"/>
    </row>
    <row r="3114">
      <c r="J3114" s="5"/>
      <c r="P3114" s="9"/>
      <c r="Q3114" s="5"/>
    </row>
    <row r="3115">
      <c r="J3115" s="5"/>
      <c r="P3115" s="9"/>
      <c r="Q3115" s="5"/>
    </row>
    <row r="3116">
      <c r="J3116" s="5"/>
      <c r="P3116" s="9"/>
      <c r="Q3116" s="5"/>
    </row>
    <row r="3117">
      <c r="J3117" s="5"/>
      <c r="P3117" s="9"/>
      <c r="Q3117" s="5"/>
    </row>
    <row r="3118">
      <c r="J3118" s="5"/>
      <c r="P3118" s="9"/>
      <c r="Q3118" s="5"/>
    </row>
    <row r="3119">
      <c r="J3119" s="5"/>
      <c r="P3119" s="9"/>
      <c r="Q3119" s="5"/>
    </row>
    <row r="3120">
      <c r="J3120" s="5"/>
      <c r="P3120" s="9"/>
      <c r="Q3120" s="5"/>
    </row>
    <row r="3121">
      <c r="J3121" s="5"/>
      <c r="P3121" s="9"/>
      <c r="Q3121" s="5"/>
    </row>
    <row r="3122">
      <c r="J3122" s="5"/>
      <c r="P3122" s="9"/>
      <c r="Q3122" s="5"/>
    </row>
    <row r="3123">
      <c r="J3123" s="5"/>
      <c r="P3123" s="9"/>
      <c r="Q3123" s="5"/>
    </row>
    <row r="3124">
      <c r="J3124" s="5"/>
      <c r="P3124" s="9"/>
      <c r="Q3124" s="5"/>
    </row>
    <row r="3125">
      <c r="J3125" s="5"/>
      <c r="P3125" s="9"/>
      <c r="Q3125" s="5"/>
    </row>
    <row r="3126">
      <c r="J3126" s="5"/>
      <c r="P3126" s="9"/>
      <c r="Q3126" s="5"/>
    </row>
    <row r="3127">
      <c r="J3127" s="5"/>
      <c r="P3127" s="9"/>
      <c r="Q3127" s="5"/>
    </row>
    <row r="3128">
      <c r="J3128" s="5"/>
      <c r="P3128" s="9"/>
      <c r="Q3128" s="5"/>
    </row>
    <row r="3129">
      <c r="J3129" s="5"/>
      <c r="P3129" s="9"/>
      <c r="Q3129" s="5"/>
    </row>
    <row r="3130">
      <c r="J3130" s="5"/>
      <c r="P3130" s="9"/>
      <c r="Q3130" s="5"/>
    </row>
    <row r="3131">
      <c r="J3131" s="5"/>
      <c r="P3131" s="9"/>
      <c r="Q3131" s="5"/>
    </row>
    <row r="3132">
      <c r="J3132" s="5"/>
      <c r="P3132" s="9"/>
      <c r="Q3132" s="5"/>
    </row>
    <row r="3133">
      <c r="J3133" s="5"/>
      <c r="P3133" s="9"/>
      <c r="Q3133" s="5"/>
    </row>
    <row r="3134">
      <c r="J3134" s="5"/>
      <c r="P3134" s="9"/>
      <c r="Q3134" s="5"/>
    </row>
    <row r="3135">
      <c r="J3135" s="5"/>
      <c r="P3135" s="9"/>
      <c r="Q3135" s="5"/>
    </row>
    <row r="3136">
      <c r="J3136" s="5"/>
      <c r="P3136" s="9"/>
      <c r="Q3136" s="5"/>
    </row>
    <row r="3137">
      <c r="J3137" s="5"/>
      <c r="P3137" s="9"/>
      <c r="Q3137" s="5"/>
    </row>
    <row r="3138">
      <c r="J3138" s="5"/>
      <c r="P3138" s="9"/>
      <c r="Q3138" s="5"/>
    </row>
    <row r="3139">
      <c r="J3139" s="5"/>
      <c r="P3139" s="9"/>
      <c r="Q3139" s="5"/>
    </row>
    <row r="3140">
      <c r="J3140" s="5"/>
      <c r="P3140" s="9"/>
      <c r="Q3140" s="5"/>
    </row>
    <row r="3141">
      <c r="J3141" s="5"/>
      <c r="P3141" s="9"/>
      <c r="Q3141" s="5"/>
    </row>
    <row r="3142">
      <c r="J3142" s="5"/>
      <c r="P3142" s="9"/>
      <c r="Q3142" s="5"/>
    </row>
    <row r="3143">
      <c r="J3143" s="5"/>
      <c r="P3143" s="9"/>
      <c r="Q3143" s="5"/>
    </row>
    <row r="3144">
      <c r="J3144" s="5"/>
      <c r="P3144" s="9"/>
      <c r="Q3144" s="5"/>
    </row>
    <row r="3145">
      <c r="J3145" s="5"/>
      <c r="P3145" s="9"/>
      <c r="Q3145" s="5"/>
    </row>
    <row r="3146">
      <c r="J3146" s="5"/>
      <c r="P3146" s="9"/>
      <c r="Q3146" s="5"/>
    </row>
    <row r="3147">
      <c r="J3147" s="5"/>
      <c r="P3147" s="9"/>
      <c r="Q3147" s="5"/>
    </row>
    <row r="3148">
      <c r="J3148" s="5"/>
      <c r="P3148" s="9"/>
      <c r="Q3148" s="5"/>
    </row>
    <row r="3149">
      <c r="J3149" s="5"/>
      <c r="P3149" s="9"/>
      <c r="Q3149" s="5"/>
    </row>
    <row r="3150">
      <c r="J3150" s="5"/>
      <c r="P3150" s="9"/>
      <c r="Q3150" s="5"/>
    </row>
    <row r="3151">
      <c r="J3151" s="5"/>
      <c r="P3151" s="9"/>
      <c r="Q3151" s="5"/>
    </row>
    <row r="3152">
      <c r="J3152" s="5"/>
      <c r="P3152" s="9"/>
      <c r="Q3152" s="5"/>
    </row>
    <row r="3153">
      <c r="J3153" s="5"/>
      <c r="P3153" s="9"/>
      <c r="Q3153" s="5"/>
    </row>
    <row r="3154">
      <c r="J3154" s="5"/>
      <c r="P3154" s="9"/>
      <c r="Q3154" s="5"/>
    </row>
    <row r="3155">
      <c r="J3155" s="5"/>
      <c r="P3155" s="9"/>
      <c r="Q3155" s="5"/>
    </row>
    <row r="3156">
      <c r="J3156" s="5"/>
      <c r="P3156" s="9"/>
      <c r="Q3156" s="5"/>
    </row>
    <row r="3157">
      <c r="J3157" s="5"/>
      <c r="P3157" s="9"/>
      <c r="Q3157" s="5"/>
    </row>
    <row r="3158">
      <c r="J3158" s="5"/>
      <c r="P3158" s="9"/>
      <c r="Q3158" s="5"/>
    </row>
    <row r="3159">
      <c r="J3159" s="5"/>
      <c r="P3159" s="9"/>
      <c r="Q3159" s="5"/>
    </row>
    <row r="3160">
      <c r="J3160" s="5"/>
      <c r="P3160" s="9"/>
      <c r="Q3160" s="5"/>
    </row>
    <row r="3161">
      <c r="J3161" s="5"/>
      <c r="P3161" s="9"/>
      <c r="Q3161" s="5"/>
    </row>
    <row r="3162">
      <c r="J3162" s="5"/>
      <c r="P3162" s="9"/>
      <c r="Q3162" s="5"/>
    </row>
    <row r="3163">
      <c r="J3163" s="5"/>
      <c r="P3163" s="9"/>
      <c r="Q3163" s="5"/>
    </row>
    <row r="3164">
      <c r="J3164" s="5"/>
      <c r="P3164" s="9"/>
      <c r="Q3164" s="5"/>
    </row>
    <row r="3165">
      <c r="J3165" s="5"/>
      <c r="P3165" s="9"/>
      <c r="Q3165" s="5"/>
    </row>
    <row r="3166">
      <c r="J3166" s="5"/>
      <c r="P3166" s="9"/>
      <c r="Q3166" s="5"/>
    </row>
    <row r="3167">
      <c r="J3167" s="5"/>
      <c r="P3167" s="9"/>
      <c r="Q3167" s="5"/>
    </row>
    <row r="3168">
      <c r="J3168" s="5"/>
      <c r="P3168" s="9"/>
      <c r="Q3168" s="5"/>
    </row>
    <row r="3169">
      <c r="J3169" s="5"/>
      <c r="P3169" s="9"/>
      <c r="Q3169" s="5"/>
    </row>
    <row r="3170">
      <c r="J3170" s="5"/>
      <c r="P3170" s="9"/>
      <c r="Q3170" s="5"/>
    </row>
    <row r="3171">
      <c r="J3171" s="5"/>
      <c r="P3171" s="9"/>
      <c r="Q3171" s="5"/>
    </row>
    <row r="3172">
      <c r="J3172" s="5"/>
      <c r="P3172" s="9"/>
      <c r="Q3172" s="5"/>
    </row>
    <row r="3173">
      <c r="J3173" s="5"/>
      <c r="P3173" s="9"/>
      <c r="Q3173" s="5"/>
    </row>
    <row r="3174">
      <c r="J3174" s="5"/>
      <c r="P3174" s="9"/>
      <c r="Q3174" s="5"/>
    </row>
    <row r="3175">
      <c r="J3175" s="5"/>
      <c r="P3175" s="9"/>
      <c r="Q3175" s="5"/>
    </row>
    <row r="3176">
      <c r="J3176" s="5"/>
      <c r="P3176" s="9"/>
      <c r="Q3176" s="5"/>
    </row>
    <row r="3177">
      <c r="J3177" s="5"/>
      <c r="P3177" s="9"/>
      <c r="Q3177" s="5"/>
    </row>
    <row r="3178">
      <c r="J3178" s="5"/>
      <c r="P3178" s="9"/>
      <c r="Q3178" s="5"/>
    </row>
    <row r="3179">
      <c r="J3179" s="5"/>
      <c r="P3179" s="9"/>
      <c r="Q3179" s="5"/>
    </row>
    <row r="3180">
      <c r="J3180" s="5"/>
      <c r="P3180" s="9"/>
      <c r="Q3180" s="5"/>
    </row>
    <row r="3181">
      <c r="J3181" s="5"/>
      <c r="P3181" s="9"/>
      <c r="Q3181" s="5"/>
    </row>
    <row r="3182">
      <c r="J3182" s="5"/>
      <c r="P3182" s="9"/>
      <c r="Q3182" s="5"/>
    </row>
    <row r="3183">
      <c r="J3183" s="5"/>
      <c r="P3183" s="9"/>
      <c r="Q3183" s="5"/>
    </row>
    <row r="3184">
      <c r="J3184" s="5"/>
      <c r="P3184" s="9"/>
      <c r="Q3184" s="5"/>
    </row>
    <row r="3185">
      <c r="J3185" s="5"/>
      <c r="P3185" s="9"/>
      <c r="Q3185" s="5"/>
    </row>
    <row r="3186">
      <c r="J3186" s="5"/>
      <c r="P3186" s="9"/>
      <c r="Q3186" s="5"/>
    </row>
    <row r="3187">
      <c r="J3187" s="5"/>
      <c r="P3187" s="9"/>
      <c r="Q3187" s="5"/>
    </row>
    <row r="3188">
      <c r="J3188" s="5"/>
      <c r="P3188" s="9"/>
      <c r="Q3188" s="5"/>
    </row>
    <row r="3189">
      <c r="J3189" s="5"/>
      <c r="P3189" s="9"/>
      <c r="Q3189" s="5"/>
    </row>
    <row r="3190">
      <c r="J3190" s="5"/>
      <c r="P3190" s="9"/>
      <c r="Q3190" s="5"/>
    </row>
    <row r="3191">
      <c r="J3191" s="5"/>
      <c r="P3191" s="9"/>
      <c r="Q3191" s="5"/>
    </row>
    <row r="3192">
      <c r="J3192" s="5"/>
      <c r="P3192" s="9"/>
      <c r="Q3192" s="5"/>
    </row>
    <row r="3193">
      <c r="J3193" s="5"/>
      <c r="P3193" s="9"/>
      <c r="Q3193" s="5"/>
    </row>
    <row r="3194">
      <c r="J3194" s="5"/>
      <c r="P3194" s="9"/>
      <c r="Q3194" s="5"/>
    </row>
    <row r="3195">
      <c r="J3195" s="5"/>
      <c r="P3195" s="9"/>
      <c r="Q3195" s="5"/>
    </row>
    <row r="3196">
      <c r="J3196" s="5"/>
      <c r="P3196" s="9"/>
      <c r="Q3196" s="5"/>
    </row>
    <row r="3197">
      <c r="J3197" s="5"/>
      <c r="P3197" s="9"/>
      <c r="Q3197" s="5"/>
    </row>
    <row r="3198">
      <c r="J3198" s="5"/>
      <c r="P3198" s="9"/>
      <c r="Q3198" s="5"/>
    </row>
    <row r="3199">
      <c r="J3199" s="5"/>
      <c r="P3199" s="9"/>
      <c r="Q3199" s="5"/>
    </row>
    <row r="3200">
      <c r="J3200" s="5"/>
      <c r="P3200" s="9"/>
      <c r="Q3200" s="5"/>
    </row>
    <row r="3201">
      <c r="J3201" s="5"/>
      <c r="P3201" s="9"/>
      <c r="Q3201" s="5"/>
    </row>
    <row r="3202">
      <c r="J3202" s="5"/>
      <c r="P3202" s="9"/>
      <c r="Q3202" s="5"/>
    </row>
    <row r="3203">
      <c r="J3203" s="5"/>
      <c r="P3203" s="9"/>
      <c r="Q3203" s="5"/>
    </row>
    <row r="3204">
      <c r="J3204" s="5"/>
      <c r="P3204" s="9"/>
      <c r="Q3204" s="5"/>
    </row>
    <row r="3205">
      <c r="J3205" s="5"/>
      <c r="P3205" s="9"/>
      <c r="Q3205" s="5"/>
    </row>
    <row r="3206">
      <c r="J3206" s="5"/>
      <c r="P3206" s="9"/>
      <c r="Q3206" s="5"/>
    </row>
    <row r="3207">
      <c r="J3207" s="5"/>
      <c r="P3207" s="9"/>
      <c r="Q3207" s="5"/>
    </row>
    <row r="3208">
      <c r="J3208" s="5"/>
      <c r="P3208" s="9"/>
      <c r="Q3208" s="5"/>
    </row>
    <row r="3209">
      <c r="J3209" s="5"/>
      <c r="P3209" s="9"/>
      <c r="Q3209" s="5"/>
    </row>
    <row r="3210">
      <c r="J3210" s="5"/>
      <c r="P3210" s="9"/>
      <c r="Q3210" s="5"/>
    </row>
    <row r="3211">
      <c r="J3211" s="5"/>
      <c r="P3211" s="9"/>
      <c r="Q3211" s="5"/>
    </row>
    <row r="3212">
      <c r="J3212" s="5"/>
      <c r="P3212" s="9"/>
      <c r="Q3212" s="5"/>
    </row>
    <row r="3213">
      <c r="J3213" s="5"/>
      <c r="P3213" s="9"/>
      <c r="Q3213" s="5"/>
    </row>
    <row r="3214">
      <c r="J3214" s="5"/>
      <c r="P3214" s="9"/>
      <c r="Q3214" s="5"/>
    </row>
    <row r="3215">
      <c r="J3215" s="5"/>
      <c r="P3215" s="9"/>
      <c r="Q3215" s="5"/>
    </row>
    <row r="3216">
      <c r="J3216" s="5"/>
      <c r="P3216" s="9"/>
      <c r="Q3216" s="5"/>
    </row>
    <row r="3217">
      <c r="J3217" s="5"/>
      <c r="P3217" s="9"/>
      <c r="Q3217" s="5"/>
    </row>
    <row r="3218">
      <c r="J3218" s="5"/>
      <c r="P3218" s="9"/>
      <c r="Q3218" s="5"/>
    </row>
    <row r="3219">
      <c r="J3219" s="5"/>
      <c r="P3219" s="9"/>
      <c r="Q3219" s="5"/>
    </row>
    <row r="3220">
      <c r="J3220" s="5"/>
      <c r="P3220" s="9"/>
      <c r="Q3220" s="5"/>
    </row>
    <row r="3221">
      <c r="J3221" s="5"/>
      <c r="P3221" s="9"/>
      <c r="Q3221" s="5"/>
    </row>
    <row r="3222">
      <c r="J3222" s="5"/>
      <c r="P3222" s="9"/>
      <c r="Q3222" s="5"/>
    </row>
    <row r="3223">
      <c r="J3223" s="5"/>
      <c r="P3223" s="9"/>
      <c r="Q3223" s="5"/>
    </row>
    <row r="3224">
      <c r="J3224" s="5"/>
      <c r="P3224" s="9"/>
      <c r="Q3224" s="5"/>
    </row>
    <row r="3225">
      <c r="J3225" s="5"/>
      <c r="P3225" s="9"/>
      <c r="Q3225" s="5"/>
    </row>
    <row r="3226">
      <c r="J3226" s="5"/>
      <c r="P3226" s="9"/>
      <c r="Q3226" s="5"/>
    </row>
    <row r="3227">
      <c r="J3227" s="5"/>
      <c r="P3227" s="9"/>
      <c r="Q3227" s="5"/>
    </row>
    <row r="3228">
      <c r="J3228" s="5"/>
      <c r="P3228" s="9"/>
      <c r="Q3228" s="5"/>
    </row>
    <row r="3229">
      <c r="J3229" s="5"/>
      <c r="P3229" s="9"/>
      <c r="Q3229" s="5"/>
    </row>
    <row r="3230">
      <c r="J3230" s="5"/>
      <c r="P3230" s="9"/>
      <c r="Q3230" s="5"/>
    </row>
    <row r="3231">
      <c r="J3231" s="5"/>
      <c r="P3231" s="9"/>
      <c r="Q3231" s="5"/>
    </row>
    <row r="3232">
      <c r="J3232" s="5"/>
      <c r="P3232" s="9"/>
      <c r="Q3232" s="5"/>
    </row>
    <row r="3233">
      <c r="J3233" s="5"/>
      <c r="P3233" s="9"/>
      <c r="Q3233" s="5"/>
    </row>
    <row r="3234">
      <c r="J3234" s="5"/>
      <c r="P3234" s="9"/>
      <c r="Q3234" s="5"/>
    </row>
    <row r="3235">
      <c r="J3235" s="5"/>
      <c r="P3235" s="9"/>
      <c r="Q3235" s="5"/>
    </row>
    <row r="3236">
      <c r="J3236" s="5"/>
      <c r="P3236" s="9"/>
      <c r="Q3236" s="5"/>
    </row>
    <row r="3237">
      <c r="J3237" s="5"/>
      <c r="P3237" s="9"/>
      <c r="Q3237" s="5"/>
    </row>
    <row r="3238">
      <c r="J3238" s="5"/>
      <c r="P3238" s="9"/>
      <c r="Q3238" s="5"/>
    </row>
    <row r="3239">
      <c r="J3239" s="5"/>
      <c r="P3239" s="9"/>
      <c r="Q3239" s="5"/>
    </row>
    <row r="3240">
      <c r="J3240" s="5"/>
      <c r="P3240" s="9"/>
      <c r="Q3240" s="5"/>
    </row>
    <row r="3241">
      <c r="J3241" s="5"/>
      <c r="P3241" s="9"/>
      <c r="Q3241" s="5"/>
    </row>
    <row r="3242">
      <c r="J3242" s="5"/>
      <c r="P3242" s="9"/>
      <c r="Q3242" s="5"/>
    </row>
    <row r="3243">
      <c r="J3243" s="5"/>
      <c r="P3243" s="9"/>
      <c r="Q3243" s="5"/>
    </row>
    <row r="3244">
      <c r="J3244" s="5"/>
      <c r="P3244" s="9"/>
      <c r="Q3244" s="5"/>
    </row>
    <row r="3245">
      <c r="J3245" s="5"/>
      <c r="P3245" s="9"/>
      <c r="Q3245" s="5"/>
    </row>
    <row r="3246">
      <c r="J3246" s="5"/>
      <c r="P3246" s="9"/>
      <c r="Q3246" s="5"/>
    </row>
    <row r="3247">
      <c r="J3247" s="5"/>
      <c r="P3247" s="9"/>
      <c r="Q3247" s="5"/>
    </row>
    <row r="3248">
      <c r="J3248" s="5"/>
      <c r="P3248" s="9"/>
      <c r="Q3248" s="5"/>
    </row>
    <row r="3249">
      <c r="J3249" s="5"/>
      <c r="P3249" s="9"/>
      <c r="Q3249" s="5"/>
    </row>
    <row r="3250">
      <c r="J3250" s="5"/>
      <c r="P3250" s="9"/>
      <c r="Q3250" s="5"/>
    </row>
    <row r="3251">
      <c r="J3251" s="5"/>
      <c r="P3251" s="9"/>
      <c r="Q3251" s="5"/>
    </row>
    <row r="3252">
      <c r="J3252" s="5"/>
      <c r="P3252" s="9"/>
      <c r="Q3252" s="5"/>
    </row>
    <row r="3253">
      <c r="J3253" s="5"/>
      <c r="P3253" s="9"/>
      <c r="Q3253" s="5"/>
    </row>
    <row r="3254">
      <c r="J3254" s="5"/>
      <c r="P3254" s="9"/>
      <c r="Q3254" s="5"/>
    </row>
    <row r="3255">
      <c r="J3255" s="5"/>
      <c r="P3255" s="9"/>
      <c r="Q3255" s="5"/>
    </row>
    <row r="3256">
      <c r="J3256" s="5"/>
      <c r="P3256" s="9"/>
      <c r="Q3256" s="5"/>
    </row>
    <row r="3257">
      <c r="J3257" s="5"/>
      <c r="P3257" s="9"/>
      <c r="Q3257" s="5"/>
    </row>
    <row r="3258">
      <c r="J3258" s="5"/>
      <c r="P3258" s="9"/>
      <c r="Q3258" s="5"/>
    </row>
    <row r="3259">
      <c r="J3259" s="5"/>
      <c r="P3259" s="9"/>
      <c r="Q3259" s="5"/>
    </row>
    <row r="3260">
      <c r="J3260" s="5"/>
      <c r="P3260" s="9"/>
      <c r="Q3260" s="5"/>
    </row>
    <row r="3261">
      <c r="J3261" s="5"/>
      <c r="P3261" s="9"/>
      <c r="Q3261" s="5"/>
    </row>
    <row r="3262">
      <c r="J3262" s="5"/>
      <c r="P3262" s="9"/>
      <c r="Q3262" s="5"/>
    </row>
    <row r="3263">
      <c r="J3263" s="5"/>
      <c r="P3263" s="9"/>
      <c r="Q3263" s="5"/>
    </row>
    <row r="3264">
      <c r="J3264" s="5"/>
      <c r="P3264" s="9"/>
      <c r="Q3264" s="5"/>
    </row>
    <row r="3265">
      <c r="J3265" s="5"/>
      <c r="P3265" s="9"/>
      <c r="Q3265" s="5"/>
    </row>
    <row r="3266">
      <c r="J3266" s="5"/>
      <c r="P3266" s="9"/>
      <c r="Q3266" s="5"/>
    </row>
    <row r="3267">
      <c r="J3267" s="5"/>
      <c r="P3267" s="9"/>
      <c r="Q3267" s="5"/>
    </row>
    <row r="3268">
      <c r="J3268" s="5"/>
      <c r="P3268" s="9"/>
      <c r="Q3268" s="5"/>
    </row>
    <row r="3269">
      <c r="J3269" s="5"/>
      <c r="P3269" s="9"/>
      <c r="Q3269" s="5"/>
    </row>
    <row r="3270">
      <c r="J3270" s="5"/>
      <c r="P3270" s="9"/>
      <c r="Q3270" s="5"/>
    </row>
    <row r="3271">
      <c r="J3271" s="5"/>
      <c r="P3271" s="9"/>
      <c r="Q3271" s="5"/>
    </row>
    <row r="3272">
      <c r="J3272" s="5"/>
      <c r="P3272" s="9"/>
      <c r="Q3272" s="5"/>
    </row>
    <row r="3273">
      <c r="J3273" s="5"/>
      <c r="P3273" s="9"/>
      <c r="Q3273" s="5"/>
    </row>
    <row r="3274">
      <c r="J3274" s="5"/>
      <c r="P3274" s="9"/>
      <c r="Q3274" s="5"/>
    </row>
    <row r="3275">
      <c r="J3275" s="5"/>
      <c r="P3275" s="9"/>
      <c r="Q3275" s="5"/>
    </row>
    <row r="3276">
      <c r="J3276" s="5"/>
      <c r="P3276" s="9"/>
      <c r="Q3276" s="5"/>
    </row>
    <row r="3277">
      <c r="J3277" s="5"/>
      <c r="P3277" s="9"/>
      <c r="Q3277" s="5"/>
    </row>
    <row r="3278">
      <c r="J3278" s="5"/>
      <c r="P3278" s="9"/>
      <c r="Q3278" s="5"/>
    </row>
    <row r="3279">
      <c r="J3279" s="5"/>
      <c r="P3279" s="9"/>
      <c r="Q3279" s="5"/>
    </row>
    <row r="3280">
      <c r="J3280" s="5"/>
      <c r="P3280" s="9"/>
      <c r="Q3280" s="5"/>
    </row>
    <row r="3281">
      <c r="J3281" s="5"/>
      <c r="P3281" s="9"/>
      <c r="Q3281" s="5"/>
    </row>
    <row r="3282">
      <c r="J3282" s="5"/>
      <c r="P3282" s="9"/>
      <c r="Q3282" s="5"/>
    </row>
    <row r="3283">
      <c r="J3283" s="5"/>
      <c r="P3283" s="9"/>
      <c r="Q3283" s="5"/>
    </row>
    <row r="3284">
      <c r="J3284" s="5"/>
      <c r="P3284" s="9"/>
      <c r="Q3284" s="5"/>
    </row>
    <row r="3285">
      <c r="J3285" s="5"/>
      <c r="P3285" s="9"/>
      <c r="Q3285" s="5"/>
    </row>
    <row r="3286">
      <c r="J3286" s="5"/>
      <c r="P3286" s="9"/>
      <c r="Q3286" s="5"/>
    </row>
    <row r="3287">
      <c r="J3287" s="5"/>
      <c r="P3287" s="9"/>
      <c r="Q3287" s="5"/>
    </row>
    <row r="3288">
      <c r="J3288" s="5"/>
      <c r="P3288" s="9"/>
      <c r="Q3288" s="5"/>
    </row>
    <row r="3289">
      <c r="J3289" s="5"/>
      <c r="P3289" s="9"/>
      <c r="Q3289" s="5"/>
    </row>
    <row r="3290">
      <c r="J3290" s="5"/>
      <c r="P3290" s="9"/>
      <c r="Q3290" s="5"/>
    </row>
    <row r="3291">
      <c r="J3291" s="5"/>
      <c r="P3291" s="9"/>
      <c r="Q3291" s="5"/>
    </row>
    <row r="3292">
      <c r="J3292" s="5"/>
      <c r="P3292" s="9"/>
      <c r="Q3292" s="5"/>
    </row>
    <row r="3293">
      <c r="J3293" s="5"/>
      <c r="P3293" s="9"/>
      <c r="Q3293" s="5"/>
    </row>
    <row r="3294">
      <c r="J3294" s="5"/>
      <c r="P3294" s="9"/>
      <c r="Q3294" s="5"/>
    </row>
    <row r="3295">
      <c r="J3295" s="5"/>
      <c r="P3295" s="9"/>
      <c r="Q3295" s="5"/>
    </row>
    <row r="3296">
      <c r="J3296" s="5"/>
      <c r="P3296" s="9"/>
      <c r="Q3296" s="5"/>
    </row>
    <row r="3297">
      <c r="J3297" s="5"/>
      <c r="P3297" s="9"/>
      <c r="Q3297" s="5"/>
    </row>
    <row r="3298">
      <c r="J3298" s="5"/>
      <c r="P3298" s="9"/>
      <c r="Q3298" s="5"/>
    </row>
    <row r="3299">
      <c r="J3299" s="5"/>
      <c r="P3299" s="9"/>
      <c r="Q3299" s="5"/>
    </row>
    <row r="3300">
      <c r="J3300" s="5"/>
      <c r="P3300" s="9"/>
      <c r="Q3300" s="5"/>
    </row>
    <row r="3301">
      <c r="J3301" s="5"/>
      <c r="P3301" s="9"/>
      <c r="Q3301" s="5"/>
    </row>
    <row r="3302">
      <c r="J3302" s="5"/>
      <c r="P3302" s="9"/>
      <c r="Q3302" s="5"/>
    </row>
    <row r="3303">
      <c r="J3303" s="5"/>
      <c r="P3303" s="9"/>
      <c r="Q3303" s="5"/>
    </row>
    <row r="3304">
      <c r="J3304" s="5"/>
      <c r="P3304" s="9"/>
      <c r="Q3304" s="5"/>
    </row>
    <row r="3305">
      <c r="J3305" s="5"/>
      <c r="P3305" s="9"/>
      <c r="Q3305" s="5"/>
    </row>
    <row r="3306">
      <c r="J3306" s="5"/>
      <c r="P3306" s="9"/>
      <c r="Q3306" s="5"/>
    </row>
    <row r="3307">
      <c r="J3307" s="5"/>
      <c r="P3307" s="9"/>
      <c r="Q3307" s="5"/>
    </row>
    <row r="3308">
      <c r="J3308" s="5"/>
      <c r="P3308" s="9"/>
      <c r="Q3308" s="5"/>
    </row>
    <row r="3309">
      <c r="J3309" s="5"/>
      <c r="P3309" s="9"/>
      <c r="Q3309" s="5"/>
    </row>
    <row r="3310">
      <c r="J3310" s="5"/>
      <c r="P3310" s="9"/>
      <c r="Q3310" s="5"/>
    </row>
    <row r="3311">
      <c r="J3311" s="5"/>
      <c r="P3311" s="9"/>
      <c r="Q3311" s="5"/>
    </row>
    <row r="3312">
      <c r="J3312" s="5"/>
      <c r="P3312" s="9"/>
      <c r="Q3312" s="5"/>
    </row>
    <row r="3313">
      <c r="J3313" s="5"/>
      <c r="P3313" s="9"/>
      <c r="Q3313" s="5"/>
    </row>
    <row r="3314">
      <c r="J3314" s="5"/>
      <c r="P3314" s="9"/>
      <c r="Q3314" s="5"/>
    </row>
    <row r="3315">
      <c r="J3315" s="5"/>
      <c r="P3315" s="9"/>
      <c r="Q3315" s="5"/>
    </row>
    <row r="3316">
      <c r="J3316" s="5"/>
      <c r="P3316" s="9"/>
      <c r="Q3316" s="5"/>
    </row>
    <row r="3317">
      <c r="J3317" s="5"/>
      <c r="P3317" s="9"/>
      <c r="Q3317" s="5"/>
    </row>
    <row r="3318">
      <c r="J3318" s="5"/>
      <c r="P3318" s="9"/>
      <c r="Q3318" s="5"/>
    </row>
    <row r="3319">
      <c r="J3319" s="5"/>
      <c r="P3319" s="9"/>
      <c r="Q3319" s="5"/>
    </row>
    <row r="3320">
      <c r="J3320" s="5"/>
      <c r="P3320" s="9"/>
      <c r="Q3320" s="5"/>
    </row>
    <row r="3321">
      <c r="J3321" s="5"/>
      <c r="P3321" s="9"/>
      <c r="Q3321" s="5"/>
    </row>
    <row r="3322">
      <c r="J3322" s="5"/>
      <c r="P3322" s="9"/>
      <c r="Q3322" s="5"/>
    </row>
    <row r="3323">
      <c r="J3323" s="5"/>
      <c r="P3323" s="9"/>
      <c r="Q3323" s="5"/>
    </row>
    <row r="3324">
      <c r="J3324" s="5"/>
      <c r="P3324" s="9"/>
      <c r="Q3324" s="5"/>
    </row>
    <row r="3325">
      <c r="J3325" s="5"/>
      <c r="P3325" s="9"/>
      <c r="Q3325" s="5"/>
    </row>
    <row r="3326">
      <c r="J3326" s="5"/>
      <c r="P3326" s="9"/>
      <c r="Q3326" s="5"/>
    </row>
    <row r="3327">
      <c r="J3327" s="5"/>
      <c r="P3327" s="9"/>
      <c r="Q3327" s="5"/>
    </row>
    <row r="3328">
      <c r="J3328" s="5"/>
      <c r="P3328" s="9"/>
      <c r="Q3328" s="5"/>
    </row>
    <row r="3329">
      <c r="J3329" s="5"/>
      <c r="P3329" s="9"/>
      <c r="Q3329" s="5"/>
    </row>
    <row r="3330">
      <c r="J3330" s="5"/>
      <c r="P3330" s="9"/>
      <c r="Q3330" s="5"/>
    </row>
    <row r="3331">
      <c r="J3331" s="5"/>
      <c r="P3331" s="9"/>
      <c r="Q3331" s="5"/>
    </row>
    <row r="3332">
      <c r="J3332" s="5"/>
      <c r="P3332" s="9"/>
      <c r="Q3332" s="5"/>
    </row>
    <row r="3333">
      <c r="J3333" s="5"/>
      <c r="P3333" s="9"/>
      <c r="Q3333" s="5"/>
    </row>
    <row r="3334">
      <c r="J3334" s="5"/>
      <c r="P3334" s="9"/>
      <c r="Q3334" s="5"/>
    </row>
    <row r="3335">
      <c r="J3335" s="5"/>
      <c r="P3335" s="9"/>
      <c r="Q3335" s="5"/>
    </row>
    <row r="3336">
      <c r="J3336" s="5"/>
      <c r="P3336" s="9"/>
      <c r="Q3336" s="5"/>
    </row>
    <row r="3337">
      <c r="J3337" s="5"/>
      <c r="P3337" s="9"/>
      <c r="Q3337" s="5"/>
    </row>
    <row r="3338">
      <c r="J3338" s="5"/>
      <c r="P3338" s="9"/>
      <c r="Q3338" s="5"/>
    </row>
    <row r="3339">
      <c r="J3339" s="5"/>
      <c r="P3339" s="9"/>
      <c r="Q3339" s="5"/>
    </row>
    <row r="3340">
      <c r="J3340" s="5"/>
      <c r="P3340" s="9"/>
      <c r="Q3340" s="5"/>
    </row>
    <row r="3341">
      <c r="J3341" s="5"/>
      <c r="P3341" s="9"/>
      <c r="Q3341" s="5"/>
    </row>
    <row r="3342">
      <c r="J3342" s="5"/>
      <c r="P3342" s="9"/>
      <c r="Q3342" s="5"/>
    </row>
    <row r="3343">
      <c r="J3343" s="5"/>
      <c r="P3343" s="9"/>
      <c r="Q3343" s="5"/>
    </row>
    <row r="3344">
      <c r="J3344" s="5"/>
      <c r="P3344" s="9"/>
      <c r="Q3344" s="5"/>
    </row>
    <row r="3345">
      <c r="J3345" s="5"/>
      <c r="P3345" s="9"/>
      <c r="Q3345" s="5"/>
    </row>
    <row r="3346">
      <c r="J3346" s="5"/>
      <c r="P3346" s="9"/>
      <c r="Q3346" s="5"/>
    </row>
    <row r="3347">
      <c r="J3347" s="5"/>
      <c r="P3347" s="9"/>
      <c r="Q3347" s="5"/>
    </row>
    <row r="3348">
      <c r="J3348" s="5"/>
      <c r="P3348" s="9"/>
      <c r="Q3348" s="5"/>
    </row>
    <row r="3349">
      <c r="J3349" s="5"/>
      <c r="P3349" s="9"/>
      <c r="Q3349" s="5"/>
    </row>
    <row r="3350">
      <c r="J3350" s="5"/>
      <c r="P3350" s="9"/>
      <c r="Q3350" s="5"/>
    </row>
    <row r="3351">
      <c r="J3351" s="5"/>
      <c r="P3351" s="9"/>
      <c r="Q3351" s="5"/>
    </row>
    <row r="3352">
      <c r="J3352" s="5"/>
      <c r="P3352" s="9"/>
      <c r="Q3352" s="5"/>
    </row>
    <row r="3353">
      <c r="J3353" s="5"/>
      <c r="P3353" s="9"/>
      <c r="Q3353" s="5"/>
    </row>
    <row r="3354">
      <c r="J3354" s="5"/>
      <c r="P3354" s="9"/>
      <c r="Q3354" s="5"/>
    </row>
    <row r="3355">
      <c r="J3355" s="5"/>
      <c r="P3355" s="9"/>
      <c r="Q3355" s="5"/>
    </row>
    <row r="3356">
      <c r="J3356" s="5"/>
      <c r="P3356" s="9"/>
      <c r="Q3356" s="5"/>
    </row>
    <row r="3357">
      <c r="J3357" s="5"/>
      <c r="P3357" s="9"/>
      <c r="Q3357" s="5"/>
    </row>
    <row r="3358">
      <c r="J3358" s="5"/>
      <c r="P3358" s="9"/>
      <c r="Q3358" s="5"/>
    </row>
    <row r="3359">
      <c r="J3359" s="5"/>
      <c r="P3359" s="9"/>
      <c r="Q3359" s="5"/>
    </row>
    <row r="3360">
      <c r="J3360" s="5"/>
      <c r="P3360" s="9"/>
      <c r="Q3360" s="5"/>
    </row>
    <row r="3361">
      <c r="J3361" s="5"/>
      <c r="P3361" s="9"/>
      <c r="Q3361" s="5"/>
    </row>
    <row r="3362">
      <c r="J3362" s="5"/>
      <c r="P3362" s="9"/>
      <c r="Q3362" s="5"/>
    </row>
    <row r="3363">
      <c r="J3363" s="5"/>
      <c r="P3363" s="9"/>
      <c r="Q3363" s="5"/>
    </row>
    <row r="3364">
      <c r="J3364" s="5"/>
      <c r="P3364" s="9"/>
      <c r="Q3364" s="5"/>
    </row>
    <row r="3365">
      <c r="J3365" s="5"/>
      <c r="P3365" s="9"/>
      <c r="Q3365" s="5"/>
    </row>
    <row r="3366">
      <c r="J3366" s="5"/>
      <c r="P3366" s="9"/>
      <c r="Q3366" s="5"/>
    </row>
    <row r="3367">
      <c r="J3367" s="5"/>
      <c r="P3367" s="9"/>
      <c r="Q3367" s="5"/>
    </row>
    <row r="3368">
      <c r="J3368" s="5"/>
      <c r="P3368" s="9"/>
      <c r="Q3368" s="5"/>
    </row>
    <row r="3369">
      <c r="J3369" s="5"/>
      <c r="P3369" s="9"/>
      <c r="Q3369" s="5"/>
    </row>
    <row r="3370">
      <c r="J3370" s="5"/>
      <c r="P3370" s="9"/>
      <c r="Q3370" s="5"/>
    </row>
    <row r="3371">
      <c r="J3371" s="5"/>
      <c r="P3371" s="9"/>
      <c r="Q3371" s="5"/>
    </row>
    <row r="3372">
      <c r="J3372" s="5"/>
      <c r="P3372" s="9"/>
      <c r="Q3372" s="5"/>
    </row>
    <row r="3373">
      <c r="J3373" s="5"/>
      <c r="P3373" s="9"/>
      <c r="Q3373" s="5"/>
    </row>
    <row r="3374">
      <c r="J3374" s="5"/>
      <c r="P3374" s="9"/>
      <c r="Q3374" s="5"/>
    </row>
    <row r="3375">
      <c r="J3375" s="5"/>
      <c r="P3375" s="9"/>
      <c r="Q3375" s="5"/>
    </row>
    <row r="3376">
      <c r="J3376" s="5"/>
      <c r="P3376" s="9"/>
      <c r="Q3376" s="5"/>
    </row>
    <row r="3377">
      <c r="J3377" s="5"/>
      <c r="P3377" s="9"/>
      <c r="Q3377" s="5"/>
    </row>
    <row r="3378">
      <c r="J3378" s="5"/>
      <c r="P3378" s="9"/>
      <c r="Q3378" s="5"/>
    </row>
    <row r="3379">
      <c r="J3379" s="5"/>
      <c r="P3379" s="9"/>
      <c r="Q3379" s="5"/>
    </row>
    <row r="3380">
      <c r="J3380" s="5"/>
      <c r="P3380" s="9"/>
      <c r="Q3380" s="5"/>
    </row>
    <row r="3381">
      <c r="J3381" s="5"/>
      <c r="P3381" s="9"/>
      <c r="Q3381" s="5"/>
    </row>
    <row r="3382">
      <c r="J3382" s="5"/>
      <c r="P3382" s="9"/>
      <c r="Q3382" s="5"/>
    </row>
    <row r="3383">
      <c r="J3383" s="5"/>
      <c r="P3383" s="9"/>
      <c r="Q3383" s="5"/>
    </row>
    <row r="3384">
      <c r="J3384" s="5"/>
      <c r="P3384" s="9"/>
      <c r="Q3384" s="5"/>
    </row>
    <row r="3385">
      <c r="J3385" s="5"/>
      <c r="P3385" s="9"/>
      <c r="Q3385" s="5"/>
    </row>
    <row r="3386">
      <c r="J3386" s="5"/>
      <c r="P3386" s="9"/>
      <c r="Q3386" s="5"/>
    </row>
    <row r="3387">
      <c r="J3387" s="5"/>
      <c r="P3387" s="9"/>
      <c r="Q3387" s="5"/>
    </row>
    <row r="3388">
      <c r="J3388" s="5"/>
      <c r="P3388" s="9"/>
      <c r="Q3388" s="5"/>
    </row>
    <row r="3389">
      <c r="J3389" s="5"/>
      <c r="P3389" s="9"/>
      <c r="Q3389" s="5"/>
    </row>
    <row r="3390">
      <c r="J3390" s="5"/>
      <c r="P3390" s="9"/>
      <c r="Q3390" s="5"/>
    </row>
    <row r="3391">
      <c r="J3391" s="5"/>
      <c r="P3391" s="9"/>
      <c r="Q3391" s="5"/>
    </row>
    <row r="3392">
      <c r="J3392" s="5"/>
      <c r="P3392" s="9"/>
      <c r="Q3392" s="5"/>
    </row>
    <row r="3393">
      <c r="J3393" s="5"/>
      <c r="P3393" s="9"/>
      <c r="Q3393" s="5"/>
    </row>
    <row r="3394">
      <c r="J3394" s="5"/>
      <c r="P3394" s="9"/>
      <c r="Q3394" s="5"/>
    </row>
    <row r="3395">
      <c r="J3395" s="5"/>
      <c r="P3395" s="9"/>
      <c r="Q3395" s="5"/>
    </row>
    <row r="3396">
      <c r="J3396" s="5"/>
      <c r="P3396" s="9"/>
      <c r="Q3396" s="5"/>
    </row>
    <row r="3397">
      <c r="J3397" s="5"/>
      <c r="P3397" s="9"/>
      <c r="Q3397" s="5"/>
    </row>
    <row r="3398">
      <c r="J3398" s="5"/>
      <c r="P3398" s="9"/>
      <c r="Q3398" s="5"/>
    </row>
    <row r="3399">
      <c r="J3399" s="5"/>
      <c r="P3399" s="9"/>
      <c r="Q3399" s="5"/>
    </row>
    <row r="3400">
      <c r="J3400" s="5"/>
      <c r="P3400" s="9"/>
      <c r="Q3400" s="5"/>
    </row>
    <row r="3401">
      <c r="J3401" s="5"/>
      <c r="P3401" s="9"/>
      <c r="Q3401" s="5"/>
    </row>
    <row r="3402">
      <c r="J3402" s="5"/>
      <c r="P3402" s="9"/>
      <c r="Q3402" s="5"/>
    </row>
    <row r="3403">
      <c r="J3403" s="5"/>
      <c r="P3403" s="9"/>
      <c r="Q3403" s="5"/>
    </row>
    <row r="3404">
      <c r="J3404" s="5"/>
      <c r="P3404" s="9"/>
      <c r="Q3404" s="5"/>
    </row>
    <row r="3405">
      <c r="J3405" s="5"/>
      <c r="P3405" s="9"/>
      <c r="Q3405" s="5"/>
    </row>
    <row r="3406">
      <c r="J3406" s="5"/>
      <c r="P3406" s="9"/>
      <c r="Q3406" s="5"/>
    </row>
    <row r="3407">
      <c r="J3407" s="5"/>
      <c r="P3407" s="9"/>
      <c r="Q3407" s="5"/>
    </row>
    <row r="3408">
      <c r="J3408" s="5"/>
      <c r="P3408" s="9"/>
      <c r="Q3408" s="5"/>
    </row>
    <row r="3409">
      <c r="J3409" s="5"/>
      <c r="P3409" s="9"/>
      <c r="Q3409" s="5"/>
    </row>
    <row r="3410">
      <c r="J3410" s="5"/>
      <c r="P3410" s="9"/>
      <c r="Q3410" s="5"/>
    </row>
    <row r="3411">
      <c r="J3411" s="5"/>
      <c r="P3411" s="9"/>
      <c r="Q3411" s="5"/>
    </row>
    <row r="3412">
      <c r="J3412" s="5"/>
      <c r="P3412" s="9"/>
      <c r="Q3412" s="5"/>
    </row>
    <row r="3413">
      <c r="J3413" s="5"/>
      <c r="P3413" s="9"/>
      <c r="Q3413" s="5"/>
    </row>
    <row r="3414">
      <c r="J3414" s="5"/>
      <c r="P3414" s="9"/>
      <c r="Q3414" s="5"/>
    </row>
    <row r="3415">
      <c r="J3415" s="5"/>
      <c r="P3415" s="9"/>
      <c r="Q3415" s="5"/>
    </row>
    <row r="3416">
      <c r="J3416" s="5"/>
      <c r="P3416" s="9"/>
      <c r="Q3416" s="5"/>
    </row>
    <row r="3417">
      <c r="J3417" s="5"/>
      <c r="P3417" s="9"/>
      <c r="Q3417" s="5"/>
    </row>
    <row r="3418">
      <c r="J3418" s="5"/>
      <c r="P3418" s="9"/>
      <c r="Q3418" s="5"/>
    </row>
    <row r="3419">
      <c r="J3419" s="5"/>
      <c r="P3419" s="9"/>
      <c r="Q3419" s="5"/>
    </row>
    <row r="3420">
      <c r="J3420" s="5"/>
      <c r="P3420" s="9"/>
      <c r="Q3420" s="5"/>
    </row>
    <row r="3421">
      <c r="J3421" s="5"/>
      <c r="P3421" s="9"/>
      <c r="Q3421" s="5"/>
    </row>
    <row r="3422">
      <c r="J3422" s="5"/>
      <c r="P3422" s="9"/>
      <c r="Q3422" s="5"/>
    </row>
    <row r="3423">
      <c r="J3423" s="5"/>
      <c r="P3423" s="9"/>
      <c r="Q3423" s="5"/>
    </row>
    <row r="3424">
      <c r="J3424" s="5"/>
      <c r="P3424" s="9"/>
      <c r="Q3424" s="5"/>
    </row>
    <row r="3425">
      <c r="J3425" s="5"/>
      <c r="P3425" s="9"/>
      <c r="Q3425" s="5"/>
    </row>
    <row r="3426">
      <c r="J3426" s="5"/>
      <c r="P3426" s="9"/>
      <c r="Q3426" s="5"/>
    </row>
    <row r="3427">
      <c r="J3427" s="5"/>
      <c r="P3427" s="9"/>
      <c r="Q3427" s="5"/>
    </row>
    <row r="3428">
      <c r="J3428" s="5"/>
      <c r="P3428" s="9"/>
      <c r="Q3428" s="5"/>
    </row>
    <row r="3429">
      <c r="J3429" s="5"/>
      <c r="P3429" s="9"/>
      <c r="Q3429" s="5"/>
    </row>
    <row r="3430">
      <c r="J3430" s="5"/>
      <c r="P3430" s="9"/>
      <c r="Q3430" s="5"/>
    </row>
    <row r="3431">
      <c r="J3431" s="5"/>
      <c r="P3431" s="9"/>
      <c r="Q3431" s="5"/>
    </row>
    <row r="3432">
      <c r="J3432" s="5"/>
      <c r="P3432" s="9"/>
      <c r="Q3432" s="5"/>
    </row>
    <row r="3433">
      <c r="J3433" s="5"/>
      <c r="P3433" s="9"/>
      <c r="Q3433" s="5"/>
    </row>
    <row r="3434">
      <c r="J3434" s="5"/>
      <c r="P3434" s="9"/>
      <c r="Q3434" s="5"/>
    </row>
    <row r="3435">
      <c r="J3435" s="5"/>
      <c r="P3435" s="9"/>
      <c r="Q3435" s="5"/>
    </row>
    <row r="3436">
      <c r="J3436" s="5"/>
      <c r="P3436" s="9"/>
      <c r="Q3436" s="5"/>
    </row>
    <row r="3437">
      <c r="J3437" s="5"/>
      <c r="P3437" s="9"/>
      <c r="Q3437" s="5"/>
    </row>
    <row r="3438">
      <c r="J3438" s="5"/>
      <c r="P3438" s="9"/>
      <c r="Q3438" s="5"/>
    </row>
    <row r="3439">
      <c r="J3439" s="5"/>
      <c r="P3439" s="9"/>
      <c r="Q3439" s="5"/>
    </row>
    <row r="3440">
      <c r="J3440" s="5"/>
      <c r="P3440" s="9"/>
      <c r="Q3440" s="5"/>
    </row>
    <row r="3441">
      <c r="J3441" s="5"/>
      <c r="P3441" s="9"/>
      <c r="Q3441" s="5"/>
    </row>
    <row r="3442">
      <c r="J3442" s="5"/>
      <c r="P3442" s="9"/>
      <c r="Q3442" s="5"/>
    </row>
    <row r="3443">
      <c r="J3443" s="5"/>
      <c r="P3443" s="9"/>
      <c r="Q3443" s="5"/>
    </row>
    <row r="3444">
      <c r="J3444" s="5"/>
      <c r="P3444" s="9"/>
      <c r="Q3444" s="5"/>
    </row>
    <row r="3445">
      <c r="J3445" s="5"/>
      <c r="P3445" s="9"/>
      <c r="Q3445" s="5"/>
    </row>
    <row r="3446">
      <c r="J3446" s="5"/>
      <c r="P3446" s="9"/>
      <c r="Q3446" s="5"/>
    </row>
    <row r="3447">
      <c r="J3447" s="5"/>
      <c r="P3447" s="9"/>
      <c r="Q3447" s="5"/>
    </row>
    <row r="3448">
      <c r="J3448" s="5"/>
      <c r="P3448" s="9"/>
      <c r="Q3448" s="5"/>
    </row>
    <row r="3449">
      <c r="J3449" s="5"/>
      <c r="P3449" s="9"/>
      <c r="Q3449" s="5"/>
    </row>
    <row r="3450">
      <c r="J3450" s="5"/>
      <c r="P3450" s="9"/>
      <c r="Q3450" s="5"/>
    </row>
    <row r="3451">
      <c r="J3451" s="5"/>
      <c r="P3451" s="9"/>
      <c r="Q3451" s="5"/>
    </row>
    <row r="3452">
      <c r="J3452" s="5"/>
      <c r="P3452" s="9"/>
      <c r="Q3452" s="5"/>
    </row>
    <row r="3453">
      <c r="J3453" s="5"/>
      <c r="P3453" s="9"/>
      <c r="Q3453" s="5"/>
    </row>
    <row r="3454">
      <c r="J3454" s="5"/>
      <c r="P3454" s="9"/>
      <c r="Q3454" s="5"/>
    </row>
    <row r="3455">
      <c r="J3455" s="5"/>
      <c r="P3455" s="9"/>
      <c r="Q3455" s="5"/>
    </row>
    <row r="3456">
      <c r="J3456" s="5"/>
      <c r="P3456" s="9"/>
      <c r="Q3456" s="5"/>
    </row>
    <row r="3457">
      <c r="J3457" s="5"/>
      <c r="P3457" s="9"/>
      <c r="Q3457" s="5"/>
    </row>
    <row r="3458">
      <c r="J3458" s="5"/>
      <c r="P3458" s="9"/>
      <c r="Q3458" s="5"/>
    </row>
    <row r="3459">
      <c r="J3459" s="5"/>
      <c r="P3459" s="9"/>
      <c r="Q3459" s="5"/>
    </row>
    <row r="3460">
      <c r="J3460" s="5"/>
      <c r="P3460" s="9"/>
      <c r="Q3460" s="5"/>
    </row>
    <row r="3461">
      <c r="J3461" s="5"/>
      <c r="P3461" s="9"/>
      <c r="Q3461" s="5"/>
    </row>
    <row r="3462">
      <c r="J3462" s="5"/>
      <c r="P3462" s="9"/>
      <c r="Q3462" s="5"/>
    </row>
    <row r="3463">
      <c r="J3463" s="5"/>
      <c r="P3463" s="9"/>
      <c r="Q3463" s="5"/>
    </row>
    <row r="3464">
      <c r="J3464" s="5"/>
      <c r="P3464" s="9"/>
      <c r="Q3464" s="5"/>
    </row>
    <row r="3465">
      <c r="J3465" s="5"/>
      <c r="P3465" s="9"/>
      <c r="Q3465" s="5"/>
    </row>
    <row r="3466">
      <c r="J3466" s="5"/>
      <c r="P3466" s="9"/>
      <c r="Q3466" s="5"/>
    </row>
    <row r="3467">
      <c r="J3467" s="5"/>
      <c r="P3467" s="9"/>
      <c r="Q3467" s="5"/>
    </row>
    <row r="3468">
      <c r="J3468" s="5"/>
      <c r="P3468" s="9"/>
      <c r="Q3468" s="5"/>
    </row>
    <row r="3469">
      <c r="J3469" s="5"/>
      <c r="P3469" s="9"/>
      <c r="Q3469" s="5"/>
    </row>
    <row r="3470">
      <c r="J3470" s="5"/>
      <c r="P3470" s="9"/>
      <c r="Q3470" s="5"/>
    </row>
    <row r="3471">
      <c r="J3471" s="5"/>
      <c r="P3471" s="9"/>
      <c r="Q3471" s="5"/>
    </row>
    <row r="3472">
      <c r="J3472" s="5"/>
      <c r="P3472" s="9"/>
      <c r="Q3472" s="5"/>
    </row>
    <row r="3473">
      <c r="J3473" s="5"/>
      <c r="P3473" s="9"/>
      <c r="Q3473" s="5"/>
    </row>
    <row r="3474">
      <c r="J3474" s="5"/>
      <c r="P3474" s="9"/>
      <c r="Q3474" s="5"/>
    </row>
    <row r="3475">
      <c r="J3475" s="5"/>
      <c r="P3475" s="9"/>
      <c r="Q3475" s="5"/>
    </row>
    <row r="3476">
      <c r="J3476" s="5"/>
      <c r="P3476" s="9"/>
      <c r="Q3476" s="5"/>
    </row>
    <row r="3477">
      <c r="J3477" s="5"/>
      <c r="P3477" s="9"/>
      <c r="Q3477" s="5"/>
    </row>
    <row r="3478">
      <c r="J3478" s="5"/>
      <c r="P3478" s="9"/>
      <c r="Q3478" s="5"/>
    </row>
    <row r="3479">
      <c r="J3479" s="5"/>
      <c r="P3479" s="9"/>
      <c r="Q3479" s="5"/>
    </row>
    <row r="3480">
      <c r="J3480" s="5"/>
      <c r="P3480" s="9"/>
      <c r="Q3480" s="5"/>
    </row>
    <row r="3481">
      <c r="J3481" s="5"/>
      <c r="P3481" s="9"/>
      <c r="Q3481" s="5"/>
    </row>
    <row r="3482">
      <c r="J3482" s="5"/>
      <c r="P3482" s="9"/>
      <c r="Q3482" s="5"/>
    </row>
    <row r="3483">
      <c r="J3483" s="5"/>
      <c r="P3483" s="9"/>
      <c r="Q3483" s="5"/>
    </row>
    <row r="3484">
      <c r="J3484" s="5"/>
      <c r="P3484" s="9"/>
      <c r="Q3484" s="5"/>
    </row>
    <row r="3485">
      <c r="J3485" s="5"/>
      <c r="P3485" s="9"/>
      <c r="Q3485" s="5"/>
    </row>
    <row r="3486">
      <c r="J3486" s="5"/>
      <c r="P3486" s="9"/>
      <c r="Q3486" s="5"/>
    </row>
    <row r="3487">
      <c r="J3487" s="5"/>
      <c r="P3487" s="9"/>
      <c r="Q3487" s="5"/>
    </row>
    <row r="3488">
      <c r="J3488" s="5"/>
      <c r="P3488" s="9"/>
      <c r="Q3488" s="5"/>
    </row>
    <row r="3489">
      <c r="J3489" s="5"/>
      <c r="P3489" s="9"/>
      <c r="Q3489" s="5"/>
    </row>
    <row r="3490">
      <c r="J3490" s="5"/>
      <c r="P3490" s="9"/>
      <c r="Q3490" s="5"/>
    </row>
    <row r="3491">
      <c r="J3491" s="5"/>
      <c r="P3491" s="9"/>
      <c r="Q3491" s="5"/>
    </row>
    <row r="3492">
      <c r="J3492" s="5"/>
      <c r="P3492" s="9"/>
      <c r="Q3492" s="5"/>
    </row>
    <row r="3493">
      <c r="J3493" s="5"/>
      <c r="P3493" s="9"/>
      <c r="Q3493" s="5"/>
    </row>
    <row r="3494">
      <c r="J3494" s="5"/>
      <c r="P3494" s="9"/>
      <c r="Q3494" s="5"/>
    </row>
    <row r="3495">
      <c r="J3495" s="5"/>
      <c r="P3495" s="9"/>
      <c r="Q3495" s="5"/>
    </row>
    <row r="3496">
      <c r="J3496" s="5"/>
      <c r="P3496" s="9"/>
      <c r="Q3496" s="5"/>
    </row>
    <row r="3497">
      <c r="J3497" s="5"/>
      <c r="P3497" s="9"/>
      <c r="Q3497" s="5"/>
    </row>
    <row r="3498">
      <c r="J3498" s="5"/>
      <c r="P3498" s="9"/>
      <c r="Q3498" s="5"/>
    </row>
    <row r="3499">
      <c r="J3499" s="5"/>
      <c r="P3499" s="9"/>
      <c r="Q3499" s="5"/>
    </row>
    <row r="3500">
      <c r="J3500" s="5"/>
      <c r="P3500" s="9"/>
      <c r="Q3500" s="5"/>
    </row>
    <row r="3501">
      <c r="J3501" s="5"/>
      <c r="P3501" s="9"/>
      <c r="Q3501" s="5"/>
    </row>
    <row r="3502">
      <c r="J3502" s="5"/>
      <c r="P3502" s="9"/>
      <c r="Q3502" s="5"/>
    </row>
    <row r="3503">
      <c r="J3503" s="5"/>
      <c r="P3503" s="9"/>
      <c r="Q3503" s="5"/>
    </row>
    <row r="3504">
      <c r="J3504" s="5"/>
      <c r="P3504" s="9"/>
      <c r="Q3504" s="5"/>
    </row>
    <row r="3505">
      <c r="J3505" s="5"/>
      <c r="P3505" s="9"/>
      <c r="Q3505" s="5"/>
    </row>
    <row r="3506">
      <c r="J3506" s="5"/>
      <c r="P3506" s="9"/>
      <c r="Q3506" s="5"/>
    </row>
    <row r="3507">
      <c r="J3507" s="5"/>
      <c r="P3507" s="9"/>
      <c r="Q3507" s="5"/>
    </row>
    <row r="3508">
      <c r="J3508" s="5"/>
      <c r="P3508" s="9"/>
      <c r="Q3508" s="5"/>
    </row>
    <row r="3509">
      <c r="J3509" s="5"/>
      <c r="P3509" s="9"/>
      <c r="Q3509" s="5"/>
    </row>
    <row r="3510">
      <c r="J3510" s="5"/>
      <c r="P3510" s="9"/>
      <c r="Q3510" s="5"/>
    </row>
    <row r="3511">
      <c r="J3511" s="5"/>
      <c r="P3511" s="9"/>
      <c r="Q3511" s="5"/>
    </row>
    <row r="3512">
      <c r="J3512" s="5"/>
      <c r="P3512" s="9"/>
      <c r="Q3512" s="5"/>
    </row>
    <row r="3513">
      <c r="J3513" s="5"/>
      <c r="P3513" s="9"/>
      <c r="Q3513" s="5"/>
    </row>
    <row r="3514">
      <c r="J3514" s="5"/>
      <c r="P3514" s="9"/>
      <c r="Q3514" s="5"/>
    </row>
    <row r="3515">
      <c r="J3515" s="5"/>
      <c r="P3515" s="9"/>
      <c r="Q3515" s="5"/>
    </row>
    <row r="3516">
      <c r="J3516" s="5"/>
      <c r="P3516" s="9"/>
      <c r="Q3516" s="5"/>
    </row>
    <row r="3517">
      <c r="J3517" s="5"/>
      <c r="P3517" s="9"/>
      <c r="Q3517" s="5"/>
    </row>
    <row r="3518">
      <c r="J3518" s="5"/>
      <c r="P3518" s="9"/>
      <c r="Q3518" s="5"/>
    </row>
    <row r="3519">
      <c r="J3519" s="5"/>
      <c r="P3519" s="9"/>
      <c r="Q3519" s="5"/>
    </row>
    <row r="3520">
      <c r="J3520" s="5"/>
      <c r="P3520" s="9"/>
      <c r="Q3520" s="5"/>
    </row>
    <row r="3521">
      <c r="J3521" s="5"/>
      <c r="P3521" s="9"/>
      <c r="Q3521" s="5"/>
    </row>
    <row r="3522">
      <c r="J3522" s="5"/>
      <c r="P3522" s="9"/>
      <c r="Q3522" s="5"/>
    </row>
    <row r="3523">
      <c r="J3523" s="5"/>
      <c r="P3523" s="9"/>
      <c r="Q3523" s="5"/>
    </row>
    <row r="3524">
      <c r="J3524" s="5"/>
      <c r="P3524" s="9"/>
      <c r="Q3524" s="5"/>
    </row>
    <row r="3525">
      <c r="J3525" s="5"/>
      <c r="P3525" s="9"/>
      <c r="Q3525" s="5"/>
    </row>
    <row r="3526">
      <c r="J3526" s="5"/>
      <c r="P3526" s="9"/>
      <c r="Q3526" s="5"/>
    </row>
    <row r="3527">
      <c r="J3527" s="5"/>
      <c r="P3527" s="9"/>
      <c r="Q3527" s="5"/>
    </row>
    <row r="3528">
      <c r="J3528" s="5"/>
      <c r="P3528" s="9"/>
      <c r="Q3528" s="5"/>
    </row>
    <row r="3529">
      <c r="J3529" s="5"/>
      <c r="P3529" s="9"/>
      <c r="Q3529" s="5"/>
    </row>
    <row r="3530">
      <c r="J3530" s="5"/>
      <c r="P3530" s="9"/>
      <c r="Q3530" s="5"/>
    </row>
    <row r="3531">
      <c r="J3531" s="5"/>
      <c r="P3531" s="9"/>
      <c r="Q3531" s="5"/>
    </row>
    <row r="3532">
      <c r="J3532" s="5"/>
      <c r="P3532" s="9"/>
      <c r="Q3532" s="5"/>
    </row>
    <row r="3533">
      <c r="J3533" s="5"/>
      <c r="P3533" s="9"/>
      <c r="Q3533" s="5"/>
    </row>
    <row r="3534">
      <c r="J3534" s="5"/>
      <c r="P3534" s="9"/>
      <c r="Q3534" s="5"/>
    </row>
    <row r="3535">
      <c r="J3535" s="5"/>
      <c r="P3535" s="9"/>
      <c r="Q3535" s="5"/>
    </row>
    <row r="3536">
      <c r="J3536" s="5"/>
      <c r="P3536" s="9"/>
      <c r="Q3536" s="5"/>
    </row>
    <row r="3537">
      <c r="J3537" s="5"/>
      <c r="P3537" s="9"/>
      <c r="Q3537" s="5"/>
    </row>
    <row r="3538">
      <c r="J3538" s="5"/>
      <c r="P3538" s="9"/>
      <c r="Q3538" s="5"/>
    </row>
    <row r="3539">
      <c r="J3539" s="5"/>
      <c r="P3539" s="9"/>
      <c r="Q3539" s="5"/>
    </row>
    <row r="3540">
      <c r="J3540" s="5"/>
      <c r="P3540" s="9"/>
      <c r="Q3540" s="5"/>
    </row>
    <row r="3541">
      <c r="J3541" s="5"/>
      <c r="P3541" s="9"/>
      <c r="Q3541" s="5"/>
    </row>
    <row r="3542">
      <c r="J3542" s="5"/>
      <c r="P3542" s="9"/>
      <c r="Q3542" s="5"/>
    </row>
    <row r="3543">
      <c r="J3543" s="5"/>
      <c r="P3543" s="9"/>
      <c r="Q3543" s="5"/>
    </row>
    <row r="3544">
      <c r="J3544" s="5"/>
      <c r="P3544" s="9"/>
      <c r="Q3544" s="5"/>
    </row>
    <row r="3545">
      <c r="J3545" s="5"/>
      <c r="P3545" s="9"/>
      <c r="Q3545" s="5"/>
    </row>
    <row r="3546">
      <c r="J3546" s="5"/>
      <c r="P3546" s="9"/>
      <c r="Q3546" s="5"/>
    </row>
    <row r="3547">
      <c r="J3547" s="5"/>
      <c r="P3547" s="9"/>
      <c r="Q3547" s="5"/>
    </row>
    <row r="3548">
      <c r="J3548" s="5"/>
      <c r="P3548" s="9"/>
      <c r="Q3548" s="5"/>
    </row>
    <row r="3549">
      <c r="J3549" s="5"/>
      <c r="P3549" s="9"/>
      <c r="Q3549" s="5"/>
    </row>
    <row r="3550">
      <c r="J3550" s="5"/>
      <c r="P3550" s="9"/>
      <c r="Q3550" s="5"/>
    </row>
    <row r="3551">
      <c r="J3551" s="5"/>
      <c r="P3551" s="9"/>
      <c r="Q3551" s="5"/>
    </row>
    <row r="3552">
      <c r="J3552" s="5"/>
      <c r="P3552" s="9"/>
      <c r="Q3552" s="5"/>
    </row>
    <row r="3553">
      <c r="J3553" s="5"/>
      <c r="P3553" s="9"/>
      <c r="Q3553" s="5"/>
    </row>
    <row r="3554">
      <c r="J3554" s="5"/>
      <c r="P3554" s="9"/>
      <c r="Q3554" s="5"/>
    </row>
    <row r="3555">
      <c r="J3555" s="5"/>
      <c r="P3555" s="9"/>
      <c r="Q3555" s="5"/>
    </row>
    <row r="3556">
      <c r="J3556" s="5"/>
      <c r="P3556" s="9"/>
      <c r="Q3556" s="5"/>
    </row>
    <row r="3557">
      <c r="J3557" s="5"/>
      <c r="P3557" s="9"/>
      <c r="Q3557" s="5"/>
    </row>
    <row r="3558">
      <c r="J3558" s="5"/>
      <c r="P3558" s="9"/>
      <c r="Q3558" s="5"/>
    </row>
    <row r="3559">
      <c r="J3559" s="5"/>
      <c r="P3559" s="9"/>
      <c r="Q3559" s="5"/>
    </row>
    <row r="3560">
      <c r="J3560" s="5"/>
      <c r="P3560" s="9"/>
      <c r="Q3560" s="5"/>
    </row>
    <row r="3561">
      <c r="J3561" s="5"/>
      <c r="P3561" s="9"/>
      <c r="Q3561" s="5"/>
    </row>
    <row r="3562">
      <c r="J3562" s="5"/>
      <c r="P3562" s="9"/>
      <c r="Q3562" s="5"/>
    </row>
    <row r="3563">
      <c r="J3563" s="5"/>
      <c r="P3563" s="9"/>
      <c r="Q3563" s="5"/>
    </row>
    <row r="3564">
      <c r="J3564" s="5"/>
      <c r="P3564" s="9"/>
      <c r="Q3564" s="5"/>
    </row>
    <row r="3565">
      <c r="J3565" s="5"/>
      <c r="P3565" s="9"/>
      <c r="Q3565" s="5"/>
    </row>
    <row r="3566">
      <c r="J3566" s="5"/>
      <c r="P3566" s="9"/>
      <c r="Q3566" s="5"/>
    </row>
    <row r="3567">
      <c r="J3567" s="5"/>
      <c r="P3567" s="9"/>
      <c r="Q3567" s="5"/>
    </row>
    <row r="3568">
      <c r="J3568" s="5"/>
      <c r="P3568" s="9"/>
      <c r="Q3568" s="5"/>
    </row>
    <row r="3569">
      <c r="J3569" s="5"/>
      <c r="P3569" s="9"/>
      <c r="Q3569" s="5"/>
    </row>
    <row r="3570">
      <c r="J3570" s="5"/>
      <c r="P3570" s="9"/>
      <c r="Q3570" s="5"/>
    </row>
    <row r="3571">
      <c r="J3571" s="5"/>
      <c r="P3571" s="9"/>
      <c r="Q3571" s="5"/>
    </row>
    <row r="3572">
      <c r="J3572" s="5"/>
      <c r="P3572" s="9"/>
      <c r="Q3572" s="5"/>
    </row>
    <row r="3573">
      <c r="J3573" s="5"/>
      <c r="P3573" s="9"/>
      <c r="Q3573" s="5"/>
    </row>
    <row r="3574">
      <c r="J3574" s="5"/>
      <c r="P3574" s="9"/>
      <c r="Q3574" s="5"/>
    </row>
    <row r="3575">
      <c r="J3575" s="5"/>
      <c r="P3575" s="9"/>
      <c r="Q3575" s="5"/>
    </row>
    <row r="3576">
      <c r="J3576" s="5"/>
      <c r="P3576" s="9"/>
      <c r="Q3576" s="5"/>
    </row>
    <row r="3577">
      <c r="J3577" s="5"/>
      <c r="P3577" s="9"/>
      <c r="Q3577" s="5"/>
    </row>
    <row r="3578">
      <c r="J3578" s="5"/>
      <c r="P3578" s="9"/>
      <c r="Q3578" s="5"/>
    </row>
    <row r="3579">
      <c r="J3579" s="5"/>
      <c r="P3579" s="9"/>
      <c r="Q3579" s="5"/>
    </row>
    <row r="3580">
      <c r="J3580" s="5"/>
      <c r="P3580" s="9"/>
      <c r="Q3580" s="5"/>
    </row>
    <row r="3581">
      <c r="J3581" s="5"/>
      <c r="P3581" s="9"/>
      <c r="Q3581" s="5"/>
    </row>
    <row r="3582">
      <c r="J3582" s="5"/>
      <c r="P3582" s="9"/>
      <c r="Q3582" s="5"/>
    </row>
    <row r="3583">
      <c r="J3583" s="5"/>
      <c r="P3583" s="9"/>
      <c r="Q3583" s="5"/>
    </row>
    <row r="3584">
      <c r="J3584" s="5"/>
      <c r="P3584" s="9"/>
      <c r="Q3584" s="5"/>
    </row>
    <row r="3585">
      <c r="J3585" s="5"/>
      <c r="P3585" s="9"/>
      <c r="Q3585" s="5"/>
    </row>
    <row r="3586">
      <c r="J3586" s="5"/>
      <c r="P3586" s="9"/>
      <c r="Q3586" s="5"/>
    </row>
    <row r="3587">
      <c r="J3587" s="5"/>
      <c r="P3587" s="9"/>
      <c r="Q3587" s="5"/>
    </row>
    <row r="3588">
      <c r="J3588" s="5"/>
      <c r="P3588" s="9"/>
      <c r="Q3588" s="5"/>
    </row>
    <row r="3589">
      <c r="J3589" s="5"/>
      <c r="P3589" s="9"/>
      <c r="Q3589" s="5"/>
    </row>
    <row r="3590">
      <c r="J3590" s="5"/>
      <c r="P3590" s="9"/>
      <c r="Q3590" s="5"/>
    </row>
    <row r="3591">
      <c r="J3591" s="5"/>
      <c r="P3591" s="9"/>
      <c r="Q3591" s="5"/>
    </row>
    <row r="3592">
      <c r="J3592" s="5"/>
      <c r="P3592" s="9"/>
      <c r="Q3592" s="5"/>
    </row>
    <row r="3593">
      <c r="J3593" s="5"/>
      <c r="P3593" s="9"/>
      <c r="Q3593" s="5"/>
    </row>
    <row r="3594">
      <c r="J3594" s="5"/>
      <c r="P3594" s="9"/>
      <c r="Q3594" s="5"/>
    </row>
    <row r="3595">
      <c r="J3595" s="5"/>
      <c r="P3595" s="9"/>
      <c r="Q3595" s="5"/>
    </row>
    <row r="3596">
      <c r="J3596" s="5"/>
      <c r="P3596" s="9"/>
      <c r="Q3596" s="5"/>
    </row>
    <row r="3597">
      <c r="J3597" s="5"/>
      <c r="P3597" s="9"/>
      <c r="Q3597" s="5"/>
    </row>
    <row r="3598">
      <c r="J3598" s="5"/>
      <c r="P3598" s="9"/>
      <c r="Q3598" s="5"/>
    </row>
    <row r="3599">
      <c r="J3599" s="5"/>
      <c r="P3599" s="9"/>
      <c r="Q3599" s="5"/>
    </row>
    <row r="3600">
      <c r="J3600" s="5"/>
      <c r="P3600" s="9"/>
      <c r="Q3600" s="5"/>
    </row>
    <row r="3601">
      <c r="J3601" s="5"/>
      <c r="P3601" s="9"/>
      <c r="Q3601" s="5"/>
    </row>
    <row r="3602">
      <c r="J3602" s="5"/>
      <c r="P3602" s="9"/>
      <c r="Q3602" s="5"/>
    </row>
    <row r="3603">
      <c r="J3603" s="5"/>
      <c r="P3603" s="9"/>
      <c r="Q3603" s="5"/>
    </row>
    <row r="3604">
      <c r="J3604" s="5"/>
      <c r="P3604" s="9"/>
      <c r="Q3604" s="5"/>
    </row>
    <row r="3605">
      <c r="J3605" s="5"/>
      <c r="P3605" s="9"/>
      <c r="Q3605" s="5"/>
    </row>
    <row r="3606">
      <c r="J3606" s="5"/>
      <c r="P3606" s="9"/>
      <c r="Q3606" s="5"/>
    </row>
    <row r="3607">
      <c r="J3607" s="5"/>
      <c r="P3607" s="9"/>
      <c r="Q3607" s="5"/>
    </row>
    <row r="3608">
      <c r="J3608" s="5"/>
      <c r="P3608" s="9"/>
      <c r="Q3608" s="5"/>
    </row>
    <row r="3609">
      <c r="J3609" s="5"/>
      <c r="P3609" s="9"/>
      <c r="Q3609" s="5"/>
    </row>
    <row r="3610">
      <c r="J3610" s="5"/>
      <c r="P3610" s="9"/>
      <c r="Q3610" s="5"/>
    </row>
    <row r="3611">
      <c r="J3611" s="5"/>
      <c r="P3611" s="9"/>
      <c r="Q3611" s="5"/>
    </row>
    <row r="3612">
      <c r="J3612" s="5"/>
      <c r="P3612" s="9"/>
      <c r="Q3612" s="5"/>
    </row>
    <row r="3613">
      <c r="J3613" s="5"/>
      <c r="P3613" s="9"/>
      <c r="Q3613" s="5"/>
    </row>
    <row r="3614">
      <c r="J3614" s="5"/>
      <c r="P3614" s="9"/>
      <c r="Q3614" s="5"/>
    </row>
    <row r="3615">
      <c r="J3615" s="5"/>
      <c r="P3615" s="9"/>
      <c r="Q3615" s="5"/>
    </row>
    <row r="3616">
      <c r="J3616" s="5"/>
      <c r="P3616" s="9"/>
      <c r="Q3616" s="5"/>
    </row>
    <row r="3617">
      <c r="J3617" s="5"/>
      <c r="P3617" s="9"/>
      <c r="Q3617" s="5"/>
    </row>
    <row r="3618">
      <c r="J3618" s="5"/>
      <c r="P3618" s="9"/>
      <c r="Q3618" s="5"/>
    </row>
    <row r="3619">
      <c r="J3619" s="5"/>
      <c r="P3619" s="9"/>
      <c r="Q3619" s="5"/>
    </row>
    <row r="3620">
      <c r="J3620" s="5"/>
      <c r="P3620" s="9"/>
      <c r="Q3620" s="5"/>
    </row>
    <row r="3621">
      <c r="J3621" s="5"/>
      <c r="P3621" s="9"/>
      <c r="Q3621" s="5"/>
    </row>
    <row r="3622">
      <c r="J3622" s="5"/>
      <c r="P3622" s="9"/>
      <c r="Q3622" s="5"/>
    </row>
    <row r="3623">
      <c r="J3623" s="5"/>
      <c r="P3623" s="9"/>
      <c r="Q3623" s="5"/>
    </row>
    <row r="3624">
      <c r="J3624" s="5"/>
      <c r="P3624" s="9"/>
      <c r="Q3624" s="5"/>
    </row>
    <row r="3625">
      <c r="J3625" s="5"/>
      <c r="P3625" s="9"/>
      <c r="Q3625" s="5"/>
    </row>
    <row r="3626">
      <c r="J3626" s="5"/>
      <c r="P3626" s="9"/>
      <c r="Q3626" s="5"/>
    </row>
    <row r="3627">
      <c r="J3627" s="5"/>
      <c r="P3627" s="9"/>
      <c r="Q3627" s="5"/>
    </row>
    <row r="3628">
      <c r="J3628" s="5"/>
      <c r="P3628" s="9"/>
      <c r="Q3628" s="5"/>
    </row>
    <row r="3629">
      <c r="J3629" s="5"/>
      <c r="P3629" s="9"/>
      <c r="Q3629" s="5"/>
    </row>
    <row r="3630">
      <c r="J3630" s="5"/>
      <c r="P3630" s="9"/>
      <c r="Q3630" s="5"/>
    </row>
    <row r="3631">
      <c r="J3631" s="5"/>
      <c r="P3631" s="9"/>
      <c r="Q3631" s="5"/>
    </row>
    <row r="3632">
      <c r="J3632" s="5"/>
      <c r="P3632" s="9"/>
      <c r="Q3632" s="5"/>
    </row>
    <row r="3633">
      <c r="J3633" s="5"/>
      <c r="P3633" s="9"/>
      <c r="Q3633" s="5"/>
    </row>
    <row r="3634">
      <c r="J3634" s="5"/>
      <c r="P3634" s="9"/>
      <c r="Q3634" s="5"/>
    </row>
    <row r="3635">
      <c r="J3635" s="5"/>
      <c r="P3635" s="9"/>
      <c r="Q3635" s="5"/>
    </row>
    <row r="3636">
      <c r="J3636" s="5"/>
      <c r="P3636" s="9"/>
      <c r="Q3636" s="5"/>
    </row>
    <row r="3637">
      <c r="J3637" s="5"/>
      <c r="P3637" s="9"/>
      <c r="Q3637" s="5"/>
    </row>
    <row r="3638">
      <c r="J3638" s="5"/>
      <c r="P3638" s="9"/>
      <c r="Q3638" s="5"/>
    </row>
    <row r="3639">
      <c r="J3639" s="5"/>
      <c r="P3639" s="9"/>
      <c r="Q3639" s="5"/>
    </row>
    <row r="3640">
      <c r="J3640" s="5"/>
      <c r="P3640" s="9"/>
      <c r="Q3640" s="5"/>
    </row>
    <row r="3641">
      <c r="J3641" s="5"/>
      <c r="P3641" s="9"/>
      <c r="Q3641" s="5"/>
    </row>
    <row r="3642">
      <c r="J3642" s="5"/>
      <c r="P3642" s="9"/>
      <c r="Q3642" s="5"/>
    </row>
    <row r="3643">
      <c r="J3643" s="5"/>
      <c r="P3643" s="9"/>
      <c r="Q3643" s="5"/>
    </row>
    <row r="3644">
      <c r="J3644" s="5"/>
      <c r="P3644" s="9"/>
      <c r="Q3644" s="5"/>
    </row>
    <row r="3645">
      <c r="J3645" s="5"/>
      <c r="P3645" s="9"/>
      <c r="Q3645" s="5"/>
    </row>
    <row r="3646">
      <c r="J3646" s="5"/>
      <c r="P3646" s="9"/>
      <c r="Q3646" s="5"/>
    </row>
    <row r="3647">
      <c r="J3647" s="5"/>
      <c r="P3647" s="9"/>
      <c r="Q3647" s="5"/>
    </row>
    <row r="3648">
      <c r="J3648" s="5"/>
      <c r="P3648" s="9"/>
      <c r="Q3648" s="5"/>
    </row>
    <row r="3649">
      <c r="J3649" s="5"/>
      <c r="P3649" s="9"/>
      <c r="Q3649" s="5"/>
    </row>
    <row r="3650">
      <c r="J3650" s="5"/>
      <c r="P3650" s="9"/>
      <c r="Q3650" s="5"/>
    </row>
    <row r="3651">
      <c r="J3651" s="5"/>
      <c r="P3651" s="9"/>
      <c r="Q3651" s="5"/>
    </row>
    <row r="3652">
      <c r="J3652" s="5"/>
      <c r="P3652" s="9"/>
      <c r="Q3652" s="5"/>
    </row>
    <row r="3653">
      <c r="J3653" s="5"/>
      <c r="P3653" s="9"/>
      <c r="Q3653" s="5"/>
    </row>
    <row r="3654">
      <c r="J3654" s="5"/>
      <c r="P3654" s="9"/>
      <c r="Q3654" s="5"/>
    </row>
    <row r="3655">
      <c r="J3655" s="5"/>
      <c r="P3655" s="9"/>
      <c r="Q3655" s="5"/>
    </row>
    <row r="3656">
      <c r="J3656" s="5"/>
      <c r="P3656" s="9"/>
      <c r="Q3656" s="5"/>
    </row>
    <row r="3657">
      <c r="J3657" s="5"/>
      <c r="P3657" s="9"/>
      <c r="Q3657" s="5"/>
    </row>
    <row r="3658">
      <c r="J3658" s="5"/>
      <c r="P3658" s="9"/>
      <c r="Q3658" s="5"/>
    </row>
    <row r="3659">
      <c r="J3659" s="5"/>
      <c r="P3659" s="9"/>
      <c r="Q3659" s="5"/>
    </row>
    <row r="3660">
      <c r="J3660" s="5"/>
      <c r="P3660" s="9"/>
      <c r="Q3660" s="5"/>
    </row>
    <row r="3661">
      <c r="J3661" s="5"/>
      <c r="P3661" s="9"/>
      <c r="Q3661" s="5"/>
    </row>
    <row r="3662">
      <c r="J3662" s="5"/>
      <c r="P3662" s="9"/>
      <c r="Q3662" s="5"/>
    </row>
    <row r="3663">
      <c r="J3663" s="5"/>
      <c r="P3663" s="9"/>
      <c r="Q3663" s="5"/>
    </row>
    <row r="3664">
      <c r="J3664" s="5"/>
      <c r="P3664" s="9"/>
      <c r="Q3664" s="5"/>
    </row>
    <row r="3665">
      <c r="J3665" s="5"/>
      <c r="P3665" s="9"/>
      <c r="Q3665" s="5"/>
    </row>
    <row r="3666">
      <c r="J3666" s="5"/>
      <c r="P3666" s="9"/>
      <c r="Q3666" s="5"/>
    </row>
    <row r="3667">
      <c r="J3667" s="5"/>
      <c r="P3667" s="9"/>
      <c r="Q3667" s="5"/>
    </row>
    <row r="3668">
      <c r="J3668" s="5"/>
      <c r="P3668" s="9"/>
      <c r="Q3668" s="5"/>
    </row>
    <row r="3669">
      <c r="J3669" s="5"/>
      <c r="P3669" s="9"/>
      <c r="Q3669" s="5"/>
    </row>
    <row r="3670">
      <c r="J3670" s="5"/>
      <c r="P3670" s="9"/>
      <c r="Q3670" s="5"/>
    </row>
    <row r="3671">
      <c r="J3671" s="5"/>
      <c r="P3671" s="9"/>
      <c r="Q3671" s="5"/>
    </row>
    <row r="3672">
      <c r="J3672" s="5"/>
      <c r="P3672" s="9"/>
      <c r="Q3672" s="5"/>
    </row>
    <row r="3673">
      <c r="J3673" s="5"/>
      <c r="P3673" s="9"/>
      <c r="Q3673" s="5"/>
    </row>
    <row r="3674">
      <c r="J3674" s="5"/>
      <c r="P3674" s="9"/>
      <c r="Q3674" s="5"/>
    </row>
    <row r="3675">
      <c r="J3675" s="5"/>
      <c r="P3675" s="9"/>
      <c r="Q3675" s="5"/>
    </row>
    <row r="3676">
      <c r="J3676" s="5"/>
      <c r="P3676" s="9"/>
      <c r="Q3676" s="5"/>
    </row>
    <row r="3677">
      <c r="J3677" s="5"/>
      <c r="P3677" s="9"/>
      <c r="Q3677" s="5"/>
    </row>
    <row r="3678">
      <c r="J3678" s="5"/>
      <c r="P3678" s="9"/>
      <c r="Q3678" s="5"/>
    </row>
    <row r="3679">
      <c r="J3679" s="5"/>
      <c r="P3679" s="9"/>
      <c r="Q3679" s="5"/>
    </row>
    <row r="3680">
      <c r="J3680" s="5"/>
      <c r="P3680" s="9"/>
      <c r="Q3680" s="5"/>
    </row>
    <row r="3681">
      <c r="J3681" s="5"/>
      <c r="P3681" s="9"/>
      <c r="Q3681" s="5"/>
    </row>
    <row r="3682">
      <c r="J3682" s="5"/>
      <c r="P3682" s="9"/>
      <c r="Q3682" s="5"/>
    </row>
    <row r="3683">
      <c r="J3683" s="5"/>
      <c r="P3683" s="9"/>
      <c r="Q3683" s="5"/>
    </row>
    <row r="3684">
      <c r="J3684" s="5"/>
      <c r="P3684" s="9"/>
      <c r="Q3684" s="5"/>
    </row>
    <row r="3685">
      <c r="J3685" s="5"/>
      <c r="P3685" s="9"/>
      <c r="Q3685" s="5"/>
    </row>
    <row r="3686">
      <c r="J3686" s="5"/>
      <c r="P3686" s="9"/>
      <c r="Q3686" s="5"/>
    </row>
    <row r="3687">
      <c r="J3687" s="5"/>
      <c r="P3687" s="9"/>
      <c r="Q3687" s="5"/>
    </row>
    <row r="3688">
      <c r="J3688" s="5"/>
      <c r="P3688" s="9"/>
      <c r="Q3688" s="5"/>
    </row>
    <row r="3689">
      <c r="J3689" s="5"/>
      <c r="P3689" s="9"/>
      <c r="Q3689" s="5"/>
    </row>
    <row r="3690">
      <c r="J3690" s="5"/>
      <c r="P3690" s="9"/>
      <c r="Q3690" s="5"/>
    </row>
    <row r="3691">
      <c r="J3691" s="5"/>
      <c r="P3691" s="9"/>
      <c r="Q3691" s="5"/>
    </row>
    <row r="3692">
      <c r="J3692" s="5"/>
      <c r="P3692" s="9"/>
      <c r="Q3692" s="5"/>
    </row>
    <row r="3693">
      <c r="J3693" s="5"/>
      <c r="P3693" s="9"/>
      <c r="Q3693" s="5"/>
    </row>
    <row r="3694">
      <c r="J3694" s="5"/>
      <c r="P3694" s="9"/>
      <c r="Q3694" s="5"/>
    </row>
    <row r="3695">
      <c r="J3695" s="5"/>
      <c r="P3695" s="9"/>
      <c r="Q3695" s="5"/>
    </row>
    <row r="3696">
      <c r="J3696" s="5"/>
      <c r="P3696" s="9"/>
      <c r="Q3696" s="5"/>
    </row>
    <row r="3697">
      <c r="J3697" s="5"/>
      <c r="P3697" s="9"/>
      <c r="Q3697" s="5"/>
    </row>
    <row r="3698">
      <c r="J3698" s="5"/>
      <c r="P3698" s="9"/>
      <c r="Q3698" s="5"/>
    </row>
    <row r="3699">
      <c r="J3699" s="5"/>
      <c r="P3699" s="9"/>
      <c r="Q3699" s="5"/>
    </row>
    <row r="3700">
      <c r="J3700" s="5"/>
      <c r="P3700" s="9"/>
      <c r="Q3700" s="5"/>
    </row>
    <row r="3701">
      <c r="J3701" s="5"/>
      <c r="P3701" s="9"/>
      <c r="Q3701" s="5"/>
    </row>
    <row r="3702">
      <c r="J3702" s="5"/>
      <c r="P3702" s="9"/>
      <c r="Q3702" s="5"/>
    </row>
    <row r="3703">
      <c r="J3703" s="5"/>
      <c r="P3703" s="9"/>
      <c r="Q3703" s="5"/>
    </row>
    <row r="3704">
      <c r="J3704" s="5"/>
      <c r="P3704" s="9"/>
      <c r="Q3704" s="5"/>
    </row>
    <row r="3705">
      <c r="J3705" s="5"/>
      <c r="P3705" s="9"/>
      <c r="Q3705" s="5"/>
    </row>
    <row r="3706">
      <c r="J3706" s="5"/>
      <c r="P3706" s="9"/>
      <c r="Q3706" s="5"/>
    </row>
    <row r="3707">
      <c r="J3707" s="5"/>
      <c r="P3707" s="9"/>
      <c r="Q3707" s="5"/>
    </row>
    <row r="3708">
      <c r="J3708" s="5"/>
      <c r="P3708" s="9"/>
      <c r="Q3708" s="5"/>
    </row>
    <row r="3709">
      <c r="J3709" s="5"/>
      <c r="P3709" s="9"/>
      <c r="Q3709" s="5"/>
    </row>
    <row r="3710">
      <c r="J3710" s="5"/>
      <c r="P3710" s="9"/>
      <c r="Q3710" s="5"/>
    </row>
    <row r="3711">
      <c r="J3711" s="5"/>
      <c r="P3711" s="9"/>
      <c r="Q3711" s="5"/>
    </row>
    <row r="3712">
      <c r="J3712" s="5"/>
      <c r="P3712" s="9"/>
      <c r="Q3712" s="5"/>
    </row>
    <row r="3713">
      <c r="J3713" s="5"/>
      <c r="P3713" s="9"/>
      <c r="Q3713" s="5"/>
    </row>
    <row r="3714">
      <c r="J3714" s="5"/>
      <c r="P3714" s="9"/>
      <c r="Q3714" s="5"/>
    </row>
    <row r="3715">
      <c r="J3715" s="5"/>
      <c r="P3715" s="9"/>
      <c r="Q3715" s="5"/>
    </row>
    <row r="3716">
      <c r="J3716" s="5"/>
      <c r="P3716" s="9"/>
      <c r="Q3716" s="5"/>
    </row>
    <row r="3717">
      <c r="J3717" s="5"/>
      <c r="P3717" s="9"/>
      <c r="Q3717" s="5"/>
    </row>
    <row r="3718">
      <c r="J3718" s="5"/>
      <c r="P3718" s="9"/>
      <c r="Q3718" s="5"/>
    </row>
    <row r="3719">
      <c r="J3719" s="5"/>
      <c r="P3719" s="9"/>
      <c r="Q3719" s="5"/>
    </row>
    <row r="3720">
      <c r="J3720" s="5"/>
      <c r="P3720" s="9"/>
      <c r="Q3720" s="5"/>
    </row>
    <row r="3721">
      <c r="J3721" s="5"/>
      <c r="P3721" s="9"/>
      <c r="Q3721" s="5"/>
    </row>
    <row r="3722">
      <c r="J3722" s="5"/>
      <c r="P3722" s="9"/>
      <c r="Q3722" s="5"/>
    </row>
    <row r="3723">
      <c r="J3723" s="5"/>
      <c r="P3723" s="9"/>
      <c r="Q3723" s="5"/>
    </row>
    <row r="3724">
      <c r="J3724" s="5"/>
      <c r="P3724" s="9"/>
      <c r="Q3724" s="5"/>
    </row>
    <row r="3725">
      <c r="J3725" s="5"/>
      <c r="P3725" s="9"/>
      <c r="Q3725" s="5"/>
    </row>
    <row r="3726">
      <c r="J3726" s="5"/>
      <c r="P3726" s="9"/>
      <c r="Q3726" s="5"/>
    </row>
    <row r="3727">
      <c r="J3727" s="5"/>
      <c r="P3727" s="9"/>
      <c r="Q3727" s="5"/>
    </row>
    <row r="3728">
      <c r="J3728" s="5"/>
      <c r="P3728" s="9"/>
      <c r="Q3728" s="5"/>
    </row>
    <row r="3729">
      <c r="J3729" s="5"/>
      <c r="P3729" s="9"/>
      <c r="Q3729" s="5"/>
    </row>
    <row r="3730">
      <c r="J3730" s="5"/>
      <c r="P3730" s="9"/>
      <c r="Q3730" s="5"/>
    </row>
    <row r="3731">
      <c r="J3731" s="5"/>
      <c r="P3731" s="9"/>
      <c r="Q3731" s="5"/>
    </row>
    <row r="3732">
      <c r="J3732" s="5"/>
      <c r="P3732" s="9"/>
      <c r="Q3732" s="5"/>
    </row>
    <row r="3733">
      <c r="J3733" s="5"/>
      <c r="P3733" s="9"/>
      <c r="Q3733" s="5"/>
    </row>
    <row r="3734">
      <c r="J3734" s="5"/>
      <c r="P3734" s="9"/>
      <c r="Q3734" s="5"/>
    </row>
    <row r="3735">
      <c r="J3735" s="5"/>
      <c r="P3735" s="9"/>
      <c r="Q3735" s="5"/>
    </row>
    <row r="3736">
      <c r="J3736" s="5"/>
      <c r="P3736" s="9"/>
      <c r="Q3736" s="5"/>
    </row>
    <row r="3737">
      <c r="J3737" s="5"/>
      <c r="P3737" s="9"/>
      <c r="Q3737" s="5"/>
    </row>
    <row r="3738">
      <c r="J3738" s="5"/>
      <c r="P3738" s="9"/>
      <c r="Q3738" s="5"/>
    </row>
    <row r="3739">
      <c r="J3739" s="5"/>
      <c r="P3739" s="9"/>
      <c r="Q3739" s="5"/>
    </row>
    <row r="3740">
      <c r="J3740" s="5"/>
      <c r="P3740" s="9"/>
      <c r="Q3740" s="5"/>
    </row>
    <row r="3741">
      <c r="J3741" s="5"/>
      <c r="P3741" s="9"/>
      <c r="Q3741" s="5"/>
    </row>
    <row r="3742">
      <c r="J3742" s="5"/>
      <c r="P3742" s="9"/>
      <c r="Q3742" s="5"/>
    </row>
    <row r="3743">
      <c r="J3743" s="5"/>
      <c r="P3743" s="9"/>
      <c r="Q3743" s="5"/>
    </row>
    <row r="3744">
      <c r="J3744" s="5"/>
      <c r="P3744" s="9"/>
      <c r="Q3744" s="5"/>
    </row>
    <row r="3745">
      <c r="J3745" s="5"/>
      <c r="P3745" s="9"/>
      <c r="Q3745" s="5"/>
    </row>
    <row r="3746">
      <c r="J3746" s="5"/>
      <c r="P3746" s="9"/>
      <c r="Q3746" s="5"/>
    </row>
    <row r="3747">
      <c r="J3747" s="5"/>
      <c r="P3747" s="9"/>
      <c r="Q3747" s="5"/>
    </row>
    <row r="3748">
      <c r="J3748" s="5"/>
      <c r="P3748" s="9"/>
      <c r="Q3748" s="5"/>
    </row>
    <row r="3749">
      <c r="J3749" s="5"/>
      <c r="P3749" s="9"/>
      <c r="Q3749" s="5"/>
    </row>
    <row r="3750">
      <c r="J3750" s="5"/>
      <c r="P3750" s="9"/>
      <c r="Q3750" s="5"/>
    </row>
    <row r="3751">
      <c r="J3751" s="5"/>
      <c r="P3751" s="9"/>
      <c r="Q3751" s="5"/>
    </row>
    <row r="3752">
      <c r="J3752" s="5"/>
      <c r="P3752" s="9"/>
      <c r="Q3752" s="5"/>
    </row>
    <row r="3753">
      <c r="J3753" s="5"/>
      <c r="P3753" s="9"/>
      <c r="Q3753" s="5"/>
    </row>
    <row r="3754">
      <c r="J3754" s="5"/>
      <c r="P3754" s="9"/>
      <c r="Q3754" s="5"/>
    </row>
    <row r="3755">
      <c r="J3755" s="5"/>
      <c r="P3755" s="9"/>
      <c r="Q3755" s="5"/>
    </row>
    <row r="3756">
      <c r="J3756" s="5"/>
      <c r="P3756" s="9"/>
      <c r="Q3756" s="5"/>
    </row>
    <row r="3757">
      <c r="J3757" s="5"/>
      <c r="P3757" s="9"/>
      <c r="Q3757" s="5"/>
    </row>
    <row r="3758">
      <c r="J3758" s="5"/>
      <c r="P3758" s="9"/>
      <c r="Q3758" s="5"/>
    </row>
    <row r="3759">
      <c r="J3759" s="5"/>
      <c r="P3759" s="9"/>
      <c r="Q3759" s="5"/>
    </row>
    <row r="3760">
      <c r="J3760" s="5"/>
      <c r="P3760" s="9"/>
      <c r="Q3760" s="5"/>
    </row>
    <row r="3761">
      <c r="J3761" s="5"/>
      <c r="P3761" s="9"/>
      <c r="Q3761" s="5"/>
    </row>
    <row r="3762">
      <c r="J3762" s="5"/>
      <c r="P3762" s="9"/>
      <c r="Q3762" s="5"/>
    </row>
    <row r="3763">
      <c r="J3763" s="5"/>
      <c r="P3763" s="9"/>
      <c r="Q3763" s="5"/>
    </row>
    <row r="3764">
      <c r="J3764" s="5"/>
      <c r="P3764" s="9"/>
      <c r="Q3764" s="5"/>
    </row>
    <row r="3765">
      <c r="J3765" s="5"/>
      <c r="P3765" s="9"/>
      <c r="Q3765" s="5"/>
    </row>
    <row r="3766">
      <c r="J3766" s="5"/>
      <c r="P3766" s="9"/>
      <c r="Q3766" s="5"/>
    </row>
    <row r="3767">
      <c r="J3767" s="5"/>
      <c r="P3767" s="9"/>
      <c r="Q3767" s="5"/>
    </row>
    <row r="3768">
      <c r="J3768" s="5"/>
      <c r="P3768" s="9"/>
      <c r="Q3768" s="5"/>
    </row>
    <row r="3769">
      <c r="J3769" s="5"/>
      <c r="P3769" s="9"/>
      <c r="Q3769" s="5"/>
    </row>
    <row r="3770">
      <c r="J3770" s="5"/>
      <c r="P3770" s="9"/>
      <c r="Q3770" s="5"/>
    </row>
    <row r="3771">
      <c r="J3771" s="5"/>
      <c r="P3771" s="9"/>
      <c r="Q3771" s="5"/>
    </row>
    <row r="3772">
      <c r="J3772" s="5"/>
      <c r="P3772" s="9"/>
      <c r="Q3772" s="5"/>
    </row>
    <row r="3773">
      <c r="J3773" s="5"/>
      <c r="P3773" s="9"/>
      <c r="Q3773" s="5"/>
    </row>
    <row r="3774">
      <c r="J3774" s="5"/>
      <c r="P3774" s="9"/>
      <c r="Q3774" s="5"/>
    </row>
    <row r="3775">
      <c r="J3775" s="5"/>
      <c r="P3775" s="9"/>
      <c r="Q3775" s="5"/>
    </row>
    <row r="3776">
      <c r="J3776" s="5"/>
      <c r="P3776" s="9"/>
      <c r="Q3776" s="5"/>
    </row>
    <row r="3777">
      <c r="J3777" s="5"/>
      <c r="P3777" s="9"/>
      <c r="Q3777" s="5"/>
    </row>
    <row r="3778">
      <c r="J3778" s="5"/>
      <c r="P3778" s="9"/>
      <c r="Q3778" s="5"/>
    </row>
    <row r="3779">
      <c r="J3779" s="5"/>
      <c r="P3779" s="9"/>
      <c r="Q3779" s="5"/>
    </row>
    <row r="3780">
      <c r="J3780" s="5"/>
      <c r="P3780" s="9"/>
      <c r="Q3780" s="5"/>
    </row>
    <row r="3781">
      <c r="J3781" s="5"/>
      <c r="P3781" s="9"/>
      <c r="Q3781" s="5"/>
    </row>
    <row r="3782">
      <c r="J3782" s="5"/>
      <c r="P3782" s="9"/>
      <c r="Q3782" s="5"/>
    </row>
    <row r="3783">
      <c r="J3783" s="5"/>
      <c r="P3783" s="9"/>
      <c r="Q3783" s="5"/>
    </row>
    <row r="3784">
      <c r="J3784" s="5"/>
      <c r="P3784" s="9"/>
      <c r="Q3784" s="5"/>
    </row>
    <row r="3785">
      <c r="J3785" s="5"/>
      <c r="P3785" s="9"/>
      <c r="Q3785" s="5"/>
    </row>
    <row r="3786">
      <c r="J3786" s="5"/>
      <c r="P3786" s="9"/>
      <c r="Q3786" s="5"/>
    </row>
    <row r="3787">
      <c r="J3787" s="5"/>
      <c r="P3787" s="9"/>
      <c r="Q3787" s="5"/>
    </row>
    <row r="3788">
      <c r="J3788" s="5"/>
      <c r="P3788" s="9"/>
      <c r="Q3788" s="5"/>
    </row>
    <row r="3789">
      <c r="J3789" s="5"/>
      <c r="P3789" s="9"/>
      <c r="Q3789" s="5"/>
    </row>
    <row r="3790">
      <c r="J3790" s="5"/>
      <c r="P3790" s="9"/>
      <c r="Q3790" s="5"/>
    </row>
    <row r="3791">
      <c r="J3791" s="5"/>
      <c r="P3791" s="9"/>
      <c r="Q3791" s="5"/>
    </row>
    <row r="3792">
      <c r="J3792" s="5"/>
      <c r="P3792" s="9"/>
      <c r="Q3792" s="5"/>
    </row>
    <row r="3793">
      <c r="J3793" s="5"/>
      <c r="P3793" s="9"/>
      <c r="Q3793" s="5"/>
    </row>
    <row r="3794">
      <c r="J3794" s="5"/>
      <c r="P3794" s="9"/>
      <c r="Q3794" s="5"/>
    </row>
    <row r="3795">
      <c r="J3795" s="5"/>
      <c r="P3795" s="9"/>
      <c r="Q3795" s="5"/>
    </row>
    <row r="3796">
      <c r="J3796" s="5"/>
      <c r="P3796" s="9"/>
      <c r="Q3796" s="5"/>
    </row>
    <row r="3797">
      <c r="J3797" s="5"/>
      <c r="P3797" s="9"/>
      <c r="Q3797" s="5"/>
    </row>
    <row r="3798">
      <c r="J3798" s="5"/>
      <c r="P3798" s="9"/>
      <c r="Q3798" s="5"/>
    </row>
    <row r="3799">
      <c r="J3799" s="5"/>
      <c r="P3799" s="9"/>
      <c r="Q3799" s="5"/>
    </row>
    <row r="3800">
      <c r="J3800" s="5"/>
      <c r="P3800" s="9"/>
      <c r="Q3800" s="5"/>
    </row>
    <row r="3801">
      <c r="J3801" s="5"/>
      <c r="P3801" s="9"/>
      <c r="Q3801" s="5"/>
    </row>
    <row r="3802">
      <c r="J3802" s="5"/>
      <c r="P3802" s="9"/>
      <c r="Q3802" s="5"/>
    </row>
    <row r="3803">
      <c r="J3803" s="5"/>
      <c r="P3803" s="9"/>
      <c r="Q3803" s="5"/>
    </row>
    <row r="3804">
      <c r="J3804" s="5"/>
      <c r="P3804" s="9"/>
      <c r="Q3804" s="5"/>
    </row>
    <row r="3805">
      <c r="J3805" s="5"/>
      <c r="P3805" s="9"/>
      <c r="Q3805" s="5"/>
    </row>
    <row r="3806">
      <c r="J3806" s="5"/>
      <c r="P3806" s="9"/>
      <c r="Q3806" s="5"/>
    </row>
    <row r="3807">
      <c r="J3807" s="5"/>
      <c r="P3807" s="9"/>
      <c r="Q3807" s="5"/>
    </row>
    <row r="3808">
      <c r="J3808" s="5"/>
      <c r="P3808" s="9"/>
      <c r="Q3808" s="5"/>
    </row>
    <row r="3809">
      <c r="J3809" s="5"/>
      <c r="P3809" s="9"/>
      <c r="Q3809" s="5"/>
    </row>
    <row r="3810">
      <c r="J3810" s="5"/>
      <c r="P3810" s="9"/>
      <c r="Q3810" s="5"/>
    </row>
    <row r="3811">
      <c r="J3811" s="5"/>
      <c r="P3811" s="9"/>
      <c r="Q3811" s="5"/>
    </row>
    <row r="3812">
      <c r="J3812" s="5"/>
      <c r="P3812" s="9"/>
      <c r="Q3812" s="5"/>
    </row>
    <row r="3813">
      <c r="J3813" s="5"/>
      <c r="P3813" s="9"/>
      <c r="Q3813" s="5"/>
    </row>
    <row r="3814">
      <c r="J3814" s="5"/>
      <c r="P3814" s="9"/>
      <c r="Q3814" s="5"/>
    </row>
    <row r="3815">
      <c r="J3815" s="5"/>
      <c r="P3815" s="9"/>
      <c r="Q3815" s="5"/>
    </row>
    <row r="3816">
      <c r="J3816" s="5"/>
      <c r="P3816" s="9"/>
      <c r="Q3816" s="5"/>
    </row>
    <row r="3817">
      <c r="J3817" s="5"/>
      <c r="P3817" s="9"/>
      <c r="Q3817" s="5"/>
    </row>
    <row r="3818">
      <c r="J3818" s="5"/>
      <c r="P3818" s="9"/>
      <c r="Q3818" s="5"/>
    </row>
    <row r="3819">
      <c r="J3819" s="5"/>
      <c r="P3819" s="9"/>
      <c r="Q3819" s="5"/>
    </row>
    <row r="3820">
      <c r="J3820" s="5"/>
      <c r="P3820" s="9"/>
      <c r="Q3820" s="5"/>
    </row>
    <row r="3821">
      <c r="J3821" s="5"/>
      <c r="P3821" s="9"/>
      <c r="Q3821" s="5"/>
    </row>
    <row r="3822">
      <c r="J3822" s="5"/>
      <c r="P3822" s="9"/>
      <c r="Q3822" s="5"/>
    </row>
    <row r="3823">
      <c r="J3823" s="5"/>
      <c r="P3823" s="9"/>
      <c r="Q3823" s="5"/>
    </row>
    <row r="3824">
      <c r="J3824" s="5"/>
      <c r="P3824" s="9"/>
      <c r="Q3824" s="5"/>
    </row>
    <row r="3825">
      <c r="J3825" s="5"/>
      <c r="P3825" s="9"/>
      <c r="Q3825" s="5"/>
    </row>
    <row r="3826">
      <c r="J3826" s="5"/>
      <c r="P3826" s="9"/>
      <c r="Q3826" s="5"/>
    </row>
    <row r="3827">
      <c r="J3827" s="5"/>
      <c r="P3827" s="9"/>
      <c r="Q3827" s="5"/>
    </row>
    <row r="3828">
      <c r="J3828" s="5"/>
      <c r="P3828" s="9"/>
      <c r="Q3828" s="5"/>
    </row>
    <row r="3829">
      <c r="J3829" s="5"/>
      <c r="P3829" s="9"/>
      <c r="Q3829" s="5"/>
    </row>
    <row r="3830">
      <c r="J3830" s="5"/>
      <c r="P3830" s="9"/>
      <c r="Q3830" s="5"/>
    </row>
    <row r="3831">
      <c r="J3831" s="5"/>
      <c r="P3831" s="9"/>
      <c r="Q3831" s="5"/>
    </row>
    <row r="3832">
      <c r="J3832" s="5"/>
      <c r="P3832" s="9"/>
      <c r="Q3832" s="5"/>
    </row>
    <row r="3833">
      <c r="J3833" s="5"/>
      <c r="P3833" s="9"/>
      <c r="Q3833" s="5"/>
    </row>
    <row r="3834">
      <c r="J3834" s="5"/>
      <c r="P3834" s="9"/>
      <c r="Q3834" s="5"/>
    </row>
    <row r="3835">
      <c r="J3835" s="5"/>
      <c r="P3835" s="9"/>
      <c r="Q3835" s="5"/>
    </row>
    <row r="3836">
      <c r="J3836" s="5"/>
      <c r="P3836" s="9"/>
      <c r="Q3836" s="5"/>
    </row>
    <row r="3837">
      <c r="J3837" s="5"/>
      <c r="P3837" s="9"/>
      <c r="Q3837" s="5"/>
    </row>
    <row r="3838">
      <c r="J3838" s="5"/>
      <c r="P3838" s="9"/>
      <c r="Q3838" s="5"/>
    </row>
    <row r="3839">
      <c r="J3839" s="5"/>
      <c r="P3839" s="9"/>
      <c r="Q3839" s="5"/>
    </row>
    <row r="3840">
      <c r="J3840" s="5"/>
      <c r="P3840" s="9"/>
      <c r="Q3840" s="5"/>
    </row>
    <row r="3841">
      <c r="J3841" s="5"/>
      <c r="P3841" s="9"/>
      <c r="Q3841" s="5"/>
    </row>
    <row r="3842">
      <c r="J3842" s="5"/>
      <c r="P3842" s="9"/>
      <c r="Q3842" s="5"/>
    </row>
    <row r="3843">
      <c r="J3843" s="5"/>
      <c r="P3843" s="9"/>
      <c r="Q3843" s="5"/>
    </row>
    <row r="3844">
      <c r="J3844" s="5"/>
      <c r="P3844" s="9"/>
      <c r="Q3844" s="5"/>
    </row>
    <row r="3845">
      <c r="J3845" s="5"/>
      <c r="P3845" s="9"/>
      <c r="Q3845" s="5"/>
    </row>
    <row r="3846">
      <c r="J3846" s="5"/>
      <c r="P3846" s="9"/>
      <c r="Q3846" s="5"/>
    </row>
    <row r="3847">
      <c r="J3847" s="5"/>
      <c r="P3847" s="9"/>
      <c r="Q3847" s="5"/>
    </row>
    <row r="3848">
      <c r="J3848" s="5"/>
      <c r="P3848" s="9"/>
      <c r="Q3848" s="5"/>
    </row>
    <row r="3849">
      <c r="J3849" s="5"/>
      <c r="P3849" s="9"/>
      <c r="Q3849" s="5"/>
    </row>
    <row r="3850">
      <c r="J3850" s="5"/>
      <c r="P3850" s="9"/>
      <c r="Q3850" s="5"/>
    </row>
    <row r="3851">
      <c r="J3851" s="5"/>
      <c r="P3851" s="9"/>
      <c r="Q3851" s="5"/>
    </row>
    <row r="3852">
      <c r="J3852" s="5"/>
      <c r="P3852" s="9"/>
      <c r="Q3852" s="5"/>
    </row>
    <row r="3853">
      <c r="J3853" s="5"/>
      <c r="P3853" s="9"/>
      <c r="Q3853" s="5"/>
    </row>
    <row r="3854">
      <c r="J3854" s="5"/>
      <c r="P3854" s="9"/>
      <c r="Q3854" s="5"/>
    </row>
    <row r="3855">
      <c r="J3855" s="5"/>
      <c r="P3855" s="9"/>
      <c r="Q3855" s="5"/>
    </row>
    <row r="3856">
      <c r="J3856" s="5"/>
      <c r="P3856" s="9"/>
      <c r="Q3856" s="5"/>
    </row>
    <row r="3857">
      <c r="J3857" s="5"/>
      <c r="P3857" s="9"/>
      <c r="Q3857" s="5"/>
    </row>
    <row r="3858">
      <c r="J3858" s="5"/>
      <c r="P3858" s="9"/>
      <c r="Q3858" s="5"/>
    </row>
    <row r="3859">
      <c r="J3859" s="5"/>
      <c r="P3859" s="9"/>
      <c r="Q3859" s="5"/>
    </row>
    <row r="3860">
      <c r="J3860" s="5"/>
      <c r="P3860" s="9"/>
      <c r="Q3860" s="5"/>
    </row>
    <row r="3861">
      <c r="J3861" s="5"/>
      <c r="P3861" s="9"/>
      <c r="Q3861" s="5"/>
    </row>
    <row r="3862">
      <c r="J3862" s="5"/>
      <c r="P3862" s="9"/>
      <c r="Q3862" s="5"/>
    </row>
    <row r="3863">
      <c r="J3863" s="5"/>
      <c r="P3863" s="9"/>
      <c r="Q3863" s="5"/>
    </row>
    <row r="3864">
      <c r="J3864" s="5"/>
      <c r="P3864" s="9"/>
      <c r="Q3864" s="5"/>
    </row>
    <row r="3865">
      <c r="J3865" s="5"/>
      <c r="P3865" s="9"/>
      <c r="Q3865" s="5"/>
    </row>
    <row r="3866">
      <c r="J3866" s="5"/>
      <c r="P3866" s="9"/>
      <c r="Q3866" s="5"/>
    </row>
    <row r="3867">
      <c r="J3867" s="5"/>
      <c r="P3867" s="9"/>
      <c r="Q3867" s="5"/>
    </row>
    <row r="3868">
      <c r="J3868" s="5"/>
      <c r="P3868" s="9"/>
      <c r="Q3868" s="5"/>
    </row>
    <row r="3869">
      <c r="J3869" s="5"/>
      <c r="P3869" s="9"/>
      <c r="Q3869" s="5"/>
    </row>
    <row r="3870">
      <c r="J3870" s="5"/>
      <c r="P3870" s="9"/>
      <c r="Q3870" s="5"/>
    </row>
    <row r="3871">
      <c r="J3871" s="5"/>
      <c r="P3871" s="9"/>
      <c r="Q3871" s="5"/>
    </row>
    <row r="3872">
      <c r="J3872" s="5"/>
      <c r="P3872" s="9"/>
      <c r="Q3872" s="5"/>
    </row>
    <row r="3873">
      <c r="J3873" s="5"/>
      <c r="P3873" s="9"/>
      <c r="Q3873" s="5"/>
    </row>
    <row r="3874">
      <c r="J3874" s="5"/>
      <c r="P3874" s="9"/>
      <c r="Q3874" s="5"/>
    </row>
    <row r="3875">
      <c r="J3875" s="5"/>
      <c r="P3875" s="9"/>
      <c r="Q3875" s="5"/>
    </row>
    <row r="3876">
      <c r="J3876" s="5"/>
      <c r="P3876" s="9"/>
      <c r="Q3876" s="5"/>
    </row>
    <row r="3877">
      <c r="J3877" s="5"/>
      <c r="P3877" s="9"/>
      <c r="Q3877" s="5"/>
    </row>
    <row r="3878">
      <c r="J3878" s="5"/>
      <c r="P3878" s="9"/>
      <c r="Q3878" s="5"/>
    </row>
    <row r="3879">
      <c r="J3879" s="5"/>
      <c r="P3879" s="9"/>
      <c r="Q3879" s="5"/>
    </row>
    <row r="3880">
      <c r="J3880" s="5"/>
      <c r="P3880" s="9"/>
      <c r="Q3880" s="5"/>
    </row>
    <row r="3881">
      <c r="J3881" s="5"/>
      <c r="P3881" s="9"/>
      <c r="Q3881" s="5"/>
    </row>
    <row r="3882">
      <c r="J3882" s="5"/>
      <c r="P3882" s="9"/>
      <c r="Q3882" s="5"/>
    </row>
    <row r="3883">
      <c r="J3883" s="5"/>
      <c r="P3883" s="9"/>
      <c r="Q3883" s="5"/>
    </row>
    <row r="3884">
      <c r="J3884" s="5"/>
      <c r="P3884" s="9"/>
      <c r="Q3884" s="5"/>
    </row>
    <row r="3885">
      <c r="J3885" s="5"/>
      <c r="P3885" s="9"/>
      <c r="Q3885" s="5"/>
    </row>
    <row r="3886">
      <c r="J3886" s="5"/>
      <c r="P3886" s="9"/>
      <c r="Q3886" s="5"/>
    </row>
    <row r="3887">
      <c r="J3887" s="5"/>
      <c r="P3887" s="9"/>
      <c r="Q3887" s="5"/>
    </row>
    <row r="3888">
      <c r="J3888" s="5"/>
      <c r="P3888" s="9"/>
      <c r="Q3888" s="5"/>
    </row>
    <row r="3889">
      <c r="J3889" s="5"/>
      <c r="P3889" s="9"/>
      <c r="Q3889" s="5"/>
    </row>
    <row r="3890">
      <c r="J3890" s="5"/>
      <c r="P3890" s="9"/>
      <c r="Q3890" s="5"/>
    </row>
    <row r="3891">
      <c r="J3891" s="5"/>
      <c r="P3891" s="9"/>
      <c r="Q3891" s="5"/>
    </row>
    <row r="3892">
      <c r="J3892" s="5"/>
      <c r="P3892" s="9"/>
      <c r="Q3892" s="5"/>
    </row>
    <row r="3893">
      <c r="J3893" s="5"/>
      <c r="P3893" s="9"/>
      <c r="Q3893" s="5"/>
    </row>
    <row r="3894">
      <c r="J3894" s="5"/>
      <c r="P3894" s="9"/>
      <c r="Q3894" s="5"/>
    </row>
    <row r="3895">
      <c r="J3895" s="5"/>
      <c r="P3895" s="9"/>
      <c r="Q3895" s="5"/>
    </row>
    <row r="3896">
      <c r="J3896" s="5"/>
      <c r="P3896" s="9"/>
      <c r="Q3896" s="5"/>
    </row>
    <row r="3897">
      <c r="J3897" s="5"/>
      <c r="P3897" s="9"/>
      <c r="Q3897" s="5"/>
    </row>
    <row r="3898">
      <c r="J3898" s="5"/>
      <c r="P3898" s="9"/>
      <c r="Q3898" s="5"/>
    </row>
    <row r="3899">
      <c r="J3899" s="5"/>
      <c r="P3899" s="9"/>
      <c r="Q3899" s="5"/>
    </row>
    <row r="3900">
      <c r="J3900" s="5"/>
      <c r="P3900" s="9"/>
      <c r="Q3900" s="5"/>
    </row>
    <row r="3901">
      <c r="J3901" s="5"/>
      <c r="P3901" s="9"/>
      <c r="Q3901" s="5"/>
    </row>
    <row r="3902">
      <c r="J3902" s="5"/>
      <c r="P3902" s="9"/>
      <c r="Q3902" s="5"/>
    </row>
    <row r="3903">
      <c r="J3903" s="5"/>
      <c r="P3903" s="9"/>
      <c r="Q3903" s="5"/>
    </row>
    <row r="3904">
      <c r="J3904" s="5"/>
      <c r="P3904" s="9"/>
      <c r="Q3904" s="5"/>
    </row>
    <row r="3905">
      <c r="J3905" s="5"/>
      <c r="P3905" s="9"/>
      <c r="Q3905" s="5"/>
    </row>
    <row r="3906">
      <c r="J3906" s="5"/>
      <c r="P3906" s="9"/>
      <c r="Q3906" s="5"/>
    </row>
    <row r="3907">
      <c r="J3907" s="5"/>
      <c r="P3907" s="9"/>
      <c r="Q3907" s="5"/>
    </row>
    <row r="3908">
      <c r="J3908" s="5"/>
      <c r="P3908" s="9"/>
      <c r="Q3908" s="5"/>
    </row>
    <row r="3909">
      <c r="J3909" s="5"/>
      <c r="P3909" s="9"/>
      <c r="Q3909" s="5"/>
    </row>
    <row r="3910">
      <c r="J3910" s="5"/>
      <c r="P3910" s="9"/>
      <c r="Q3910" s="5"/>
    </row>
    <row r="3911">
      <c r="J3911" s="5"/>
      <c r="P3911" s="9"/>
      <c r="Q3911" s="5"/>
    </row>
    <row r="3912">
      <c r="J3912" s="5"/>
      <c r="P3912" s="9"/>
      <c r="Q3912" s="5"/>
    </row>
    <row r="3913">
      <c r="J3913" s="5"/>
      <c r="P3913" s="9"/>
      <c r="Q3913" s="5"/>
    </row>
    <row r="3914">
      <c r="J3914" s="5"/>
      <c r="P3914" s="9"/>
      <c r="Q3914" s="5"/>
    </row>
    <row r="3915">
      <c r="J3915" s="5"/>
      <c r="P3915" s="9"/>
      <c r="Q3915" s="5"/>
    </row>
    <row r="3916">
      <c r="J3916" s="5"/>
      <c r="P3916" s="9"/>
      <c r="Q3916" s="5"/>
    </row>
    <row r="3917">
      <c r="J3917" s="5"/>
      <c r="P3917" s="9"/>
      <c r="Q3917" s="5"/>
    </row>
    <row r="3918">
      <c r="J3918" s="5"/>
      <c r="P3918" s="9"/>
      <c r="Q3918" s="5"/>
    </row>
    <row r="3919">
      <c r="J3919" s="5"/>
      <c r="P3919" s="9"/>
      <c r="Q3919" s="5"/>
    </row>
    <row r="3920">
      <c r="J3920" s="5"/>
      <c r="P3920" s="9"/>
      <c r="Q3920" s="5"/>
    </row>
    <row r="3921">
      <c r="J3921" s="5"/>
      <c r="P3921" s="9"/>
      <c r="Q3921" s="5"/>
    </row>
    <row r="3922">
      <c r="J3922" s="5"/>
      <c r="P3922" s="9"/>
      <c r="Q3922" s="5"/>
    </row>
    <row r="3923">
      <c r="J3923" s="5"/>
      <c r="P3923" s="9"/>
      <c r="Q3923" s="5"/>
    </row>
    <row r="3924">
      <c r="J3924" s="5"/>
      <c r="P3924" s="9"/>
      <c r="Q3924" s="5"/>
    </row>
    <row r="3925">
      <c r="J3925" s="5"/>
      <c r="P3925" s="9"/>
      <c r="Q3925" s="5"/>
    </row>
    <row r="3926">
      <c r="J3926" s="5"/>
      <c r="P3926" s="9"/>
      <c r="Q3926" s="5"/>
    </row>
    <row r="3927">
      <c r="J3927" s="5"/>
      <c r="P3927" s="9"/>
      <c r="Q3927" s="5"/>
    </row>
    <row r="3928">
      <c r="J3928" s="5"/>
      <c r="P3928" s="9"/>
      <c r="Q3928" s="5"/>
    </row>
    <row r="3929">
      <c r="J3929" s="5"/>
      <c r="P3929" s="9"/>
      <c r="Q3929" s="5"/>
    </row>
    <row r="3930">
      <c r="J3930" s="5"/>
      <c r="P3930" s="9"/>
      <c r="Q3930" s="5"/>
    </row>
    <row r="3931">
      <c r="J3931" s="5"/>
      <c r="P3931" s="9"/>
      <c r="Q3931" s="5"/>
    </row>
    <row r="3932">
      <c r="J3932" s="5"/>
      <c r="P3932" s="9"/>
      <c r="Q3932" s="5"/>
    </row>
    <row r="3933">
      <c r="J3933" s="5"/>
      <c r="P3933" s="9"/>
      <c r="Q3933" s="5"/>
    </row>
    <row r="3934">
      <c r="J3934" s="5"/>
      <c r="P3934" s="9"/>
      <c r="Q3934" s="5"/>
    </row>
    <row r="3935">
      <c r="J3935" s="5"/>
      <c r="P3935" s="9"/>
      <c r="Q3935" s="5"/>
    </row>
    <row r="3936">
      <c r="J3936" s="5"/>
      <c r="P3936" s="9"/>
      <c r="Q3936" s="5"/>
    </row>
    <row r="3937">
      <c r="J3937" s="5"/>
      <c r="P3937" s="9"/>
      <c r="Q3937" s="5"/>
    </row>
    <row r="3938">
      <c r="J3938" s="5"/>
      <c r="P3938" s="9"/>
      <c r="Q3938" s="5"/>
    </row>
    <row r="3939">
      <c r="J3939" s="5"/>
      <c r="P3939" s="9"/>
      <c r="Q3939" s="5"/>
    </row>
    <row r="3940">
      <c r="J3940" s="5"/>
      <c r="P3940" s="9"/>
      <c r="Q3940" s="5"/>
    </row>
    <row r="3941">
      <c r="J3941" s="5"/>
      <c r="P3941" s="9"/>
      <c r="Q3941" s="5"/>
    </row>
    <row r="3942">
      <c r="J3942" s="5"/>
      <c r="P3942" s="9"/>
      <c r="Q3942" s="5"/>
    </row>
    <row r="3943">
      <c r="J3943" s="5"/>
      <c r="P3943" s="9"/>
      <c r="Q3943" s="5"/>
    </row>
    <row r="3944">
      <c r="J3944" s="5"/>
      <c r="P3944" s="9"/>
      <c r="Q3944" s="5"/>
    </row>
    <row r="3945">
      <c r="J3945" s="5"/>
      <c r="P3945" s="9"/>
      <c r="Q3945" s="5"/>
    </row>
    <row r="3946">
      <c r="J3946" s="5"/>
      <c r="P3946" s="9"/>
      <c r="Q3946" s="5"/>
    </row>
    <row r="3947">
      <c r="J3947" s="5"/>
      <c r="P3947" s="9"/>
      <c r="Q3947" s="5"/>
    </row>
    <row r="3948">
      <c r="J3948" s="5"/>
      <c r="P3948" s="9"/>
      <c r="Q3948" s="5"/>
    </row>
    <row r="3949">
      <c r="J3949" s="5"/>
      <c r="P3949" s="9"/>
      <c r="Q3949" s="5"/>
    </row>
    <row r="3950">
      <c r="J3950" s="5"/>
      <c r="P3950" s="9"/>
      <c r="Q3950" s="5"/>
    </row>
    <row r="3951">
      <c r="J3951" s="5"/>
      <c r="P3951" s="9"/>
      <c r="Q3951" s="5"/>
    </row>
    <row r="3952">
      <c r="J3952" s="5"/>
      <c r="P3952" s="9"/>
      <c r="Q3952" s="5"/>
    </row>
    <row r="3953">
      <c r="J3953" s="5"/>
      <c r="P3953" s="9"/>
      <c r="Q3953" s="5"/>
    </row>
    <row r="3954">
      <c r="J3954" s="5"/>
      <c r="P3954" s="9"/>
      <c r="Q3954" s="5"/>
    </row>
    <row r="3955">
      <c r="J3955" s="5"/>
      <c r="P3955" s="9"/>
      <c r="Q3955" s="5"/>
    </row>
    <row r="3956">
      <c r="J3956" s="5"/>
      <c r="P3956" s="9"/>
      <c r="Q3956" s="5"/>
    </row>
    <row r="3957">
      <c r="J3957" s="5"/>
      <c r="P3957" s="9"/>
      <c r="Q3957" s="5"/>
    </row>
    <row r="3958">
      <c r="J3958" s="5"/>
      <c r="P3958" s="9"/>
      <c r="Q3958" s="5"/>
    </row>
    <row r="3959">
      <c r="J3959" s="5"/>
      <c r="P3959" s="9"/>
      <c r="Q3959" s="5"/>
    </row>
    <row r="3960">
      <c r="J3960" s="5"/>
      <c r="P3960" s="9"/>
      <c r="Q3960" s="5"/>
    </row>
    <row r="3961">
      <c r="J3961" s="5"/>
      <c r="P3961" s="9"/>
      <c r="Q3961" s="5"/>
    </row>
    <row r="3962">
      <c r="J3962" s="5"/>
      <c r="P3962" s="9"/>
      <c r="Q3962" s="5"/>
    </row>
    <row r="3963">
      <c r="J3963" s="5"/>
      <c r="P3963" s="9"/>
      <c r="Q3963" s="5"/>
    </row>
    <row r="3964">
      <c r="J3964" s="5"/>
      <c r="P3964" s="9"/>
      <c r="Q3964" s="5"/>
    </row>
    <row r="3965">
      <c r="J3965" s="5"/>
      <c r="P3965" s="9"/>
      <c r="Q3965" s="5"/>
    </row>
    <row r="3966">
      <c r="J3966" s="5"/>
      <c r="P3966" s="9"/>
      <c r="Q3966" s="5"/>
    </row>
    <row r="3967">
      <c r="J3967" s="5"/>
      <c r="P3967" s="9"/>
      <c r="Q3967" s="5"/>
    </row>
    <row r="3968">
      <c r="J3968" s="5"/>
      <c r="P3968" s="9"/>
      <c r="Q3968" s="5"/>
    </row>
    <row r="3969">
      <c r="J3969" s="5"/>
      <c r="P3969" s="9"/>
      <c r="Q3969" s="5"/>
    </row>
    <row r="3970">
      <c r="J3970" s="5"/>
      <c r="P3970" s="9"/>
      <c r="Q3970" s="5"/>
    </row>
    <row r="3971">
      <c r="J3971" s="5"/>
      <c r="P3971" s="9"/>
      <c r="Q3971" s="5"/>
    </row>
    <row r="3972">
      <c r="J3972" s="5"/>
      <c r="P3972" s="9"/>
      <c r="Q3972" s="5"/>
    </row>
    <row r="3973">
      <c r="J3973" s="5"/>
      <c r="P3973" s="9"/>
      <c r="Q3973" s="5"/>
    </row>
    <row r="3974">
      <c r="J3974" s="5"/>
      <c r="P3974" s="9"/>
      <c r="Q3974" s="5"/>
    </row>
    <row r="3975">
      <c r="J3975" s="5"/>
      <c r="P3975" s="9"/>
      <c r="Q3975" s="5"/>
    </row>
    <row r="3976">
      <c r="J3976" s="5"/>
      <c r="P3976" s="9"/>
      <c r="Q3976" s="5"/>
    </row>
    <row r="3977">
      <c r="J3977" s="5"/>
      <c r="P3977" s="9"/>
      <c r="Q3977" s="5"/>
    </row>
    <row r="3978">
      <c r="J3978" s="5"/>
      <c r="P3978" s="9"/>
      <c r="Q3978" s="5"/>
    </row>
    <row r="3979">
      <c r="J3979" s="5"/>
      <c r="P3979" s="9"/>
      <c r="Q3979" s="5"/>
    </row>
    <row r="3980">
      <c r="J3980" s="5"/>
      <c r="P3980" s="9"/>
      <c r="Q3980" s="5"/>
    </row>
    <row r="3981">
      <c r="J3981" s="5"/>
      <c r="P3981" s="9"/>
      <c r="Q3981" s="5"/>
    </row>
    <row r="3982">
      <c r="J3982" s="5"/>
      <c r="P3982" s="9"/>
      <c r="Q3982" s="5"/>
    </row>
    <row r="3983">
      <c r="J3983" s="5"/>
      <c r="P3983" s="9"/>
      <c r="Q3983" s="5"/>
    </row>
    <row r="3984">
      <c r="J3984" s="5"/>
      <c r="P3984" s="9"/>
      <c r="Q3984" s="5"/>
    </row>
    <row r="3985">
      <c r="J3985" s="5"/>
      <c r="P3985" s="9"/>
      <c r="Q3985" s="5"/>
    </row>
    <row r="3986">
      <c r="J3986" s="5"/>
      <c r="P3986" s="9"/>
      <c r="Q3986" s="5"/>
    </row>
    <row r="3987">
      <c r="J3987" s="5"/>
      <c r="P3987" s="9"/>
      <c r="Q3987" s="5"/>
    </row>
    <row r="3988">
      <c r="J3988" s="5"/>
      <c r="P3988" s="9"/>
      <c r="Q3988" s="5"/>
    </row>
    <row r="3989">
      <c r="J3989" s="5"/>
      <c r="P3989" s="9"/>
      <c r="Q3989" s="5"/>
    </row>
    <row r="3990">
      <c r="J3990" s="5"/>
      <c r="P3990" s="9"/>
      <c r="Q3990" s="5"/>
    </row>
    <row r="3991">
      <c r="J3991" s="5"/>
      <c r="P3991" s="9"/>
      <c r="Q3991" s="5"/>
    </row>
    <row r="3992">
      <c r="J3992" s="5"/>
      <c r="P3992" s="9"/>
      <c r="Q3992" s="5"/>
    </row>
    <row r="3993">
      <c r="J3993" s="5"/>
      <c r="P3993" s="9"/>
      <c r="Q3993" s="5"/>
    </row>
    <row r="3994">
      <c r="J3994" s="5"/>
      <c r="P3994" s="9"/>
      <c r="Q3994" s="5"/>
    </row>
    <row r="3995">
      <c r="J3995" s="5"/>
      <c r="P3995" s="9"/>
      <c r="Q3995" s="5"/>
    </row>
    <row r="3996">
      <c r="J3996" s="5"/>
      <c r="P3996" s="9"/>
      <c r="Q3996" s="5"/>
    </row>
    <row r="3997">
      <c r="J3997" s="5"/>
      <c r="P3997" s="9"/>
      <c r="Q3997" s="5"/>
    </row>
    <row r="3998">
      <c r="J3998" s="5"/>
      <c r="P3998" s="9"/>
      <c r="Q3998" s="5"/>
    </row>
    <row r="3999">
      <c r="J3999" s="5"/>
      <c r="P3999" s="9"/>
      <c r="Q3999" s="5"/>
    </row>
    <row r="4000">
      <c r="J4000" s="5"/>
      <c r="P4000" s="9"/>
      <c r="Q4000" s="5"/>
    </row>
    <row r="4001">
      <c r="J4001" s="5"/>
      <c r="P4001" s="9"/>
      <c r="Q4001" s="5"/>
    </row>
    <row r="4002">
      <c r="J4002" s="5"/>
      <c r="P4002" s="9"/>
      <c r="Q4002" s="5"/>
    </row>
    <row r="4003">
      <c r="J4003" s="5"/>
      <c r="P4003" s="9"/>
      <c r="Q4003" s="5"/>
    </row>
    <row r="4004">
      <c r="J4004" s="5"/>
      <c r="P4004" s="9"/>
      <c r="Q4004" s="5"/>
    </row>
    <row r="4005">
      <c r="J4005" s="5"/>
      <c r="P4005" s="9"/>
      <c r="Q4005" s="5"/>
    </row>
    <row r="4006">
      <c r="J4006" s="5"/>
      <c r="P4006" s="9"/>
      <c r="Q4006" s="5"/>
    </row>
    <row r="4007">
      <c r="J4007" s="5"/>
      <c r="P4007" s="9"/>
      <c r="Q4007" s="5"/>
    </row>
    <row r="4008">
      <c r="J4008" s="5"/>
      <c r="P4008" s="9"/>
      <c r="Q4008" s="5"/>
    </row>
    <row r="4009">
      <c r="J4009" s="5"/>
      <c r="P4009" s="9"/>
      <c r="Q4009" s="5"/>
    </row>
    <row r="4010">
      <c r="J4010" s="5"/>
      <c r="P4010" s="9"/>
      <c r="Q4010" s="5"/>
    </row>
    <row r="4011">
      <c r="J4011" s="5"/>
      <c r="P4011" s="9"/>
      <c r="Q4011" s="5"/>
    </row>
    <row r="4012">
      <c r="J4012" s="5"/>
      <c r="P4012" s="9"/>
      <c r="Q4012" s="5"/>
    </row>
    <row r="4013">
      <c r="J4013" s="5"/>
      <c r="P4013" s="9"/>
      <c r="Q4013" s="5"/>
    </row>
    <row r="4014">
      <c r="J4014" s="5"/>
      <c r="P4014" s="9"/>
      <c r="Q4014" s="5"/>
    </row>
    <row r="4015">
      <c r="J4015" s="5"/>
      <c r="P4015" s="9"/>
      <c r="Q4015" s="5"/>
    </row>
    <row r="4016">
      <c r="J4016" s="5"/>
      <c r="P4016" s="9"/>
      <c r="Q4016" s="5"/>
    </row>
    <row r="4017">
      <c r="J4017" s="5"/>
      <c r="P4017" s="9"/>
      <c r="Q4017" s="5"/>
    </row>
    <row r="4018">
      <c r="J4018" s="5"/>
      <c r="P4018" s="9"/>
      <c r="Q4018" s="5"/>
    </row>
    <row r="4019">
      <c r="J4019" s="5"/>
      <c r="P4019" s="9"/>
      <c r="Q4019" s="5"/>
    </row>
    <row r="4020">
      <c r="J4020" s="5"/>
      <c r="P4020" s="9"/>
      <c r="Q4020" s="5"/>
    </row>
    <row r="4021">
      <c r="J4021" s="5"/>
      <c r="P4021" s="9"/>
      <c r="Q4021" s="5"/>
    </row>
    <row r="4022">
      <c r="J4022" s="5"/>
      <c r="P4022" s="9"/>
      <c r="Q4022" s="5"/>
    </row>
    <row r="4023">
      <c r="J4023" s="5"/>
      <c r="P4023" s="9"/>
      <c r="Q4023" s="5"/>
    </row>
    <row r="4024">
      <c r="J4024" s="5"/>
      <c r="P4024" s="9"/>
      <c r="Q4024" s="5"/>
    </row>
    <row r="4025">
      <c r="J4025" s="5"/>
      <c r="P4025" s="9"/>
      <c r="Q4025" s="5"/>
    </row>
    <row r="4026">
      <c r="J4026" s="5"/>
      <c r="P4026" s="9"/>
      <c r="Q4026" s="5"/>
    </row>
    <row r="4027">
      <c r="J4027" s="5"/>
      <c r="P4027" s="9"/>
      <c r="Q4027" s="5"/>
    </row>
    <row r="4028">
      <c r="J4028" s="5"/>
      <c r="P4028" s="9"/>
      <c r="Q4028" s="5"/>
    </row>
    <row r="4029">
      <c r="J4029" s="5"/>
      <c r="P4029" s="9"/>
      <c r="Q4029" s="5"/>
    </row>
    <row r="4030">
      <c r="J4030" s="5"/>
      <c r="P4030" s="9"/>
      <c r="Q4030" s="5"/>
    </row>
    <row r="4031">
      <c r="J4031" s="5"/>
      <c r="P4031" s="9"/>
      <c r="Q4031" s="5"/>
    </row>
    <row r="4032">
      <c r="J4032" s="5"/>
      <c r="P4032" s="9"/>
      <c r="Q4032" s="5"/>
    </row>
    <row r="4033">
      <c r="J4033" s="5"/>
      <c r="P4033" s="9"/>
      <c r="Q4033" s="5"/>
    </row>
    <row r="4034">
      <c r="J4034" s="5"/>
      <c r="P4034" s="9"/>
      <c r="Q4034" s="5"/>
    </row>
    <row r="4035">
      <c r="J4035" s="5"/>
      <c r="P4035" s="9"/>
      <c r="Q4035" s="5"/>
    </row>
    <row r="4036">
      <c r="J4036" s="5"/>
      <c r="P4036" s="9"/>
      <c r="Q4036" s="5"/>
    </row>
    <row r="4037">
      <c r="J4037" s="5"/>
      <c r="P4037" s="9"/>
      <c r="Q4037" s="5"/>
    </row>
    <row r="4038">
      <c r="J4038" s="5"/>
      <c r="P4038" s="9"/>
      <c r="Q4038" s="5"/>
    </row>
    <row r="4039">
      <c r="J4039" s="5"/>
      <c r="P4039" s="9"/>
      <c r="Q4039" s="5"/>
    </row>
    <row r="4040">
      <c r="J4040" s="5"/>
      <c r="P4040" s="9"/>
      <c r="Q4040" s="5"/>
    </row>
    <row r="4041">
      <c r="J4041" s="5"/>
      <c r="P4041" s="9"/>
      <c r="Q4041" s="5"/>
    </row>
    <row r="4042">
      <c r="J4042" s="5"/>
      <c r="P4042" s="9"/>
      <c r="Q4042" s="5"/>
    </row>
    <row r="4043">
      <c r="J4043" s="5"/>
      <c r="P4043" s="9"/>
      <c r="Q4043" s="5"/>
    </row>
    <row r="4044">
      <c r="J4044" s="5"/>
      <c r="P4044" s="9"/>
      <c r="Q4044" s="5"/>
    </row>
    <row r="4045">
      <c r="J4045" s="5"/>
      <c r="P4045" s="9"/>
      <c r="Q4045" s="5"/>
    </row>
    <row r="4046">
      <c r="J4046" s="5"/>
      <c r="P4046" s="9"/>
      <c r="Q4046" s="5"/>
    </row>
    <row r="4047">
      <c r="J4047" s="5"/>
      <c r="P4047" s="9"/>
      <c r="Q4047" s="5"/>
    </row>
    <row r="4048">
      <c r="J4048" s="5"/>
      <c r="P4048" s="9"/>
      <c r="Q4048" s="5"/>
    </row>
    <row r="4049">
      <c r="J4049" s="5"/>
      <c r="P4049" s="9"/>
      <c r="Q4049" s="5"/>
    </row>
    <row r="4050">
      <c r="J4050" s="5"/>
      <c r="P4050" s="9"/>
      <c r="Q4050" s="5"/>
    </row>
    <row r="4051">
      <c r="J4051" s="5"/>
      <c r="P4051" s="9"/>
      <c r="Q4051" s="5"/>
    </row>
    <row r="4052">
      <c r="J4052" s="5"/>
      <c r="P4052" s="9"/>
      <c r="Q4052" s="5"/>
    </row>
    <row r="4053">
      <c r="J4053" s="5"/>
      <c r="P4053" s="9"/>
      <c r="Q4053" s="5"/>
    </row>
    <row r="4054">
      <c r="J4054" s="5"/>
      <c r="P4054" s="9"/>
      <c r="Q4054" s="5"/>
    </row>
    <row r="4055">
      <c r="J4055" s="5"/>
      <c r="P4055" s="9"/>
      <c r="Q4055" s="5"/>
    </row>
    <row r="4056">
      <c r="J4056" s="5"/>
      <c r="P4056" s="9"/>
      <c r="Q4056" s="5"/>
    </row>
    <row r="4057">
      <c r="J4057" s="5"/>
      <c r="P4057" s="9"/>
      <c r="Q4057" s="5"/>
    </row>
    <row r="4058">
      <c r="J4058" s="5"/>
      <c r="P4058" s="9"/>
      <c r="Q4058" s="5"/>
    </row>
    <row r="4059">
      <c r="J4059" s="5"/>
      <c r="P4059" s="9"/>
      <c r="Q4059" s="5"/>
    </row>
    <row r="4060">
      <c r="J4060" s="5"/>
      <c r="P4060" s="9"/>
      <c r="Q4060" s="5"/>
    </row>
    <row r="4061">
      <c r="J4061" s="5"/>
      <c r="P4061" s="9"/>
      <c r="Q4061" s="5"/>
    </row>
    <row r="4062">
      <c r="J4062" s="5"/>
      <c r="P4062" s="9"/>
      <c r="Q4062" s="5"/>
    </row>
    <row r="4063">
      <c r="J4063" s="5"/>
      <c r="P4063" s="9"/>
      <c r="Q4063" s="5"/>
    </row>
    <row r="4064">
      <c r="J4064" s="5"/>
      <c r="P4064" s="9"/>
      <c r="Q4064" s="5"/>
    </row>
    <row r="4065">
      <c r="J4065" s="5"/>
      <c r="P4065" s="9"/>
      <c r="Q4065" s="5"/>
    </row>
    <row r="4066">
      <c r="J4066" s="5"/>
      <c r="P4066" s="9"/>
      <c r="Q4066" s="5"/>
    </row>
    <row r="4067">
      <c r="J4067" s="5"/>
      <c r="P4067" s="9"/>
      <c r="Q4067" s="5"/>
    </row>
    <row r="4068">
      <c r="J4068" s="5"/>
      <c r="P4068" s="9"/>
      <c r="Q4068" s="5"/>
    </row>
    <row r="4069">
      <c r="J4069" s="5"/>
      <c r="P4069" s="9"/>
      <c r="Q4069" s="5"/>
    </row>
    <row r="4070">
      <c r="J4070" s="5"/>
      <c r="P4070" s="9"/>
      <c r="Q4070" s="5"/>
    </row>
    <row r="4071">
      <c r="J4071" s="5"/>
      <c r="P4071" s="9"/>
      <c r="Q4071" s="5"/>
    </row>
    <row r="4072">
      <c r="J4072" s="5"/>
      <c r="P4072" s="9"/>
      <c r="Q4072" s="5"/>
    </row>
    <row r="4073">
      <c r="J4073" s="5"/>
      <c r="P4073" s="9"/>
      <c r="Q4073" s="5"/>
    </row>
    <row r="4074">
      <c r="J4074" s="5"/>
      <c r="P4074" s="9"/>
      <c r="Q4074" s="5"/>
    </row>
    <row r="4075">
      <c r="J4075" s="5"/>
      <c r="P4075" s="9"/>
      <c r="Q4075" s="5"/>
    </row>
    <row r="4076">
      <c r="J4076" s="5"/>
      <c r="P4076" s="9"/>
      <c r="Q4076" s="5"/>
    </row>
    <row r="4077">
      <c r="J4077" s="5"/>
      <c r="P4077" s="9"/>
      <c r="Q4077" s="5"/>
    </row>
    <row r="4078">
      <c r="J4078" s="5"/>
      <c r="P4078" s="9"/>
      <c r="Q4078" s="5"/>
    </row>
    <row r="4079">
      <c r="J4079" s="5"/>
      <c r="P4079" s="9"/>
      <c r="Q4079" s="5"/>
    </row>
    <row r="4080">
      <c r="J4080" s="5"/>
      <c r="P4080" s="9"/>
      <c r="Q4080" s="5"/>
    </row>
    <row r="4081">
      <c r="J4081" s="5"/>
      <c r="P4081" s="9"/>
      <c r="Q4081" s="5"/>
    </row>
    <row r="4082">
      <c r="J4082" s="5"/>
      <c r="P4082" s="9"/>
      <c r="Q4082" s="5"/>
    </row>
    <row r="4083">
      <c r="J4083" s="5"/>
      <c r="P4083" s="9"/>
      <c r="Q4083" s="5"/>
    </row>
    <row r="4084">
      <c r="J4084" s="5"/>
      <c r="P4084" s="9"/>
      <c r="Q4084" s="5"/>
    </row>
    <row r="4085">
      <c r="J4085" s="5"/>
      <c r="P4085" s="9"/>
      <c r="Q4085" s="5"/>
    </row>
    <row r="4086">
      <c r="J4086" s="5"/>
      <c r="P4086" s="9"/>
      <c r="Q4086" s="5"/>
    </row>
    <row r="4087">
      <c r="J4087" s="5"/>
      <c r="P4087" s="9"/>
      <c r="Q4087" s="5"/>
    </row>
    <row r="4088">
      <c r="J4088" s="5"/>
      <c r="P4088" s="9"/>
      <c r="Q4088" s="5"/>
    </row>
    <row r="4089">
      <c r="J4089" s="5"/>
      <c r="P4089" s="9"/>
      <c r="Q4089" s="5"/>
    </row>
    <row r="4090">
      <c r="J4090" s="5"/>
      <c r="P4090" s="9"/>
      <c r="Q4090" s="5"/>
    </row>
    <row r="4091">
      <c r="J4091" s="5"/>
      <c r="P4091" s="9"/>
      <c r="Q4091" s="5"/>
    </row>
    <row r="4092">
      <c r="J4092" s="5"/>
      <c r="P4092" s="9"/>
      <c r="Q4092" s="5"/>
    </row>
    <row r="4093">
      <c r="J4093" s="5"/>
      <c r="P4093" s="9"/>
      <c r="Q4093" s="5"/>
    </row>
    <row r="4094">
      <c r="J4094" s="5"/>
      <c r="P4094" s="9"/>
      <c r="Q4094" s="5"/>
    </row>
    <row r="4095">
      <c r="J4095" s="5"/>
      <c r="P4095" s="9"/>
      <c r="Q4095" s="5"/>
    </row>
    <row r="4096">
      <c r="J4096" s="5"/>
      <c r="P4096" s="9"/>
      <c r="Q4096" s="5"/>
    </row>
    <row r="4097">
      <c r="J4097" s="5"/>
      <c r="P4097" s="9"/>
      <c r="Q4097" s="5"/>
    </row>
    <row r="4098">
      <c r="J4098" s="5"/>
      <c r="P4098" s="9"/>
      <c r="Q4098" s="5"/>
    </row>
    <row r="4099">
      <c r="J4099" s="5"/>
      <c r="P4099" s="9"/>
      <c r="Q4099" s="5"/>
    </row>
    <row r="4100">
      <c r="J4100" s="5"/>
      <c r="P4100" s="9"/>
      <c r="Q4100" s="5"/>
    </row>
    <row r="4101">
      <c r="J4101" s="5"/>
      <c r="P4101" s="9"/>
      <c r="Q4101" s="5"/>
    </row>
    <row r="4102">
      <c r="J4102" s="5"/>
      <c r="P4102" s="9"/>
      <c r="Q4102" s="5"/>
    </row>
    <row r="4103">
      <c r="J4103" s="5"/>
      <c r="P4103" s="9"/>
      <c r="Q4103" s="5"/>
    </row>
    <row r="4104">
      <c r="J4104" s="5"/>
      <c r="P4104" s="9"/>
      <c r="Q4104" s="5"/>
    </row>
    <row r="4105">
      <c r="J4105" s="5"/>
      <c r="P4105" s="9"/>
      <c r="Q4105" s="5"/>
    </row>
    <row r="4106">
      <c r="J4106" s="5"/>
      <c r="P4106" s="9"/>
      <c r="Q4106" s="5"/>
    </row>
    <row r="4107">
      <c r="J4107" s="5"/>
      <c r="P4107" s="9"/>
      <c r="Q4107" s="5"/>
    </row>
    <row r="4108">
      <c r="J4108" s="5"/>
      <c r="P4108" s="9"/>
      <c r="Q4108" s="5"/>
    </row>
    <row r="4109">
      <c r="J4109" s="5"/>
      <c r="P4109" s="9"/>
      <c r="Q4109" s="5"/>
    </row>
    <row r="4110">
      <c r="J4110" s="5"/>
      <c r="P4110" s="9"/>
      <c r="Q4110" s="5"/>
    </row>
    <row r="4111">
      <c r="J4111" s="5"/>
      <c r="P4111" s="9"/>
      <c r="Q4111" s="5"/>
    </row>
    <row r="4112">
      <c r="J4112" s="5"/>
      <c r="P4112" s="9"/>
      <c r="Q4112" s="5"/>
    </row>
    <row r="4113">
      <c r="J4113" s="5"/>
      <c r="P4113" s="9"/>
      <c r="Q4113" s="5"/>
    </row>
    <row r="4114">
      <c r="J4114" s="5"/>
      <c r="P4114" s="9"/>
      <c r="Q4114" s="5"/>
    </row>
    <row r="4115">
      <c r="J4115" s="5"/>
      <c r="P4115" s="9"/>
      <c r="Q4115" s="5"/>
    </row>
    <row r="4116">
      <c r="J4116" s="5"/>
      <c r="P4116" s="9"/>
      <c r="Q4116" s="5"/>
    </row>
    <row r="4117">
      <c r="J4117" s="5"/>
      <c r="P4117" s="9"/>
      <c r="Q4117" s="5"/>
    </row>
    <row r="4118">
      <c r="J4118" s="5"/>
      <c r="P4118" s="9"/>
      <c r="Q4118" s="5"/>
    </row>
    <row r="4119">
      <c r="J4119" s="5"/>
      <c r="P4119" s="9"/>
      <c r="Q4119" s="5"/>
    </row>
    <row r="4120">
      <c r="J4120" s="5"/>
      <c r="P4120" s="9"/>
      <c r="Q4120" s="5"/>
    </row>
    <row r="4121">
      <c r="J4121" s="5"/>
      <c r="P4121" s="9"/>
      <c r="Q4121" s="5"/>
    </row>
    <row r="4122">
      <c r="J4122" s="5"/>
      <c r="P4122" s="9"/>
      <c r="Q4122" s="5"/>
    </row>
    <row r="4123">
      <c r="J4123" s="5"/>
      <c r="P4123" s="9"/>
      <c r="Q4123" s="5"/>
    </row>
    <row r="4124">
      <c r="J4124" s="5"/>
      <c r="P4124" s="9"/>
      <c r="Q4124" s="5"/>
    </row>
    <row r="4125">
      <c r="J4125" s="5"/>
      <c r="P4125" s="9"/>
      <c r="Q4125" s="5"/>
    </row>
    <row r="4126">
      <c r="J4126" s="5"/>
      <c r="P4126" s="9"/>
      <c r="Q4126" s="5"/>
    </row>
    <row r="4127">
      <c r="J4127" s="5"/>
      <c r="P4127" s="9"/>
      <c r="Q4127" s="5"/>
    </row>
    <row r="4128">
      <c r="J4128" s="5"/>
      <c r="P4128" s="9"/>
      <c r="Q4128" s="5"/>
    </row>
    <row r="4129">
      <c r="J4129" s="5"/>
      <c r="P4129" s="9"/>
      <c r="Q4129" s="5"/>
    </row>
    <row r="4130">
      <c r="J4130" s="5"/>
      <c r="P4130" s="9"/>
      <c r="Q4130" s="5"/>
    </row>
    <row r="4131">
      <c r="J4131" s="5"/>
      <c r="P4131" s="9"/>
      <c r="Q4131" s="5"/>
    </row>
    <row r="4132">
      <c r="J4132" s="5"/>
      <c r="P4132" s="9"/>
      <c r="Q4132" s="5"/>
    </row>
    <row r="4133">
      <c r="J4133" s="5"/>
      <c r="P4133" s="9"/>
      <c r="Q4133" s="5"/>
    </row>
    <row r="4134">
      <c r="J4134" s="5"/>
      <c r="P4134" s="9"/>
      <c r="Q4134" s="5"/>
    </row>
    <row r="4135">
      <c r="J4135" s="5"/>
      <c r="P4135" s="9"/>
      <c r="Q4135" s="5"/>
    </row>
    <row r="4136">
      <c r="J4136" s="5"/>
      <c r="P4136" s="9"/>
      <c r="Q4136" s="5"/>
    </row>
    <row r="4137">
      <c r="J4137" s="5"/>
      <c r="P4137" s="9"/>
      <c r="Q4137" s="5"/>
    </row>
    <row r="4138">
      <c r="J4138" s="5"/>
      <c r="P4138" s="9"/>
      <c r="Q4138" s="5"/>
    </row>
    <row r="4139">
      <c r="J4139" s="5"/>
      <c r="P4139" s="9"/>
      <c r="Q4139" s="5"/>
    </row>
    <row r="4140">
      <c r="J4140" s="5"/>
      <c r="P4140" s="9"/>
      <c r="Q4140" s="5"/>
    </row>
    <row r="4141">
      <c r="J4141" s="5"/>
      <c r="P4141" s="9"/>
      <c r="Q4141" s="5"/>
    </row>
    <row r="4142">
      <c r="J4142" s="5"/>
      <c r="P4142" s="9"/>
      <c r="Q4142" s="5"/>
    </row>
    <row r="4143">
      <c r="J4143" s="5"/>
      <c r="P4143" s="9"/>
      <c r="Q4143" s="5"/>
    </row>
    <row r="4144">
      <c r="J4144" s="5"/>
      <c r="P4144" s="9"/>
      <c r="Q4144" s="5"/>
    </row>
    <row r="4145">
      <c r="J4145" s="5"/>
      <c r="P4145" s="9"/>
      <c r="Q4145" s="5"/>
    </row>
    <row r="4146">
      <c r="J4146" s="5"/>
      <c r="P4146" s="9"/>
      <c r="Q4146" s="5"/>
    </row>
    <row r="4147">
      <c r="J4147" s="5"/>
      <c r="P4147" s="9"/>
      <c r="Q4147" s="5"/>
    </row>
    <row r="4148">
      <c r="J4148" s="5"/>
      <c r="P4148" s="9"/>
      <c r="Q4148" s="5"/>
    </row>
    <row r="4149">
      <c r="J4149" s="5"/>
      <c r="P4149" s="9"/>
      <c r="Q4149" s="5"/>
    </row>
    <row r="4150">
      <c r="J4150" s="5"/>
      <c r="P4150" s="9"/>
      <c r="Q4150" s="5"/>
    </row>
    <row r="4151">
      <c r="J4151" s="5"/>
      <c r="P4151" s="9"/>
      <c r="Q4151" s="5"/>
    </row>
    <row r="4152">
      <c r="J4152" s="5"/>
      <c r="P4152" s="9"/>
      <c r="Q4152" s="5"/>
    </row>
    <row r="4153">
      <c r="J4153" s="5"/>
      <c r="P4153" s="9"/>
      <c r="Q4153" s="5"/>
    </row>
    <row r="4154">
      <c r="J4154" s="5"/>
      <c r="P4154" s="9"/>
      <c r="Q4154" s="5"/>
    </row>
    <row r="4155">
      <c r="J4155" s="5"/>
      <c r="P4155" s="9"/>
      <c r="Q4155" s="5"/>
    </row>
    <row r="4156">
      <c r="J4156" s="5"/>
      <c r="P4156" s="9"/>
      <c r="Q4156" s="5"/>
    </row>
    <row r="4157">
      <c r="J4157" s="5"/>
      <c r="P4157" s="9"/>
      <c r="Q4157" s="5"/>
    </row>
    <row r="4158">
      <c r="J4158" s="5"/>
      <c r="P4158" s="9"/>
      <c r="Q4158" s="5"/>
    </row>
    <row r="4159">
      <c r="J4159" s="5"/>
      <c r="P4159" s="9"/>
      <c r="Q4159" s="5"/>
    </row>
    <row r="4160">
      <c r="J4160" s="5"/>
      <c r="P4160" s="9"/>
      <c r="Q4160" s="5"/>
    </row>
    <row r="4161">
      <c r="J4161" s="5"/>
      <c r="P4161" s="9"/>
      <c r="Q4161" s="5"/>
    </row>
    <row r="4162">
      <c r="J4162" s="5"/>
      <c r="P4162" s="9"/>
      <c r="Q4162" s="5"/>
    </row>
    <row r="4163">
      <c r="J4163" s="5"/>
      <c r="P4163" s="9"/>
      <c r="Q4163" s="5"/>
    </row>
    <row r="4164">
      <c r="J4164" s="5"/>
      <c r="P4164" s="9"/>
      <c r="Q4164" s="5"/>
    </row>
    <row r="4165">
      <c r="J4165" s="5"/>
      <c r="P4165" s="9"/>
      <c r="Q4165" s="5"/>
    </row>
    <row r="4166">
      <c r="J4166" s="5"/>
      <c r="P4166" s="9"/>
      <c r="Q4166" s="5"/>
    </row>
    <row r="4167">
      <c r="J4167" s="5"/>
      <c r="P4167" s="9"/>
      <c r="Q4167" s="5"/>
    </row>
    <row r="4168">
      <c r="J4168" s="5"/>
      <c r="P4168" s="9"/>
      <c r="Q4168" s="5"/>
    </row>
    <row r="4169">
      <c r="J4169" s="5"/>
      <c r="P4169" s="9"/>
      <c r="Q4169" s="5"/>
    </row>
    <row r="4170">
      <c r="J4170" s="5"/>
      <c r="P4170" s="9"/>
      <c r="Q4170" s="5"/>
    </row>
    <row r="4171">
      <c r="J4171" s="5"/>
      <c r="P4171" s="9"/>
      <c r="Q4171" s="5"/>
    </row>
    <row r="4172">
      <c r="J4172" s="5"/>
      <c r="P4172" s="9"/>
      <c r="Q4172" s="5"/>
    </row>
    <row r="4173">
      <c r="J4173" s="5"/>
      <c r="P4173" s="9"/>
      <c r="Q4173" s="5"/>
    </row>
    <row r="4174">
      <c r="J4174" s="5"/>
      <c r="P4174" s="9"/>
      <c r="Q4174" s="5"/>
    </row>
    <row r="4175">
      <c r="J4175" s="5"/>
      <c r="P4175" s="9"/>
      <c r="Q4175" s="5"/>
    </row>
    <row r="4176">
      <c r="J4176" s="5"/>
      <c r="P4176" s="9"/>
      <c r="Q4176" s="5"/>
    </row>
    <row r="4177">
      <c r="J4177" s="5"/>
      <c r="P4177" s="9"/>
      <c r="Q4177" s="5"/>
    </row>
    <row r="4178">
      <c r="J4178" s="5"/>
      <c r="P4178" s="9"/>
      <c r="Q4178" s="5"/>
    </row>
    <row r="4179">
      <c r="J4179" s="5"/>
      <c r="P4179" s="9"/>
      <c r="Q4179" s="5"/>
    </row>
    <row r="4180">
      <c r="J4180" s="5"/>
      <c r="P4180" s="9"/>
      <c r="Q4180" s="5"/>
    </row>
    <row r="4181">
      <c r="J4181" s="5"/>
      <c r="P4181" s="9"/>
      <c r="Q4181" s="5"/>
    </row>
    <row r="4182">
      <c r="J4182" s="5"/>
      <c r="P4182" s="9"/>
      <c r="Q4182" s="5"/>
    </row>
    <row r="4183">
      <c r="J4183" s="5"/>
      <c r="P4183" s="9"/>
      <c r="Q4183" s="5"/>
    </row>
    <row r="4184">
      <c r="J4184" s="5"/>
      <c r="P4184" s="9"/>
      <c r="Q4184" s="5"/>
    </row>
    <row r="4185">
      <c r="J4185" s="5"/>
      <c r="P4185" s="9"/>
      <c r="Q4185" s="5"/>
    </row>
    <row r="4186">
      <c r="J4186" s="5"/>
      <c r="P4186" s="9"/>
      <c r="Q4186" s="5"/>
    </row>
    <row r="4187">
      <c r="J4187" s="5"/>
      <c r="P4187" s="9"/>
      <c r="Q4187" s="5"/>
    </row>
    <row r="4188">
      <c r="J4188" s="5"/>
      <c r="P4188" s="9"/>
      <c r="Q4188" s="5"/>
    </row>
    <row r="4189">
      <c r="J4189" s="5"/>
      <c r="P4189" s="9"/>
      <c r="Q4189" s="5"/>
    </row>
    <row r="4190">
      <c r="J4190" s="5"/>
      <c r="P4190" s="9"/>
      <c r="Q4190" s="5"/>
    </row>
    <row r="4191">
      <c r="J4191" s="5"/>
      <c r="P4191" s="9"/>
      <c r="Q4191" s="5"/>
    </row>
    <row r="4192">
      <c r="J4192" s="5"/>
      <c r="P4192" s="9"/>
      <c r="Q4192" s="5"/>
    </row>
    <row r="4193">
      <c r="J4193" s="5"/>
      <c r="P4193" s="9"/>
      <c r="Q4193" s="5"/>
    </row>
    <row r="4194">
      <c r="J4194" s="5"/>
      <c r="P4194" s="9"/>
      <c r="Q4194" s="5"/>
    </row>
    <row r="4195">
      <c r="J4195" s="5"/>
      <c r="P4195" s="9"/>
      <c r="Q4195" s="5"/>
    </row>
    <row r="4196">
      <c r="J4196" s="5"/>
      <c r="P4196" s="9"/>
      <c r="Q4196" s="5"/>
    </row>
    <row r="4197">
      <c r="J4197" s="5"/>
      <c r="P4197" s="9"/>
      <c r="Q4197" s="5"/>
    </row>
    <row r="4198">
      <c r="J4198" s="5"/>
      <c r="P4198" s="9"/>
      <c r="Q4198" s="5"/>
    </row>
    <row r="4199">
      <c r="J4199" s="5"/>
      <c r="P4199" s="9"/>
      <c r="Q4199" s="5"/>
    </row>
    <row r="4200">
      <c r="J4200" s="5"/>
      <c r="P4200" s="9"/>
      <c r="Q4200" s="5"/>
    </row>
    <row r="4201">
      <c r="J4201" s="5"/>
      <c r="P4201" s="9"/>
      <c r="Q4201" s="5"/>
    </row>
    <row r="4202">
      <c r="J4202" s="5"/>
      <c r="P4202" s="9"/>
      <c r="Q4202" s="5"/>
    </row>
    <row r="4203">
      <c r="J4203" s="5"/>
      <c r="P4203" s="9"/>
      <c r="Q4203" s="5"/>
    </row>
    <row r="4204">
      <c r="J4204" s="5"/>
      <c r="P4204" s="9"/>
      <c r="Q4204" s="5"/>
    </row>
    <row r="4205">
      <c r="J4205" s="5"/>
      <c r="P4205" s="9"/>
      <c r="Q4205" s="5"/>
    </row>
    <row r="4206">
      <c r="J4206" s="5"/>
      <c r="P4206" s="9"/>
      <c r="Q4206" s="5"/>
    </row>
    <row r="4207">
      <c r="J4207" s="5"/>
      <c r="P4207" s="9"/>
      <c r="Q4207" s="5"/>
    </row>
    <row r="4208">
      <c r="J4208" s="5"/>
      <c r="P4208" s="9"/>
      <c r="Q4208" s="5"/>
    </row>
    <row r="4209">
      <c r="J4209" s="5"/>
      <c r="P4209" s="9"/>
      <c r="Q4209" s="5"/>
    </row>
    <row r="4210">
      <c r="J4210" s="5"/>
      <c r="P4210" s="9"/>
      <c r="Q4210" s="5"/>
    </row>
    <row r="4211">
      <c r="J4211" s="5"/>
      <c r="P4211" s="9"/>
      <c r="Q4211" s="5"/>
    </row>
    <row r="4212">
      <c r="J4212" s="5"/>
      <c r="P4212" s="9"/>
      <c r="Q4212" s="5"/>
    </row>
    <row r="4213">
      <c r="J4213" s="5"/>
      <c r="P4213" s="9"/>
      <c r="Q4213" s="5"/>
    </row>
    <row r="4214">
      <c r="J4214" s="5"/>
      <c r="P4214" s="9"/>
      <c r="Q4214" s="5"/>
    </row>
    <row r="4215">
      <c r="J4215" s="5"/>
      <c r="P4215" s="9"/>
      <c r="Q4215" s="5"/>
    </row>
    <row r="4216">
      <c r="J4216" s="5"/>
      <c r="P4216" s="9"/>
      <c r="Q4216" s="5"/>
    </row>
    <row r="4217">
      <c r="J4217" s="5"/>
      <c r="P4217" s="9"/>
      <c r="Q4217" s="5"/>
    </row>
    <row r="4218">
      <c r="J4218" s="5"/>
      <c r="P4218" s="9"/>
      <c r="Q4218" s="5"/>
    </row>
    <row r="4219">
      <c r="J4219" s="5"/>
      <c r="P4219" s="9"/>
      <c r="Q4219" s="5"/>
    </row>
    <row r="4220">
      <c r="J4220" s="5"/>
      <c r="P4220" s="9"/>
      <c r="Q4220" s="5"/>
    </row>
    <row r="4221">
      <c r="J4221" s="5"/>
      <c r="P4221" s="9"/>
      <c r="Q4221" s="5"/>
    </row>
    <row r="4222">
      <c r="J4222" s="5"/>
      <c r="P4222" s="9"/>
      <c r="Q4222" s="5"/>
    </row>
    <row r="4223">
      <c r="J4223" s="5"/>
      <c r="P4223" s="9"/>
      <c r="Q4223" s="5"/>
    </row>
    <row r="4224">
      <c r="J4224" s="5"/>
      <c r="P4224" s="9"/>
      <c r="Q4224" s="5"/>
    </row>
    <row r="4225">
      <c r="J4225" s="5"/>
      <c r="P4225" s="9"/>
      <c r="Q4225" s="5"/>
    </row>
    <row r="4226">
      <c r="J4226" s="5"/>
      <c r="P4226" s="9"/>
      <c r="Q4226" s="5"/>
    </row>
    <row r="4227">
      <c r="J4227" s="5"/>
      <c r="P4227" s="9"/>
      <c r="Q4227" s="5"/>
    </row>
    <row r="4228">
      <c r="J4228" s="5"/>
      <c r="P4228" s="9"/>
      <c r="Q4228" s="5"/>
    </row>
    <row r="4229">
      <c r="J4229" s="5"/>
      <c r="P4229" s="9"/>
      <c r="Q4229" s="5"/>
    </row>
    <row r="4230">
      <c r="J4230" s="5"/>
      <c r="P4230" s="9"/>
      <c r="Q4230" s="5"/>
    </row>
    <row r="4231">
      <c r="J4231" s="5"/>
      <c r="P4231" s="9"/>
      <c r="Q4231" s="5"/>
    </row>
    <row r="4232">
      <c r="J4232" s="5"/>
      <c r="P4232" s="9"/>
      <c r="Q4232" s="5"/>
    </row>
    <row r="4233">
      <c r="J4233" s="5"/>
      <c r="P4233" s="9"/>
      <c r="Q4233" s="5"/>
    </row>
    <row r="4234">
      <c r="J4234" s="5"/>
      <c r="P4234" s="9"/>
      <c r="Q4234" s="5"/>
    </row>
    <row r="4235">
      <c r="J4235" s="5"/>
      <c r="P4235" s="9"/>
      <c r="Q4235" s="5"/>
    </row>
    <row r="4236">
      <c r="J4236" s="5"/>
      <c r="P4236" s="9"/>
      <c r="Q4236" s="5"/>
    </row>
    <row r="4237">
      <c r="J4237" s="5"/>
      <c r="P4237" s="9"/>
      <c r="Q4237" s="5"/>
    </row>
    <row r="4238">
      <c r="J4238" s="5"/>
      <c r="P4238" s="9"/>
      <c r="Q4238" s="5"/>
    </row>
    <row r="4239">
      <c r="J4239" s="5"/>
      <c r="P4239" s="9"/>
      <c r="Q4239" s="5"/>
    </row>
    <row r="4240">
      <c r="J4240" s="5"/>
      <c r="P4240" s="9"/>
      <c r="Q4240" s="5"/>
    </row>
    <row r="4241">
      <c r="J4241" s="5"/>
      <c r="P4241" s="9"/>
      <c r="Q4241" s="5"/>
    </row>
    <row r="4242">
      <c r="J4242" s="5"/>
      <c r="P4242" s="9"/>
      <c r="Q4242" s="5"/>
    </row>
    <row r="4243">
      <c r="J4243" s="5"/>
      <c r="P4243" s="9"/>
      <c r="Q4243" s="5"/>
    </row>
    <row r="4244">
      <c r="J4244" s="5"/>
      <c r="P4244" s="9"/>
      <c r="Q4244" s="5"/>
    </row>
    <row r="4245">
      <c r="J4245" s="5"/>
      <c r="P4245" s="9"/>
      <c r="Q4245" s="5"/>
    </row>
    <row r="4246">
      <c r="J4246" s="5"/>
      <c r="P4246" s="9"/>
      <c r="Q4246" s="5"/>
    </row>
    <row r="4247">
      <c r="J4247" s="5"/>
      <c r="P4247" s="9"/>
      <c r="Q4247" s="5"/>
    </row>
    <row r="4248">
      <c r="J4248" s="5"/>
      <c r="P4248" s="9"/>
      <c r="Q4248" s="5"/>
    </row>
    <row r="4249">
      <c r="J4249" s="5"/>
      <c r="P4249" s="9"/>
      <c r="Q4249" s="5"/>
    </row>
    <row r="4250">
      <c r="J4250" s="5"/>
      <c r="P4250" s="9"/>
      <c r="Q4250" s="5"/>
    </row>
    <row r="4251">
      <c r="J4251" s="5"/>
      <c r="P4251" s="9"/>
      <c r="Q4251" s="5"/>
    </row>
    <row r="4252">
      <c r="J4252" s="5"/>
      <c r="P4252" s="9"/>
      <c r="Q4252" s="5"/>
    </row>
    <row r="4253">
      <c r="J4253" s="5"/>
      <c r="P4253" s="9"/>
      <c r="Q4253" s="5"/>
    </row>
    <row r="4254">
      <c r="J4254" s="5"/>
      <c r="P4254" s="9"/>
      <c r="Q4254" s="5"/>
    </row>
    <row r="4255">
      <c r="J4255" s="5"/>
      <c r="P4255" s="9"/>
      <c r="Q4255" s="5"/>
    </row>
    <row r="4256">
      <c r="J4256" s="5"/>
      <c r="P4256" s="9"/>
      <c r="Q4256" s="5"/>
    </row>
    <row r="4257">
      <c r="J4257" s="5"/>
      <c r="P4257" s="9"/>
      <c r="Q4257" s="5"/>
    </row>
    <row r="4258">
      <c r="J4258" s="5"/>
      <c r="P4258" s="9"/>
      <c r="Q4258" s="5"/>
    </row>
    <row r="4259">
      <c r="J4259" s="5"/>
      <c r="P4259" s="9"/>
      <c r="Q4259" s="5"/>
    </row>
    <row r="4260">
      <c r="J4260" s="5"/>
      <c r="P4260" s="9"/>
      <c r="Q4260" s="5"/>
    </row>
    <row r="4261">
      <c r="J4261" s="5"/>
      <c r="P4261" s="9"/>
      <c r="Q4261" s="5"/>
    </row>
    <row r="4262">
      <c r="J4262" s="5"/>
      <c r="P4262" s="9"/>
      <c r="Q4262" s="5"/>
    </row>
    <row r="4263">
      <c r="J4263" s="5"/>
      <c r="P4263" s="9"/>
      <c r="Q4263" s="5"/>
    </row>
    <row r="4264">
      <c r="J4264" s="5"/>
      <c r="P4264" s="9"/>
      <c r="Q4264" s="5"/>
    </row>
    <row r="4265">
      <c r="J4265" s="5"/>
      <c r="P4265" s="9"/>
      <c r="Q4265" s="5"/>
    </row>
    <row r="4266">
      <c r="J4266" s="5"/>
      <c r="P4266" s="9"/>
      <c r="Q4266" s="5"/>
    </row>
    <row r="4267">
      <c r="J4267" s="5"/>
      <c r="P4267" s="9"/>
      <c r="Q4267" s="5"/>
    </row>
    <row r="4268">
      <c r="J4268" s="5"/>
      <c r="P4268" s="9"/>
      <c r="Q4268" s="5"/>
    </row>
    <row r="4269">
      <c r="J4269" s="5"/>
      <c r="P4269" s="9"/>
      <c r="Q4269" s="5"/>
    </row>
    <row r="4270">
      <c r="J4270" s="5"/>
      <c r="P4270" s="9"/>
      <c r="Q4270" s="5"/>
    </row>
    <row r="4271">
      <c r="J4271" s="5"/>
      <c r="P4271" s="9"/>
      <c r="Q4271" s="5"/>
    </row>
    <row r="4272">
      <c r="J4272" s="5"/>
      <c r="P4272" s="9"/>
      <c r="Q4272" s="5"/>
    </row>
    <row r="4273">
      <c r="J4273" s="5"/>
      <c r="P4273" s="9"/>
      <c r="Q4273" s="5"/>
    </row>
    <row r="4274">
      <c r="J4274" s="5"/>
      <c r="P4274" s="9"/>
      <c r="Q4274" s="5"/>
    </row>
    <row r="4275">
      <c r="J4275" s="5"/>
      <c r="P4275" s="9"/>
      <c r="Q4275" s="5"/>
    </row>
    <row r="4276">
      <c r="J4276" s="5"/>
      <c r="P4276" s="9"/>
      <c r="Q4276" s="5"/>
    </row>
    <row r="4277">
      <c r="J4277" s="5"/>
      <c r="P4277" s="9"/>
      <c r="Q4277" s="5"/>
    </row>
    <row r="4278">
      <c r="J4278" s="5"/>
      <c r="P4278" s="9"/>
      <c r="Q4278" s="5"/>
    </row>
    <row r="4279">
      <c r="J4279" s="5"/>
      <c r="P4279" s="9"/>
      <c r="Q4279" s="5"/>
    </row>
    <row r="4280">
      <c r="J4280" s="5"/>
      <c r="P4280" s="9"/>
      <c r="Q4280" s="5"/>
    </row>
    <row r="4281">
      <c r="J4281" s="5"/>
      <c r="P4281" s="9"/>
      <c r="Q4281" s="5"/>
    </row>
    <row r="4282">
      <c r="J4282" s="5"/>
      <c r="P4282" s="9"/>
      <c r="Q4282" s="5"/>
    </row>
    <row r="4283">
      <c r="J4283" s="5"/>
      <c r="P4283" s="9"/>
      <c r="Q4283" s="5"/>
    </row>
    <row r="4284">
      <c r="J4284" s="5"/>
      <c r="P4284" s="9"/>
      <c r="Q4284" s="5"/>
    </row>
    <row r="4285">
      <c r="J4285" s="5"/>
      <c r="P4285" s="9"/>
      <c r="Q4285" s="5"/>
    </row>
    <row r="4286">
      <c r="J4286" s="5"/>
      <c r="P4286" s="9"/>
      <c r="Q4286" s="5"/>
    </row>
    <row r="4287">
      <c r="J4287" s="5"/>
      <c r="P4287" s="9"/>
      <c r="Q4287" s="5"/>
    </row>
    <row r="4288">
      <c r="J4288" s="5"/>
      <c r="P4288" s="9"/>
      <c r="Q4288" s="5"/>
    </row>
    <row r="4289">
      <c r="J4289" s="5"/>
      <c r="P4289" s="9"/>
      <c r="Q4289" s="5"/>
    </row>
    <row r="4290">
      <c r="J4290" s="5"/>
      <c r="P4290" s="9"/>
      <c r="Q4290" s="5"/>
    </row>
    <row r="4291">
      <c r="J4291" s="5"/>
      <c r="P4291" s="9"/>
      <c r="Q4291" s="5"/>
    </row>
    <row r="4292">
      <c r="J4292" s="5"/>
      <c r="P4292" s="9"/>
      <c r="Q4292" s="5"/>
    </row>
    <row r="4293">
      <c r="J4293" s="5"/>
      <c r="P4293" s="9"/>
      <c r="Q4293" s="5"/>
    </row>
    <row r="4294">
      <c r="J4294" s="5"/>
      <c r="P4294" s="9"/>
      <c r="Q4294" s="5"/>
    </row>
    <row r="4295">
      <c r="J4295" s="5"/>
      <c r="P4295" s="9"/>
      <c r="Q4295" s="5"/>
    </row>
    <row r="4296">
      <c r="J4296" s="5"/>
      <c r="P4296" s="9"/>
      <c r="Q4296" s="5"/>
    </row>
    <row r="4297">
      <c r="J4297" s="5"/>
      <c r="P4297" s="9"/>
      <c r="Q4297" s="5"/>
    </row>
    <row r="4298">
      <c r="J4298" s="5"/>
      <c r="P4298" s="9"/>
      <c r="Q4298" s="5"/>
    </row>
    <row r="4299">
      <c r="J4299" s="5"/>
      <c r="P4299" s="9"/>
      <c r="Q4299" s="5"/>
    </row>
    <row r="4300">
      <c r="J4300" s="5"/>
      <c r="P4300" s="9"/>
      <c r="Q4300" s="5"/>
    </row>
    <row r="4301">
      <c r="J4301" s="5"/>
      <c r="P4301" s="9"/>
      <c r="Q4301" s="5"/>
    </row>
    <row r="4302">
      <c r="J4302" s="5"/>
      <c r="P4302" s="9"/>
      <c r="Q4302" s="5"/>
    </row>
    <row r="4303">
      <c r="J4303" s="5"/>
      <c r="P4303" s="9"/>
      <c r="Q4303" s="5"/>
    </row>
    <row r="4304">
      <c r="J4304" s="5"/>
      <c r="P4304" s="9"/>
      <c r="Q4304" s="5"/>
    </row>
    <row r="4305">
      <c r="J4305" s="5"/>
      <c r="P4305" s="9"/>
      <c r="Q4305" s="5"/>
    </row>
    <row r="4306">
      <c r="J4306" s="5"/>
      <c r="P4306" s="9"/>
      <c r="Q4306" s="5"/>
    </row>
    <row r="4307">
      <c r="J4307" s="5"/>
      <c r="P4307" s="9"/>
      <c r="Q4307" s="5"/>
    </row>
    <row r="4308">
      <c r="J4308" s="5"/>
      <c r="P4308" s="9"/>
      <c r="Q4308" s="5"/>
    </row>
    <row r="4309">
      <c r="J4309" s="5"/>
      <c r="P4309" s="9"/>
      <c r="Q4309" s="5"/>
    </row>
    <row r="4310">
      <c r="J4310" s="5"/>
      <c r="P4310" s="9"/>
      <c r="Q4310" s="5"/>
    </row>
    <row r="4311">
      <c r="J4311" s="5"/>
      <c r="P4311" s="9"/>
      <c r="Q4311" s="5"/>
    </row>
    <row r="4312">
      <c r="J4312" s="5"/>
      <c r="P4312" s="9"/>
      <c r="Q4312" s="5"/>
    </row>
    <row r="4313">
      <c r="J4313" s="5"/>
      <c r="P4313" s="9"/>
      <c r="Q4313" s="5"/>
    </row>
    <row r="4314">
      <c r="J4314" s="5"/>
      <c r="P4314" s="9"/>
      <c r="Q4314" s="5"/>
    </row>
    <row r="4315">
      <c r="J4315" s="5"/>
      <c r="P4315" s="9"/>
      <c r="Q4315" s="5"/>
    </row>
    <row r="4316">
      <c r="J4316" s="5"/>
      <c r="P4316" s="9"/>
      <c r="Q4316" s="5"/>
    </row>
    <row r="4317">
      <c r="J4317" s="5"/>
      <c r="P4317" s="9"/>
      <c r="Q4317" s="5"/>
    </row>
    <row r="4318">
      <c r="J4318" s="5"/>
      <c r="P4318" s="9"/>
      <c r="Q4318" s="5"/>
    </row>
    <row r="4319">
      <c r="J4319" s="5"/>
      <c r="P4319" s="9"/>
      <c r="Q4319" s="5"/>
    </row>
    <row r="4320">
      <c r="J4320" s="5"/>
      <c r="P4320" s="9"/>
      <c r="Q4320" s="5"/>
    </row>
    <row r="4321">
      <c r="J4321" s="5"/>
      <c r="P4321" s="9"/>
      <c r="Q4321" s="5"/>
    </row>
    <row r="4322">
      <c r="J4322" s="5"/>
      <c r="P4322" s="9"/>
      <c r="Q4322" s="5"/>
    </row>
    <row r="4323">
      <c r="J4323" s="5"/>
      <c r="P4323" s="9"/>
      <c r="Q4323" s="5"/>
    </row>
    <row r="4324">
      <c r="J4324" s="5"/>
      <c r="P4324" s="9"/>
      <c r="Q4324" s="5"/>
    </row>
    <row r="4325">
      <c r="J4325" s="5"/>
      <c r="P4325" s="9"/>
      <c r="Q4325" s="5"/>
    </row>
    <row r="4326">
      <c r="J4326" s="5"/>
      <c r="P4326" s="9"/>
      <c r="Q4326" s="5"/>
    </row>
    <row r="4327">
      <c r="J4327" s="5"/>
      <c r="P4327" s="9"/>
      <c r="Q4327" s="5"/>
    </row>
    <row r="4328">
      <c r="J4328" s="5"/>
      <c r="P4328" s="9"/>
      <c r="Q4328" s="5"/>
    </row>
    <row r="4329">
      <c r="J4329" s="5"/>
      <c r="P4329" s="9"/>
      <c r="Q4329" s="5"/>
    </row>
    <row r="4330">
      <c r="J4330" s="5"/>
      <c r="P4330" s="9"/>
      <c r="Q4330" s="5"/>
    </row>
    <row r="4331">
      <c r="J4331" s="5"/>
      <c r="P4331" s="9"/>
      <c r="Q4331" s="5"/>
    </row>
    <row r="4332">
      <c r="J4332" s="5"/>
      <c r="P4332" s="9"/>
      <c r="Q4332" s="5"/>
    </row>
    <row r="4333">
      <c r="J4333" s="5"/>
      <c r="P4333" s="9"/>
      <c r="Q4333" s="5"/>
    </row>
    <row r="4334">
      <c r="J4334" s="5"/>
      <c r="P4334" s="9"/>
      <c r="Q4334" s="5"/>
    </row>
    <row r="4335">
      <c r="J4335" s="5"/>
      <c r="P4335" s="9"/>
      <c r="Q4335" s="5"/>
    </row>
    <row r="4336">
      <c r="J4336" s="5"/>
      <c r="P4336" s="9"/>
      <c r="Q4336" s="5"/>
    </row>
    <row r="4337">
      <c r="J4337" s="5"/>
      <c r="P4337" s="9"/>
      <c r="Q4337" s="5"/>
    </row>
    <row r="4338">
      <c r="J4338" s="5"/>
      <c r="P4338" s="9"/>
      <c r="Q4338" s="5"/>
    </row>
    <row r="4339">
      <c r="J4339" s="5"/>
      <c r="P4339" s="9"/>
      <c r="Q4339" s="5"/>
    </row>
    <row r="4340">
      <c r="J4340" s="5"/>
      <c r="P4340" s="9"/>
      <c r="Q4340" s="5"/>
    </row>
    <row r="4341">
      <c r="J4341" s="5"/>
      <c r="P4341" s="9"/>
      <c r="Q4341" s="5"/>
    </row>
    <row r="4342">
      <c r="J4342" s="5"/>
      <c r="P4342" s="9"/>
      <c r="Q4342" s="5"/>
    </row>
    <row r="4343">
      <c r="J4343" s="5"/>
      <c r="P4343" s="9"/>
      <c r="Q4343" s="5"/>
    </row>
    <row r="4344">
      <c r="J4344" s="5"/>
      <c r="P4344" s="9"/>
      <c r="Q4344" s="5"/>
    </row>
    <row r="4345">
      <c r="J4345" s="5"/>
      <c r="P4345" s="9"/>
      <c r="Q4345" s="5"/>
    </row>
    <row r="4346">
      <c r="J4346" s="5"/>
      <c r="P4346" s="9"/>
      <c r="Q4346" s="5"/>
    </row>
    <row r="4347">
      <c r="J4347" s="5"/>
      <c r="P4347" s="9"/>
      <c r="Q4347" s="5"/>
    </row>
    <row r="4348">
      <c r="J4348" s="5"/>
      <c r="P4348" s="9"/>
      <c r="Q4348" s="5"/>
    </row>
    <row r="4349">
      <c r="J4349" s="5"/>
      <c r="P4349" s="9"/>
      <c r="Q4349" s="5"/>
    </row>
    <row r="4350">
      <c r="J4350" s="5"/>
      <c r="P4350" s="9"/>
      <c r="Q4350" s="5"/>
    </row>
    <row r="4351">
      <c r="J4351" s="5"/>
      <c r="P4351" s="9"/>
      <c r="Q4351" s="5"/>
    </row>
    <row r="4352">
      <c r="J4352" s="5"/>
      <c r="P4352" s="9"/>
      <c r="Q4352" s="5"/>
    </row>
    <row r="4353">
      <c r="J4353" s="5"/>
      <c r="P4353" s="9"/>
      <c r="Q4353" s="5"/>
    </row>
    <row r="4354">
      <c r="J4354" s="5"/>
      <c r="P4354" s="9"/>
      <c r="Q4354" s="5"/>
    </row>
    <row r="4355">
      <c r="J4355" s="5"/>
      <c r="P4355" s="9"/>
      <c r="Q4355" s="5"/>
    </row>
    <row r="4356">
      <c r="J4356" s="5"/>
      <c r="P4356" s="9"/>
      <c r="Q4356" s="5"/>
    </row>
    <row r="4357">
      <c r="J4357" s="5"/>
      <c r="P4357" s="9"/>
      <c r="Q4357" s="5"/>
    </row>
    <row r="4358">
      <c r="J4358" s="5"/>
      <c r="P4358" s="9"/>
      <c r="Q4358" s="5"/>
    </row>
    <row r="4359">
      <c r="J4359" s="5"/>
      <c r="P4359" s="9"/>
      <c r="Q4359" s="5"/>
    </row>
    <row r="4360">
      <c r="J4360" s="5"/>
      <c r="P4360" s="9"/>
      <c r="Q4360" s="5"/>
    </row>
    <row r="4361">
      <c r="J4361" s="5"/>
      <c r="P4361" s="9"/>
      <c r="Q4361" s="5"/>
    </row>
    <row r="4362">
      <c r="J4362" s="5"/>
      <c r="P4362" s="9"/>
      <c r="Q4362" s="5"/>
    </row>
    <row r="4363">
      <c r="J4363" s="5"/>
      <c r="P4363" s="9"/>
      <c r="Q4363" s="5"/>
    </row>
    <row r="4364">
      <c r="J4364" s="5"/>
      <c r="P4364" s="9"/>
      <c r="Q4364" s="5"/>
    </row>
    <row r="4365">
      <c r="J4365" s="5"/>
      <c r="P4365" s="9"/>
      <c r="Q4365" s="5"/>
    </row>
    <row r="4366">
      <c r="J4366" s="5"/>
      <c r="P4366" s="9"/>
      <c r="Q4366" s="5"/>
    </row>
    <row r="4367">
      <c r="J4367" s="5"/>
      <c r="P4367" s="9"/>
      <c r="Q4367" s="5"/>
    </row>
    <row r="4368">
      <c r="J4368" s="5"/>
      <c r="P4368" s="9"/>
      <c r="Q4368" s="5"/>
    </row>
    <row r="4369">
      <c r="J4369" s="5"/>
      <c r="P4369" s="9"/>
      <c r="Q4369" s="5"/>
    </row>
    <row r="4370">
      <c r="J4370" s="5"/>
      <c r="P4370" s="9"/>
      <c r="Q4370" s="5"/>
    </row>
    <row r="4371">
      <c r="J4371" s="5"/>
      <c r="P4371" s="9"/>
      <c r="Q4371" s="5"/>
    </row>
    <row r="4372">
      <c r="J4372" s="5"/>
      <c r="P4372" s="9"/>
      <c r="Q4372" s="5"/>
    </row>
    <row r="4373">
      <c r="J4373" s="5"/>
      <c r="P4373" s="9"/>
      <c r="Q4373" s="5"/>
    </row>
    <row r="4374">
      <c r="J4374" s="5"/>
      <c r="P4374" s="9"/>
      <c r="Q4374" s="5"/>
    </row>
    <row r="4375">
      <c r="J4375" s="5"/>
      <c r="P4375" s="9"/>
      <c r="Q4375" s="5"/>
    </row>
    <row r="4376">
      <c r="J4376" s="5"/>
      <c r="P4376" s="9"/>
      <c r="Q4376" s="5"/>
    </row>
    <row r="4377">
      <c r="J4377" s="5"/>
      <c r="P4377" s="9"/>
      <c r="Q4377" s="5"/>
    </row>
    <row r="4378">
      <c r="J4378" s="5"/>
      <c r="P4378" s="9"/>
      <c r="Q4378" s="5"/>
    </row>
    <row r="4379">
      <c r="J4379" s="5"/>
      <c r="P4379" s="9"/>
      <c r="Q4379" s="5"/>
    </row>
    <row r="4380">
      <c r="J4380" s="5"/>
      <c r="P4380" s="9"/>
      <c r="Q4380" s="5"/>
    </row>
    <row r="4381">
      <c r="J4381" s="5"/>
      <c r="P4381" s="9"/>
      <c r="Q4381" s="5"/>
    </row>
    <row r="4382">
      <c r="J4382" s="5"/>
      <c r="P4382" s="9"/>
      <c r="Q4382" s="5"/>
    </row>
    <row r="4383">
      <c r="J4383" s="5"/>
      <c r="P4383" s="9"/>
      <c r="Q4383" s="5"/>
    </row>
    <row r="4384">
      <c r="J4384" s="5"/>
      <c r="P4384" s="9"/>
      <c r="Q4384" s="5"/>
    </row>
    <row r="4385">
      <c r="J4385" s="5"/>
      <c r="P4385" s="9"/>
      <c r="Q4385" s="5"/>
    </row>
    <row r="4386">
      <c r="J4386" s="5"/>
      <c r="P4386" s="9"/>
      <c r="Q4386" s="5"/>
    </row>
    <row r="4387">
      <c r="J4387" s="5"/>
      <c r="P4387" s="9"/>
      <c r="Q4387" s="5"/>
    </row>
    <row r="4388">
      <c r="J4388" s="5"/>
      <c r="P4388" s="9"/>
      <c r="Q4388" s="5"/>
    </row>
    <row r="4389">
      <c r="J4389" s="5"/>
      <c r="P4389" s="9"/>
      <c r="Q4389" s="5"/>
    </row>
    <row r="4390">
      <c r="J4390" s="5"/>
      <c r="P4390" s="9"/>
      <c r="Q4390" s="5"/>
    </row>
    <row r="4391">
      <c r="J4391" s="5"/>
      <c r="P4391" s="9"/>
      <c r="Q4391" s="5"/>
    </row>
    <row r="4392">
      <c r="J4392" s="5"/>
      <c r="P4392" s="9"/>
      <c r="Q4392" s="5"/>
    </row>
    <row r="4393">
      <c r="J4393" s="5"/>
      <c r="P4393" s="9"/>
      <c r="Q4393" s="5"/>
    </row>
    <row r="4394">
      <c r="J4394" s="5"/>
      <c r="P4394" s="9"/>
      <c r="Q4394" s="5"/>
    </row>
    <row r="4395">
      <c r="J4395" s="5"/>
      <c r="P4395" s="9"/>
      <c r="Q4395" s="5"/>
    </row>
    <row r="4396">
      <c r="J4396" s="5"/>
      <c r="P4396" s="9"/>
      <c r="Q4396" s="5"/>
    </row>
    <row r="4397">
      <c r="J4397" s="5"/>
      <c r="P4397" s="9"/>
      <c r="Q4397" s="5"/>
    </row>
    <row r="4398">
      <c r="J4398" s="5"/>
      <c r="P4398" s="9"/>
      <c r="Q4398" s="5"/>
    </row>
    <row r="4399">
      <c r="J4399" s="5"/>
      <c r="P4399" s="9"/>
      <c r="Q4399" s="5"/>
    </row>
    <row r="4400">
      <c r="J4400" s="5"/>
      <c r="P4400" s="9"/>
      <c r="Q4400" s="5"/>
    </row>
    <row r="4401">
      <c r="J4401" s="5"/>
      <c r="P4401" s="9"/>
      <c r="Q4401" s="5"/>
    </row>
    <row r="4402">
      <c r="J4402" s="5"/>
      <c r="P4402" s="9"/>
      <c r="Q4402" s="5"/>
    </row>
    <row r="4403">
      <c r="J4403" s="5"/>
      <c r="P4403" s="9"/>
      <c r="Q4403" s="5"/>
    </row>
    <row r="4404">
      <c r="J4404" s="5"/>
      <c r="P4404" s="9"/>
      <c r="Q4404" s="5"/>
    </row>
    <row r="4405">
      <c r="J4405" s="5"/>
      <c r="P4405" s="9"/>
      <c r="Q4405" s="5"/>
    </row>
    <row r="4406">
      <c r="J4406" s="5"/>
      <c r="P4406" s="9"/>
      <c r="Q4406" s="5"/>
    </row>
    <row r="4407">
      <c r="J4407" s="5"/>
      <c r="P4407" s="9"/>
      <c r="Q4407" s="5"/>
    </row>
    <row r="4408">
      <c r="J4408" s="5"/>
      <c r="P4408" s="9"/>
      <c r="Q4408" s="5"/>
    </row>
    <row r="4409">
      <c r="J4409" s="5"/>
      <c r="P4409" s="9"/>
      <c r="Q4409" s="5"/>
    </row>
    <row r="4410">
      <c r="J4410" s="5"/>
      <c r="P4410" s="9"/>
      <c r="Q4410" s="5"/>
    </row>
    <row r="4411">
      <c r="J4411" s="5"/>
      <c r="P4411" s="9"/>
      <c r="Q4411" s="5"/>
    </row>
    <row r="4412">
      <c r="J4412" s="5"/>
      <c r="P4412" s="9"/>
      <c r="Q4412" s="5"/>
    </row>
    <row r="4413">
      <c r="J4413" s="5"/>
      <c r="P4413" s="9"/>
      <c r="Q4413" s="5"/>
    </row>
    <row r="4414">
      <c r="J4414" s="5"/>
      <c r="P4414" s="9"/>
      <c r="Q4414" s="5"/>
    </row>
    <row r="4415">
      <c r="J4415" s="5"/>
      <c r="P4415" s="9"/>
      <c r="Q4415" s="5"/>
    </row>
    <row r="4416">
      <c r="J4416" s="5"/>
      <c r="P4416" s="9"/>
      <c r="Q4416" s="5"/>
    </row>
    <row r="4417">
      <c r="J4417" s="5"/>
      <c r="P4417" s="9"/>
      <c r="Q4417" s="5"/>
    </row>
    <row r="4418">
      <c r="J4418" s="5"/>
      <c r="P4418" s="9"/>
      <c r="Q4418" s="5"/>
    </row>
    <row r="4419">
      <c r="J4419" s="5"/>
      <c r="P4419" s="9"/>
      <c r="Q4419" s="5"/>
    </row>
    <row r="4420">
      <c r="J4420" s="5"/>
      <c r="P4420" s="9"/>
      <c r="Q4420" s="5"/>
    </row>
    <row r="4421">
      <c r="J4421" s="5"/>
      <c r="P4421" s="9"/>
      <c r="Q4421" s="5"/>
    </row>
    <row r="4422">
      <c r="J4422" s="5"/>
      <c r="P4422" s="9"/>
      <c r="Q4422" s="5"/>
    </row>
    <row r="4423">
      <c r="J4423" s="5"/>
      <c r="P4423" s="9"/>
      <c r="Q4423" s="5"/>
    </row>
    <row r="4424">
      <c r="J4424" s="5"/>
      <c r="P4424" s="9"/>
      <c r="Q4424" s="5"/>
    </row>
    <row r="4425">
      <c r="J4425" s="5"/>
      <c r="P4425" s="9"/>
      <c r="Q4425" s="5"/>
    </row>
    <row r="4426">
      <c r="J4426" s="5"/>
      <c r="P4426" s="9"/>
      <c r="Q4426" s="5"/>
    </row>
    <row r="4427">
      <c r="J4427" s="5"/>
      <c r="P4427" s="9"/>
      <c r="Q4427" s="5"/>
    </row>
    <row r="4428">
      <c r="J4428" s="5"/>
      <c r="P4428" s="9"/>
      <c r="Q4428" s="5"/>
    </row>
    <row r="4429">
      <c r="J4429" s="5"/>
      <c r="P4429" s="9"/>
      <c r="Q4429" s="5"/>
    </row>
    <row r="4430">
      <c r="J4430" s="5"/>
      <c r="P4430" s="9"/>
      <c r="Q4430" s="5"/>
    </row>
    <row r="4431">
      <c r="J4431" s="5"/>
      <c r="P4431" s="9"/>
      <c r="Q4431" s="5"/>
    </row>
    <row r="4432">
      <c r="J4432" s="5"/>
      <c r="P4432" s="9"/>
      <c r="Q4432" s="5"/>
    </row>
    <row r="4433">
      <c r="J4433" s="5"/>
      <c r="P4433" s="9"/>
      <c r="Q4433" s="5"/>
    </row>
    <row r="4434">
      <c r="J4434" s="5"/>
      <c r="P4434" s="9"/>
      <c r="Q4434" s="5"/>
    </row>
    <row r="4435">
      <c r="J4435" s="5"/>
      <c r="P4435" s="9"/>
      <c r="Q4435" s="5"/>
    </row>
    <row r="4436">
      <c r="J4436" s="5"/>
      <c r="P4436" s="9"/>
      <c r="Q4436" s="5"/>
    </row>
    <row r="4437">
      <c r="J4437" s="5"/>
      <c r="P4437" s="9"/>
      <c r="Q4437" s="5"/>
    </row>
    <row r="4438">
      <c r="J4438" s="5"/>
      <c r="P4438" s="9"/>
      <c r="Q4438" s="5"/>
    </row>
    <row r="4439">
      <c r="J4439" s="5"/>
      <c r="P4439" s="9"/>
      <c r="Q4439" s="5"/>
    </row>
    <row r="4440">
      <c r="J4440" s="5"/>
      <c r="P4440" s="9"/>
      <c r="Q4440" s="5"/>
    </row>
    <row r="4441">
      <c r="J4441" s="5"/>
      <c r="P4441" s="9"/>
      <c r="Q4441" s="5"/>
    </row>
    <row r="4442">
      <c r="J4442" s="5"/>
      <c r="P4442" s="9"/>
      <c r="Q4442" s="5"/>
    </row>
    <row r="4443">
      <c r="J4443" s="5"/>
      <c r="P4443" s="9"/>
      <c r="Q4443" s="5"/>
    </row>
    <row r="4444">
      <c r="J4444" s="5"/>
      <c r="P4444" s="9"/>
      <c r="Q4444" s="5"/>
    </row>
    <row r="4445">
      <c r="J4445" s="5"/>
      <c r="P4445" s="9"/>
      <c r="Q4445" s="5"/>
    </row>
    <row r="4446">
      <c r="J4446" s="5"/>
      <c r="P4446" s="9"/>
      <c r="Q4446" s="5"/>
    </row>
    <row r="4447">
      <c r="J4447" s="5"/>
      <c r="P4447" s="9"/>
      <c r="Q4447" s="5"/>
    </row>
    <row r="4448">
      <c r="J4448" s="5"/>
      <c r="P4448" s="9"/>
      <c r="Q4448" s="5"/>
    </row>
    <row r="4449">
      <c r="J4449" s="5"/>
      <c r="P4449" s="9"/>
      <c r="Q4449" s="5"/>
    </row>
    <row r="4450">
      <c r="J4450" s="5"/>
      <c r="P4450" s="9"/>
      <c r="Q4450" s="5"/>
    </row>
    <row r="4451">
      <c r="J4451" s="5"/>
      <c r="P4451" s="9"/>
      <c r="Q4451" s="5"/>
    </row>
    <row r="4452">
      <c r="J4452" s="5"/>
      <c r="P4452" s="9"/>
      <c r="Q4452" s="5"/>
    </row>
    <row r="4453">
      <c r="J4453" s="5"/>
      <c r="P4453" s="9"/>
      <c r="Q4453" s="5"/>
    </row>
    <row r="4454">
      <c r="J4454" s="5"/>
      <c r="P4454" s="9"/>
      <c r="Q4454" s="5"/>
    </row>
    <row r="4455">
      <c r="J4455" s="5"/>
      <c r="P4455" s="9"/>
      <c r="Q4455" s="5"/>
    </row>
    <row r="4456">
      <c r="J4456" s="5"/>
      <c r="P4456" s="9"/>
      <c r="Q4456" s="5"/>
    </row>
    <row r="4457">
      <c r="J4457" s="5"/>
      <c r="P4457" s="9"/>
      <c r="Q4457" s="5"/>
    </row>
    <row r="4458">
      <c r="J4458" s="5"/>
      <c r="P4458" s="9"/>
      <c r="Q4458" s="5"/>
    </row>
    <row r="4459">
      <c r="J4459" s="5"/>
      <c r="P4459" s="9"/>
      <c r="Q4459" s="5"/>
    </row>
    <row r="4460">
      <c r="J4460" s="5"/>
      <c r="P4460" s="9"/>
      <c r="Q4460" s="5"/>
    </row>
    <row r="4461">
      <c r="J4461" s="5"/>
      <c r="P4461" s="9"/>
      <c r="Q4461" s="5"/>
    </row>
    <row r="4462">
      <c r="J4462" s="5"/>
      <c r="P4462" s="9"/>
      <c r="Q4462" s="5"/>
    </row>
    <row r="4463">
      <c r="J4463" s="5"/>
      <c r="P4463" s="9"/>
      <c r="Q4463" s="5"/>
    </row>
    <row r="4464">
      <c r="J4464" s="5"/>
      <c r="P4464" s="9"/>
      <c r="Q4464" s="5"/>
    </row>
    <row r="4465">
      <c r="J4465" s="5"/>
      <c r="P4465" s="9"/>
      <c r="Q4465" s="5"/>
    </row>
    <row r="4466">
      <c r="J4466" s="5"/>
      <c r="P4466" s="9"/>
      <c r="Q4466" s="5"/>
    </row>
    <row r="4467">
      <c r="J4467" s="5"/>
      <c r="P4467" s="9"/>
      <c r="Q4467" s="5"/>
    </row>
    <row r="4468">
      <c r="J4468" s="5"/>
      <c r="P4468" s="9"/>
      <c r="Q4468" s="5"/>
    </row>
    <row r="4469">
      <c r="J4469" s="5"/>
      <c r="P4469" s="9"/>
      <c r="Q4469" s="5"/>
    </row>
    <row r="4470">
      <c r="J4470" s="5"/>
      <c r="P4470" s="9"/>
      <c r="Q4470" s="5"/>
    </row>
    <row r="4471">
      <c r="J4471" s="5"/>
      <c r="P4471" s="9"/>
      <c r="Q4471" s="5"/>
    </row>
    <row r="4472">
      <c r="J4472" s="5"/>
      <c r="P4472" s="9"/>
      <c r="Q4472" s="5"/>
    </row>
    <row r="4473">
      <c r="J4473" s="5"/>
      <c r="P4473" s="9"/>
      <c r="Q4473" s="5"/>
    </row>
    <row r="4474">
      <c r="J4474" s="5"/>
      <c r="P4474" s="9"/>
      <c r="Q4474" s="5"/>
    </row>
    <row r="4475">
      <c r="J4475" s="5"/>
      <c r="P4475" s="9"/>
      <c r="Q4475" s="5"/>
    </row>
    <row r="4476">
      <c r="J4476" s="5"/>
      <c r="P4476" s="9"/>
      <c r="Q4476" s="5"/>
    </row>
    <row r="4477">
      <c r="J4477" s="5"/>
      <c r="P4477" s="9"/>
      <c r="Q4477" s="5"/>
    </row>
    <row r="4478">
      <c r="J4478" s="5"/>
      <c r="P4478" s="9"/>
      <c r="Q4478" s="5"/>
    </row>
    <row r="4479">
      <c r="J4479" s="5"/>
      <c r="P4479" s="9"/>
      <c r="Q4479" s="5"/>
    </row>
    <row r="4480">
      <c r="J4480" s="5"/>
      <c r="P4480" s="9"/>
      <c r="Q4480" s="5"/>
    </row>
    <row r="4481">
      <c r="J4481" s="5"/>
      <c r="P4481" s="9"/>
      <c r="Q4481" s="5"/>
    </row>
    <row r="4482">
      <c r="J4482" s="5"/>
      <c r="P4482" s="9"/>
      <c r="Q4482" s="5"/>
    </row>
    <row r="4483">
      <c r="J4483" s="5"/>
      <c r="P4483" s="9"/>
      <c r="Q4483" s="5"/>
    </row>
    <row r="4484">
      <c r="J4484" s="5"/>
      <c r="P4484" s="9"/>
      <c r="Q4484" s="5"/>
    </row>
    <row r="4485">
      <c r="J4485" s="5"/>
      <c r="P4485" s="9"/>
      <c r="Q4485" s="5"/>
    </row>
    <row r="4486">
      <c r="J4486" s="5"/>
      <c r="P4486" s="9"/>
      <c r="Q4486" s="5"/>
    </row>
    <row r="4487">
      <c r="J4487" s="5"/>
      <c r="P4487" s="9"/>
      <c r="Q4487" s="5"/>
    </row>
    <row r="4488">
      <c r="J4488" s="5"/>
      <c r="P4488" s="9"/>
      <c r="Q4488" s="5"/>
    </row>
    <row r="4489">
      <c r="J4489" s="5"/>
      <c r="P4489" s="9"/>
      <c r="Q4489" s="5"/>
    </row>
    <row r="4490">
      <c r="J4490" s="5"/>
      <c r="P4490" s="9"/>
      <c r="Q4490" s="5"/>
    </row>
    <row r="4491">
      <c r="J4491" s="5"/>
      <c r="P4491" s="9"/>
      <c r="Q4491" s="5"/>
    </row>
    <row r="4492">
      <c r="J4492" s="5"/>
      <c r="P4492" s="9"/>
      <c r="Q4492" s="5"/>
    </row>
    <row r="4493">
      <c r="J4493" s="5"/>
      <c r="P4493" s="9"/>
      <c r="Q4493" s="5"/>
    </row>
    <row r="4494">
      <c r="J4494" s="5"/>
      <c r="P4494" s="9"/>
      <c r="Q4494" s="5"/>
    </row>
    <row r="4495">
      <c r="J4495" s="5"/>
      <c r="P4495" s="9"/>
      <c r="Q4495" s="5"/>
    </row>
    <row r="4496">
      <c r="J4496" s="5"/>
      <c r="P4496" s="9"/>
      <c r="Q4496" s="5"/>
    </row>
    <row r="4497">
      <c r="J4497" s="5"/>
      <c r="P4497" s="9"/>
      <c r="Q4497" s="5"/>
    </row>
    <row r="4498">
      <c r="J4498" s="5"/>
      <c r="P4498" s="9"/>
      <c r="Q4498" s="5"/>
    </row>
    <row r="4499">
      <c r="J4499" s="5"/>
      <c r="P4499" s="9"/>
      <c r="Q4499" s="5"/>
    </row>
    <row r="4500">
      <c r="J4500" s="5"/>
      <c r="P4500" s="9"/>
      <c r="Q4500" s="5"/>
    </row>
    <row r="4501">
      <c r="J4501" s="5"/>
      <c r="P4501" s="9"/>
      <c r="Q4501" s="5"/>
    </row>
    <row r="4502">
      <c r="J4502" s="5"/>
      <c r="P4502" s="9"/>
      <c r="Q4502" s="5"/>
    </row>
    <row r="4503">
      <c r="J4503" s="5"/>
      <c r="P4503" s="9"/>
      <c r="Q4503" s="5"/>
    </row>
    <row r="4504">
      <c r="J4504" s="5"/>
      <c r="P4504" s="9"/>
      <c r="Q4504" s="5"/>
    </row>
    <row r="4505">
      <c r="J4505" s="5"/>
      <c r="P4505" s="9"/>
      <c r="Q4505" s="5"/>
    </row>
    <row r="4506">
      <c r="J4506" s="5"/>
      <c r="P4506" s="9"/>
      <c r="Q4506" s="5"/>
    </row>
    <row r="4507">
      <c r="J4507" s="5"/>
      <c r="P4507" s="9"/>
      <c r="Q4507" s="5"/>
    </row>
    <row r="4508">
      <c r="J4508" s="5"/>
      <c r="P4508" s="9"/>
      <c r="Q4508" s="5"/>
    </row>
    <row r="4509">
      <c r="J4509" s="5"/>
      <c r="P4509" s="9"/>
      <c r="Q4509" s="5"/>
    </row>
    <row r="4510">
      <c r="J4510" s="5"/>
      <c r="P4510" s="9"/>
      <c r="Q4510" s="5"/>
    </row>
    <row r="4511">
      <c r="J4511" s="5"/>
      <c r="P4511" s="9"/>
      <c r="Q4511" s="5"/>
    </row>
    <row r="4512">
      <c r="J4512" s="5"/>
      <c r="P4512" s="9"/>
      <c r="Q4512" s="5"/>
    </row>
    <row r="4513">
      <c r="J4513" s="5"/>
      <c r="P4513" s="9"/>
      <c r="Q4513" s="5"/>
    </row>
    <row r="4514">
      <c r="J4514" s="5"/>
      <c r="P4514" s="9"/>
      <c r="Q4514" s="5"/>
    </row>
    <row r="4515">
      <c r="J4515" s="5"/>
      <c r="P4515" s="9"/>
      <c r="Q4515" s="5"/>
    </row>
    <row r="4516">
      <c r="J4516" s="5"/>
      <c r="P4516" s="9"/>
      <c r="Q4516" s="5"/>
    </row>
    <row r="4517">
      <c r="J4517" s="5"/>
      <c r="P4517" s="9"/>
      <c r="Q4517" s="5"/>
    </row>
    <row r="4518">
      <c r="J4518" s="5"/>
      <c r="P4518" s="9"/>
      <c r="Q4518" s="5"/>
    </row>
    <row r="4519">
      <c r="J4519" s="5"/>
      <c r="P4519" s="9"/>
      <c r="Q4519" s="5"/>
    </row>
    <row r="4520">
      <c r="J4520" s="5"/>
      <c r="P4520" s="9"/>
      <c r="Q4520" s="5"/>
    </row>
    <row r="4521">
      <c r="J4521" s="5"/>
      <c r="P4521" s="9"/>
      <c r="Q4521" s="5"/>
    </row>
    <row r="4522">
      <c r="J4522" s="5"/>
      <c r="P4522" s="9"/>
      <c r="Q4522" s="5"/>
    </row>
    <row r="4523">
      <c r="J4523" s="5"/>
      <c r="P4523" s="9"/>
      <c r="Q4523" s="5"/>
    </row>
    <row r="4524">
      <c r="J4524" s="5"/>
      <c r="P4524" s="9"/>
      <c r="Q4524" s="5"/>
    </row>
    <row r="4525">
      <c r="J4525" s="5"/>
      <c r="P4525" s="9"/>
      <c r="Q4525" s="5"/>
    </row>
    <row r="4526">
      <c r="J4526" s="5"/>
      <c r="P4526" s="9"/>
      <c r="Q4526" s="5"/>
    </row>
    <row r="4527">
      <c r="J4527" s="5"/>
      <c r="P4527" s="9"/>
      <c r="Q4527" s="5"/>
    </row>
    <row r="4528">
      <c r="J4528" s="5"/>
      <c r="P4528" s="9"/>
      <c r="Q4528" s="5"/>
    </row>
    <row r="4529">
      <c r="J4529" s="5"/>
      <c r="P4529" s="9"/>
      <c r="Q4529" s="5"/>
    </row>
    <row r="4530">
      <c r="J4530" s="5"/>
      <c r="P4530" s="9"/>
      <c r="Q4530" s="5"/>
    </row>
    <row r="4531">
      <c r="J4531" s="5"/>
      <c r="P4531" s="9"/>
      <c r="Q4531" s="5"/>
    </row>
    <row r="4532">
      <c r="J4532" s="5"/>
      <c r="P4532" s="9"/>
      <c r="Q4532" s="5"/>
    </row>
    <row r="4533">
      <c r="J4533" s="5"/>
      <c r="P4533" s="9"/>
      <c r="Q4533" s="5"/>
    </row>
    <row r="4534">
      <c r="J4534" s="5"/>
      <c r="P4534" s="9"/>
      <c r="Q4534" s="5"/>
    </row>
    <row r="4535">
      <c r="J4535" s="5"/>
      <c r="P4535" s="9"/>
      <c r="Q4535" s="5"/>
    </row>
    <row r="4536">
      <c r="J4536" s="5"/>
      <c r="P4536" s="9"/>
      <c r="Q4536" s="5"/>
    </row>
    <row r="4537">
      <c r="J4537" s="5"/>
      <c r="P4537" s="9"/>
      <c r="Q4537" s="5"/>
    </row>
    <row r="4538">
      <c r="J4538" s="5"/>
      <c r="P4538" s="9"/>
      <c r="Q4538" s="5"/>
    </row>
    <row r="4539">
      <c r="J4539" s="5"/>
      <c r="P4539" s="9"/>
      <c r="Q4539" s="5"/>
    </row>
    <row r="4540">
      <c r="J4540" s="5"/>
      <c r="P4540" s="9"/>
      <c r="Q4540" s="5"/>
    </row>
    <row r="4541">
      <c r="J4541" s="5"/>
      <c r="P4541" s="9"/>
      <c r="Q4541" s="5"/>
    </row>
    <row r="4542">
      <c r="J4542" s="5"/>
      <c r="P4542" s="9"/>
      <c r="Q4542" s="5"/>
    </row>
    <row r="4543">
      <c r="J4543" s="5"/>
      <c r="P4543" s="9"/>
      <c r="Q4543" s="5"/>
    </row>
    <row r="4544">
      <c r="J4544" s="5"/>
      <c r="P4544" s="9"/>
      <c r="Q4544" s="5"/>
    </row>
    <row r="4545">
      <c r="J4545" s="5"/>
      <c r="P4545" s="9"/>
      <c r="Q4545" s="5"/>
    </row>
    <row r="4546">
      <c r="J4546" s="5"/>
      <c r="P4546" s="9"/>
      <c r="Q4546" s="5"/>
    </row>
    <row r="4547">
      <c r="J4547" s="5"/>
      <c r="P4547" s="9"/>
      <c r="Q4547" s="5"/>
    </row>
    <row r="4548">
      <c r="J4548" s="5"/>
      <c r="P4548" s="9"/>
      <c r="Q4548" s="5"/>
    </row>
    <row r="4549">
      <c r="J4549" s="5"/>
      <c r="P4549" s="9"/>
      <c r="Q4549" s="5"/>
    </row>
    <row r="4550">
      <c r="J4550" s="5"/>
      <c r="P4550" s="9"/>
      <c r="Q4550" s="5"/>
    </row>
    <row r="4551">
      <c r="J4551" s="5"/>
      <c r="P4551" s="9"/>
      <c r="Q4551" s="5"/>
    </row>
    <row r="4552">
      <c r="J4552" s="5"/>
      <c r="P4552" s="9"/>
      <c r="Q4552" s="5"/>
    </row>
    <row r="4553">
      <c r="J4553" s="5"/>
      <c r="P4553" s="9"/>
      <c r="Q4553" s="5"/>
    </row>
    <row r="4554">
      <c r="J4554" s="5"/>
      <c r="P4554" s="9"/>
      <c r="Q4554" s="5"/>
    </row>
    <row r="4555">
      <c r="J4555" s="5"/>
      <c r="P4555" s="9"/>
      <c r="Q4555" s="5"/>
    </row>
    <row r="4556">
      <c r="J4556" s="5"/>
      <c r="P4556" s="9"/>
      <c r="Q4556" s="5"/>
    </row>
    <row r="4557">
      <c r="J4557" s="5"/>
      <c r="P4557" s="9"/>
      <c r="Q4557" s="5"/>
    </row>
    <row r="4558">
      <c r="J4558" s="5"/>
      <c r="P4558" s="9"/>
      <c r="Q4558" s="5"/>
    </row>
    <row r="4559">
      <c r="J4559" s="5"/>
      <c r="P4559" s="9"/>
      <c r="Q4559" s="5"/>
    </row>
    <row r="4560">
      <c r="J4560" s="5"/>
      <c r="P4560" s="9"/>
      <c r="Q4560" s="5"/>
    </row>
    <row r="4561">
      <c r="J4561" s="5"/>
      <c r="P4561" s="9"/>
      <c r="Q4561" s="5"/>
    </row>
    <row r="4562">
      <c r="J4562" s="5"/>
      <c r="P4562" s="9"/>
      <c r="Q4562" s="5"/>
    </row>
    <row r="4563">
      <c r="J4563" s="5"/>
      <c r="P4563" s="9"/>
      <c r="Q4563" s="5"/>
    </row>
    <row r="4564">
      <c r="J4564" s="5"/>
      <c r="P4564" s="9"/>
      <c r="Q4564" s="5"/>
    </row>
    <row r="4565">
      <c r="J4565" s="5"/>
      <c r="P4565" s="9"/>
      <c r="Q4565" s="5"/>
    </row>
    <row r="4566">
      <c r="J4566" s="5"/>
      <c r="P4566" s="9"/>
      <c r="Q4566" s="5"/>
    </row>
    <row r="4567">
      <c r="J4567" s="5"/>
      <c r="P4567" s="9"/>
      <c r="Q4567" s="5"/>
    </row>
    <row r="4568">
      <c r="J4568" s="5"/>
      <c r="P4568" s="9"/>
      <c r="Q4568" s="5"/>
    </row>
    <row r="4569">
      <c r="J4569" s="5"/>
      <c r="P4569" s="9"/>
      <c r="Q4569" s="5"/>
    </row>
    <row r="4570">
      <c r="J4570" s="5"/>
      <c r="P4570" s="9"/>
      <c r="Q4570" s="5"/>
    </row>
    <row r="4571">
      <c r="J4571" s="5"/>
      <c r="P4571" s="9"/>
      <c r="Q4571" s="5"/>
    </row>
    <row r="4572">
      <c r="J4572" s="5"/>
      <c r="P4572" s="9"/>
      <c r="Q4572" s="5"/>
    </row>
    <row r="4573">
      <c r="J4573" s="5"/>
      <c r="P4573" s="9"/>
      <c r="Q4573" s="5"/>
    </row>
    <row r="4574">
      <c r="J4574" s="5"/>
      <c r="P4574" s="9"/>
      <c r="Q4574" s="5"/>
    </row>
    <row r="4575">
      <c r="J4575" s="5"/>
      <c r="P4575" s="9"/>
      <c r="Q4575" s="5"/>
    </row>
    <row r="4576">
      <c r="J4576" s="5"/>
      <c r="P4576" s="9"/>
      <c r="Q4576" s="5"/>
    </row>
    <row r="4577">
      <c r="J4577" s="5"/>
      <c r="P4577" s="9"/>
      <c r="Q4577" s="5"/>
    </row>
    <row r="4578">
      <c r="J4578" s="5"/>
      <c r="P4578" s="9"/>
      <c r="Q4578" s="5"/>
    </row>
    <row r="4579">
      <c r="J4579" s="5"/>
      <c r="P4579" s="9"/>
      <c r="Q4579" s="5"/>
    </row>
    <row r="4580">
      <c r="J4580" s="5"/>
      <c r="P4580" s="9"/>
      <c r="Q4580" s="5"/>
    </row>
    <row r="4581">
      <c r="J4581" s="5"/>
      <c r="P4581" s="9"/>
      <c r="Q4581" s="5"/>
    </row>
    <row r="4582">
      <c r="J4582" s="5"/>
      <c r="P4582" s="9"/>
      <c r="Q4582" s="5"/>
    </row>
    <row r="4583">
      <c r="J4583" s="5"/>
      <c r="P4583" s="9"/>
      <c r="Q4583" s="5"/>
    </row>
    <row r="4584">
      <c r="J4584" s="5"/>
      <c r="P4584" s="9"/>
      <c r="Q4584" s="5"/>
    </row>
    <row r="4585">
      <c r="J4585" s="5"/>
      <c r="P4585" s="9"/>
      <c r="Q4585" s="5"/>
    </row>
    <row r="4586">
      <c r="J4586" s="5"/>
      <c r="P4586" s="9"/>
      <c r="Q4586" s="5"/>
    </row>
    <row r="4587">
      <c r="J4587" s="5"/>
      <c r="P4587" s="9"/>
      <c r="Q4587" s="5"/>
    </row>
    <row r="4588">
      <c r="J4588" s="5"/>
      <c r="P4588" s="9"/>
      <c r="Q4588" s="5"/>
    </row>
    <row r="4589">
      <c r="J4589" s="5"/>
      <c r="P4589" s="9"/>
      <c r="Q4589" s="5"/>
    </row>
    <row r="4590">
      <c r="J4590" s="5"/>
      <c r="P4590" s="9"/>
      <c r="Q4590" s="5"/>
    </row>
    <row r="4591">
      <c r="J4591" s="5"/>
      <c r="P4591" s="9"/>
      <c r="Q4591" s="5"/>
    </row>
    <row r="4592">
      <c r="J4592" s="5"/>
      <c r="P4592" s="9"/>
      <c r="Q4592" s="5"/>
    </row>
    <row r="4593">
      <c r="J4593" s="5"/>
      <c r="P4593" s="9"/>
      <c r="Q4593" s="5"/>
    </row>
    <row r="4594">
      <c r="J4594" s="5"/>
      <c r="P4594" s="9"/>
      <c r="Q4594" s="5"/>
    </row>
    <row r="4595">
      <c r="J4595" s="5"/>
      <c r="P4595" s="9"/>
      <c r="Q4595" s="5"/>
    </row>
    <row r="4596">
      <c r="J4596" s="5"/>
      <c r="P4596" s="9"/>
      <c r="Q4596" s="5"/>
    </row>
    <row r="4597">
      <c r="J4597" s="5"/>
      <c r="P4597" s="9"/>
      <c r="Q4597" s="5"/>
    </row>
    <row r="4598">
      <c r="J4598" s="5"/>
      <c r="P4598" s="9"/>
      <c r="Q4598" s="5"/>
    </row>
    <row r="4599">
      <c r="J4599" s="5"/>
      <c r="P4599" s="9"/>
      <c r="Q4599" s="5"/>
    </row>
    <row r="4600">
      <c r="J4600" s="5"/>
      <c r="P4600" s="9"/>
      <c r="Q4600" s="5"/>
    </row>
    <row r="4601">
      <c r="J4601" s="5"/>
      <c r="P4601" s="9"/>
      <c r="Q4601" s="5"/>
    </row>
    <row r="4602">
      <c r="J4602" s="5"/>
      <c r="P4602" s="9"/>
      <c r="Q4602" s="5"/>
    </row>
    <row r="4603">
      <c r="J4603" s="5"/>
      <c r="P4603" s="9"/>
      <c r="Q4603" s="5"/>
    </row>
    <row r="4604">
      <c r="J4604" s="5"/>
      <c r="P4604" s="9"/>
      <c r="Q4604" s="5"/>
    </row>
    <row r="4605">
      <c r="J4605" s="5"/>
      <c r="P4605" s="9"/>
      <c r="Q4605" s="5"/>
    </row>
    <row r="4606">
      <c r="J4606" s="5"/>
      <c r="P4606" s="9"/>
      <c r="Q4606" s="5"/>
    </row>
    <row r="4607">
      <c r="J4607" s="5"/>
      <c r="P4607" s="9"/>
      <c r="Q4607" s="5"/>
    </row>
    <row r="4608">
      <c r="J4608" s="5"/>
      <c r="P4608" s="9"/>
      <c r="Q4608" s="5"/>
    </row>
    <row r="4609">
      <c r="J4609" s="5"/>
      <c r="P4609" s="9"/>
      <c r="Q4609" s="5"/>
    </row>
    <row r="4610">
      <c r="J4610" s="5"/>
      <c r="P4610" s="9"/>
      <c r="Q4610" s="5"/>
    </row>
    <row r="4611">
      <c r="J4611" s="5"/>
      <c r="P4611" s="9"/>
      <c r="Q4611" s="5"/>
    </row>
    <row r="4612">
      <c r="J4612" s="5"/>
      <c r="P4612" s="9"/>
      <c r="Q4612" s="5"/>
    </row>
    <row r="4613">
      <c r="J4613" s="5"/>
      <c r="P4613" s="9"/>
      <c r="Q4613" s="5"/>
    </row>
    <row r="4614">
      <c r="J4614" s="5"/>
      <c r="P4614" s="9"/>
      <c r="Q4614" s="5"/>
    </row>
    <row r="4615">
      <c r="J4615" s="5"/>
      <c r="P4615" s="9"/>
      <c r="Q4615" s="5"/>
    </row>
    <row r="4616">
      <c r="J4616" s="5"/>
      <c r="P4616" s="9"/>
      <c r="Q4616" s="5"/>
    </row>
    <row r="4617">
      <c r="J4617" s="5"/>
      <c r="P4617" s="9"/>
      <c r="Q4617" s="5"/>
    </row>
    <row r="4618">
      <c r="J4618" s="5"/>
      <c r="P4618" s="9"/>
      <c r="Q4618" s="5"/>
    </row>
    <row r="4619">
      <c r="J4619" s="5"/>
      <c r="P4619" s="9"/>
      <c r="Q4619" s="5"/>
    </row>
    <row r="4620">
      <c r="J4620" s="5"/>
      <c r="P4620" s="9"/>
      <c r="Q4620" s="5"/>
    </row>
    <row r="4621">
      <c r="J4621" s="5"/>
      <c r="P4621" s="9"/>
      <c r="Q4621" s="5"/>
    </row>
    <row r="4622">
      <c r="J4622" s="5"/>
      <c r="P4622" s="9"/>
      <c r="Q4622" s="5"/>
    </row>
    <row r="4623">
      <c r="J4623" s="5"/>
      <c r="P4623" s="9"/>
      <c r="Q4623" s="5"/>
    </row>
    <row r="4624">
      <c r="J4624" s="5"/>
      <c r="P4624" s="9"/>
      <c r="Q4624" s="5"/>
    </row>
    <row r="4625">
      <c r="J4625" s="5"/>
      <c r="P4625" s="9"/>
      <c r="Q4625" s="5"/>
    </row>
    <row r="4626">
      <c r="J4626" s="5"/>
      <c r="P4626" s="9"/>
      <c r="Q4626" s="5"/>
    </row>
    <row r="4627">
      <c r="J4627" s="5"/>
      <c r="P4627" s="9"/>
      <c r="Q4627" s="5"/>
    </row>
    <row r="4628">
      <c r="J4628" s="5"/>
      <c r="P4628" s="9"/>
      <c r="Q4628" s="5"/>
    </row>
    <row r="4629">
      <c r="J4629" s="5"/>
      <c r="P4629" s="9"/>
      <c r="Q4629" s="5"/>
    </row>
    <row r="4630">
      <c r="J4630" s="5"/>
      <c r="P4630" s="9"/>
      <c r="Q4630" s="5"/>
    </row>
    <row r="4631">
      <c r="J4631" s="5"/>
      <c r="P4631" s="9"/>
      <c r="Q4631" s="5"/>
    </row>
    <row r="4632">
      <c r="J4632" s="5"/>
      <c r="P4632" s="9"/>
      <c r="Q4632" s="5"/>
    </row>
    <row r="4633">
      <c r="J4633" s="5"/>
      <c r="P4633" s="9"/>
      <c r="Q4633" s="5"/>
    </row>
    <row r="4634">
      <c r="J4634" s="5"/>
      <c r="P4634" s="9"/>
      <c r="Q4634" s="5"/>
    </row>
    <row r="4635">
      <c r="J4635" s="5"/>
      <c r="P4635" s="9"/>
      <c r="Q4635" s="5"/>
    </row>
    <row r="4636">
      <c r="J4636" s="5"/>
      <c r="P4636" s="9"/>
      <c r="Q4636" s="5"/>
    </row>
    <row r="4637">
      <c r="J4637" s="5"/>
      <c r="P4637" s="9"/>
      <c r="Q4637" s="5"/>
    </row>
    <row r="4638">
      <c r="J4638" s="5"/>
      <c r="P4638" s="9"/>
      <c r="Q4638" s="5"/>
    </row>
    <row r="4639">
      <c r="J4639" s="5"/>
      <c r="P4639" s="9"/>
      <c r="Q4639" s="5"/>
    </row>
    <row r="4640">
      <c r="J4640" s="5"/>
      <c r="P4640" s="9"/>
      <c r="Q4640" s="5"/>
    </row>
    <row r="4641">
      <c r="J4641" s="5"/>
      <c r="P4641" s="9"/>
      <c r="Q4641" s="5"/>
    </row>
    <row r="4642">
      <c r="J4642" s="5"/>
      <c r="P4642" s="9"/>
      <c r="Q4642" s="5"/>
    </row>
    <row r="4643">
      <c r="J4643" s="5"/>
      <c r="P4643" s="9"/>
      <c r="Q4643" s="5"/>
    </row>
    <row r="4644">
      <c r="J4644" s="5"/>
      <c r="P4644" s="9"/>
      <c r="Q4644" s="5"/>
    </row>
    <row r="4645">
      <c r="J4645" s="5"/>
      <c r="P4645" s="9"/>
      <c r="Q4645" s="5"/>
    </row>
    <row r="4646">
      <c r="J4646" s="5"/>
      <c r="P4646" s="9"/>
      <c r="Q4646" s="5"/>
    </row>
    <row r="4647">
      <c r="J4647" s="5"/>
      <c r="P4647" s="9"/>
      <c r="Q4647" s="5"/>
    </row>
    <row r="4648">
      <c r="J4648" s="5"/>
      <c r="P4648" s="9"/>
      <c r="Q4648" s="5"/>
    </row>
    <row r="4649">
      <c r="J4649" s="5"/>
      <c r="P4649" s="9"/>
      <c r="Q4649" s="5"/>
    </row>
    <row r="4650">
      <c r="J4650" s="5"/>
      <c r="P4650" s="9"/>
      <c r="Q4650" s="5"/>
    </row>
    <row r="4651">
      <c r="J4651" s="5"/>
      <c r="P4651" s="9"/>
      <c r="Q4651" s="5"/>
    </row>
    <row r="4652">
      <c r="J4652" s="5"/>
      <c r="P4652" s="9"/>
      <c r="Q4652" s="5"/>
    </row>
    <row r="4653">
      <c r="J4653" s="5"/>
      <c r="P4653" s="9"/>
      <c r="Q4653" s="5"/>
    </row>
    <row r="4654">
      <c r="J4654" s="5"/>
      <c r="P4654" s="9"/>
      <c r="Q4654" s="5"/>
    </row>
    <row r="4655">
      <c r="J4655" s="5"/>
      <c r="P4655" s="9"/>
      <c r="Q4655" s="5"/>
    </row>
    <row r="4656">
      <c r="J4656" s="5"/>
      <c r="P4656" s="9"/>
      <c r="Q4656" s="5"/>
    </row>
    <row r="4657">
      <c r="J4657" s="5"/>
      <c r="P4657" s="9"/>
      <c r="Q4657" s="5"/>
    </row>
    <row r="4658">
      <c r="J4658" s="5"/>
      <c r="P4658" s="9"/>
      <c r="Q4658" s="5"/>
    </row>
    <row r="4659">
      <c r="J4659" s="5"/>
      <c r="P4659" s="9"/>
      <c r="Q4659" s="5"/>
    </row>
    <row r="4660">
      <c r="J4660" s="5"/>
      <c r="P4660" s="9"/>
      <c r="Q4660" s="5"/>
    </row>
    <row r="4661">
      <c r="J4661" s="5"/>
      <c r="P4661" s="9"/>
      <c r="Q4661" s="5"/>
    </row>
    <row r="4662">
      <c r="J4662" s="5"/>
      <c r="P4662" s="9"/>
      <c r="Q4662" s="5"/>
    </row>
    <row r="4663">
      <c r="J4663" s="5"/>
      <c r="P4663" s="9"/>
      <c r="Q4663" s="5"/>
    </row>
    <row r="4664">
      <c r="J4664" s="5"/>
      <c r="P4664" s="9"/>
      <c r="Q4664" s="5"/>
    </row>
    <row r="4665">
      <c r="J4665" s="5"/>
      <c r="P4665" s="9"/>
      <c r="Q4665" s="5"/>
    </row>
    <row r="4666">
      <c r="J4666" s="5"/>
      <c r="P4666" s="9"/>
      <c r="Q4666" s="5"/>
    </row>
    <row r="4667">
      <c r="J4667" s="5"/>
      <c r="P4667" s="9"/>
      <c r="Q4667" s="5"/>
    </row>
    <row r="4668">
      <c r="J4668" s="5"/>
      <c r="P4668" s="9"/>
      <c r="Q4668" s="5"/>
    </row>
    <row r="4669">
      <c r="J4669" s="5"/>
      <c r="P4669" s="9"/>
      <c r="Q4669" s="5"/>
    </row>
    <row r="4670">
      <c r="J4670" s="5"/>
      <c r="P4670" s="9"/>
      <c r="Q4670" s="5"/>
    </row>
    <row r="4671">
      <c r="J4671" s="5"/>
      <c r="P4671" s="9"/>
      <c r="Q4671" s="5"/>
    </row>
    <row r="4672">
      <c r="J4672" s="5"/>
      <c r="P4672" s="9"/>
      <c r="Q4672" s="5"/>
    </row>
    <row r="4673">
      <c r="J4673" s="5"/>
      <c r="P4673" s="9"/>
      <c r="Q4673" s="5"/>
    </row>
    <row r="4674">
      <c r="J4674" s="5"/>
      <c r="P4674" s="9"/>
      <c r="Q4674" s="5"/>
    </row>
    <row r="4675">
      <c r="J4675" s="5"/>
      <c r="P4675" s="9"/>
      <c r="Q4675" s="5"/>
    </row>
    <row r="4676">
      <c r="J4676" s="5"/>
      <c r="P4676" s="9"/>
      <c r="Q4676" s="5"/>
    </row>
    <row r="4677">
      <c r="J4677" s="5"/>
      <c r="P4677" s="9"/>
      <c r="Q4677" s="5"/>
    </row>
    <row r="4678">
      <c r="J4678" s="5"/>
      <c r="P4678" s="9"/>
      <c r="Q4678" s="5"/>
    </row>
    <row r="4679">
      <c r="J4679" s="5"/>
      <c r="P4679" s="9"/>
      <c r="Q4679" s="5"/>
    </row>
    <row r="4680">
      <c r="J4680" s="5"/>
      <c r="P4680" s="9"/>
      <c r="Q4680" s="5"/>
    </row>
    <row r="4681">
      <c r="J4681" s="5"/>
      <c r="P4681" s="9"/>
      <c r="Q4681" s="5"/>
    </row>
    <row r="4682">
      <c r="J4682" s="5"/>
      <c r="P4682" s="9"/>
      <c r="Q4682" s="5"/>
    </row>
    <row r="4683">
      <c r="J4683" s="5"/>
      <c r="P4683" s="9"/>
      <c r="Q4683" s="5"/>
    </row>
    <row r="4684">
      <c r="J4684" s="5"/>
      <c r="P4684" s="9"/>
      <c r="Q4684" s="5"/>
    </row>
    <row r="4685">
      <c r="J4685" s="5"/>
      <c r="P4685" s="9"/>
      <c r="Q4685" s="5"/>
    </row>
    <row r="4686">
      <c r="J4686" s="5"/>
      <c r="P4686" s="9"/>
      <c r="Q4686" s="5"/>
    </row>
    <row r="4687">
      <c r="J4687" s="5"/>
      <c r="P4687" s="9"/>
      <c r="Q4687" s="5"/>
    </row>
    <row r="4688">
      <c r="J4688" s="5"/>
      <c r="P4688" s="9"/>
      <c r="Q4688" s="5"/>
    </row>
    <row r="4689">
      <c r="J4689" s="5"/>
      <c r="P4689" s="9"/>
      <c r="Q4689" s="5"/>
    </row>
    <row r="4690">
      <c r="J4690" s="5"/>
      <c r="P4690" s="9"/>
      <c r="Q4690" s="5"/>
    </row>
    <row r="4691">
      <c r="J4691" s="5"/>
      <c r="P4691" s="9"/>
      <c r="Q4691" s="5"/>
    </row>
    <row r="4692">
      <c r="J4692" s="5"/>
      <c r="P4692" s="9"/>
      <c r="Q4692" s="5"/>
    </row>
    <row r="4693">
      <c r="J4693" s="5"/>
      <c r="P4693" s="9"/>
      <c r="Q4693" s="5"/>
    </row>
    <row r="4694">
      <c r="J4694" s="5"/>
      <c r="P4694" s="9"/>
      <c r="Q4694" s="5"/>
    </row>
    <row r="4695">
      <c r="J4695" s="5"/>
      <c r="P4695" s="9"/>
      <c r="Q4695" s="5"/>
    </row>
    <row r="4696">
      <c r="J4696" s="5"/>
      <c r="P4696" s="9"/>
      <c r="Q4696" s="5"/>
    </row>
    <row r="4697">
      <c r="J4697" s="5"/>
      <c r="P4697" s="9"/>
      <c r="Q4697" s="5"/>
    </row>
    <row r="4698">
      <c r="J4698" s="5"/>
      <c r="P4698" s="9"/>
      <c r="Q4698" s="5"/>
    </row>
    <row r="4699">
      <c r="J4699" s="5"/>
      <c r="P4699" s="9"/>
      <c r="Q4699" s="5"/>
    </row>
    <row r="4700">
      <c r="J4700" s="5"/>
      <c r="P4700" s="9"/>
      <c r="Q4700" s="5"/>
    </row>
    <row r="4701">
      <c r="J4701" s="5"/>
      <c r="P4701" s="9"/>
      <c r="Q4701" s="5"/>
    </row>
    <row r="4702">
      <c r="J4702" s="5"/>
      <c r="P4702" s="9"/>
      <c r="Q4702" s="5"/>
    </row>
    <row r="4703">
      <c r="J4703" s="5"/>
      <c r="P4703" s="9"/>
      <c r="Q4703" s="5"/>
    </row>
    <row r="4704">
      <c r="J4704" s="5"/>
      <c r="P4704" s="9"/>
      <c r="Q4704" s="5"/>
    </row>
    <row r="4705">
      <c r="J4705" s="5"/>
      <c r="P4705" s="9"/>
      <c r="Q4705" s="5"/>
    </row>
    <row r="4706">
      <c r="J4706" s="5"/>
      <c r="P4706" s="9"/>
      <c r="Q4706" s="5"/>
    </row>
    <row r="4707">
      <c r="J4707" s="5"/>
      <c r="P4707" s="9"/>
      <c r="Q4707" s="5"/>
    </row>
    <row r="4708">
      <c r="J4708" s="5"/>
      <c r="P4708" s="9"/>
      <c r="Q4708" s="5"/>
    </row>
    <row r="4709">
      <c r="J4709" s="5"/>
      <c r="P4709" s="9"/>
      <c r="Q4709" s="5"/>
    </row>
    <row r="4710">
      <c r="J4710" s="5"/>
      <c r="P4710" s="9"/>
      <c r="Q4710" s="5"/>
    </row>
    <row r="4711">
      <c r="J4711" s="5"/>
      <c r="P4711" s="9"/>
      <c r="Q4711" s="5"/>
    </row>
    <row r="4712">
      <c r="J4712" s="5"/>
      <c r="P4712" s="9"/>
      <c r="Q4712" s="5"/>
    </row>
    <row r="4713">
      <c r="J4713" s="5"/>
      <c r="P4713" s="9"/>
      <c r="Q4713" s="5"/>
    </row>
    <row r="4714">
      <c r="J4714" s="5"/>
      <c r="P4714" s="9"/>
      <c r="Q4714" s="5"/>
    </row>
    <row r="4715">
      <c r="J4715" s="5"/>
      <c r="P4715" s="9"/>
      <c r="Q4715" s="5"/>
    </row>
    <row r="4716">
      <c r="J4716" s="5"/>
      <c r="P4716" s="9"/>
      <c r="Q4716" s="5"/>
    </row>
    <row r="4717">
      <c r="J4717" s="5"/>
      <c r="P4717" s="9"/>
      <c r="Q4717" s="5"/>
    </row>
    <row r="4718">
      <c r="J4718" s="5"/>
      <c r="P4718" s="9"/>
      <c r="Q4718" s="5"/>
    </row>
    <row r="4719">
      <c r="J4719" s="5"/>
      <c r="P4719" s="9"/>
      <c r="Q4719" s="5"/>
    </row>
    <row r="4720">
      <c r="J4720" s="5"/>
      <c r="P4720" s="9"/>
      <c r="Q4720" s="5"/>
    </row>
    <row r="4721">
      <c r="J4721" s="5"/>
      <c r="P4721" s="9"/>
      <c r="Q4721" s="5"/>
    </row>
    <row r="4722">
      <c r="J4722" s="5"/>
      <c r="P4722" s="9"/>
      <c r="Q4722" s="5"/>
    </row>
    <row r="4723">
      <c r="J4723" s="5"/>
      <c r="P4723" s="9"/>
      <c r="Q4723" s="5"/>
    </row>
    <row r="4724">
      <c r="J4724" s="5"/>
      <c r="P4724" s="9"/>
      <c r="Q4724" s="5"/>
    </row>
    <row r="4725">
      <c r="J4725" s="5"/>
      <c r="P4725" s="9"/>
      <c r="Q4725" s="5"/>
    </row>
    <row r="4726">
      <c r="J4726" s="5"/>
      <c r="P4726" s="9"/>
      <c r="Q4726" s="5"/>
    </row>
    <row r="4727">
      <c r="J4727" s="5"/>
      <c r="P4727" s="9"/>
      <c r="Q4727" s="5"/>
    </row>
    <row r="4728">
      <c r="J4728" s="5"/>
      <c r="P4728" s="9"/>
      <c r="Q4728" s="5"/>
    </row>
    <row r="4729">
      <c r="J4729" s="5"/>
      <c r="P4729" s="9"/>
      <c r="Q4729" s="5"/>
    </row>
    <row r="4730">
      <c r="J4730" s="5"/>
      <c r="P4730" s="9"/>
      <c r="Q4730" s="5"/>
    </row>
    <row r="4731">
      <c r="J4731" s="5"/>
      <c r="P4731" s="9"/>
      <c r="Q4731" s="5"/>
    </row>
    <row r="4732">
      <c r="J4732" s="5"/>
      <c r="P4732" s="9"/>
      <c r="Q4732" s="5"/>
    </row>
    <row r="4733">
      <c r="J4733" s="5"/>
      <c r="P4733" s="9"/>
      <c r="Q4733" s="5"/>
    </row>
    <row r="4734">
      <c r="J4734" s="5"/>
      <c r="P4734" s="9"/>
      <c r="Q4734" s="5"/>
    </row>
    <row r="4735">
      <c r="J4735" s="5"/>
      <c r="P4735" s="9"/>
      <c r="Q4735" s="5"/>
    </row>
    <row r="4736">
      <c r="J4736" s="5"/>
      <c r="P4736" s="9"/>
      <c r="Q4736" s="5"/>
    </row>
    <row r="4737">
      <c r="J4737" s="5"/>
      <c r="P4737" s="9"/>
      <c r="Q4737" s="5"/>
    </row>
    <row r="4738">
      <c r="J4738" s="5"/>
      <c r="P4738" s="9"/>
      <c r="Q4738" s="5"/>
    </row>
    <row r="4739">
      <c r="J4739" s="5"/>
      <c r="P4739" s="9"/>
      <c r="Q4739" s="5"/>
    </row>
    <row r="4740">
      <c r="J4740" s="5"/>
      <c r="P4740" s="9"/>
      <c r="Q4740" s="5"/>
    </row>
    <row r="4741">
      <c r="J4741" s="5"/>
      <c r="P4741" s="9"/>
      <c r="Q4741" s="5"/>
    </row>
    <row r="4742">
      <c r="J4742" s="5"/>
      <c r="P4742" s="9"/>
      <c r="Q4742" s="5"/>
    </row>
    <row r="4743">
      <c r="J4743" s="5"/>
      <c r="P4743" s="9"/>
      <c r="Q4743" s="5"/>
    </row>
    <row r="4744">
      <c r="J4744" s="5"/>
      <c r="P4744" s="9"/>
      <c r="Q4744" s="5"/>
    </row>
    <row r="4745">
      <c r="J4745" s="5"/>
      <c r="P4745" s="9"/>
      <c r="Q4745" s="5"/>
    </row>
    <row r="4746">
      <c r="J4746" s="5"/>
      <c r="P4746" s="9"/>
      <c r="Q4746" s="5"/>
    </row>
    <row r="4747">
      <c r="J4747" s="5"/>
      <c r="P4747" s="9"/>
      <c r="Q4747" s="5"/>
    </row>
    <row r="4748">
      <c r="J4748" s="5"/>
      <c r="P4748" s="9"/>
      <c r="Q4748" s="5"/>
    </row>
    <row r="4749">
      <c r="J4749" s="5"/>
      <c r="P4749" s="9"/>
      <c r="Q4749" s="5"/>
    </row>
    <row r="4750">
      <c r="J4750" s="5"/>
      <c r="P4750" s="9"/>
      <c r="Q4750" s="5"/>
    </row>
    <row r="4751">
      <c r="J4751" s="5"/>
      <c r="P4751" s="9"/>
      <c r="Q4751" s="5"/>
    </row>
    <row r="4752">
      <c r="J4752" s="5"/>
      <c r="P4752" s="9"/>
      <c r="Q4752" s="5"/>
    </row>
    <row r="4753">
      <c r="J4753" s="5"/>
      <c r="P4753" s="9"/>
      <c r="Q4753" s="5"/>
    </row>
    <row r="4754">
      <c r="J4754" s="5"/>
      <c r="P4754" s="9"/>
      <c r="Q4754" s="5"/>
    </row>
    <row r="4755">
      <c r="J4755" s="5"/>
      <c r="P4755" s="9"/>
      <c r="Q4755" s="5"/>
    </row>
    <row r="4756">
      <c r="J4756" s="5"/>
      <c r="P4756" s="9"/>
      <c r="Q4756" s="5"/>
    </row>
    <row r="4757">
      <c r="J4757" s="5"/>
      <c r="P4757" s="9"/>
      <c r="Q4757" s="5"/>
    </row>
    <row r="4758">
      <c r="J4758" s="5"/>
      <c r="P4758" s="9"/>
      <c r="Q4758" s="5"/>
    </row>
    <row r="4759">
      <c r="J4759" s="5"/>
      <c r="P4759" s="9"/>
      <c r="Q4759" s="5"/>
    </row>
    <row r="4760">
      <c r="J4760" s="5"/>
      <c r="P4760" s="9"/>
      <c r="Q4760" s="5"/>
    </row>
    <row r="4761">
      <c r="J4761" s="5"/>
      <c r="P4761" s="9"/>
      <c r="Q4761" s="5"/>
    </row>
    <row r="4762">
      <c r="J4762" s="5"/>
      <c r="P4762" s="9"/>
      <c r="Q4762" s="5"/>
    </row>
    <row r="4763">
      <c r="J4763" s="5"/>
      <c r="P4763" s="9"/>
      <c r="Q4763" s="5"/>
    </row>
    <row r="4764">
      <c r="J4764" s="5"/>
      <c r="P4764" s="9"/>
      <c r="Q4764" s="5"/>
    </row>
    <row r="4765">
      <c r="J4765" s="5"/>
      <c r="P4765" s="9"/>
      <c r="Q4765" s="5"/>
    </row>
    <row r="4766">
      <c r="J4766" s="5"/>
      <c r="P4766" s="9"/>
      <c r="Q4766" s="5"/>
    </row>
    <row r="4767">
      <c r="J4767" s="5"/>
      <c r="P4767" s="9"/>
      <c r="Q4767" s="5"/>
    </row>
    <row r="4768">
      <c r="J4768" s="5"/>
      <c r="P4768" s="9"/>
      <c r="Q4768" s="5"/>
    </row>
    <row r="4769">
      <c r="J4769" s="5"/>
      <c r="P4769" s="9"/>
      <c r="Q4769" s="5"/>
    </row>
    <row r="4770">
      <c r="J4770" s="5"/>
      <c r="P4770" s="9"/>
      <c r="Q4770" s="5"/>
    </row>
    <row r="4771">
      <c r="J4771" s="5"/>
      <c r="P4771" s="9"/>
      <c r="Q4771" s="5"/>
    </row>
    <row r="4772">
      <c r="J4772" s="5"/>
      <c r="P4772" s="9"/>
      <c r="Q4772" s="5"/>
    </row>
    <row r="4773">
      <c r="J4773" s="5"/>
      <c r="P4773" s="9"/>
      <c r="Q4773" s="5"/>
    </row>
    <row r="4774">
      <c r="J4774" s="5"/>
      <c r="P4774" s="9"/>
      <c r="Q4774" s="5"/>
    </row>
    <row r="4775">
      <c r="J4775" s="5"/>
      <c r="P4775" s="9"/>
      <c r="Q4775" s="5"/>
    </row>
    <row r="4776">
      <c r="J4776" s="5"/>
      <c r="P4776" s="9"/>
      <c r="Q4776" s="5"/>
    </row>
    <row r="4777">
      <c r="J4777" s="5"/>
      <c r="P4777" s="9"/>
      <c r="Q4777" s="5"/>
    </row>
    <row r="4778">
      <c r="J4778" s="5"/>
      <c r="P4778" s="9"/>
      <c r="Q4778" s="5"/>
    </row>
    <row r="4779">
      <c r="J4779" s="5"/>
      <c r="P4779" s="9"/>
      <c r="Q4779" s="5"/>
    </row>
    <row r="4780">
      <c r="J4780" s="5"/>
      <c r="P4780" s="9"/>
      <c r="Q4780" s="5"/>
    </row>
    <row r="4781">
      <c r="J4781" s="5"/>
      <c r="P4781" s="9"/>
      <c r="Q4781" s="5"/>
    </row>
    <row r="4782">
      <c r="J4782" s="5"/>
      <c r="P4782" s="9"/>
      <c r="Q4782" s="5"/>
    </row>
    <row r="4783">
      <c r="J4783" s="5"/>
      <c r="P4783" s="9"/>
      <c r="Q4783" s="5"/>
    </row>
    <row r="4784">
      <c r="J4784" s="5"/>
      <c r="P4784" s="9"/>
      <c r="Q4784" s="5"/>
    </row>
    <row r="4785">
      <c r="J4785" s="5"/>
      <c r="P4785" s="9"/>
      <c r="Q4785" s="5"/>
    </row>
    <row r="4786">
      <c r="J4786" s="5"/>
      <c r="P4786" s="9"/>
      <c r="Q4786" s="5"/>
    </row>
    <row r="4787">
      <c r="J4787" s="5"/>
      <c r="P4787" s="9"/>
      <c r="Q4787" s="5"/>
    </row>
    <row r="4788">
      <c r="J4788" s="5"/>
      <c r="P4788" s="9"/>
      <c r="Q4788" s="5"/>
    </row>
    <row r="4789">
      <c r="J4789" s="5"/>
      <c r="P4789" s="9"/>
      <c r="Q4789" s="5"/>
    </row>
    <row r="4790">
      <c r="J4790" s="5"/>
      <c r="P4790" s="9"/>
      <c r="Q4790" s="5"/>
    </row>
    <row r="4791">
      <c r="J4791" s="5"/>
      <c r="P4791" s="9"/>
      <c r="Q4791" s="5"/>
    </row>
    <row r="4792">
      <c r="J4792" s="5"/>
      <c r="P4792" s="9"/>
      <c r="Q4792" s="5"/>
    </row>
    <row r="4793">
      <c r="J4793" s="5"/>
      <c r="P4793" s="9"/>
      <c r="Q4793" s="5"/>
    </row>
    <row r="4794">
      <c r="J4794" s="5"/>
      <c r="P4794" s="9"/>
      <c r="Q4794" s="5"/>
    </row>
    <row r="4795">
      <c r="J4795" s="5"/>
      <c r="P4795" s="9"/>
      <c r="Q4795" s="5"/>
    </row>
    <row r="4796">
      <c r="J4796" s="5"/>
      <c r="P4796" s="9"/>
      <c r="Q4796" s="5"/>
    </row>
    <row r="4797">
      <c r="J4797" s="5"/>
      <c r="P4797" s="9"/>
      <c r="Q4797" s="5"/>
    </row>
    <row r="4798">
      <c r="J4798" s="5"/>
      <c r="P4798" s="9"/>
      <c r="Q4798" s="5"/>
    </row>
    <row r="4799">
      <c r="J4799" s="5"/>
      <c r="P4799" s="9"/>
      <c r="Q4799" s="5"/>
    </row>
    <row r="4800">
      <c r="J4800" s="5"/>
      <c r="P4800" s="9"/>
      <c r="Q4800" s="5"/>
    </row>
    <row r="4801">
      <c r="J4801" s="5"/>
      <c r="P4801" s="9"/>
      <c r="Q4801" s="5"/>
    </row>
    <row r="4802">
      <c r="J4802" s="5"/>
      <c r="P4802" s="9"/>
      <c r="Q4802" s="5"/>
    </row>
    <row r="4803">
      <c r="J4803" s="5"/>
      <c r="P4803" s="9"/>
      <c r="Q4803" s="5"/>
    </row>
    <row r="4804">
      <c r="J4804" s="5"/>
      <c r="P4804" s="9"/>
      <c r="Q4804" s="5"/>
    </row>
    <row r="4805">
      <c r="J4805" s="5"/>
      <c r="P4805" s="9"/>
      <c r="Q4805" s="5"/>
    </row>
    <row r="4806">
      <c r="J4806" s="5"/>
      <c r="P4806" s="9"/>
      <c r="Q4806" s="5"/>
    </row>
    <row r="4807">
      <c r="J4807" s="5"/>
      <c r="P4807" s="9"/>
      <c r="Q4807" s="5"/>
    </row>
    <row r="4808">
      <c r="J4808" s="5"/>
      <c r="P4808" s="9"/>
      <c r="Q4808" s="5"/>
    </row>
    <row r="4809">
      <c r="J4809" s="5"/>
      <c r="P4809" s="9"/>
      <c r="Q4809" s="5"/>
    </row>
    <row r="4810">
      <c r="J4810" s="5"/>
      <c r="P4810" s="9"/>
      <c r="Q4810" s="5"/>
    </row>
    <row r="4811">
      <c r="J4811" s="5"/>
      <c r="P4811" s="9"/>
      <c r="Q4811" s="5"/>
    </row>
    <row r="4812">
      <c r="J4812" s="5"/>
      <c r="P4812" s="9"/>
      <c r="Q4812" s="5"/>
    </row>
    <row r="4813">
      <c r="J4813" s="5"/>
      <c r="P4813" s="9"/>
      <c r="Q4813" s="5"/>
    </row>
    <row r="4814">
      <c r="J4814" s="5"/>
      <c r="P4814" s="9"/>
      <c r="Q4814" s="5"/>
    </row>
    <row r="4815">
      <c r="J4815" s="5"/>
      <c r="P4815" s="9"/>
      <c r="Q4815" s="5"/>
    </row>
    <row r="4816">
      <c r="J4816" s="5"/>
      <c r="P4816" s="9"/>
      <c r="Q4816" s="5"/>
    </row>
    <row r="4817">
      <c r="J4817" s="5"/>
      <c r="P4817" s="9"/>
      <c r="Q4817" s="5"/>
    </row>
    <row r="4818">
      <c r="J4818" s="5"/>
      <c r="P4818" s="9"/>
      <c r="Q4818" s="5"/>
    </row>
    <row r="4819">
      <c r="J4819" s="5"/>
      <c r="P4819" s="9"/>
      <c r="Q4819" s="5"/>
    </row>
    <row r="4820">
      <c r="J4820" s="5"/>
      <c r="P4820" s="9"/>
      <c r="Q4820" s="5"/>
    </row>
    <row r="4821">
      <c r="J4821" s="5"/>
      <c r="P4821" s="9"/>
      <c r="Q4821" s="5"/>
    </row>
    <row r="4822">
      <c r="J4822" s="5"/>
      <c r="P4822" s="9"/>
      <c r="Q4822" s="5"/>
    </row>
    <row r="4823">
      <c r="J4823" s="5"/>
      <c r="P4823" s="9"/>
      <c r="Q4823" s="5"/>
    </row>
    <row r="4824">
      <c r="J4824" s="5"/>
      <c r="P4824" s="9"/>
      <c r="Q4824" s="5"/>
    </row>
    <row r="4825">
      <c r="J4825" s="5"/>
      <c r="P4825" s="9"/>
      <c r="Q4825" s="5"/>
    </row>
    <row r="4826">
      <c r="J4826" s="5"/>
      <c r="P4826" s="9"/>
      <c r="Q4826" s="5"/>
    </row>
    <row r="4827">
      <c r="J4827" s="5"/>
      <c r="P4827" s="9"/>
      <c r="Q4827" s="5"/>
    </row>
    <row r="4828">
      <c r="J4828" s="5"/>
      <c r="P4828" s="9"/>
      <c r="Q4828" s="5"/>
    </row>
    <row r="4829">
      <c r="J4829" s="5"/>
      <c r="P4829" s="9"/>
      <c r="Q4829" s="5"/>
    </row>
    <row r="4830">
      <c r="J4830" s="5"/>
      <c r="P4830" s="9"/>
      <c r="Q4830" s="5"/>
    </row>
    <row r="4831">
      <c r="J4831" s="5"/>
      <c r="P4831" s="9"/>
      <c r="Q4831" s="5"/>
    </row>
    <row r="4832">
      <c r="J4832" s="5"/>
      <c r="P4832" s="9"/>
      <c r="Q4832" s="5"/>
    </row>
    <row r="4833">
      <c r="J4833" s="5"/>
      <c r="P4833" s="9"/>
      <c r="Q4833" s="5"/>
    </row>
    <row r="4834">
      <c r="J4834" s="5"/>
      <c r="P4834" s="9"/>
      <c r="Q4834" s="5"/>
    </row>
    <row r="4835">
      <c r="J4835" s="5"/>
      <c r="P4835" s="9"/>
      <c r="Q4835" s="5"/>
    </row>
    <row r="4836">
      <c r="J4836" s="5"/>
      <c r="P4836" s="9"/>
      <c r="Q4836" s="5"/>
    </row>
    <row r="4837">
      <c r="J4837" s="5"/>
      <c r="P4837" s="9"/>
      <c r="Q4837" s="5"/>
    </row>
    <row r="4838">
      <c r="J4838" s="5"/>
      <c r="P4838" s="9"/>
      <c r="Q4838" s="5"/>
    </row>
    <row r="4839">
      <c r="J4839" s="5"/>
      <c r="P4839" s="9"/>
      <c r="Q4839" s="5"/>
    </row>
    <row r="4840">
      <c r="J4840" s="5"/>
      <c r="P4840" s="9"/>
      <c r="Q4840" s="5"/>
    </row>
    <row r="4841">
      <c r="J4841" s="5"/>
      <c r="P4841" s="9"/>
      <c r="Q4841" s="5"/>
    </row>
    <row r="4842">
      <c r="J4842" s="5"/>
      <c r="P4842" s="9"/>
      <c r="Q4842" s="5"/>
    </row>
    <row r="4843">
      <c r="J4843" s="5"/>
      <c r="P4843" s="9"/>
      <c r="Q4843" s="5"/>
    </row>
    <row r="4844">
      <c r="J4844" s="5"/>
      <c r="P4844" s="9"/>
      <c r="Q4844" s="5"/>
    </row>
    <row r="4845">
      <c r="J4845" s="5"/>
      <c r="P4845" s="9"/>
      <c r="Q4845" s="5"/>
    </row>
    <row r="4846">
      <c r="J4846" s="5"/>
      <c r="P4846" s="9"/>
      <c r="Q4846" s="5"/>
    </row>
    <row r="4847">
      <c r="J4847" s="5"/>
      <c r="P4847" s="9"/>
      <c r="Q4847" s="5"/>
    </row>
    <row r="4848">
      <c r="J4848" s="5"/>
      <c r="P4848" s="9"/>
      <c r="Q4848" s="5"/>
    </row>
    <row r="4849">
      <c r="J4849" s="5"/>
      <c r="P4849" s="9"/>
      <c r="Q4849" s="5"/>
    </row>
    <row r="4850">
      <c r="J4850" s="5"/>
      <c r="P4850" s="9"/>
      <c r="Q4850" s="5"/>
    </row>
    <row r="4851">
      <c r="J4851" s="5"/>
      <c r="P4851" s="9"/>
      <c r="Q4851" s="5"/>
    </row>
    <row r="4852">
      <c r="J4852" s="5"/>
      <c r="P4852" s="9"/>
      <c r="Q4852" s="5"/>
    </row>
    <row r="4853">
      <c r="J4853" s="5"/>
      <c r="P4853" s="9"/>
      <c r="Q4853" s="5"/>
    </row>
    <row r="4854">
      <c r="J4854" s="5"/>
      <c r="P4854" s="9"/>
      <c r="Q4854" s="5"/>
    </row>
    <row r="4855">
      <c r="J4855" s="5"/>
      <c r="P4855" s="9"/>
      <c r="Q4855" s="5"/>
    </row>
    <row r="4856">
      <c r="J4856" s="5"/>
      <c r="P4856" s="9"/>
      <c r="Q4856" s="5"/>
    </row>
    <row r="4857">
      <c r="J4857" s="5"/>
      <c r="P4857" s="9"/>
      <c r="Q4857" s="5"/>
    </row>
    <row r="4858">
      <c r="J4858" s="5"/>
      <c r="P4858" s="9"/>
      <c r="Q4858" s="5"/>
    </row>
    <row r="4859">
      <c r="J4859" s="5"/>
      <c r="P4859" s="9"/>
      <c r="Q4859" s="5"/>
    </row>
    <row r="4860">
      <c r="J4860" s="5"/>
      <c r="P4860" s="9"/>
      <c r="Q4860" s="5"/>
    </row>
    <row r="4861">
      <c r="J4861" s="5"/>
      <c r="P4861" s="9"/>
      <c r="Q4861" s="5"/>
    </row>
    <row r="4862">
      <c r="J4862" s="5"/>
      <c r="P4862" s="9"/>
      <c r="Q4862" s="5"/>
    </row>
    <row r="4863">
      <c r="J4863" s="5"/>
      <c r="P4863" s="9"/>
      <c r="Q4863" s="5"/>
    </row>
    <row r="4864">
      <c r="J4864" s="5"/>
      <c r="P4864" s="9"/>
      <c r="Q4864" s="5"/>
    </row>
    <row r="4865">
      <c r="J4865" s="5"/>
      <c r="P4865" s="9"/>
      <c r="Q4865" s="5"/>
    </row>
    <row r="4866">
      <c r="J4866" s="5"/>
      <c r="P4866" s="9"/>
      <c r="Q4866" s="5"/>
    </row>
    <row r="4867">
      <c r="J4867" s="5"/>
      <c r="P4867" s="9"/>
      <c r="Q4867" s="5"/>
    </row>
    <row r="4868">
      <c r="J4868" s="5"/>
      <c r="P4868" s="9"/>
      <c r="Q4868" s="5"/>
    </row>
    <row r="4869">
      <c r="J4869" s="5"/>
      <c r="P4869" s="9"/>
      <c r="Q4869" s="5"/>
    </row>
    <row r="4870">
      <c r="J4870" s="5"/>
      <c r="P4870" s="9"/>
      <c r="Q4870" s="5"/>
    </row>
    <row r="4871">
      <c r="J4871" s="5"/>
      <c r="P4871" s="9"/>
      <c r="Q4871" s="5"/>
    </row>
    <row r="4872">
      <c r="J4872" s="5"/>
      <c r="P4872" s="9"/>
      <c r="Q4872" s="5"/>
    </row>
    <row r="4873">
      <c r="J4873" s="5"/>
      <c r="P4873" s="9"/>
      <c r="Q4873" s="5"/>
    </row>
    <row r="4874">
      <c r="J4874" s="5"/>
      <c r="P4874" s="9"/>
      <c r="Q4874" s="5"/>
    </row>
    <row r="4875">
      <c r="J4875" s="5"/>
      <c r="P4875" s="9"/>
      <c r="Q4875" s="5"/>
    </row>
    <row r="4876">
      <c r="J4876" s="5"/>
      <c r="P4876" s="9"/>
      <c r="Q4876" s="5"/>
    </row>
    <row r="4877">
      <c r="J4877" s="5"/>
      <c r="P4877" s="9"/>
      <c r="Q4877" s="5"/>
    </row>
    <row r="4878">
      <c r="J4878" s="5"/>
      <c r="P4878" s="9"/>
      <c r="Q4878" s="5"/>
    </row>
    <row r="4879">
      <c r="J4879" s="5"/>
      <c r="P4879" s="9"/>
      <c r="Q4879" s="5"/>
    </row>
    <row r="4880">
      <c r="J4880" s="5"/>
      <c r="P4880" s="9"/>
      <c r="Q4880" s="5"/>
    </row>
    <row r="4881">
      <c r="J4881" s="5"/>
      <c r="P4881" s="9"/>
      <c r="Q4881" s="5"/>
    </row>
    <row r="4882">
      <c r="J4882" s="5"/>
      <c r="P4882" s="9"/>
      <c r="Q4882" s="5"/>
    </row>
    <row r="4883">
      <c r="J4883" s="5"/>
      <c r="P4883" s="9"/>
      <c r="Q4883" s="5"/>
    </row>
    <row r="4884">
      <c r="J4884" s="5"/>
      <c r="P4884" s="9"/>
      <c r="Q4884" s="5"/>
    </row>
    <row r="4885">
      <c r="J4885" s="5"/>
      <c r="P4885" s="9"/>
      <c r="Q4885" s="5"/>
    </row>
    <row r="4886">
      <c r="J4886" s="5"/>
      <c r="P4886" s="9"/>
      <c r="Q4886" s="5"/>
    </row>
    <row r="4887">
      <c r="J4887" s="5"/>
      <c r="P4887" s="9"/>
      <c r="Q4887" s="5"/>
    </row>
    <row r="4888">
      <c r="J4888" s="5"/>
      <c r="P4888" s="9"/>
      <c r="Q4888" s="5"/>
    </row>
    <row r="4889">
      <c r="J4889" s="5"/>
      <c r="P4889" s="9"/>
      <c r="Q4889" s="5"/>
    </row>
    <row r="4890">
      <c r="J4890" s="5"/>
      <c r="P4890" s="9"/>
      <c r="Q4890" s="5"/>
    </row>
    <row r="4891">
      <c r="J4891" s="5"/>
      <c r="P4891" s="9"/>
      <c r="Q4891" s="5"/>
    </row>
    <row r="4892">
      <c r="J4892" s="5"/>
      <c r="P4892" s="9"/>
      <c r="Q4892" s="5"/>
    </row>
    <row r="4893">
      <c r="J4893" s="5"/>
      <c r="P4893" s="9"/>
      <c r="Q4893" s="5"/>
    </row>
    <row r="4894">
      <c r="J4894" s="5"/>
      <c r="P4894" s="9"/>
      <c r="Q4894" s="5"/>
    </row>
    <row r="4895">
      <c r="J4895" s="5"/>
      <c r="P4895" s="9"/>
      <c r="Q4895" s="5"/>
    </row>
    <row r="4896">
      <c r="J4896" s="5"/>
      <c r="P4896" s="9"/>
      <c r="Q4896" s="5"/>
    </row>
    <row r="4897">
      <c r="J4897" s="5"/>
      <c r="P4897" s="9"/>
      <c r="Q4897" s="5"/>
    </row>
    <row r="4898">
      <c r="J4898" s="5"/>
      <c r="P4898" s="9"/>
      <c r="Q4898" s="5"/>
    </row>
    <row r="4899">
      <c r="J4899" s="5"/>
      <c r="P4899" s="9"/>
      <c r="Q4899" s="5"/>
    </row>
    <row r="4900">
      <c r="J4900" s="5"/>
      <c r="P4900" s="9"/>
      <c r="Q4900" s="5"/>
    </row>
    <row r="4901">
      <c r="J4901" s="5"/>
      <c r="P4901" s="9"/>
      <c r="Q4901" s="5"/>
    </row>
    <row r="4902">
      <c r="J4902" s="5"/>
      <c r="P4902" s="9"/>
      <c r="Q4902" s="5"/>
    </row>
    <row r="4903">
      <c r="J4903" s="5"/>
      <c r="P4903" s="9"/>
      <c r="Q4903" s="5"/>
    </row>
    <row r="4904">
      <c r="J4904" s="5"/>
      <c r="P4904" s="9"/>
      <c r="Q4904" s="5"/>
    </row>
    <row r="4905">
      <c r="J4905" s="5"/>
      <c r="P4905" s="9"/>
      <c r="Q4905" s="5"/>
    </row>
    <row r="4906">
      <c r="J4906" s="5"/>
      <c r="P4906" s="9"/>
      <c r="Q4906" s="5"/>
    </row>
    <row r="4907">
      <c r="J4907" s="5"/>
      <c r="P4907" s="9"/>
      <c r="Q4907" s="5"/>
    </row>
    <row r="4908">
      <c r="J4908" s="5"/>
      <c r="P4908" s="9"/>
      <c r="Q4908" s="5"/>
    </row>
    <row r="4909">
      <c r="J4909" s="5"/>
      <c r="P4909" s="9"/>
      <c r="Q4909" s="5"/>
    </row>
    <row r="4910">
      <c r="J4910" s="5"/>
      <c r="P4910" s="9"/>
      <c r="Q4910" s="5"/>
    </row>
    <row r="4911">
      <c r="J4911" s="5"/>
      <c r="P4911" s="9"/>
      <c r="Q4911" s="5"/>
    </row>
    <row r="4912">
      <c r="J4912" s="5"/>
      <c r="P4912" s="9"/>
      <c r="Q4912" s="5"/>
    </row>
    <row r="4913">
      <c r="J4913" s="5"/>
      <c r="P4913" s="9"/>
      <c r="Q4913" s="5"/>
    </row>
    <row r="4914">
      <c r="J4914" s="5"/>
      <c r="P4914" s="9"/>
      <c r="Q4914" s="5"/>
    </row>
    <row r="4915">
      <c r="J4915" s="5"/>
      <c r="P4915" s="9"/>
      <c r="Q4915" s="5"/>
    </row>
    <row r="4916">
      <c r="J4916" s="5"/>
      <c r="P4916" s="9"/>
      <c r="Q4916" s="5"/>
    </row>
    <row r="4917">
      <c r="J4917" s="5"/>
      <c r="P4917" s="9"/>
      <c r="Q4917" s="5"/>
    </row>
    <row r="4918">
      <c r="J4918" s="5"/>
      <c r="P4918" s="9"/>
      <c r="Q4918" s="5"/>
    </row>
    <row r="4919">
      <c r="J4919" s="5"/>
      <c r="P4919" s="9"/>
      <c r="Q4919" s="5"/>
    </row>
    <row r="4920">
      <c r="J4920" s="5"/>
      <c r="P4920" s="9"/>
      <c r="Q4920" s="5"/>
    </row>
    <row r="4921">
      <c r="J4921" s="5"/>
      <c r="P4921" s="9"/>
      <c r="Q4921" s="5"/>
    </row>
    <row r="4922">
      <c r="J4922" s="5"/>
      <c r="P4922" s="9"/>
      <c r="Q4922" s="5"/>
    </row>
    <row r="4923">
      <c r="J4923" s="5"/>
      <c r="P4923" s="9"/>
      <c r="Q4923" s="5"/>
    </row>
    <row r="4924">
      <c r="J4924" s="5"/>
      <c r="P4924" s="9"/>
      <c r="Q4924" s="5"/>
    </row>
    <row r="4925">
      <c r="J4925" s="5"/>
      <c r="P4925" s="9"/>
      <c r="Q4925" s="5"/>
    </row>
    <row r="4926">
      <c r="J4926" s="5"/>
      <c r="P4926" s="9"/>
      <c r="Q4926" s="5"/>
    </row>
    <row r="4927">
      <c r="J4927" s="5"/>
      <c r="P4927" s="9"/>
      <c r="Q4927" s="5"/>
    </row>
    <row r="4928">
      <c r="J4928" s="5"/>
      <c r="P4928" s="9"/>
      <c r="Q4928" s="5"/>
    </row>
    <row r="4929">
      <c r="J4929" s="5"/>
      <c r="P4929" s="9"/>
      <c r="Q4929" s="5"/>
    </row>
    <row r="4930">
      <c r="J4930" s="5"/>
      <c r="P4930" s="9"/>
      <c r="Q4930" s="5"/>
    </row>
    <row r="4931">
      <c r="J4931" s="5"/>
      <c r="P4931" s="9"/>
      <c r="Q4931" s="5"/>
    </row>
    <row r="4932">
      <c r="J4932" s="5"/>
      <c r="P4932" s="9"/>
      <c r="Q4932" s="5"/>
    </row>
    <row r="4933">
      <c r="J4933" s="5"/>
      <c r="P4933" s="9"/>
      <c r="Q4933" s="5"/>
    </row>
    <row r="4934">
      <c r="J4934" s="5"/>
      <c r="P4934" s="9"/>
      <c r="Q4934" s="5"/>
    </row>
    <row r="4935">
      <c r="J4935" s="5"/>
      <c r="P4935" s="9"/>
      <c r="Q4935" s="5"/>
    </row>
    <row r="4936">
      <c r="J4936" s="5"/>
      <c r="P4936" s="9"/>
      <c r="Q4936" s="5"/>
    </row>
    <row r="4937">
      <c r="J4937" s="5"/>
      <c r="P4937" s="9"/>
      <c r="Q4937" s="5"/>
    </row>
    <row r="4938">
      <c r="J4938" s="5"/>
      <c r="P4938" s="9"/>
      <c r="Q4938" s="5"/>
    </row>
    <row r="4939">
      <c r="J4939" s="5"/>
      <c r="P4939" s="9"/>
      <c r="Q4939" s="5"/>
    </row>
    <row r="4940">
      <c r="J4940" s="5"/>
      <c r="P4940" s="9"/>
      <c r="Q4940" s="5"/>
    </row>
    <row r="4941">
      <c r="J4941" s="5"/>
      <c r="P4941" s="9"/>
      <c r="Q4941" s="5"/>
    </row>
    <row r="4942">
      <c r="J4942" s="5"/>
      <c r="P4942" s="9"/>
      <c r="Q4942" s="5"/>
    </row>
    <row r="4943">
      <c r="J4943" s="5"/>
      <c r="P4943" s="9"/>
      <c r="Q4943" s="5"/>
    </row>
    <row r="4944">
      <c r="J4944" s="5"/>
      <c r="P4944" s="9"/>
      <c r="Q4944" s="5"/>
    </row>
    <row r="4945">
      <c r="J4945" s="5"/>
      <c r="P4945" s="9"/>
      <c r="Q4945" s="5"/>
    </row>
    <row r="4946">
      <c r="J4946" s="5"/>
      <c r="P4946" s="9"/>
      <c r="Q4946" s="5"/>
    </row>
    <row r="4947">
      <c r="J4947" s="5"/>
      <c r="P4947" s="9"/>
      <c r="Q4947" s="5"/>
    </row>
    <row r="4948">
      <c r="J4948" s="5"/>
      <c r="P4948" s="9"/>
      <c r="Q4948" s="5"/>
    </row>
    <row r="4949">
      <c r="J4949" s="5"/>
      <c r="P4949" s="9"/>
      <c r="Q4949" s="5"/>
    </row>
    <row r="4950">
      <c r="J4950" s="5"/>
      <c r="P4950" s="9"/>
      <c r="Q4950" s="5"/>
    </row>
    <row r="4951">
      <c r="J4951" s="5"/>
      <c r="P4951" s="9"/>
      <c r="Q4951" s="5"/>
    </row>
    <row r="4952">
      <c r="J4952" s="5"/>
      <c r="P4952" s="9"/>
      <c r="Q4952" s="5"/>
    </row>
    <row r="4953">
      <c r="J4953" s="5"/>
      <c r="P4953" s="9"/>
      <c r="Q4953" s="5"/>
    </row>
    <row r="4954">
      <c r="J4954" s="5"/>
      <c r="P4954" s="9"/>
      <c r="Q4954" s="5"/>
    </row>
    <row r="4955">
      <c r="J4955" s="5"/>
      <c r="P4955" s="9"/>
      <c r="Q4955" s="5"/>
    </row>
    <row r="4956">
      <c r="J4956" s="5"/>
      <c r="P4956" s="9"/>
      <c r="Q4956" s="5"/>
    </row>
    <row r="4957">
      <c r="J4957" s="5"/>
      <c r="P4957" s="9"/>
      <c r="Q4957" s="5"/>
    </row>
    <row r="4958">
      <c r="J4958" s="5"/>
      <c r="P4958" s="9"/>
      <c r="Q4958" s="5"/>
    </row>
    <row r="4959">
      <c r="J4959" s="5"/>
      <c r="P4959" s="9"/>
      <c r="Q4959" s="5"/>
    </row>
    <row r="4960">
      <c r="J4960" s="5"/>
      <c r="P4960" s="9"/>
      <c r="Q4960" s="5"/>
    </row>
    <row r="4961">
      <c r="J4961" s="5"/>
      <c r="P4961" s="9"/>
      <c r="Q4961" s="5"/>
    </row>
    <row r="4962">
      <c r="J4962" s="5"/>
      <c r="P4962" s="9"/>
      <c r="Q4962" s="5"/>
    </row>
    <row r="4963">
      <c r="J4963" s="5"/>
      <c r="P4963" s="9"/>
      <c r="Q4963" s="5"/>
    </row>
    <row r="4964">
      <c r="J4964" s="5"/>
      <c r="P4964" s="9"/>
      <c r="Q4964" s="5"/>
    </row>
    <row r="4965">
      <c r="J4965" s="5"/>
      <c r="P4965" s="9"/>
      <c r="Q4965" s="5"/>
    </row>
    <row r="4966">
      <c r="J4966" s="5"/>
      <c r="P4966" s="9"/>
      <c r="Q4966" s="5"/>
    </row>
    <row r="4967">
      <c r="J4967" s="5"/>
      <c r="P4967" s="9"/>
      <c r="Q4967" s="5"/>
    </row>
    <row r="4968">
      <c r="J4968" s="5"/>
      <c r="P4968" s="9"/>
      <c r="Q4968" s="5"/>
    </row>
    <row r="4969">
      <c r="J4969" s="5"/>
      <c r="P4969" s="9"/>
      <c r="Q4969" s="5"/>
    </row>
    <row r="4970">
      <c r="J4970" s="5"/>
      <c r="P4970" s="9"/>
      <c r="Q4970" s="5"/>
    </row>
    <row r="4971">
      <c r="J4971" s="5"/>
      <c r="P4971" s="9"/>
      <c r="Q4971" s="5"/>
    </row>
    <row r="4972">
      <c r="J4972" s="5"/>
      <c r="P4972" s="9"/>
      <c r="Q4972" s="5"/>
    </row>
    <row r="4973">
      <c r="J4973" s="5"/>
      <c r="P4973" s="9"/>
      <c r="Q4973" s="5"/>
    </row>
    <row r="4974">
      <c r="J4974" s="5"/>
      <c r="P4974" s="9"/>
      <c r="Q4974" s="5"/>
    </row>
    <row r="4975">
      <c r="J4975" s="5"/>
      <c r="P4975" s="9"/>
      <c r="Q4975" s="5"/>
    </row>
    <row r="4976">
      <c r="J4976" s="5"/>
      <c r="P4976" s="9"/>
      <c r="Q4976" s="5"/>
    </row>
    <row r="4977">
      <c r="J4977" s="5"/>
      <c r="P4977" s="9"/>
      <c r="Q4977" s="5"/>
    </row>
    <row r="4978">
      <c r="J4978" s="5"/>
      <c r="P4978" s="9"/>
      <c r="Q4978" s="5"/>
    </row>
    <row r="4979">
      <c r="J4979" s="5"/>
      <c r="P4979" s="9"/>
      <c r="Q4979" s="5"/>
    </row>
    <row r="4980">
      <c r="J4980" s="5"/>
      <c r="P4980" s="9"/>
      <c r="Q4980" s="5"/>
    </row>
    <row r="4981">
      <c r="J4981" s="5"/>
      <c r="P4981" s="9"/>
      <c r="Q4981" s="5"/>
    </row>
    <row r="4982">
      <c r="J4982" s="5"/>
      <c r="P4982" s="9"/>
      <c r="Q4982" s="5"/>
    </row>
    <row r="4983">
      <c r="J4983" s="5"/>
      <c r="P4983" s="9"/>
      <c r="Q4983" s="5"/>
    </row>
    <row r="4984">
      <c r="J4984" s="5"/>
      <c r="P4984" s="9"/>
      <c r="Q4984" s="5"/>
    </row>
    <row r="4985">
      <c r="J4985" s="5"/>
      <c r="P4985" s="9"/>
      <c r="Q4985" s="5"/>
    </row>
    <row r="4986">
      <c r="J4986" s="5"/>
      <c r="P4986" s="9"/>
      <c r="Q4986" s="5"/>
    </row>
    <row r="4987">
      <c r="J4987" s="5"/>
      <c r="P4987" s="9"/>
      <c r="Q4987" s="5"/>
    </row>
    <row r="4988">
      <c r="J4988" s="5"/>
      <c r="P4988" s="9"/>
      <c r="Q4988" s="5"/>
    </row>
    <row r="4989">
      <c r="J4989" s="5"/>
      <c r="P4989" s="9"/>
      <c r="Q4989" s="5"/>
    </row>
    <row r="4990">
      <c r="J4990" s="5"/>
      <c r="P4990" s="9"/>
      <c r="Q4990" s="5"/>
    </row>
    <row r="4991">
      <c r="J4991" s="5"/>
      <c r="P4991" s="9"/>
      <c r="Q4991" s="5"/>
    </row>
    <row r="4992">
      <c r="J4992" s="5"/>
      <c r="P4992" s="9"/>
      <c r="Q4992" s="5"/>
    </row>
    <row r="4993">
      <c r="J4993" s="5"/>
      <c r="P4993" s="9"/>
      <c r="Q4993" s="5"/>
    </row>
    <row r="4994">
      <c r="J4994" s="5"/>
      <c r="P4994" s="9"/>
      <c r="Q4994" s="5"/>
    </row>
    <row r="4995">
      <c r="J4995" s="5"/>
      <c r="P4995" s="9"/>
      <c r="Q4995" s="5"/>
    </row>
    <row r="4996">
      <c r="J4996" s="5"/>
      <c r="P4996" s="9"/>
      <c r="Q4996" s="5"/>
    </row>
    <row r="4997">
      <c r="J4997" s="5"/>
      <c r="P4997" s="9"/>
      <c r="Q4997" s="5"/>
    </row>
    <row r="4998">
      <c r="J4998" s="5"/>
      <c r="P4998" s="9"/>
      <c r="Q4998" s="5"/>
    </row>
    <row r="4999">
      <c r="J4999" s="5"/>
      <c r="P4999" s="9"/>
      <c r="Q4999" s="5"/>
    </row>
    <row r="5000">
      <c r="J5000" s="5"/>
      <c r="P5000" s="9"/>
      <c r="Q5000" s="5"/>
    </row>
    <row r="5001">
      <c r="J5001" s="5"/>
      <c r="P5001" s="9"/>
      <c r="Q5001" s="5"/>
    </row>
    <row r="5002">
      <c r="J5002" s="5"/>
      <c r="P5002" s="9"/>
      <c r="Q5002" s="5"/>
    </row>
    <row r="5003">
      <c r="J5003" s="5"/>
      <c r="P5003" s="9"/>
      <c r="Q5003" s="5"/>
    </row>
    <row r="5004">
      <c r="J5004" s="5"/>
      <c r="P5004" s="9"/>
      <c r="Q5004" s="5"/>
    </row>
    <row r="5005">
      <c r="J5005" s="5"/>
      <c r="P5005" s="9"/>
      <c r="Q5005" s="5"/>
    </row>
    <row r="5006">
      <c r="J5006" s="5"/>
      <c r="P5006" s="9"/>
      <c r="Q5006" s="5"/>
    </row>
    <row r="5007">
      <c r="J5007" s="5"/>
      <c r="P5007" s="9"/>
      <c r="Q5007" s="5"/>
    </row>
    <row r="5008">
      <c r="J5008" s="5"/>
      <c r="P5008" s="9"/>
      <c r="Q5008" s="5"/>
    </row>
    <row r="5009">
      <c r="J5009" s="5"/>
      <c r="P5009" s="9"/>
      <c r="Q5009" s="5"/>
    </row>
    <row r="5010">
      <c r="J5010" s="5"/>
      <c r="P5010" s="9"/>
      <c r="Q5010" s="5"/>
    </row>
    <row r="5011">
      <c r="J5011" s="5"/>
      <c r="P5011" s="9"/>
      <c r="Q5011" s="5"/>
    </row>
    <row r="5012">
      <c r="J5012" s="5"/>
      <c r="P5012" s="9"/>
      <c r="Q5012" s="5"/>
    </row>
    <row r="5013">
      <c r="J5013" s="5"/>
      <c r="P5013" s="9"/>
      <c r="Q5013" s="5"/>
    </row>
    <row r="5014">
      <c r="J5014" s="5"/>
      <c r="P5014" s="9"/>
      <c r="Q5014" s="5"/>
    </row>
    <row r="5015">
      <c r="J5015" s="5"/>
      <c r="P5015" s="9"/>
      <c r="Q5015" s="5"/>
    </row>
    <row r="5016">
      <c r="J5016" s="5"/>
      <c r="P5016" s="9"/>
      <c r="Q5016" s="5"/>
    </row>
    <row r="5017">
      <c r="J5017" s="5"/>
      <c r="P5017" s="9"/>
      <c r="Q5017" s="5"/>
    </row>
    <row r="5018">
      <c r="J5018" s="5"/>
      <c r="P5018" s="9"/>
      <c r="Q5018" s="5"/>
    </row>
    <row r="5019">
      <c r="J5019" s="5"/>
      <c r="P5019" s="9"/>
      <c r="Q5019" s="5"/>
    </row>
    <row r="5020">
      <c r="J5020" s="5"/>
      <c r="P5020" s="9"/>
      <c r="Q5020" s="5"/>
    </row>
    <row r="5021">
      <c r="J5021" s="5"/>
      <c r="P5021" s="9"/>
      <c r="Q5021" s="5"/>
    </row>
    <row r="5022">
      <c r="J5022" s="5"/>
      <c r="P5022" s="9"/>
      <c r="Q5022" s="5"/>
    </row>
    <row r="5023">
      <c r="J5023" s="5"/>
      <c r="P5023" s="9"/>
      <c r="Q5023" s="5"/>
    </row>
    <row r="5024">
      <c r="J5024" s="5"/>
      <c r="P5024" s="9"/>
      <c r="Q5024" s="5"/>
    </row>
    <row r="5025">
      <c r="J5025" s="5"/>
      <c r="P5025" s="9"/>
      <c r="Q5025" s="5"/>
    </row>
    <row r="5026">
      <c r="J5026" s="5"/>
      <c r="P5026" s="9"/>
      <c r="Q5026" s="5"/>
    </row>
    <row r="5027">
      <c r="J5027" s="5"/>
      <c r="P5027" s="9"/>
      <c r="Q5027" s="5"/>
    </row>
    <row r="5028">
      <c r="J5028" s="5"/>
      <c r="P5028" s="9"/>
      <c r="Q5028" s="5"/>
    </row>
    <row r="5029">
      <c r="J5029" s="5"/>
      <c r="P5029" s="9"/>
      <c r="Q5029" s="5"/>
    </row>
    <row r="5030">
      <c r="J5030" s="5"/>
      <c r="P5030" s="9"/>
      <c r="Q5030" s="5"/>
    </row>
    <row r="5031">
      <c r="J5031" s="5"/>
      <c r="P5031" s="9"/>
      <c r="Q5031" s="5"/>
    </row>
    <row r="5032">
      <c r="J5032" s="5"/>
      <c r="P5032" s="9"/>
      <c r="Q5032" s="5"/>
    </row>
    <row r="5033">
      <c r="J5033" s="5"/>
      <c r="P5033" s="9"/>
      <c r="Q5033" s="5"/>
    </row>
    <row r="5034">
      <c r="J5034" s="5"/>
      <c r="P5034" s="9"/>
      <c r="Q5034" s="5"/>
    </row>
    <row r="5035">
      <c r="J5035" s="5"/>
      <c r="P5035" s="9"/>
      <c r="Q5035" s="5"/>
    </row>
    <row r="5036">
      <c r="J5036" s="5"/>
      <c r="P5036" s="9"/>
      <c r="Q5036" s="5"/>
    </row>
    <row r="5037">
      <c r="J5037" s="5"/>
      <c r="P5037" s="9"/>
      <c r="Q5037" s="5"/>
    </row>
    <row r="5038">
      <c r="J5038" s="5"/>
      <c r="P5038" s="9"/>
      <c r="Q5038" s="5"/>
    </row>
    <row r="5039">
      <c r="J5039" s="5"/>
      <c r="P5039" s="9"/>
      <c r="Q5039" s="5"/>
    </row>
    <row r="5040">
      <c r="J5040" s="5"/>
      <c r="P5040" s="9"/>
      <c r="Q5040" s="5"/>
    </row>
    <row r="5041">
      <c r="J5041" s="5"/>
      <c r="P5041" s="9"/>
      <c r="Q5041" s="5"/>
    </row>
    <row r="5042">
      <c r="J5042" s="5"/>
      <c r="P5042" s="9"/>
      <c r="Q5042" s="5"/>
    </row>
    <row r="5043">
      <c r="J5043" s="5"/>
      <c r="P5043" s="9"/>
      <c r="Q5043" s="5"/>
    </row>
    <row r="5044">
      <c r="J5044" s="5"/>
      <c r="P5044" s="9"/>
      <c r="Q5044" s="5"/>
    </row>
    <row r="5045">
      <c r="J5045" s="5"/>
      <c r="P5045" s="9"/>
      <c r="Q5045" s="5"/>
    </row>
    <row r="5046">
      <c r="J5046" s="5"/>
      <c r="P5046" s="9"/>
      <c r="Q5046" s="5"/>
    </row>
    <row r="5047">
      <c r="J5047" s="5"/>
      <c r="P5047" s="9"/>
      <c r="Q5047" s="5"/>
    </row>
    <row r="5048">
      <c r="J5048" s="5"/>
      <c r="P5048" s="9"/>
      <c r="Q5048" s="5"/>
    </row>
    <row r="5049">
      <c r="J5049" s="5"/>
      <c r="P5049" s="9"/>
      <c r="Q5049" s="5"/>
    </row>
    <row r="5050">
      <c r="J5050" s="5"/>
      <c r="P5050" s="9"/>
      <c r="Q5050" s="5"/>
    </row>
    <row r="5051">
      <c r="J5051" s="5"/>
      <c r="P5051" s="9"/>
      <c r="Q5051" s="5"/>
    </row>
    <row r="5052">
      <c r="J5052" s="5"/>
      <c r="P5052" s="9"/>
      <c r="Q5052" s="5"/>
    </row>
    <row r="5053">
      <c r="J5053" s="5"/>
      <c r="P5053" s="9"/>
      <c r="Q5053" s="5"/>
    </row>
    <row r="5054">
      <c r="J5054" s="5"/>
      <c r="P5054" s="9"/>
      <c r="Q5054" s="5"/>
    </row>
    <row r="5055">
      <c r="J5055" s="5"/>
      <c r="P5055" s="9"/>
      <c r="Q5055" s="5"/>
    </row>
    <row r="5056">
      <c r="J5056" s="5"/>
      <c r="P5056" s="9"/>
      <c r="Q5056" s="5"/>
    </row>
    <row r="5057">
      <c r="J5057" s="5"/>
      <c r="P5057" s="9"/>
      <c r="Q5057" s="5"/>
    </row>
    <row r="5058">
      <c r="J5058" s="5"/>
      <c r="P5058" s="9"/>
      <c r="Q5058" s="5"/>
    </row>
    <row r="5059">
      <c r="J5059" s="5"/>
      <c r="P5059" s="9"/>
      <c r="Q5059" s="5"/>
    </row>
    <row r="5060">
      <c r="J5060" s="5"/>
      <c r="P5060" s="9"/>
      <c r="Q5060" s="5"/>
    </row>
    <row r="5061">
      <c r="J5061" s="5"/>
      <c r="P5061" s="9"/>
      <c r="Q5061" s="5"/>
    </row>
    <row r="5062">
      <c r="J5062" s="5"/>
      <c r="P5062" s="9"/>
      <c r="Q5062" s="5"/>
    </row>
    <row r="5063">
      <c r="J5063" s="5"/>
      <c r="P5063" s="9"/>
      <c r="Q5063" s="5"/>
    </row>
    <row r="5064">
      <c r="J5064" s="5"/>
      <c r="P5064" s="9"/>
      <c r="Q5064" s="5"/>
    </row>
    <row r="5065">
      <c r="J5065" s="5"/>
      <c r="P5065" s="9"/>
      <c r="Q5065" s="5"/>
    </row>
    <row r="5066">
      <c r="J5066" s="5"/>
      <c r="P5066" s="9"/>
      <c r="Q5066" s="5"/>
    </row>
    <row r="5067">
      <c r="J5067" s="5"/>
      <c r="P5067" s="9"/>
      <c r="Q5067" s="5"/>
    </row>
    <row r="5068">
      <c r="J5068" s="5"/>
      <c r="P5068" s="9"/>
      <c r="Q5068" s="5"/>
    </row>
    <row r="5069">
      <c r="J5069" s="5"/>
      <c r="P5069" s="9"/>
      <c r="Q5069" s="5"/>
    </row>
    <row r="5070">
      <c r="J5070" s="5"/>
      <c r="P5070" s="9"/>
      <c r="Q5070" s="5"/>
    </row>
    <row r="5071">
      <c r="J5071" s="5"/>
      <c r="P5071" s="9"/>
      <c r="Q5071" s="5"/>
    </row>
    <row r="5072">
      <c r="J5072" s="5"/>
      <c r="P5072" s="9"/>
      <c r="Q5072" s="5"/>
    </row>
    <row r="5073">
      <c r="J5073" s="5"/>
      <c r="P5073" s="9"/>
      <c r="Q5073" s="5"/>
    </row>
    <row r="5074">
      <c r="J5074" s="5"/>
      <c r="P5074" s="9"/>
      <c r="Q5074" s="5"/>
    </row>
    <row r="5075">
      <c r="J5075" s="5"/>
      <c r="P5075" s="9"/>
      <c r="Q5075" s="5"/>
    </row>
    <row r="5076">
      <c r="J5076" s="5"/>
      <c r="P5076" s="9"/>
      <c r="Q5076" s="5"/>
    </row>
    <row r="5077">
      <c r="J5077" s="5"/>
      <c r="P5077" s="9"/>
      <c r="Q5077" s="5"/>
    </row>
    <row r="5078">
      <c r="J5078" s="5"/>
      <c r="P5078" s="9"/>
      <c r="Q5078" s="5"/>
    </row>
    <row r="5079">
      <c r="J5079" s="5"/>
      <c r="P5079" s="9"/>
      <c r="Q5079" s="5"/>
    </row>
    <row r="5080">
      <c r="J5080" s="5"/>
      <c r="P5080" s="9"/>
      <c r="Q5080" s="5"/>
    </row>
    <row r="5081">
      <c r="J5081" s="5"/>
      <c r="P5081" s="9"/>
      <c r="Q5081" s="5"/>
    </row>
    <row r="5082">
      <c r="J5082" s="5"/>
      <c r="P5082" s="9"/>
      <c r="Q5082" s="5"/>
    </row>
    <row r="5083">
      <c r="J5083" s="5"/>
      <c r="P5083" s="9"/>
      <c r="Q5083" s="5"/>
    </row>
    <row r="5084">
      <c r="J5084" s="5"/>
      <c r="P5084" s="9"/>
      <c r="Q5084" s="5"/>
    </row>
    <row r="5085">
      <c r="J5085" s="5"/>
      <c r="P5085" s="9"/>
      <c r="Q5085" s="5"/>
    </row>
    <row r="5086">
      <c r="J5086" s="5"/>
      <c r="P5086" s="9"/>
      <c r="Q5086" s="5"/>
    </row>
    <row r="5087">
      <c r="J5087" s="5"/>
      <c r="P5087" s="9"/>
      <c r="Q5087" s="5"/>
    </row>
    <row r="5088">
      <c r="J5088" s="5"/>
      <c r="P5088" s="9"/>
      <c r="Q5088" s="5"/>
    </row>
    <row r="5089">
      <c r="J5089" s="5"/>
      <c r="P5089" s="9"/>
      <c r="Q5089" s="5"/>
    </row>
    <row r="5090">
      <c r="J5090" s="5"/>
      <c r="P5090" s="9"/>
      <c r="Q5090" s="5"/>
    </row>
    <row r="5091">
      <c r="J5091" s="5"/>
      <c r="P5091" s="9"/>
      <c r="Q5091" s="5"/>
    </row>
    <row r="5092">
      <c r="J5092" s="5"/>
      <c r="P5092" s="9"/>
      <c r="Q5092" s="5"/>
    </row>
    <row r="5093">
      <c r="J5093" s="5"/>
      <c r="P5093" s="9"/>
      <c r="Q5093" s="5"/>
    </row>
    <row r="5094">
      <c r="J5094" s="5"/>
      <c r="P5094" s="9"/>
      <c r="Q5094" s="5"/>
    </row>
    <row r="5095">
      <c r="J5095" s="5"/>
      <c r="P5095" s="9"/>
      <c r="Q5095" s="5"/>
    </row>
    <row r="5096">
      <c r="J5096" s="5"/>
      <c r="P5096" s="9"/>
      <c r="Q5096" s="5"/>
    </row>
    <row r="5097">
      <c r="J5097" s="5"/>
      <c r="P5097" s="9"/>
      <c r="Q5097" s="5"/>
    </row>
    <row r="5098">
      <c r="J5098" s="5"/>
      <c r="P5098" s="9"/>
      <c r="Q5098" s="5"/>
    </row>
    <row r="5099">
      <c r="J5099" s="5"/>
      <c r="P5099" s="9"/>
      <c r="Q5099" s="5"/>
    </row>
    <row r="5100">
      <c r="J5100" s="5"/>
      <c r="P5100" s="9"/>
      <c r="Q5100" s="5"/>
    </row>
    <row r="5101">
      <c r="J5101" s="5"/>
      <c r="P5101" s="9"/>
      <c r="Q5101" s="5"/>
    </row>
    <row r="5102">
      <c r="J5102" s="5"/>
      <c r="P5102" s="9"/>
      <c r="Q5102" s="5"/>
    </row>
    <row r="5103">
      <c r="J5103" s="5"/>
      <c r="P5103" s="9"/>
      <c r="Q5103" s="5"/>
    </row>
    <row r="5104">
      <c r="J5104" s="5"/>
      <c r="P5104" s="9"/>
      <c r="Q5104" s="5"/>
    </row>
    <row r="5105">
      <c r="J5105" s="5"/>
      <c r="P5105" s="9"/>
      <c r="Q5105" s="5"/>
    </row>
    <row r="5106">
      <c r="J5106" s="5"/>
      <c r="P5106" s="9"/>
      <c r="Q5106" s="5"/>
    </row>
    <row r="5107">
      <c r="J5107" s="5"/>
      <c r="P5107" s="9"/>
      <c r="Q5107" s="5"/>
    </row>
    <row r="5108">
      <c r="J5108" s="5"/>
      <c r="P5108" s="9"/>
      <c r="Q5108" s="5"/>
    </row>
    <row r="5109">
      <c r="J5109" s="5"/>
      <c r="P5109" s="9"/>
      <c r="Q5109" s="5"/>
    </row>
    <row r="5110">
      <c r="J5110" s="5"/>
      <c r="P5110" s="9"/>
      <c r="Q5110" s="5"/>
    </row>
    <row r="5111">
      <c r="J5111" s="5"/>
      <c r="P5111" s="9"/>
      <c r="Q5111" s="5"/>
    </row>
    <row r="5112">
      <c r="J5112" s="5"/>
      <c r="P5112" s="9"/>
      <c r="Q5112" s="5"/>
    </row>
    <row r="5113">
      <c r="J5113" s="5"/>
      <c r="P5113" s="9"/>
      <c r="Q5113" s="5"/>
    </row>
    <row r="5114">
      <c r="J5114" s="5"/>
      <c r="P5114" s="9"/>
      <c r="Q5114" s="5"/>
    </row>
    <row r="5115">
      <c r="J5115" s="5"/>
      <c r="P5115" s="9"/>
      <c r="Q5115" s="5"/>
    </row>
    <row r="5116">
      <c r="J5116" s="5"/>
      <c r="P5116" s="9"/>
      <c r="Q5116" s="5"/>
    </row>
    <row r="5117">
      <c r="J5117" s="5"/>
      <c r="P5117" s="9"/>
      <c r="Q5117" s="5"/>
    </row>
    <row r="5118">
      <c r="J5118" s="5"/>
      <c r="P5118" s="9"/>
      <c r="Q5118" s="5"/>
    </row>
    <row r="5119">
      <c r="J5119" s="5"/>
      <c r="P5119" s="9"/>
      <c r="Q5119" s="5"/>
    </row>
    <row r="5120">
      <c r="J5120" s="5"/>
      <c r="P5120" s="9"/>
      <c r="Q5120" s="5"/>
    </row>
    <row r="5121">
      <c r="J5121" s="5"/>
      <c r="P5121" s="9"/>
      <c r="Q5121" s="5"/>
    </row>
    <row r="5122">
      <c r="J5122" s="5"/>
      <c r="P5122" s="9"/>
      <c r="Q5122" s="5"/>
    </row>
    <row r="5123">
      <c r="J5123" s="5"/>
      <c r="P5123" s="9"/>
      <c r="Q5123" s="5"/>
    </row>
    <row r="5124">
      <c r="J5124" s="5"/>
      <c r="P5124" s="9"/>
      <c r="Q5124" s="5"/>
    </row>
    <row r="5125">
      <c r="J5125" s="5"/>
      <c r="P5125" s="9"/>
      <c r="Q5125" s="5"/>
    </row>
    <row r="5126">
      <c r="J5126" s="5"/>
      <c r="P5126" s="9"/>
      <c r="Q5126" s="5"/>
    </row>
    <row r="5127">
      <c r="J5127" s="5"/>
      <c r="P5127" s="9"/>
      <c r="Q5127" s="5"/>
    </row>
    <row r="5128">
      <c r="J5128" s="5"/>
      <c r="P5128" s="9"/>
      <c r="Q5128" s="5"/>
    </row>
    <row r="5129">
      <c r="J5129" s="5"/>
      <c r="P5129" s="9"/>
      <c r="Q5129" s="5"/>
    </row>
    <row r="5130">
      <c r="J5130" s="5"/>
      <c r="P5130" s="9"/>
      <c r="Q5130" s="5"/>
    </row>
    <row r="5131">
      <c r="J5131" s="5"/>
      <c r="P5131" s="9"/>
      <c r="Q5131" s="5"/>
    </row>
    <row r="5132">
      <c r="J5132" s="5"/>
      <c r="P5132" s="9"/>
      <c r="Q5132" s="5"/>
    </row>
    <row r="5133">
      <c r="J5133" s="5"/>
      <c r="P5133" s="9"/>
      <c r="Q5133" s="5"/>
    </row>
    <row r="5134">
      <c r="J5134" s="5"/>
      <c r="P5134" s="9"/>
      <c r="Q5134" s="5"/>
    </row>
    <row r="5135">
      <c r="J5135" s="5"/>
      <c r="P5135" s="9"/>
      <c r="Q5135" s="5"/>
    </row>
    <row r="5136">
      <c r="J5136" s="5"/>
      <c r="P5136" s="9"/>
      <c r="Q5136" s="5"/>
    </row>
    <row r="5137">
      <c r="J5137" s="5"/>
      <c r="P5137" s="9"/>
      <c r="Q5137" s="5"/>
    </row>
    <row r="5138">
      <c r="J5138" s="5"/>
      <c r="P5138" s="9"/>
      <c r="Q5138" s="5"/>
    </row>
    <row r="5139">
      <c r="J5139" s="5"/>
      <c r="P5139" s="9"/>
      <c r="Q5139" s="5"/>
    </row>
    <row r="5140">
      <c r="J5140" s="5"/>
      <c r="P5140" s="9"/>
      <c r="Q5140" s="5"/>
    </row>
    <row r="5141">
      <c r="J5141" s="5"/>
      <c r="P5141" s="9"/>
      <c r="Q5141" s="5"/>
    </row>
    <row r="5142">
      <c r="J5142" s="5"/>
      <c r="P5142" s="9"/>
      <c r="Q5142" s="5"/>
    </row>
    <row r="5143">
      <c r="J5143" s="5"/>
      <c r="P5143" s="9"/>
      <c r="Q5143" s="5"/>
    </row>
    <row r="5144">
      <c r="J5144" s="5"/>
      <c r="P5144" s="9"/>
      <c r="Q5144" s="5"/>
    </row>
    <row r="5145">
      <c r="J5145" s="5"/>
      <c r="P5145" s="9"/>
      <c r="Q5145" s="5"/>
    </row>
    <row r="5146">
      <c r="J5146" s="5"/>
      <c r="P5146" s="9"/>
      <c r="Q5146" s="5"/>
    </row>
    <row r="5147">
      <c r="J5147" s="5"/>
      <c r="P5147" s="9"/>
      <c r="Q5147" s="5"/>
    </row>
    <row r="5148">
      <c r="J5148" s="5"/>
      <c r="P5148" s="9"/>
      <c r="Q5148" s="5"/>
    </row>
    <row r="5149">
      <c r="J5149" s="5"/>
      <c r="P5149" s="9"/>
      <c r="Q5149" s="5"/>
    </row>
    <row r="5150">
      <c r="J5150" s="5"/>
      <c r="P5150" s="9"/>
      <c r="Q5150" s="5"/>
    </row>
    <row r="5151">
      <c r="J5151" s="5"/>
      <c r="P5151" s="9"/>
      <c r="Q5151" s="5"/>
    </row>
    <row r="5152">
      <c r="J5152" s="5"/>
      <c r="P5152" s="9"/>
      <c r="Q5152" s="5"/>
    </row>
    <row r="5153">
      <c r="J5153" s="5"/>
      <c r="P5153" s="9"/>
      <c r="Q5153" s="5"/>
    </row>
    <row r="5154">
      <c r="J5154" s="5"/>
      <c r="P5154" s="9"/>
      <c r="Q5154" s="5"/>
    </row>
    <row r="5155">
      <c r="J5155" s="5"/>
      <c r="P5155" s="9"/>
      <c r="Q5155" s="5"/>
    </row>
    <row r="5156">
      <c r="J5156" s="5"/>
      <c r="P5156" s="9"/>
      <c r="Q5156" s="5"/>
    </row>
    <row r="5157">
      <c r="J5157" s="5"/>
      <c r="P5157" s="9"/>
      <c r="Q5157" s="5"/>
    </row>
    <row r="5158">
      <c r="J5158" s="5"/>
      <c r="P5158" s="9"/>
      <c r="Q5158" s="5"/>
    </row>
    <row r="5159">
      <c r="J5159" s="5"/>
      <c r="P5159" s="9"/>
      <c r="Q5159" s="5"/>
    </row>
    <row r="5160">
      <c r="J5160" s="5"/>
      <c r="P5160" s="9"/>
      <c r="Q5160" s="5"/>
    </row>
    <row r="5161">
      <c r="J5161" s="5"/>
      <c r="P5161" s="9"/>
      <c r="Q5161" s="5"/>
    </row>
    <row r="5162">
      <c r="J5162" s="5"/>
      <c r="P5162" s="9"/>
      <c r="Q5162" s="5"/>
    </row>
    <row r="5163">
      <c r="J5163" s="5"/>
      <c r="P5163" s="9"/>
      <c r="Q5163" s="5"/>
    </row>
    <row r="5164">
      <c r="J5164" s="5"/>
      <c r="P5164" s="9"/>
      <c r="Q5164" s="5"/>
    </row>
    <row r="5165">
      <c r="J5165" s="5"/>
      <c r="P5165" s="9"/>
      <c r="Q5165" s="5"/>
    </row>
    <row r="5166">
      <c r="J5166" s="5"/>
      <c r="P5166" s="9"/>
      <c r="Q5166" s="5"/>
    </row>
    <row r="5167">
      <c r="J5167" s="5"/>
      <c r="P5167" s="9"/>
      <c r="Q5167" s="5"/>
    </row>
    <row r="5168">
      <c r="J5168" s="5"/>
      <c r="P5168" s="9"/>
      <c r="Q5168" s="5"/>
    </row>
    <row r="5169">
      <c r="J5169" s="5"/>
      <c r="P5169" s="9"/>
      <c r="Q5169" s="5"/>
    </row>
    <row r="5170">
      <c r="J5170" s="5"/>
      <c r="P5170" s="9"/>
      <c r="Q5170" s="5"/>
    </row>
    <row r="5171">
      <c r="J5171" s="5"/>
      <c r="P5171" s="9"/>
      <c r="Q5171" s="5"/>
    </row>
    <row r="5172">
      <c r="J5172" s="5"/>
      <c r="P5172" s="9"/>
      <c r="Q5172" s="5"/>
    </row>
    <row r="5173">
      <c r="J5173" s="5"/>
      <c r="P5173" s="9"/>
      <c r="Q5173" s="5"/>
    </row>
    <row r="5174">
      <c r="J5174" s="5"/>
      <c r="P5174" s="9"/>
      <c r="Q5174" s="5"/>
    </row>
    <row r="5175">
      <c r="J5175" s="5"/>
      <c r="P5175" s="9"/>
      <c r="Q5175" s="5"/>
    </row>
    <row r="5176">
      <c r="J5176" s="5"/>
      <c r="P5176" s="9"/>
      <c r="Q5176" s="5"/>
    </row>
    <row r="5177">
      <c r="J5177" s="5"/>
      <c r="P5177" s="9"/>
      <c r="Q5177" s="5"/>
    </row>
    <row r="5178">
      <c r="J5178" s="5"/>
      <c r="P5178" s="9"/>
      <c r="Q5178" s="5"/>
    </row>
    <row r="5179">
      <c r="J5179" s="5"/>
      <c r="P5179" s="9"/>
      <c r="Q5179" s="5"/>
    </row>
    <row r="5180">
      <c r="J5180" s="5"/>
      <c r="P5180" s="9"/>
      <c r="Q5180" s="5"/>
    </row>
    <row r="5181">
      <c r="J5181" s="5"/>
      <c r="P5181" s="9"/>
      <c r="Q5181" s="5"/>
    </row>
    <row r="5182">
      <c r="J5182" s="5"/>
      <c r="P5182" s="9"/>
      <c r="Q5182" s="5"/>
    </row>
    <row r="5183">
      <c r="J5183" s="5"/>
      <c r="P5183" s="9"/>
      <c r="Q5183" s="5"/>
    </row>
    <row r="5184">
      <c r="J5184" s="5"/>
      <c r="P5184" s="9"/>
      <c r="Q5184" s="5"/>
    </row>
    <row r="5185">
      <c r="J5185" s="5"/>
      <c r="P5185" s="9"/>
      <c r="Q5185" s="5"/>
    </row>
    <row r="5186">
      <c r="J5186" s="5"/>
      <c r="P5186" s="9"/>
      <c r="Q5186" s="5"/>
    </row>
    <row r="5187">
      <c r="J5187" s="5"/>
      <c r="P5187" s="9"/>
      <c r="Q5187" s="5"/>
    </row>
    <row r="5188">
      <c r="J5188" s="5"/>
      <c r="P5188" s="9"/>
      <c r="Q5188" s="5"/>
    </row>
    <row r="5189">
      <c r="J5189" s="5"/>
      <c r="P5189" s="9"/>
      <c r="Q5189" s="5"/>
    </row>
    <row r="5190">
      <c r="J5190" s="5"/>
      <c r="P5190" s="9"/>
      <c r="Q5190" s="5"/>
    </row>
    <row r="5191">
      <c r="J5191" s="5"/>
      <c r="P5191" s="9"/>
      <c r="Q5191" s="5"/>
    </row>
    <row r="5192">
      <c r="J5192" s="5"/>
      <c r="P5192" s="9"/>
      <c r="Q5192" s="5"/>
    </row>
    <row r="5193">
      <c r="J5193" s="5"/>
      <c r="P5193" s="9"/>
      <c r="Q5193" s="5"/>
    </row>
    <row r="5194">
      <c r="J5194" s="5"/>
      <c r="P5194" s="9"/>
      <c r="Q5194" s="5"/>
    </row>
    <row r="5195">
      <c r="J5195" s="5"/>
      <c r="P5195" s="9"/>
      <c r="Q5195" s="5"/>
    </row>
    <row r="5196">
      <c r="J5196" s="5"/>
      <c r="P5196" s="9"/>
      <c r="Q5196" s="5"/>
    </row>
    <row r="5197">
      <c r="J5197" s="5"/>
      <c r="P5197" s="9"/>
      <c r="Q5197" s="5"/>
    </row>
    <row r="5198">
      <c r="J5198" s="5"/>
      <c r="P5198" s="9"/>
      <c r="Q5198" s="5"/>
    </row>
    <row r="5199">
      <c r="J5199" s="5"/>
      <c r="P5199" s="9"/>
      <c r="Q5199" s="5"/>
    </row>
    <row r="5200">
      <c r="J5200" s="5"/>
      <c r="P5200" s="9"/>
      <c r="Q5200" s="5"/>
    </row>
    <row r="5201">
      <c r="J5201" s="5"/>
      <c r="P5201" s="9"/>
      <c r="Q5201" s="5"/>
    </row>
    <row r="5202">
      <c r="J5202" s="5"/>
      <c r="P5202" s="9"/>
      <c r="Q5202" s="5"/>
    </row>
    <row r="5203">
      <c r="J5203" s="5"/>
      <c r="P5203" s="9"/>
      <c r="Q5203" s="5"/>
    </row>
    <row r="5204">
      <c r="J5204" s="5"/>
      <c r="P5204" s="9"/>
      <c r="Q5204" s="5"/>
    </row>
    <row r="5205">
      <c r="J5205" s="5"/>
      <c r="P5205" s="9"/>
      <c r="Q5205" s="5"/>
    </row>
    <row r="5206">
      <c r="J5206" s="5"/>
      <c r="P5206" s="9"/>
      <c r="Q5206" s="5"/>
    </row>
    <row r="5207">
      <c r="J5207" s="5"/>
      <c r="P5207" s="9"/>
      <c r="Q5207" s="5"/>
    </row>
    <row r="5208">
      <c r="J5208" s="5"/>
      <c r="P5208" s="9"/>
      <c r="Q5208" s="5"/>
    </row>
    <row r="5209">
      <c r="J5209" s="5"/>
      <c r="P5209" s="9"/>
      <c r="Q5209" s="5"/>
    </row>
    <row r="5210">
      <c r="J5210" s="5"/>
      <c r="P5210" s="9"/>
      <c r="Q5210" s="5"/>
    </row>
    <row r="5211">
      <c r="J5211" s="5"/>
      <c r="P5211" s="9"/>
      <c r="Q5211" s="5"/>
    </row>
    <row r="5212">
      <c r="J5212" s="5"/>
      <c r="P5212" s="9"/>
      <c r="Q5212" s="5"/>
    </row>
    <row r="5213">
      <c r="J5213" s="5"/>
      <c r="P5213" s="9"/>
      <c r="Q5213" s="5"/>
    </row>
    <row r="5214">
      <c r="J5214" s="5"/>
      <c r="P5214" s="9"/>
      <c r="Q5214" s="5"/>
    </row>
    <row r="5215">
      <c r="J5215" s="5"/>
      <c r="P5215" s="9"/>
      <c r="Q5215" s="5"/>
    </row>
    <row r="5216">
      <c r="J5216" s="5"/>
      <c r="P5216" s="9"/>
      <c r="Q5216" s="5"/>
    </row>
    <row r="5217">
      <c r="J5217" s="5"/>
      <c r="P5217" s="9"/>
      <c r="Q5217" s="5"/>
    </row>
    <row r="5218">
      <c r="J5218" s="5"/>
      <c r="P5218" s="9"/>
      <c r="Q5218" s="5"/>
    </row>
    <row r="5219">
      <c r="J5219" s="5"/>
      <c r="P5219" s="9"/>
      <c r="Q5219" s="5"/>
    </row>
    <row r="5220">
      <c r="J5220" s="5"/>
      <c r="P5220" s="9"/>
      <c r="Q5220" s="5"/>
    </row>
    <row r="5221">
      <c r="J5221" s="5"/>
      <c r="P5221" s="9"/>
      <c r="Q5221" s="5"/>
    </row>
    <row r="5222">
      <c r="J5222" s="5"/>
      <c r="P5222" s="9"/>
      <c r="Q5222" s="5"/>
    </row>
    <row r="5223">
      <c r="J5223" s="5"/>
      <c r="P5223" s="9"/>
      <c r="Q5223" s="5"/>
    </row>
    <row r="5224">
      <c r="J5224" s="5"/>
      <c r="P5224" s="9"/>
      <c r="Q5224" s="5"/>
    </row>
    <row r="5225">
      <c r="J5225" s="5"/>
      <c r="P5225" s="9"/>
      <c r="Q5225" s="5"/>
    </row>
    <row r="5226">
      <c r="J5226" s="5"/>
      <c r="P5226" s="9"/>
      <c r="Q5226" s="5"/>
    </row>
    <row r="5227">
      <c r="J5227" s="5"/>
      <c r="P5227" s="9"/>
      <c r="Q5227" s="5"/>
    </row>
    <row r="5228">
      <c r="J5228" s="5"/>
      <c r="P5228" s="9"/>
      <c r="Q5228" s="5"/>
    </row>
    <row r="5229">
      <c r="J5229" s="5"/>
      <c r="P5229" s="9"/>
      <c r="Q5229" s="5"/>
    </row>
    <row r="5230">
      <c r="J5230" s="5"/>
      <c r="P5230" s="9"/>
      <c r="Q5230" s="5"/>
    </row>
    <row r="5231">
      <c r="J5231" s="5"/>
      <c r="P5231" s="9"/>
      <c r="Q5231" s="5"/>
    </row>
    <row r="5232">
      <c r="J5232" s="5"/>
      <c r="P5232" s="9"/>
      <c r="Q5232" s="5"/>
    </row>
    <row r="5233">
      <c r="J5233" s="5"/>
      <c r="P5233" s="9"/>
      <c r="Q5233" s="5"/>
    </row>
    <row r="5234">
      <c r="J5234" s="5"/>
      <c r="P5234" s="9"/>
      <c r="Q5234" s="5"/>
    </row>
    <row r="5235">
      <c r="J5235" s="5"/>
      <c r="P5235" s="9"/>
      <c r="Q5235" s="5"/>
    </row>
    <row r="5236">
      <c r="J5236" s="5"/>
      <c r="P5236" s="9"/>
      <c r="Q5236" s="5"/>
    </row>
    <row r="5237">
      <c r="J5237" s="5"/>
      <c r="P5237" s="9"/>
      <c r="Q5237" s="5"/>
    </row>
    <row r="5238">
      <c r="J5238" s="5"/>
      <c r="P5238" s="9"/>
      <c r="Q5238" s="5"/>
    </row>
    <row r="5239">
      <c r="J5239" s="5"/>
      <c r="P5239" s="9"/>
      <c r="Q5239" s="5"/>
    </row>
    <row r="5240">
      <c r="J5240" s="5"/>
      <c r="P5240" s="9"/>
      <c r="Q5240" s="5"/>
    </row>
    <row r="5241">
      <c r="J5241" s="5"/>
      <c r="P5241" s="9"/>
      <c r="Q5241" s="5"/>
    </row>
    <row r="5242">
      <c r="J5242" s="5"/>
      <c r="P5242" s="9"/>
      <c r="Q5242" s="5"/>
    </row>
    <row r="5243">
      <c r="J5243" s="5"/>
      <c r="P5243" s="9"/>
      <c r="Q5243" s="5"/>
    </row>
    <row r="5244">
      <c r="J5244" s="5"/>
      <c r="P5244" s="9"/>
      <c r="Q5244" s="5"/>
    </row>
    <row r="5245">
      <c r="J5245" s="5"/>
      <c r="P5245" s="9"/>
      <c r="Q5245" s="5"/>
    </row>
    <row r="5246">
      <c r="J5246" s="5"/>
      <c r="P5246" s="9"/>
      <c r="Q5246" s="5"/>
    </row>
    <row r="5247">
      <c r="J5247" s="5"/>
      <c r="P5247" s="9"/>
      <c r="Q5247" s="5"/>
    </row>
    <row r="5248">
      <c r="J5248" s="5"/>
      <c r="P5248" s="9"/>
      <c r="Q5248" s="5"/>
    </row>
    <row r="5249">
      <c r="J5249" s="5"/>
      <c r="P5249" s="9"/>
      <c r="Q5249" s="5"/>
    </row>
    <row r="5250">
      <c r="J5250" s="5"/>
      <c r="P5250" s="9"/>
      <c r="Q5250" s="5"/>
    </row>
    <row r="5251">
      <c r="J5251" s="5"/>
      <c r="P5251" s="9"/>
      <c r="Q5251" s="5"/>
    </row>
    <row r="5252">
      <c r="J5252" s="5"/>
      <c r="P5252" s="9"/>
      <c r="Q5252" s="5"/>
    </row>
    <row r="5253">
      <c r="J5253" s="5"/>
      <c r="P5253" s="9"/>
      <c r="Q5253" s="5"/>
    </row>
    <row r="5254">
      <c r="J5254" s="5"/>
      <c r="P5254" s="9"/>
      <c r="Q5254" s="5"/>
    </row>
    <row r="5255">
      <c r="J5255" s="5"/>
      <c r="P5255" s="9"/>
      <c r="Q5255" s="5"/>
    </row>
    <row r="5256">
      <c r="J5256" s="5"/>
      <c r="P5256" s="9"/>
      <c r="Q5256" s="5"/>
    </row>
    <row r="5257">
      <c r="J5257" s="5"/>
      <c r="P5257" s="9"/>
      <c r="Q5257" s="5"/>
    </row>
    <row r="5258">
      <c r="J5258" s="5"/>
      <c r="P5258" s="9"/>
      <c r="Q5258" s="5"/>
    </row>
    <row r="5259">
      <c r="J5259" s="5"/>
      <c r="P5259" s="9"/>
      <c r="Q5259" s="5"/>
    </row>
    <row r="5260">
      <c r="J5260" s="5"/>
      <c r="P5260" s="9"/>
      <c r="Q5260" s="5"/>
    </row>
    <row r="5261">
      <c r="J5261" s="5"/>
      <c r="P5261" s="9"/>
      <c r="Q5261" s="5"/>
    </row>
    <row r="5262">
      <c r="J5262" s="5"/>
      <c r="P5262" s="9"/>
      <c r="Q5262" s="5"/>
    </row>
    <row r="5263">
      <c r="J5263" s="5"/>
      <c r="P5263" s="9"/>
      <c r="Q5263" s="5"/>
    </row>
    <row r="5264">
      <c r="J5264" s="5"/>
      <c r="P5264" s="9"/>
      <c r="Q5264" s="5"/>
    </row>
    <row r="5265">
      <c r="J5265" s="5"/>
      <c r="P5265" s="9"/>
      <c r="Q5265" s="5"/>
    </row>
    <row r="5266">
      <c r="J5266" s="5"/>
      <c r="P5266" s="9"/>
      <c r="Q5266" s="5"/>
    </row>
    <row r="5267">
      <c r="J5267" s="5"/>
      <c r="P5267" s="9"/>
      <c r="Q5267" s="5"/>
    </row>
    <row r="5268">
      <c r="J5268" s="5"/>
      <c r="P5268" s="9"/>
      <c r="Q5268" s="5"/>
    </row>
    <row r="5269">
      <c r="J5269" s="5"/>
      <c r="P5269" s="9"/>
      <c r="Q5269" s="5"/>
    </row>
    <row r="5270">
      <c r="J5270" s="5"/>
      <c r="P5270" s="9"/>
      <c r="Q5270" s="5"/>
    </row>
    <row r="5271">
      <c r="J5271" s="5"/>
      <c r="P5271" s="9"/>
      <c r="Q5271" s="5"/>
    </row>
    <row r="5272">
      <c r="J5272" s="5"/>
      <c r="P5272" s="9"/>
      <c r="Q5272" s="5"/>
    </row>
    <row r="5273">
      <c r="J5273" s="5"/>
      <c r="P5273" s="9"/>
      <c r="Q5273" s="5"/>
    </row>
    <row r="5274">
      <c r="J5274" s="5"/>
      <c r="P5274" s="9"/>
      <c r="Q5274" s="5"/>
    </row>
    <row r="5275">
      <c r="J5275" s="5"/>
      <c r="P5275" s="9"/>
      <c r="Q5275" s="5"/>
    </row>
    <row r="5276">
      <c r="J5276" s="5"/>
      <c r="P5276" s="9"/>
      <c r="Q5276" s="5"/>
    </row>
    <row r="5277">
      <c r="J5277" s="5"/>
      <c r="P5277" s="9"/>
      <c r="Q5277" s="5"/>
    </row>
    <row r="5278">
      <c r="J5278" s="5"/>
      <c r="P5278" s="9"/>
      <c r="Q5278" s="5"/>
    </row>
    <row r="5279">
      <c r="J5279" s="5"/>
      <c r="P5279" s="9"/>
      <c r="Q5279" s="5"/>
    </row>
    <row r="5280">
      <c r="J5280" s="5"/>
      <c r="P5280" s="9"/>
      <c r="Q5280" s="5"/>
    </row>
    <row r="5281">
      <c r="J5281" s="5"/>
      <c r="P5281" s="9"/>
      <c r="Q5281" s="5"/>
    </row>
    <row r="5282">
      <c r="J5282" s="5"/>
      <c r="P5282" s="9"/>
      <c r="Q5282" s="5"/>
    </row>
    <row r="5283">
      <c r="J5283" s="5"/>
      <c r="P5283" s="9"/>
      <c r="Q5283" s="5"/>
    </row>
    <row r="5284">
      <c r="J5284" s="5"/>
      <c r="P5284" s="9"/>
      <c r="Q5284" s="5"/>
    </row>
    <row r="5285">
      <c r="J5285" s="5"/>
      <c r="P5285" s="9"/>
      <c r="Q5285" s="5"/>
    </row>
    <row r="5286">
      <c r="J5286" s="5"/>
      <c r="P5286" s="9"/>
      <c r="Q5286" s="5"/>
    </row>
    <row r="5287">
      <c r="J5287" s="5"/>
      <c r="P5287" s="9"/>
      <c r="Q5287" s="5"/>
    </row>
    <row r="5288">
      <c r="J5288" s="5"/>
      <c r="P5288" s="9"/>
      <c r="Q5288" s="5"/>
    </row>
    <row r="5289">
      <c r="J5289" s="5"/>
      <c r="P5289" s="9"/>
      <c r="Q5289" s="5"/>
    </row>
    <row r="5290">
      <c r="J5290" s="5"/>
      <c r="P5290" s="9"/>
      <c r="Q5290" s="5"/>
    </row>
    <row r="5291">
      <c r="J5291" s="5"/>
      <c r="P5291" s="9"/>
      <c r="Q5291" s="5"/>
    </row>
    <row r="5292">
      <c r="J5292" s="5"/>
      <c r="P5292" s="9"/>
      <c r="Q5292" s="5"/>
    </row>
    <row r="5293">
      <c r="J5293" s="5"/>
      <c r="P5293" s="9"/>
      <c r="Q5293" s="5"/>
    </row>
    <row r="5294">
      <c r="J5294" s="5"/>
      <c r="P5294" s="9"/>
      <c r="Q5294" s="5"/>
    </row>
    <row r="5295">
      <c r="J5295" s="5"/>
      <c r="P5295" s="9"/>
      <c r="Q5295" s="5"/>
    </row>
    <row r="5296">
      <c r="J5296" s="5"/>
      <c r="P5296" s="9"/>
      <c r="Q5296" s="5"/>
    </row>
    <row r="5297">
      <c r="J5297" s="5"/>
      <c r="P5297" s="9"/>
      <c r="Q5297" s="5"/>
    </row>
    <row r="5298">
      <c r="J5298" s="5"/>
      <c r="P5298" s="9"/>
      <c r="Q5298" s="5"/>
    </row>
    <row r="5299">
      <c r="J5299" s="5"/>
      <c r="P5299" s="9"/>
      <c r="Q5299" s="5"/>
    </row>
    <row r="5300">
      <c r="J5300" s="5"/>
      <c r="P5300" s="9"/>
      <c r="Q5300" s="5"/>
    </row>
    <row r="5301">
      <c r="J5301" s="5"/>
      <c r="P5301" s="9"/>
      <c r="Q5301" s="5"/>
    </row>
    <row r="5302">
      <c r="J5302" s="5"/>
      <c r="P5302" s="9"/>
      <c r="Q5302" s="5"/>
    </row>
    <row r="5303">
      <c r="J5303" s="5"/>
      <c r="P5303" s="9"/>
      <c r="Q5303" s="5"/>
    </row>
    <row r="5304">
      <c r="J5304" s="5"/>
      <c r="P5304" s="9"/>
      <c r="Q5304" s="5"/>
    </row>
    <row r="5305">
      <c r="J5305" s="5"/>
      <c r="P5305" s="9"/>
      <c r="Q5305" s="5"/>
    </row>
    <row r="5306">
      <c r="J5306" s="5"/>
      <c r="P5306" s="9"/>
      <c r="Q5306" s="5"/>
    </row>
    <row r="5307">
      <c r="J5307" s="5"/>
      <c r="P5307" s="9"/>
      <c r="Q5307" s="5"/>
    </row>
    <row r="5308">
      <c r="J5308" s="5"/>
      <c r="P5308" s="9"/>
      <c r="Q5308" s="5"/>
    </row>
    <row r="5309">
      <c r="J5309" s="5"/>
      <c r="P5309" s="9"/>
      <c r="Q5309" s="5"/>
    </row>
    <row r="5310">
      <c r="J5310" s="5"/>
      <c r="P5310" s="9"/>
      <c r="Q5310" s="5"/>
    </row>
    <row r="5311">
      <c r="J5311" s="5"/>
      <c r="P5311" s="9"/>
      <c r="Q5311" s="5"/>
    </row>
    <row r="5312">
      <c r="J5312" s="5"/>
      <c r="P5312" s="9"/>
      <c r="Q5312" s="5"/>
    </row>
    <row r="5313">
      <c r="J5313" s="5"/>
      <c r="P5313" s="9"/>
      <c r="Q5313" s="5"/>
    </row>
    <row r="5314">
      <c r="J5314" s="5"/>
      <c r="P5314" s="9"/>
      <c r="Q5314" s="5"/>
    </row>
    <row r="5315">
      <c r="J5315" s="5"/>
      <c r="P5315" s="9"/>
      <c r="Q5315" s="5"/>
    </row>
    <row r="5316">
      <c r="J5316" s="5"/>
      <c r="P5316" s="9"/>
      <c r="Q5316" s="5"/>
    </row>
    <row r="5317">
      <c r="J5317" s="5"/>
      <c r="P5317" s="9"/>
      <c r="Q5317" s="5"/>
    </row>
    <row r="5318">
      <c r="J5318" s="5"/>
      <c r="P5318" s="9"/>
      <c r="Q5318" s="5"/>
    </row>
    <row r="5319">
      <c r="J5319" s="5"/>
      <c r="P5319" s="9"/>
      <c r="Q5319" s="5"/>
    </row>
    <row r="5320">
      <c r="J5320" s="5"/>
      <c r="P5320" s="9"/>
      <c r="Q5320" s="5"/>
    </row>
    <row r="5321">
      <c r="J5321" s="5"/>
      <c r="P5321" s="9"/>
      <c r="Q5321" s="5"/>
    </row>
    <row r="5322">
      <c r="J5322" s="5"/>
      <c r="P5322" s="9"/>
      <c r="Q5322" s="5"/>
    </row>
    <row r="5323">
      <c r="J5323" s="5"/>
      <c r="P5323" s="9"/>
      <c r="Q5323" s="5"/>
    </row>
    <row r="5324">
      <c r="J5324" s="5"/>
      <c r="P5324" s="9"/>
      <c r="Q5324" s="5"/>
    </row>
    <row r="5325">
      <c r="J5325" s="5"/>
      <c r="P5325" s="9"/>
      <c r="Q5325" s="5"/>
    </row>
    <row r="5326">
      <c r="J5326" s="5"/>
      <c r="P5326" s="9"/>
      <c r="Q5326" s="5"/>
    </row>
    <row r="5327">
      <c r="J5327" s="5"/>
      <c r="P5327" s="9"/>
      <c r="Q5327" s="5"/>
    </row>
    <row r="5328">
      <c r="J5328" s="5"/>
      <c r="P5328" s="9"/>
      <c r="Q5328" s="5"/>
    </row>
    <row r="5329">
      <c r="J5329" s="5"/>
      <c r="P5329" s="9"/>
      <c r="Q5329" s="5"/>
    </row>
    <row r="5330">
      <c r="J5330" s="5"/>
      <c r="P5330" s="9"/>
      <c r="Q5330" s="5"/>
    </row>
    <row r="5331">
      <c r="J5331" s="5"/>
      <c r="P5331" s="9"/>
      <c r="Q5331" s="5"/>
    </row>
    <row r="5332">
      <c r="J5332" s="5"/>
      <c r="P5332" s="9"/>
      <c r="Q5332" s="5"/>
    </row>
    <row r="5333">
      <c r="J5333" s="5"/>
      <c r="P5333" s="9"/>
      <c r="Q5333" s="5"/>
    </row>
    <row r="5334">
      <c r="J5334" s="5"/>
      <c r="P5334" s="9"/>
      <c r="Q5334" s="5"/>
    </row>
    <row r="5335">
      <c r="J5335" s="5"/>
      <c r="P5335" s="9"/>
      <c r="Q5335" s="5"/>
    </row>
    <row r="5336">
      <c r="J5336" s="5"/>
      <c r="P5336" s="9"/>
      <c r="Q5336" s="5"/>
    </row>
    <row r="5337">
      <c r="J5337" s="5"/>
      <c r="P5337" s="9"/>
      <c r="Q5337" s="5"/>
    </row>
    <row r="5338">
      <c r="J5338" s="5"/>
      <c r="P5338" s="9"/>
      <c r="Q5338" s="5"/>
    </row>
    <row r="5339">
      <c r="J5339" s="5"/>
      <c r="P5339" s="9"/>
      <c r="Q5339" s="5"/>
    </row>
    <row r="5340">
      <c r="J5340" s="5"/>
      <c r="P5340" s="9"/>
      <c r="Q5340" s="5"/>
    </row>
    <row r="5341">
      <c r="J5341" s="5"/>
      <c r="P5341" s="9"/>
      <c r="Q5341" s="5"/>
    </row>
    <row r="5342">
      <c r="J5342" s="5"/>
      <c r="P5342" s="9"/>
      <c r="Q5342" s="5"/>
    </row>
    <row r="5343">
      <c r="J5343" s="5"/>
      <c r="P5343" s="9"/>
      <c r="Q5343" s="5"/>
    </row>
    <row r="5344">
      <c r="J5344" s="5"/>
      <c r="P5344" s="9"/>
      <c r="Q5344" s="5"/>
    </row>
    <row r="5345">
      <c r="J5345" s="5"/>
      <c r="P5345" s="9"/>
      <c r="Q5345" s="5"/>
    </row>
    <row r="5346">
      <c r="J5346" s="5"/>
      <c r="P5346" s="9"/>
      <c r="Q5346" s="5"/>
    </row>
    <row r="5347">
      <c r="J5347" s="5"/>
      <c r="P5347" s="9"/>
      <c r="Q5347" s="5"/>
    </row>
    <row r="5348">
      <c r="J5348" s="5"/>
      <c r="P5348" s="9"/>
      <c r="Q5348" s="5"/>
    </row>
    <row r="5349">
      <c r="J5349" s="5"/>
      <c r="P5349" s="9"/>
      <c r="Q5349" s="5"/>
    </row>
    <row r="5350">
      <c r="J5350" s="5"/>
      <c r="P5350" s="9"/>
      <c r="Q5350" s="5"/>
    </row>
    <row r="5351">
      <c r="J5351" s="5"/>
      <c r="P5351" s="9"/>
      <c r="Q5351" s="5"/>
    </row>
    <row r="5352">
      <c r="J5352" s="5"/>
      <c r="P5352" s="9"/>
      <c r="Q5352" s="5"/>
    </row>
    <row r="5353">
      <c r="J5353" s="5"/>
      <c r="P5353" s="9"/>
      <c r="Q5353" s="5"/>
    </row>
    <row r="5354">
      <c r="J5354" s="5"/>
      <c r="P5354" s="9"/>
      <c r="Q5354" s="5"/>
    </row>
    <row r="5355">
      <c r="J5355" s="5"/>
      <c r="P5355" s="9"/>
      <c r="Q5355" s="5"/>
    </row>
    <row r="5356">
      <c r="J5356" s="5"/>
      <c r="P5356" s="9"/>
      <c r="Q5356" s="5"/>
    </row>
    <row r="5357">
      <c r="J5357" s="5"/>
      <c r="P5357" s="9"/>
      <c r="Q5357" s="5"/>
    </row>
    <row r="5358">
      <c r="J5358" s="5"/>
      <c r="P5358" s="9"/>
      <c r="Q5358" s="5"/>
    </row>
    <row r="5359">
      <c r="J5359" s="5"/>
      <c r="P5359" s="9"/>
      <c r="Q5359" s="5"/>
    </row>
    <row r="5360">
      <c r="J5360" s="5"/>
      <c r="P5360" s="9"/>
      <c r="Q5360" s="5"/>
    </row>
    <row r="5361">
      <c r="J5361" s="5"/>
      <c r="P5361" s="9"/>
      <c r="Q5361" s="5"/>
    </row>
    <row r="5362">
      <c r="J5362" s="5"/>
      <c r="P5362" s="9"/>
      <c r="Q5362" s="5"/>
    </row>
    <row r="5363">
      <c r="J5363" s="5"/>
      <c r="P5363" s="9"/>
      <c r="Q5363" s="5"/>
    </row>
    <row r="5364">
      <c r="J5364" s="5"/>
      <c r="P5364" s="9"/>
      <c r="Q5364" s="5"/>
    </row>
    <row r="5365">
      <c r="J5365" s="5"/>
      <c r="P5365" s="9"/>
      <c r="Q5365" s="5"/>
    </row>
    <row r="5366">
      <c r="J5366" s="5"/>
      <c r="P5366" s="9"/>
      <c r="Q5366" s="5"/>
    </row>
    <row r="5367">
      <c r="J5367" s="5"/>
      <c r="P5367" s="9"/>
      <c r="Q5367" s="5"/>
    </row>
    <row r="5368">
      <c r="J5368" s="5"/>
      <c r="P5368" s="9"/>
      <c r="Q5368" s="5"/>
    </row>
    <row r="5369">
      <c r="J5369" s="5"/>
      <c r="P5369" s="9"/>
      <c r="Q5369" s="5"/>
    </row>
    <row r="5370">
      <c r="J5370" s="5"/>
      <c r="P5370" s="9"/>
      <c r="Q5370" s="5"/>
    </row>
    <row r="5371">
      <c r="J5371" s="5"/>
      <c r="P5371" s="9"/>
      <c r="Q5371" s="5"/>
    </row>
    <row r="5372">
      <c r="J5372" s="5"/>
      <c r="P5372" s="9"/>
      <c r="Q5372" s="5"/>
    </row>
    <row r="5373">
      <c r="J5373" s="5"/>
      <c r="P5373" s="9"/>
      <c r="Q5373" s="5"/>
    </row>
    <row r="5374">
      <c r="J5374" s="5"/>
      <c r="P5374" s="9"/>
      <c r="Q5374" s="5"/>
    </row>
    <row r="5375">
      <c r="J5375" s="5"/>
      <c r="P5375" s="9"/>
      <c r="Q5375" s="5"/>
    </row>
    <row r="5376">
      <c r="J5376" s="5"/>
      <c r="P5376" s="9"/>
      <c r="Q5376" s="5"/>
    </row>
    <row r="5377">
      <c r="J5377" s="5"/>
      <c r="P5377" s="9"/>
      <c r="Q5377" s="5"/>
    </row>
    <row r="5378">
      <c r="J5378" s="5"/>
      <c r="P5378" s="9"/>
      <c r="Q5378" s="5"/>
    </row>
    <row r="5379">
      <c r="J5379" s="5"/>
      <c r="P5379" s="9"/>
      <c r="Q5379" s="5"/>
    </row>
    <row r="5380">
      <c r="J5380" s="5"/>
      <c r="P5380" s="9"/>
      <c r="Q5380" s="5"/>
    </row>
    <row r="5381">
      <c r="J5381" s="5"/>
      <c r="P5381" s="9"/>
      <c r="Q5381" s="5"/>
    </row>
    <row r="5382">
      <c r="J5382" s="5"/>
      <c r="P5382" s="9"/>
      <c r="Q5382" s="5"/>
    </row>
    <row r="5383">
      <c r="J5383" s="5"/>
      <c r="P5383" s="9"/>
      <c r="Q5383" s="5"/>
    </row>
    <row r="5384">
      <c r="J5384" s="5"/>
      <c r="P5384" s="9"/>
      <c r="Q5384" s="5"/>
    </row>
    <row r="5385">
      <c r="J5385" s="5"/>
      <c r="P5385" s="9"/>
      <c r="Q5385" s="5"/>
    </row>
    <row r="5386">
      <c r="J5386" s="5"/>
      <c r="P5386" s="9"/>
      <c r="Q5386" s="5"/>
    </row>
    <row r="5387">
      <c r="J5387" s="5"/>
      <c r="P5387" s="9"/>
      <c r="Q5387" s="5"/>
    </row>
    <row r="5388">
      <c r="J5388" s="5"/>
      <c r="P5388" s="9"/>
      <c r="Q5388" s="5"/>
    </row>
    <row r="5389">
      <c r="J5389" s="5"/>
      <c r="P5389" s="9"/>
      <c r="Q5389" s="5"/>
    </row>
    <row r="5390">
      <c r="J5390" s="5"/>
      <c r="P5390" s="9"/>
      <c r="Q5390" s="5"/>
    </row>
    <row r="5391">
      <c r="J5391" s="5"/>
      <c r="P5391" s="9"/>
      <c r="Q5391" s="5"/>
    </row>
    <row r="5392">
      <c r="J5392" s="5"/>
      <c r="P5392" s="9"/>
      <c r="Q5392" s="5"/>
    </row>
    <row r="5393">
      <c r="J5393" s="5"/>
      <c r="P5393" s="9"/>
      <c r="Q5393" s="5"/>
    </row>
    <row r="5394">
      <c r="J5394" s="5"/>
      <c r="P5394" s="9"/>
      <c r="Q5394" s="5"/>
    </row>
    <row r="5395">
      <c r="J5395" s="5"/>
      <c r="P5395" s="9"/>
      <c r="Q5395" s="5"/>
    </row>
    <row r="5396">
      <c r="J5396" s="5"/>
      <c r="P5396" s="9"/>
      <c r="Q5396" s="5"/>
    </row>
    <row r="5397">
      <c r="J5397" s="5"/>
      <c r="P5397" s="9"/>
      <c r="Q5397" s="5"/>
    </row>
    <row r="5398">
      <c r="J5398" s="5"/>
      <c r="P5398" s="9"/>
      <c r="Q5398" s="5"/>
    </row>
    <row r="5399">
      <c r="J5399" s="5"/>
      <c r="P5399" s="9"/>
      <c r="Q5399" s="5"/>
    </row>
    <row r="5400">
      <c r="J5400" s="5"/>
      <c r="P5400" s="9"/>
      <c r="Q5400" s="5"/>
    </row>
    <row r="5401">
      <c r="J5401" s="5"/>
      <c r="P5401" s="9"/>
      <c r="Q5401" s="5"/>
    </row>
    <row r="5402">
      <c r="J5402" s="5"/>
      <c r="P5402" s="9"/>
      <c r="Q5402" s="5"/>
    </row>
    <row r="5403">
      <c r="J5403" s="5"/>
      <c r="P5403" s="9"/>
      <c r="Q5403" s="5"/>
    </row>
    <row r="5404">
      <c r="J5404" s="5"/>
      <c r="P5404" s="9"/>
      <c r="Q5404" s="5"/>
    </row>
    <row r="5405">
      <c r="J5405" s="5"/>
      <c r="P5405" s="9"/>
      <c r="Q5405" s="5"/>
    </row>
    <row r="5406">
      <c r="J5406" s="5"/>
      <c r="P5406" s="9"/>
      <c r="Q5406" s="5"/>
    </row>
    <row r="5407">
      <c r="J5407" s="5"/>
      <c r="P5407" s="9"/>
      <c r="Q5407" s="5"/>
    </row>
    <row r="5408">
      <c r="J5408" s="5"/>
      <c r="P5408" s="9"/>
      <c r="Q5408" s="5"/>
    </row>
    <row r="5409">
      <c r="J5409" s="5"/>
      <c r="P5409" s="9"/>
      <c r="Q5409" s="5"/>
    </row>
    <row r="5410">
      <c r="J5410" s="5"/>
      <c r="P5410" s="9"/>
      <c r="Q5410" s="5"/>
    </row>
    <row r="5411">
      <c r="J5411" s="5"/>
      <c r="P5411" s="9"/>
      <c r="Q5411" s="5"/>
    </row>
    <row r="5412">
      <c r="J5412" s="5"/>
      <c r="P5412" s="9"/>
      <c r="Q5412" s="5"/>
    </row>
    <row r="5413">
      <c r="J5413" s="5"/>
      <c r="P5413" s="9"/>
      <c r="Q5413" s="5"/>
    </row>
    <row r="5414">
      <c r="J5414" s="5"/>
      <c r="P5414" s="9"/>
      <c r="Q5414" s="5"/>
    </row>
    <row r="5415">
      <c r="J5415" s="5"/>
      <c r="P5415" s="9"/>
      <c r="Q5415" s="5"/>
    </row>
    <row r="5416">
      <c r="J5416" s="5"/>
      <c r="P5416" s="9"/>
      <c r="Q5416" s="5"/>
    </row>
    <row r="5417">
      <c r="J5417" s="5"/>
      <c r="P5417" s="9"/>
      <c r="Q5417" s="5"/>
    </row>
    <row r="5418">
      <c r="J5418" s="5"/>
      <c r="P5418" s="9"/>
      <c r="Q5418" s="5"/>
    </row>
    <row r="5419">
      <c r="J5419" s="5"/>
      <c r="P5419" s="9"/>
      <c r="Q5419" s="5"/>
    </row>
    <row r="5420">
      <c r="J5420" s="5"/>
      <c r="P5420" s="9"/>
      <c r="Q5420" s="5"/>
    </row>
    <row r="5421">
      <c r="J5421" s="5"/>
      <c r="P5421" s="9"/>
      <c r="Q5421" s="5"/>
    </row>
    <row r="5422">
      <c r="J5422" s="5"/>
      <c r="P5422" s="9"/>
      <c r="Q5422" s="5"/>
    </row>
    <row r="5423">
      <c r="J5423" s="5"/>
      <c r="P5423" s="9"/>
      <c r="Q5423" s="5"/>
    </row>
    <row r="5424">
      <c r="J5424" s="5"/>
      <c r="P5424" s="9"/>
      <c r="Q5424" s="5"/>
    </row>
    <row r="5425">
      <c r="J5425" s="5"/>
      <c r="P5425" s="9"/>
      <c r="Q5425" s="5"/>
    </row>
    <row r="5426">
      <c r="J5426" s="5"/>
      <c r="P5426" s="9"/>
      <c r="Q5426" s="5"/>
    </row>
    <row r="5427">
      <c r="J5427" s="5"/>
      <c r="P5427" s="9"/>
      <c r="Q5427" s="5"/>
    </row>
    <row r="5428">
      <c r="J5428" s="5"/>
      <c r="P5428" s="9"/>
      <c r="Q5428" s="5"/>
    </row>
    <row r="5429">
      <c r="J5429" s="5"/>
      <c r="P5429" s="9"/>
      <c r="Q5429" s="5"/>
    </row>
    <row r="5430">
      <c r="J5430" s="5"/>
      <c r="P5430" s="9"/>
      <c r="Q5430" s="5"/>
    </row>
    <row r="5431">
      <c r="J5431" s="5"/>
      <c r="P5431" s="9"/>
      <c r="Q5431" s="5"/>
    </row>
    <row r="5432">
      <c r="J5432" s="5"/>
      <c r="P5432" s="9"/>
      <c r="Q5432" s="5"/>
    </row>
    <row r="5433">
      <c r="J5433" s="5"/>
      <c r="P5433" s="9"/>
      <c r="Q5433" s="5"/>
    </row>
    <row r="5434">
      <c r="J5434" s="5"/>
      <c r="P5434" s="9"/>
      <c r="Q5434" s="5"/>
    </row>
    <row r="5435">
      <c r="J5435" s="5"/>
      <c r="P5435" s="9"/>
      <c r="Q5435" s="5"/>
    </row>
    <row r="5436">
      <c r="J5436" s="5"/>
      <c r="P5436" s="9"/>
      <c r="Q5436" s="5"/>
    </row>
    <row r="5437">
      <c r="J5437" s="5"/>
      <c r="P5437" s="9"/>
      <c r="Q5437" s="5"/>
    </row>
    <row r="5438">
      <c r="J5438" s="5"/>
      <c r="P5438" s="9"/>
      <c r="Q5438" s="5"/>
    </row>
    <row r="5439">
      <c r="J5439" s="5"/>
      <c r="P5439" s="9"/>
      <c r="Q5439" s="5"/>
    </row>
    <row r="5440">
      <c r="J5440" s="5"/>
      <c r="P5440" s="9"/>
      <c r="Q5440" s="5"/>
    </row>
    <row r="5441">
      <c r="J5441" s="5"/>
      <c r="P5441" s="9"/>
      <c r="Q5441" s="5"/>
    </row>
    <row r="5442">
      <c r="J5442" s="5"/>
      <c r="P5442" s="9"/>
      <c r="Q5442" s="5"/>
    </row>
    <row r="5443">
      <c r="J5443" s="5"/>
      <c r="P5443" s="9"/>
      <c r="Q5443" s="5"/>
    </row>
    <row r="5444">
      <c r="J5444" s="5"/>
      <c r="P5444" s="9"/>
      <c r="Q5444" s="5"/>
    </row>
    <row r="5445">
      <c r="J5445" s="5"/>
      <c r="P5445" s="9"/>
      <c r="Q5445" s="5"/>
    </row>
    <row r="5446">
      <c r="J5446" s="5"/>
      <c r="P5446" s="9"/>
      <c r="Q5446" s="5"/>
    </row>
    <row r="5447">
      <c r="J5447" s="5"/>
      <c r="P5447" s="9"/>
      <c r="Q5447" s="5"/>
    </row>
    <row r="5448">
      <c r="J5448" s="5"/>
      <c r="P5448" s="9"/>
      <c r="Q5448" s="5"/>
    </row>
    <row r="5449">
      <c r="J5449" s="5"/>
      <c r="P5449" s="9"/>
      <c r="Q5449" s="5"/>
    </row>
    <row r="5450">
      <c r="J5450" s="5"/>
      <c r="P5450" s="9"/>
      <c r="Q5450" s="5"/>
    </row>
    <row r="5451">
      <c r="J5451" s="5"/>
      <c r="P5451" s="9"/>
      <c r="Q5451" s="5"/>
    </row>
    <row r="5452">
      <c r="J5452" s="5"/>
      <c r="P5452" s="9"/>
      <c r="Q5452" s="5"/>
    </row>
    <row r="5453">
      <c r="J5453" s="5"/>
      <c r="P5453" s="9"/>
      <c r="Q5453" s="5"/>
    </row>
    <row r="5454">
      <c r="J5454" s="5"/>
      <c r="P5454" s="9"/>
      <c r="Q5454" s="5"/>
    </row>
    <row r="5455">
      <c r="J5455" s="5"/>
      <c r="P5455" s="9"/>
      <c r="Q5455" s="5"/>
    </row>
    <row r="5456">
      <c r="J5456" s="5"/>
      <c r="P5456" s="9"/>
      <c r="Q5456" s="5"/>
    </row>
    <row r="5457">
      <c r="J5457" s="5"/>
      <c r="P5457" s="9"/>
      <c r="Q5457" s="5"/>
    </row>
    <row r="5458">
      <c r="J5458" s="5"/>
      <c r="P5458" s="9"/>
      <c r="Q5458" s="5"/>
    </row>
    <row r="5459">
      <c r="J5459" s="5"/>
      <c r="P5459" s="9"/>
      <c r="Q5459" s="5"/>
    </row>
    <row r="5460">
      <c r="J5460" s="5"/>
      <c r="P5460" s="9"/>
      <c r="Q5460" s="5"/>
    </row>
    <row r="5461">
      <c r="J5461" s="5"/>
      <c r="P5461" s="9"/>
      <c r="Q5461" s="5"/>
    </row>
    <row r="5462">
      <c r="J5462" s="5"/>
      <c r="P5462" s="9"/>
      <c r="Q5462" s="5"/>
    </row>
    <row r="5463">
      <c r="J5463" s="5"/>
      <c r="P5463" s="9"/>
      <c r="Q5463" s="5"/>
    </row>
    <row r="5464">
      <c r="J5464" s="5"/>
      <c r="P5464" s="9"/>
      <c r="Q5464" s="5"/>
    </row>
    <row r="5465">
      <c r="J5465" s="5"/>
      <c r="P5465" s="9"/>
      <c r="Q5465" s="5"/>
    </row>
    <row r="5466">
      <c r="J5466" s="5"/>
      <c r="P5466" s="9"/>
      <c r="Q5466" s="5"/>
    </row>
    <row r="5467">
      <c r="J5467" s="5"/>
      <c r="P5467" s="9"/>
      <c r="Q5467" s="5"/>
    </row>
    <row r="5468">
      <c r="J5468" s="5"/>
      <c r="P5468" s="9"/>
      <c r="Q5468" s="5"/>
    </row>
    <row r="5469">
      <c r="J5469" s="5"/>
      <c r="P5469" s="9"/>
      <c r="Q5469" s="5"/>
    </row>
    <row r="5470">
      <c r="J5470" s="5"/>
      <c r="P5470" s="9"/>
      <c r="Q5470" s="5"/>
    </row>
    <row r="5471">
      <c r="J5471" s="5"/>
      <c r="P5471" s="9"/>
      <c r="Q5471" s="5"/>
    </row>
    <row r="5472">
      <c r="J5472" s="5"/>
      <c r="P5472" s="9"/>
      <c r="Q5472" s="5"/>
    </row>
    <row r="5473">
      <c r="J5473" s="5"/>
      <c r="P5473" s="9"/>
      <c r="Q5473" s="5"/>
    </row>
    <row r="5474">
      <c r="J5474" s="5"/>
      <c r="P5474" s="9"/>
      <c r="Q5474" s="5"/>
    </row>
    <row r="5475">
      <c r="J5475" s="5"/>
      <c r="P5475" s="9"/>
      <c r="Q5475" s="5"/>
    </row>
    <row r="5476">
      <c r="J5476" s="5"/>
      <c r="P5476" s="9"/>
      <c r="Q5476" s="5"/>
    </row>
    <row r="5477">
      <c r="J5477" s="5"/>
      <c r="P5477" s="9"/>
      <c r="Q5477" s="5"/>
    </row>
    <row r="5478">
      <c r="J5478" s="5"/>
      <c r="P5478" s="9"/>
      <c r="Q5478" s="5"/>
    </row>
    <row r="5479">
      <c r="J5479" s="5"/>
      <c r="P5479" s="9"/>
      <c r="Q5479" s="5"/>
    </row>
    <row r="5480">
      <c r="J5480" s="5"/>
      <c r="P5480" s="9"/>
      <c r="Q5480" s="5"/>
    </row>
    <row r="5481">
      <c r="J5481" s="5"/>
      <c r="P5481" s="9"/>
      <c r="Q5481" s="5"/>
    </row>
    <row r="5482">
      <c r="J5482" s="5"/>
      <c r="P5482" s="9"/>
      <c r="Q5482" s="5"/>
    </row>
    <row r="5483">
      <c r="J5483" s="5"/>
      <c r="P5483" s="9"/>
      <c r="Q5483" s="5"/>
    </row>
    <row r="5484">
      <c r="J5484" s="5"/>
      <c r="P5484" s="9"/>
      <c r="Q5484" s="5"/>
    </row>
    <row r="5485">
      <c r="J5485" s="5"/>
      <c r="P5485" s="9"/>
      <c r="Q5485" s="5"/>
    </row>
    <row r="5486">
      <c r="J5486" s="5"/>
      <c r="P5486" s="9"/>
      <c r="Q5486" s="5"/>
    </row>
    <row r="5487">
      <c r="J5487" s="5"/>
      <c r="P5487" s="9"/>
      <c r="Q5487" s="5"/>
    </row>
    <row r="5488">
      <c r="J5488" s="5"/>
      <c r="P5488" s="9"/>
      <c r="Q5488" s="5"/>
    </row>
    <row r="5489">
      <c r="J5489" s="5"/>
      <c r="P5489" s="9"/>
      <c r="Q5489" s="5"/>
    </row>
    <row r="5490">
      <c r="J5490" s="5"/>
      <c r="P5490" s="9"/>
      <c r="Q5490" s="5"/>
    </row>
    <row r="5491">
      <c r="J5491" s="5"/>
      <c r="P5491" s="9"/>
      <c r="Q5491" s="5"/>
    </row>
    <row r="5492">
      <c r="J5492" s="5"/>
      <c r="P5492" s="9"/>
      <c r="Q5492" s="5"/>
    </row>
    <row r="5493">
      <c r="J5493" s="5"/>
      <c r="P5493" s="9"/>
      <c r="Q5493" s="5"/>
    </row>
    <row r="5494">
      <c r="J5494" s="5"/>
      <c r="P5494" s="9"/>
      <c r="Q5494" s="5"/>
    </row>
    <row r="5495">
      <c r="J5495" s="5"/>
      <c r="P5495" s="9"/>
      <c r="Q5495" s="5"/>
    </row>
    <row r="5496">
      <c r="J5496" s="5"/>
      <c r="P5496" s="9"/>
      <c r="Q5496" s="5"/>
    </row>
    <row r="5497">
      <c r="J5497" s="5"/>
      <c r="P5497" s="9"/>
      <c r="Q5497" s="5"/>
    </row>
    <row r="5498">
      <c r="J5498" s="5"/>
      <c r="P5498" s="9"/>
      <c r="Q5498" s="5"/>
    </row>
    <row r="5499">
      <c r="J5499" s="5"/>
      <c r="P5499" s="9"/>
      <c r="Q5499" s="5"/>
    </row>
    <row r="5500">
      <c r="J5500" s="5"/>
      <c r="P5500" s="9"/>
      <c r="Q5500" s="5"/>
    </row>
    <row r="5501">
      <c r="J5501" s="5"/>
      <c r="P5501" s="9"/>
      <c r="Q5501" s="5"/>
    </row>
    <row r="5502">
      <c r="J5502" s="5"/>
      <c r="P5502" s="9"/>
      <c r="Q5502" s="5"/>
    </row>
    <row r="5503">
      <c r="J5503" s="5"/>
      <c r="P5503" s="9"/>
      <c r="Q5503" s="5"/>
    </row>
    <row r="5504">
      <c r="J5504" s="5"/>
      <c r="P5504" s="9"/>
      <c r="Q5504" s="5"/>
    </row>
    <row r="5505">
      <c r="J5505" s="5"/>
      <c r="P5505" s="9"/>
      <c r="Q5505" s="5"/>
    </row>
    <row r="5506">
      <c r="J5506" s="5"/>
      <c r="P5506" s="9"/>
      <c r="Q5506" s="5"/>
    </row>
    <row r="5507">
      <c r="J5507" s="5"/>
      <c r="P5507" s="9"/>
      <c r="Q5507" s="5"/>
    </row>
    <row r="5508">
      <c r="J5508" s="5"/>
      <c r="P5508" s="9"/>
      <c r="Q5508" s="5"/>
    </row>
    <row r="5509">
      <c r="J5509" s="5"/>
      <c r="P5509" s="9"/>
      <c r="Q5509" s="5"/>
    </row>
    <row r="5510">
      <c r="J5510" s="5"/>
      <c r="P5510" s="9"/>
      <c r="Q5510" s="5"/>
    </row>
    <row r="5511">
      <c r="J5511" s="5"/>
      <c r="P5511" s="9"/>
      <c r="Q5511" s="5"/>
    </row>
    <row r="5512">
      <c r="J5512" s="5"/>
      <c r="P5512" s="9"/>
      <c r="Q5512" s="5"/>
    </row>
    <row r="5513">
      <c r="J5513" s="5"/>
      <c r="P5513" s="9"/>
      <c r="Q5513" s="5"/>
    </row>
    <row r="5514">
      <c r="J5514" s="5"/>
      <c r="P5514" s="9"/>
      <c r="Q5514" s="5"/>
    </row>
    <row r="5515">
      <c r="J5515" s="5"/>
      <c r="P5515" s="9"/>
      <c r="Q5515" s="5"/>
    </row>
    <row r="5516">
      <c r="J5516" s="5"/>
      <c r="P5516" s="9"/>
      <c r="Q5516" s="5"/>
    </row>
    <row r="5517">
      <c r="J5517" s="5"/>
      <c r="P5517" s="9"/>
      <c r="Q5517" s="5"/>
    </row>
    <row r="5518">
      <c r="J5518" s="5"/>
      <c r="P5518" s="9"/>
      <c r="Q5518" s="5"/>
    </row>
    <row r="5519">
      <c r="J5519" s="5"/>
      <c r="P5519" s="9"/>
      <c r="Q5519" s="5"/>
    </row>
    <row r="5520">
      <c r="J5520" s="5"/>
      <c r="P5520" s="9"/>
      <c r="Q5520" s="5"/>
    </row>
    <row r="5521">
      <c r="J5521" s="5"/>
      <c r="P5521" s="9"/>
      <c r="Q5521" s="5"/>
    </row>
    <row r="5522">
      <c r="J5522" s="5"/>
      <c r="P5522" s="9"/>
      <c r="Q5522" s="5"/>
    </row>
    <row r="5523">
      <c r="J5523" s="5"/>
      <c r="P5523" s="9"/>
      <c r="Q5523" s="5"/>
    </row>
    <row r="5524">
      <c r="J5524" s="5"/>
      <c r="P5524" s="9"/>
      <c r="Q5524" s="5"/>
    </row>
    <row r="5525">
      <c r="J5525" s="5"/>
      <c r="P5525" s="9"/>
      <c r="Q5525" s="5"/>
    </row>
    <row r="5526">
      <c r="J5526" s="5"/>
      <c r="P5526" s="9"/>
      <c r="Q5526" s="5"/>
    </row>
    <row r="5527">
      <c r="J5527" s="5"/>
      <c r="P5527" s="9"/>
      <c r="Q5527" s="5"/>
    </row>
    <row r="5528">
      <c r="J5528" s="5"/>
      <c r="P5528" s="9"/>
      <c r="Q5528" s="5"/>
    </row>
    <row r="5529">
      <c r="J5529" s="5"/>
      <c r="P5529" s="9"/>
      <c r="Q5529" s="5"/>
    </row>
    <row r="5530">
      <c r="J5530" s="5"/>
      <c r="P5530" s="9"/>
      <c r="Q5530" s="5"/>
    </row>
    <row r="5531">
      <c r="J5531" s="5"/>
      <c r="P5531" s="9"/>
      <c r="Q5531" s="5"/>
    </row>
    <row r="5532">
      <c r="J5532" s="5"/>
      <c r="P5532" s="9"/>
      <c r="Q5532" s="5"/>
    </row>
    <row r="5533">
      <c r="J5533" s="5"/>
      <c r="P5533" s="9"/>
      <c r="Q5533" s="5"/>
    </row>
    <row r="5534">
      <c r="J5534" s="5"/>
      <c r="P5534" s="9"/>
      <c r="Q5534" s="5"/>
    </row>
    <row r="5535">
      <c r="J5535" s="5"/>
      <c r="P5535" s="9"/>
      <c r="Q5535" s="5"/>
    </row>
    <row r="5536">
      <c r="J5536" s="5"/>
      <c r="P5536" s="9"/>
      <c r="Q5536" s="5"/>
    </row>
    <row r="5537">
      <c r="J5537" s="5"/>
      <c r="P5537" s="9"/>
      <c r="Q5537" s="5"/>
    </row>
    <row r="5538">
      <c r="J5538" s="5"/>
      <c r="P5538" s="9"/>
      <c r="Q5538" s="5"/>
    </row>
    <row r="5539">
      <c r="J5539" s="5"/>
      <c r="P5539" s="9"/>
      <c r="Q5539" s="5"/>
    </row>
    <row r="5540">
      <c r="J5540" s="5"/>
      <c r="P5540" s="9"/>
      <c r="Q5540" s="5"/>
    </row>
    <row r="5541">
      <c r="J5541" s="5"/>
      <c r="P5541" s="9"/>
      <c r="Q5541" s="5"/>
    </row>
    <row r="5542">
      <c r="J5542" s="5"/>
      <c r="P5542" s="9"/>
      <c r="Q5542" s="5"/>
    </row>
    <row r="5543">
      <c r="J5543" s="5"/>
      <c r="P5543" s="9"/>
      <c r="Q5543" s="5"/>
    </row>
    <row r="5544">
      <c r="J5544" s="5"/>
      <c r="P5544" s="9"/>
      <c r="Q5544" s="5"/>
    </row>
    <row r="5545">
      <c r="J5545" s="5"/>
      <c r="P5545" s="9"/>
      <c r="Q5545" s="5"/>
    </row>
    <row r="5546">
      <c r="J5546" s="5"/>
      <c r="P5546" s="9"/>
      <c r="Q5546" s="5"/>
    </row>
    <row r="5547">
      <c r="J5547" s="5"/>
      <c r="P5547" s="9"/>
      <c r="Q5547" s="5"/>
    </row>
    <row r="5548">
      <c r="J5548" s="5"/>
      <c r="P5548" s="9"/>
      <c r="Q5548" s="5"/>
    </row>
    <row r="5549">
      <c r="J5549" s="5"/>
      <c r="P5549" s="9"/>
      <c r="Q5549" s="5"/>
    </row>
    <row r="5550">
      <c r="J5550" s="5"/>
      <c r="P5550" s="9"/>
      <c r="Q5550" s="5"/>
    </row>
    <row r="5551">
      <c r="J5551" s="5"/>
      <c r="P5551" s="9"/>
      <c r="Q5551" s="5"/>
    </row>
    <row r="5552">
      <c r="J5552" s="5"/>
      <c r="P5552" s="9"/>
      <c r="Q5552" s="5"/>
    </row>
    <row r="5553">
      <c r="J5553" s="5"/>
      <c r="P5553" s="9"/>
      <c r="Q5553" s="5"/>
    </row>
    <row r="5554">
      <c r="J5554" s="5"/>
      <c r="P5554" s="9"/>
      <c r="Q5554" s="5"/>
    </row>
    <row r="5555">
      <c r="J5555" s="5"/>
      <c r="P5555" s="9"/>
      <c r="Q5555" s="5"/>
    </row>
    <row r="5556">
      <c r="J5556" s="5"/>
      <c r="P5556" s="9"/>
      <c r="Q5556" s="5"/>
    </row>
    <row r="5557">
      <c r="J5557" s="5"/>
      <c r="P5557" s="9"/>
      <c r="Q5557" s="5"/>
    </row>
    <row r="5558">
      <c r="J5558" s="5"/>
      <c r="P5558" s="9"/>
      <c r="Q5558" s="5"/>
    </row>
    <row r="5559">
      <c r="J5559" s="5"/>
      <c r="P5559" s="9"/>
      <c r="Q5559" s="5"/>
    </row>
    <row r="5560">
      <c r="J5560" s="5"/>
      <c r="P5560" s="9"/>
      <c r="Q5560" s="5"/>
    </row>
    <row r="5561">
      <c r="J5561" s="5"/>
      <c r="P5561" s="9"/>
      <c r="Q5561" s="5"/>
    </row>
    <row r="5562">
      <c r="J5562" s="5"/>
      <c r="P5562" s="9"/>
      <c r="Q5562" s="5"/>
    </row>
    <row r="5563">
      <c r="J5563" s="5"/>
      <c r="P5563" s="9"/>
      <c r="Q5563" s="5"/>
    </row>
    <row r="5564">
      <c r="J5564" s="5"/>
      <c r="P5564" s="9"/>
      <c r="Q5564" s="5"/>
    </row>
    <row r="5565">
      <c r="J5565" s="5"/>
      <c r="P5565" s="9"/>
      <c r="Q5565" s="5"/>
    </row>
    <row r="5566">
      <c r="J5566" s="5"/>
      <c r="P5566" s="9"/>
      <c r="Q5566" s="5"/>
    </row>
    <row r="5567">
      <c r="J5567" s="5"/>
      <c r="P5567" s="9"/>
      <c r="Q5567" s="5"/>
    </row>
    <row r="5568">
      <c r="J5568" s="5"/>
      <c r="P5568" s="9"/>
      <c r="Q5568" s="5"/>
    </row>
    <row r="5569">
      <c r="J5569" s="5"/>
      <c r="P5569" s="9"/>
      <c r="Q5569" s="5"/>
    </row>
    <row r="5570">
      <c r="J5570" s="5"/>
      <c r="P5570" s="9"/>
      <c r="Q5570" s="5"/>
    </row>
    <row r="5571">
      <c r="J5571" s="5"/>
      <c r="P5571" s="9"/>
      <c r="Q5571" s="5"/>
    </row>
    <row r="5572">
      <c r="J5572" s="5"/>
      <c r="P5572" s="9"/>
      <c r="Q5572" s="5"/>
    </row>
    <row r="5573">
      <c r="J5573" s="5"/>
      <c r="P5573" s="9"/>
      <c r="Q5573" s="5"/>
    </row>
    <row r="5574">
      <c r="J5574" s="5"/>
      <c r="P5574" s="9"/>
      <c r="Q5574" s="5"/>
    </row>
    <row r="5575">
      <c r="J5575" s="5"/>
      <c r="P5575" s="9"/>
      <c r="Q5575" s="5"/>
    </row>
    <row r="5576">
      <c r="J5576" s="5"/>
      <c r="P5576" s="9"/>
      <c r="Q5576" s="5"/>
    </row>
    <row r="5577">
      <c r="J5577" s="5"/>
      <c r="P5577" s="9"/>
      <c r="Q5577" s="5"/>
    </row>
    <row r="5578">
      <c r="J5578" s="5"/>
      <c r="P5578" s="9"/>
      <c r="Q5578" s="5"/>
    </row>
    <row r="5579">
      <c r="J5579" s="5"/>
      <c r="P5579" s="9"/>
      <c r="Q5579" s="5"/>
    </row>
    <row r="5580">
      <c r="J5580" s="5"/>
      <c r="P5580" s="9"/>
      <c r="Q5580" s="5"/>
    </row>
    <row r="5581">
      <c r="J5581" s="5"/>
      <c r="P5581" s="9"/>
      <c r="Q5581" s="5"/>
    </row>
    <row r="5582">
      <c r="J5582" s="5"/>
      <c r="P5582" s="9"/>
      <c r="Q5582" s="5"/>
    </row>
    <row r="5583">
      <c r="J5583" s="5"/>
      <c r="P5583" s="9"/>
      <c r="Q5583" s="5"/>
    </row>
    <row r="5584">
      <c r="J5584" s="5"/>
      <c r="P5584" s="9"/>
      <c r="Q5584" s="5"/>
    </row>
    <row r="5585">
      <c r="J5585" s="5"/>
      <c r="P5585" s="9"/>
      <c r="Q5585" s="5"/>
    </row>
    <row r="5586">
      <c r="J5586" s="5"/>
      <c r="P5586" s="9"/>
      <c r="Q5586" s="5"/>
    </row>
    <row r="5587">
      <c r="J5587" s="5"/>
      <c r="P5587" s="9"/>
      <c r="Q5587" s="5"/>
    </row>
    <row r="5588">
      <c r="J5588" s="5"/>
      <c r="P5588" s="9"/>
      <c r="Q5588" s="5"/>
    </row>
    <row r="5589">
      <c r="J5589" s="5"/>
      <c r="P5589" s="9"/>
      <c r="Q5589" s="5"/>
    </row>
    <row r="5590">
      <c r="J5590" s="5"/>
      <c r="P5590" s="9"/>
      <c r="Q5590" s="5"/>
    </row>
    <row r="5591">
      <c r="J5591" s="5"/>
      <c r="P5591" s="9"/>
      <c r="Q5591" s="5"/>
    </row>
    <row r="5592">
      <c r="J5592" s="5"/>
      <c r="P5592" s="9"/>
      <c r="Q5592" s="5"/>
    </row>
    <row r="5593">
      <c r="J5593" s="5"/>
      <c r="P5593" s="9"/>
      <c r="Q5593" s="5"/>
    </row>
    <row r="5594">
      <c r="J5594" s="5"/>
      <c r="P5594" s="9"/>
      <c r="Q5594" s="5"/>
    </row>
    <row r="5595">
      <c r="J5595" s="5"/>
      <c r="P5595" s="9"/>
      <c r="Q5595" s="5"/>
    </row>
    <row r="5596">
      <c r="J5596" s="5"/>
      <c r="P5596" s="9"/>
      <c r="Q5596" s="5"/>
    </row>
    <row r="5597">
      <c r="J5597" s="5"/>
      <c r="P5597" s="9"/>
      <c r="Q5597" s="5"/>
    </row>
    <row r="5598">
      <c r="J5598" s="5"/>
      <c r="P5598" s="9"/>
      <c r="Q5598" s="5"/>
    </row>
    <row r="5599">
      <c r="J5599" s="5"/>
      <c r="P5599" s="9"/>
      <c r="Q5599" s="5"/>
    </row>
    <row r="5600">
      <c r="J5600" s="5"/>
      <c r="P5600" s="9"/>
      <c r="Q5600" s="5"/>
    </row>
    <row r="5601">
      <c r="J5601" s="5"/>
      <c r="P5601" s="9"/>
      <c r="Q5601" s="5"/>
    </row>
    <row r="5602">
      <c r="J5602" s="5"/>
      <c r="P5602" s="9"/>
      <c r="Q5602" s="5"/>
    </row>
    <row r="5603">
      <c r="J5603" s="5"/>
      <c r="P5603" s="9"/>
      <c r="Q5603" s="5"/>
    </row>
    <row r="5604">
      <c r="J5604" s="5"/>
      <c r="P5604" s="9"/>
      <c r="Q5604" s="5"/>
    </row>
    <row r="5605">
      <c r="J5605" s="5"/>
      <c r="P5605" s="9"/>
      <c r="Q5605" s="5"/>
    </row>
    <row r="5606">
      <c r="J5606" s="5"/>
      <c r="P5606" s="9"/>
      <c r="Q5606" s="5"/>
    </row>
    <row r="5607">
      <c r="J5607" s="5"/>
      <c r="P5607" s="9"/>
      <c r="Q5607" s="5"/>
    </row>
    <row r="5608">
      <c r="J5608" s="5"/>
      <c r="P5608" s="9"/>
      <c r="Q5608" s="5"/>
    </row>
    <row r="5609">
      <c r="J5609" s="5"/>
      <c r="P5609" s="9"/>
      <c r="Q5609" s="5"/>
    </row>
    <row r="5610">
      <c r="J5610" s="5"/>
      <c r="P5610" s="9"/>
      <c r="Q5610" s="5"/>
    </row>
    <row r="5611">
      <c r="J5611" s="5"/>
      <c r="P5611" s="9"/>
      <c r="Q5611" s="5"/>
    </row>
    <row r="5612">
      <c r="J5612" s="5"/>
      <c r="P5612" s="9"/>
      <c r="Q5612" s="5"/>
    </row>
    <row r="5613">
      <c r="J5613" s="5"/>
      <c r="P5613" s="9"/>
      <c r="Q5613" s="5"/>
    </row>
    <row r="5614">
      <c r="J5614" s="5"/>
      <c r="P5614" s="9"/>
      <c r="Q5614" s="5"/>
    </row>
    <row r="5615">
      <c r="J5615" s="5"/>
      <c r="P5615" s="9"/>
      <c r="Q5615" s="5"/>
    </row>
    <row r="5616">
      <c r="J5616" s="5"/>
      <c r="P5616" s="9"/>
      <c r="Q5616" s="5"/>
    </row>
    <row r="5617">
      <c r="J5617" s="5"/>
      <c r="P5617" s="9"/>
      <c r="Q5617" s="5"/>
    </row>
    <row r="5618">
      <c r="J5618" s="5"/>
      <c r="P5618" s="9"/>
      <c r="Q5618" s="5"/>
    </row>
    <row r="5619">
      <c r="J5619" s="5"/>
      <c r="P5619" s="9"/>
      <c r="Q5619" s="5"/>
    </row>
    <row r="5620">
      <c r="J5620" s="5"/>
      <c r="P5620" s="9"/>
      <c r="Q5620" s="5"/>
    </row>
    <row r="5621">
      <c r="J5621" s="5"/>
      <c r="P5621" s="9"/>
      <c r="Q5621" s="5"/>
    </row>
    <row r="5622">
      <c r="J5622" s="5"/>
      <c r="P5622" s="9"/>
      <c r="Q5622" s="5"/>
    </row>
    <row r="5623">
      <c r="J5623" s="5"/>
      <c r="P5623" s="9"/>
      <c r="Q5623" s="5"/>
    </row>
    <row r="5624">
      <c r="J5624" s="5"/>
      <c r="P5624" s="9"/>
      <c r="Q5624" s="5"/>
    </row>
    <row r="5625">
      <c r="J5625" s="5"/>
      <c r="P5625" s="9"/>
      <c r="Q5625" s="5"/>
    </row>
    <row r="5626">
      <c r="J5626" s="5"/>
      <c r="P5626" s="9"/>
      <c r="Q5626" s="5"/>
    </row>
    <row r="5627">
      <c r="J5627" s="5"/>
      <c r="P5627" s="9"/>
      <c r="Q5627" s="5"/>
    </row>
    <row r="5628">
      <c r="J5628" s="5"/>
      <c r="P5628" s="9"/>
      <c r="Q5628" s="5"/>
    </row>
    <row r="5629">
      <c r="J5629" s="5"/>
      <c r="P5629" s="9"/>
      <c r="Q5629" s="5"/>
    </row>
    <row r="5630">
      <c r="J5630" s="5"/>
      <c r="P5630" s="9"/>
      <c r="Q5630" s="5"/>
    </row>
    <row r="5631">
      <c r="J5631" s="5"/>
      <c r="P5631" s="9"/>
      <c r="Q5631" s="5"/>
    </row>
    <row r="5632">
      <c r="J5632" s="5"/>
      <c r="P5632" s="9"/>
      <c r="Q5632" s="5"/>
    </row>
    <row r="5633">
      <c r="J5633" s="5"/>
      <c r="P5633" s="9"/>
      <c r="Q5633" s="5"/>
    </row>
    <row r="5634">
      <c r="J5634" s="5"/>
      <c r="P5634" s="9"/>
      <c r="Q5634" s="5"/>
    </row>
    <row r="5635">
      <c r="J5635" s="5"/>
      <c r="P5635" s="9"/>
      <c r="Q5635" s="5"/>
    </row>
    <row r="5636">
      <c r="J5636" s="5"/>
      <c r="P5636" s="9"/>
      <c r="Q5636" s="5"/>
    </row>
    <row r="5637">
      <c r="J5637" s="5"/>
      <c r="P5637" s="9"/>
      <c r="Q5637" s="5"/>
    </row>
    <row r="5638">
      <c r="J5638" s="5"/>
      <c r="P5638" s="9"/>
      <c r="Q5638" s="5"/>
    </row>
    <row r="5639">
      <c r="J5639" s="5"/>
      <c r="P5639" s="9"/>
      <c r="Q5639" s="5"/>
    </row>
    <row r="5640">
      <c r="J5640" s="5"/>
      <c r="P5640" s="9"/>
      <c r="Q5640" s="5"/>
    </row>
    <row r="5641">
      <c r="J5641" s="5"/>
      <c r="P5641" s="9"/>
      <c r="Q5641" s="5"/>
    </row>
    <row r="5642">
      <c r="J5642" s="5"/>
      <c r="P5642" s="9"/>
      <c r="Q5642" s="5"/>
    </row>
    <row r="5643">
      <c r="J5643" s="5"/>
      <c r="P5643" s="9"/>
      <c r="Q5643" s="5"/>
    </row>
    <row r="5644">
      <c r="J5644" s="5"/>
      <c r="P5644" s="9"/>
      <c r="Q5644" s="5"/>
    </row>
    <row r="5645">
      <c r="J5645" s="5"/>
      <c r="P5645" s="9"/>
      <c r="Q5645" s="5"/>
    </row>
    <row r="5646">
      <c r="J5646" s="5"/>
      <c r="P5646" s="9"/>
      <c r="Q5646" s="5"/>
    </row>
    <row r="5647">
      <c r="J5647" s="5"/>
      <c r="P5647" s="9"/>
      <c r="Q5647" s="5"/>
    </row>
    <row r="5648">
      <c r="J5648" s="5"/>
      <c r="P5648" s="9"/>
      <c r="Q5648" s="5"/>
    </row>
    <row r="5649">
      <c r="J5649" s="5"/>
      <c r="P5649" s="9"/>
      <c r="Q5649" s="5"/>
    </row>
    <row r="5650">
      <c r="J5650" s="5"/>
      <c r="P5650" s="9"/>
      <c r="Q5650" s="5"/>
    </row>
    <row r="5651">
      <c r="J5651" s="5"/>
      <c r="P5651" s="9"/>
      <c r="Q5651" s="5"/>
    </row>
    <row r="5652">
      <c r="J5652" s="5"/>
      <c r="P5652" s="9"/>
      <c r="Q5652" s="5"/>
    </row>
    <row r="5653">
      <c r="J5653" s="5"/>
      <c r="P5653" s="9"/>
      <c r="Q5653" s="5"/>
    </row>
    <row r="5654">
      <c r="J5654" s="5"/>
      <c r="P5654" s="9"/>
      <c r="Q5654" s="5"/>
    </row>
    <row r="5655">
      <c r="J5655" s="5"/>
      <c r="P5655" s="9"/>
      <c r="Q5655" s="5"/>
    </row>
    <row r="5656">
      <c r="J5656" s="5"/>
      <c r="P5656" s="9"/>
      <c r="Q5656" s="5"/>
    </row>
    <row r="5657">
      <c r="J5657" s="5"/>
      <c r="P5657" s="9"/>
      <c r="Q5657" s="5"/>
    </row>
    <row r="5658">
      <c r="J5658" s="5"/>
      <c r="P5658" s="9"/>
      <c r="Q5658" s="5"/>
    </row>
    <row r="5659">
      <c r="J5659" s="5"/>
      <c r="P5659" s="9"/>
      <c r="Q5659" s="5"/>
    </row>
    <row r="5660">
      <c r="J5660" s="5"/>
      <c r="P5660" s="9"/>
      <c r="Q5660" s="5"/>
    </row>
    <row r="5661">
      <c r="J5661" s="5"/>
      <c r="P5661" s="9"/>
      <c r="Q5661" s="5"/>
    </row>
    <row r="5662">
      <c r="J5662" s="5"/>
      <c r="P5662" s="9"/>
      <c r="Q5662" s="5"/>
    </row>
    <row r="5663">
      <c r="J5663" s="5"/>
      <c r="P5663" s="9"/>
      <c r="Q5663" s="5"/>
    </row>
    <row r="5664">
      <c r="J5664" s="5"/>
      <c r="P5664" s="9"/>
      <c r="Q5664" s="5"/>
    </row>
    <row r="5665">
      <c r="J5665" s="5"/>
      <c r="P5665" s="9"/>
      <c r="Q5665" s="5"/>
    </row>
    <row r="5666">
      <c r="J5666" s="5"/>
      <c r="P5666" s="9"/>
      <c r="Q5666" s="5"/>
    </row>
    <row r="5667">
      <c r="J5667" s="5"/>
      <c r="P5667" s="9"/>
      <c r="Q5667" s="5"/>
    </row>
    <row r="5668">
      <c r="J5668" s="5"/>
      <c r="P5668" s="9"/>
      <c r="Q5668" s="5"/>
    </row>
    <row r="5669">
      <c r="J5669" s="5"/>
      <c r="P5669" s="9"/>
      <c r="Q5669" s="5"/>
    </row>
    <row r="5670">
      <c r="J5670" s="5"/>
      <c r="P5670" s="9"/>
      <c r="Q5670" s="5"/>
    </row>
    <row r="5671">
      <c r="J5671" s="5"/>
      <c r="P5671" s="9"/>
      <c r="Q5671" s="5"/>
    </row>
    <row r="5672">
      <c r="J5672" s="5"/>
      <c r="P5672" s="9"/>
      <c r="Q5672" s="5"/>
    </row>
    <row r="5673">
      <c r="J5673" s="5"/>
      <c r="P5673" s="9"/>
      <c r="Q5673" s="5"/>
    </row>
    <row r="5674">
      <c r="J5674" s="5"/>
      <c r="P5674" s="9"/>
      <c r="Q5674" s="5"/>
    </row>
    <row r="5675">
      <c r="J5675" s="5"/>
      <c r="P5675" s="9"/>
      <c r="Q5675" s="5"/>
    </row>
    <row r="5676">
      <c r="J5676" s="5"/>
      <c r="P5676" s="9"/>
      <c r="Q5676" s="5"/>
    </row>
    <row r="5677">
      <c r="J5677" s="5"/>
      <c r="P5677" s="9"/>
      <c r="Q5677" s="5"/>
    </row>
    <row r="5678">
      <c r="J5678" s="5"/>
      <c r="P5678" s="9"/>
      <c r="Q5678" s="5"/>
    </row>
    <row r="5679">
      <c r="J5679" s="5"/>
      <c r="P5679" s="9"/>
      <c r="Q5679" s="5"/>
    </row>
    <row r="5680">
      <c r="J5680" s="5"/>
      <c r="P5680" s="9"/>
      <c r="Q5680" s="5"/>
    </row>
    <row r="5681">
      <c r="J5681" s="5"/>
      <c r="P5681" s="9"/>
      <c r="Q5681" s="5"/>
    </row>
    <row r="5682">
      <c r="J5682" s="5"/>
      <c r="P5682" s="9"/>
      <c r="Q5682" s="5"/>
    </row>
    <row r="5683">
      <c r="J5683" s="5"/>
      <c r="P5683" s="9"/>
      <c r="Q5683" s="5"/>
    </row>
    <row r="5684">
      <c r="J5684" s="5"/>
      <c r="P5684" s="9"/>
      <c r="Q5684" s="5"/>
    </row>
    <row r="5685">
      <c r="J5685" s="5"/>
      <c r="P5685" s="9"/>
      <c r="Q5685" s="5"/>
    </row>
    <row r="5686">
      <c r="J5686" s="5"/>
      <c r="P5686" s="9"/>
      <c r="Q5686" s="5"/>
    </row>
    <row r="5687">
      <c r="J5687" s="5"/>
      <c r="P5687" s="9"/>
      <c r="Q5687" s="5"/>
    </row>
    <row r="5688">
      <c r="J5688" s="5"/>
      <c r="P5688" s="9"/>
      <c r="Q5688" s="5"/>
    </row>
    <row r="5689">
      <c r="J5689" s="5"/>
      <c r="P5689" s="9"/>
      <c r="Q5689" s="5"/>
    </row>
    <row r="5690">
      <c r="J5690" s="5"/>
      <c r="P5690" s="9"/>
      <c r="Q5690" s="5"/>
    </row>
    <row r="5691">
      <c r="J5691" s="5"/>
      <c r="P5691" s="9"/>
      <c r="Q5691" s="5"/>
    </row>
    <row r="5692">
      <c r="J5692" s="5"/>
      <c r="P5692" s="9"/>
      <c r="Q5692" s="5"/>
    </row>
    <row r="5693">
      <c r="J5693" s="5"/>
      <c r="P5693" s="9"/>
      <c r="Q5693" s="5"/>
    </row>
    <row r="5694">
      <c r="J5694" s="5"/>
      <c r="P5694" s="9"/>
      <c r="Q5694" s="5"/>
    </row>
    <row r="5695">
      <c r="J5695" s="5"/>
      <c r="P5695" s="9"/>
      <c r="Q5695" s="5"/>
    </row>
    <row r="5696">
      <c r="J5696" s="5"/>
      <c r="P5696" s="9"/>
      <c r="Q5696" s="5"/>
    </row>
    <row r="5697">
      <c r="J5697" s="5"/>
      <c r="P5697" s="9"/>
      <c r="Q5697" s="5"/>
    </row>
    <row r="5698">
      <c r="J5698" s="5"/>
      <c r="P5698" s="9"/>
      <c r="Q5698" s="5"/>
    </row>
    <row r="5699">
      <c r="J5699" s="5"/>
      <c r="P5699" s="9"/>
      <c r="Q5699" s="5"/>
    </row>
    <row r="5700">
      <c r="J5700" s="5"/>
      <c r="P5700" s="9"/>
      <c r="Q5700" s="5"/>
    </row>
    <row r="5701">
      <c r="J5701" s="5"/>
      <c r="P5701" s="9"/>
      <c r="Q5701" s="5"/>
    </row>
    <row r="5702">
      <c r="J5702" s="5"/>
      <c r="P5702" s="9"/>
      <c r="Q5702" s="5"/>
    </row>
    <row r="5703">
      <c r="J5703" s="5"/>
      <c r="P5703" s="9"/>
      <c r="Q5703" s="5"/>
    </row>
    <row r="5704">
      <c r="J5704" s="5"/>
      <c r="P5704" s="9"/>
      <c r="Q5704" s="5"/>
    </row>
    <row r="5705">
      <c r="J5705" s="5"/>
      <c r="P5705" s="9"/>
      <c r="Q5705" s="5"/>
    </row>
    <row r="5706">
      <c r="J5706" s="5"/>
      <c r="P5706" s="9"/>
      <c r="Q5706" s="5"/>
    </row>
    <row r="5707">
      <c r="J5707" s="5"/>
      <c r="P5707" s="9"/>
      <c r="Q5707" s="5"/>
    </row>
    <row r="5708">
      <c r="J5708" s="5"/>
      <c r="P5708" s="9"/>
      <c r="Q5708" s="5"/>
    </row>
    <row r="5709">
      <c r="J5709" s="5"/>
      <c r="P5709" s="9"/>
      <c r="Q5709" s="5"/>
    </row>
    <row r="5710">
      <c r="J5710" s="5"/>
      <c r="P5710" s="9"/>
      <c r="Q5710" s="5"/>
    </row>
    <row r="5711">
      <c r="J5711" s="5"/>
      <c r="P5711" s="9"/>
      <c r="Q5711" s="5"/>
    </row>
    <row r="5712">
      <c r="J5712" s="5"/>
      <c r="P5712" s="9"/>
      <c r="Q5712" s="5"/>
    </row>
    <row r="5713">
      <c r="J5713" s="5"/>
      <c r="P5713" s="9"/>
      <c r="Q5713" s="5"/>
    </row>
    <row r="5714">
      <c r="J5714" s="5"/>
      <c r="P5714" s="9"/>
      <c r="Q5714" s="5"/>
    </row>
    <row r="5715">
      <c r="J5715" s="5"/>
      <c r="P5715" s="9"/>
      <c r="Q5715" s="5"/>
    </row>
    <row r="5716">
      <c r="J5716" s="5"/>
      <c r="P5716" s="9"/>
      <c r="Q5716" s="5"/>
    </row>
    <row r="5717">
      <c r="J5717" s="5"/>
      <c r="P5717" s="9"/>
      <c r="Q5717" s="5"/>
    </row>
    <row r="5718">
      <c r="J5718" s="5"/>
      <c r="P5718" s="9"/>
      <c r="Q5718" s="5"/>
    </row>
    <row r="5719">
      <c r="J5719" s="5"/>
      <c r="P5719" s="9"/>
      <c r="Q5719" s="5"/>
    </row>
    <row r="5720">
      <c r="J5720" s="5"/>
      <c r="P5720" s="9"/>
      <c r="Q5720" s="5"/>
    </row>
    <row r="5721">
      <c r="J5721" s="5"/>
      <c r="P5721" s="9"/>
      <c r="Q5721" s="5"/>
    </row>
    <row r="5722">
      <c r="J5722" s="5"/>
      <c r="P5722" s="9"/>
      <c r="Q5722" s="5"/>
    </row>
    <row r="5723">
      <c r="J5723" s="5"/>
      <c r="P5723" s="9"/>
      <c r="Q5723" s="5"/>
    </row>
    <row r="5724">
      <c r="J5724" s="5"/>
      <c r="P5724" s="9"/>
      <c r="Q5724" s="5"/>
    </row>
    <row r="5725">
      <c r="J5725" s="5"/>
      <c r="P5725" s="9"/>
      <c r="Q5725" s="5"/>
    </row>
    <row r="5726">
      <c r="J5726" s="5"/>
      <c r="P5726" s="9"/>
      <c r="Q5726" s="5"/>
    </row>
    <row r="5727">
      <c r="J5727" s="5"/>
      <c r="P5727" s="9"/>
      <c r="Q5727" s="5"/>
    </row>
    <row r="5728">
      <c r="J5728" s="5"/>
      <c r="P5728" s="9"/>
      <c r="Q5728" s="5"/>
    </row>
    <row r="5729">
      <c r="J5729" s="5"/>
      <c r="P5729" s="9"/>
      <c r="Q5729" s="5"/>
    </row>
    <row r="5730">
      <c r="J5730" s="5"/>
      <c r="P5730" s="9"/>
      <c r="Q5730" s="5"/>
    </row>
    <row r="5731">
      <c r="J5731" s="5"/>
      <c r="P5731" s="9"/>
      <c r="Q5731" s="5"/>
    </row>
    <row r="5732">
      <c r="J5732" s="5"/>
      <c r="P5732" s="9"/>
      <c r="Q5732" s="5"/>
    </row>
    <row r="5733">
      <c r="J5733" s="5"/>
      <c r="P5733" s="9"/>
      <c r="Q5733" s="5"/>
    </row>
    <row r="5734">
      <c r="J5734" s="5"/>
      <c r="P5734" s="9"/>
      <c r="Q5734" s="5"/>
    </row>
    <row r="5735">
      <c r="J5735" s="5"/>
      <c r="P5735" s="9"/>
      <c r="Q5735" s="5"/>
    </row>
    <row r="5736">
      <c r="J5736" s="5"/>
      <c r="P5736" s="9"/>
      <c r="Q5736" s="5"/>
    </row>
    <row r="5737">
      <c r="J5737" s="5"/>
      <c r="P5737" s="9"/>
      <c r="Q5737" s="5"/>
    </row>
    <row r="5738">
      <c r="J5738" s="5"/>
      <c r="P5738" s="9"/>
      <c r="Q5738" s="5"/>
    </row>
    <row r="5739">
      <c r="J5739" s="5"/>
      <c r="P5739" s="9"/>
      <c r="Q5739" s="5"/>
    </row>
    <row r="5740">
      <c r="J5740" s="5"/>
      <c r="P5740" s="9"/>
      <c r="Q5740" s="5"/>
    </row>
    <row r="5741">
      <c r="J5741" s="5"/>
      <c r="P5741" s="9"/>
      <c r="Q5741" s="5"/>
    </row>
    <row r="5742">
      <c r="J5742" s="5"/>
      <c r="P5742" s="9"/>
      <c r="Q5742" s="5"/>
    </row>
    <row r="5743">
      <c r="J5743" s="5"/>
      <c r="P5743" s="9"/>
      <c r="Q5743" s="5"/>
    </row>
    <row r="5744">
      <c r="J5744" s="5"/>
      <c r="P5744" s="9"/>
      <c r="Q5744" s="5"/>
    </row>
    <row r="5745">
      <c r="J5745" s="5"/>
      <c r="P5745" s="9"/>
      <c r="Q5745" s="5"/>
    </row>
    <row r="5746">
      <c r="J5746" s="5"/>
      <c r="P5746" s="9"/>
      <c r="Q5746" s="5"/>
    </row>
    <row r="5747">
      <c r="J5747" s="5"/>
      <c r="P5747" s="9"/>
      <c r="Q5747" s="5"/>
    </row>
    <row r="5748">
      <c r="J5748" s="5"/>
      <c r="P5748" s="9"/>
      <c r="Q5748" s="5"/>
    </row>
    <row r="5749">
      <c r="J5749" s="5"/>
      <c r="P5749" s="9"/>
      <c r="Q5749" s="5"/>
    </row>
    <row r="5750">
      <c r="J5750" s="5"/>
      <c r="P5750" s="9"/>
      <c r="Q5750" s="5"/>
    </row>
    <row r="5751">
      <c r="J5751" s="5"/>
      <c r="P5751" s="9"/>
      <c r="Q5751" s="5"/>
    </row>
    <row r="5752">
      <c r="J5752" s="5"/>
      <c r="P5752" s="9"/>
      <c r="Q5752" s="5"/>
    </row>
    <row r="5753">
      <c r="J5753" s="5"/>
      <c r="P5753" s="9"/>
      <c r="Q5753" s="5"/>
    </row>
    <row r="5754">
      <c r="J5754" s="5"/>
      <c r="P5754" s="9"/>
      <c r="Q5754" s="5"/>
    </row>
    <row r="5755">
      <c r="J5755" s="5"/>
      <c r="P5755" s="9"/>
      <c r="Q5755" s="5"/>
    </row>
    <row r="5756">
      <c r="J5756" s="5"/>
      <c r="P5756" s="9"/>
      <c r="Q5756" s="5"/>
    </row>
    <row r="5757">
      <c r="J5757" s="5"/>
      <c r="P5757" s="9"/>
      <c r="Q5757" s="5"/>
    </row>
    <row r="5758">
      <c r="J5758" s="5"/>
      <c r="P5758" s="9"/>
      <c r="Q5758" s="5"/>
    </row>
    <row r="5759">
      <c r="J5759" s="5"/>
      <c r="P5759" s="9"/>
      <c r="Q5759" s="5"/>
    </row>
    <row r="5760">
      <c r="J5760" s="5"/>
      <c r="P5760" s="9"/>
      <c r="Q5760" s="5"/>
    </row>
    <row r="5761">
      <c r="J5761" s="5"/>
      <c r="P5761" s="9"/>
      <c r="Q5761" s="5"/>
    </row>
    <row r="5762">
      <c r="J5762" s="5"/>
      <c r="P5762" s="9"/>
      <c r="Q5762" s="5"/>
    </row>
    <row r="5763">
      <c r="J5763" s="5"/>
      <c r="P5763" s="9"/>
      <c r="Q5763" s="5"/>
    </row>
    <row r="5764">
      <c r="J5764" s="5"/>
      <c r="P5764" s="9"/>
      <c r="Q5764" s="5"/>
    </row>
    <row r="5765">
      <c r="J5765" s="5"/>
      <c r="P5765" s="9"/>
      <c r="Q5765" s="5"/>
    </row>
    <row r="5766">
      <c r="J5766" s="5"/>
      <c r="P5766" s="9"/>
      <c r="Q5766" s="5"/>
    </row>
    <row r="5767">
      <c r="J5767" s="5"/>
      <c r="P5767" s="9"/>
      <c r="Q5767" s="5"/>
    </row>
    <row r="5768">
      <c r="J5768" s="5"/>
      <c r="P5768" s="9"/>
      <c r="Q5768" s="5"/>
    </row>
    <row r="5769">
      <c r="J5769" s="5"/>
      <c r="P5769" s="9"/>
      <c r="Q5769" s="5"/>
    </row>
    <row r="5770">
      <c r="J5770" s="5"/>
      <c r="P5770" s="9"/>
      <c r="Q5770" s="5"/>
    </row>
    <row r="5771">
      <c r="J5771" s="5"/>
      <c r="P5771" s="9"/>
      <c r="Q5771" s="5"/>
    </row>
    <row r="5772">
      <c r="J5772" s="5"/>
      <c r="P5772" s="9"/>
      <c r="Q5772" s="5"/>
    </row>
    <row r="5773">
      <c r="J5773" s="5"/>
      <c r="P5773" s="9"/>
      <c r="Q5773" s="5"/>
    </row>
    <row r="5774">
      <c r="J5774" s="5"/>
      <c r="P5774" s="9"/>
      <c r="Q5774" s="5"/>
    </row>
    <row r="5775">
      <c r="J5775" s="5"/>
      <c r="P5775" s="9"/>
      <c r="Q5775" s="5"/>
    </row>
    <row r="5776">
      <c r="J5776" s="5"/>
      <c r="P5776" s="9"/>
      <c r="Q5776" s="5"/>
    </row>
    <row r="5777">
      <c r="J5777" s="5"/>
      <c r="P5777" s="9"/>
      <c r="Q5777" s="5"/>
    </row>
    <row r="5778">
      <c r="J5778" s="5"/>
      <c r="P5778" s="9"/>
      <c r="Q5778" s="5"/>
    </row>
    <row r="5779">
      <c r="J5779" s="5"/>
      <c r="P5779" s="9"/>
      <c r="Q5779" s="5"/>
    </row>
    <row r="5780">
      <c r="J5780" s="5"/>
      <c r="P5780" s="9"/>
      <c r="Q5780" s="5"/>
    </row>
    <row r="5781">
      <c r="J5781" s="5"/>
      <c r="P5781" s="9"/>
      <c r="Q5781" s="5"/>
    </row>
    <row r="5782">
      <c r="J5782" s="5"/>
      <c r="P5782" s="9"/>
      <c r="Q5782" s="5"/>
    </row>
    <row r="5783">
      <c r="J5783" s="5"/>
      <c r="P5783" s="9"/>
      <c r="Q5783" s="5"/>
    </row>
    <row r="5784">
      <c r="J5784" s="5"/>
      <c r="P5784" s="9"/>
      <c r="Q5784" s="5"/>
    </row>
    <row r="5785">
      <c r="J5785" s="5"/>
      <c r="P5785" s="9"/>
      <c r="Q5785" s="5"/>
    </row>
    <row r="5786">
      <c r="J5786" s="5"/>
      <c r="P5786" s="9"/>
      <c r="Q5786" s="5"/>
    </row>
    <row r="5787">
      <c r="J5787" s="5"/>
      <c r="P5787" s="9"/>
      <c r="Q5787" s="5"/>
    </row>
    <row r="5788">
      <c r="J5788" s="5"/>
      <c r="P5788" s="9"/>
      <c r="Q5788" s="5"/>
    </row>
    <row r="5789">
      <c r="J5789" s="5"/>
      <c r="P5789" s="9"/>
      <c r="Q5789" s="5"/>
    </row>
    <row r="5790">
      <c r="J5790" s="5"/>
      <c r="P5790" s="9"/>
      <c r="Q5790" s="5"/>
    </row>
    <row r="5791">
      <c r="J5791" s="5"/>
      <c r="P5791" s="9"/>
      <c r="Q5791" s="5"/>
    </row>
    <row r="5792">
      <c r="J5792" s="5"/>
      <c r="P5792" s="9"/>
      <c r="Q5792" s="5"/>
    </row>
    <row r="5793">
      <c r="J5793" s="5"/>
      <c r="P5793" s="9"/>
      <c r="Q5793" s="5"/>
    </row>
    <row r="5794">
      <c r="J5794" s="5"/>
      <c r="P5794" s="9"/>
      <c r="Q5794" s="5"/>
    </row>
    <row r="5795">
      <c r="J5795" s="5"/>
      <c r="P5795" s="9"/>
      <c r="Q5795" s="5"/>
    </row>
    <row r="5796">
      <c r="J5796" s="5"/>
      <c r="P5796" s="9"/>
      <c r="Q5796" s="5"/>
    </row>
    <row r="5797">
      <c r="J5797" s="5"/>
      <c r="P5797" s="9"/>
      <c r="Q5797" s="5"/>
    </row>
    <row r="5798">
      <c r="J5798" s="5"/>
      <c r="P5798" s="9"/>
      <c r="Q5798" s="5"/>
    </row>
    <row r="5799">
      <c r="J5799" s="5"/>
      <c r="P5799" s="9"/>
      <c r="Q5799" s="5"/>
    </row>
    <row r="5800">
      <c r="J5800" s="5"/>
      <c r="P5800" s="9"/>
      <c r="Q5800" s="5"/>
    </row>
    <row r="5801">
      <c r="J5801" s="5"/>
      <c r="P5801" s="9"/>
      <c r="Q5801" s="5"/>
    </row>
    <row r="5802">
      <c r="J5802" s="5"/>
      <c r="P5802" s="9"/>
      <c r="Q5802" s="5"/>
    </row>
    <row r="5803">
      <c r="J5803" s="5"/>
      <c r="P5803" s="9"/>
      <c r="Q5803" s="5"/>
    </row>
    <row r="5804">
      <c r="J5804" s="5"/>
      <c r="P5804" s="9"/>
      <c r="Q5804" s="5"/>
    </row>
    <row r="5805">
      <c r="J5805" s="5"/>
      <c r="P5805" s="9"/>
      <c r="Q5805" s="5"/>
    </row>
    <row r="5806">
      <c r="J5806" s="5"/>
      <c r="P5806" s="9"/>
      <c r="Q5806" s="5"/>
    </row>
    <row r="5807">
      <c r="J5807" s="5"/>
      <c r="P5807" s="9"/>
      <c r="Q5807" s="5"/>
    </row>
    <row r="5808">
      <c r="J5808" s="5"/>
      <c r="P5808" s="9"/>
      <c r="Q5808" s="5"/>
    </row>
    <row r="5809">
      <c r="J5809" s="5"/>
      <c r="P5809" s="9"/>
      <c r="Q5809" s="5"/>
    </row>
    <row r="5810">
      <c r="J5810" s="5"/>
      <c r="P5810" s="9"/>
      <c r="Q5810" s="5"/>
    </row>
    <row r="5811">
      <c r="J5811" s="5"/>
      <c r="P5811" s="9"/>
      <c r="Q5811" s="5"/>
    </row>
    <row r="5812">
      <c r="J5812" s="5"/>
      <c r="P5812" s="9"/>
      <c r="Q5812" s="5"/>
    </row>
    <row r="5813">
      <c r="J5813" s="5"/>
      <c r="P5813" s="9"/>
      <c r="Q5813" s="5"/>
    </row>
    <row r="5814">
      <c r="J5814" s="5"/>
      <c r="P5814" s="9"/>
      <c r="Q5814" s="5"/>
    </row>
    <row r="5815">
      <c r="J5815" s="5"/>
      <c r="P5815" s="9"/>
      <c r="Q5815" s="5"/>
    </row>
    <row r="5816">
      <c r="J5816" s="5"/>
      <c r="P5816" s="9"/>
      <c r="Q5816" s="5"/>
    </row>
    <row r="5817">
      <c r="J5817" s="5"/>
      <c r="P5817" s="9"/>
      <c r="Q5817" s="5"/>
    </row>
    <row r="5818">
      <c r="J5818" s="5"/>
      <c r="P5818" s="9"/>
      <c r="Q5818" s="5"/>
    </row>
    <row r="5819">
      <c r="J5819" s="5"/>
      <c r="P5819" s="9"/>
      <c r="Q5819" s="5"/>
    </row>
    <row r="5820">
      <c r="J5820" s="5"/>
      <c r="P5820" s="9"/>
      <c r="Q5820" s="5"/>
    </row>
    <row r="5821">
      <c r="J5821" s="5"/>
      <c r="P5821" s="9"/>
      <c r="Q5821" s="5"/>
    </row>
    <row r="5822">
      <c r="J5822" s="5"/>
      <c r="P5822" s="9"/>
      <c r="Q5822" s="5"/>
    </row>
    <row r="5823">
      <c r="J5823" s="5"/>
      <c r="P5823" s="9"/>
      <c r="Q5823" s="5"/>
    </row>
    <row r="5824">
      <c r="J5824" s="5"/>
      <c r="P5824" s="9"/>
      <c r="Q5824" s="5"/>
    </row>
    <row r="5825">
      <c r="J5825" s="5"/>
      <c r="P5825" s="9"/>
      <c r="Q5825" s="5"/>
    </row>
    <row r="5826">
      <c r="J5826" s="5"/>
      <c r="P5826" s="9"/>
      <c r="Q5826" s="5"/>
    </row>
    <row r="5827">
      <c r="J5827" s="5"/>
      <c r="P5827" s="9"/>
      <c r="Q5827" s="5"/>
    </row>
    <row r="5828">
      <c r="J5828" s="5"/>
      <c r="P5828" s="9"/>
      <c r="Q5828" s="5"/>
    </row>
    <row r="5829">
      <c r="J5829" s="5"/>
      <c r="P5829" s="9"/>
      <c r="Q5829" s="5"/>
    </row>
    <row r="5830">
      <c r="J5830" s="5"/>
      <c r="P5830" s="9"/>
      <c r="Q5830" s="5"/>
    </row>
    <row r="5831">
      <c r="J5831" s="5"/>
      <c r="P5831" s="9"/>
      <c r="Q5831" s="5"/>
    </row>
    <row r="5832">
      <c r="J5832" s="5"/>
      <c r="P5832" s="9"/>
      <c r="Q5832" s="5"/>
    </row>
    <row r="5833">
      <c r="J5833" s="5"/>
      <c r="P5833" s="9"/>
      <c r="Q5833" s="5"/>
    </row>
    <row r="5834">
      <c r="J5834" s="5"/>
      <c r="P5834" s="9"/>
      <c r="Q5834" s="5"/>
    </row>
    <row r="5835">
      <c r="J5835" s="5"/>
      <c r="P5835" s="9"/>
      <c r="Q5835" s="5"/>
    </row>
    <row r="5836">
      <c r="J5836" s="5"/>
      <c r="P5836" s="9"/>
      <c r="Q5836" s="5"/>
    </row>
    <row r="5837">
      <c r="J5837" s="5"/>
      <c r="P5837" s="9"/>
      <c r="Q5837" s="5"/>
    </row>
    <row r="5838">
      <c r="J5838" s="5"/>
      <c r="P5838" s="9"/>
      <c r="Q5838" s="5"/>
    </row>
    <row r="5839">
      <c r="J5839" s="5"/>
      <c r="P5839" s="9"/>
      <c r="Q5839" s="5"/>
    </row>
    <row r="5840">
      <c r="J5840" s="5"/>
      <c r="P5840" s="9"/>
      <c r="Q5840" s="5"/>
    </row>
    <row r="5841">
      <c r="J5841" s="5"/>
      <c r="P5841" s="9"/>
      <c r="Q5841" s="5"/>
    </row>
    <row r="5842">
      <c r="J5842" s="5"/>
      <c r="P5842" s="9"/>
      <c r="Q5842" s="5"/>
    </row>
    <row r="5843">
      <c r="J5843" s="5"/>
      <c r="P5843" s="9"/>
      <c r="Q5843" s="5"/>
    </row>
    <row r="5844">
      <c r="J5844" s="5"/>
      <c r="P5844" s="9"/>
      <c r="Q5844" s="5"/>
    </row>
    <row r="5845">
      <c r="J5845" s="5"/>
      <c r="P5845" s="9"/>
      <c r="Q5845" s="5"/>
    </row>
    <row r="5846">
      <c r="J5846" s="5"/>
      <c r="P5846" s="9"/>
      <c r="Q5846" s="5"/>
    </row>
    <row r="5847">
      <c r="J5847" s="5"/>
      <c r="P5847" s="9"/>
      <c r="Q5847" s="5"/>
    </row>
    <row r="5848">
      <c r="J5848" s="5"/>
      <c r="P5848" s="9"/>
      <c r="Q5848" s="5"/>
    </row>
    <row r="5849">
      <c r="J5849" s="5"/>
      <c r="P5849" s="9"/>
      <c r="Q5849" s="5"/>
    </row>
    <row r="5850">
      <c r="J5850" s="5"/>
      <c r="P5850" s="9"/>
      <c r="Q5850" s="5"/>
    </row>
    <row r="5851">
      <c r="J5851" s="5"/>
      <c r="P5851" s="9"/>
      <c r="Q5851" s="5"/>
    </row>
    <row r="5852">
      <c r="J5852" s="5"/>
      <c r="P5852" s="9"/>
      <c r="Q5852" s="5"/>
    </row>
    <row r="5853">
      <c r="J5853" s="5"/>
      <c r="P5853" s="9"/>
      <c r="Q5853" s="5"/>
    </row>
    <row r="5854">
      <c r="J5854" s="5"/>
      <c r="P5854" s="9"/>
      <c r="Q5854" s="5"/>
    </row>
    <row r="5855">
      <c r="J5855" s="5"/>
      <c r="P5855" s="9"/>
      <c r="Q5855" s="5"/>
    </row>
    <row r="5856">
      <c r="J5856" s="5"/>
      <c r="P5856" s="9"/>
      <c r="Q5856" s="5"/>
    </row>
    <row r="5857">
      <c r="J5857" s="5"/>
      <c r="P5857" s="9"/>
      <c r="Q5857" s="5"/>
    </row>
    <row r="5858">
      <c r="J5858" s="5"/>
      <c r="P5858" s="9"/>
      <c r="Q5858" s="5"/>
    </row>
    <row r="5859">
      <c r="J5859" s="5"/>
      <c r="P5859" s="9"/>
      <c r="Q5859" s="5"/>
    </row>
    <row r="5860">
      <c r="J5860" s="5"/>
      <c r="P5860" s="9"/>
      <c r="Q5860" s="5"/>
    </row>
    <row r="5861">
      <c r="J5861" s="5"/>
      <c r="P5861" s="9"/>
      <c r="Q5861" s="5"/>
    </row>
    <row r="5862">
      <c r="J5862" s="5"/>
      <c r="P5862" s="9"/>
      <c r="Q5862" s="5"/>
    </row>
    <row r="5863">
      <c r="J5863" s="5"/>
      <c r="P5863" s="9"/>
      <c r="Q5863" s="5"/>
    </row>
    <row r="5864">
      <c r="J5864" s="5"/>
      <c r="P5864" s="9"/>
      <c r="Q5864" s="5"/>
    </row>
    <row r="5865">
      <c r="J5865" s="5"/>
      <c r="P5865" s="9"/>
      <c r="Q5865" s="5"/>
    </row>
    <row r="5866">
      <c r="J5866" s="5"/>
      <c r="P5866" s="9"/>
      <c r="Q5866" s="5"/>
    </row>
    <row r="5867">
      <c r="J5867" s="5"/>
      <c r="P5867" s="9"/>
      <c r="Q5867" s="5"/>
    </row>
    <row r="5868">
      <c r="J5868" s="5"/>
      <c r="P5868" s="9"/>
      <c r="Q5868" s="5"/>
    </row>
    <row r="5869">
      <c r="J5869" s="5"/>
      <c r="P5869" s="9"/>
      <c r="Q5869" s="5"/>
    </row>
    <row r="5870">
      <c r="J5870" s="5"/>
      <c r="P5870" s="9"/>
      <c r="Q5870" s="5"/>
    </row>
    <row r="5871">
      <c r="J5871" s="5"/>
      <c r="P5871" s="9"/>
      <c r="Q5871" s="5"/>
    </row>
    <row r="5872">
      <c r="J5872" s="5"/>
      <c r="P5872" s="9"/>
      <c r="Q5872" s="5"/>
    </row>
    <row r="5873">
      <c r="J5873" s="5"/>
      <c r="P5873" s="9"/>
      <c r="Q5873" s="5"/>
    </row>
    <row r="5874">
      <c r="J5874" s="5"/>
      <c r="P5874" s="9"/>
      <c r="Q5874" s="5"/>
    </row>
    <row r="5875">
      <c r="J5875" s="5"/>
      <c r="P5875" s="9"/>
      <c r="Q5875" s="5"/>
    </row>
    <row r="5876">
      <c r="J5876" s="5"/>
      <c r="P5876" s="9"/>
      <c r="Q5876" s="5"/>
    </row>
    <row r="5877">
      <c r="J5877" s="5"/>
      <c r="P5877" s="9"/>
      <c r="Q5877" s="5"/>
    </row>
    <row r="5878">
      <c r="J5878" s="5"/>
      <c r="P5878" s="9"/>
      <c r="Q5878" s="5"/>
    </row>
    <row r="5879">
      <c r="J5879" s="5"/>
      <c r="P5879" s="9"/>
      <c r="Q5879" s="5"/>
    </row>
    <row r="5880">
      <c r="J5880" s="5"/>
      <c r="P5880" s="9"/>
      <c r="Q5880" s="5"/>
    </row>
    <row r="5881">
      <c r="J5881" s="5"/>
      <c r="P5881" s="9"/>
      <c r="Q5881" s="5"/>
    </row>
    <row r="5882">
      <c r="J5882" s="5"/>
      <c r="P5882" s="9"/>
      <c r="Q5882" s="5"/>
    </row>
    <row r="5883">
      <c r="J5883" s="5"/>
      <c r="P5883" s="9"/>
      <c r="Q5883" s="5"/>
    </row>
    <row r="5884">
      <c r="J5884" s="5"/>
      <c r="P5884" s="9"/>
      <c r="Q5884" s="5"/>
    </row>
    <row r="5885">
      <c r="J5885" s="5"/>
      <c r="P5885" s="9"/>
      <c r="Q5885" s="5"/>
    </row>
    <row r="5886">
      <c r="J5886" s="5"/>
      <c r="P5886" s="9"/>
      <c r="Q5886" s="5"/>
    </row>
    <row r="5887">
      <c r="J5887" s="5"/>
      <c r="P5887" s="9"/>
      <c r="Q5887" s="5"/>
    </row>
    <row r="5888">
      <c r="J5888" s="5"/>
      <c r="P5888" s="9"/>
      <c r="Q5888" s="5"/>
    </row>
    <row r="5889">
      <c r="J5889" s="5"/>
      <c r="P5889" s="9"/>
      <c r="Q5889" s="5"/>
    </row>
    <row r="5890">
      <c r="J5890" s="5"/>
      <c r="P5890" s="9"/>
      <c r="Q5890" s="5"/>
    </row>
    <row r="5891">
      <c r="J5891" s="5"/>
      <c r="P5891" s="9"/>
      <c r="Q5891" s="5"/>
    </row>
    <row r="5892">
      <c r="J5892" s="5"/>
      <c r="P5892" s="9"/>
      <c r="Q5892" s="5"/>
    </row>
    <row r="5893">
      <c r="J5893" s="5"/>
      <c r="P5893" s="9"/>
      <c r="Q5893" s="5"/>
    </row>
    <row r="5894">
      <c r="J5894" s="5"/>
      <c r="P5894" s="9"/>
      <c r="Q5894" s="5"/>
    </row>
    <row r="5895">
      <c r="J5895" s="5"/>
      <c r="P5895" s="9"/>
      <c r="Q5895" s="5"/>
    </row>
    <row r="5896">
      <c r="J5896" s="5"/>
      <c r="P5896" s="9"/>
      <c r="Q5896" s="5"/>
    </row>
    <row r="5897">
      <c r="J5897" s="5"/>
      <c r="P5897" s="9"/>
      <c r="Q5897" s="5"/>
    </row>
    <row r="5898">
      <c r="J5898" s="5"/>
      <c r="P5898" s="9"/>
      <c r="Q5898" s="5"/>
    </row>
    <row r="5899">
      <c r="J5899" s="5"/>
      <c r="P5899" s="9"/>
      <c r="Q5899" s="5"/>
    </row>
    <row r="5900">
      <c r="J5900" s="5"/>
      <c r="P5900" s="9"/>
      <c r="Q5900" s="5"/>
    </row>
    <row r="5901">
      <c r="J5901" s="5"/>
      <c r="P5901" s="9"/>
      <c r="Q5901" s="5"/>
    </row>
    <row r="5902">
      <c r="J5902" s="5"/>
      <c r="P5902" s="9"/>
      <c r="Q5902" s="5"/>
    </row>
    <row r="5903">
      <c r="J5903" s="5"/>
      <c r="P5903" s="9"/>
      <c r="Q5903" s="5"/>
    </row>
    <row r="5904">
      <c r="J5904" s="5"/>
      <c r="P5904" s="9"/>
      <c r="Q5904" s="5"/>
    </row>
    <row r="5905">
      <c r="J5905" s="5"/>
      <c r="P5905" s="9"/>
      <c r="Q5905" s="5"/>
    </row>
    <row r="5906">
      <c r="J5906" s="5"/>
      <c r="P5906" s="9"/>
      <c r="Q5906" s="5"/>
    </row>
    <row r="5907">
      <c r="J5907" s="5"/>
      <c r="P5907" s="9"/>
      <c r="Q5907" s="5"/>
    </row>
    <row r="5908">
      <c r="J5908" s="5"/>
      <c r="P5908" s="9"/>
      <c r="Q5908" s="5"/>
    </row>
    <row r="5909">
      <c r="J5909" s="5"/>
      <c r="P5909" s="9"/>
      <c r="Q5909" s="5"/>
    </row>
    <row r="5910">
      <c r="J5910" s="5"/>
      <c r="P5910" s="9"/>
      <c r="Q5910" s="5"/>
    </row>
    <row r="5911">
      <c r="J5911" s="5"/>
      <c r="P5911" s="9"/>
      <c r="Q5911" s="5"/>
    </row>
    <row r="5912">
      <c r="J5912" s="5"/>
      <c r="P5912" s="9"/>
      <c r="Q5912" s="5"/>
    </row>
    <row r="5913">
      <c r="J5913" s="5"/>
      <c r="P5913" s="9"/>
      <c r="Q5913" s="5"/>
    </row>
    <row r="5914">
      <c r="J5914" s="5"/>
      <c r="P5914" s="9"/>
      <c r="Q5914" s="5"/>
    </row>
    <row r="5915">
      <c r="J5915" s="5"/>
      <c r="P5915" s="9"/>
      <c r="Q5915" s="5"/>
    </row>
    <row r="5916">
      <c r="J5916" s="5"/>
      <c r="P5916" s="9"/>
      <c r="Q5916" s="5"/>
    </row>
    <row r="5917">
      <c r="J5917" s="5"/>
      <c r="P5917" s="9"/>
      <c r="Q5917" s="5"/>
    </row>
    <row r="5918">
      <c r="J5918" s="5"/>
      <c r="P5918" s="9"/>
      <c r="Q5918" s="5"/>
    </row>
    <row r="5919">
      <c r="J5919" s="5"/>
      <c r="P5919" s="9"/>
      <c r="Q5919" s="5"/>
    </row>
    <row r="5920">
      <c r="J5920" s="5"/>
      <c r="P5920" s="9"/>
      <c r="Q5920" s="5"/>
    </row>
    <row r="5921">
      <c r="J5921" s="5"/>
      <c r="P5921" s="9"/>
      <c r="Q5921" s="5"/>
    </row>
    <row r="5922">
      <c r="J5922" s="5"/>
      <c r="P5922" s="9"/>
      <c r="Q5922" s="5"/>
    </row>
    <row r="5923">
      <c r="J5923" s="5"/>
      <c r="P5923" s="9"/>
      <c r="Q5923" s="5"/>
    </row>
    <row r="5924">
      <c r="J5924" s="5"/>
      <c r="P5924" s="9"/>
      <c r="Q5924" s="5"/>
    </row>
    <row r="5925">
      <c r="J5925" s="5"/>
      <c r="P5925" s="9"/>
      <c r="Q5925" s="5"/>
    </row>
    <row r="5926">
      <c r="J5926" s="5"/>
      <c r="P5926" s="9"/>
      <c r="Q5926" s="5"/>
    </row>
    <row r="5927">
      <c r="J5927" s="5"/>
      <c r="P5927" s="9"/>
      <c r="Q5927" s="5"/>
    </row>
    <row r="5928">
      <c r="J5928" s="5"/>
      <c r="P5928" s="9"/>
      <c r="Q5928" s="5"/>
    </row>
    <row r="5929">
      <c r="J5929" s="5"/>
      <c r="P5929" s="9"/>
      <c r="Q5929" s="5"/>
    </row>
    <row r="5930">
      <c r="J5930" s="5"/>
      <c r="P5930" s="9"/>
      <c r="Q5930" s="5"/>
    </row>
    <row r="5931">
      <c r="J5931" s="5"/>
      <c r="P5931" s="9"/>
      <c r="Q5931" s="5"/>
    </row>
    <row r="5932">
      <c r="J5932" s="5"/>
      <c r="P5932" s="9"/>
      <c r="Q5932" s="5"/>
    </row>
    <row r="5933">
      <c r="J5933" s="5"/>
      <c r="P5933" s="9"/>
      <c r="Q5933" s="5"/>
    </row>
    <row r="5934">
      <c r="J5934" s="5"/>
      <c r="P5934" s="9"/>
      <c r="Q5934" s="5"/>
    </row>
    <row r="5935">
      <c r="J5935" s="5"/>
      <c r="P5935" s="9"/>
      <c r="Q5935" s="5"/>
    </row>
    <row r="5936">
      <c r="J5936" s="5"/>
      <c r="P5936" s="9"/>
      <c r="Q5936" s="5"/>
    </row>
    <row r="5937">
      <c r="J5937" s="5"/>
      <c r="P5937" s="9"/>
      <c r="Q5937" s="5"/>
    </row>
    <row r="5938">
      <c r="J5938" s="5"/>
      <c r="P5938" s="9"/>
      <c r="Q5938" s="5"/>
    </row>
    <row r="5939">
      <c r="J5939" s="5"/>
      <c r="P5939" s="9"/>
      <c r="Q5939" s="5"/>
    </row>
    <row r="5940">
      <c r="J5940" s="5"/>
      <c r="P5940" s="9"/>
      <c r="Q5940" s="5"/>
    </row>
    <row r="5941">
      <c r="J5941" s="5"/>
      <c r="P5941" s="9"/>
      <c r="Q5941" s="5"/>
    </row>
    <row r="5942">
      <c r="J5942" s="5"/>
      <c r="P5942" s="9"/>
      <c r="Q5942" s="5"/>
    </row>
    <row r="5943">
      <c r="J5943" s="5"/>
      <c r="P5943" s="9"/>
      <c r="Q5943" s="5"/>
    </row>
    <row r="5944">
      <c r="J5944" s="5"/>
      <c r="P5944" s="9"/>
      <c r="Q5944" s="5"/>
    </row>
    <row r="5945">
      <c r="J5945" s="5"/>
      <c r="P5945" s="9"/>
      <c r="Q5945" s="5"/>
    </row>
    <row r="5946">
      <c r="J5946" s="5"/>
      <c r="P5946" s="9"/>
      <c r="Q5946" s="5"/>
    </row>
    <row r="5947">
      <c r="J5947" s="5"/>
      <c r="P5947" s="9"/>
      <c r="Q5947" s="5"/>
    </row>
    <row r="5948">
      <c r="J5948" s="5"/>
      <c r="P5948" s="9"/>
      <c r="Q5948" s="5"/>
    </row>
    <row r="5949">
      <c r="J5949" s="5"/>
      <c r="P5949" s="9"/>
      <c r="Q5949" s="5"/>
    </row>
    <row r="5950">
      <c r="J5950" s="5"/>
      <c r="P5950" s="9"/>
      <c r="Q5950" s="5"/>
    </row>
    <row r="5951">
      <c r="J5951" s="5"/>
      <c r="P5951" s="9"/>
      <c r="Q5951" s="5"/>
    </row>
    <row r="5952">
      <c r="J5952" s="5"/>
      <c r="P5952" s="9"/>
      <c r="Q5952" s="5"/>
    </row>
    <row r="5953">
      <c r="J5953" s="5"/>
      <c r="P5953" s="9"/>
      <c r="Q5953" s="5"/>
    </row>
    <row r="5954">
      <c r="J5954" s="5"/>
      <c r="P5954" s="9"/>
      <c r="Q5954" s="5"/>
    </row>
    <row r="5955">
      <c r="J5955" s="5"/>
      <c r="P5955" s="9"/>
      <c r="Q5955" s="5"/>
    </row>
    <row r="5956">
      <c r="J5956" s="5"/>
      <c r="P5956" s="9"/>
      <c r="Q5956" s="5"/>
    </row>
    <row r="5957">
      <c r="J5957" s="5"/>
      <c r="P5957" s="9"/>
      <c r="Q5957" s="5"/>
    </row>
    <row r="5958">
      <c r="J5958" s="5"/>
      <c r="P5958" s="9"/>
      <c r="Q5958" s="5"/>
    </row>
    <row r="5959">
      <c r="J5959" s="5"/>
      <c r="P5959" s="9"/>
      <c r="Q5959" s="5"/>
    </row>
    <row r="5960">
      <c r="J5960" s="5"/>
      <c r="P5960" s="9"/>
      <c r="Q5960" s="5"/>
    </row>
    <row r="5961">
      <c r="J5961" s="5"/>
      <c r="P5961" s="9"/>
      <c r="Q5961" s="5"/>
    </row>
    <row r="5962">
      <c r="J5962" s="5"/>
      <c r="P5962" s="9"/>
      <c r="Q5962" s="5"/>
    </row>
    <row r="5963">
      <c r="J5963" s="5"/>
      <c r="P5963" s="9"/>
      <c r="Q5963" s="5"/>
    </row>
    <row r="5964">
      <c r="J5964" s="5"/>
      <c r="P5964" s="9"/>
      <c r="Q5964" s="5"/>
    </row>
    <row r="5965">
      <c r="J5965" s="5"/>
      <c r="P5965" s="9"/>
      <c r="Q5965" s="5"/>
    </row>
    <row r="5966">
      <c r="J5966" s="5"/>
      <c r="P5966" s="9"/>
      <c r="Q5966" s="5"/>
    </row>
    <row r="5967">
      <c r="J5967" s="5"/>
      <c r="P5967" s="9"/>
      <c r="Q5967" s="5"/>
    </row>
    <row r="5968">
      <c r="J5968" s="5"/>
      <c r="P5968" s="9"/>
      <c r="Q5968" s="5"/>
    </row>
    <row r="5969">
      <c r="J5969" s="5"/>
      <c r="P5969" s="9"/>
      <c r="Q5969" s="5"/>
    </row>
    <row r="5970">
      <c r="J5970" s="5"/>
      <c r="P5970" s="9"/>
      <c r="Q5970" s="5"/>
    </row>
    <row r="5971">
      <c r="J5971" s="5"/>
      <c r="P5971" s="9"/>
      <c r="Q5971" s="5"/>
    </row>
    <row r="5972">
      <c r="J5972" s="5"/>
      <c r="P5972" s="9"/>
      <c r="Q5972" s="5"/>
    </row>
    <row r="5973">
      <c r="J5973" s="5"/>
      <c r="P5973" s="9"/>
      <c r="Q5973" s="5"/>
    </row>
    <row r="5974">
      <c r="J5974" s="5"/>
      <c r="P5974" s="9"/>
      <c r="Q5974" s="5"/>
    </row>
    <row r="5975">
      <c r="J5975" s="5"/>
      <c r="P5975" s="9"/>
      <c r="Q5975" s="5"/>
    </row>
    <row r="5976">
      <c r="J5976" s="5"/>
      <c r="P5976" s="9"/>
      <c r="Q5976" s="5"/>
    </row>
    <row r="5977">
      <c r="J5977" s="5"/>
      <c r="P5977" s="9"/>
      <c r="Q5977" s="5"/>
    </row>
    <row r="5978">
      <c r="J5978" s="5"/>
      <c r="P5978" s="9"/>
      <c r="Q5978" s="5"/>
    </row>
    <row r="5979">
      <c r="J5979" s="5"/>
      <c r="P5979" s="9"/>
      <c r="Q5979" s="5"/>
    </row>
    <row r="5980">
      <c r="J5980" s="5"/>
      <c r="P5980" s="9"/>
      <c r="Q5980" s="5"/>
    </row>
    <row r="5981">
      <c r="J5981" s="5"/>
      <c r="P5981" s="9"/>
      <c r="Q5981" s="5"/>
    </row>
    <row r="5982">
      <c r="J5982" s="5"/>
      <c r="P5982" s="9"/>
      <c r="Q5982" s="5"/>
    </row>
    <row r="5983">
      <c r="J5983" s="5"/>
      <c r="P5983" s="9"/>
      <c r="Q5983" s="5"/>
    </row>
    <row r="5984">
      <c r="J5984" s="5"/>
      <c r="P5984" s="9"/>
      <c r="Q5984" s="5"/>
    </row>
    <row r="5985">
      <c r="J5985" s="5"/>
      <c r="P5985" s="9"/>
      <c r="Q5985" s="5"/>
    </row>
    <row r="5986">
      <c r="J5986" s="5"/>
      <c r="P5986" s="9"/>
      <c r="Q5986" s="5"/>
    </row>
    <row r="5987">
      <c r="J5987" s="5"/>
      <c r="P5987" s="9"/>
      <c r="Q5987" s="5"/>
    </row>
    <row r="5988">
      <c r="J5988" s="5"/>
      <c r="P5988" s="9"/>
      <c r="Q5988" s="5"/>
    </row>
    <row r="5989">
      <c r="J5989" s="5"/>
      <c r="P5989" s="9"/>
      <c r="Q5989" s="5"/>
    </row>
    <row r="5990">
      <c r="J5990" s="5"/>
      <c r="P5990" s="9"/>
      <c r="Q5990" s="5"/>
    </row>
    <row r="5991">
      <c r="J5991" s="5"/>
      <c r="P5991" s="9"/>
      <c r="Q5991" s="5"/>
    </row>
    <row r="5992">
      <c r="J5992" s="5"/>
      <c r="P5992" s="9"/>
      <c r="Q5992" s="5"/>
    </row>
    <row r="5993">
      <c r="J5993" s="5"/>
      <c r="P5993" s="9"/>
      <c r="Q5993" s="5"/>
    </row>
    <row r="5994">
      <c r="J5994" s="5"/>
      <c r="P5994" s="9"/>
      <c r="Q5994" s="5"/>
    </row>
    <row r="5995">
      <c r="J5995" s="5"/>
      <c r="P5995" s="9"/>
      <c r="Q5995" s="5"/>
    </row>
    <row r="5996">
      <c r="J5996" s="5"/>
      <c r="P5996" s="9"/>
      <c r="Q5996" s="5"/>
    </row>
    <row r="5997">
      <c r="J5997" s="5"/>
      <c r="P5997" s="9"/>
      <c r="Q5997" s="5"/>
    </row>
    <row r="5998">
      <c r="J5998" s="5"/>
      <c r="P5998" s="9"/>
      <c r="Q5998" s="5"/>
    </row>
    <row r="5999">
      <c r="J5999" s="5"/>
      <c r="P5999" s="9"/>
      <c r="Q5999" s="5"/>
    </row>
    <row r="6000">
      <c r="J6000" s="5"/>
      <c r="P6000" s="9"/>
      <c r="Q6000" s="5"/>
    </row>
    <row r="6001">
      <c r="J6001" s="5"/>
      <c r="P6001" s="9"/>
      <c r="Q6001" s="5"/>
    </row>
    <row r="6002">
      <c r="J6002" s="5"/>
      <c r="P6002" s="9"/>
      <c r="Q6002" s="5"/>
    </row>
    <row r="6003">
      <c r="J6003" s="5"/>
      <c r="P6003" s="9"/>
      <c r="Q6003" s="5"/>
    </row>
    <row r="6004">
      <c r="J6004" s="5"/>
      <c r="P6004" s="9"/>
      <c r="Q6004" s="5"/>
    </row>
    <row r="6005">
      <c r="J6005" s="5"/>
      <c r="P6005" s="9"/>
      <c r="Q6005" s="5"/>
    </row>
    <row r="6006">
      <c r="J6006" s="5"/>
      <c r="P6006" s="9"/>
      <c r="Q6006" s="5"/>
    </row>
    <row r="6007">
      <c r="J6007" s="5"/>
      <c r="P6007" s="9"/>
      <c r="Q6007" s="5"/>
    </row>
    <row r="6008">
      <c r="J6008" s="5"/>
      <c r="P6008" s="9"/>
      <c r="Q6008" s="5"/>
    </row>
    <row r="6009">
      <c r="J6009" s="5"/>
      <c r="P6009" s="9"/>
      <c r="Q6009" s="5"/>
    </row>
    <row r="6010">
      <c r="J6010" s="5"/>
      <c r="P6010" s="9"/>
      <c r="Q6010" s="5"/>
    </row>
    <row r="6011">
      <c r="J6011" s="5"/>
      <c r="P6011" s="9"/>
      <c r="Q6011" s="5"/>
    </row>
    <row r="6012">
      <c r="J6012" s="5"/>
      <c r="P6012" s="9"/>
      <c r="Q6012" s="5"/>
    </row>
    <row r="6013">
      <c r="J6013" s="5"/>
      <c r="P6013" s="9"/>
      <c r="Q6013" s="5"/>
    </row>
    <row r="6014">
      <c r="J6014" s="5"/>
      <c r="P6014" s="9"/>
      <c r="Q6014" s="5"/>
    </row>
    <row r="6015">
      <c r="J6015" s="5"/>
      <c r="P6015" s="9"/>
      <c r="Q6015" s="5"/>
    </row>
    <row r="6016">
      <c r="J6016" s="5"/>
      <c r="P6016" s="9"/>
      <c r="Q6016" s="5"/>
    </row>
    <row r="6017">
      <c r="J6017" s="5"/>
      <c r="P6017" s="9"/>
      <c r="Q6017" s="5"/>
    </row>
    <row r="6018">
      <c r="J6018" s="5"/>
      <c r="P6018" s="9"/>
      <c r="Q6018" s="5"/>
    </row>
    <row r="6019">
      <c r="J6019" s="5"/>
      <c r="P6019" s="9"/>
      <c r="Q6019" s="5"/>
    </row>
    <row r="6020">
      <c r="J6020" s="5"/>
      <c r="P6020" s="9"/>
      <c r="Q6020" s="5"/>
    </row>
    <row r="6021">
      <c r="J6021" s="5"/>
      <c r="P6021" s="9"/>
      <c r="Q6021" s="5"/>
    </row>
    <row r="6022">
      <c r="J6022" s="5"/>
      <c r="P6022" s="9"/>
      <c r="Q6022" s="5"/>
    </row>
    <row r="6023">
      <c r="J6023" s="5"/>
      <c r="P6023" s="9"/>
      <c r="Q6023" s="5"/>
    </row>
    <row r="6024">
      <c r="J6024" s="5"/>
      <c r="P6024" s="9"/>
      <c r="Q6024" s="5"/>
    </row>
    <row r="6025">
      <c r="J6025" s="5"/>
      <c r="P6025" s="9"/>
      <c r="Q6025" s="5"/>
    </row>
    <row r="6026">
      <c r="J6026" s="5"/>
      <c r="P6026" s="9"/>
      <c r="Q6026" s="5"/>
    </row>
    <row r="6027">
      <c r="J6027" s="5"/>
      <c r="P6027" s="9"/>
      <c r="Q6027" s="5"/>
    </row>
    <row r="6028">
      <c r="J6028" s="5"/>
      <c r="P6028" s="9"/>
      <c r="Q6028" s="5"/>
    </row>
    <row r="6029">
      <c r="J6029" s="5"/>
      <c r="P6029" s="9"/>
      <c r="Q6029" s="5"/>
    </row>
    <row r="6030">
      <c r="J6030" s="5"/>
      <c r="P6030" s="9"/>
      <c r="Q6030" s="5"/>
    </row>
    <row r="6031">
      <c r="J6031" s="5"/>
      <c r="P6031" s="9"/>
      <c r="Q6031" s="5"/>
    </row>
    <row r="6032">
      <c r="J6032" s="5"/>
      <c r="P6032" s="9"/>
      <c r="Q6032" s="5"/>
    </row>
    <row r="6033">
      <c r="J6033" s="5"/>
      <c r="P6033" s="9"/>
      <c r="Q6033" s="5"/>
    </row>
    <row r="6034">
      <c r="J6034" s="5"/>
      <c r="P6034" s="9"/>
      <c r="Q6034" s="5"/>
    </row>
    <row r="6035">
      <c r="J6035" s="5"/>
      <c r="P6035" s="9"/>
      <c r="Q6035" s="5"/>
    </row>
    <row r="6036">
      <c r="J6036" s="5"/>
      <c r="P6036" s="9"/>
      <c r="Q6036" s="5"/>
    </row>
    <row r="6037">
      <c r="J6037" s="5"/>
      <c r="P6037" s="9"/>
      <c r="Q6037" s="5"/>
    </row>
    <row r="6038">
      <c r="J6038" s="5"/>
      <c r="P6038" s="9"/>
      <c r="Q6038" s="5"/>
    </row>
    <row r="6039">
      <c r="J6039" s="5"/>
      <c r="P6039" s="9"/>
      <c r="Q6039" s="5"/>
    </row>
    <row r="6040">
      <c r="J6040" s="5"/>
      <c r="P6040" s="9"/>
      <c r="Q6040" s="5"/>
    </row>
    <row r="6041">
      <c r="J6041" s="5"/>
      <c r="P6041" s="9"/>
      <c r="Q6041" s="5"/>
    </row>
    <row r="6042">
      <c r="J6042" s="5"/>
      <c r="P6042" s="9"/>
      <c r="Q6042" s="5"/>
    </row>
    <row r="6043">
      <c r="J6043" s="5"/>
      <c r="P6043" s="9"/>
      <c r="Q6043" s="5"/>
    </row>
    <row r="6044">
      <c r="J6044" s="5"/>
      <c r="P6044" s="9"/>
      <c r="Q6044" s="5"/>
    </row>
    <row r="6045">
      <c r="J6045" s="5"/>
      <c r="P6045" s="9"/>
      <c r="Q6045" s="5"/>
    </row>
    <row r="6046">
      <c r="J6046" s="5"/>
      <c r="P6046" s="9"/>
      <c r="Q6046" s="5"/>
    </row>
    <row r="6047">
      <c r="J6047" s="5"/>
      <c r="P6047" s="9"/>
      <c r="Q6047" s="5"/>
    </row>
    <row r="6048">
      <c r="J6048" s="5"/>
      <c r="P6048" s="9"/>
      <c r="Q6048" s="5"/>
    </row>
    <row r="6049">
      <c r="J6049" s="5"/>
      <c r="P6049" s="9"/>
      <c r="Q6049" s="5"/>
    </row>
    <row r="6050">
      <c r="J6050" s="5"/>
      <c r="P6050" s="9"/>
      <c r="Q6050" s="5"/>
    </row>
    <row r="6051">
      <c r="J6051" s="5"/>
      <c r="P6051" s="9"/>
      <c r="Q6051" s="5"/>
    </row>
    <row r="6052">
      <c r="J6052" s="5"/>
      <c r="P6052" s="9"/>
      <c r="Q6052" s="5"/>
    </row>
    <row r="6053">
      <c r="J6053" s="5"/>
      <c r="P6053" s="9"/>
      <c r="Q6053" s="5"/>
    </row>
    <row r="6054">
      <c r="J6054" s="5"/>
      <c r="P6054" s="9"/>
      <c r="Q6054" s="5"/>
    </row>
    <row r="6055">
      <c r="J6055" s="5"/>
      <c r="P6055" s="9"/>
      <c r="Q6055" s="5"/>
    </row>
    <row r="6056">
      <c r="J6056" s="5"/>
      <c r="P6056" s="9"/>
      <c r="Q6056" s="5"/>
    </row>
    <row r="6057">
      <c r="J6057" s="5"/>
      <c r="P6057" s="9"/>
      <c r="Q6057" s="5"/>
    </row>
    <row r="6058">
      <c r="J6058" s="5"/>
      <c r="P6058" s="9"/>
      <c r="Q6058" s="5"/>
    </row>
    <row r="6059">
      <c r="J6059" s="5"/>
      <c r="P6059" s="9"/>
      <c r="Q6059" s="5"/>
    </row>
    <row r="6060">
      <c r="J6060" s="5"/>
      <c r="P6060" s="9"/>
      <c r="Q6060" s="5"/>
    </row>
    <row r="6061">
      <c r="J6061" s="5"/>
      <c r="P6061" s="9"/>
      <c r="Q6061" s="5"/>
    </row>
    <row r="6062">
      <c r="J6062" s="5"/>
      <c r="P6062" s="9"/>
      <c r="Q6062" s="5"/>
    </row>
    <row r="6063">
      <c r="J6063" s="5"/>
      <c r="P6063" s="9"/>
      <c r="Q6063" s="5"/>
    </row>
    <row r="6064">
      <c r="J6064" s="5"/>
      <c r="P6064" s="9"/>
      <c r="Q6064" s="5"/>
    </row>
    <row r="6065">
      <c r="J6065" s="5"/>
      <c r="P6065" s="9"/>
      <c r="Q6065" s="5"/>
    </row>
    <row r="6066">
      <c r="J6066" s="5"/>
      <c r="P6066" s="9"/>
      <c r="Q6066" s="5"/>
    </row>
    <row r="6067">
      <c r="J6067" s="5"/>
      <c r="P6067" s="9"/>
      <c r="Q6067" s="5"/>
    </row>
    <row r="6068">
      <c r="J6068" s="5"/>
      <c r="P6068" s="9"/>
      <c r="Q6068" s="5"/>
    </row>
    <row r="6069">
      <c r="J6069" s="5"/>
      <c r="P6069" s="9"/>
      <c r="Q6069" s="5"/>
    </row>
    <row r="6070">
      <c r="J6070" s="5"/>
      <c r="P6070" s="9"/>
      <c r="Q6070" s="5"/>
    </row>
    <row r="6071">
      <c r="J6071" s="5"/>
      <c r="P6071" s="9"/>
      <c r="Q6071" s="5"/>
    </row>
    <row r="6072">
      <c r="J6072" s="5"/>
      <c r="P6072" s="9"/>
      <c r="Q6072" s="5"/>
    </row>
    <row r="6073">
      <c r="J6073" s="5"/>
      <c r="P6073" s="9"/>
      <c r="Q6073" s="5"/>
    </row>
    <row r="6074">
      <c r="J6074" s="5"/>
      <c r="P6074" s="9"/>
      <c r="Q6074" s="5"/>
    </row>
    <row r="6075">
      <c r="J6075" s="5"/>
      <c r="P6075" s="9"/>
      <c r="Q6075" s="5"/>
    </row>
    <row r="6076">
      <c r="J6076" s="5"/>
      <c r="P6076" s="9"/>
      <c r="Q6076" s="5"/>
    </row>
    <row r="6077">
      <c r="J6077" s="5"/>
      <c r="P6077" s="9"/>
      <c r="Q6077" s="5"/>
    </row>
    <row r="6078">
      <c r="J6078" s="5"/>
      <c r="P6078" s="9"/>
      <c r="Q6078" s="5"/>
    </row>
    <row r="6079">
      <c r="J6079" s="5"/>
      <c r="P6079" s="9"/>
      <c r="Q6079" s="5"/>
    </row>
    <row r="6080">
      <c r="J6080" s="5"/>
      <c r="P6080" s="9"/>
      <c r="Q6080" s="5"/>
    </row>
    <row r="6081">
      <c r="J6081" s="5"/>
      <c r="P6081" s="9"/>
      <c r="Q6081" s="5"/>
    </row>
    <row r="6082">
      <c r="J6082" s="5"/>
      <c r="P6082" s="9"/>
      <c r="Q6082" s="5"/>
    </row>
    <row r="6083">
      <c r="J6083" s="5"/>
      <c r="P6083" s="9"/>
      <c r="Q6083" s="5"/>
    </row>
    <row r="6084">
      <c r="J6084" s="5"/>
      <c r="P6084" s="9"/>
      <c r="Q6084" s="5"/>
    </row>
    <row r="6085">
      <c r="J6085" s="5"/>
      <c r="P6085" s="9"/>
      <c r="Q6085" s="5"/>
    </row>
    <row r="6086">
      <c r="J6086" s="5"/>
      <c r="P6086" s="9"/>
      <c r="Q6086" s="5"/>
    </row>
    <row r="6087">
      <c r="J6087" s="5"/>
      <c r="P6087" s="9"/>
      <c r="Q6087" s="5"/>
    </row>
    <row r="6088">
      <c r="J6088" s="5"/>
      <c r="P6088" s="9"/>
      <c r="Q6088" s="5"/>
    </row>
    <row r="6089">
      <c r="J6089" s="5"/>
      <c r="P6089" s="9"/>
      <c r="Q6089" s="5"/>
    </row>
    <row r="6090">
      <c r="J6090" s="5"/>
      <c r="P6090" s="9"/>
      <c r="Q6090" s="5"/>
    </row>
    <row r="6091">
      <c r="J6091" s="5"/>
      <c r="P6091" s="9"/>
      <c r="Q6091" s="5"/>
    </row>
    <row r="6092">
      <c r="J6092" s="5"/>
      <c r="P6092" s="9"/>
      <c r="Q6092" s="5"/>
    </row>
    <row r="6093">
      <c r="J6093" s="5"/>
      <c r="P6093" s="9"/>
      <c r="Q6093" s="5"/>
    </row>
    <row r="6094">
      <c r="J6094" s="5"/>
      <c r="P6094" s="9"/>
      <c r="Q6094" s="5"/>
    </row>
    <row r="6095">
      <c r="J6095" s="5"/>
      <c r="P6095" s="9"/>
      <c r="Q6095" s="5"/>
    </row>
    <row r="6096">
      <c r="J6096" s="5"/>
      <c r="P6096" s="9"/>
      <c r="Q6096" s="5"/>
    </row>
    <row r="6097">
      <c r="J6097" s="5"/>
      <c r="P6097" s="9"/>
      <c r="Q6097" s="5"/>
    </row>
    <row r="6098">
      <c r="J6098" s="5"/>
      <c r="P6098" s="9"/>
      <c r="Q6098" s="5"/>
    </row>
    <row r="6099">
      <c r="J6099" s="5"/>
      <c r="P6099" s="9"/>
      <c r="Q6099" s="5"/>
    </row>
    <row r="6100">
      <c r="J6100" s="5"/>
      <c r="P6100" s="9"/>
      <c r="Q6100" s="5"/>
    </row>
    <row r="6101">
      <c r="J6101" s="5"/>
      <c r="P6101" s="9"/>
      <c r="Q6101" s="5"/>
    </row>
    <row r="6102">
      <c r="J6102" s="5"/>
      <c r="P6102" s="9"/>
      <c r="Q6102" s="5"/>
    </row>
    <row r="6103">
      <c r="J6103" s="5"/>
      <c r="P6103" s="9"/>
      <c r="Q6103" s="5"/>
    </row>
    <row r="6104">
      <c r="J6104" s="5"/>
      <c r="P6104" s="9"/>
      <c r="Q6104" s="5"/>
    </row>
    <row r="6105">
      <c r="J6105" s="5"/>
      <c r="P6105" s="9"/>
      <c r="Q6105" s="5"/>
    </row>
    <row r="6106">
      <c r="J6106" s="5"/>
      <c r="P6106" s="9"/>
      <c r="Q6106" s="5"/>
    </row>
    <row r="6107">
      <c r="J6107" s="5"/>
      <c r="P6107" s="9"/>
      <c r="Q6107" s="5"/>
    </row>
    <row r="6108">
      <c r="J6108" s="5"/>
      <c r="P6108" s="9"/>
      <c r="Q6108" s="5"/>
    </row>
    <row r="6109">
      <c r="J6109" s="5"/>
      <c r="P6109" s="9"/>
      <c r="Q6109" s="5"/>
    </row>
    <row r="6110">
      <c r="J6110" s="5"/>
      <c r="P6110" s="9"/>
      <c r="Q6110" s="5"/>
    </row>
    <row r="6111">
      <c r="J6111" s="5"/>
      <c r="P6111" s="9"/>
      <c r="Q6111" s="5"/>
    </row>
    <row r="6112">
      <c r="J6112" s="5"/>
      <c r="P6112" s="9"/>
      <c r="Q6112" s="5"/>
    </row>
    <row r="6113">
      <c r="J6113" s="5"/>
      <c r="P6113" s="9"/>
      <c r="Q6113" s="5"/>
    </row>
    <row r="6114">
      <c r="J6114" s="5"/>
      <c r="P6114" s="9"/>
      <c r="Q6114" s="5"/>
    </row>
    <row r="6115">
      <c r="J6115" s="5"/>
      <c r="P6115" s="9"/>
      <c r="Q6115" s="5"/>
    </row>
    <row r="6116">
      <c r="J6116" s="5"/>
      <c r="P6116" s="9"/>
      <c r="Q6116" s="5"/>
    </row>
    <row r="6117">
      <c r="J6117" s="5"/>
      <c r="P6117" s="9"/>
      <c r="Q6117" s="5"/>
    </row>
    <row r="6118">
      <c r="J6118" s="5"/>
      <c r="P6118" s="9"/>
      <c r="Q6118" s="5"/>
    </row>
    <row r="6119">
      <c r="J6119" s="5"/>
      <c r="P6119" s="9"/>
      <c r="Q6119" s="5"/>
    </row>
    <row r="6120">
      <c r="J6120" s="5"/>
      <c r="P6120" s="9"/>
      <c r="Q6120" s="5"/>
    </row>
    <row r="6121">
      <c r="J6121" s="5"/>
      <c r="P6121" s="9"/>
      <c r="Q6121" s="5"/>
    </row>
    <row r="6122">
      <c r="J6122" s="5"/>
      <c r="P6122" s="9"/>
      <c r="Q6122" s="5"/>
    </row>
    <row r="6123">
      <c r="J6123" s="5"/>
      <c r="P6123" s="9"/>
      <c r="Q6123" s="5"/>
    </row>
    <row r="6124">
      <c r="J6124" s="5"/>
      <c r="P6124" s="9"/>
      <c r="Q6124" s="5"/>
    </row>
    <row r="6125">
      <c r="J6125" s="5"/>
      <c r="P6125" s="9"/>
      <c r="Q6125" s="5"/>
    </row>
    <row r="6126">
      <c r="J6126" s="5"/>
      <c r="P6126" s="9"/>
      <c r="Q6126" s="5"/>
    </row>
    <row r="6127">
      <c r="J6127" s="5"/>
      <c r="P6127" s="9"/>
      <c r="Q6127" s="5"/>
    </row>
    <row r="6128">
      <c r="J6128" s="5"/>
      <c r="P6128" s="9"/>
      <c r="Q6128" s="5"/>
    </row>
    <row r="6129">
      <c r="J6129" s="5"/>
      <c r="P6129" s="9"/>
      <c r="Q6129" s="5"/>
    </row>
    <row r="6130">
      <c r="J6130" s="5"/>
      <c r="P6130" s="9"/>
      <c r="Q6130" s="5"/>
    </row>
    <row r="6131">
      <c r="J6131" s="5"/>
      <c r="P6131" s="9"/>
      <c r="Q6131" s="5"/>
    </row>
    <row r="6132">
      <c r="J6132" s="5"/>
      <c r="P6132" s="9"/>
      <c r="Q6132" s="5"/>
    </row>
    <row r="6133">
      <c r="J6133" s="5"/>
      <c r="P6133" s="9"/>
      <c r="Q6133" s="5"/>
    </row>
    <row r="6134">
      <c r="J6134" s="5"/>
      <c r="P6134" s="9"/>
      <c r="Q6134" s="5"/>
    </row>
    <row r="6135">
      <c r="J6135" s="5"/>
      <c r="P6135" s="9"/>
      <c r="Q6135" s="5"/>
    </row>
    <row r="6136">
      <c r="J6136" s="5"/>
      <c r="P6136" s="9"/>
      <c r="Q6136" s="5"/>
    </row>
    <row r="6137">
      <c r="J6137" s="5"/>
      <c r="P6137" s="9"/>
      <c r="Q6137" s="5"/>
    </row>
    <row r="6138">
      <c r="J6138" s="5"/>
      <c r="P6138" s="9"/>
      <c r="Q6138" s="5"/>
    </row>
    <row r="6139">
      <c r="J6139" s="5"/>
      <c r="P6139" s="9"/>
      <c r="Q6139" s="5"/>
    </row>
    <row r="6140">
      <c r="J6140" s="5"/>
      <c r="P6140" s="9"/>
      <c r="Q6140" s="5"/>
    </row>
    <row r="6141">
      <c r="J6141" s="5"/>
      <c r="P6141" s="9"/>
      <c r="Q6141" s="5"/>
    </row>
    <row r="6142">
      <c r="J6142" s="5"/>
      <c r="P6142" s="9"/>
      <c r="Q6142" s="5"/>
    </row>
    <row r="6143">
      <c r="J6143" s="5"/>
      <c r="P6143" s="9"/>
      <c r="Q6143" s="5"/>
    </row>
    <row r="6144">
      <c r="J6144" s="5"/>
      <c r="P6144" s="9"/>
      <c r="Q6144" s="5"/>
    </row>
    <row r="6145">
      <c r="J6145" s="5"/>
      <c r="P6145" s="9"/>
      <c r="Q6145" s="5"/>
    </row>
    <row r="6146">
      <c r="J6146" s="5"/>
      <c r="P6146" s="9"/>
      <c r="Q6146" s="5"/>
    </row>
    <row r="6147">
      <c r="J6147" s="5"/>
      <c r="P6147" s="9"/>
      <c r="Q6147" s="5"/>
    </row>
    <row r="6148">
      <c r="J6148" s="5"/>
      <c r="P6148" s="9"/>
      <c r="Q6148" s="5"/>
    </row>
    <row r="6149">
      <c r="J6149" s="5"/>
      <c r="P6149" s="9"/>
      <c r="Q6149" s="5"/>
    </row>
    <row r="6150">
      <c r="J6150" s="5"/>
      <c r="P6150" s="9"/>
      <c r="Q6150" s="5"/>
    </row>
    <row r="6151">
      <c r="J6151" s="5"/>
      <c r="P6151" s="9"/>
      <c r="Q6151" s="5"/>
    </row>
    <row r="6152">
      <c r="J6152" s="5"/>
      <c r="P6152" s="9"/>
      <c r="Q6152" s="5"/>
    </row>
    <row r="6153">
      <c r="J6153" s="5"/>
      <c r="P6153" s="9"/>
      <c r="Q6153" s="5"/>
    </row>
    <row r="6154">
      <c r="J6154" s="5"/>
      <c r="P6154" s="9"/>
      <c r="Q6154" s="5"/>
    </row>
    <row r="6155">
      <c r="J6155" s="5"/>
      <c r="P6155" s="9"/>
      <c r="Q6155" s="5"/>
    </row>
    <row r="6156">
      <c r="J6156" s="5"/>
      <c r="P6156" s="9"/>
      <c r="Q6156" s="5"/>
    </row>
    <row r="6157">
      <c r="J6157" s="5"/>
      <c r="P6157" s="9"/>
      <c r="Q6157" s="5"/>
    </row>
    <row r="6158">
      <c r="J6158" s="5"/>
      <c r="P6158" s="9"/>
      <c r="Q6158" s="5"/>
    </row>
    <row r="6159">
      <c r="J6159" s="5"/>
      <c r="P6159" s="9"/>
      <c r="Q6159" s="5"/>
    </row>
    <row r="6160">
      <c r="J6160" s="5"/>
      <c r="P6160" s="9"/>
      <c r="Q6160" s="5"/>
    </row>
    <row r="6161">
      <c r="J6161" s="5"/>
      <c r="P6161" s="9"/>
      <c r="Q6161" s="5"/>
    </row>
    <row r="6162">
      <c r="J6162" s="5"/>
      <c r="P6162" s="9"/>
      <c r="Q6162" s="5"/>
    </row>
    <row r="6163">
      <c r="J6163" s="5"/>
      <c r="P6163" s="9"/>
      <c r="Q6163" s="5"/>
    </row>
    <row r="6164">
      <c r="J6164" s="5"/>
      <c r="P6164" s="9"/>
      <c r="Q6164" s="5"/>
    </row>
    <row r="6165">
      <c r="J6165" s="5"/>
      <c r="P6165" s="9"/>
      <c r="Q6165" s="5"/>
    </row>
    <row r="6166">
      <c r="J6166" s="5"/>
      <c r="P6166" s="9"/>
      <c r="Q6166" s="5"/>
    </row>
    <row r="6167">
      <c r="J6167" s="5"/>
      <c r="P6167" s="9"/>
      <c r="Q6167" s="5"/>
    </row>
    <row r="6168">
      <c r="J6168" s="5"/>
      <c r="P6168" s="9"/>
      <c r="Q6168" s="5"/>
    </row>
    <row r="6169">
      <c r="J6169" s="5"/>
      <c r="P6169" s="9"/>
      <c r="Q6169" s="5"/>
    </row>
    <row r="6170">
      <c r="J6170" s="5"/>
      <c r="P6170" s="9"/>
      <c r="Q6170" s="5"/>
    </row>
    <row r="6171">
      <c r="J6171" s="5"/>
      <c r="P6171" s="9"/>
      <c r="Q6171" s="5"/>
    </row>
    <row r="6172">
      <c r="J6172" s="5"/>
      <c r="P6172" s="9"/>
      <c r="Q6172" s="5"/>
    </row>
    <row r="6173">
      <c r="J6173" s="5"/>
      <c r="P6173" s="9"/>
      <c r="Q6173" s="5"/>
    </row>
    <row r="6174">
      <c r="J6174" s="5"/>
      <c r="P6174" s="9"/>
      <c r="Q6174" s="5"/>
    </row>
    <row r="6175">
      <c r="J6175" s="5"/>
      <c r="P6175" s="9"/>
      <c r="Q6175" s="5"/>
    </row>
    <row r="6176">
      <c r="J6176" s="5"/>
      <c r="P6176" s="9"/>
      <c r="Q6176" s="5"/>
    </row>
    <row r="6177">
      <c r="J6177" s="5"/>
      <c r="P6177" s="9"/>
      <c r="Q6177" s="5"/>
    </row>
    <row r="6178">
      <c r="J6178" s="5"/>
      <c r="P6178" s="9"/>
      <c r="Q6178" s="5"/>
    </row>
    <row r="6179">
      <c r="J6179" s="5"/>
      <c r="P6179" s="9"/>
      <c r="Q6179" s="5"/>
    </row>
    <row r="6180">
      <c r="J6180" s="5"/>
      <c r="P6180" s="9"/>
      <c r="Q6180" s="5"/>
    </row>
    <row r="6181">
      <c r="J6181" s="5"/>
      <c r="P6181" s="9"/>
      <c r="Q6181" s="5"/>
    </row>
    <row r="6182">
      <c r="J6182" s="5"/>
      <c r="P6182" s="9"/>
      <c r="Q6182" s="5"/>
    </row>
    <row r="6183">
      <c r="J6183" s="5"/>
      <c r="P6183" s="9"/>
      <c r="Q6183" s="5"/>
    </row>
    <row r="6184">
      <c r="J6184" s="5"/>
      <c r="P6184" s="9"/>
      <c r="Q6184" s="5"/>
    </row>
    <row r="6185">
      <c r="J6185" s="5"/>
      <c r="P6185" s="9"/>
      <c r="Q6185" s="5"/>
    </row>
    <row r="6186">
      <c r="J6186" s="5"/>
      <c r="P6186" s="9"/>
      <c r="Q6186" s="5"/>
    </row>
    <row r="6187">
      <c r="J6187" s="5"/>
      <c r="P6187" s="9"/>
      <c r="Q6187" s="5"/>
    </row>
    <row r="6188">
      <c r="J6188" s="5"/>
      <c r="P6188" s="9"/>
      <c r="Q6188" s="5"/>
    </row>
    <row r="6189">
      <c r="J6189" s="5"/>
      <c r="P6189" s="9"/>
      <c r="Q6189" s="5"/>
    </row>
    <row r="6190">
      <c r="J6190" s="5"/>
      <c r="P6190" s="9"/>
      <c r="Q6190" s="5"/>
    </row>
    <row r="6191">
      <c r="J6191" s="5"/>
      <c r="P6191" s="9"/>
      <c r="Q6191" s="5"/>
    </row>
    <row r="6192">
      <c r="J6192" s="5"/>
      <c r="P6192" s="9"/>
      <c r="Q6192" s="5"/>
    </row>
    <row r="6193">
      <c r="J6193" s="5"/>
      <c r="P6193" s="9"/>
      <c r="Q6193" s="5"/>
    </row>
    <row r="6194">
      <c r="J6194" s="5"/>
      <c r="P6194" s="9"/>
      <c r="Q6194" s="5"/>
    </row>
    <row r="6195">
      <c r="J6195" s="5"/>
      <c r="P6195" s="9"/>
      <c r="Q6195" s="5"/>
    </row>
    <row r="6196">
      <c r="J6196" s="5"/>
      <c r="P6196" s="9"/>
      <c r="Q6196" s="5"/>
    </row>
    <row r="6197">
      <c r="J6197" s="5"/>
      <c r="P6197" s="9"/>
      <c r="Q6197" s="5"/>
    </row>
    <row r="6198">
      <c r="J6198" s="5"/>
      <c r="P6198" s="9"/>
      <c r="Q6198" s="5"/>
    </row>
    <row r="6199">
      <c r="J6199" s="5"/>
      <c r="P6199" s="9"/>
      <c r="Q6199" s="5"/>
    </row>
    <row r="6200">
      <c r="J6200" s="5"/>
      <c r="P6200" s="9"/>
      <c r="Q6200" s="5"/>
    </row>
    <row r="6201">
      <c r="J6201" s="5"/>
      <c r="P6201" s="9"/>
      <c r="Q6201" s="5"/>
    </row>
    <row r="6202">
      <c r="J6202" s="5"/>
      <c r="P6202" s="9"/>
      <c r="Q6202" s="5"/>
    </row>
    <row r="6203">
      <c r="J6203" s="5"/>
      <c r="P6203" s="9"/>
      <c r="Q6203" s="5"/>
    </row>
    <row r="6204">
      <c r="J6204" s="5"/>
      <c r="P6204" s="9"/>
      <c r="Q6204" s="5"/>
    </row>
    <row r="6205">
      <c r="J6205" s="5"/>
      <c r="P6205" s="9"/>
      <c r="Q6205" s="5"/>
    </row>
    <row r="6206">
      <c r="J6206" s="5"/>
      <c r="P6206" s="9"/>
      <c r="Q6206" s="5"/>
    </row>
    <row r="6207">
      <c r="J6207" s="5"/>
      <c r="P6207" s="9"/>
      <c r="Q6207" s="5"/>
    </row>
    <row r="6208">
      <c r="J6208" s="5"/>
      <c r="P6208" s="9"/>
      <c r="Q6208" s="5"/>
    </row>
    <row r="6209">
      <c r="J6209" s="5"/>
      <c r="P6209" s="9"/>
      <c r="Q6209" s="5"/>
    </row>
    <row r="6210">
      <c r="J6210" s="5"/>
      <c r="P6210" s="9"/>
      <c r="Q6210" s="5"/>
    </row>
    <row r="6211">
      <c r="J6211" s="5"/>
      <c r="P6211" s="9"/>
      <c r="Q6211" s="5"/>
    </row>
    <row r="6212">
      <c r="J6212" s="5"/>
      <c r="P6212" s="9"/>
      <c r="Q6212" s="5"/>
    </row>
    <row r="6213">
      <c r="J6213" s="5"/>
      <c r="P6213" s="9"/>
      <c r="Q6213" s="5"/>
    </row>
    <row r="6214">
      <c r="J6214" s="5"/>
      <c r="P6214" s="9"/>
      <c r="Q6214" s="5"/>
    </row>
    <row r="6215">
      <c r="J6215" s="5"/>
      <c r="P6215" s="9"/>
      <c r="Q6215" s="5"/>
    </row>
    <row r="6216">
      <c r="J6216" s="5"/>
      <c r="P6216" s="9"/>
      <c r="Q6216" s="5"/>
    </row>
    <row r="6217">
      <c r="J6217" s="5"/>
      <c r="P6217" s="9"/>
      <c r="Q6217" s="5"/>
    </row>
    <row r="6218">
      <c r="J6218" s="5"/>
      <c r="P6218" s="9"/>
      <c r="Q6218" s="5"/>
    </row>
    <row r="6219">
      <c r="J6219" s="5"/>
      <c r="P6219" s="9"/>
      <c r="Q6219" s="5"/>
    </row>
    <row r="6220">
      <c r="J6220" s="5"/>
      <c r="P6220" s="9"/>
      <c r="Q6220" s="5"/>
    </row>
    <row r="6221">
      <c r="J6221" s="5"/>
      <c r="P6221" s="9"/>
      <c r="Q6221" s="5"/>
    </row>
    <row r="6222">
      <c r="J6222" s="5"/>
      <c r="P6222" s="9"/>
      <c r="Q6222" s="5"/>
    </row>
    <row r="6223">
      <c r="J6223" s="5"/>
      <c r="P6223" s="9"/>
      <c r="Q6223" s="5"/>
    </row>
    <row r="6224">
      <c r="J6224" s="5"/>
      <c r="P6224" s="9"/>
      <c r="Q6224" s="5"/>
    </row>
    <row r="6225">
      <c r="J6225" s="5"/>
      <c r="P6225" s="9"/>
      <c r="Q6225" s="5"/>
    </row>
    <row r="6226">
      <c r="J6226" s="5"/>
      <c r="P6226" s="9"/>
      <c r="Q6226" s="5"/>
    </row>
    <row r="6227">
      <c r="J6227" s="5"/>
      <c r="P6227" s="9"/>
      <c r="Q6227" s="5"/>
    </row>
    <row r="6228">
      <c r="J6228" s="5"/>
      <c r="P6228" s="9"/>
      <c r="Q6228" s="5"/>
    </row>
    <row r="6229">
      <c r="J6229" s="5"/>
      <c r="P6229" s="9"/>
      <c r="Q6229" s="5"/>
    </row>
    <row r="6230">
      <c r="J6230" s="5"/>
      <c r="P6230" s="9"/>
      <c r="Q6230" s="5"/>
    </row>
    <row r="6231">
      <c r="J6231" s="5"/>
      <c r="P6231" s="9"/>
      <c r="Q6231" s="5"/>
    </row>
    <row r="6232">
      <c r="J6232" s="5"/>
      <c r="P6232" s="9"/>
      <c r="Q6232" s="5"/>
    </row>
    <row r="6233">
      <c r="J6233" s="5"/>
      <c r="P6233" s="9"/>
      <c r="Q6233" s="5"/>
    </row>
    <row r="6234">
      <c r="J6234" s="5"/>
      <c r="P6234" s="9"/>
      <c r="Q6234" s="5"/>
    </row>
    <row r="6235">
      <c r="J6235" s="5"/>
      <c r="P6235" s="9"/>
      <c r="Q6235" s="5"/>
    </row>
    <row r="6236">
      <c r="J6236" s="5"/>
      <c r="P6236" s="9"/>
      <c r="Q6236" s="5"/>
    </row>
    <row r="6237">
      <c r="J6237" s="5"/>
      <c r="P6237" s="9"/>
      <c r="Q6237" s="5"/>
    </row>
    <row r="6238">
      <c r="J6238" s="5"/>
      <c r="P6238" s="9"/>
      <c r="Q6238" s="5"/>
    </row>
    <row r="6239">
      <c r="J6239" s="5"/>
      <c r="P6239" s="9"/>
      <c r="Q6239" s="5"/>
    </row>
    <row r="6240">
      <c r="J6240" s="5"/>
      <c r="P6240" s="9"/>
      <c r="Q6240" s="5"/>
    </row>
    <row r="6241">
      <c r="J6241" s="5"/>
      <c r="P6241" s="9"/>
      <c r="Q6241" s="5"/>
    </row>
    <row r="6242">
      <c r="J6242" s="5"/>
      <c r="P6242" s="9"/>
      <c r="Q6242" s="5"/>
    </row>
    <row r="6243">
      <c r="J6243" s="5"/>
      <c r="P6243" s="9"/>
      <c r="Q6243" s="5"/>
    </row>
    <row r="6244">
      <c r="J6244" s="5"/>
      <c r="P6244" s="9"/>
      <c r="Q6244" s="5"/>
    </row>
    <row r="6245">
      <c r="J6245" s="5"/>
      <c r="P6245" s="9"/>
      <c r="Q6245" s="5"/>
    </row>
    <row r="6246">
      <c r="J6246" s="5"/>
      <c r="P6246" s="9"/>
      <c r="Q6246" s="5"/>
    </row>
    <row r="6247">
      <c r="J6247" s="5"/>
      <c r="P6247" s="9"/>
      <c r="Q6247" s="5"/>
    </row>
    <row r="6248">
      <c r="J6248" s="5"/>
      <c r="P6248" s="9"/>
      <c r="Q6248" s="5"/>
    </row>
    <row r="6249">
      <c r="J6249" s="5"/>
      <c r="P6249" s="9"/>
      <c r="Q6249" s="5"/>
    </row>
    <row r="6250">
      <c r="J6250" s="5"/>
      <c r="P6250" s="9"/>
      <c r="Q6250" s="5"/>
    </row>
    <row r="6251">
      <c r="J6251" s="5"/>
      <c r="P6251" s="9"/>
      <c r="Q6251" s="5"/>
    </row>
    <row r="6252">
      <c r="J6252" s="5"/>
      <c r="P6252" s="9"/>
      <c r="Q6252" s="5"/>
    </row>
    <row r="6253">
      <c r="J6253" s="5"/>
      <c r="P6253" s="9"/>
      <c r="Q6253" s="5"/>
    </row>
    <row r="6254">
      <c r="J6254" s="5"/>
      <c r="P6254" s="9"/>
      <c r="Q6254" s="5"/>
    </row>
    <row r="6255">
      <c r="J6255" s="5"/>
      <c r="P6255" s="9"/>
      <c r="Q6255" s="5"/>
    </row>
    <row r="6256">
      <c r="J6256" s="5"/>
      <c r="P6256" s="9"/>
      <c r="Q6256" s="5"/>
    </row>
    <row r="6257">
      <c r="J6257" s="5"/>
      <c r="P6257" s="9"/>
      <c r="Q6257" s="5"/>
    </row>
    <row r="6258">
      <c r="J6258" s="5"/>
      <c r="P6258" s="9"/>
      <c r="Q6258" s="5"/>
    </row>
    <row r="6259">
      <c r="J6259" s="5"/>
      <c r="P6259" s="9"/>
      <c r="Q6259" s="5"/>
    </row>
    <row r="6260">
      <c r="J6260" s="5"/>
      <c r="P6260" s="9"/>
      <c r="Q6260" s="5"/>
    </row>
    <row r="6261">
      <c r="J6261" s="5"/>
      <c r="P6261" s="9"/>
      <c r="Q6261" s="5"/>
    </row>
    <row r="6262">
      <c r="J6262" s="5"/>
      <c r="P6262" s="9"/>
      <c r="Q6262" s="5"/>
    </row>
    <row r="6263">
      <c r="J6263" s="5"/>
      <c r="P6263" s="9"/>
      <c r="Q6263" s="5"/>
    </row>
    <row r="6264">
      <c r="J6264" s="5"/>
      <c r="P6264" s="9"/>
      <c r="Q6264" s="5"/>
    </row>
    <row r="6265">
      <c r="J6265" s="5"/>
      <c r="P6265" s="9"/>
      <c r="Q6265" s="5"/>
    </row>
    <row r="6266">
      <c r="J6266" s="5"/>
      <c r="P6266" s="9"/>
      <c r="Q6266" s="5"/>
    </row>
    <row r="6267">
      <c r="J6267" s="5"/>
      <c r="P6267" s="9"/>
      <c r="Q6267" s="5"/>
    </row>
    <row r="6268">
      <c r="J6268" s="5"/>
      <c r="P6268" s="9"/>
      <c r="Q6268" s="5"/>
    </row>
    <row r="6269">
      <c r="J6269" s="5"/>
      <c r="P6269" s="9"/>
      <c r="Q6269" s="5"/>
    </row>
    <row r="6270">
      <c r="J6270" s="5"/>
      <c r="P6270" s="9"/>
      <c r="Q6270" s="5"/>
    </row>
    <row r="6271">
      <c r="J6271" s="5"/>
      <c r="P6271" s="9"/>
      <c r="Q6271" s="5"/>
    </row>
    <row r="6272">
      <c r="J6272" s="5"/>
      <c r="P6272" s="9"/>
      <c r="Q6272" s="5"/>
    </row>
    <row r="6273">
      <c r="J6273" s="5"/>
      <c r="P6273" s="9"/>
      <c r="Q6273" s="5"/>
    </row>
    <row r="6274">
      <c r="J6274" s="5"/>
      <c r="P6274" s="9"/>
      <c r="Q6274" s="5"/>
    </row>
    <row r="6275">
      <c r="J6275" s="5"/>
      <c r="P6275" s="9"/>
      <c r="Q6275" s="5"/>
    </row>
    <row r="6276">
      <c r="J6276" s="5"/>
      <c r="P6276" s="9"/>
      <c r="Q6276" s="5"/>
    </row>
    <row r="6277">
      <c r="J6277" s="5"/>
      <c r="P6277" s="9"/>
      <c r="Q6277" s="5"/>
    </row>
    <row r="6278">
      <c r="J6278" s="5"/>
      <c r="P6278" s="9"/>
      <c r="Q6278" s="5"/>
    </row>
    <row r="6279">
      <c r="J6279" s="5"/>
      <c r="P6279" s="9"/>
      <c r="Q6279" s="5"/>
    </row>
    <row r="6280">
      <c r="J6280" s="5"/>
      <c r="P6280" s="9"/>
      <c r="Q6280" s="5"/>
    </row>
    <row r="6281">
      <c r="J6281" s="5"/>
      <c r="P6281" s="9"/>
      <c r="Q6281" s="5"/>
    </row>
    <row r="6282">
      <c r="J6282" s="5"/>
      <c r="P6282" s="9"/>
      <c r="Q6282" s="5"/>
    </row>
    <row r="6283">
      <c r="J6283" s="5"/>
      <c r="P6283" s="9"/>
      <c r="Q6283" s="5"/>
    </row>
    <row r="6284">
      <c r="J6284" s="5"/>
      <c r="P6284" s="9"/>
      <c r="Q6284" s="5"/>
    </row>
    <row r="6285">
      <c r="J6285" s="5"/>
      <c r="P6285" s="9"/>
      <c r="Q6285" s="5"/>
    </row>
    <row r="6286">
      <c r="J6286" s="5"/>
      <c r="P6286" s="9"/>
      <c r="Q6286" s="5"/>
    </row>
    <row r="6287">
      <c r="J6287" s="5"/>
      <c r="P6287" s="9"/>
      <c r="Q6287" s="5"/>
    </row>
    <row r="6288">
      <c r="J6288" s="5"/>
      <c r="P6288" s="9"/>
      <c r="Q6288" s="5"/>
    </row>
    <row r="6289">
      <c r="J6289" s="5"/>
      <c r="P6289" s="9"/>
      <c r="Q6289" s="5"/>
    </row>
    <row r="6290">
      <c r="J6290" s="5"/>
      <c r="P6290" s="9"/>
      <c r="Q6290" s="5"/>
    </row>
    <row r="6291">
      <c r="J6291" s="5"/>
      <c r="P6291" s="9"/>
      <c r="Q6291" s="5"/>
    </row>
    <row r="6292">
      <c r="J6292" s="5"/>
      <c r="P6292" s="9"/>
      <c r="Q6292" s="5"/>
    </row>
    <row r="6293">
      <c r="J6293" s="5"/>
      <c r="P6293" s="9"/>
      <c r="Q6293" s="5"/>
    </row>
    <row r="6294">
      <c r="J6294" s="5"/>
      <c r="P6294" s="9"/>
      <c r="Q6294" s="5"/>
    </row>
    <row r="6295">
      <c r="J6295" s="5"/>
      <c r="P6295" s="9"/>
      <c r="Q6295" s="5"/>
    </row>
    <row r="6296">
      <c r="J6296" s="5"/>
      <c r="P6296" s="9"/>
      <c r="Q6296" s="5"/>
    </row>
    <row r="6297">
      <c r="J6297" s="5"/>
      <c r="P6297" s="9"/>
      <c r="Q6297" s="5"/>
    </row>
    <row r="6298">
      <c r="J6298" s="5"/>
      <c r="P6298" s="9"/>
      <c r="Q6298" s="5"/>
    </row>
    <row r="6299">
      <c r="J6299" s="5"/>
      <c r="P6299" s="9"/>
      <c r="Q6299" s="5"/>
    </row>
    <row r="6300">
      <c r="J6300" s="5"/>
      <c r="P6300" s="9"/>
      <c r="Q6300" s="5"/>
    </row>
    <row r="6301">
      <c r="J6301" s="5"/>
      <c r="P6301" s="9"/>
      <c r="Q6301" s="5"/>
    </row>
    <row r="6302">
      <c r="J6302" s="5"/>
      <c r="P6302" s="9"/>
      <c r="Q6302" s="5"/>
    </row>
    <row r="6303">
      <c r="J6303" s="5"/>
      <c r="P6303" s="9"/>
      <c r="Q6303" s="5"/>
    </row>
    <row r="6304">
      <c r="J6304" s="5"/>
      <c r="P6304" s="9"/>
      <c r="Q6304" s="5"/>
    </row>
    <row r="6305">
      <c r="J6305" s="5"/>
      <c r="P6305" s="9"/>
      <c r="Q6305" s="5"/>
    </row>
    <row r="6306">
      <c r="J6306" s="5"/>
      <c r="P6306" s="9"/>
      <c r="Q6306" s="5"/>
    </row>
    <row r="6307">
      <c r="J6307" s="5"/>
      <c r="P6307" s="9"/>
      <c r="Q6307" s="5"/>
    </row>
    <row r="6308">
      <c r="J6308" s="5"/>
      <c r="P6308" s="9"/>
      <c r="Q6308" s="5"/>
    </row>
    <row r="6309">
      <c r="J6309" s="5"/>
      <c r="P6309" s="9"/>
      <c r="Q6309" s="5"/>
    </row>
    <row r="6310">
      <c r="J6310" s="5"/>
      <c r="P6310" s="9"/>
      <c r="Q6310" s="5"/>
    </row>
    <row r="6311">
      <c r="J6311" s="5"/>
      <c r="P6311" s="9"/>
      <c r="Q6311" s="5"/>
    </row>
    <row r="6312">
      <c r="J6312" s="5"/>
      <c r="P6312" s="9"/>
      <c r="Q6312" s="5"/>
    </row>
    <row r="6313">
      <c r="J6313" s="5"/>
      <c r="P6313" s="9"/>
      <c r="Q6313" s="5"/>
    </row>
    <row r="6314">
      <c r="J6314" s="5"/>
      <c r="P6314" s="9"/>
      <c r="Q6314" s="5"/>
    </row>
    <row r="6315">
      <c r="J6315" s="5"/>
      <c r="P6315" s="9"/>
      <c r="Q6315" s="5"/>
    </row>
    <row r="6316">
      <c r="J6316" s="5"/>
      <c r="P6316" s="9"/>
      <c r="Q6316" s="5"/>
    </row>
    <row r="6317">
      <c r="J6317" s="5"/>
      <c r="P6317" s="9"/>
      <c r="Q6317" s="5"/>
    </row>
    <row r="6318">
      <c r="J6318" s="5"/>
      <c r="P6318" s="9"/>
      <c r="Q6318" s="5"/>
    </row>
    <row r="6319">
      <c r="J6319" s="5"/>
      <c r="P6319" s="9"/>
      <c r="Q6319" s="5"/>
    </row>
    <row r="6320">
      <c r="J6320" s="5"/>
      <c r="P6320" s="9"/>
      <c r="Q6320" s="5"/>
    </row>
    <row r="6321">
      <c r="J6321" s="5"/>
      <c r="P6321" s="9"/>
      <c r="Q6321" s="5"/>
    </row>
    <row r="6322">
      <c r="J6322" s="5"/>
      <c r="P6322" s="9"/>
      <c r="Q6322" s="5"/>
    </row>
    <row r="6323">
      <c r="J6323" s="5"/>
      <c r="P6323" s="9"/>
      <c r="Q6323" s="5"/>
    </row>
    <row r="6324">
      <c r="J6324" s="5"/>
      <c r="P6324" s="9"/>
      <c r="Q6324" s="5"/>
    </row>
    <row r="6325">
      <c r="J6325" s="5"/>
      <c r="P6325" s="9"/>
      <c r="Q6325" s="5"/>
    </row>
    <row r="6326">
      <c r="J6326" s="5"/>
      <c r="P6326" s="9"/>
      <c r="Q6326" s="5"/>
    </row>
    <row r="6327">
      <c r="J6327" s="5"/>
      <c r="P6327" s="9"/>
      <c r="Q6327" s="5"/>
    </row>
    <row r="6328">
      <c r="J6328" s="5"/>
      <c r="P6328" s="9"/>
      <c r="Q6328" s="5"/>
    </row>
    <row r="6329">
      <c r="J6329" s="5"/>
      <c r="P6329" s="9"/>
      <c r="Q6329" s="5"/>
    </row>
    <row r="6330">
      <c r="J6330" s="5"/>
      <c r="P6330" s="9"/>
      <c r="Q6330" s="5"/>
    </row>
    <row r="6331">
      <c r="J6331" s="5"/>
      <c r="P6331" s="9"/>
      <c r="Q6331" s="5"/>
    </row>
    <row r="6332">
      <c r="J6332" s="5"/>
      <c r="P6332" s="9"/>
      <c r="Q6332" s="5"/>
    </row>
    <row r="6333">
      <c r="J6333" s="5"/>
      <c r="P6333" s="9"/>
      <c r="Q6333" s="5"/>
    </row>
    <row r="6334">
      <c r="J6334" s="5"/>
      <c r="P6334" s="9"/>
      <c r="Q6334" s="5"/>
    </row>
    <row r="6335">
      <c r="J6335" s="5"/>
      <c r="P6335" s="9"/>
      <c r="Q6335" s="5"/>
    </row>
    <row r="6336">
      <c r="J6336" s="5"/>
      <c r="P6336" s="9"/>
      <c r="Q6336" s="5"/>
    </row>
    <row r="6337">
      <c r="J6337" s="5"/>
      <c r="P6337" s="9"/>
      <c r="Q6337" s="5"/>
    </row>
    <row r="6338">
      <c r="J6338" s="5"/>
      <c r="P6338" s="9"/>
      <c r="Q6338" s="5"/>
    </row>
    <row r="6339">
      <c r="J6339" s="5"/>
      <c r="P6339" s="9"/>
      <c r="Q6339" s="5"/>
    </row>
    <row r="6340">
      <c r="J6340" s="5"/>
      <c r="P6340" s="9"/>
      <c r="Q6340" s="5"/>
    </row>
    <row r="6341">
      <c r="J6341" s="5"/>
      <c r="P6341" s="9"/>
      <c r="Q6341" s="5"/>
    </row>
    <row r="6342">
      <c r="J6342" s="5"/>
      <c r="P6342" s="9"/>
      <c r="Q6342" s="5"/>
    </row>
    <row r="6343">
      <c r="J6343" s="5"/>
      <c r="P6343" s="9"/>
      <c r="Q6343" s="5"/>
    </row>
    <row r="6344">
      <c r="J6344" s="5"/>
      <c r="P6344" s="9"/>
      <c r="Q6344" s="5"/>
    </row>
    <row r="6345">
      <c r="J6345" s="5"/>
      <c r="P6345" s="9"/>
      <c r="Q6345" s="5"/>
    </row>
    <row r="6346">
      <c r="J6346" s="5"/>
      <c r="P6346" s="9"/>
      <c r="Q6346" s="5"/>
    </row>
    <row r="6347">
      <c r="J6347" s="5"/>
      <c r="P6347" s="9"/>
      <c r="Q6347" s="5"/>
    </row>
    <row r="6348">
      <c r="J6348" s="5"/>
      <c r="P6348" s="9"/>
      <c r="Q6348" s="5"/>
    </row>
    <row r="6349">
      <c r="J6349" s="5"/>
      <c r="P6349" s="9"/>
      <c r="Q6349" s="5"/>
    </row>
    <row r="6350">
      <c r="J6350" s="5"/>
      <c r="P6350" s="9"/>
      <c r="Q6350" s="5"/>
    </row>
    <row r="6351">
      <c r="J6351" s="5"/>
      <c r="P6351" s="9"/>
      <c r="Q6351" s="5"/>
    </row>
    <row r="6352">
      <c r="J6352" s="5"/>
      <c r="P6352" s="9"/>
      <c r="Q6352" s="5"/>
    </row>
    <row r="6353">
      <c r="J6353" s="5"/>
      <c r="P6353" s="9"/>
      <c r="Q6353" s="5"/>
    </row>
    <row r="6354">
      <c r="J6354" s="5"/>
      <c r="P6354" s="9"/>
      <c r="Q6354" s="5"/>
    </row>
    <row r="6355">
      <c r="J6355" s="5"/>
      <c r="P6355" s="9"/>
      <c r="Q6355" s="5"/>
    </row>
    <row r="6356">
      <c r="J6356" s="5"/>
      <c r="P6356" s="9"/>
      <c r="Q6356" s="5"/>
    </row>
    <row r="6357">
      <c r="J6357" s="5"/>
      <c r="P6357" s="9"/>
      <c r="Q6357" s="5"/>
    </row>
    <row r="6358">
      <c r="J6358" s="5"/>
      <c r="P6358" s="9"/>
      <c r="Q6358" s="5"/>
    </row>
    <row r="6359">
      <c r="J6359" s="5"/>
      <c r="P6359" s="9"/>
      <c r="Q6359" s="5"/>
    </row>
    <row r="6360">
      <c r="J6360" s="5"/>
      <c r="P6360" s="9"/>
      <c r="Q6360" s="5"/>
    </row>
    <row r="6361">
      <c r="J6361" s="5"/>
      <c r="P6361" s="9"/>
      <c r="Q6361" s="5"/>
    </row>
    <row r="6362">
      <c r="J6362" s="5"/>
      <c r="P6362" s="9"/>
      <c r="Q6362" s="5"/>
    </row>
    <row r="6363">
      <c r="J6363" s="5"/>
      <c r="P6363" s="9"/>
      <c r="Q6363" s="5"/>
    </row>
    <row r="6364">
      <c r="J6364" s="5"/>
      <c r="P6364" s="9"/>
      <c r="Q6364" s="5"/>
    </row>
    <row r="6365">
      <c r="J6365" s="5"/>
      <c r="P6365" s="9"/>
      <c r="Q6365" s="5"/>
    </row>
    <row r="6366">
      <c r="J6366" s="5"/>
      <c r="P6366" s="9"/>
      <c r="Q6366" s="5"/>
    </row>
    <row r="6367">
      <c r="J6367" s="5"/>
      <c r="P6367" s="9"/>
      <c r="Q6367" s="5"/>
    </row>
    <row r="6368">
      <c r="J6368" s="5"/>
      <c r="P6368" s="9"/>
      <c r="Q6368" s="5"/>
    </row>
    <row r="6369">
      <c r="J6369" s="5"/>
      <c r="P6369" s="9"/>
      <c r="Q6369" s="5"/>
    </row>
    <row r="6370">
      <c r="J6370" s="5"/>
      <c r="P6370" s="9"/>
      <c r="Q6370" s="5"/>
    </row>
    <row r="6371">
      <c r="J6371" s="5"/>
      <c r="P6371" s="9"/>
      <c r="Q6371" s="5"/>
    </row>
    <row r="6372">
      <c r="J6372" s="5"/>
      <c r="P6372" s="9"/>
      <c r="Q6372" s="5"/>
    </row>
    <row r="6373">
      <c r="J6373" s="5"/>
      <c r="P6373" s="9"/>
      <c r="Q6373" s="5"/>
    </row>
    <row r="6374">
      <c r="J6374" s="5"/>
      <c r="P6374" s="9"/>
      <c r="Q6374" s="5"/>
    </row>
    <row r="6375">
      <c r="J6375" s="5"/>
      <c r="P6375" s="9"/>
      <c r="Q6375" s="5"/>
    </row>
    <row r="6376">
      <c r="J6376" s="5"/>
      <c r="P6376" s="9"/>
      <c r="Q6376" s="5"/>
    </row>
    <row r="6377">
      <c r="J6377" s="5"/>
      <c r="P6377" s="9"/>
      <c r="Q6377" s="5"/>
    </row>
    <row r="6378">
      <c r="J6378" s="5"/>
      <c r="P6378" s="9"/>
      <c r="Q6378" s="5"/>
    </row>
    <row r="6379">
      <c r="J6379" s="5"/>
      <c r="P6379" s="9"/>
      <c r="Q6379" s="5"/>
    </row>
    <row r="6380">
      <c r="J6380" s="5"/>
      <c r="P6380" s="9"/>
      <c r="Q6380" s="5"/>
    </row>
    <row r="6381">
      <c r="J6381" s="5"/>
      <c r="P6381" s="9"/>
      <c r="Q6381" s="5"/>
    </row>
    <row r="6382">
      <c r="J6382" s="5"/>
      <c r="P6382" s="9"/>
      <c r="Q6382" s="5"/>
    </row>
    <row r="6383">
      <c r="J6383" s="5"/>
      <c r="P6383" s="9"/>
      <c r="Q6383" s="5"/>
    </row>
    <row r="6384">
      <c r="J6384" s="5"/>
      <c r="P6384" s="9"/>
      <c r="Q6384" s="5"/>
    </row>
    <row r="6385">
      <c r="J6385" s="5"/>
      <c r="P6385" s="9"/>
      <c r="Q6385" s="5"/>
    </row>
    <row r="6386">
      <c r="J6386" s="5"/>
      <c r="P6386" s="9"/>
      <c r="Q6386" s="5"/>
    </row>
    <row r="6387">
      <c r="J6387" s="5"/>
      <c r="P6387" s="9"/>
      <c r="Q6387" s="5"/>
    </row>
    <row r="6388">
      <c r="J6388" s="5"/>
      <c r="P6388" s="9"/>
      <c r="Q6388" s="5"/>
    </row>
    <row r="6389">
      <c r="J6389" s="5"/>
      <c r="P6389" s="9"/>
      <c r="Q6389" s="5"/>
    </row>
    <row r="6390">
      <c r="J6390" s="5"/>
      <c r="P6390" s="9"/>
      <c r="Q6390" s="5"/>
    </row>
    <row r="6391">
      <c r="J6391" s="5"/>
      <c r="P6391" s="9"/>
      <c r="Q6391" s="5"/>
    </row>
    <row r="6392">
      <c r="J6392" s="5"/>
      <c r="P6392" s="9"/>
      <c r="Q6392" s="5"/>
    </row>
    <row r="6393">
      <c r="J6393" s="5"/>
      <c r="P6393" s="9"/>
      <c r="Q6393" s="5"/>
    </row>
    <row r="6394">
      <c r="J6394" s="5"/>
      <c r="P6394" s="9"/>
      <c r="Q6394" s="5"/>
    </row>
    <row r="6395">
      <c r="J6395" s="5"/>
      <c r="P6395" s="9"/>
      <c r="Q6395" s="5"/>
    </row>
    <row r="6396">
      <c r="J6396" s="5"/>
      <c r="P6396" s="9"/>
      <c r="Q6396" s="5"/>
    </row>
    <row r="6397">
      <c r="J6397" s="5"/>
      <c r="P6397" s="9"/>
      <c r="Q6397" s="5"/>
    </row>
    <row r="6398">
      <c r="J6398" s="5"/>
      <c r="P6398" s="9"/>
      <c r="Q6398" s="5"/>
    </row>
    <row r="6399">
      <c r="J6399" s="5"/>
      <c r="P6399" s="9"/>
      <c r="Q6399" s="5"/>
    </row>
    <row r="6400">
      <c r="J6400" s="5"/>
      <c r="P6400" s="9"/>
      <c r="Q6400" s="5"/>
    </row>
    <row r="6401">
      <c r="J6401" s="5"/>
      <c r="P6401" s="9"/>
      <c r="Q6401" s="5"/>
    </row>
    <row r="6402">
      <c r="J6402" s="5"/>
      <c r="P6402" s="9"/>
      <c r="Q6402" s="5"/>
    </row>
    <row r="6403">
      <c r="J6403" s="5"/>
      <c r="P6403" s="9"/>
      <c r="Q6403" s="5"/>
    </row>
    <row r="6404">
      <c r="J6404" s="5"/>
      <c r="P6404" s="9"/>
      <c r="Q6404" s="5"/>
    </row>
    <row r="6405">
      <c r="J6405" s="5"/>
      <c r="P6405" s="9"/>
      <c r="Q6405" s="5"/>
    </row>
    <row r="6406">
      <c r="J6406" s="5"/>
      <c r="P6406" s="9"/>
      <c r="Q6406" s="5"/>
    </row>
    <row r="6407">
      <c r="J6407" s="5"/>
      <c r="P6407" s="9"/>
      <c r="Q6407" s="5"/>
    </row>
    <row r="6408">
      <c r="J6408" s="5"/>
      <c r="P6408" s="9"/>
      <c r="Q6408" s="5"/>
    </row>
    <row r="6409">
      <c r="J6409" s="5"/>
      <c r="P6409" s="9"/>
      <c r="Q6409" s="5"/>
    </row>
    <row r="6410">
      <c r="J6410" s="5"/>
      <c r="P6410" s="9"/>
      <c r="Q6410" s="5"/>
    </row>
    <row r="6411">
      <c r="J6411" s="5"/>
      <c r="P6411" s="9"/>
      <c r="Q6411" s="5"/>
    </row>
    <row r="6412">
      <c r="J6412" s="5"/>
      <c r="P6412" s="9"/>
      <c r="Q6412" s="5"/>
    </row>
    <row r="6413">
      <c r="J6413" s="5"/>
      <c r="P6413" s="9"/>
      <c r="Q6413" s="5"/>
    </row>
    <row r="6414">
      <c r="J6414" s="5"/>
      <c r="P6414" s="9"/>
      <c r="Q6414" s="5"/>
    </row>
    <row r="6415">
      <c r="J6415" s="5"/>
      <c r="P6415" s="9"/>
      <c r="Q6415" s="5"/>
    </row>
    <row r="6416">
      <c r="J6416" s="5"/>
      <c r="P6416" s="9"/>
      <c r="Q6416" s="5"/>
    </row>
    <row r="6417">
      <c r="J6417" s="5"/>
      <c r="P6417" s="9"/>
      <c r="Q6417" s="5"/>
    </row>
    <row r="6418">
      <c r="J6418" s="5"/>
      <c r="P6418" s="9"/>
      <c r="Q6418" s="5"/>
    </row>
    <row r="6419">
      <c r="J6419" s="5"/>
      <c r="P6419" s="9"/>
      <c r="Q6419" s="5"/>
    </row>
    <row r="6420">
      <c r="J6420" s="5"/>
      <c r="P6420" s="9"/>
      <c r="Q6420" s="5"/>
    </row>
    <row r="6421">
      <c r="J6421" s="5"/>
      <c r="P6421" s="9"/>
      <c r="Q6421" s="5"/>
    </row>
    <row r="6422">
      <c r="J6422" s="5"/>
      <c r="P6422" s="9"/>
      <c r="Q6422" s="5"/>
    </row>
    <row r="6423">
      <c r="J6423" s="5"/>
      <c r="P6423" s="9"/>
      <c r="Q6423" s="5"/>
    </row>
    <row r="6424">
      <c r="J6424" s="5"/>
      <c r="P6424" s="9"/>
      <c r="Q6424" s="5"/>
    </row>
    <row r="6425">
      <c r="J6425" s="5"/>
      <c r="P6425" s="9"/>
      <c r="Q6425" s="5"/>
    </row>
    <row r="6426">
      <c r="J6426" s="5"/>
      <c r="P6426" s="9"/>
      <c r="Q6426" s="5"/>
    </row>
    <row r="6427">
      <c r="J6427" s="5"/>
      <c r="P6427" s="9"/>
      <c r="Q6427" s="5"/>
    </row>
    <row r="6428">
      <c r="J6428" s="5"/>
      <c r="P6428" s="9"/>
      <c r="Q6428" s="5"/>
    </row>
    <row r="6429">
      <c r="J6429" s="5"/>
      <c r="P6429" s="9"/>
      <c r="Q6429" s="5"/>
    </row>
    <row r="6430">
      <c r="J6430" s="5"/>
      <c r="P6430" s="9"/>
      <c r="Q6430" s="5"/>
    </row>
    <row r="6431">
      <c r="J6431" s="5"/>
      <c r="P6431" s="9"/>
      <c r="Q6431" s="5"/>
    </row>
    <row r="6432">
      <c r="J6432" s="5"/>
      <c r="P6432" s="9"/>
      <c r="Q6432" s="5"/>
    </row>
    <row r="6433">
      <c r="J6433" s="5"/>
      <c r="P6433" s="9"/>
      <c r="Q6433" s="5"/>
    </row>
    <row r="6434">
      <c r="J6434" s="5"/>
      <c r="P6434" s="9"/>
      <c r="Q6434" s="5"/>
    </row>
    <row r="6435">
      <c r="J6435" s="5"/>
      <c r="P6435" s="9"/>
      <c r="Q6435" s="5"/>
    </row>
    <row r="6436">
      <c r="J6436" s="5"/>
      <c r="P6436" s="9"/>
      <c r="Q6436" s="5"/>
    </row>
    <row r="6437">
      <c r="J6437" s="5"/>
      <c r="P6437" s="9"/>
      <c r="Q6437" s="5"/>
    </row>
    <row r="6438">
      <c r="J6438" s="5"/>
      <c r="P6438" s="9"/>
      <c r="Q6438" s="5"/>
    </row>
    <row r="6439">
      <c r="J6439" s="5"/>
      <c r="P6439" s="9"/>
      <c r="Q6439" s="5"/>
    </row>
    <row r="6440">
      <c r="J6440" s="5"/>
      <c r="P6440" s="9"/>
      <c r="Q6440" s="5"/>
    </row>
    <row r="6441">
      <c r="J6441" s="5"/>
      <c r="P6441" s="9"/>
      <c r="Q6441" s="5"/>
    </row>
    <row r="6442">
      <c r="J6442" s="5"/>
      <c r="P6442" s="9"/>
      <c r="Q6442" s="5"/>
    </row>
    <row r="6443">
      <c r="J6443" s="5"/>
      <c r="P6443" s="9"/>
      <c r="Q6443" s="5"/>
    </row>
    <row r="6444">
      <c r="J6444" s="5"/>
      <c r="P6444" s="9"/>
      <c r="Q6444" s="5"/>
    </row>
    <row r="6445">
      <c r="J6445" s="5"/>
      <c r="P6445" s="9"/>
      <c r="Q6445" s="5"/>
    </row>
    <row r="6446">
      <c r="J6446" s="5"/>
      <c r="P6446" s="9"/>
      <c r="Q6446" s="5"/>
    </row>
    <row r="6447">
      <c r="J6447" s="5"/>
      <c r="P6447" s="9"/>
      <c r="Q6447" s="5"/>
    </row>
    <row r="6448">
      <c r="J6448" s="5"/>
      <c r="P6448" s="9"/>
      <c r="Q6448" s="5"/>
    </row>
    <row r="6449">
      <c r="J6449" s="5"/>
      <c r="P6449" s="9"/>
      <c r="Q6449" s="5"/>
    </row>
    <row r="6450">
      <c r="J6450" s="5"/>
      <c r="P6450" s="9"/>
      <c r="Q6450" s="5"/>
    </row>
    <row r="6451">
      <c r="J6451" s="5"/>
      <c r="P6451" s="9"/>
      <c r="Q6451" s="5"/>
    </row>
    <row r="6452">
      <c r="J6452" s="5"/>
      <c r="P6452" s="9"/>
      <c r="Q6452" s="5"/>
    </row>
    <row r="6453">
      <c r="J6453" s="5"/>
      <c r="P6453" s="9"/>
      <c r="Q6453" s="5"/>
    </row>
    <row r="6454">
      <c r="J6454" s="5"/>
      <c r="P6454" s="9"/>
      <c r="Q6454" s="5"/>
    </row>
    <row r="6455">
      <c r="J6455" s="5"/>
      <c r="P6455" s="9"/>
      <c r="Q6455" s="5"/>
    </row>
    <row r="6456">
      <c r="J6456" s="5"/>
      <c r="P6456" s="9"/>
      <c r="Q6456" s="5"/>
    </row>
    <row r="6457">
      <c r="J6457" s="5"/>
      <c r="P6457" s="9"/>
      <c r="Q6457" s="5"/>
    </row>
    <row r="6458">
      <c r="J6458" s="5"/>
      <c r="P6458" s="9"/>
      <c r="Q6458" s="5"/>
    </row>
    <row r="6459">
      <c r="J6459" s="5"/>
      <c r="P6459" s="9"/>
      <c r="Q6459" s="5"/>
    </row>
    <row r="6460">
      <c r="J6460" s="5"/>
      <c r="P6460" s="9"/>
      <c r="Q6460" s="5"/>
    </row>
    <row r="6461">
      <c r="J6461" s="5"/>
      <c r="P6461" s="9"/>
      <c r="Q6461" s="5"/>
    </row>
    <row r="6462">
      <c r="J6462" s="5"/>
      <c r="P6462" s="9"/>
      <c r="Q6462" s="5"/>
    </row>
    <row r="6463">
      <c r="J6463" s="5"/>
      <c r="P6463" s="9"/>
      <c r="Q6463" s="5"/>
    </row>
    <row r="6464">
      <c r="J6464" s="5"/>
      <c r="P6464" s="9"/>
      <c r="Q6464" s="5"/>
    </row>
    <row r="6465">
      <c r="J6465" s="5"/>
      <c r="P6465" s="9"/>
      <c r="Q6465" s="5"/>
    </row>
    <row r="6466">
      <c r="J6466" s="5"/>
      <c r="P6466" s="9"/>
      <c r="Q6466" s="5"/>
    </row>
    <row r="6467">
      <c r="J6467" s="5"/>
      <c r="P6467" s="9"/>
      <c r="Q6467" s="5"/>
    </row>
    <row r="6468">
      <c r="J6468" s="5"/>
      <c r="P6468" s="9"/>
      <c r="Q6468" s="5"/>
    </row>
    <row r="6469">
      <c r="J6469" s="5"/>
      <c r="P6469" s="9"/>
      <c r="Q6469" s="5"/>
    </row>
    <row r="6470">
      <c r="J6470" s="5"/>
      <c r="P6470" s="9"/>
      <c r="Q6470" s="5"/>
    </row>
    <row r="6471">
      <c r="J6471" s="5"/>
      <c r="P6471" s="9"/>
      <c r="Q6471" s="5"/>
    </row>
    <row r="6472">
      <c r="J6472" s="5"/>
      <c r="P6472" s="9"/>
      <c r="Q6472" s="5"/>
    </row>
    <row r="6473">
      <c r="J6473" s="5"/>
      <c r="P6473" s="9"/>
      <c r="Q6473" s="5"/>
    </row>
    <row r="6474">
      <c r="J6474" s="5"/>
      <c r="P6474" s="9"/>
      <c r="Q6474" s="5"/>
    </row>
    <row r="6475">
      <c r="J6475" s="5"/>
      <c r="P6475" s="9"/>
      <c r="Q6475" s="5"/>
    </row>
    <row r="6476">
      <c r="J6476" s="5"/>
      <c r="P6476" s="9"/>
      <c r="Q6476" s="5"/>
    </row>
    <row r="6477">
      <c r="J6477" s="5"/>
      <c r="P6477" s="9"/>
      <c r="Q6477" s="5"/>
    </row>
    <row r="6478">
      <c r="J6478" s="5"/>
      <c r="P6478" s="9"/>
      <c r="Q6478" s="5"/>
    </row>
    <row r="6479">
      <c r="J6479" s="5"/>
      <c r="P6479" s="9"/>
      <c r="Q6479" s="5"/>
    </row>
    <row r="6480">
      <c r="J6480" s="5"/>
      <c r="P6480" s="9"/>
      <c r="Q6480" s="5"/>
    </row>
    <row r="6481">
      <c r="J6481" s="5"/>
      <c r="P6481" s="9"/>
      <c r="Q6481" s="5"/>
    </row>
    <row r="6482">
      <c r="J6482" s="5"/>
      <c r="P6482" s="9"/>
      <c r="Q6482" s="5"/>
    </row>
    <row r="6483">
      <c r="J6483" s="5"/>
      <c r="P6483" s="9"/>
      <c r="Q6483" s="5"/>
    </row>
    <row r="6484">
      <c r="J6484" s="5"/>
      <c r="P6484" s="9"/>
      <c r="Q6484" s="5"/>
    </row>
    <row r="6485">
      <c r="J6485" s="5"/>
      <c r="P6485" s="9"/>
      <c r="Q6485" s="5"/>
    </row>
    <row r="6486">
      <c r="J6486" s="5"/>
      <c r="P6486" s="9"/>
      <c r="Q6486" s="5"/>
    </row>
    <row r="6487">
      <c r="J6487" s="5"/>
      <c r="P6487" s="9"/>
      <c r="Q6487" s="5"/>
    </row>
    <row r="6488">
      <c r="J6488" s="5"/>
      <c r="P6488" s="9"/>
      <c r="Q6488" s="5"/>
    </row>
    <row r="6489">
      <c r="J6489" s="5"/>
      <c r="P6489" s="9"/>
      <c r="Q6489" s="5"/>
    </row>
    <row r="6490">
      <c r="J6490" s="5"/>
      <c r="P6490" s="9"/>
      <c r="Q6490" s="5"/>
    </row>
    <row r="6491">
      <c r="J6491" s="5"/>
      <c r="P6491" s="9"/>
      <c r="Q6491" s="5"/>
    </row>
    <row r="6492">
      <c r="J6492" s="5"/>
      <c r="P6492" s="9"/>
      <c r="Q6492" s="5"/>
    </row>
    <row r="6493">
      <c r="J6493" s="5"/>
      <c r="P6493" s="9"/>
      <c r="Q6493" s="5"/>
    </row>
    <row r="6494">
      <c r="J6494" s="5"/>
      <c r="P6494" s="9"/>
      <c r="Q6494" s="5"/>
    </row>
    <row r="6495">
      <c r="J6495" s="5"/>
      <c r="P6495" s="9"/>
      <c r="Q6495" s="5"/>
    </row>
    <row r="6496">
      <c r="J6496" s="5"/>
      <c r="P6496" s="9"/>
      <c r="Q6496" s="5"/>
    </row>
    <row r="6497">
      <c r="J6497" s="5"/>
      <c r="P6497" s="9"/>
      <c r="Q6497" s="5"/>
    </row>
    <row r="6498">
      <c r="J6498" s="5"/>
      <c r="P6498" s="9"/>
      <c r="Q6498" s="5"/>
    </row>
    <row r="6499">
      <c r="J6499" s="5"/>
      <c r="P6499" s="9"/>
      <c r="Q6499" s="5"/>
    </row>
    <row r="6500">
      <c r="J6500" s="5"/>
      <c r="P6500" s="9"/>
      <c r="Q6500" s="5"/>
    </row>
    <row r="6501">
      <c r="J6501" s="5"/>
      <c r="P6501" s="9"/>
      <c r="Q6501" s="5"/>
    </row>
    <row r="6502">
      <c r="J6502" s="5"/>
      <c r="P6502" s="9"/>
      <c r="Q6502" s="5"/>
    </row>
    <row r="6503">
      <c r="J6503" s="5"/>
      <c r="P6503" s="9"/>
      <c r="Q6503" s="5"/>
    </row>
    <row r="6504">
      <c r="J6504" s="5"/>
      <c r="P6504" s="9"/>
      <c r="Q6504" s="5"/>
    </row>
    <row r="6505">
      <c r="J6505" s="5"/>
      <c r="P6505" s="9"/>
      <c r="Q6505" s="5"/>
    </row>
    <row r="6506">
      <c r="J6506" s="5"/>
      <c r="P6506" s="9"/>
      <c r="Q6506" s="5"/>
    </row>
    <row r="6507">
      <c r="J6507" s="5"/>
      <c r="P6507" s="9"/>
      <c r="Q6507" s="5"/>
    </row>
    <row r="6508">
      <c r="J6508" s="5"/>
      <c r="P6508" s="9"/>
      <c r="Q6508" s="5"/>
    </row>
    <row r="6509">
      <c r="J6509" s="5"/>
      <c r="P6509" s="9"/>
      <c r="Q6509" s="5"/>
    </row>
    <row r="6510">
      <c r="J6510" s="5"/>
      <c r="P6510" s="9"/>
      <c r="Q6510" s="5"/>
    </row>
    <row r="6511">
      <c r="J6511" s="5"/>
      <c r="P6511" s="9"/>
      <c r="Q6511" s="5"/>
    </row>
    <row r="6512">
      <c r="J6512" s="5"/>
      <c r="P6512" s="9"/>
      <c r="Q6512" s="5"/>
    </row>
    <row r="6513">
      <c r="J6513" s="5"/>
      <c r="P6513" s="9"/>
      <c r="Q6513" s="5"/>
    </row>
    <row r="6514">
      <c r="J6514" s="5"/>
      <c r="P6514" s="9"/>
      <c r="Q6514" s="5"/>
    </row>
    <row r="6515">
      <c r="J6515" s="5"/>
      <c r="P6515" s="9"/>
      <c r="Q6515" s="5"/>
    </row>
    <row r="6516">
      <c r="J6516" s="5"/>
      <c r="P6516" s="9"/>
      <c r="Q6516" s="5"/>
    </row>
    <row r="6517">
      <c r="J6517" s="5"/>
      <c r="P6517" s="9"/>
      <c r="Q6517" s="5"/>
    </row>
    <row r="6518">
      <c r="J6518" s="5"/>
      <c r="P6518" s="9"/>
      <c r="Q6518" s="5"/>
    </row>
    <row r="6519">
      <c r="J6519" s="5"/>
      <c r="P6519" s="9"/>
      <c r="Q6519" s="5"/>
    </row>
    <row r="6520">
      <c r="J6520" s="5"/>
      <c r="P6520" s="9"/>
      <c r="Q6520" s="5"/>
    </row>
    <row r="6521">
      <c r="J6521" s="5"/>
      <c r="P6521" s="9"/>
      <c r="Q6521" s="5"/>
    </row>
    <row r="6522">
      <c r="J6522" s="5"/>
      <c r="P6522" s="9"/>
      <c r="Q6522" s="5"/>
    </row>
    <row r="6523">
      <c r="J6523" s="5"/>
      <c r="P6523" s="9"/>
      <c r="Q6523" s="5"/>
    </row>
    <row r="6524">
      <c r="J6524" s="5"/>
      <c r="P6524" s="9"/>
      <c r="Q6524" s="5"/>
    </row>
    <row r="6525">
      <c r="J6525" s="5"/>
      <c r="P6525" s="9"/>
      <c r="Q6525" s="5"/>
    </row>
    <row r="6526">
      <c r="J6526" s="5"/>
      <c r="P6526" s="9"/>
      <c r="Q6526" s="5"/>
    </row>
    <row r="6527">
      <c r="J6527" s="5"/>
      <c r="P6527" s="9"/>
      <c r="Q6527" s="5"/>
    </row>
    <row r="6528">
      <c r="J6528" s="5"/>
      <c r="P6528" s="9"/>
      <c r="Q6528" s="5"/>
    </row>
    <row r="6529">
      <c r="J6529" s="5"/>
      <c r="P6529" s="9"/>
      <c r="Q6529" s="5"/>
    </row>
    <row r="6530">
      <c r="J6530" s="5"/>
      <c r="P6530" s="9"/>
      <c r="Q6530" s="5"/>
    </row>
    <row r="6531">
      <c r="J6531" s="5"/>
      <c r="P6531" s="9"/>
      <c r="Q6531" s="5"/>
    </row>
    <row r="6532">
      <c r="J6532" s="5"/>
      <c r="P6532" s="9"/>
      <c r="Q6532" s="5"/>
    </row>
    <row r="6533">
      <c r="J6533" s="5"/>
      <c r="P6533" s="9"/>
      <c r="Q6533" s="5"/>
    </row>
    <row r="6534">
      <c r="J6534" s="5"/>
      <c r="P6534" s="9"/>
      <c r="Q6534" s="5"/>
    </row>
    <row r="6535">
      <c r="J6535" s="5"/>
      <c r="P6535" s="9"/>
      <c r="Q6535" s="5"/>
    </row>
    <row r="6536">
      <c r="J6536" s="5"/>
      <c r="P6536" s="9"/>
      <c r="Q6536" s="5"/>
    </row>
    <row r="6537">
      <c r="J6537" s="5"/>
      <c r="P6537" s="9"/>
      <c r="Q6537" s="5"/>
    </row>
    <row r="6538">
      <c r="J6538" s="5"/>
      <c r="P6538" s="9"/>
      <c r="Q6538" s="5"/>
    </row>
    <row r="6539">
      <c r="J6539" s="5"/>
      <c r="P6539" s="9"/>
      <c r="Q6539" s="5"/>
    </row>
    <row r="6540">
      <c r="J6540" s="5"/>
      <c r="P6540" s="9"/>
      <c r="Q6540" s="5"/>
    </row>
    <row r="6541">
      <c r="J6541" s="5"/>
      <c r="P6541" s="9"/>
      <c r="Q6541" s="5"/>
    </row>
    <row r="6542">
      <c r="J6542" s="5"/>
      <c r="P6542" s="9"/>
      <c r="Q6542" s="5"/>
    </row>
    <row r="6543">
      <c r="J6543" s="5"/>
      <c r="P6543" s="9"/>
      <c r="Q6543" s="5"/>
    </row>
    <row r="6544">
      <c r="J6544" s="5"/>
      <c r="P6544" s="9"/>
      <c r="Q6544" s="5"/>
    </row>
    <row r="6545">
      <c r="J6545" s="5"/>
      <c r="P6545" s="9"/>
      <c r="Q6545" s="5"/>
    </row>
    <row r="6546">
      <c r="J6546" s="5"/>
      <c r="P6546" s="9"/>
      <c r="Q6546" s="5"/>
    </row>
    <row r="6547">
      <c r="J6547" s="5"/>
      <c r="P6547" s="9"/>
      <c r="Q6547" s="5"/>
    </row>
    <row r="6548">
      <c r="J6548" s="5"/>
      <c r="P6548" s="9"/>
      <c r="Q6548" s="5"/>
    </row>
    <row r="6549">
      <c r="J6549" s="5"/>
      <c r="P6549" s="9"/>
      <c r="Q6549" s="5"/>
    </row>
    <row r="6550">
      <c r="J6550" s="5"/>
      <c r="P6550" s="9"/>
      <c r="Q6550" s="5"/>
    </row>
    <row r="6551">
      <c r="J6551" s="5"/>
      <c r="P6551" s="9"/>
      <c r="Q6551" s="5"/>
    </row>
    <row r="6552">
      <c r="J6552" s="5"/>
      <c r="P6552" s="9"/>
      <c r="Q6552" s="5"/>
    </row>
    <row r="6553">
      <c r="J6553" s="5"/>
      <c r="P6553" s="9"/>
      <c r="Q6553" s="5"/>
    </row>
    <row r="6554">
      <c r="J6554" s="5"/>
      <c r="P6554" s="9"/>
      <c r="Q6554" s="5"/>
    </row>
    <row r="6555">
      <c r="J6555" s="5"/>
      <c r="P6555" s="9"/>
      <c r="Q6555" s="5"/>
    </row>
    <row r="6556">
      <c r="J6556" s="5"/>
      <c r="P6556" s="9"/>
      <c r="Q6556" s="5"/>
    </row>
    <row r="6557">
      <c r="J6557" s="5"/>
      <c r="P6557" s="9"/>
      <c r="Q6557" s="5"/>
    </row>
    <row r="6558">
      <c r="J6558" s="5"/>
      <c r="P6558" s="9"/>
      <c r="Q6558" s="5"/>
    </row>
    <row r="6559">
      <c r="J6559" s="5"/>
      <c r="P6559" s="9"/>
      <c r="Q6559" s="5"/>
    </row>
    <row r="6560">
      <c r="J6560" s="5"/>
      <c r="P6560" s="9"/>
      <c r="Q6560" s="5"/>
    </row>
    <row r="6561">
      <c r="J6561" s="5"/>
      <c r="P6561" s="9"/>
      <c r="Q6561" s="5"/>
    </row>
    <row r="6562">
      <c r="J6562" s="5"/>
      <c r="P6562" s="9"/>
      <c r="Q6562" s="5"/>
    </row>
    <row r="6563">
      <c r="J6563" s="5"/>
      <c r="P6563" s="9"/>
      <c r="Q6563" s="5"/>
    </row>
    <row r="6564">
      <c r="J6564" s="5"/>
      <c r="P6564" s="9"/>
      <c r="Q6564" s="5"/>
    </row>
    <row r="6565">
      <c r="J6565" s="5"/>
      <c r="P6565" s="9"/>
      <c r="Q6565" s="5"/>
    </row>
    <row r="6566">
      <c r="J6566" s="5"/>
      <c r="P6566" s="9"/>
      <c r="Q6566" s="5"/>
    </row>
    <row r="6567">
      <c r="J6567" s="5"/>
      <c r="P6567" s="9"/>
      <c r="Q6567" s="5"/>
    </row>
    <row r="6568">
      <c r="J6568" s="5"/>
      <c r="P6568" s="9"/>
      <c r="Q6568" s="5"/>
    </row>
    <row r="6569">
      <c r="J6569" s="5"/>
      <c r="P6569" s="9"/>
      <c r="Q6569" s="5"/>
    </row>
    <row r="6570">
      <c r="J6570" s="5"/>
      <c r="P6570" s="9"/>
      <c r="Q6570" s="5"/>
    </row>
    <row r="6571">
      <c r="J6571" s="5"/>
      <c r="P6571" s="9"/>
      <c r="Q6571" s="5"/>
    </row>
    <row r="6572">
      <c r="J6572" s="5"/>
      <c r="P6572" s="9"/>
      <c r="Q6572" s="5"/>
    </row>
    <row r="6573">
      <c r="J6573" s="5"/>
      <c r="P6573" s="9"/>
      <c r="Q6573" s="5"/>
    </row>
    <row r="6574">
      <c r="J6574" s="5"/>
      <c r="P6574" s="9"/>
      <c r="Q6574" s="5"/>
    </row>
    <row r="6575">
      <c r="J6575" s="5"/>
      <c r="P6575" s="9"/>
      <c r="Q6575" s="5"/>
    </row>
    <row r="6576">
      <c r="J6576" s="5"/>
      <c r="P6576" s="9"/>
      <c r="Q6576" s="5"/>
    </row>
    <row r="6577">
      <c r="J6577" s="5"/>
      <c r="P6577" s="9"/>
      <c r="Q6577" s="5"/>
    </row>
    <row r="6578">
      <c r="J6578" s="5"/>
      <c r="P6578" s="9"/>
      <c r="Q6578" s="5"/>
    </row>
    <row r="6579">
      <c r="J6579" s="5"/>
      <c r="P6579" s="9"/>
      <c r="Q6579" s="5"/>
    </row>
    <row r="6580">
      <c r="J6580" s="5"/>
      <c r="P6580" s="9"/>
      <c r="Q6580" s="5"/>
    </row>
    <row r="6581">
      <c r="J6581" s="5"/>
      <c r="P6581" s="9"/>
      <c r="Q6581" s="5"/>
    </row>
    <row r="6582">
      <c r="J6582" s="5"/>
      <c r="P6582" s="9"/>
      <c r="Q6582" s="5"/>
    </row>
    <row r="6583">
      <c r="J6583" s="5"/>
      <c r="P6583" s="9"/>
      <c r="Q6583" s="5"/>
    </row>
    <row r="6584">
      <c r="J6584" s="5"/>
      <c r="P6584" s="9"/>
      <c r="Q6584" s="5"/>
    </row>
    <row r="6585">
      <c r="J6585" s="5"/>
      <c r="P6585" s="9"/>
      <c r="Q6585" s="5"/>
    </row>
    <row r="6586">
      <c r="J6586" s="5"/>
      <c r="P6586" s="9"/>
      <c r="Q6586" s="5"/>
    </row>
    <row r="6587">
      <c r="J6587" s="5"/>
      <c r="P6587" s="9"/>
      <c r="Q6587" s="5"/>
    </row>
    <row r="6588">
      <c r="J6588" s="5"/>
      <c r="P6588" s="9"/>
      <c r="Q6588" s="5"/>
    </row>
    <row r="6589">
      <c r="J6589" s="5"/>
      <c r="P6589" s="9"/>
      <c r="Q6589" s="5"/>
    </row>
    <row r="6590">
      <c r="J6590" s="5"/>
      <c r="P6590" s="9"/>
      <c r="Q6590" s="5"/>
    </row>
    <row r="6591">
      <c r="J6591" s="5"/>
      <c r="P6591" s="9"/>
      <c r="Q6591" s="5"/>
    </row>
    <row r="6592">
      <c r="J6592" s="5"/>
      <c r="P6592" s="9"/>
      <c r="Q6592" s="5"/>
    </row>
    <row r="6593">
      <c r="J6593" s="5"/>
      <c r="P6593" s="9"/>
      <c r="Q6593" s="5"/>
    </row>
    <row r="6594">
      <c r="J6594" s="5"/>
      <c r="P6594" s="9"/>
      <c r="Q6594" s="5"/>
    </row>
    <row r="6595">
      <c r="J6595" s="5"/>
      <c r="P6595" s="9"/>
      <c r="Q6595" s="5"/>
    </row>
    <row r="6596">
      <c r="J6596" s="5"/>
      <c r="P6596" s="9"/>
      <c r="Q6596" s="5"/>
    </row>
    <row r="6597">
      <c r="J6597" s="5"/>
      <c r="P6597" s="9"/>
      <c r="Q6597" s="5"/>
    </row>
    <row r="6598">
      <c r="J6598" s="5"/>
      <c r="P6598" s="9"/>
      <c r="Q6598" s="5"/>
    </row>
    <row r="6599">
      <c r="J6599" s="5"/>
      <c r="P6599" s="9"/>
      <c r="Q6599" s="5"/>
    </row>
    <row r="6600">
      <c r="J6600" s="5"/>
      <c r="P6600" s="9"/>
      <c r="Q6600" s="5"/>
    </row>
    <row r="6601">
      <c r="J6601" s="5"/>
      <c r="P6601" s="9"/>
      <c r="Q6601" s="5"/>
    </row>
    <row r="6602">
      <c r="J6602" s="5"/>
      <c r="P6602" s="9"/>
      <c r="Q6602" s="5"/>
    </row>
    <row r="6603">
      <c r="J6603" s="5"/>
      <c r="P6603" s="9"/>
      <c r="Q6603" s="5"/>
    </row>
    <row r="6604">
      <c r="J6604" s="5"/>
      <c r="P6604" s="9"/>
      <c r="Q6604" s="5"/>
    </row>
    <row r="6605">
      <c r="J6605" s="5"/>
      <c r="P6605" s="9"/>
      <c r="Q6605" s="5"/>
    </row>
    <row r="6606">
      <c r="J6606" s="5"/>
      <c r="P6606" s="9"/>
      <c r="Q6606" s="5"/>
    </row>
    <row r="6607">
      <c r="J6607" s="5"/>
      <c r="P6607" s="9"/>
      <c r="Q6607" s="5"/>
    </row>
    <row r="6608">
      <c r="J6608" s="5"/>
      <c r="P6608" s="9"/>
      <c r="Q6608" s="5"/>
    </row>
    <row r="6609">
      <c r="J6609" s="5"/>
      <c r="P6609" s="9"/>
      <c r="Q6609" s="5"/>
    </row>
    <row r="6610">
      <c r="J6610" s="5"/>
      <c r="P6610" s="9"/>
      <c r="Q6610" s="5"/>
    </row>
    <row r="6611">
      <c r="J6611" s="5"/>
      <c r="P6611" s="9"/>
      <c r="Q6611" s="5"/>
    </row>
    <row r="6612">
      <c r="J6612" s="5"/>
      <c r="P6612" s="9"/>
      <c r="Q6612" s="5"/>
    </row>
    <row r="6613">
      <c r="J6613" s="5"/>
      <c r="P6613" s="9"/>
      <c r="Q6613" s="5"/>
    </row>
    <row r="6614">
      <c r="J6614" s="5"/>
      <c r="P6614" s="9"/>
      <c r="Q6614" s="5"/>
    </row>
    <row r="6615">
      <c r="J6615" s="5"/>
      <c r="P6615" s="9"/>
      <c r="Q6615" s="5"/>
    </row>
    <row r="6616">
      <c r="J6616" s="5"/>
      <c r="P6616" s="9"/>
      <c r="Q6616" s="5"/>
    </row>
    <row r="6617">
      <c r="J6617" s="5"/>
      <c r="P6617" s="9"/>
      <c r="Q6617" s="5"/>
    </row>
    <row r="6618">
      <c r="J6618" s="5"/>
      <c r="P6618" s="9"/>
      <c r="Q6618" s="5"/>
    </row>
    <row r="6619">
      <c r="J6619" s="5"/>
      <c r="P6619" s="9"/>
      <c r="Q6619" s="5"/>
    </row>
    <row r="6620">
      <c r="J6620" s="5"/>
      <c r="P6620" s="9"/>
      <c r="Q6620" s="5"/>
    </row>
    <row r="6621">
      <c r="J6621" s="5"/>
      <c r="P6621" s="9"/>
      <c r="Q6621" s="5"/>
    </row>
    <row r="6622">
      <c r="J6622" s="5"/>
      <c r="P6622" s="9"/>
      <c r="Q6622" s="5"/>
    </row>
    <row r="6623">
      <c r="J6623" s="5"/>
      <c r="P6623" s="9"/>
      <c r="Q6623" s="5"/>
    </row>
    <row r="6624">
      <c r="J6624" s="5"/>
      <c r="P6624" s="9"/>
      <c r="Q6624" s="5"/>
    </row>
    <row r="6625">
      <c r="J6625" s="5"/>
      <c r="P6625" s="9"/>
      <c r="Q6625" s="5"/>
    </row>
    <row r="6626">
      <c r="J6626" s="5"/>
      <c r="P6626" s="9"/>
      <c r="Q6626" s="5"/>
    </row>
    <row r="6627">
      <c r="J6627" s="5"/>
      <c r="P6627" s="9"/>
      <c r="Q6627" s="5"/>
    </row>
    <row r="6628">
      <c r="J6628" s="5"/>
      <c r="P6628" s="9"/>
      <c r="Q6628" s="5"/>
    </row>
    <row r="6629">
      <c r="J6629" s="5"/>
      <c r="P6629" s="9"/>
      <c r="Q6629" s="5"/>
    </row>
    <row r="6630">
      <c r="J6630" s="5"/>
      <c r="P6630" s="9"/>
      <c r="Q6630" s="5"/>
    </row>
    <row r="6631">
      <c r="J6631" s="5"/>
      <c r="P6631" s="9"/>
      <c r="Q6631" s="5"/>
    </row>
    <row r="6632">
      <c r="J6632" s="5"/>
      <c r="P6632" s="9"/>
      <c r="Q6632" s="5"/>
    </row>
    <row r="6633">
      <c r="J6633" s="5"/>
      <c r="P6633" s="9"/>
      <c r="Q6633" s="5"/>
    </row>
    <row r="6634">
      <c r="J6634" s="5"/>
      <c r="P6634" s="9"/>
      <c r="Q6634" s="5"/>
    </row>
    <row r="6635">
      <c r="J6635" s="5"/>
      <c r="P6635" s="9"/>
      <c r="Q6635" s="5"/>
    </row>
    <row r="6636">
      <c r="J6636" s="5"/>
      <c r="P6636" s="9"/>
      <c r="Q6636" s="5"/>
    </row>
    <row r="6637">
      <c r="J6637" s="5"/>
      <c r="P6637" s="9"/>
      <c r="Q6637" s="5"/>
    </row>
    <row r="6638">
      <c r="J6638" s="5"/>
      <c r="P6638" s="9"/>
      <c r="Q6638" s="5"/>
    </row>
    <row r="6639">
      <c r="J6639" s="5"/>
      <c r="P6639" s="9"/>
      <c r="Q6639" s="5"/>
    </row>
    <row r="6640">
      <c r="J6640" s="5"/>
      <c r="P6640" s="9"/>
      <c r="Q6640" s="5"/>
    </row>
    <row r="6641">
      <c r="J6641" s="5"/>
      <c r="P6641" s="9"/>
      <c r="Q6641" s="5"/>
    </row>
    <row r="6642">
      <c r="J6642" s="5"/>
      <c r="P6642" s="9"/>
      <c r="Q6642" s="5"/>
    </row>
    <row r="6643">
      <c r="J6643" s="5"/>
      <c r="P6643" s="9"/>
      <c r="Q6643" s="5"/>
    </row>
    <row r="6644">
      <c r="J6644" s="5"/>
      <c r="P6644" s="9"/>
      <c r="Q6644" s="5"/>
    </row>
    <row r="6645">
      <c r="J6645" s="5"/>
      <c r="P6645" s="9"/>
      <c r="Q6645" s="5"/>
    </row>
    <row r="6646">
      <c r="J6646" s="5"/>
      <c r="P6646" s="9"/>
      <c r="Q6646" s="5"/>
    </row>
    <row r="6647">
      <c r="J6647" s="5"/>
      <c r="P6647" s="9"/>
      <c r="Q6647" s="5"/>
    </row>
    <row r="6648">
      <c r="J6648" s="5"/>
      <c r="P6648" s="9"/>
      <c r="Q6648" s="5"/>
    </row>
    <row r="6649">
      <c r="J6649" s="5"/>
      <c r="P6649" s="9"/>
      <c r="Q6649" s="5"/>
    </row>
    <row r="6650">
      <c r="J6650" s="5"/>
      <c r="P6650" s="9"/>
      <c r="Q6650" s="5"/>
    </row>
    <row r="6651">
      <c r="J6651" s="5"/>
      <c r="P6651" s="9"/>
      <c r="Q6651" s="5"/>
    </row>
    <row r="6652">
      <c r="J6652" s="5"/>
      <c r="P6652" s="9"/>
      <c r="Q6652" s="5"/>
    </row>
    <row r="6653">
      <c r="J6653" s="5"/>
      <c r="P6653" s="9"/>
      <c r="Q6653" s="5"/>
    </row>
    <row r="6654">
      <c r="J6654" s="5"/>
      <c r="P6654" s="9"/>
      <c r="Q6654" s="5"/>
    </row>
    <row r="6655">
      <c r="J6655" s="5"/>
      <c r="P6655" s="9"/>
      <c r="Q6655" s="5"/>
    </row>
    <row r="6656">
      <c r="J6656" s="5"/>
      <c r="P6656" s="9"/>
      <c r="Q6656" s="5"/>
    </row>
    <row r="6657">
      <c r="J6657" s="5"/>
      <c r="P6657" s="9"/>
      <c r="Q6657" s="5"/>
    </row>
    <row r="6658">
      <c r="J6658" s="5"/>
      <c r="P6658" s="9"/>
      <c r="Q6658" s="5"/>
    </row>
    <row r="6659">
      <c r="J6659" s="5"/>
      <c r="P6659" s="9"/>
      <c r="Q6659" s="5"/>
    </row>
    <row r="6660">
      <c r="J6660" s="5"/>
      <c r="P6660" s="9"/>
      <c r="Q6660" s="5"/>
    </row>
    <row r="6661">
      <c r="J6661" s="5"/>
      <c r="P6661" s="9"/>
      <c r="Q6661" s="5"/>
    </row>
    <row r="6662">
      <c r="J6662" s="5"/>
      <c r="P6662" s="9"/>
      <c r="Q6662" s="5"/>
    </row>
    <row r="6663">
      <c r="J6663" s="5"/>
      <c r="P6663" s="9"/>
      <c r="Q6663" s="5"/>
    </row>
    <row r="6664">
      <c r="J6664" s="5"/>
      <c r="P6664" s="9"/>
      <c r="Q6664" s="5"/>
    </row>
    <row r="6665">
      <c r="J6665" s="5"/>
      <c r="P6665" s="9"/>
      <c r="Q6665" s="5"/>
    </row>
    <row r="6666">
      <c r="J6666" s="5"/>
      <c r="P6666" s="9"/>
      <c r="Q6666" s="5"/>
    </row>
    <row r="6667">
      <c r="J6667" s="5"/>
      <c r="P6667" s="9"/>
      <c r="Q6667" s="5"/>
    </row>
    <row r="6668">
      <c r="J6668" s="5"/>
      <c r="P6668" s="9"/>
      <c r="Q6668" s="5"/>
    </row>
    <row r="6669">
      <c r="J6669" s="5"/>
      <c r="P6669" s="9"/>
      <c r="Q6669" s="5"/>
    </row>
    <row r="6670">
      <c r="J6670" s="5"/>
      <c r="P6670" s="9"/>
      <c r="Q6670" s="5"/>
    </row>
    <row r="6671">
      <c r="J6671" s="5"/>
      <c r="P6671" s="9"/>
      <c r="Q6671" s="5"/>
    </row>
    <row r="6672">
      <c r="J6672" s="5"/>
      <c r="P6672" s="9"/>
      <c r="Q6672" s="5"/>
    </row>
    <row r="6673">
      <c r="J6673" s="5"/>
      <c r="P6673" s="9"/>
      <c r="Q6673" s="5"/>
    </row>
    <row r="6674">
      <c r="J6674" s="5"/>
      <c r="P6674" s="9"/>
      <c r="Q6674" s="5"/>
    </row>
    <row r="6675">
      <c r="J6675" s="5"/>
      <c r="P6675" s="9"/>
      <c r="Q6675" s="5"/>
    </row>
    <row r="6676">
      <c r="J6676" s="5"/>
      <c r="P6676" s="9"/>
      <c r="Q6676" s="5"/>
    </row>
    <row r="6677">
      <c r="J6677" s="5"/>
      <c r="P6677" s="9"/>
      <c r="Q6677" s="5"/>
    </row>
    <row r="6678">
      <c r="J6678" s="5"/>
      <c r="P6678" s="9"/>
      <c r="Q6678" s="5"/>
    </row>
    <row r="6679">
      <c r="J6679" s="5"/>
      <c r="P6679" s="9"/>
      <c r="Q6679" s="5"/>
    </row>
    <row r="6680">
      <c r="J6680" s="5"/>
      <c r="P6680" s="9"/>
      <c r="Q6680" s="5"/>
    </row>
    <row r="6681">
      <c r="J6681" s="5"/>
      <c r="P6681" s="9"/>
      <c r="Q6681" s="5"/>
    </row>
    <row r="6682">
      <c r="J6682" s="5"/>
      <c r="P6682" s="9"/>
      <c r="Q6682" s="5"/>
    </row>
    <row r="6683">
      <c r="J6683" s="5"/>
      <c r="P6683" s="9"/>
      <c r="Q6683" s="5"/>
    </row>
    <row r="6684">
      <c r="J6684" s="5"/>
      <c r="P6684" s="9"/>
      <c r="Q6684" s="5"/>
    </row>
    <row r="6685">
      <c r="J6685" s="5"/>
      <c r="P6685" s="9"/>
      <c r="Q6685" s="5"/>
    </row>
    <row r="6686">
      <c r="J6686" s="5"/>
      <c r="P6686" s="9"/>
      <c r="Q6686" s="5"/>
    </row>
    <row r="6687">
      <c r="J6687" s="5"/>
      <c r="P6687" s="9"/>
      <c r="Q6687" s="5"/>
    </row>
    <row r="6688">
      <c r="J6688" s="5"/>
      <c r="P6688" s="9"/>
      <c r="Q6688" s="5"/>
    </row>
    <row r="6689">
      <c r="J6689" s="5"/>
      <c r="P6689" s="9"/>
      <c r="Q6689" s="5"/>
    </row>
    <row r="6690">
      <c r="J6690" s="5"/>
      <c r="P6690" s="9"/>
      <c r="Q6690" s="5"/>
    </row>
    <row r="6691">
      <c r="J6691" s="5"/>
      <c r="P6691" s="9"/>
      <c r="Q6691" s="5"/>
    </row>
    <row r="6692">
      <c r="J6692" s="5"/>
      <c r="P6692" s="9"/>
      <c r="Q6692" s="5"/>
    </row>
    <row r="6693">
      <c r="J6693" s="5"/>
      <c r="P6693" s="9"/>
      <c r="Q6693" s="5"/>
    </row>
    <row r="6694">
      <c r="J6694" s="5"/>
      <c r="P6694" s="9"/>
      <c r="Q6694" s="5"/>
    </row>
    <row r="6695">
      <c r="J6695" s="5"/>
      <c r="P6695" s="9"/>
      <c r="Q6695" s="5"/>
    </row>
    <row r="6696">
      <c r="J6696" s="5"/>
      <c r="P6696" s="9"/>
      <c r="Q6696" s="5"/>
    </row>
    <row r="6697">
      <c r="J6697" s="5"/>
      <c r="P6697" s="9"/>
      <c r="Q6697" s="5"/>
    </row>
    <row r="6698">
      <c r="J6698" s="5"/>
      <c r="P6698" s="9"/>
      <c r="Q6698" s="5"/>
    </row>
    <row r="6699">
      <c r="J6699" s="5"/>
      <c r="P6699" s="9"/>
      <c r="Q6699" s="5"/>
    </row>
    <row r="6700">
      <c r="J6700" s="5"/>
      <c r="P6700" s="9"/>
      <c r="Q6700" s="5"/>
    </row>
    <row r="6701">
      <c r="J6701" s="5"/>
      <c r="P6701" s="9"/>
      <c r="Q6701" s="5"/>
    </row>
    <row r="6702">
      <c r="J6702" s="5"/>
      <c r="P6702" s="9"/>
      <c r="Q6702" s="5"/>
    </row>
    <row r="6703">
      <c r="J6703" s="5"/>
      <c r="P6703" s="9"/>
      <c r="Q6703" s="5"/>
    </row>
    <row r="6704">
      <c r="J6704" s="5"/>
      <c r="P6704" s="9"/>
      <c r="Q6704" s="5"/>
    </row>
    <row r="6705">
      <c r="J6705" s="5"/>
      <c r="P6705" s="9"/>
      <c r="Q6705" s="5"/>
    </row>
    <row r="6706">
      <c r="J6706" s="5"/>
      <c r="P6706" s="9"/>
      <c r="Q6706" s="5"/>
    </row>
    <row r="6707">
      <c r="J6707" s="5"/>
      <c r="P6707" s="9"/>
      <c r="Q6707" s="5"/>
    </row>
    <row r="6708">
      <c r="J6708" s="5"/>
      <c r="P6708" s="9"/>
      <c r="Q6708" s="5"/>
    </row>
    <row r="6709">
      <c r="J6709" s="5"/>
      <c r="P6709" s="9"/>
      <c r="Q6709" s="5"/>
    </row>
    <row r="6710">
      <c r="J6710" s="5"/>
      <c r="P6710" s="9"/>
      <c r="Q6710" s="5"/>
    </row>
    <row r="6711">
      <c r="J6711" s="5"/>
      <c r="P6711" s="9"/>
      <c r="Q6711" s="5"/>
    </row>
    <row r="6712">
      <c r="J6712" s="5"/>
      <c r="P6712" s="9"/>
      <c r="Q6712" s="5"/>
    </row>
    <row r="6713">
      <c r="J6713" s="5"/>
      <c r="P6713" s="9"/>
      <c r="Q6713" s="5"/>
    </row>
    <row r="6714">
      <c r="J6714" s="5"/>
      <c r="P6714" s="9"/>
      <c r="Q6714" s="5"/>
    </row>
    <row r="6715">
      <c r="J6715" s="5"/>
      <c r="P6715" s="9"/>
      <c r="Q6715" s="5"/>
    </row>
    <row r="6716">
      <c r="J6716" s="5"/>
      <c r="P6716" s="9"/>
      <c r="Q6716" s="5"/>
    </row>
    <row r="6717">
      <c r="J6717" s="5"/>
      <c r="P6717" s="9"/>
      <c r="Q6717" s="5"/>
    </row>
    <row r="6718">
      <c r="J6718" s="5"/>
      <c r="P6718" s="9"/>
      <c r="Q6718" s="5"/>
    </row>
    <row r="6719">
      <c r="J6719" s="5"/>
      <c r="P6719" s="9"/>
      <c r="Q6719" s="5"/>
    </row>
    <row r="6720">
      <c r="J6720" s="5"/>
      <c r="P6720" s="9"/>
      <c r="Q6720" s="5"/>
    </row>
    <row r="6721">
      <c r="J6721" s="5"/>
      <c r="P6721" s="9"/>
      <c r="Q6721" s="5"/>
    </row>
    <row r="6722">
      <c r="J6722" s="5"/>
      <c r="P6722" s="9"/>
      <c r="Q6722" s="5"/>
    </row>
    <row r="6723">
      <c r="J6723" s="5"/>
      <c r="P6723" s="9"/>
      <c r="Q6723" s="5"/>
    </row>
    <row r="6724">
      <c r="J6724" s="5"/>
      <c r="P6724" s="9"/>
      <c r="Q6724" s="5"/>
    </row>
    <row r="6725">
      <c r="J6725" s="5"/>
      <c r="P6725" s="9"/>
      <c r="Q6725" s="5"/>
    </row>
    <row r="6726">
      <c r="J6726" s="5"/>
      <c r="P6726" s="9"/>
      <c r="Q6726" s="5"/>
    </row>
    <row r="6727">
      <c r="J6727" s="5"/>
      <c r="P6727" s="9"/>
      <c r="Q6727" s="5"/>
    </row>
    <row r="6728">
      <c r="J6728" s="5"/>
      <c r="P6728" s="9"/>
      <c r="Q6728" s="5"/>
    </row>
    <row r="6729">
      <c r="J6729" s="5"/>
      <c r="P6729" s="9"/>
      <c r="Q6729" s="5"/>
    </row>
    <row r="6730">
      <c r="J6730" s="5"/>
      <c r="P6730" s="9"/>
      <c r="Q6730" s="5"/>
    </row>
    <row r="6731">
      <c r="J6731" s="5"/>
      <c r="P6731" s="9"/>
      <c r="Q6731" s="5"/>
    </row>
    <row r="6732">
      <c r="J6732" s="5"/>
      <c r="P6732" s="9"/>
      <c r="Q6732" s="5"/>
    </row>
    <row r="6733">
      <c r="J6733" s="5"/>
      <c r="P6733" s="9"/>
      <c r="Q6733" s="5"/>
    </row>
    <row r="6734">
      <c r="J6734" s="5"/>
      <c r="P6734" s="9"/>
      <c r="Q6734" s="5"/>
    </row>
    <row r="6735">
      <c r="J6735" s="5"/>
      <c r="P6735" s="9"/>
      <c r="Q6735" s="5"/>
    </row>
    <row r="6736">
      <c r="J6736" s="5"/>
      <c r="P6736" s="9"/>
      <c r="Q6736" s="5"/>
    </row>
    <row r="6737">
      <c r="J6737" s="5"/>
      <c r="P6737" s="9"/>
      <c r="Q6737" s="5"/>
    </row>
    <row r="6738">
      <c r="J6738" s="5"/>
      <c r="P6738" s="9"/>
      <c r="Q6738" s="5"/>
    </row>
    <row r="6739">
      <c r="J6739" s="5"/>
      <c r="P6739" s="9"/>
      <c r="Q6739" s="5"/>
    </row>
    <row r="6740">
      <c r="J6740" s="5"/>
      <c r="P6740" s="9"/>
      <c r="Q6740" s="5"/>
    </row>
    <row r="6741">
      <c r="J6741" s="5"/>
      <c r="P6741" s="9"/>
      <c r="Q6741" s="5"/>
    </row>
    <row r="6742">
      <c r="J6742" s="5"/>
      <c r="P6742" s="9"/>
      <c r="Q6742" s="5"/>
    </row>
    <row r="6743">
      <c r="J6743" s="5"/>
      <c r="P6743" s="9"/>
      <c r="Q6743" s="5"/>
    </row>
    <row r="6744">
      <c r="J6744" s="5"/>
      <c r="P6744" s="9"/>
      <c r="Q6744" s="5"/>
    </row>
    <row r="6745">
      <c r="J6745" s="5"/>
      <c r="P6745" s="9"/>
      <c r="Q6745" s="5"/>
    </row>
    <row r="6746">
      <c r="J6746" s="5"/>
      <c r="P6746" s="9"/>
      <c r="Q6746" s="5"/>
    </row>
    <row r="6747">
      <c r="J6747" s="5"/>
      <c r="P6747" s="9"/>
      <c r="Q6747" s="5"/>
    </row>
    <row r="6748">
      <c r="J6748" s="5"/>
      <c r="P6748" s="9"/>
      <c r="Q6748" s="5"/>
    </row>
    <row r="6749">
      <c r="J6749" s="5"/>
      <c r="P6749" s="9"/>
      <c r="Q6749" s="5"/>
    </row>
    <row r="6750">
      <c r="J6750" s="5"/>
      <c r="P6750" s="9"/>
      <c r="Q6750" s="5"/>
    </row>
    <row r="6751">
      <c r="J6751" s="5"/>
      <c r="P6751" s="9"/>
      <c r="Q6751" s="5"/>
    </row>
    <row r="6752">
      <c r="J6752" s="5"/>
      <c r="P6752" s="9"/>
      <c r="Q6752" s="5"/>
    </row>
    <row r="6753">
      <c r="J6753" s="5"/>
      <c r="P6753" s="9"/>
      <c r="Q6753" s="5"/>
    </row>
    <row r="6754">
      <c r="J6754" s="5"/>
      <c r="P6754" s="9"/>
      <c r="Q6754" s="5"/>
    </row>
    <row r="6755">
      <c r="J6755" s="5"/>
      <c r="P6755" s="9"/>
      <c r="Q6755" s="5"/>
    </row>
    <row r="6756">
      <c r="J6756" s="5"/>
      <c r="P6756" s="9"/>
      <c r="Q6756" s="5"/>
    </row>
    <row r="6757">
      <c r="J6757" s="5"/>
      <c r="P6757" s="9"/>
      <c r="Q6757" s="5"/>
    </row>
    <row r="6758">
      <c r="J6758" s="5"/>
      <c r="P6758" s="9"/>
      <c r="Q6758" s="5"/>
    </row>
    <row r="6759">
      <c r="J6759" s="5"/>
      <c r="P6759" s="9"/>
      <c r="Q6759" s="5"/>
    </row>
    <row r="6760">
      <c r="J6760" s="5"/>
      <c r="P6760" s="9"/>
      <c r="Q6760" s="5"/>
    </row>
    <row r="6761">
      <c r="J6761" s="5"/>
      <c r="P6761" s="9"/>
      <c r="Q6761" s="5"/>
    </row>
    <row r="6762">
      <c r="J6762" s="5"/>
      <c r="P6762" s="9"/>
      <c r="Q6762" s="5"/>
    </row>
    <row r="6763">
      <c r="J6763" s="5"/>
      <c r="P6763" s="9"/>
      <c r="Q6763" s="5"/>
    </row>
    <row r="6764">
      <c r="J6764" s="5"/>
      <c r="P6764" s="9"/>
      <c r="Q6764" s="5"/>
    </row>
    <row r="6765">
      <c r="J6765" s="5"/>
      <c r="P6765" s="9"/>
      <c r="Q6765" s="5"/>
    </row>
    <row r="6766">
      <c r="J6766" s="5"/>
      <c r="P6766" s="9"/>
      <c r="Q6766" s="5"/>
    </row>
    <row r="6767">
      <c r="J6767" s="5"/>
      <c r="P6767" s="9"/>
      <c r="Q6767" s="5"/>
    </row>
    <row r="6768">
      <c r="J6768" s="5"/>
      <c r="P6768" s="9"/>
      <c r="Q6768" s="5"/>
    </row>
    <row r="6769">
      <c r="J6769" s="5"/>
      <c r="P6769" s="9"/>
      <c r="Q6769" s="5"/>
    </row>
    <row r="6770">
      <c r="J6770" s="5"/>
      <c r="P6770" s="9"/>
      <c r="Q6770" s="5"/>
    </row>
    <row r="6771">
      <c r="J6771" s="5"/>
      <c r="P6771" s="9"/>
      <c r="Q6771" s="5"/>
    </row>
    <row r="6772">
      <c r="J6772" s="5"/>
      <c r="P6772" s="9"/>
      <c r="Q6772" s="5"/>
    </row>
    <row r="6773">
      <c r="J6773" s="5"/>
      <c r="P6773" s="9"/>
      <c r="Q6773" s="5"/>
    </row>
    <row r="6774">
      <c r="J6774" s="5"/>
      <c r="P6774" s="9"/>
      <c r="Q6774" s="5"/>
    </row>
    <row r="6775">
      <c r="J6775" s="5"/>
      <c r="P6775" s="9"/>
      <c r="Q6775" s="5"/>
    </row>
    <row r="6776">
      <c r="J6776" s="5"/>
      <c r="P6776" s="9"/>
      <c r="Q6776" s="5"/>
    </row>
    <row r="6777">
      <c r="J6777" s="5"/>
      <c r="P6777" s="9"/>
      <c r="Q6777" s="5"/>
    </row>
    <row r="6778">
      <c r="J6778" s="5"/>
      <c r="P6778" s="9"/>
      <c r="Q6778" s="5"/>
    </row>
    <row r="6779">
      <c r="J6779" s="5"/>
      <c r="P6779" s="9"/>
      <c r="Q6779" s="5"/>
    </row>
    <row r="6780">
      <c r="J6780" s="5"/>
      <c r="P6780" s="9"/>
      <c r="Q6780" s="5"/>
    </row>
    <row r="6781">
      <c r="J6781" s="5"/>
      <c r="P6781" s="9"/>
      <c r="Q6781" s="5"/>
    </row>
    <row r="6782">
      <c r="J6782" s="5"/>
      <c r="P6782" s="9"/>
      <c r="Q6782" s="5"/>
    </row>
    <row r="6783">
      <c r="J6783" s="5"/>
      <c r="P6783" s="9"/>
      <c r="Q6783" s="5"/>
    </row>
    <row r="6784">
      <c r="J6784" s="5"/>
      <c r="P6784" s="9"/>
      <c r="Q6784" s="5"/>
    </row>
    <row r="6785">
      <c r="J6785" s="5"/>
      <c r="P6785" s="9"/>
      <c r="Q6785" s="5"/>
    </row>
    <row r="6786">
      <c r="J6786" s="5"/>
      <c r="P6786" s="9"/>
      <c r="Q6786" s="5"/>
    </row>
    <row r="6787">
      <c r="J6787" s="5"/>
      <c r="P6787" s="9"/>
      <c r="Q6787" s="5"/>
    </row>
    <row r="6788">
      <c r="J6788" s="5"/>
      <c r="P6788" s="9"/>
      <c r="Q6788" s="5"/>
    </row>
    <row r="6789">
      <c r="J6789" s="5"/>
      <c r="P6789" s="9"/>
      <c r="Q6789" s="5"/>
    </row>
    <row r="6790">
      <c r="J6790" s="5"/>
      <c r="P6790" s="9"/>
      <c r="Q6790" s="5"/>
    </row>
    <row r="6791">
      <c r="J6791" s="5"/>
      <c r="P6791" s="9"/>
      <c r="Q6791" s="5"/>
    </row>
    <row r="6792">
      <c r="J6792" s="5"/>
      <c r="P6792" s="9"/>
      <c r="Q6792" s="5"/>
    </row>
    <row r="6793">
      <c r="J6793" s="5"/>
      <c r="P6793" s="9"/>
      <c r="Q6793" s="5"/>
    </row>
    <row r="6794">
      <c r="J6794" s="5"/>
      <c r="P6794" s="9"/>
      <c r="Q6794" s="5"/>
    </row>
    <row r="6795">
      <c r="J6795" s="5"/>
      <c r="P6795" s="9"/>
      <c r="Q6795" s="5"/>
    </row>
    <row r="6796">
      <c r="J6796" s="5"/>
      <c r="P6796" s="9"/>
      <c r="Q6796" s="5"/>
    </row>
    <row r="6797">
      <c r="J6797" s="5"/>
      <c r="P6797" s="9"/>
      <c r="Q6797" s="5"/>
    </row>
    <row r="6798">
      <c r="J6798" s="5"/>
      <c r="P6798" s="9"/>
      <c r="Q6798" s="5"/>
    </row>
    <row r="6799">
      <c r="J6799" s="5"/>
      <c r="P6799" s="9"/>
      <c r="Q6799" s="5"/>
    </row>
    <row r="6800">
      <c r="J6800" s="5"/>
      <c r="P6800" s="9"/>
      <c r="Q6800" s="5"/>
    </row>
    <row r="6801">
      <c r="J6801" s="5"/>
      <c r="P6801" s="9"/>
      <c r="Q6801" s="5"/>
    </row>
    <row r="6802">
      <c r="J6802" s="5"/>
      <c r="P6802" s="9"/>
      <c r="Q6802" s="5"/>
    </row>
    <row r="6803">
      <c r="J6803" s="5"/>
      <c r="P6803" s="9"/>
      <c r="Q6803" s="5"/>
    </row>
    <row r="6804">
      <c r="J6804" s="5"/>
      <c r="P6804" s="9"/>
      <c r="Q6804" s="5"/>
    </row>
    <row r="6805">
      <c r="J6805" s="5"/>
      <c r="P6805" s="9"/>
      <c r="Q6805" s="5"/>
    </row>
    <row r="6806">
      <c r="J6806" s="5"/>
      <c r="P6806" s="9"/>
      <c r="Q6806" s="5"/>
    </row>
    <row r="6807">
      <c r="J6807" s="5"/>
      <c r="P6807" s="9"/>
      <c r="Q6807" s="5"/>
    </row>
    <row r="6808">
      <c r="J6808" s="5"/>
      <c r="P6808" s="9"/>
      <c r="Q6808" s="5"/>
    </row>
    <row r="6809">
      <c r="J6809" s="5"/>
      <c r="P6809" s="9"/>
      <c r="Q6809" s="5"/>
    </row>
    <row r="6810">
      <c r="J6810" s="5"/>
      <c r="P6810" s="9"/>
      <c r="Q6810" s="5"/>
    </row>
    <row r="6811">
      <c r="J6811" s="5"/>
      <c r="P6811" s="9"/>
      <c r="Q6811" s="5"/>
    </row>
    <row r="6812">
      <c r="J6812" s="5"/>
      <c r="P6812" s="9"/>
      <c r="Q6812" s="5"/>
    </row>
    <row r="6813">
      <c r="J6813" s="5"/>
      <c r="P6813" s="9"/>
      <c r="Q6813" s="5"/>
    </row>
    <row r="6814">
      <c r="J6814" s="5"/>
      <c r="P6814" s="9"/>
      <c r="Q6814" s="5"/>
    </row>
    <row r="6815">
      <c r="J6815" s="5"/>
      <c r="P6815" s="9"/>
      <c r="Q6815" s="5"/>
    </row>
    <row r="6816">
      <c r="J6816" s="5"/>
      <c r="P6816" s="9"/>
      <c r="Q6816" s="5"/>
    </row>
    <row r="6817">
      <c r="J6817" s="5"/>
      <c r="P6817" s="9"/>
      <c r="Q6817" s="5"/>
    </row>
    <row r="6818">
      <c r="J6818" s="5"/>
      <c r="P6818" s="9"/>
      <c r="Q6818" s="5"/>
    </row>
    <row r="6819">
      <c r="J6819" s="5"/>
      <c r="P6819" s="9"/>
      <c r="Q6819" s="5"/>
    </row>
    <row r="6820">
      <c r="J6820" s="5"/>
      <c r="P6820" s="9"/>
      <c r="Q6820" s="5"/>
    </row>
    <row r="6821">
      <c r="J6821" s="5"/>
      <c r="P6821" s="9"/>
      <c r="Q6821" s="5"/>
    </row>
    <row r="6822">
      <c r="J6822" s="5"/>
      <c r="P6822" s="9"/>
      <c r="Q6822" s="5"/>
    </row>
    <row r="6823">
      <c r="J6823" s="5"/>
      <c r="P6823" s="9"/>
      <c r="Q6823" s="5"/>
    </row>
    <row r="6824">
      <c r="J6824" s="5"/>
      <c r="P6824" s="9"/>
      <c r="Q6824" s="5"/>
    </row>
    <row r="6825">
      <c r="J6825" s="5"/>
      <c r="P6825" s="9"/>
      <c r="Q6825" s="5"/>
    </row>
    <row r="6826">
      <c r="J6826" s="5"/>
      <c r="P6826" s="9"/>
      <c r="Q6826" s="5"/>
    </row>
    <row r="6827">
      <c r="J6827" s="5"/>
      <c r="P6827" s="9"/>
      <c r="Q6827" s="5"/>
    </row>
    <row r="6828">
      <c r="J6828" s="5"/>
      <c r="P6828" s="9"/>
      <c r="Q6828" s="5"/>
    </row>
    <row r="6829">
      <c r="J6829" s="5"/>
      <c r="P6829" s="9"/>
      <c r="Q6829" s="5"/>
    </row>
    <row r="6830">
      <c r="J6830" s="5"/>
      <c r="P6830" s="9"/>
      <c r="Q6830" s="5"/>
    </row>
    <row r="6831">
      <c r="J6831" s="5"/>
      <c r="P6831" s="9"/>
      <c r="Q6831" s="5"/>
    </row>
    <row r="6832">
      <c r="J6832" s="5"/>
      <c r="P6832" s="9"/>
      <c r="Q6832" s="5"/>
    </row>
    <row r="6833">
      <c r="J6833" s="5"/>
      <c r="P6833" s="9"/>
      <c r="Q6833" s="5"/>
    </row>
    <row r="6834">
      <c r="J6834" s="5"/>
      <c r="P6834" s="9"/>
      <c r="Q6834" s="5"/>
    </row>
    <row r="6835">
      <c r="J6835" s="5"/>
      <c r="P6835" s="9"/>
      <c r="Q6835" s="5"/>
    </row>
    <row r="6836">
      <c r="J6836" s="5"/>
      <c r="P6836" s="9"/>
      <c r="Q6836" s="5"/>
    </row>
    <row r="6837">
      <c r="J6837" s="5"/>
      <c r="P6837" s="9"/>
      <c r="Q6837" s="5"/>
    </row>
    <row r="6838">
      <c r="J6838" s="5"/>
      <c r="P6838" s="9"/>
      <c r="Q6838" s="5"/>
    </row>
    <row r="6839">
      <c r="J6839" s="5"/>
      <c r="P6839" s="9"/>
      <c r="Q6839" s="5"/>
    </row>
    <row r="6840">
      <c r="J6840" s="5"/>
      <c r="P6840" s="9"/>
      <c r="Q6840" s="5"/>
    </row>
    <row r="6841">
      <c r="J6841" s="5"/>
      <c r="P6841" s="9"/>
      <c r="Q6841" s="5"/>
    </row>
    <row r="6842">
      <c r="J6842" s="5"/>
      <c r="P6842" s="9"/>
      <c r="Q6842" s="5"/>
    </row>
    <row r="6843">
      <c r="J6843" s="5"/>
      <c r="P6843" s="9"/>
      <c r="Q6843" s="5"/>
    </row>
    <row r="6844">
      <c r="J6844" s="5"/>
      <c r="P6844" s="9"/>
      <c r="Q6844" s="5"/>
    </row>
    <row r="6845">
      <c r="J6845" s="5"/>
      <c r="P6845" s="9"/>
      <c r="Q6845" s="5"/>
    </row>
    <row r="6846">
      <c r="J6846" s="5"/>
      <c r="P6846" s="9"/>
      <c r="Q6846" s="5"/>
    </row>
    <row r="6847">
      <c r="J6847" s="5"/>
      <c r="P6847" s="9"/>
      <c r="Q6847" s="5"/>
    </row>
    <row r="6848">
      <c r="J6848" s="5"/>
      <c r="P6848" s="9"/>
      <c r="Q6848" s="5"/>
    </row>
    <row r="6849">
      <c r="J6849" s="5"/>
      <c r="P6849" s="9"/>
      <c r="Q6849" s="5"/>
    </row>
    <row r="6850">
      <c r="J6850" s="5"/>
      <c r="P6850" s="9"/>
      <c r="Q6850" s="5"/>
    </row>
    <row r="6851">
      <c r="J6851" s="5"/>
      <c r="P6851" s="9"/>
      <c r="Q6851" s="5"/>
    </row>
    <row r="6852">
      <c r="J6852" s="5"/>
      <c r="P6852" s="9"/>
      <c r="Q6852" s="5"/>
    </row>
    <row r="6853">
      <c r="J6853" s="5"/>
      <c r="P6853" s="9"/>
      <c r="Q6853" s="5"/>
    </row>
    <row r="6854">
      <c r="J6854" s="5"/>
      <c r="P6854" s="9"/>
      <c r="Q6854" s="5"/>
    </row>
    <row r="6855">
      <c r="J6855" s="5"/>
      <c r="P6855" s="9"/>
      <c r="Q6855" s="5"/>
    </row>
    <row r="6856">
      <c r="J6856" s="5"/>
      <c r="P6856" s="9"/>
      <c r="Q6856" s="5"/>
    </row>
    <row r="6857">
      <c r="J6857" s="5"/>
      <c r="P6857" s="9"/>
      <c r="Q6857" s="5"/>
    </row>
    <row r="6858">
      <c r="J6858" s="5"/>
      <c r="P6858" s="9"/>
      <c r="Q6858" s="5"/>
    </row>
    <row r="6859">
      <c r="J6859" s="5"/>
      <c r="P6859" s="9"/>
      <c r="Q6859" s="5"/>
    </row>
    <row r="6860">
      <c r="J6860" s="5"/>
      <c r="P6860" s="9"/>
      <c r="Q6860" s="5"/>
    </row>
    <row r="6861">
      <c r="J6861" s="5"/>
      <c r="P6861" s="9"/>
      <c r="Q6861" s="5"/>
    </row>
    <row r="6862">
      <c r="J6862" s="5"/>
      <c r="P6862" s="9"/>
      <c r="Q6862" s="5"/>
    </row>
    <row r="6863">
      <c r="J6863" s="5"/>
      <c r="P6863" s="9"/>
      <c r="Q6863" s="5"/>
    </row>
    <row r="6864">
      <c r="J6864" s="5"/>
      <c r="P6864" s="9"/>
      <c r="Q6864" s="5"/>
    </row>
    <row r="6865">
      <c r="J6865" s="5"/>
      <c r="P6865" s="9"/>
      <c r="Q6865" s="5"/>
    </row>
    <row r="6866">
      <c r="J6866" s="5"/>
      <c r="P6866" s="9"/>
      <c r="Q6866" s="5"/>
    </row>
    <row r="6867">
      <c r="J6867" s="5"/>
      <c r="P6867" s="9"/>
      <c r="Q6867" s="5"/>
    </row>
    <row r="6868">
      <c r="J6868" s="5"/>
      <c r="P6868" s="9"/>
      <c r="Q6868" s="5"/>
    </row>
    <row r="6869">
      <c r="J6869" s="5"/>
      <c r="P6869" s="9"/>
      <c r="Q6869" s="5"/>
    </row>
    <row r="6870">
      <c r="J6870" s="5"/>
      <c r="P6870" s="9"/>
      <c r="Q6870" s="5"/>
    </row>
    <row r="6871">
      <c r="J6871" s="5"/>
      <c r="P6871" s="9"/>
      <c r="Q6871" s="5"/>
    </row>
    <row r="6872">
      <c r="J6872" s="5"/>
      <c r="P6872" s="9"/>
      <c r="Q6872" s="5"/>
    </row>
    <row r="6873">
      <c r="J6873" s="5"/>
      <c r="P6873" s="9"/>
      <c r="Q6873" s="5"/>
    </row>
    <row r="6874">
      <c r="J6874" s="5"/>
      <c r="P6874" s="9"/>
      <c r="Q6874" s="5"/>
    </row>
    <row r="6875">
      <c r="J6875" s="5"/>
      <c r="P6875" s="9"/>
      <c r="Q6875" s="5"/>
    </row>
    <row r="6876">
      <c r="J6876" s="5"/>
      <c r="P6876" s="9"/>
      <c r="Q6876" s="5"/>
    </row>
    <row r="6877">
      <c r="J6877" s="5"/>
      <c r="P6877" s="9"/>
      <c r="Q6877" s="5"/>
    </row>
    <row r="6878">
      <c r="J6878" s="5"/>
      <c r="P6878" s="9"/>
      <c r="Q6878" s="5"/>
    </row>
    <row r="6879">
      <c r="J6879" s="5"/>
      <c r="P6879" s="9"/>
      <c r="Q6879" s="5"/>
    </row>
    <row r="6880">
      <c r="J6880" s="5"/>
      <c r="P6880" s="9"/>
      <c r="Q6880" s="5"/>
    </row>
    <row r="6881">
      <c r="J6881" s="5"/>
      <c r="P6881" s="9"/>
      <c r="Q6881" s="5"/>
    </row>
    <row r="6882">
      <c r="J6882" s="5"/>
      <c r="P6882" s="9"/>
      <c r="Q6882" s="5"/>
    </row>
    <row r="6883">
      <c r="J6883" s="5"/>
      <c r="P6883" s="9"/>
      <c r="Q6883" s="5"/>
    </row>
    <row r="6884">
      <c r="J6884" s="5"/>
      <c r="P6884" s="9"/>
      <c r="Q6884" s="5"/>
    </row>
    <row r="6885">
      <c r="J6885" s="5"/>
      <c r="P6885" s="9"/>
      <c r="Q6885" s="5"/>
    </row>
    <row r="6886">
      <c r="J6886" s="5"/>
      <c r="P6886" s="9"/>
      <c r="Q6886" s="5"/>
    </row>
    <row r="6887">
      <c r="J6887" s="5"/>
      <c r="P6887" s="9"/>
      <c r="Q6887" s="5"/>
    </row>
    <row r="6888">
      <c r="J6888" s="5"/>
      <c r="P6888" s="9"/>
      <c r="Q6888" s="5"/>
    </row>
    <row r="6889">
      <c r="J6889" s="5"/>
      <c r="P6889" s="9"/>
      <c r="Q6889" s="5"/>
    </row>
    <row r="6890">
      <c r="J6890" s="5"/>
      <c r="P6890" s="9"/>
      <c r="Q6890" s="5"/>
    </row>
    <row r="6891">
      <c r="J6891" s="5"/>
      <c r="P6891" s="9"/>
      <c r="Q6891" s="5"/>
    </row>
    <row r="6892">
      <c r="J6892" s="5"/>
      <c r="P6892" s="9"/>
      <c r="Q6892" s="5"/>
    </row>
    <row r="6893">
      <c r="J6893" s="5"/>
      <c r="P6893" s="9"/>
      <c r="Q6893" s="5"/>
    </row>
    <row r="6894">
      <c r="J6894" s="5"/>
      <c r="P6894" s="9"/>
      <c r="Q6894" s="5"/>
    </row>
    <row r="6895">
      <c r="J6895" s="5"/>
      <c r="P6895" s="9"/>
      <c r="Q6895" s="5"/>
    </row>
    <row r="6896">
      <c r="J6896" s="5"/>
      <c r="P6896" s="9"/>
      <c r="Q6896" s="5"/>
    </row>
    <row r="6897">
      <c r="J6897" s="5"/>
      <c r="P6897" s="9"/>
      <c r="Q6897" s="5"/>
    </row>
    <row r="6898">
      <c r="J6898" s="5"/>
      <c r="P6898" s="9"/>
      <c r="Q6898" s="5"/>
    </row>
    <row r="6899">
      <c r="J6899" s="5"/>
      <c r="P6899" s="9"/>
      <c r="Q6899" s="5"/>
    </row>
    <row r="6900">
      <c r="J6900" s="5"/>
      <c r="P6900" s="9"/>
      <c r="Q6900" s="5"/>
    </row>
    <row r="6901">
      <c r="J6901" s="5"/>
      <c r="P6901" s="9"/>
      <c r="Q6901" s="5"/>
    </row>
    <row r="6902">
      <c r="J6902" s="5"/>
      <c r="P6902" s="9"/>
      <c r="Q6902" s="5"/>
    </row>
    <row r="6903">
      <c r="J6903" s="5"/>
      <c r="P6903" s="9"/>
      <c r="Q6903" s="5"/>
    </row>
    <row r="6904">
      <c r="J6904" s="5"/>
      <c r="P6904" s="9"/>
      <c r="Q6904" s="5"/>
    </row>
    <row r="6905">
      <c r="J6905" s="5"/>
      <c r="P6905" s="9"/>
      <c r="Q6905" s="5"/>
    </row>
    <row r="6906">
      <c r="J6906" s="5"/>
      <c r="P6906" s="9"/>
      <c r="Q6906" s="5"/>
    </row>
    <row r="6907">
      <c r="J6907" s="5"/>
      <c r="P6907" s="9"/>
      <c r="Q6907" s="5"/>
    </row>
    <row r="6908">
      <c r="J6908" s="5"/>
      <c r="P6908" s="9"/>
      <c r="Q6908" s="5"/>
    </row>
    <row r="6909">
      <c r="J6909" s="5"/>
      <c r="P6909" s="9"/>
      <c r="Q6909" s="5"/>
    </row>
    <row r="6910">
      <c r="J6910" s="5"/>
      <c r="P6910" s="9"/>
      <c r="Q6910" s="5"/>
    </row>
    <row r="6911">
      <c r="J6911" s="5"/>
      <c r="P6911" s="9"/>
      <c r="Q6911" s="5"/>
    </row>
    <row r="6912">
      <c r="J6912" s="5"/>
      <c r="P6912" s="9"/>
      <c r="Q6912" s="5"/>
    </row>
    <row r="6913">
      <c r="J6913" s="5"/>
      <c r="P6913" s="9"/>
      <c r="Q6913" s="5"/>
    </row>
    <row r="6914">
      <c r="J6914" s="5"/>
      <c r="P6914" s="9"/>
      <c r="Q6914" s="5"/>
    </row>
    <row r="6915">
      <c r="J6915" s="5"/>
      <c r="P6915" s="9"/>
      <c r="Q6915" s="5"/>
    </row>
    <row r="6916">
      <c r="J6916" s="5"/>
      <c r="P6916" s="9"/>
      <c r="Q6916" s="5"/>
    </row>
    <row r="6917">
      <c r="J6917" s="5"/>
      <c r="P6917" s="9"/>
      <c r="Q6917" s="5"/>
    </row>
    <row r="6918">
      <c r="J6918" s="5"/>
      <c r="P6918" s="9"/>
      <c r="Q6918" s="5"/>
    </row>
    <row r="6919">
      <c r="J6919" s="5"/>
      <c r="P6919" s="9"/>
      <c r="Q6919" s="5"/>
    </row>
    <row r="6920">
      <c r="J6920" s="5"/>
      <c r="P6920" s="9"/>
      <c r="Q6920" s="5"/>
    </row>
    <row r="6921">
      <c r="J6921" s="5"/>
      <c r="P6921" s="9"/>
      <c r="Q6921" s="5"/>
    </row>
    <row r="6922">
      <c r="J6922" s="5"/>
      <c r="P6922" s="9"/>
      <c r="Q6922" s="5"/>
    </row>
    <row r="6923">
      <c r="J6923" s="5"/>
      <c r="P6923" s="9"/>
      <c r="Q6923" s="5"/>
    </row>
    <row r="6924">
      <c r="J6924" s="5"/>
      <c r="P6924" s="9"/>
      <c r="Q6924" s="5"/>
    </row>
    <row r="6925">
      <c r="J6925" s="5"/>
      <c r="P6925" s="9"/>
      <c r="Q6925" s="5"/>
    </row>
    <row r="6926">
      <c r="J6926" s="5"/>
      <c r="P6926" s="9"/>
      <c r="Q6926" s="5"/>
    </row>
    <row r="6927">
      <c r="J6927" s="5"/>
      <c r="P6927" s="9"/>
      <c r="Q6927" s="5"/>
    </row>
    <row r="6928">
      <c r="J6928" s="5"/>
      <c r="P6928" s="9"/>
      <c r="Q6928" s="5"/>
    </row>
    <row r="6929">
      <c r="J6929" s="5"/>
      <c r="P6929" s="9"/>
      <c r="Q6929" s="5"/>
    </row>
    <row r="6930">
      <c r="J6930" s="5"/>
      <c r="P6930" s="9"/>
      <c r="Q6930" s="5"/>
    </row>
    <row r="6931">
      <c r="J6931" s="5"/>
      <c r="P6931" s="9"/>
      <c r="Q6931" s="5"/>
    </row>
    <row r="6932">
      <c r="J6932" s="5"/>
      <c r="P6932" s="9"/>
      <c r="Q6932" s="5"/>
    </row>
    <row r="6933">
      <c r="J6933" s="5"/>
      <c r="P6933" s="9"/>
      <c r="Q6933" s="5"/>
    </row>
    <row r="6934">
      <c r="J6934" s="5"/>
      <c r="P6934" s="9"/>
      <c r="Q6934" s="5"/>
    </row>
    <row r="6935">
      <c r="J6935" s="5"/>
      <c r="P6935" s="9"/>
      <c r="Q6935" s="5"/>
    </row>
    <row r="6936">
      <c r="J6936" s="5"/>
      <c r="P6936" s="9"/>
      <c r="Q6936" s="5"/>
    </row>
    <row r="6937">
      <c r="J6937" s="5"/>
      <c r="P6937" s="9"/>
      <c r="Q6937" s="5"/>
    </row>
    <row r="6938">
      <c r="J6938" s="5"/>
      <c r="P6938" s="9"/>
      <c r="Q6938" s="5"/>
    </row>
    <row r="6939">
      <c r="J6939" s="5"/>
      <c r="P6939" s="9"/>
      <c r="Q6939" s="5"/>
    </row>
    <row r="6940">
      <c r="J6940" s="5"/>
      <c r="P6940" s="9"/>
      <c r="Q6940" s="5"/>
    </row>
    <row r="6941">
      <c r="J6941" s="5"/>
      <c r="P6941" s="9"/>
      <c r="Q6941" s="5"/>
    </row>
    <row r="6942">
      <c r="J6942" s="5"/>
      <c r="P6942" s="9"/>
      <c r="Q6942" s="5"/>
    </row>
    <row r="6943">
      <c r="J6943" s="5"/>
      <c r="P6943" s="9"/>
      <c r="Q6943" s="5"/>
    </row>
    <row r="6944">
      <c r="J6944" s="5"/>
      <c r="P6944" s="9"/>
      <c r="Q6944" s="5"/>
    </row>
    <row r="6945">
      <c r="J6945" s="5"/>
      <c r="P6945" s="9"/>
      <c r="Q6945" s="5"/>
    </row>
    <row r="6946">
      <c r="J6946" s="5"/>
      <c r="P6946" s="9"/>
      <c r="Q6946" s="5"/>
    </row>
    <row r="6947">
      <c r="J6947" s="5"/>
      <c r="P6947" s="9"/>
      <c r="Q6947" s="5"/>
    </row>
    <row r="6948">
      <c r="J6948" s="5"/>
      <c r="P6948" s="9"/>
      <c r="Q6948" s="5"/>
    </row>
    <row r="6949">
      <c r="J6949" s="5"/>
      <c r="P6949" s="9"/>
      <c r="Q6949" s="5"/>
    </row>
    <row r="6950">
      <c r="J6950" s="5"/>
      <c r="P6950" s="9"/>
      <c r="Q6950" s="5"/>
    </row>
    <row r="6951">
      <c r="J6951" s="5"/>
      <c r="P6951" s="9"/>
      <c r="Q6951" s="5"/>
    </row>
    <row r="6952">
      <c r="J6952" s="5"/>
      <c r="P6952" s="9"/>
      <c r="Q6952" s="5"/>
    </row>
    <row r="6953">
      <c r="J6953" s="5"/>
      <c r="P6953" s="9"/>
      <c r="Q6953" s="5"/>
    </row>
    <row r="6954">
      <c r="J6954" s="5"/>
      <c r="P6954" s="9"/>
      <c r="Q6954" s="5"/>
    </row>
    <row r="6955">
      <c r="J6955" s="5"/>
      <c r="P6955" s="9"/>
      <c r="Q6955" s="5"/>
    </row>
    <row r="6956">
      <c r="J6956" s="5"/>
      <c r="P6956" s="9"/>
      <c r="Q6956" s="5"/>
    </row>
    <row r="6957">
      <c r="J6957" s="5"/>
      <c r="P6957" s="9"/>
      <c r="Q6957" s="5"/>
    </row>
    <row r="6958">
      <c r="J6958" s="5"/>
      <c r="P6958" s="9"/>
      <c r="Q6958" s="5"/>
    </row>
    <row r="6959">
      <c r="J6959" s="5"/>
      <c r="P6959" s="9"/>
      <c r="Q6959" s="5"/>
    </row>
    <row r="6960">
      <c r="J6960" s="5"/>
      <c r="P6960" s="9"/>
      <c r="Q6960" s="5"/>
    </row>
    <row r="6961">
      <c r="J6961" s="5"/>
      <c r="P6961" s="9"/>
      <c r="Q6961" s="5"/>
    </row>
    <row r="6962">
      <c r="J6962" s="5"/>
      <c r="P6962" s="9"/>
      <c r="Q6962" s="5"/>
    </row>
    <row r="6963">
      <c r="J6963" s="5"/>
      <c r="P6963" s="9"/>
      <c r="Q6963" s="5"/>
    </row>
    <row r="6964">
      <c r="J6964" s="5"/>
      <c r="P6964" s="9"/>
      <c r="Q6964" s="5"/>
    </row>
    <row r="6965">
      <c r="J6965" s="5"/>
      <c r="P6965" s="9"/>
      <c r="Q6965" s="5"/>
    </row>
    <row r="6966">
      <c r="J6966" s="5"/>
      <c r="P6966" s="9"/>
      <c r="Q6966" s="5"/>
    </row>
    <row r="6967">
      <c r="J6967" s="5"/>
      <c r="P6967" s="9"/>
      <c r="Q6967" s="5"/>
    </row>
    <row r="6968">
      <c r="J6968" s="5"/>
      <c r="P6968" s="9"/>
      <c r="Q6968" s="5"/>
    </row>
    <row r="6969">
      <c r="J6969" s="5"/>
      <c r="P6969" s="9"/>
      <c r="Q6969" s="5"/>
    </row>
    <row r="6970">
      <c r="J6970" s="5"/>
      <c r="P6970" s="9"/>
      <c r="Q6970" s="5"/>
    </row>
    <row r="6971">
      <c r="J6971" s="5"/>
      <c r="P6971" s="9"/>
      <c r="Q6971" s="5"/>
    </row>
    <row r="6972">
      <c r="J6972" s="5"/>
      <c r="P6972" s="9"/>
      <c r="Q6972" s="5"/>
    </row>
    <row r="6973">
      <c r="J6973" s="5"/>
      <c r="P6973" s="9"/>
      <c r="Q6973" s="5"/>
    </row>
    <row r="6974">
      <c r="J6974" s="5"/>
      <c r="P6974" s="9"/>
      <c r="Q6974" s="5"/>
    </row>
    <row r="6975">
      <c r="J6975" s="5"/>
      <c r="P6975" s="9"/>
      <c r="Q6975" s="5"/>
    </row>
    <row r="6976">
      <c r="J6976" s="5"/>
      <c r="P6976" s="9"/>
      <c r="Q6976" s="5"/>
    </row>
    <row r="6977">
      <c r="J6977" s="5"/>
      <c r="P6977" s="9"/>
      <c r="Q6977" s="5"/>
    </row>
    <row r="6978">
      <c r="J6978" s="5"/>
      <c r="P6978" s="9"/>
      <c r="Q6978" s="5"/>
    </row>
    <row r="6979">
      <c r="J6979" s="5"/>
      <c r="P6979" s="9"/>
      <c r="Q6979" s="5"/>
    </row>
    <row r="6980">
      <c r="J6980" s="5"/>
      <c r="P6980" s="9"/>
      <c r="Q6980" s="5"/>
    </row>
    <row r="6981">
      <c r="J6981" s="5"/>
      <c r="P6981" s="9"/>
      <c r="Q6981" s="5"/>
    </row>
    <row r="6982">
      <c r="J6982" s="5"/>
      <c r="P6982" s="9"/>
      <c r="Q6982" s="5"/>
    </row>
    <row r="6983">
      <c r="J6983" s="5"/>
      <c r="P6983" s="9"/>
      <c r="Q6983" s="5"/>
    </row>
    <row r="6984">
      <c r="J6984" s="5"/>
      <c r="P6984" s="9"/>
      <c r="Q6984" s="5"/>
    </row>
    <row r="6985">
      <c r="J6985" s="5"/>
      <c r="P6985" s="9"/>
      <c r="Q6985" s="5"/>
    </row>
    <row r="6986">
      <c r="J6986" s="5"/>
      <c r="P6986" s="9"/>
      <c r="Q6986" s="5"/>
    </row>
    <row r="6987">
      <c r="J6987" s="5"/>
      <c r="P6987" s="9"/>
      <c r="Q6987" s="5"/>
    </row>
    <row r="6988">
      <c r="J6988" s="5"/>
      <c r="P6988" s="9"/>
      <c r="Q6988" s="5"/>
    </row>
    <row r="6989">
      <c r="J6989" s="5"/>
      <c r="P6989" s="9"/>
      <c r="Q6989" s="5"/>
    </row>
    <row r="6990">
      <c r="J6990" s="5"/>
      <c r="P6990" s="9"/>
      <c r="Q6990" s="5"/>
    </row>
    <row r="6991">
      <c r="J6991" s="5"/>
      <c r="P6991" s="9"/>
      <c r="Q6991" s="5"/>
    </row>
    <row r="6992">
      <c r="J6992" s="5"/>
      <c r="P6992" s="9"/>
      <c r="Q6992" s="5"/>
    </row>
    <row r="6993">
      <c r="J6993" s="5"/>
      <c r="P6993" s="9"/>
      <c r="Q6993" s="5"/>
    </row>
    <row r="6994">
      <c r="J6994" s="5"/>
      <c r="P6994" s="9"/>
      <c r="Q6994" s="5"/>
    </row>
    <row r="6995">
      <c r="J6995" s="5"/>
      <c r="P6995" s="9"/>
      <c r="Q6995" s="5"/>
    </row>
    <row r="6996">
      <c r="J6996" s="5"/>
      <c r="P6996" s="9"/>
      <c r="Q6996" s="5"/>
    </row>
    <row r="6997">
      <c r="J6997" s="5"/>
      <c r="P6997" s="9"/>
      <c r="Q6997" s="5"/>
    </row>
    <row r="6998">
      <c r="J6998" s="5"/>
      <c r="P6998" s="9"/>
      <c r="Q6998" s="5"/>
    </row>
    <row r="6999">
      <c r="J6999" s="5"/>
      <c r="P6999" s="9"/>
      <c r="Q6999" s="5"/>
    </row>
    <row r="7000">
      <c r="J7000" s="5"/>
      <c r="P7000" s="9"/>
      <c r="Q7000" s="5"/>
    </row>
    <row r="7001">
      <c r="J7001" s="5"/>
      <c r="P7001" s="9"/>
      <c r="Q7001" s="5"/>
    </row>
    <row r="7002">
      <c r="J7002" s="5"/>
      <c r="P7002" s="9"/>
      <c r="Q7002" s="5"/>
    </row>
    <row r="7003">
      <c r="J7003" s="5"/>
      <c r="P7003" s="9"/>
      <c r="Q7003" s="5"/>
    </row>
    <row r="7004">
      <c r="J7004" s="5"/>
      <c r="P7004" s="9"/>
      <c r="Q7004" s="5"/>
    </row>
    <row r="7005">
      <c r="J7005" s="5"/>
      <c r="P7005" s="9"/>
      <c r="Q7005" s="5"/>
    </row>
    <row r="7006">
      <c r="J7006" s="5"/>
      <c r="P7006" s="9"/>
      <c r="Q7006" s="5"/>
    </row>
    <row r="7007">
      <c r="J7007" s="5"/>
      <c r="P7007" s="9"/>
      <c r="Q7007" s="5"/>
    </row>
    <row r="7008">
      <c r="J7008" s="5"/>
      <c r="P7008" s="9"/>
      <c r="Q7008" s="5"/>
    </row>
    <row r="7009">
      <c r="J7009" s="5"/>
      <c r="P7009" s="9"/>
      <c r="Q7009" s="5"/>
    </row>
    <row r="7010">
      <c r="J7010" s="5"/>
      <c r="P7010" s="9"/>
      <c r="Q7010" s="5"/>
    </row>
    <row r="7011">
      <c r="J7011" s="5"/>
      <c r="P7011" s="9"/>
      <c r="Q7011" s="5"/>
    </row>
    <row r="7012">
      <c r="J7012" s="5"/>
      <c r="P7012" s="9"/>
      <c r="Q7012" s="5"/>
    </row>
    <row r="7013">
      <c r="J7013" s="5"/>
      <c r="P7013" s="9"/>
      <c r="Q7013" s="5"/>
    </row>
    <row r="7014">
      <c r="J7014" s="5"/>
      <c r="P7014" s="9"/>
      <c r="Q7014" s="5"/>
    </row>
    <row r="7015">
      <c r="J7015" s="5"/>
      <c r="P7015" s="9"/>
      <c r="Q7015" s="5"/>
    </row>
    <row r="7016">
      <c r="J7016" s="5"/>
      <c r="P7016" s="9"/>
      <c r="Q7016" s="5"/>
    </row>
    <row r="7017">
      <c r="J7017" s="5"/>
      <c r="P7017" s="9"/>
      <c r="Q7017" s="5"/>
    </row>
    <row r="7018">
      <c r="J7018" s="5"/>
      <c r="P7018" s="9"/>
      <c r="Q7018" s="5"/>
    </row>
    <row r="7019">
      <c r="J7019" s="5"/>
      <c r="P7019" s="9"/>
      <c r="Q7019" s="5"/>
    </row>
    <row r="7020">
      <c r="J7020" s="5"/>
      <c r="P7020" s="9"/>
      <c r="Q7020" s="5"/>
    </row>
    <row r="7021">
      <c r="J7021" s="5"/>
      <c r="P7021" s="9"/>
      <c r="Q7021" s="5"/>
    </row>
    <row r="7022">
      <c r="J7022" s="5"/>
      <c r="P7022" s="9"/>
      <c r="Q7022" s="5"/>
    </row>
    <row r="7023">
      <c r="J7023" s="5"/>
      <c r="P7023" s="9"/>
      <c r="Q7023" s="5"/>
    </row>
    <row r="7024">
      <c r="J7024" s="5"/>
      <c r="P7024" s="9"/>
      <c r="Q7024" s="5"/>
    </row>
    <row r="7025">
      <c r="J7025" s="5"/>
      <c r="P7025" s="9"/>
      <c r="Q7025" s="5"/>
    </row>
    <row r="7026">
      <c r="J7026" s="5"/>
      <c r="P7026" s="9"/>
      <c r="Q7026" s="5"/>
    </row>
    <row r="7027">
      <c r="J7027" s="5"/>
      <c r="P7027" s="9"/>
      <c r="Q7027" s="5"/>
    </row>
    <row r="7028">
      <c r="J7028" s="5"/>
      <c r="P7028" s="9"/>
      <c r="Q7028" s="5"/>
    </row>
    <row r="7029">
      <c r="J7029" s="5"/>
      <c r="P7029" s="9"/>
      <c r="Q7029" s="5"/>
    </row>
    <row r="7030">
      <c r="J7030" s="5"/>
      <c r="P7030" s="9"/>
      <c r="Q7030" s="5"/>
    </row>
    <row r="7031">
      <c r="J7031" s="5"/>
      <c r="P7031" s="9"/>
      <c r="Q7031" s="5"/>
    </row>
    <row r="7032">
      <c r="J7032" s="5"/>
      <c r="P7032" s="9"/>
      <c r="Q7032" s="5"/>
    </row>
    <row r="7033">
      <c r="J7033" s="5"/>
      <c r="P7033" s="9"/>
      <c r="Q7033" s="5"/>
    </row>
    <row r="7034">
      <c r="J7034" s="5"/>
      <c r="P7034" s="9"/>
      <c r="Q7034" s="5"/>
    </row>
    <row r="7035">
      <c r="J7035" s="5"/>
      <c r="P7035" s="9"/>
      <c r="Q7035" s="5"/>
    </row>
    <row r="7036">
      <c r="J7036" s="5"/>
      <c r="P7036" s="9"/>
      <c r="Q7036" s="5"/>
    </row>
    <row r="7037">
      <c r="J7037" s="5"/>
      <c r="P7037" s="9"/>
      <c r="Q7037" s="5"/>
    </row>
    <row r="7038">
      <c r="J7038" s="5"/>
      <c r="P7038" s="9"/>
      <c r="Q7038" s="5"/>
    </row>
    <row r="7039">
      <c r="J7039" s="5"/>
      <c r="P7039" s="9"/>
      <c r="Q7039" s="5"/>
    </row>
    <row r="7040">
      <c r="J7040" s="5"/>
      <c r="P7040" s="9"/>
      <c r="Q7040" s="5"/>
    </row>
    <row r="7041">
      <c r="J7041" s="5"/>
      <c r="P7041" s="9"/>
      <c r="Q7041" s="5"/>
    </row>
    <row r="7042">
      <c r="J7042" s="5"/>
      <c r="P7042" s="9"/>
      <c r="Q7042" s="5"/>
    </row>
    <row r="7043">
      <c r="J7043" s="5"/>
      <c r="P7043" s="9"/>
      <c r="Q7043" s="5"/>
    </row>
    <row r="7044">
      <c r="J7044" s="5"/>
      <c r="P7044" s="9"/>
      <c r="Q7044" s="5"/>
    </row>
    <row r="7045">
      <c r="J7045" s="5"/>
      <c r="P7045" s="9"/>
      <c r="Q7045" s="5"/>
    </row>
    <row r="7046">
      <c r="J7046" s="5"/>
      <c r="P7046" s="9"/>
      <c r="Q7046" s="5"/>
    </row>
    <row r="7047">
      <c r="J7047" s="5"/>
      <c r="P7047" s="9"/>
      <c r="Q7047" s="5"/>
    </row>
    <row r="7048">
      <c r="J7048" s="5"/>
      <c r="P7048" s="9"/>
      <c r="Q7048" s="5"/>
    </row>
    <row r="7049">
      <c r="J7049" s="5"/>
      <c r="P7049" s="9"/>
      <c r="Q7049" s="5"/>
    </row>
    <row r="7050">
      <c r="J7050" s="5"/>
      <c r="P7050" s="9"/>
      <c r="Q7050" s="5"/>
    </row>
    <row r="7051">
      <c r="J7051" s="5"/>
      <c r="P7051" s="9"/>
      <c r="Q7051" s="5"/>
    </row>
    <row r="7052">
      <c r="J7052" s="5"/>
      <c r="P7052" s="9"/>
      <c r="Q7052" s="5"/>
    </row>
    <row r="7053">
      <c r="J7053" s="5"/>
      <c r="P7053" s="9"/>
      <c r="Q7053" s="5"/>
    </row>
    <row r="7054">
      <c r="J7054" s="5"/>
      <c r="P7054" s="9"/>
      <c r="Q7054" s="5"/>
    </row>
    <row r="7055">
      <c r="J7055" s="5"/>
      <c r="P7055" s="9"/>
      <c r="Q7055" s="5"/>
    </row>
    <row r="7056">
      <c r="J7056" s="5"/>
      <c r="P7056" s="9"/>
      <c r="Q7056" s="5"/>
    </row>
    <row r="7057">
      <c r="J7057" s="5"/>
      <c r="P7057" s="9"/>
      <c r="Q7057" s="5"/>
    </row>
    <row r="7058">
      <c r="J7058" s="5"/>
      <c r="P7058" s="9"/>
      <c r="Q7058" s="5"/>
    </row>
    <row r="7059">
      <c r="J7059" s="5"/>
      <c r="P7059" s="9"/>
      <c r="Q7059" s="5"/>
    </row>
    <row r="7060">
      <c r="J7060" s="5"/>
      <c r="P7060" s="9"/>
      <c r="Q7060" s="5"/>
    </row>
    <row r="7061">
      <c r="J7061" s="5"/>
      <c r="P7061" s="9"/>
      <c r="Q7061" s="5"/>
    </row>
    <row r="7062">
      <c r="J7062" s="5"/>
      <c r="P7062" s="9"/>
      <c r="Q7062" s="5"/>
    </row>
    <row r="7063">
      <c r="J7063" s="5"/>
      <c r="P7063" s="9"/>
      <c r="Q7063" s="5"/>
    </row>
    <row r="7064">
      <c r="J7064" s="5"/>
      <c r="P7064" s="9"/>
      <c r="Q7064" s="5"/>
    </row>
    <row r="7065">
      <c r="J7065" s="5"/>
      <c r="P7065" s="9"/>
      <c r="Q7065" s="5"/>
    </row>
    <row r="7066">
      <c r="J7066" s="5"/>
      <c r="P7066" s="9"/>
      <c r="Q7066" s="5"/>
    </row>
    <row r="7067">
      <c r="J7067" s="5"/>
      <c r="P7067" s="9"/>
      <c r="Q7067" s="5"/>
    </row>
    <row r="7068">
      <c r="J7068" s="5"/>
      <c r="P7068" s="9"/>
      <c r="Q7068" s="5"/>
    </row>
    <row r="7069">
      <c r="J7069" s="5"/>
      <c r="P7069" s="9"/>
      <c r="Q7069" s="5"/>
    </row>
    <row r="7070">
      <c r="J7070" s="5"/>
      <c r="P7070" s="9"/>
      <c r="Q7070" s="5"/>
    </row>
    <row r="7071">
      <c r="J7071" s="5"/>
      <c r="P7071" s="9"/>
      <c r="Q7071" s="5"/>
    </row>
    <row r="7072">
      <c r="J7072" s="5"/>
      <c r="P7072" s="9"/>
      <c r="Q7072" s="5"/>
    </row>
    <row r="7073">
      <c r="J7073" s="5"/>
      <c r="P7073" s="9"/>
      <c r="Q7073" s="5"/>
    </row>
    <row r="7074">
      <c r="J7074" s="5"/>
      <c r="P7074" s="9"/>
      <c r="Q7074" s="5"/>
    </row>
    <row r="7075">
      <c r="J7075" s="5"/>
      <c r="P7075" s="9"/>
      <c r="Q7075" s="5"/>
    </row>
    <row r="7076">
      <c r="J7076" s="5"/>
      <c r="P7076" s="9"/>
      <c r="Q7076" s="5"/>
    </row>
    <row r="7077">
      <c r="J7077" s="5"/>
      <c r="P7077" s="9"/>
      <c r="Q7077" s="5"/>
    </row>
    <row r="7078">
      <c r="J7078" s="5"/>
      <c r="P7078" s="9"/>
      <c r="Q7078" s="5"/>
    </row>
    <row r="7079">
      <c r="J7079" s="5"/>
      <c r="P7079" s="9"/>
      <c r="Q7079" s="5"/>
    </row>
    <row r="7080">
      <c r="J7080" s="5"/>
      <c r="P7080" s="9"/>
      <c r="Q7080" s="5"/>
    </row>
    <row r="7081">
      <c r="J7081" s="5"/>
      <c r="P7081" s="9"/>
      <c r="Q7081" s="5"/>
    </row>
    <row r="7082">
      <c r="J7082" s="5"/>
      <c r="P7082" s="9"/>
      <c r="Q7082" s="5"/>
    </row>
    <row r="7083">
      <c r="J7083" s="5"/>
      <c r="P7083" s="9"/>
      <c r="Q7083" s="5"/>
    </row>
    <row r="7084">
      <c r="J7084" s="5"/>
      <c r="P7084" s="9"/>
      <c r="Q7084" s="5"/>
    </row>
    <row r="7085">
      <c r="J7085" s="5"/>
      <c r="P7085" s="9"/>
      <c r="Q7085" s="5"/>
    </row>
    <row r="7086">
      <c r="J7086" s="5"/>
      <c r="P7086" s="9"/>
      <c r="Q7086" s="5"/>
    </row>
    <row r="7087">
      <c r="J7087" s="5"/>
      <c r="P7087" s="9"/>
      <c r="Q7087" s="5"/>
    </row>
    <row r="7088">
      <c r="J7088" s="5"/>
      <c r="P7088" s="9"/>
      <c r="Q7088" s="5"/>
    </row>
    <row r="7089">
      <c r="J7089" s="5"/>
      <c r="P7089" s="9"/>
      <c r="Q7089" s="5"/>
    </row>
    <row r="7090">
      <c r="J7090" s="5"/>
      <c r="P7090" s="9"/>
      <c r="Q7090" s="5"/>
    </row>
    <row r="7091">
      <c r="J7091" s="5"/>
      <c r="P7091" s="9"/>
      <c r="Q7091" s="5"/>
    </row>
    <row r="7092">
      <c r="J7092" s="5"/>
      <c r="P7092" s="9"/>
      <c r="Q7092" s="5"/>
    </row>
    <row r="7093">
      <c r="J7093" s="5"/>
      <c r="P7093" s="9"/>
      <c r="Q7093" s="5"/>
    </row>
    <row r="7094">
      <c r="J7094" s="5"/>
      <c r="P7094" s="9"/>
      <c r="Q7094" s="5"/>
    </row>
    <row r="7095">
      <c r="J7095" s="5"/>
      <c r="P7095" s="9"/>
      <c r="Q7095" s="5"/>
    </row>
    <row r="7096">
      <c r="J7096" s="5"/>
      <c r="P7096" s="9"/>
      <c r="Q7096" s="5"/>
    </row>
    <row r="7097">
      <c r="J7097" s="5"/>
      <c r="P7097" s="9"/>
      <c r="Q7097" s="5"/>
    </row>
    <row r="7098">
      <c r="J7098" s="5"/>
      <c r="P7098" s="9"/>
      <c r="Q7098" s="5"/>
    </row>
    <row r="7099">
      <c r="J7099" s="5"/>
      <c r="P7099" s="9"/>
      <c r="Q7099" s="5"/>
    </row>
    <row r="7100">
      <c r="J7100" s="5"/>
      <c r="P7100" s="9"/>
      <c r="Q7100" s="5"/>
    </row>
    <row r="7101">
      <c r="J7101" s="5"/>
      <c r="P7101" s="9"/>
      <c r="Q7101" s="5"/>
    </row>
    <row r="7102">
      <c r="J7102" s="5"/>
      <c r="P7102" s="9"/>
      <c r="Q7102" s="5"/>
    </row>
    <row r="7103">
      <c r="J7103" s="5"/>
      <c r="P7103" s="9"/>
      <c r="Q7103" s="5"/>
    </row>
    <row r="7104">
      <c r="J7104" s="5"/>
      <c r="P7104" s="9"/>
      <c r="Q7104" s="5"/>
    </row>
    <row r="7105">
      <c r="J7105" s="5"/>
      <c r="P7105" s="9"/>
      <c r="Q7105" s="5"/>
    </row>
    <row r="7106">
      <c r="J7106" s="5"/>
      <c r="P7106" s="9"/>
      <c r="Q7106" s="5"/>
    </row>
    <row r="7107">
      <c r="J7107" s="5"/>
      <c r="P7107" s="9"/>
      <c r="Q7107" s="5"/>
    </row>
    <row r="7108">
      <c r="J7108" s="5"/>
      <c r="P7108" s="9"/>
      <c r="Q7108" s="5"/>
    </row>
    <row r="7109">
      <c r="J7109" s="5"/>
      <c r="P7109" s="9"/>
      <c r="Q7109" s="5"/>
    </row>
    <row r="7110">
      <c r="J7110" s="5"/>
      <c r="P7110" s="9"/>
      <c r="Q7110" s="5"/>
    </row>
    <row r="7111">
      <c r="J7111" s="5"/>
      <c r="P7111" s="9"/>
      <c r="Q7111" s="5"/>
    </row>
    <row r="7112">
      <c r="J7112" s="5"/>
      <c r="P7112" s="9"/>
      <c r="Q7112" s="5"/>
    </row>
    <row r="7113">
      <c r="J7113" s="5"/>
      <c r="P7113" s="9"/>
      <c r="Q7113" s="5"/>
    </row>
    <row r="7114">
      <c r="J7114" s="5"/>
      <c r="P7114" s="9"/>
      <c r="Q7114" s="5"/>
    </row>
    <row r="7115">
      <c r="J7115" s="5"/>
      <c r="P7115" s="9"/>
      <c r="Q7115" s="5"/>
    </row>
    <row r="7116">
      <c r="J7116" s="5"/>
      <c r="P7116" s="9"/>
      <c r="Q7116" s="5"/>
    </row>
    <row r="7117">
      <c r="J7117" s="5"/>
      <c r="P7117" s="9"/>
      <c r="Q7117" s="5"/>
    </row>
    <row r="7118">
      <c r="J7118" s="5"/>
      <c r="P7118" s="9"/>
      <c r="Q7118" s="5"/>
    </row>
    <row r="7119">
      <c r="J7119" s="5"/>
      <c r="P7119" s="9"/>
      <c r="Q7119" s="5"/>
    </row>
    <row r="7120">
      <c r="J7120" s="5"/>
      <c r="P7120" s="9"/>
      <c r="Q7120" s="5"/>
    </row>
    <row r="7121">
      <c r="J7121" s="5"/>
      <c r="P7121" s="9"/>
      <c r="Q7121" s="5"/>
    </row>
    <row r="7122">
      <c r="J7122" s="5"/>
      <c r="P7122" s="9"/>
      <c r="Q7122" s="5"/>
    </row>
    <row r="7123">
      <c r="J7123" s="5"/>
      <c r="P7123" s="9"/>
      <c r="Q7123" s="5"/>
    </row>
    <row r="7124">
      <c r="J7124" s="5"/>
      <c r="P7124" s="9"/>
      <c r="Q7124" s="5"/>
    </row>
    <row r="7125">
      <c r="J7125" s="5"/>
      <c r="P7125" s="9"/>
      <c r="Q7125" s="5"/>
    </row>
    <row r="7126">
      <c r="J7126" s="5"/>
      <c r="P7126" s="9"/>
      <c r="Q7126" s="5"/>
    </row>
    <row r="7127">
      <c r="J7127" s="5"/>
      <c r="P7127" s="9"/>
      <c r="Q7127" s="5"/>
    </row>
    <row r="7128">
      <c r="J7128" s="5"/>
      <c r="P7128" s="9"/>
      <c r="Q7128" s="5"/>
    </row>
    <row r="7129">
      <c r="J7129" s="5"/>
      <c r="P7129" s="9"/>
      <c r="Q7129" s="5"/>
    </row>
    <row r="7130">
      <c r="J7130" s="5"/>
      <c r="P7130" s="9"/>
      <c r="Q7130" s="5"/>
    </row>
    <row r="7131">
      <c r="J7131" s="5"/>
      <c r="P7131" s="9"/>
      <c r="Q7131" s="5"/>
    </row>
    <row r="7132">
      <c r="J7132" s="5"/>
      <c r="P7132" s="9"/>
      <c r="Q7132" s="5"/>
    </row>
    <row r="7133">
      <c r="J7133" s="5"/>
      <c r="P7133" s="9"/>
      <c r="Q7133" s="5"/>
    </row>
    <row r="7134">
      <c r="J7134" s="5"/>
      <c r="P7134" s="9"/>
      <c r="Q7134" s="5"/>
    </row>
    <row r="7135">
      <c r="J7135" s="5"/>
      <c r="P7135" s="9"/>
      <c r="Q7135" s="5"/>
    </row>
    <row r="7136">
      <c r="J7136" s="5"/>
      <c r="P7136" s="9"/>
      <c r="Q7136" s="5"/>
    </row>
    <row r="7137">
      <c r="J7137" s="5"/>
      <c r="P7137" s="9"/>
      <c r="Q7137" s="5"/>
    </row>
    <row r="7138">
      <c r="J7138" s="5"/>
      <c r="P7138" s="9"/>
      <c r="Q7138" s="5"/>
    </row>
    <row r="7139">
      <c r="J7139" s="5"/>
      <c r="P7139" s="9"/>
      <c r="Q7139" s="5"/>
    </row>
    <row r="7140">
      <c r="J7140" s="5"/>
      <c r="P7140" s="9"/>
      <c r="Q7140" s="5"/>
    </row>
    <row r="7141">
      <c r="J7141" s="5"/>
      <c r="P7141" s="9"/>
      <c r="Q7141" s="5"/>
    </row>
    <row r="7142">
      <c r="J7142" s="5"/>
      <c r="P7142" s="9"/>
      <c r="Q7142" s="5"/>
    </row>
    <row r="7143">
      <c r="J7143" s="5"/>
      <c r="P7143" s="9"/>
      <c r="Q7143" s="5"/>
    </row>
    <row r="7144">
      <c r="J7144" s="5"/>
      <c r="P7144" s="9"/>
      <c r="Q7144" s="5"/>
    </row>
    <row r="7145">
      <c r="J7145" s="5"/>
      <c r="P7145" s="9"/>
      <c r="Q7145" s="5"/>
    </row>
    <row r="7146">
      <c r="J7146" s="5"/>
      <c r="P7146" s="9"/>
      <c r="Q7146" s="5"/>
    </row>
    <row r="7147">
      <c r="J7147" s="5"/>
      <c r="P7147" s="9"/>
      <c r="Q7147" s="5"/>
    </row>
    <row r="7148">
      <c r="J7148" s="5"/>
      <c r="P7148" s="9"/>
      <c r="Q7148" s="5"/>
    </row>
    <row r="7149">
      <c r="J7149" s="5"/>
      <c r="P7149" s="9"/>
      <c r="Q7149" s="5"/>
    </row>
    <row r="7150">
      <c r="J7150" s="5"/>
      <c r="P7150" s="9"/>
      <c r="Q7150" s="5"/>
    </row>
    <row r="7151">
      <c r="J7151" s="5"/>
      <c r="P7151" s="9"/>
      <c r="Q7151" s="5"/>
    </row>
    <row r="7152">
      <c r="J7152" s="5"/>
      <c r="P7152" s="9"/>
      <c r="Q7152" s="5"/>
    </row>
    <row r="7153">
      <c r="J7153" s="5"/>
      <c r="P7153" s="9"/>
      <c r="Q7153" s="5"/>
    </row>
    <row r="7154">
      <c r="J7154" s="5"/>
      <c r="P7154" s="9"/>
      <c r="Q7154" s="5"/>
    </row>
    <row r="7155">
      <c r="J7155" s="5"/>
      <c r="P7155" s="9"/>
      <c r="Q7155" s="5"/>
    </row>
    <row r="7156">
      <c r="J7156" s="5"/>
      <c r="P7156" s="9"/>
      <c r="Q7156" s="5"/>
    </row>
    <row r="7157">
      <c r="J7157" s="5"/>
      <c r="P7157" s="9"/>
      <c r="Q7157" s="5"/>
    </row>
    <row r="7158">
      <c r="J7158" s="5"/>
      <c r="P7158" s="9"/>
      <c r="Q7158" s="5"/>
    </row>
    <row r="7159">
      <c r="J7159" s="5"/>
      <c r="P7159" s="9"/>
      <c r="Q7159" s="5"/>
    </row>
    <row r="7160">
      <c r="J7160" s="5"/>
      <c r="P7160" s="9"/>
      <c r="Q7160" s="5"/>
    </row>
    <row r="7161">
      <c r="J7161" s="5"/>
      <c r="P7161" s="9"/>
      <c r="Q7161" s="5"/>
    </row>
    <row r="7162">
      <c r="J7162" s="5"/>
      <c r="P7162" s="9"/>
      <c r="Q7162" s="5"/>
    </row>
    <row r="7163">
      <c r="J7163" s="5"/>
      <c r="P7163" s="9"/>
      <c r="Q7163" s="5"/>
    </row>
    <row r="7164">
      <c r="J7164" s="5"/>
      <c r="P7164" s="9"/>
      <c r="Q7164" s="5"/>
    </row>
    <row r="7165">
      <c r="J7165" s="5"/>
      <c r="P7165" s="9"/>
      <c r="Q7165" s="5"/>
    </row>
    <row r="7166">
      <c r="J7166" s="5"/>
      <c r="P7166" s="9"/>
      <c r="Q7166" s="5"/>
    </row>
    <row r="7167">
      <c r="J7167" s="5"/>
      <c r="P7167" s="9"/>
      <c r="Q7167" s="5"/>
    </row>
    <row r="7168">
      <c r="J7168" s="5"/>
      <c r="P7168" s="9"/>
      <c r="Q7168" s="5"/>
    </row>
    <row r="7169">
      <c r="J7169" s="5"/>
      <c r="P7169" s="9"/>
      <c r="Q7169" s="5"/>
    </row>
    <row r="7170">
      <c r="J7170" s="5"/>
      <c r="P7170" s="9"/>
      <c r="Q7170" s="5"/>
    </row>
    <row r="7171">
      <c r="J7171" s="5"/>
      <c r="P7171" s="9"/>
      <c r="Q7171" s="5"/>
    </row>
    <row r="7172">
      <c r="J7172" s="5"/>
      <c r="P7172" s="9"/>
      <c r="Q7172" s="5"/>
    </row>
    <row r="7173">
      <c r="J7173" s="5"/>
      <c r="P7173" s="9"/>
      <c r="Q7173" s="5"/>
    </row>
    <row r="7174">
      <c r="J7174" s="5"/>
      <c r="P7174" s="9"/>
      <c r="Q7174" s="5"/>
    </row>
    <row r="7175">
      <c r="J7175" s="5"/>
      <c r="P7175" s="9"/>
      <c r="Q7175" s="5"/>
    </row>
    <row r="7176">
      <c r="J7176" s="5"/>
      <c r="P7176" s="9"/>
      <c r="Q7176" s="5"/>
    </row>
    <row r="7177">
      <c r="J7177" s="5"/>
      <c r="P7177" s="9"/>
      <c r="Q7177" s="5"/>
    </row>
    <row r="7178">
      <c r="J7178" s="5"/>
      <c r="P7178" s="9"/>
      <c r="Q7178" s="5"/>
    </row>
    <row r="7179">
      <c r="J7179" s="5"/>
      <c r="P7179" s="9"/>
      <c r="Q7179" s="5"/>
    </row>
    <row r="7180">
      <c r="J7180" s="5"/>
      <c r="P7180" s="9"/>
      <c r="Q7180" s="5"/>
    </row>
    <row r="7181">
      <c r="J7181" s="5"/>
      <c r="P7181" s="9"/>
      <c r="Q7181" s="5"/>
    </row>
    <row r="7182">
      <c r="J7182" s="5"/>
      <c r="P7182" s="9"/>
      <c r="Q7182" s="5"/>
    </row>
    <row r="7183">
      <c r="J7183" s="5"/>
      <c r="P7183" s="9"/>
      <c r="Q7183" s="5"/>
    </row>
    <row r="7184">
      <c r="J7184" s="5"/>
      <c r="P7184" s="9"/>
      <c r="Q7184" s="5"/>
    </row>
    <row r="7185">
      <c r="J7185" s="5"/>
      <c r="P7185" s="9"/>
      <c r="Q7185" s="5"/>
    </row>
    <row r="7186">
      <c r="J7186" s="5"/>
      <c r="P7186" s="9"/>
      <c r="Q7186" s="5"/>
    </row>
    <row r="7187">
      <c r="J7187" s="5"/>
      <c r="P7187" s="9"/>
      <c r="Q7187" s="5"/>
    </row>
    <row r="7188">
      <c r="J7188" s="5"/>
      <c r="P7188" s="9"/>
      <c r="Q7188" s="5"/>
    </row>
    <row r="7189">
      <c r="J7189" s="5"/>
      <c r="P7189" s="9"/>
      <c r="Q7189" s="5"/>
    </row>
    <row r="7190">
      <c r="J7190" s="5"/>
      <c r="P7190" s="9"/>
      <c r="Q7190" s="5"/>
    </row>
    <row r="7191">
      <c r="J7191" s="5"/>
      <c r="P7191" s="9"/>
      <c r="Q7191" s="5"/>
    </row>
    <row r="7192">
      <c r="J7192" s="5"/>
      <c r="P7192" s="9"/>
      <c r="Q7192" s="5"/>
    </row>
    <row r="7193">
      <c r="J7193" s="5"/>
      <c r="P7193" s="9"/>
      <c r="Q7193" s="5"/>
    </row>
    <row r="7194">
      <c r="J7194" s="5"/>
      <c r="P7194" s="9"/>
      <c r="Q7194" s="5"/>
    </row>
    <row r="7195">
      <c r="J7195" s="5"/>
      <c r="P7195" s="9"/>
      <c r="Q7195" s="5"/>
    </row>
    <row r="7196">
      <c r="J7196" s="5"/>
      <c r="P7196" s="9"/>
      <c r="Q7196" s="5"/>
    </row>
    <row r="7197">
      <c r="J7197" s="5"/>
      <c r="P7197" s="9"/>
      <c r="Q7197" s="5"/>
    </row>
    <row r="7198">
      <c r="J7198" s="5"/>
      <c r="P7198" s="9"/>
      <c r="Q7198" s="5"/>
    </row>
    <row r="7199">
      <c r="J7199" s="5"/>
      <c r="P7199" s="9"/>
      <c r="Q7199" s="5"/>
    </row>
    <row r="7200">
      <c r="J7200" s="5"/>
      <c r="P7200" s="9"/>
      <c r="Q7200" s="5"/>
    </row>
    <row r="7201">
      <c r="J7201" s="5"/>
      <c r="P7201" s="9"/>
      <c r="Q7201" s="5"/>
    </row>
    <row r="7202">
      <c r="J7202" s="5"/>
      <c r="P7202" s="9"/>
      <c r="Q7202" s="5"/>
    </row>
    <row r="7203">
      <c r="J7203" s="5"/>
      <c r="P7203" s="9"/>
      <c r="Q7203" s="5"/>
    </row>
    <row r="7204">
      <c r="J7204" s="5"/>
      <c r="P7204" s="9"/>
      <c r="Q7204" s="5"/>
    </row>
    <row r="7205">
      <c r="J7205" s="5"/>
      <c r="P7205" s="9"/>
      <c r="Q7205" s="5"/>
    </row>
    <row r="7206">
      <c r="J7206" s="5"/>
      <c r="P7206" s="9"/>
      <c r="Q7206" s="5"/>
    </row>
    <row r="7207">
      <c r="J7207" s="5"/>
      <c r="P7207" s="9"/>
      <c r="Q7207" s="5"/>
    </row>
    <row r="7208">
      <c r="J7208" s="5"/>
      <c r="P7208" s="9"/>
      <c r="Q7208" s="5"/>
    </row>
    <row r="7209">
      <c r="J7209" s="5"/>
      <c r="P7209" s="9"/>
      <c r="Q7209" s="5"/>
    </row>
    <row r="7210">
      <c r="J7210" s="5"/>
      <c r="P7210" s="9"/>
      <c r="Q7210" s="5"/>
    </row>
    <row r="7211">
      <c r="J7211" s="5"/>
      <c r="P7211" s="9"/>
      <c r="Q7211" s="5"/>
    </row>
    <row r="7212">
      <c r="J7212" s="5"/>
      <c r="P7212" s="9"/>
      <c r="Q7212" s="5"/>
    </row>
    <row r="7213">
      <c r="J7213" s="5"/>
      <c r="P7213" s="9"/>
      <c r="Q7213" s="5"/>
    </row>
    <row r="7214">
      <c r="J7214" s="5"/>
      <c r="P7214" s="9"/>
      <c r="Q7214" s="5"/>
    </row>
    <row r="7215">
      <c r="J7215" s="5"/>
      <c r="P7215" s="9"/>
      <c r="Q7215" s="5"/>
    </row>
    <row r="7216">
      <c r="J7216" s="5"/>
      <c r="P7216" s="9"/>
      <c r="Q7216" s="5"/>
    </row>
    <row r="7217">
      <c r="J7217" s="5"/>
      <c r="P7217" s="9"/>
      <c r="Q7217" s="5"/>
    </row>
    <row r="7218">
      <c r="J7218" s="5"/>
      <c r="P7218" s="9"/>
      <c r="Q7218" s="5"/>
    </row>
    <row r="7219">
      <c r="J7219" s="5"/>
      <c r="P7219" s="9"/>
      <c r="Q7219" s="5"/>
    </row>
    <row r="7220">
      <c r="J7220" s="5"/>
      <c r="P7220" s="9"/>
      <c r="Q7220" s="5"/>
    </row>
    <row r="7221">
      <c r="J7221" s="5"/>
      <c r="P7221" s="9"/>
      <c r="Q7221" s="5"/>
    </row>
    <row r="7222">
      <c r="J7222" s="5"/>
      <c r="P7222" s="9"/>
      <c r="Q7222" s="5"/>
    </row>
    <row r="7223">
      <c r="J7223" s="5"/>
      <c r="P7223" s="9"/>
      <c r="Q7223" s="5"/>
    </row>
    <row r="7224">
      <c r="J7224" s="5"/>
      <c r="P7224" s="9"/>
      <c r="Q7224" s="5"/>
    </row>
    <row r="7225">
      <c r="J7225" s="5"/>
      <c r="P7225" s="9"/>
      <c r="Q7225" s="5"/>
    </row>
    <row r="7226">
      <c r="J7226" s="5"/>
      <c r="P7226" s="9"/>
      <c r="Q7226" s="5"/>
    </row>
    <row r="7227">
      <c r="J7227" s="5"/>
      <c r="P7227" s="9"/>
      <c r="Q7227" s="5"/>
    </row>
    <row r="7228">
      <c r="J7228" s="5"/>
      <c r="P7228" s="9"/>
      <c r="Q7228" s="5"/>
    </row>
    <row r="7229">
      <c r="J7229" s="5"/>
      <c r="P7229" s="9"/>
      <c r="Q7229" s="5"/>
    </row>
    <row r="7230">
      <c r="J7230" s="5"/>
      <c r="P7230" s="9"/>
      <c r="Q7230" s="5"/>
    </row>
    <row r="7231">
      <c r="J7231" s="5"/>
      <c r="P7231" s="9"/>
      <c r="Q7231" s="5"/>
    </row>
    <row r="7232">
      <c r="J7232" s="5"/>
      <c r="P7232" s="9"/>
      <c r="Q7232" s="5"/>
    </row>
    <row r="7233">
      <c r="J7233" s="5"/>
      <c r="P7233" s="9"/>
      <c r="Q7233" s="5"/>
    </row>
    <row r="7234">
      <c r="J7234" s="5"/>
      <c r="P7234" s="9"/>
      <c r="Q7234" s="5"/>
    </row>
    <row r="7235">
      <c r="J7235" s="5"/>
      <c r="P7235" s="9"/>
      <c r="Q7235" s="5"/>
    </row>
    <row r="7236">
      <c r="J7236" s="5"/>
      <c r="P7236" s="9"/>
      <c r="Q7236" s="5"/>
    </row>
    <row r="7237">
      <c r="J7237" s="5"/>
      <c r="P7237" s="9"/>
      <c r="Q7237" s="5"/>
    </row>
    <row r="7238">
      <c r="J7238" s="5"/>
      <c r="P7238" s="9"/>
      <c r="Q7238" s="5"/>
    </row>
    <row r="7239">
      <c r="J7239" s="5"/>
      <c r="P7239" s="9"/>
      <c r="Q7239" s="5"/>
    </row>
    <row r="7240">
      <c r="J7240" s="5"/>
      <c r="P7240" s="9"/>
      <c r="Q7240" s="5"/>
    </row>
    <row r="7241">
      <c r="J7241" s="5"/>
      <c r="P7241" s="9"/>
      <c r="Q7241" s="5"/>
    </row>
    <row r="7242">
      <c r="J7242" s="5"/>
      <c r="P7242" s="9"/>
      <c r="Q7242" s="5"/>
    </row>
    <row r="7243">
      <c r="J7243" s="5"/>
      <c r="P7243" s="9"/>
      <c r="Q7243" s="5"/>
    </row>
    <row r="7244">
      <c r="J7244" s="5"/>
      <c r="P7244" s="9"/>
      <c r="Q7244" s="5"/>
    </row>
    <row r="7245">
      <c r="J7245" s="5"/>
      <c r="P7245" s="9"/>
      <c r="Q7245" s="5"/>
    </row>
    <row r="7246">
      <c r="J7246" s="5"/>
      <c r="P7246" s="9"/>
      <c r="Q7246" s="5"/>
    </row>
    <row r="7247">
      <c r="J7247" s="5"/>
      <c r="P7247" s="9"/>
      <c r="Q7247" s="5"/>
    </row>
    <row r="7248">
      <c r="J7248" s="5"/>
      <c r="P7248" s="9"/>
      <c r="Q7248" s="5"/>
    </row>
    <row r="7249">
      <c r="J7249" s="5"/>
      <c r="P7249" s="9"/>
      <c r="Q7249" s="5"/>
    </row>
    <row r="7250">
      <c r="J7250" s="5"/>
      <c r="P7250" s="9"/>
      <c r="Q7250" s="5"/>
    </row>
    <row r="7251">
      <c r="J7251" s="5"/>
      <c r="P7251" s="9"/>
      <c r="Q7251" s="5"/>
    </row>
    <row r="7252">
      <c r="J7252" s="5"/>
      <c r="P7252" s="9"/>
      <c r="Q7252" s="5"/>
    </row>
    <row r="7253">
      <c r="J7253" s="5"/>
      <c r="P7253" s="9"/>
      <c r="Q7253" s="5"/>
    </row>
    <row r="7254">
      <c r="J7254" s="5"/>
      <c r="P7254" s="9"/>
      <c r="Q7254" s="5"/>
    </row>
    <row r="7255">
      <c r="J7255" s="5"/>
      <c r="P7255" s="9"/>
      <c r="Q7255" s="5"/>
    </row>
    <row r="7256">
      <c r="J7256" s="5"/>
      <c r="P7256" s="9"/>
      <c r="Q7256" s="5"/>
    </row>
    <row r="7257">
      <c r="J7257" s="5"/>
      <c r="P7257" s="9"/>
      <c r="Q7257" s="5"/>
    </row>
    <row r="7258">
      <c r="J7258" s="5"/>
      <c r="P7258" s="9"/>
      <c r="Q7258" s="5"/>
    </row>
    <row r="7259">
      <c r="J7259" s="5"/>
      <c r="P7259" s="9"/>
      <c r="Q7259" s="5"/>
    </row>
    <row r="7260">
      <c r="J7260" s="5"/>
      <c r="P7260" s="9"/>
      <c r="Q7260" s="5"/>
    </row>
    <row r="7261">
      <c r="J7261" s="5"/>
      <c r="P7261" s="9"/>
      <c r="Q7261" s="5"/>
    </row>
    <row r="7262">
      <c r="J7262" s="5"/>
      <c r="P7262" s="9"/>
      <c r="Q7262" s="5"/>
    </row>
    <row r="7263">
      <c r="J7263" s="5"/>
      <c r="P7263" s="9"/>
      <c r="Q7263" s="5"/>
    </row>
    <row r="7264">
      <c r="J7264" s="5"/>
      <c r="P7264" s="9"/>
      <c r="Q7264" s="5"/>
    </row>
    <row r="7265">
      <c r="J7265" s="5"/>
      <c r="P7265" s="9"/>
      <c r="Q7265" s="5"/>
    </row>
    <row r="7266">
      <c r="J7266" s="5"/>
      <c r="P7266" s="9"/>
      <c r="Q7266" s="5"/>
    </row>
    <row r="7267">
      <c r="J7267" s="5"/>
      <c r="P7267" s="9"/>
      <c r="Q7267" s="5"/>
    </row>
    <row r="7268">
      <c r="J7268" s="5"/>
      <c r="P7268" s="9"/>
      <c r="Q7268" s="5"/>
    </row>
    <row r="7269">
      <c r="J7269" s="5"/>
      <c r="P7269" s="9"/>
      <c r="Q7269" s="5"/>
    </row>
    <row r="7270">
      <c r="J7270" s="5"/>
      <c r="P7270" s="9"/>
      <c r="Q7270" s="5"/>
    </row>
    <row r="7271">
      <c r="J7271" s="5"/>
      <c r="P7271" s="9"/>
      <c r="Q7271" s="5"/>
    </row>
    <row r="7272">
      <c r="J7272" s="5"/>
      <c r="P7272" s="9"/>
      <c r="Q7272" s="5"/>
    </row>
    <row r="7273">
      <c r="J7273" s="5"/>
      <c r="P7273" s="9"/>
      <c r="Q7273" s="5"/>
    </row>
    <row r="7274">
      <c r="J7274" s="5"/>
      <c r="P7274" s="9"/>
      <c r="Q7274" s="5"/>
    </row>
    <row r="7275">
      <c r="J7275" s="5"/>
      <c r="P7275" s="9"/>
      <c r="Q7275" s="5"/>
    </row>
    <row r="7276">
      <c r="J7276" s="5"/>
      <c r="P7276" s="9"/>
      <c r="Q7276" s="5"/>
    </row>
    <row r="7277">
      <c r="J7277" s="5"/>
      <c r="P7277" s="9"/>
      <c r="Q7277" s="5"/>
    </row>
    <row r="7278">
      <c r="J7278" s="5"/>
      <c r="P7278" s="9"/>
      <c r="Q7278" s="5"/>
    </row>
    <row r="7279">
      <c r="J7279" s="5"/>
      <c r="P7279" s="9"/>
      <c r="Q7279" s="5"/>
    </row>
    <row r="7280">
      <c r="J7280" s="5"/>
      <c r="P7280" s="9"/>
      <c r="Q7280" s="5"/>
    </row>
    <row r="7281">
      <c r="J7281" s="5"/>
      <c r="P7281" s="9"/>
      <c r="Q7281" s="5"/>
    </row>
    <row r="7282">
      <c r="J7282" s="5"/>
      <c r="P7282" s="9"/>
      <c r="Q7282" s="5"/>
    </row>
    <row r="7283">
      <c r="J7283" s="5"/>
      <c r="P7283" s="9"/>
      <c r="Q7283" s="5"/>
    </row>
    <row r="7284">
      <c r="J7284" s="5"/>
      <c r="P7284" s="9"/>
      <c r="Q7284" s="5"/>
    </row>
    <row r="7285">
      <c r="J7285" s="5"/>
      <c r="P7285" s="9"/>
      <c r="Q7285" s="5"/>
    </row>
    <row r="7286">
      <c r="J7286" s="5"/>
      <c r="P7286" s="9"/>
      <c r="Q7286" s="5"/>
    </row>
    <row r="7287">
      <c r="J7287" s="5"/>
      <c r="P7287" s="9"/>
      <c r="Q7287" s="5"/>
    </row>
    <row r="7288">
      <c r="J7288" s="5"/>
      <c r="P7288" s="9"/>
      <c r="Q7288" s="5"/>
    </row>
    <row r="7289">
      <c r="J7289" s="5"/>
      <c r="P7289" s="9"/>
      <c r="Q7289" s="5"/>
    </row>
    <row r="7290">
      <c r="J7290" s="5"/>
      <c r="P7290" s="9"/>
      <c r="Q7290" s="5"/>
    </row>
    <row r="7291">
      <c r="J7291" s="5"/>
      <c r="P7291" s="9"/>
      <c r="Q7291" s="5"/>
    </row>
    <row r="7292">
      <c r="J7292" s="5"/>
      <c r="P7292" s="9"/>
      <c r="Q7292" s="5"/>
    </row>
    <row r="7293">
      <c r="J7293" s="5"/>
      <c r="P7293" s="9"/>
      <c r="Q7293" s="5"/>
    </row>
    <row r="7294">
      <c r="J7294" s="5"/>
      <c r="P7294" s="9"/>
      <c r="Q7294" s="5"/>
    </row>
    <row r="7295">
      <c r="J7295" s="5"/>
      <c r="P7295" s="9"/>
      <c r="Q7295" s="5"/>
    </row>
    <row r="7296">
      <c r="J7296" s="5"/>
      <c r="P7296" s="9"/>
      <c r="Q7296" s="5"/>
    </row>
    <row r="7297">
      <c r="J7297" s="5"/>
      <c r="P7297" s="9"/>
      <c r="Q7297" s="5"/>
    </row>
    <row r="7298">
      <c r="J7298" s="5"/>
      <c r="P7298" s="9"/>
      <c r="Q7298" s="5"/>
    </row>
    <row r="7299">
      <c r="J7299" s="5"/>
      <c r="P7299" s="9"/>
      <c r="Q7299" s="5"/>
    </row>
    <row r="7300">
      <c r="J7300" s="5"/>
      <c r="P7300" s="9"/>
      <c r="Q7300" s="5"/>
    </row>
    <row r="7301">
      <c r="J7301" s="5"/>
      <c r="P7301" s="9"/>
      <c r="Q7301" s="5"/>
    </row>
    <row r="7302">
      <c r="J7302" s="5"/>
      <c r="P7302" s="9"/>
      <c r="Q7302" s="5"/>
    </row>
    <row r="7303">
      <c r="J7303" s="5"/>
      <c r="P7303" s="9"/>
      <c r="Q7303" s="5"/>
    </row>
    <row r="7304">
      <c r="J7304" s="5"/>
      <c r="P7304" s="9"/>
      <c r="Q7304" s="5"/>
    </row>
    <row r="7305">
      <c r="J7305" s="5"/>
      <c r="P7305" s="9"/>
      <c r="Q7305" s="5"/>
    </row>
    <row r="7306">
      <c r="J7306" s="5"/>
      <c r="P7306" s="9"/>
      <c r="Q7306" s="5"/>
    </row>
    <row r="7307">
      <c r="J7307" s="5"/>
      <c r="P7307" s="9"/>
      <c r="Q7307" s="5"/>
    </row>
    <row r="7308">
      <c r="J7308" s="5"/>
      <c r="P7308" s="9"/>
      <c r="Q7308" s="5"/>
    </row>
    <row r="7309">
      <c r="J7309" s="5"/>
      <c r="P7309" s="9"/>
      <c r="Q7309" s="5"/>
    </row>
    <row r="7310">
      <c r="J7310" s="5"/>
      <c r="P7310" s="9"/>
      <c r="Q7310" s="5"/>
    </row>
    <row r="7311">
      <c r="J7311" s="5"/>
      <c r="P7311" s="9"/>
      <c r="Q7311" s="5"/>
    </row>
    <row r="7312">
      <c r="J7312" s="5"/>
      <c r="P7312" s="9"/>
      <c r="Q7312" s="5"/>
    </row>
    <row r="7313">
      <c r="J7313" s="5"/>
      <c r="P7313" s="9"/>
      <c r="Q7313" s="5"/>
    </row>
    <row r="7314">
      <c r="J7314" s="5"/>
      <c r="P7314" s="9"/>
      <c r="Q7314" s="5"/>
    </row>
    <row r="7315">
      <c r="J7315" s="5"/>
      <c r="P7315" s="9"/>
      <c r="Q7315" s="5"/>
    </row>
    <row r="7316">
      <c r="J7316" s="5"/>
      <c r="P7316" s="9"/>
      <c r="Q7316" s="5"/>
    </row>
    <row r="7317">
      <c r="J7317" s="5"/>
      <c r="P7317" s="9"/>
      <c r="Q7317" s="5"/>
    </row>
    <row r="7318">
      <c r="J7318" s="5"/>
      <c r="P7318" s="9"/>
      <c r="Q7318" s="5"/>
    </row>
    <row r="7319">
      <c r="J7319" s="5"/>
      <c r="P7319" s="9"/>
      <c r="Q7319" s="5"/>
    </row>
    <row r="7320">
      <c r="J7320" s="5"/>
      <c r="P7320" s="9"/>
      <c r="Q7320" s="5"/>
    </row>
    <row r="7321">
      <c r="J7321" s="5"/>
      <c r="P7321" s="9"/>
      <c r="Q7321" s="5"/>
    </row>
    <row r="7322">
      <c r="J7322" s="5"/>
      <c r="P7322" s="9"/>
      <c r="Q7322" s="5"/>
    </row>
    <row r="7323">
      <c r="J7323" s="5"/>
      <c r="P7323" s="9"/>
      <c r="Q7323" s="5"/>
    </row>
    <row r="7324">
      <c r="J7324" s="5"/>
      <c r="P7324" s="9"/>
      <c r="Q7324" s="5"/>
    </row>
    <row r="7325">
      <c r="J7325" s="5"/>
      <c r="P7325" s="9"/>
      <c r="Q7325" s="5"/>
    </row>
    <row r="7326">
      <c r="J7326" s="5"/>
      <c r="P7326" s="9"/>
      <c r="Q7326" s="5"/>
    </row>
    <row r="7327">
      <c r="J7327" s="5"/>
      <c r="P7327" s="9"/>
      <c r="Q7327" s="5"/>
    </row>
    <row r="7328">
      <c r="J7328" s="5"/>
      <c r="P7328" s="9"/>
      <c r="Q7328" s="5"/>
    </row>
    <row r="7329">
      <c r="J7329" s="5"/>
      <c r="P7329" s="9"/>
      <c r="Q7329" s="5"/>
    </row>
    <row r="7330">
      <c r="J7330" s="5"/>
      <c r="P7330" s="9"/>
      <c r="Q7330" s="5"/>
    </row>
    <row r="7331">
      <c r="J7331" s="5"/>
      <c r="P7331" s="9"/>
      <c r="Q7331" s="5"/>
    </row>
    <row r="7332">
      <c r="J7332" s="5"/>
      <c r="P7332" s="9"/>
      <c r="Q7332" s="5"/>
    </row>
    <row r="7333">
      <c r="J7333" s="5"/>
      <c r="P7333" s="9"/>
      <c r="Q7333" s="5"/>
    </row>
    <row r="7334">
      <c r="J7334" s="5"/>
      <c r="P7334" s="9"/>
      <c r="Q7334" s="5"/>
    </row>
    <row r="7335">
      <c r="J7335" s="5"/>
      <c r="P7335" s="9"/>
      <c r="Q7335" s="5"/>
    </row>
    <row r="7336">
      <c r="J7336" s="5"/>
      <c r="P7336" s="9"/>
      <c r="Q7336" s="5"/>
    </row>
    <row r="7337">
      <c r="J7337" s="5"/>
      <c r="P7337" s="9"/>
      <c r="Q7337" s="5"/>
    </row>
    <row r="7338">
      <c r="J7338" s="5"/>
      <c r="P7338" s="9"/>
      <c r="Q7338" s="5"/>
    </row>
    <row r="7339">
      <c r="J7339" s="5"/>
      <c r="P7339" s="9"/>
      <c r="Q7339" s="5"/>
    </row>
    <row r="7340">
      <c r="J7340" s="5"/>
      <c r="P7340" s="9"/>
      <c r="Q7340" s="5"/>
    </row>
    <row r="7341">
      <c r="J7341" s="5"/>
      <c r="P7341" s="9"/>
      <c r="Q7341" s="5"/>
    </row>
    <row r="7342">
      <c r="J7342" s="5"/>
      <c r="P7342" s="9"/>
      <c r="Q7342" s="5"/>
    </row>
    <row r="7343">
      <c r="J7343" s="5"/>
      <c r="P7343" s="9"/>
      <c r="Q7343" s="5"/>
    </row>
    <row r="7344">
      <c r="J7344" s="5"/>
      <c r="P7344" s="9"/>
      <c r="Q7344" s="5"/>
    </row>
    <row r="7345">
      <c r="J7345" s="5"/>
      <c r="P7345" s="9"/>
      <c r="Q7345" s="5"/>
    </row>
    <row r="7346">
      <c r="J7346" s="5"/>
      <c r="P7346" s="9"/>
      <c r="Q7346" s="5"/>
    </row>
    <row r="7347">
      <c r="J7347" s="5"/>
      <c r="P7347" s="9"/>
      <c r="Q7347" s="5"/>
    </row>
    <row r="7348">
      <c r="J7348" s="5"/>
      <c r="P7348" s="9"/>
      <c r="Q7348" s="5"/>
    </row>
    <row r="7349">
      <c r="J7349" s="5"/>
      <c r="P7349" s="9"/>
      <c r="Q7349" s="5"/>
    </row>
    <row r="7350">
      <c r="J7350" s="5"/>
      <c r="P7350" s="9"/>
      <c r="Q7350" s="5"/>
    </row>
    <row r="7351">
      <c r="J7351" s="5"/>
      <c r="P7351" s="9"/>
      <c r="Q7351" s="5"/>
    </row>
    <row r="7352">
      <c r="J7352" s="5"/>
      <c r="P7352" s="9"/>
      <c r="Q7352" s="5"/>
    </row>
    <row r="7353">
      <c r="J7353" s="5"/>
      <c r="P7353" s="9"/>
      <c r="Q7353" s="5"/>
    </row>
    <row r="7354">
      <c r="J7354" s="5"/>
      <c r="P7354" s="9"/>
      <c r="Q7354" s="5"/>
    </row>
    <row r="7355">
      <c r="J7355" s="5"/>
      <c r="P7355" s="9"/>
      <c r="Q7355" s="5"/>
    </row>
    <row r="7356">
      <c r="J7356" s="5"/>
      <c r="P7356" s="9"/>
      <c r="Q7356" s="5"/>
    </row>
    <row r="7357">
      <c r="J7357" s="5"/>
      <c r="P7357" s="9"/>
      <c r="Q7357" s="5"/>
    </row>
    <row r="7358">
      <c r="J7358" s="5"/>
      <c r="P7358" s="9"/>
      <c r="Q7358" s="5"/>
    </row>
    <row r="7359">
      <c r="J7359" s="5"/>
      <c r="P7359" s="9"/>
      <c r="Q7359" s="5"/>
    </row>
    <row r="7360">
      <c r="J7360" s="5"/>
      <c r="P7360" s="9"/>
      <c r="Q7360" s="5"/>
    </row>
    <row r="7361">
      <c r="J7361" s="5"/>
      <c r="P7361" s="9"/>
      <c r="Q7361" s="5"/>
    </row>
    <row r="7362">
      <c r="J7362" s="5"/>
      <c r="P7362" s="9"/>
      <c r="Q7362" s="5"/>
    </row>
    <row r="7363">
      <c r="J7363" s="5"/>
      <c r="P7363" s="9"/>
      <c r="Q7363" s="5"/>
    </row>
    <row r="7364">
      <c r="J7364" s="5"/>
      <c r="P7364" s="9"/>
      <c r="Q7364" s="5"/>
    </row>
    <row r="7365">
      <c r="J7365" s="5"/>
      <c r="P7365" s="9"/>
      <c r="Q7365" s="5"/>
    </row>
    <row r="7366">
      <c r="J7366" s="5"/>
      <c r="P7366" s="9"/>
      <c r="Q7366" s="5"/>
    </row>
    <row r="7367">
      <c r="J7367" s="5"/>
      <c r="P7367" s="9"/>
      <c r="Q7367" s="5"/>
    </row>
    <row r="7368">
      <c r="J7368" s="5"/>
      <c r="P7368" s="9"/>
      <c r="Q7368" s="5"/>
    </row>
    <row r="7369">
      <c r="J7369" s="5"/>
      <c r="P7369" s="9"/>
      <c r="Q7369" s="5"/>
    </row>
    <row r="7370">
      <c r="J7370" s="5"/>
      <c r="P7370" s="9"/>
      <c r="Q7370" s="5"/>
    </row>
    <row r="7371">
      <c r="J7371" s="5"/>
      <c r="P7371" s="9"/>
      <c r="Q7371" s="5"/>
    </row>
    <row r="7372">
      <c r="J7372" s="5"/>
      <c r="P7372" s="9"/>
      <c r="Q7372" s="5"/>
    </row>
    <row r="7373">
      <c r="J7373" s="5"/>
      <c r="P7373" s="9"/>
      <c r="Q7373" s="5"/>
    </row>
    <row r="7374">
      <c r="J7374" s="5"/>
      <c r="P7374" s="9"/>
      <c r="Q7374" s="5"/>
    </row>
    <row r="7375">
      <c r="J7375" s="5"/>
      <c r="P7375" s="9"/>
      <c r="Q7375" s="5"/>
    </row>
    <row r="7376">
      <c r="J7376" s="5"/>
      <c r="P7376" s="9"/>
      <c r="Q7376" s="5"/>
    </row>
    <row r="7377">
      <c r="J7377" s="5"/>
      <c r="P7377" s="9"/>
      <c r="Q7377" s="5"/>
    </row>
    <row r="7378">
      <c r="J7378" s="5"/>
      <c r="P7378" s="9"/>
      <c r="Q7378" s="5"/>
    </row>
    <row r="7379">
      <c r="J7379" s="5"/>
      <c r="P7379" s="9"/>
      <c r="Q7379" s="5"/>
    </row>
    <row r="7380">
      <c r="J7380" s="5"/>
      <c r="P7380" s="9"/>
      <c r="Q7380" s="5"/>
    </row>
    <row r="7381">
      <c r="J7381" s="5"/>
      <c r="P7381" s="9"/>
      <c r="Q7381" s="5"/>
    </row>
    <row r="7382">
      <c r="J7382" s="5"/>
      <c r="P7382" s="9"/>
      <c r="Q7382" s="5"/>
    </row>
    <row r="7383">
      <c r="J7383" s="5"/>
      <c r="P7383" s="9"/>
      <c r="Q7383" s="5"/>
    </row>
    <row r="7384">
      <c r="J7384" s="5"/>
      <c r="P7384" s="9"/>
      <c r="Q7384" s="5"/>
    </row>
    <row r="7385">
      <c r="J7385" s="5"/>
      <c r="P7385" s="9"/>
      <c r="Q7385" s="5"/>
    </row>
    <row r="7386">
      <c r="J7386" s="5"/>
      <c r="P7386" s="9"/>
      <c r="Q7386" s="5"/>
    </row>
    <row r="7387">
      <c r="J7387" s="5"/>
      <c r="P7387" s="9"/>
      <c r="Q7387" s="5"/>
    </row>
    <row r="7388">
      <c r="J7388" s="5"/>
      <c r="P7388" s="9"/>
      <c r="Q7388" s="5"/>
    </row>
    <row r="7389">
      <c r="J7389" s="5"/>
      <c r="P7389" s="9"/>
      <c r="Q7389" s="5"/>
    </row>
    <row r="7390">
      <c r="J7390" s="5"/>
      <c r="P7390" s="9"/>
      <c r="Q7390" s="5"/>
    </row>
    <row r="7391">
      <c r="J7391" s="5"/>
      <c r="P7391" s="9"/>
      <c r="Q7391" s="5"/>
    </row>
    <row r="7392">
      <c r="J7392" s="5"/>
      <c r="P7392" s="9"/>
      <c r="Q7392" s="5"/>
    </row>
    <row r="7393">
      <c r="J7393" s="5"/>
      <c r="P7393" s="9"/>
      <c r="Q7393" s="5"/>
    </row>
    <row r="7394">
      <c r="J7394" s="5"/>
      <c r="P7394" s="9"/>
      <c r="Q7394" s="5"/>
    </row>
    <row r="7395">
      <c r="J7395" s="5"/>
      <c r="P7395" s="9"/>
      <c r="Q7395" s="5"/>
    </row>
    <row r="7396">
      <c r="J7396" s="5"/>
      <c r="P7396" s="9"/>
      <c r="Q7396" s="5"/>
    </row>
    <row r="7397">
      <c r="J7397" s="5"/>
      <c r="P7397" s="9"/>
      <c r="Q7397" s="5"/>
    </row>
    <row r="7398">
      <c r="J7398" s="5"/>
      <c r="P7398" s="9"/>
      <c r="Q7398" s="5"/>
    </row>
    <row r="7399">
      <c r="J7399" s="5"/>
      <c r="P7399" s="9"/>
      <c r="Q7399" s="5"/>
    </row>
    <row r="7400">
      <c r="J7400" s="5"/>
      <c r="P7400" s="9"/>
      <c r="Q7400" s="5"/>
    </row>
    <row r="7401">
      <c r="J7401" s="5"/>
      <c r="P7401" s="9"/>
      <c r="Q7401" s="5"/>
    </row>
    <row r="7402">
      <c r="J7402" s="5"/>
      <c r="P7402" s="9"/>
      <c r="Q7402" s="5"/>
    </row>
    <row r="7403">
      <c r="J7403" s="5"/>
      <c r="P7403" s="9"/>
      <c r="Q7403" s="5"/>
    </row>
    <row r="7404">
      <c r="J7404" s="5"/>
      <c r="P7404" s="9"/>
      <c r="Q7404" s="5"/>
    </row>
    <row r="7405">
      <c r="J7405" s="5"/>
      <c r="P7405" s="9"/>
      <c r="Q7405" s="5"/>
    </row>
    <row r="7406">
      <c r="J7406" s="5"/>
      <c r="P7406" s="9"/>
      <c r="Q7406" s="5"/>
    </row>
    <row r="7407">
      <c r="J7407" s="5"/>
      <c r="P7407" s="9"/>
      <c r="Q7407" s="5"/>
    </row>
    <row r="7408">
      <c r="J7408" s="5"/>
      <c r="P7408" s="9"/>
      <c r="Q7408" s="5"/>
    </row>
    <row r="7409">
      <c r="J7409" s="5"/>
      <c r="P7409" s="9"/>
      <c r="Q7409" s="5"/>
    </row>
    <row r="7410">
      <c r="J7410" s="5"/>
      <c r="P7410" s="9"/>
      <c r="Q7410" s="5"/>
    </row>
    <row r="7411">
      <c r="J7411" s="5"/>
      <c r="P7411" s="9"/>
      <c r="Q7411" s="5"/>
    </row>
    <row r="7412">
      <c r="J7412" s="5"/>
      <c r="P7412" s="9"/>
      <c r="Q7412" s="5"/>
    </row>
    <row r="7413">
      <c r="J7413" s="5"/>
      <c r="P7413" s="9"/>
      <c r="Q7413" s="5"/>
    </row>
    <row r="7414">
      <c r="J7414" s="5"/>
      <c r="P7414" s="9"/>
      <c r="Q7414" s="5"/>
    </row>
    <row r="7415">
      <c r="J7415" s="5"/>
      <c r="P7415" s="9"/>
      <c r="Q7415" s="5"/>
    </row>
    <row r="7416">
      <c r="J7416" s="5"/>
      <c r="P7416" s="9"/>
      <c r="Q7416" s="5"/>
    </row>
    <row r="7417">
      <c r="J7417" s="5"/>
      <c r="P7417" s="9"/>
      <c r="Q7417" s="5"/>
    </row>
    <row r="7418">
      <c r="J7418" s="5"/>
      <c r="P7418" s="9"/>
      <c r="Q7418" s="5"/>
    </row>
    <row r="7419">
      <c r="J7419" s="5"/>
      <c r="P7419" s="9"/>
      <c r="Q7419" s="5"/>
    </row>
    <row r="7420">
      <c r="J7420" s="5"/>
      <c r="P7420" s="9"/>
      <c r="Q7420" s="5"/>
    </row>
    <row r="7421">
      <c r="J7421" s="5"/>
      <c r="P7421" s="9"/>
      <c r="Q7421" s="5"/>
    </row>
    <row r="7422">
      <c r="J7422" s="5"/>
      <c r="P7422" s="9"/>
      <c r="Q7422" s="5"/>
    </row>
    <row r="7423">
      <c r="J7423" s="5"/>
      <c r="P7423" s="9"/>
      <c r="Q7423" s="5"/>
    </row>
    <row r="7424">
      <c r="J7424" s="5"/>
      <c r="P7424" s="9"/>
      <c r="Q7424" s="5"/>
    </row>
    <row r="7425">
      <c r="J7425" s="5"/>
      <c r="P7425" s="9"/>
      <c r="Q7425" s="5"/>
    </row>
    <row r="7426">
      <c r="J7426" s="5"/>
      <c r="P7426" s="9"/>
      <c r="Q7426" s="5"/>
    </row>
    <row r="7427">
      <c r="J7427" s="5"/>
      <c r="P7427" s="9"/>
      <c r="Q7427" s="5"/>
    </row>
    <row r="7428">
      <c r="J7428" s="5"/>
      <c r="P7428" s="9"/>
      <c r="Q7428" s="5"/>
    </row>
    <row r="7429">
      <c r="J7429" s="5"/>
      <c r="P7429" s="9"/>
      <c r="Q7429" s="5"/>
    </row>
    <row r="7430">
      <c r="J7430" s="5"/>
      <c r="P7430" s="9"/>
      <c r="Q7430" s="5"/>
    </row>
    <row r="7431">
      <c r="J7431" s="5"/>
      <c r="P7431" s="9"/>
      <c r="Q7431" s="5"/>
    </row>
    <row r="7432">
      <c r="J7432" s="5"/>
      <c r="P7432" s="9"/>
      <c r="Q7432" s="5"/>
    </row>
    <row r="7433">
      <c r="J7433" s="5"/>
      <c r="P7433" s="9"/>
      <c r="Q7433" s="5"/>
    </row>
    <row r="7434">
      <c r="J7434" s="5"/>
      <c r="P7434" s="9"/>
      <c r="Q7434" s="5"/>
    </row>
    <row r="7435">
      <c r="J7435" s="5"/>
      <c r="P7435" s="9"/>
      <c r="Q7435" s="5"/>
    </row>
    <row r="7436">
      <c r="J7436" s="5"/>
      <c r="P7436" s="9"/>
      <c r="Q7436" s="5"/>
    </row>
    <row r="7437">
      <c r="J7437" s="5"/>
      <c r="P7437" s="9"/>
      <c r="Q7437" s="5"/>
    </row>
    <row r="7438">
      <c r="J7438" s="5"/>
      <c r="P7438" s="9"/>
      <c r="Q7438" s="5"/>
    </row>
    <row r="7439">
      <c r="J7439" s="5"/>
      <c r="P7439" s="9"/>
      <c r="Q7439" s="5"/>
    </row>
    <row r="7440">
      <c r="J7440" s="5"/>
      <c r="P7440" s="9"/>
      <c r="Q7440" s="5"/>
    </row>
    <row r="7441">
      <c r="J7441" s="5"/>
      <c r="P7441" s="9"/>
      <c r="Q7441" s="5"/>
    </row>
    <row r="7442">
      <c r="J7442" s="5"/>
      <c r="P7442" s="9"/>
      <c r="Q7442" s="5"/>
    </row>
    <row r="7443">
      <c r="J7443" s="5"/>
      <c r="P7443" s="9"/>
      <c r="Q7443" s="5"/>
    </row>
    <row r="7444">
      <c r="J7444" s="5"/>
      <c r="P7444" s="9"/>
      <c r="Q7444" s="5"/>
    </row>
    <row r="7445">
      <c r="J7445" s="5"/>
      <c r="P7445" s="9"/>
      <c r="Q7445" s="5"/>
    </row>
    <row r="7446">
      <c r="J7446" s="5"/>
      <c r="P7446" s="9"/>
      <c r="Q7446" s="5"/>
    </row>
    <row r="7447">
      <c r="J7447" s="5"/>
      <c r="P7447" s="9"/>
      <c r="Q7447" s="5"/>
    </row>
    <row r="7448">
      <c r="J7448" s="5"/>
      <c r="P7448" s="9"/>
      <c r="Q7448" s="5"/>
    </row>
    <row r="7449">
      <c r="J7449" s="5"/>
      <c r="P7449" s="9"/>
      <c r="Q7449" s="5"/>
    </row>
    <row r="7450">
      <c r="J7450" s="5"/>
      <c r="P7450" s="9"/>
      <c r="Q7450" s="5"/>
    </row>
    <row r="7451">
      <c r="J7451" s="5"/>
      <c r="P7451" s="9"/>
      <c r="Q7451" s="5"/>
    </row>
    <row r="7452">
      <c r="J7452" s="5"/>
      <c r="P7452" s="9"/>
      <c r="Q7452" s="5"/>
    </row>
    <row r="7453">
      <c r="J7453" s="5"/>
      <c r="P7453" s="9"/>
      <c r="Q7453" s="5"/>
    </row>
    <row r="7454">
      <c r="J7454" s="5"/>
      <c r="P7454" s="9"/>
      <c r="Q7454" s="5"/>
    </row>
    <row r="7455">
      <c r="J7455" s="5"/>
      <c r="P7455" s="9"/>
      <c r="Q7455" s="5"/>
    </row>
    <row r="7456">
      <c r="J7456" s="5"/>
      <c r="P7456" s="9"/>
      <c r="Q7456" s="5"/>
    </row>
    <row r="7457">
      <c r="J7457" s="5"/>
      <c r="P7457" s="9"/>
      <c r="Q7457" s="5"/>
    </row>
    <row r="7458">
      <c r="J7458" s="5"/>
      <c r="P7458" s="9"/>
      <c r="Q7458" s="5"/>
    </row>
    <row r="7459">
      <c r="J7459" s="5"/>
      <c r="P7459" s="9"/>
      <c r="Q7459" s="5"/>
    </row>
    <row r="7460">
      <c r="J7460" s="5"/>
      <c r="P7460" s="9"/>
      <c r="Q7460" s="5"/>
    </row>
    <row r="7461">
      <c r="J7461" s="5"/>
      <c r="P7461" s="9"/>
      <c r="Q7461" s="5"/>
    </row>
    <row r="7462">
      <c r="J7462" s="5"/>
      <c r="P7462" s="9"/>
      <c r="Q7462" s="5"/>
    </row>
    <row r="7463">
      <c r="J7463" s="5"/>
      <c r="P7463" s="9"/>
      <c r="Q7463" s="5"/>
    </row>
    <row r="7464">
      <c r="J7464" s="5"/>
      <c r="P7464" s="9"/>
      <c r="Q7464" s="5"/>
    </row>
    <row r="7465">
      <c r="J7465" s="5"/>
      <c r="P7465" s="9"/>
      <c r="Q7465" s="5"/>
    </row>
    <row r="7466">
      <c r="J7466" s="5"/>
      <c r="P7466" s="9"/>
      <c r="Q7466" s="5"/>
    </row>
    <row r="7467">
      <c r="J7467" s="5"/>
      <c r="P7467" s="9"/>
      <c r="Q7467" s="5"/>
    </row>
    <row r="7468">
      <c r="J7468" s="5"/>
      <c r="P7468" s="9"/>
      <c r="Q7468" s="5"/>
    </row>
    <row r="7469">
      <c r="J7469" s="5"/>
      <c r="P7469" s="9"/>
      <c r="Q7469" s="5"/>
    </row>
    <row r="7470">
      <c r="J7470" s="5"/>
      <c r="P7470" s="9"/>
      <c r="Q7470" s="5"/>
    </row>
    <row r="7471">
      <c r="J7471" s="5"/>
      <c r="P7471" s="9"/>
      <c r="Q7471" s="5"/>
    </row>
    <row r="7472">
      <c r="J7472" s="5"/>
      <c r="P7472" s="9"/>
      <c r="Q7472" s="5"/>
    </row>
    <row r="7473">
      <c r="J7473" s="5"/>
      <c r="P7473" s="9"/>
      <c r="Q7473" s="5"/>
    </row>
    <row r="7474">
      <c r="J7474" s="5"/>
      <c r="P7474" s="9"/>
      <c r="Q7474" s="5"/>
    </row>
    <row r="7475">
      <c r="J7475" s="5"/>
      <c r="P7475" s="9"/>
      <c r="Q7475" s="5"/>
    </row>
    <row r="7476">
      <c r="J7476" s="5"/>
      <c r="P7476" s="9"/>
      <c r="Q7476" s="5"/>
    </row>
    <row r="7477">
      <c r="J7477" s="5"/>
      <c r="P7477" s="9"/>
      <c r="Q7477" s="5"/>
    </row>
    <row r="7478">
      <c r="J7478" s="5"/>
      <c r="P7478" s="9"/>
      <c r="Q7478" s="5"/>
    </row>
    <row r="7479">
      <c r="J7479" s="5"/>
      <c r="P7479" s="9"/>
      <c r="Q7479" s="5"/>
    </row>
    <row r="7480">
      <c r="J7480" s="5"/>
      <c r="P7480" s="9"/>
      <c r="Q7480" s="5"/>
    </row>
    <row r="7481">
      <c r="J7481" s="5"/>
      <c r="P7481" s="9"/>
      <c r="Q7481" s="5"/>
    </row>
    <row r="7482">
      <c r="J7482" s="5"/>
      <c r="P7482" s="9"/>
      <c r="Q7482" s="5"/>
    </row>
    <row r="7483">
      <c r="J7483" s="5"/>
      <c r="P7483" s="9"/>
      <c r="Q7483" s="5"/>
    </row>
    <row r="7484">
      <c r="J7484" s="5"/>
      <c r="P7484" s="9"/>
      <c r="Q7484" s="5"/>
    </row>
    <row r="7485">
      <c r="J7485" s="5"/>
      <c r="P7485" s="9"/>
      <c r="Q7485" s="5"/>
    </row>
    <row r="7486">
      <c r="J7486" s="5"/>
      <c r="P7486" s="9"/>
      <c r="Q7486" s="5"/>
    </row>
    <row r="7487">
      <c r="J7487" s="5"/>
      <c r="P7487" s="9"/>
      <c r="Q7487" s="5"/>
    </row>
    <row r="7488">
      <c r="J7488" s="5"/>
      <c r="P7488" s="9"/>
      <c r="Q7488" s="5"/>
    </row>
    <row r="7489">
      <c r="J7489" s="5"/>
      <c r="P7489" s="9"/>
      <c r="Q7489" s="5"/>
    </row>
    <row r="7490">
      <c r="J7490" s="5"/>
      <c r="P7490" s="9"/>
      <c r="Q7490" s="5"/>
    </row>
    <row r="7491">
      <c r="J7491" s="5"/>
      <c r="P7491" s="9"/>
      <c r="Q7491" s="5"/>
    </row>
    <row r="7492">
      <c r="J7492" s="5"/>
      <c r="P7492" s="9"/>
      <c r="Q7492" s="5"/>
    </row>
    <row r="7493">
      <c r="J7493" s="5"/>
      <c r="P7493" s="9"/>
      <c r="Q7493" s="5"/>
    </row>
    <row r="7494">
      <c r="J7494" s="5"/>
      <c r="P7494" s="9"/>
      <c r="Q7494" s="5"/>
    </row>
    <row r="7495">
      <c r="J7495" s="5"/>
      <c r="P7495" s="9"/>
      <c r="Q7495" s="5"/>
    </row>
    <row r="7496">
      <c r="J7496" s="5"/>
      <c r="P7496" s="9"/>
      <c r="Q7496" s="5"/>
    </row>
    <row r="7497">
      <c r="J7497" s="5"/>
      <c r="P7497" s="9"/>
      <c r="Q7497" s="5"/>
    </row>
    <row r="7498">
      <c r="J7498" s="5"/>
      <c r="P7498" s="9"/>
      <c r="Q7498" s="5"/>
    </row>
    <row r="7499">
      <c r="J7499" s="5"/>
      <c r="P7499" s="9"/>
      <c r="Q7499" s="5"/>
    </row>
    <row r="7500">
      <c r="J7500" s="5"/>
      <c r="P7500" s="9"/>
      <c r="Q7500" s="5"/>
    </row>
    <row r="7501">
      <c r="J7501" s="5"/>
      <c r="P7501" s="9"/>
      <c r="Q7501" s="5"/>
    </row>
    <row r="7502">
      <c r="J7502" s="5"/>
      <c r="P7502" s="9"/>
      <c r="Q7502" s="5"/>
    </row>
    <row r="7503">
      <c r="J7503" s="5"/>
      <c r="P7503" s="9"/>
      <c r="Q7503" s="5"/>
    </row>
    <row r="7504">
      <c r="J7504" s="5"/>
      <c r="P7504" s="9"/>
      <c r="Q7504" s="5"/>
    </row>
    <row r="7505">
      <c r="J7505" s="5"/>
      <c r="P7505" s="9"/>
      <c r="Q7505" s="5"/>
    </row>
    <row r="7506">
      <c r="J7506" s="5"/>
      <c r="P7506" s="9"/>
      <c r="Q7506" s="5"/>
    </row>
    <row r="7507">
      <c r="J7507" s="5"/>
      <c r="P7507" s="9"/>
      <c r="Q7507" s="5"/>
    </row>
    <row r="7508">
      <c r="J7508" s="5"/>
      <c r="P7508" s="9"/>
      <c r="Q7508" s="5"/>
    </row>
    <row r="7509">
      <c r="J7509" s="5"/>
      <c r="P7509" s="9"/>
      <c r="Q7509" s="5"/>
    </row>
    <row r="7510">
      <c r="J7510" s="5"/>
      <c r="P7510" s="9"/>
      <c r="Q7510" s="5"/>
    </row>
    <row r="7511">
      <c r="J7511" s="5"/>
      <c r="P7511" s="9"/>
      <c r="Q7511" s="5"/>
    </row>
    <row r="7512">
      <c r="J7512" s="5"/>
      <c r="P7512" s="9"/>
      <c r="Q7512" s="5"/>
    </row>
    <row r="7513">
      <c r="J7513" s="5"/>
      <c r="P7513" s="9"/>
      <c r="Q7513" s="5"/>
    </row>
    <row r="7514">
      <c r="J7514" s="5"/>
      <c r="P7514" s="9"/>
      <c r="Q7514" s="5"/>
    </row>
    <row r="7515">
      <c r="J7515" s="5"/>
      <c r="P7515" s="9"/>
      <c r="Q7515" s="5"/>
    </row>
    <row r="7516">
      <c r="J7516" s="5"/>
      <c r="P7516" s="9"/>
      <c r="Q7516" s="5"/>
    </row>
    <row r="7517">
      <c r="J7517" s="5"/>
      <c r="P7517" s="9"/>
      <c r="Q7517" s="5"/>
    </row>
    <row r="7518">
      <c r="J7518" s="5"/>
      <c r="P7518" s="9"/>
      <c r="Q7518" s="5"/>
    </row>
    <row r="7519">
      <c r="J7519" s="5"/>
      <c r="P7519" s="9"/>
      <c r="Q7519" s="5"/>
    </row>
    <row r="7520">
      <c r="J7520" s="5"/>
      <c r="P7520" s="9"/>
      <c r="Q7520" s="5"/>
    </row>
    <row r="7521">
      <c r="J7521" s="5"/>
      <c r="P7521" s="9"/>
      <c r="Q7521" s="5"/>
    </row>
    <row r="7522">
      <c r="J7522" s="5"/>
      <c r="P7522" s="9"/>
      <c r="Q7522" s="5"/>
    </row>
    <row r="7523">
      <c r="J7523" s="5"/>
      <c r="P7523" s="9"/>
      <c r="Q7523" s="5"/>
    </row>
    <row r="7524">
      <c r="J7524" s="5"/>
      <c r="P7524" s="9"/>
      <c r="Q7524" s="5"/>
    </row>
    <row r="7525">
      <c r="J7525" s="5"/>
      <c r="P7525" s="9"/>
      <c r="Q7525" s="5"/>
    </row>
    <row r="7526">
      <c r="J7526" s="5"/>
      <c r="P7526" s="9"/>
      <c r="Q7526" s="5"/>
    </row>
    <row r="7527">
      <c r="J7527" s="5"/>
      <c r="P7527" s="9"/>
      <c r="Q7527" s="5"/>
    </row>
    <row r="7528">
      <c r="J7528" s="5"/>
      <c r="P7528" s="9"/>
      <c r="Q7528" s="5"/>
    </row>
    <row r="7529">
      <c r="J7529" s="5"/>
      <c r="P7529" s="9"/>
      <c r="Q7529" s="5"/>
    </row>
    <row r="7530">
      <c r="J7530" s="5"/>
      <c r="P7530" s="9"/>
      <c r="Q7530" s="5"/>
    </row>
    <row r="7531">
      <c r="J7531" s="5"/>
      <c r="P7531" s="9"/>
      <c r="Q7531" s="5"/>
    </row>
    <row r="7532">
      <c r="J7532" s="5"/>
      <c r="P7532" s="9"/>
      <c r="Q7532" s="5"/>
    </row>
    <row r="7533">
      <c r="J7533" s="5"/>
      <c r="P7533" s="9"/>
      <c r="Q7533" s="5"/>
    </row>
    <row r="7534">
      <c r="J7534" s="5"/>
      <c r="P7534" s="9"/>
      <c r="Q7534" s="5"/>
    </row>
    <row r="7535">
      <c r="J7535" s="5"/>
      <c r="P7535" s="9"/>
      <c r="Q7535" s="5"/>
    </row>
    <row r="7536">
      <c r="J7536" s="5"/>
      <c r="P7536" s="9"/>
      <c r="Q7536" s="5"/>
    </row>
    <row r="7537">
      <c r="J7537" s="5"/>
      <c r="P7537" s="9"/>
      <c r="Q7537" s="5"/>
    </row>
    <row r="7538">
      <c r="J7538" s="5"/>
      <c r="P7538" s="9"/>
      <c r="Q7538" s="5"/>
    </row>
    <row r="7539">
      <c r="J7539" s="5"/>
      <c r="P7539" s="9"/>
      <c r="Q7539" s="5"/>
    </row>
    <row r="7540">
      <c r="J7540" s="5"/>
      <c r="P7540" s="9"/>
      <c r="Q7540" s="5"/>
    </row>
    <row r="7541">
      <c r="J7541" s="5"/>
      <c r="P7541" s="9"/>
      <c r="Q7541" s="5"/>
    </row>
    <row r="7542">
      <c r="J7542" s="5"/>
      <c r="P7542" s="9"/>
      <c r="Q7542" s="5"/>
    </row>
    <row r="7543">
      <c r="J7543" s="5"/>
      <c r="P7543" s="9"/>
      <c r="Q7543" s="5"/>
    </row>
    <row r="7544">
      <c r="J7544" s="5"/>
      <c r="P7544" s="9"/>
      <c r="Q7544" s="5"/>
    </row>
    <row r="7545">
      <c r="J7545" s="5"/>
      <c r="P7545" s="9"/>
      <c r="Q7545" s="5"/>
    </row>
    <row r="7546">
      <c r="J7546" s="5"/>
      <c r="P7546" s="9"/>
      <c r="Q7546" s="5"/>
    </row>
    <row r="7547">
      <c r="J7547" s="5"/>
      <c r="P7547" s="9"/>
      <c r="Q7547" s="5"/>
    </row>
    <row r="7548">
      <c r="J7548" s="5"/>
      <c r="P7548" s="9"/>
      <c r="Q7548" s="5"/>
    </row>
    <row r="7549">
      <c r="J7549" s="5"/>
      <c r="P7549" s="9"/>
      <c r="Q7549" s="5"/>
    </row>
    <row r="7550">
      <c r="J7550" s="5"/>
      <c r="P7550" s="9"/>
      <c r="Q7550" s="5"/>
    </row>
    <row r="7551">
      <c r="J7551" s="5"/>
      <c r="P7551" s="9"/>
      <c r="Q7551" s="5"/>
    </row>
    <row r="7552">
      <c r="J7552" s="5"/>
      <c r="P7552" s="9"/>
      <c r="Q7552" s="5"/>
    </row>
    <row r="7553">
      <c r="J7553" s="5"/>
      <c r="P7553" s="9"/>
      <c r="Q7553" s="5"/>
    </row>
    <row r="7554">
      <c r="J7554" s="5"/>
      <c r="P7554" s="9"/>
      <c r="Q7554" s="5"/>
    </row>
    <row r="7555">
      <c r="J7555" s="5"/>
      <c r="P7555" s="9"/>
      <c r="Q7555" s="5"/>
    </row>
    <row r="7556">
      <c r="J7556" s="5"/>
      <c r="P7556" s="9"/>
      <c r="Q7556" s="5"/>
    </row>
    <row r="7557">
      <c r="J7557" s="5"/>
      <c r="P7557" s="9"/>
      <c r="Q7557" s="5"/>
    </row>
    <row r="7558">
      <c r="J7558" s="5"/>
      <c r="P7558" s="9"/>
      <c r="Q7558" s="5"/>
    </row>
    <row r="7559">
      <c r="J7559" s="5"/>
      <c r="P7559" s="9"/>
      <c r="Q7559" s="5"/>
    </row>
    <row r="7560">
      <c r="J7560" s="5"/>
      <c r="P7560" s="9"/>
      <c r="Q7560" s="5"/>
    </row>
    <row r="7561">
      <c r="J7561" s="5"/>
      <c r="P7561" s="9"/>
      <c r="Q7561" s="5"/>
    </row>
    <row r="7562">
      <c r="J7562" s="5"/>
      <c r="P7562" s="9"/>
      <c r="Q7562" s="5"/>
    </row>
    <row r="7563">
      <c r="J7563" s="5"/>
      <c r="P7563" s="9"/>
      <c r="Q7563" s="5"/>
    </row>
    <row r="7564">
      <c r="J7564" s="5"/>
      <c r="P7564" s="9"/>
      <c r="Q7564" s="5"/>
    </row>
    <row r="7565">
      <c r="J7565" s="5"/>
      <c r="P7565" s="9"/>
      <c r="Q7565" s="5"/>
    </row>
    <row r="7566">
      <c r="J7566" s="5"/>
      <c r="P7566" s="9"/>
      <c r="Q7566" s="5"/>
    </row>
    <row r="7567">
      <c r="J7567" s="5"/>
      <c r="P7567" s="9"/>
      <c r="Q7567" s="5"/>
    </row>
    <row r="7568">
      <c r="J7568" s="5"/>
      <c r="P7568" s="9"/>
      <c r="Q7568" s="5"/>
    </row>
    <row r="7569">
      <c r="J7569" s="5"/>
      <c r="P7569" s="9"/>
      <c r="Q7569" s="5"/>
    </row>
    <row r="7570">
      <c r="J7570" s="5"/>
      <c r="P7570" s="9"/>
      <c r="Q7570" s="5"/>
    </row>
    <row r="7571">
      <c r="J7571" s="5"/>
      <c r="P7571" s="9"/>
      <c r="Q7571" s="5"/>
    </row>
    <row r="7572">
      <c r="J7572" s="5"/>
      <c r="P7572" s="9"/>
      <c r="Q7572" s="5"/>
    </row>
    <row r="7573">
      <c r="J7573" s="5"/>
      <c r="P7573" s="9"/>
      <c r="Q7573" s="5"/>
    </row>
    <row r="7574">
      <c r="J7574" s="5"/>
      <c r="P7574" s="9"/>
      <c r="Q7574" s="5"/>
    </row>
    <row r="7575">
      <c r="J7575" s="5"/>
      <c r="P7575" s="9"/>
      <c r="Q7575" s="5"/>
    </row>
    <row r="7576">
      <c r="J7576" s="5"/>
      <c r="P7576" s="9"/>
      <c r="Q7576" s="5"/>
    </row>
    <row r="7577">
      <c r="J7577" s="5"/>
      <c r="P7577" s="9"/>
      <c r="Q7577" s="5"/>
    </row>
    <row r="7578">
      <c r="J7578" s="5"/>
      <c r="P7578" s="9"/>
      <c r="Q7578" s="5"/>
    </row>
    <row r="7579">
      <c r="J7579" s="5"/>
      <c r="P7579" s="9"/>
      <c r="Q7579" s="5"/>
    </row>
    <row r="7580">
      <c r="J7580" s="5"/>
      <c r="P7580" s="9"/>
      <c r="Q7580" s="5"/>
    </row>
    <row r="7581">
      <c r="J7581" s="5"/>
      <c r="P7581" s="9"/>
      <c r="Q7581" s="5"/>
    </row>
    <row r="7582">
      <c r="J7582" s="5"/>
      <c r="P7582" s="9"/>
      <c r="Q7582" s="5"/>
    </row>
    <row r="7583">
      <c r="J7583" s="5"/>
      <c r="P7583" s="9"/>
      <c r="Q7583" s="5"/>
    </row>
    <row r="7584">
      <c r="J7584" s="5"/>
      <c r="P7584" s="9"/>
      <c r="Q7584" s="5"/>
    </row>
    <row r="7585">
      <c r="J7585" s="5"/>
      <c r="P7585" s="9"/>
      <c r="Q7585" s="5"/>
    </row>
    <row r="7586">
      <c r="J7586" s="5"/>
      <c r="P7586" s="9"/>
      <c r="Q7586" s="5"/>
    </row>
    <row r="7587">
      <c r="J7587" s="5"/>
      <c r="P7587" s="9"/>
      <c r="Q7587" s="5"/>
    </row>
    <row r="7588">
      <c r="J7588" s="5"/>
      <c r="P7588" s="9"/>
      <c r="Q7588" s="5"/>
    </row>
    <row r="7589">
      <c r="J7589" s="5"/>
      <c r="P7589" s="9"/>
      <c r="Q7589" s="5"/>
    </row>
    <row r="7590">
      <c r="J7590" s="5"/>
      <c r="P7590" s="9"/>
      <c r="Q7590" s="5"/>
    </row>
    <row r="7591">
      <c r="J7591" s="5"/>
      <c r="P7591" s="9"/>
      <c r="Q7591" s="5"/>
    </row>
    <row r="7592">
      <c r="J7592" s="5"/>
      <c r="P7592" s="9"/>
      <c r="Q7592" s="5"/>
    </row>
    <row r="7593">
      <c r="J7593" s="5"/>
      <c r="P7593" s="9"/>
      <c r="Q7593" s="5"/>
    </row>
    <row r="7594">
      <c r="J7594" s="5"/>
      <c r="P7594" s="9"/>
      <c r="Q7594" s="5"/>
    </row>
    <row r="7595">
      <c r="J7595" s="5"/>
      <c r="P7595" s="9"/>
      <c r="Q7595" s="5"/>
    </row>
    <row r="7596">
      <c r="J7596" s="5"/>
      <c r="P7596" s="9"/>
      <c r="Q7596" s="5"/>
    </row>
    <row r="7597">
      <c r="J7597" s="5"/>
      <c r="P7597" s="9"/>
      <c r="Q7597" s="5"/>
    </row>
    <row r="7598">
      <c r="J7598" s="5"/>
      <c r="P7598" s="9"/>
      <c r="Q7598" s="5"/>
    </row>
    <row r="7599">
      <c r="J7599" s="5"/>
      <c r="P7599" s="9"/>
      <c r="Q7599" s="5"/>
    </row>
    <row r="7600">
      <c r="J7600" s="5"/>
      <c r="P7600" s="9"/>
      <c r="Q7600" s="5"/>
    </row>
    <row r="7601">
      <c r="J7601" s="5"/>
      <c r="P7601" s="9"/>
      <c r="Q7601" s="5"/>
    </row>
    <row r="7602">
      <c r="J7602" s="5"/>
      <c r="P7602" s="9"/>
      <c r="Q7602" s="5"/>
    </row>
    <row r="7603">
      <c r="J7603" s="5"/>
      <c r="P7603" s="9"/>
      <c r="Q7603" s="5"/>
    </row>
    <row r="7604">
      <c r="J7604" s="5"/>
      <c r="P7604" s="9"/>
      <c r="Q7604" s="5"/>
    </row>
    <row r="7605">
      <c r="J7605" s="5"/>
      <c r="P7605" s="9"/>
      <c r="Q7605" s="5"/>
    </row>
    <row r="7606">
      <c r="J7606" s="5"/>
      <c r="P7606" s="9"/>
      <c r="Q7606" s="5"/>
    </row>
    <row r="7607">
      <c r="J7607" s="5"/>
      <c r="P7607" s="9"/>
      <c r="Q7607" s="5"/>
    </row>
    <row r="7608">
      <c r="J7608" s="5"/>
      <c r="P7608" s="9"/>
      <c r="Q7608" s="5"/>
    </row>
    <row r="7609">
      <c r="J7609" s="5"/>
      <c r="P7609" s="9"/>
      <c r="Q7609" s="5"/>
    </row>
    <row r="7610">
      <c r="J7610" s="5"/>
      <c r="P7610" s="9"/>
      <c r="Q7610" s="5"/>
    </row>
    <row r="7611">
      <c r="J7611" s="5"/>
      <c r="P7611" s="9"/>
      <c r="Q7611" s="5"/>
    </row>
    <row r="7612">
      <c r="J7612" s="5"/>
      <c r="P7612" s="9"/>
      <c r="Q7612" s="5"/>
    </row>
    <row r="7613">
      <c r="J7613" s="5"/>
      <c r="P7613" s="9"/>
      <c r="Q7613" s="5"/>
    </row>
    <row r="7614">
      <c r="J7614" s="5"/>
      <c r="P7614" s="9"/>
      <c r="Q7614" s="5"/>
    </row>
    <row r="7615">
      <c r="J7615" s="5"/>
      <c r="P7615" s="9"/>
      <c r="Q7615" s="5"/>
    </row>
    <row r="7616">
      <c r="J7616" s="5"/>
      <c r="P7616" s="9"/>
      <c r="Q7616" s="5"/>
    </row>
    <row r="7617">
      <c r="J7617" s="5"/>
      <c r="P7617" s="9"/>
      <c r="Q7617" s="5"/>
    </row>
    <row r="7618">
      <c r="J7618" s="5"/>
      <c r="P7618" s="9"/>
      <c r="Q7618" s="5"/>
    </row>
    <row r="7619">
      <c r="J7619" s="5"/>
      <c r="P7619" s="9"/>
      <c r="Q7619" s="5"/>
    </row>
    <row r="7620">
      <c r="J7620" s="5"/>
      <c r="P7620" s="9"/>
      <c r="Q7620" s="5"/>
    </row>
    <row r="7621">
      <c r="J7621" s="5"/>
      <c r="P7621" s="9"/>
      <c r="Q7621" s="5"/>
    </row>
    <row r="7622">
      <c r="J7622" s="5"/>
      <c r="P7622" s="9"/>
      <c r="Q7622" s="5"/>
    </row>
    <row r="7623">
      <c r="J7623" s="5"/>
      <c r="P7623" s="9"/>
      <c r="Q7623" s="5"/>
    </row>
    <row r="7624">
      <c r="J7624" s="5"/>
      <c r="P7624" s="9"/>
      <c r="Q7624" s="5"/>
    </row>
    <row r="7625">
      <c r="J7625" s="5"/>
      <c r="P7625" s="9"/>
      <c r="Q7625" s="5"/>
    </row>
    <row r="7626">
      <c r="J7626" s="5"/>
      <c r="P7626" s="9"/>
      <c r="Q7626" s="5"/>
    </row>
    <row r="7627">
      <c r="J7627" s="5"/>
      <c r="P7627" s="9"/>
      <c r="Q7627" s="5"/>
    </row>
    <row r="7628">
      <c r="J7628" s="5"/>
      <c r="P7628" s="9"/>
      <c r="Q7628" s="5"/>
    </row>
    <row r="7629">
      <c r="J7629" s="5"/>
      <c r="P7629" s="9"/>
      <c r="Q7629" s="5"/>
    </row>
    <row r="7630">
      <c r="J7630" s="5"/>
      <c r="P7630" s="9"/>
      <c r="Q7630" s="5"/>
    </row>
    <row r="7631">
      <c r="J7631" s="5"/>
      <c r="P7631" s="9"/>
      <c r="Q7631" s="5"/>
    </row>
    <row r="7632">
      <c r="J7632" s="5"/>
      <c r="P7632" s="9"/>
      <c r="Q7632" s="5"/>
    </row>
    <row r="7633">
      <c r="J7633" s="5"/>
      <c r="P7633" s="9"/>
      <c r="Q7633" s="5"/>
    </row>
    <row r="7634">
      <c r="J7634" s="5"/>
      <c r="P7634" s="9"/>
      <c r="Q7634" s="5"/>
    </row>
    <row r="7635">
      <c r="J7635" s="5"/>
      <c r="P7635" s="9"/>
      <c r="Q7635" s="5"/>
    </row>
    <row r="7636">
      <c r="J7636" s="5"/>
      <c r="P7636" s="9"/>
      <c r="Q7636" s="5"/>
    </row>
    <row r="7637">
      <c r="J7637" s="5"/>
      <c r="P7637" s="9"/>
      <c r="Q7637" s="5"/>
    </row>
    <row r="7638">
      <c r="J7638" s="5"/>
      <c r="P7638" s="9"/>
      <c r="Q7638" s="5"/>
    </row>
    <row r="7639">
      <c r="J7639" s="5"/>
      <c r="P7639" s="9"/>
      <c r="Q7639" s="5"/>
    </row>
    <row r="7640">
      <c r="J7640" s="5"/>
      <c r="P7640" s="9"/>
      <c r="Q7640" s="5"/>
    </row>
    <row r="7641">
      <c r="J7641" s="5"/>
      <c r="P7641" s="9"/>
      <c r="Q7641" s="5"/>
    </row>
    <row r="7642">
      <c r="J7642" s="5"/>
      <c r="P7642" s="9"/>
      <c r="Q7642" s="5"/>
    </row>
    <row r="7643">
      <c r="J7643" s="5"/>
      <c r="P7643" s="9"/>
      <c r="Q7643" s="5"/>
    </row>
    <row r="7644">
      <c r="J7644" s="5"/>
      <c r="P7644" s="9"/>
      <c r="Q7644" s="5"/>
    </row>
    <row r="7645">
      <c r="J7645" s="5"/>
      <c r="P7645" s="9"/>
      <c r="Q7645" s="5"/>
    </row>
    <row r="7646">
      <c r="J7646" s="5"/>
      <c r="P7646" s="9"/>
      <c r="Q7646" s="5"/>
    </row>
    <row r="7647">
      <c r="J7647" s="5"/>
      <c r="P7647" s="9"/>
      <c r="Q7647" s="5"/>
    </row>
    <row r="7648">
      <c r="J7648" s="5"/>
      <c r="P7648" s="9"/>
      <c r="Q7648" s="5"/>
    </row>
    <row r="7649">
      <c r="J7649" s="5"/>
      <c r="P7649" s="9"/>
      <c r="Q7649" s="5"/>
    </row>
    <row r="7650">
      <c r="J7650" s="5"/>
      <c r="P7650" s="9"/>
      <c r="Q7650" s="5"/>
    </row>
    <row r="7651">
      <c r="J7651" s="5"/>
      <c r="P7651" s="9"/>
      <c r="Q7651" s="5"/>
    </row>
    <row r="7652">
      <c r="J7652" s="5"/>
      <c r="P7652" s="9"/>
      <c r="Q7652" s="5"/>
    </row>
    <row r="7653">
      <c r="J7653" s="5"/>
      <c r="P7653" s="9"/>
      <c r="Q7653" s="5"/>
    </row>
    <row r="7654">
      <c r="J7654" s="5"/>
      <c r="P7654" s="9"/>
      <c r="Q7654" s="5"/>
    </row>
    <row r="7655">
      <c r="J7655" s="5"/>
      <c r="P7655" s="9"/>
      <c r="Q7655" s="5"/>
    </row>
    <row r="7656">
      <c r="J7656" s="5"/>
      <c r="P7656" s="9"/>
      <c r="Q7656" s="5"/>
    </row>
    <row r="7657">
      <c r="J7657" s="5"/>
      <c r="P7657" s="9"/>
      <c r="Q7657" s="5"/>
    </row>
    <row r="7658">
      <c r="J7658" s="5"/>
      <c r="P7658" s="9"/>
      <c r="Q7658" s="5"/>
    </row>
    <row r="7659">
      <c r="J7659" s="5"/>
      <c r="P7659" s="9"/>
      <c r="Q7659" s="5"/>
    </row>
    <row r="7660">
      <c r="J7660" s="5"/>
      <c r="P7660" s="9"/>
      <c r="Q7660" s="5"/>
    </row>
    <row r="7661">
      <c r="J7661" s="5"/>
      <c r="P7661" s="9"/>
      <c r="Q7661" s="5"/>
    </row>
    <row r="7662">
      <c r="J7662" s="5"/>
      <c r="P7662" s="9"/>
      <c r="Q7662" s="5"/>
    </row>
    <row r="7663">
      <c r="J7663" s="5"/>
      <c r="P7663" s="9"/>
      <c r="Q7663" s="5"/>
    </row>
    <row r="7664">
      <c r="J7664" s="5"/>
      <c r="P7664" s="9"/>
      <c r="Q7664" s="5"/>
    </row>
    <row r="7665">
      <c r="J7665" s="5"/>
      <c r="P7665" s="9"/>
      <c r="Q7665" s="5"/>
    </row>
    <row r="7666">
      <c r="J7666" s="5"/>
      <c r="P7666" s="9"/>
      <c r="Q7666" s="5"/>
    </row>
    <row r="7667">
      <c r="J7667" s="5"/>
      <c r="P7667" s="9"/>
      <c r="Q7667" s="5"/>
    </row>
    <row r="7668">
      <c r="J7668" s="5"/>
      <c r="P7668" s="9"/>
      <c r="Q7668" s="5"/>
    </row>
    <row r="7669">
      <c r="J7669" s="5"/>
      <c r="P7669" s="9"/>
      <c r="Q7669" s="5"/>
    </row>
    <row r="7670">
      <c r="J7670" s="5"/>
      <c r="P7670" s="9"/>
      <c r="Q7670" s="5"/>
    </row>
    <row r="7671">
      <c r="J7671" s="5"/>
      <c r="P7671" s="9"/>
      <c r="Q7671" s="5"/>
    </row>
    <row r="7672">
      <c r="J7672" s="5"/>
      <c r="P7672" s="9"/>
      <c r="Q7672" s="5"/>
    </row>
    <row r="7673">
      <c r="J7673" s="5"/>
      <c r="P7673" s="9"/>
      <c r="Q7673" s="5"/>
    </row>
    <row r="7674">
      <c r="J7674" s="5"/>
      <c r="P7674" s="9"/>
      <c r="Q7674" s="5"/>
    </row>
    <row r="7675">
      <c r="J7675" s="5"/>
      <c r="P7675" s="9"/>
      <c r="Q7675" s="5"/>
    </row>
    <row r="7676">
      <c r="J7676" s="5"/>
      <c r="P7676" s="9"/>
      <c r="Q7676" s="5"/>
    </row>
    <row r="7677">
      <c r="J7677" s="5"/>
      <c r="P7677" s="9"/>
      <c r="Q7677" s="5"/>
    </row>
    <row r="7678">
      <c r="J7678" s="5"/>
      <c r="P7678" s="9"/>
      <c r="Q7678" s="5"/>
    </row>
    <row r="7679">
      <c r="J7679" s="5"/>
      <c r="P7679" s="9"/>
      <c r="Q7679" s="5"/>
    </row>
    <row r="7680">
      <c r="J7680" s="5"/>
      <c r="P7680" s="9"/>
      <c r="Q7680" s="5"/>
    </row>
    <row r="7681">
      <c r="J7681" s="5"/>
      <c r="P7681" s="9"/>
      <c r="Q7681" s="5"/>
    </row>
    <row r="7682">
      <c r="J7682" s="5"/>
      <c r="P7682" s="9"/>
      <c r="Q7682" s="5"/>
    </row>
    <row r="7683">
      <c r="J7683" s="5"/>
      <c r="P7683" s="9"/>
      <c r="Q7683" s="5"/>
    </row>
    <row r="7684">
      <c r="J7684" s="5"/>
      <c r="P7684" s="9"/>
      <c r="Q7684" s="5"/>
    </row>
    <row r="7685">
      <c r="J7685" s="5"/>
      <c r="P7685" s="9"/>
      <c r="Q7685" s="5"/>
    </row>
    <row r="7686">
      <c r="J7686" s="5"/>
      <c r="P7686" s="9"/>
      <c r="Q7686" s="5"/>
    </row>
    <row r="7687">
      <c r="J7687" s="5"/>
      <c r="P7687" s="9"/>
      <c r="Q7687" s="5"/>
    </row>
    <row r="7688">
      <c r="J7688" s="5"/>
      <c r="P7688" s="9"/>
      <c r="Q7688" s="5"/>
    </row>
    <row r="7689">
      <c r="J7689" s="5"/>
      <c r="P7689" s="9"/>
      <c r="Q7689" s="5"/>
    </row>
    <row r="7690">
      <c r="J7690" s="5"/>
      <c r="P7690" s="9"/>
      <c r="Q7690" s="5"/>
    </row>
    <row r="7691">
      <c r="J7691" s="5"/>
      <c r="P7691" s="9"/>
      <c r="Q7691" s="5"/>
    </row>
    <row r="7692">
      <c r="J7692" s="5"/>
      <c r="P7692" s="9"/>
      <c r="Q7692" s="5"/>
    </row>
    <row r="7693">
      <c r="J7693" s="5"/>
      <c r="P7693" s="9"/>
      <c r="Q7693" s="5"/>
    </row>
    <row r="7694">
      <c r="J7694" s="5"/>
      <c r="P7694" s="9"/>
      <c r="Q7694" s="5"/>
    </row>
    <row r="7695">
      <c r="J7695" s="5"/>
      <c r="P7695" s="9"/>
      <c r="Q7695" s="5"/>
    </row>
    <row r="7696">
      <c r="J7696" s="5"/>
      <c r="P7696" s="9"/>
      <c r="Q7696" s="5"/>
    </row>
    <row r="7697">
      <c r="J7697" s="5"/>
      <c r="P7697" s="9"/>
      <c r="Q7697" s="5"/>
    </row>
    <row r="7698">
      <c r="J7698" s="5"/>
      <c r="P7698" s="9"/>
      <c r="Q7698" s="5"/>
    </row>
    <row r="7699">
      <c r="J7699" s="5"/>
      <c r="P7699" s="9"/>
      <c r="Q7699" s="5"/>
    </row>
    <row r="7700">
      <c r="J7700" s="5"/>
      <c r="P7700" s="9"/>
      <c r="Q7700" s="5"/>
    </row>
    <row r="7701">
      <c r="J7701" s="5"/>
      <c r="P7701" s="9"/>
      <c r="Q7701" s="5"/>
    </row>
    <row r="7702">
      <c r="J7702" s="5"/>
      <c r="P7702" s="9"/>
      <c r="Q7702" s="5"/>
    </row>
    <row r="7703">
      <c r="J7703" s="5"/>
      <c r="P7703" s="9"/>
      <c r="Q7703" s="5"/>
    </row>
    <row r="7704">
      <c r="J7704" s="5"/>
      <c r="P7704" s="9"/>
      <c r="Q7704" s="5"/>
    </row>
    <row r="7705">
      <c r="J7705" s="5"/>
      <c r="P7705" s="9"/>
      <c r="Q7705" s="5"/>
    </row>
    <row r="7706">
      <c r="J7706" s="5"/>
      <c r="P7706" s="9"/>
      <c r="Q7706" s="5"/>
    </row>
    <row r="7707">
      <c r="J7707" s="5"/>
      <c r="P7707" s="9"/>
      <c r="Q7707" s="5"/>
    </row>
    <row r="7708">
      <c r="J7708" s="5"/>
      <c r="P7708" s="9"/>
      <c r="Q7708" s="5"/>
    </row>
    <row r="7709">
      <c r="J7709" s="5"/>
      <c r="P7709" s="9"/>
      <c r="Q7709" s="5"/>
    </row>
    <row r="7710">
      <c r="J7710" s="5"/>
      <c r="P7710" s="9"/>
      <c r="Q7710" s="5"/>
    </row>
    <row r="7711">
      <c r="J7711" s="5"/>
      <c r="P7711" s="9"/>
      <c r="Q7711" s="5"/>
    </row>
    <row r="7712">
      <c r="J7712" s="5"/>
      <c r="P7712" s="9"/>
      <c r="Q7712" s="5"/>
    </row>
    <row r="7713">
      <c r="J7713" s="5"/>
      <c r="P7713" s="9"/>
      <c r="Q7713" s="5"/>
    </row>
    <row r="7714">
      <c r="J7714" s="5"/>
      <c r="P7714" s="9"/>
      <c r="Q7714" s="5"/>
    </row>
    <row r="7715">
      <c r="J7715" s="5"/>
      <c r="P7715" s="9"/>
      <c r="Q7715" s="5"/>
    </row>
    <row r="7716">
      <c r="J7716" s="5"/>
      <c r="P7716" s="9"/>
      <c r="Q7716" s="5"/>
    </row>
    <row r="7717">
      <c r="J7717" s="5"/>
      <c r="P7717" s="9"/>
      <c r="Q7717" s="5"/>
    </row>
    <row r="7718">
      <c r="J7718" s="5"/>
      <c r="P7718" s="9"/>
      <c r="Q7718" s="5"/>
    </row>
    <row r="7719">
      <c r="J7719" s="5"/>
      <c r="P7719" s="9"/>
      <c r="Q7719" s="5"/>
    </row>
    <row r="7720">
      <c r="J7720" s="5"/>
      <c r="P7720" s="9"/>
      <c r="Q7720" s="5"/>
    </row>
    <row r="7721">
      <c r="J7721" s="5"/>
      <c r="P7721" s="9"/>
      <c r="Q7721" s="5"/>
    </row>
    <row r="7722">
      <c r="J7722" s="5"/>
      <c r="P7722" s="9"/>
      <c r="Q7722" s="5"/>
    </row>
    <row r="7723">
      <c r="J7723" s="5"/>
      <c r="P7723" s="9"/>
      <c r="Q7723" s="5"/>
    </row>
    <row r="7724">
      <c r="J7724" s="5"/>
      <c r="P7724" s="9"/>
      <c r="Q7724" s="5"/>
    </row>
    <row r="7725">
      <c r="J7725" s="5"/>
      <c r="P7725" s="9"/>
      <c r="Q7725" s="5"/>
    </row>
    <row r="7726">
      <c r="J7726" s="5"/>
      <c r="P7726" s="9"/>
      <c r="Q7726" s="5"/>
    </row>
    <row r="7727">
      <c r="J7727" s="5"/>
      <c r="P7727" s="9"/>
      <c r="Q7727" s="5"/>
    </row>
    <row r="7728">
      <c r="J7728" s="5"/>
      <c r="P7728" s="9"/>
      <c r="Q7728" s="5"/>
    </row>
    <row r="7729">
      <c r="J7729" s="5"/>
      <c r="P7729" s="9"/>
      <c r="Q7729" s="5"/>
    </row>
    <row r="7730">
      <c r="J7730" s="5"/>
      <c r="P7730" s="9"/>
      <c r="Q7730" s="5"/>
    </row>
    <row r="7731">
      <c r="J7731" s="5"/>
      <c r="P7731" s="9"/>
      <c r="Q7731" s="5"/>
    </row>
    <row r="7732">
      <c r="J7732" s="5"/>
      <c r="P7732" s="9"/>
      <c r="Q7732" s="5"/>
    </row>
    <row r="7733">
      <c r="J7733" s="5"/>
      <c r="P7733" s="9"/>
      <c r="Q7733" s="5"/>
    </row>
    <row r="7734">
      <c r="J7734" s="5"/>
      <c r="P7734" s="9"/>
      <c r="Q7734" s="5"/>
    </row>
    <row r="7735">
      <c r="J7735" s="5"/>
      <c r="P7735" s="9"/>
      <c r="Q7735" s="5"/>
    </row>
    <row r="7736">
      <c r="J7736" s="5"/>
      <c r="P7736" s="9"/>
      <c r="Q7736" s="5"/>
    </row>
    <row r="7737">
      <c r="J7737" s="5"/>
      <c r="P7737" s="9"/>
      <c r="Q7737" s="5"/>
    </row>
    <row r="7738">
      <c r="J7738" s="5"/>
      <c r="P7738" s="9"/>
      <c r="Q7738" s="5"/>
    </row>
    <row r="7739">
      <c r="J7739" s="5"/>
      <c r="P7739" s="9"/>
      <c r="Q7739" s="5"/>
    </row>
    <row r="7740">
      <c r="J7740" s="5"/>
      <c r="P7740" s="9"/>
      <c r="Q7740" s="5"/>
    </row>
    <row r="7741">
      <c r="J7741" s="5"/>
      <c r="P7741" s="9"/>
      <c r="Q7741" s="5"/>
    </row>
    <row r="7742">
      <c r="J7742" s="5"/>
      <c r="P7742" s="9"/>
      <c r="Q7742" s="5"/>
    </row>
    <row r="7743">
      <c r="J7743" s="5"/>
      <c r="P7743" s="9"/>
      <c r="Q7743" s="5"/>
    </row>
    <row r="7744">
      <c r="J7744" s="5"/>
      <c r="P7744" s="9"/>
      <c r="Q7744" s="5"/>
    </row>
    <row r="7745">
      <c r="J7745" s="5"/>
      <c r="P7745" s="9"/>
      <c r="Q7745" s="5"/>
    </row>
    <row r="7746">
      <c r="J7746" s="5"/>
      <c r="P7746" s="9"/>
      <c r="Q7746" s="5"/>
    </row>
    <row r="7747">
      <c r="J7747" s="5"/>
      <c r="P7747" s="9"/>
      <c r="Q7747" s="5"/>
    </row>
    <row r="7748">
      <c r="J7748" s="5"/>
      <c r="P7748" s="9"/>
      <c r="Q7748" s="5"/>
    </row>
    <row r="7749">
      <c r="J7749" s="5"/>
      <c r="P7749" s="9"/>
      <c r="Q7749" s="5"/>
    </row>
    <row r="7750">
      <c r="J7750" s="5"/>
      <c r="P7750" s="9"/>
      <c r="Q7750" s="5"/>
    </row>
    <row r="7751">
      <c r="J7751" s="5"/>
      <c r="P7751" s="9"/>
      <c r="Q7751" s="5"/>
    </row>
    <row r="7752">
      <c r="J7752" s="5"/>
      <c r="P7752" s="9"/>
      <c r="Q7752" s="5"/>
    </row>
    <row r="7753">
      <c r="J7753" s="5"/>
      <c r="P7753" s="9"/>
      <c r="Q7753" s="5"/>
    </row>
    <row r="7754">
      <c r="J7754" s="5"/>
      <c r="P7754" s="9"/>
      <c r="Q7754" s="5"/>
    </row>
    <row r="7755">
      <c r="J7755" s="5"/>
      <c r="P7755" s="9"/>
      <c r="Q7755" s="5"/>
    </row>
    <row r="7756">
      <c r="J7756" s="5"/>
      <c r="P7756" s="9"/>
      <c r="Q7756" s="5"/>
    </row>
    <row r="7757">
      <c r="J7757" s="5"/>
      <c r="P7757" s="9"/>
      <c r="Q7757" s="5"/>
    </row>
    <row r="7758">
      <c r="J7758" s="5"/>
      <c r="P7758" s="9"/>
      <c r="Q7758" s="5"/>
    </row>
    <row r="7759">
      <c r="J7759" s="5"/>
      <c r="P7759" s="9"/>
      <c r="Q7759" s="5"/>
    </row>
    <row r="7760">
      <c r="J7760" s="5"/>
      <c r="P7760" s="9"/>
      <c r="Q7760" s="5"/>
    </row>
    <row r="7761">
      <c r="J7761" s="5"/>
      <c r="P7761" s="9"/>
      <c r="Q7761" s="5"/>
    </row>
    <row r="7762">
      <c r="J7762" s="5"/>
      <c r="P7762" s="9"/>
      <c r="Q7762" s="5"/>
    </row>
    <row r="7763">
      <c r="J7763" s="5"/>
      <c r="P7763" s="9"/>
      <c r="Q7763" s="5"/>
    </row>
    <row r="7764">
      <c r="J7764" s="5"/>
      <c r="P7764" s="9"/>
      <c r="Q7764" s="5"/>
    </row>
    <row r="7765">
      <c r="J7765" s="5"/>
      <c r="P7765" s="9"/>
      <c r="Q7765" s="5"/>
    </row>
    <row r="7766">
      <c r="J7766" s="5"/>
      <c r="P7766" s="9"/>
      <c r="Q7766" s="5"/>
    </row>
    <row r="7767">
      <c r="J7767" s="5"/>
      <c r="P7767" s="9"/>
      <c r="Q7767" s="5"/>
    </row>
    <row r="7768">
      <c r="J7768" s="5"/>
      <c r="P7768" s="9"/>
      <c r="Q7768" s="5"/>
    </row>
    <row r="7769">
      <c r="J7769" s="5"/>
      <c r="P7769" s="9"/>
      <c r="Q7769" s="5"/>
    </row>
    <row r="7770">
      <c r="J7770" s="5"/>
      <c r="P7770" s="9"/>
      <c r="Q7770" s="5"/>
    </row>
    <row r="7771">
      <c r="J7771" s="5"/>
      <c r="P7771" s="9"/>
      <c r="Q7771" s="5"/>
    </row>
    <row r="7772">
      <c r="J7772" s="5"/>
      <c r="P7772" s="9"/>
      <c r="Q7772" s="5"/>
    </row>
    <row r="7773">
      <c r="J7773" s="5"/>
      <c r="P7773" s="9"/>
      <c r="Q7773" s="5"/>
    </row>
    <row r="7774">
      <c r="J7774" s="5"/>
      <c r="P7774" s="9"/>
      <c r="Q7774" s="5"/>
    </row>
    <row r="7775">
      <c r="J7775" s="5"/>
      <c r="P7775" s="9"/>
      <c r="Q7775" s="5"/>
    </row>
    <row r="7776">
      <c r="J7776" s="5"/>
      <c r="P7776" s="9"/>
      <c r="Q7776" s="5"/>
    </row>
    <row r="7777">
      <c r="J7777" s="5"/>
      <c r="P7777" s="9"/>
      <c r="Q7777" s="5"/>
    </row>
    <row r="7778">
      <c r="J7778" s="5"/>
      <c r="P7778" s="9"/>
      <c r="Q7778" s="5"/>
    </row>
    <row r="7779">
      <c r="J7779" s="5"/>
      <c r="P7779" s="9"/>
      <c r="Q7779" s="5"/>
    </row>
    <row r="7780">
      <c r="J7780" s="5"/>
      <c r="P7780" s="9"/>
      <c r="Q7780" s="5"/>
    </row>
    <row r="7781">
      <c r="J7781" s="5"/>
      <c r="P7781" s="9"/>
      <c r="Q7781" s="5"/>
    </row>
    <row r="7782">
      <c r="J7782" s="5"/>
      <c r="P7782" s="9"/>
      <c r="Q7782" s="5"/>
    </row>
    <row r="7783">
      <c r="J7783" s="5"/>
      <c r="P7783" s="9"/>
      <c r="Q7783" s="5"/>
    </row>
    <row r="7784">
      <c r="J7784" s="5"/>
      <c r="P7784" s="9"/>
      <c r="Q7784" s="5"/>
    </row>
    <row r="7785">
      <c r="J7785" s="5"/>
      <c r="P7785" s="9"/>
      <c r="Q7785" s="5"/>
    </row>
    <row r="7786">
      <c r="J7786" s="5"/>
      <c r="P7786" s="9"/>
      <c r="Q7786" s="5"/>
    </row>
    <row r="7787">
      <c r="J7787" s="5"/>
      <c r="P7787" s="9"/>
      <c r="Q7787" s="5"/>
    </row>
    <row r="7788">
      <c r="J7788" s="5"/>
      <c r="P7788" s="9"/>
      <c r="Q7788" s="5"/>
    </row>
    <row r="7789">
      <c r="J7789" s="5"/>
      <c r="P7789" s="9"/>
      <c r="Q7789" s="5"/>
    </row>
    <row r="7790">
      <c r="J7790" s="5"/>
      <c r="P7790" s="9"/>
      <c r="Q7790" s="5"/>
    </row>
    <row r="7791">
      <c r="J7791" s="5"/>
      <c r="P7791" s="9"/>
      <c r="Q7791" s="5"/>
    </row>
    <row r="7792">
      <c r="J7792" s="5"/>
      <c r="P7792" s="9"/>
      <c r="Q7792" s="5"/>
    </row>
    <row r="7793">
      <c r="J7793" s="5"/>
      <c r="P7793" s="9"/>
      <c r="Q7793" s="5"/>
    </row>
    <row r="7794">
      <c r="J7794" s="5"/>
      <c r="P7794" s="9"/>
      <c r="Q7794" s="5"/>
    </row>
    <row r="7795">
      <c r="J7795" s="5"/>
      <c r="P7795" s="9"/>
      <c r="Q7795" s="5"/>
    </row>
    <row r="7796">
      <c r="J7796" s="5"/>
      <c r="P7796" s="9"/>
      <c r="Q7796" s="5"/>
    </row>
    <row r="7797">
      <c r="J7797" s="5"/>
      <c r="P7797" s="9"/>
      <c r="Q7797" s="5"/>
    </row>
    <row r="7798">
      <c r="J7798" s="5"/>
      <c r="P7798" s="9"/>
      <c r="Q7798" s="5"/>
    </row>
    <row r="7799">
      <c r="J7799" s="5"/>
      <c r="P7799" s="9"/>
      <c r="Q7799" s="5"/>
    </row>
    <row r="7800">
      <c r="J7800" s="5"/>
      <c r="P7800" s="9"/>
      <c r="Q7800" s="5"/>
    </row>
    <row r="7801">
      <c r="J7801" s="5"/>
      <c r="P7801" s="9"/>
      <c r="Q7801" s="5"/>
    </row>
    <row r="7802">
      <c r="J7802" s="5"/>
      <c r="P7802" s="9"/>
      <c r="Q7802" s="5"/>
    </row>
    <row r="7803">
      <c r="J7803" s="5"/>
      <c r="P7803" s="9"/>
      <c r="Q7803" s="5"/>
    </row>
    <row r="7804">
      <c r="J7804" s="5"/>
      <c r="P7804" s="9"/>
      <c r="Q7804" s="5"/>
    </row>
    <row r="7805">
      <c r="J7805" s="5"/>
      <c r="P7805" s="9"/>
      <c r="Q7805" s="5"/>
    </row>
    <row r="7806">
      <c r="J7806" s="5"/>
      <c r="P7806" s="9"/>
      <c r="Q7806" s="5"/>
    </row>
    <row r="7807">
      <c r="J7807" s="5"/>
      <c r="P7807" s="9"/>
      <c r="Q7807" s="5"/>
    </row>
    <row r="7808">
      <c r="J7808" s="5"/>
      <c r="P7808" s="9"/>
      <c r="Q7808" s="5"/>
    </row>
    <row r="7809">
      <c r="J7809" s="5"/>
      <c r="P7809" s="9"/>
      <c r="Q7809" s="5"/>
    </row>
    <row r="7810">
      <c r="J7810" s="5"/>
      <c r="P7810" s="9"/>
      <c r="Q7810" s="5"/>
    </row>
    <row r="7811">
      <c r="J7811" s="5"/>
      <c r="P7811" s="9"/>
      <c r="Q7811" s="5"/>
    </row>
    <row r="7812">
      <c r="J7812" s="5"/>
      <c r="P7812" s="9"/>
      <c r="Q7812" s="5"/>
    </row>
    <row r="7813">
      <c r="J7813" s="5"/>
      <c r="P7813" s="9"/>
      <c r="Q7813" s="5"/>
    </row>
    <row r="7814">
      <c r="J7814" s="5"/>
      <c r="P7814" s="9"/>
      <c r="Q7814" s="5"/>
    </row>
    <row r="7815">
      <c r="J7815" s="5"/>
      <c r="P7815" s="9"/>
      <c r="Q7815" s="5"/>
    </row>
    <row r="7816">
      <c r="J7816" s="5"/>
      <c r="P7816" s="9"/>
      <c r="Q7816" s="5"/>
    </row>
    <row r="7817">
      <c r="J7817" s="5"/>
      <c r="P7817" s="9"/>
      <c r="Q7817" s="5"/>
    </row>
    <row r="7818">
      <c r="J7818" s="5"/>
      <c r="P7818" s="9"/>
      <c r="Q7818" s="5"/>
    </row>
    <row r="7819">
      <c r="J7819" s="5"/>
      <c r="P7819" s="9"/>
      <c r="Q7819" s="5"/>
    </row>
    <row r="7820">
      <c r="J7820" s="5"/>
      <c r="P7820" s="9"/>
      <c r="Q7820" s="5"/>
    </row>
    <row r="7821">
      <c r="J7821" s="5"/>
      <c r="P7821" s="9"/>
      <c r="Q7821" s="5"/>
    </row>
    <row r="7822">
      <c r="J7822" s="5"/>
      <c r="P7822" s="9"/>
      <c r="Q7822" s="5"/>
    </row>
    <row r="7823">
      <c r="J7823" s="5"/>
      <c r="P7823" s="9"/>
      <c r="Q7823" s="5"/>
    </row>
    <row r="7824">
      <c r="J7824" s="5"/>
      <c r="P7824" s="9"/>
      <c r="Q7824" s="5"/>
    </row>
    <row r="7825">
      <c r="J7825" s="5"/>
      <c r="P7825" s="9"/>
      <c r="Q7825" s="5"/>
    </row>
    <row r="7826">
      <c r="J7826" s="5"/>
      <c r="P7826" s="9"/>
      <c r="Q7826" s="5"/>
    </row>
    <row r="7827">
      <c r="J7827" s="5"/>
      <c r="P7827" s="9"/>
      <c r="Q7827" s="5"/>
    </row>
    <row r="7828">
      <c r="J7828" s="5"/>
      <c r="P7828" s="9"/>
      <c r="Q7828" s="5"/>
    </row>
    <row r="7829">
      <c r="J7829" s="5"/>
      <c r="P7829" s="9"/>
      <c r="Q7829" s="5"/>
    </row>
    <row r="7830">
      <c r="J7830" s="5"/>
      <c r="P7830" s="9"/>
      <c r="Q7830" s="5"/>
    </row>
    <row r="7831">
      <c r="J7831" s="5"/>
      <c r="P7831" s="9"/>
      <c r="Q7831" s="5"/>
    </row>
    <row r="7832">
      <c r="J7832" s="5"/>
      <c r="P7832" s="9"/>
      <c r="Q7832" s="5"/>
    </row>
    <row r="7833">
      <c r="J7833" s="5"/>
      <c r="P7833" s="9"/>
      <c r="Q7833" s="5"/>
    </row>
    <row r="7834">
      <c r="J7834" s="5"/>
      <c r="P7834" s="9"/>
      <c r="Q7834" s="5"/>
    </row>
    <row r="7835">
      <c r="J7835" s="5"/>
      <c r="P7835" s="9"/>
      <c r="Q7835" s="5"/>
    </row>
    <row r="7836">
      <c r="J7836" s="5"/>
      <c r="P7836" s="9"/>
      <c r="Q7836" s="5"/>
    </row>
    <row r="7837">
      <c r="J7837" s="5"/>
      <c r="P7837" s="9"/>
      <c r="Q7837" s="5"/>
    </row>
    <row r="7838">
      <c r="J7838" s="5"/>
      <c r="P7838" s="9"/>
      <c r="Q7838" s="5"/>
    </row>
    <row r="7839">
      <c r="J7839" s="5"/>
      <c r="P7839" s="9"/>
      <c r="Q7839" s="5"/>
    </row>
    <row r="7840">
      <c r="J7840" s="5"/>
      <c r="P7840" s="9"/>
      <c r="Q7840" s="5"/>
    </row>
    <row r="7841">
      <c r="J7841" s="5"/>
      <c r="P7841" s="9"/>
      <c r="Q7841" s="5"/>
    </row>
    <row r="7842">
      <c r="J7842" s="5"/>
      <c r="P7842" s="9"/>
      <c r="Q7842" s="5"/>
    </row>
    <row r="7843">
      <c r="J7843" s="5"/>
      <c r="P7843" s="9"/>
      <c r="Q7843" s="5"/>
    </row>
    <row r="7844">
      <c r="J7844" s="5"/>
      <c r="P7844" s="9"/>
      <c r="Q7844" s="5"/>
    </row>
    <row r="7845">
      <c r="J7845" s="5"/>
      <c r="P7845" s="9"/>
      <c r="Q7845" s="5"/>
    </row>
    <row r="7846">
      <c r="J7846" s="5"/>
      <c r="P7846" s="9"/>
      <c r="Q7846" s="5"/>
    </row>
    <row r="7847">
      <c r="J7847" s="5"/>
      <c r="P7847" s="9"/>
      <c r="Q7847" s="5"/>
    </row>
    <row r="7848">
      <c r="J7848" s="5"/>
      <c r="P7848" s="9"/>
      <c r="Q7848" s="5"/>
    </row>
    <row r="7849">
      <c r="J7849" s="5"/>
      <c r="P7849" s="9"/>
      <c r="Q7849" s="5"/>
    </row>
    <row r="7850">
      <c r="J7850" s="5"/>
      <c r="P7850" s="9"/>
      <c r="Q7850" s="5"/>
    </row>
    <row r="7851">
      <c r="J7851" s="5"/>
      <c r="P7851" s="9"/>
      <c r="Q7851" s="5"/>
    </row>
    <row r="7852">
      <c r="J7852" s="5"/>
      <c r="P7852" s="9"/>
      <c r="Q7852" s="5"/>
    </row>
    <row r="7853">
      <c r="J7853" s="5"/>
      <c r="P7853" s="9"/>
      <c r="Q7853" s="5"/>
    </row>
    <row r="7854">
      <c r="J7854" s="5"/>
      <c r="P7854" s="9"/>
      <c r="Q7854" s="5"/>
    </row>
    <row r="7855">
      <c r="J7855" s="5"/>
      <c r="P7855" s="9"/>
      <c r="Q7855" s="5"/>
    </row>
    <row r="7856">
      <c r="J7856" s="5"/>
      <c r="P7856" s="9"/>
      <c r="Q7856" s="5"/>
    </row>
    <row r="7857">
      <c r="J7857" s="5"/>
      <c r="P7857" s="9"/>
      <c r="Q7857" s="5"/>
    </row>
    <row r="7858">
      <c r="J7858" s="5"/>
      <c r="P7858" s="9"/>
      <c r="Q7858" s="5"/>
    </row>
    <row r="7859">
      <c r="J7859" s="5"/>
      <c r="P7859" s="9"/>
      <c r="Q7859" s="5"/>
    </row>
    <row r="7860">
      <c r="J7860" s="5"/>
      <c r="P7860" s="9"/>
      <c r="Q7860" s="5"/>
    </row>
    <row r="7861">
      <c r="J7861" s="5"/>
      <c r="P7861" s="9"/>
      <c r="Q7861" s="5"/>
    </row>
    <row r="7862">
      <c r="J7862" s="5"/>
      <c r="P7862" s="9"/>
      <c r="Q7862" s="5"/>
    </row>
    <row r="7863">
      <c r="J7863" s="5"/>
      <c r="P7863" s="9"/>
      <c r="Q7863" s="5"/>
    </row>
    <row r="7864">
      <c r="J7864" s="5"/>
      <c r="P7864" s="9"/>
      <c r="Q7864" s="5"/>
    </row>
    <row r="7865">
      <c r="J7865" s="5"/>
      <c r="P7865" s="9"/>
      <c r="Q7865" s="5"/>
    </row>
    <row r="7866">
      <c r="J7866" s="5"/>
      <c r="P7866" s="9"/>
      <c r="Q7866" s="5"/>
    </row>
    <row r="7867">
      <c r="J7867" s="5"/>
      <c r="P7867" s="9"/>
      <c r="Q7867" s="5"/>
    </row>
    <row r="7868">
      <c r="J7868" s="5"/>
      <c r="P7868" s="9"/>
      <c r="Q7868" s="5"/>
    </row>
    <row r="7869">
      <c r="J7869" s="5"/>
      <c r="P7869" s="9"/>
      <c r="Q7869" s="5"/>
    </row>
    <row r="7870">
      <c r="J7870" s="5"/>
      <c r="P7870" s="9"/>
      <c r="Q7870" s="5"/>
    </row>
    <row r="7871">
      <c r="J7871" s="5"/>
      <c r="P7871" s="9"/>
      <c r="Q7871" s="5"/>
    </row>
    <row r="7872">
      <c r="J7872" s="5"/>
      <c r="P7872" s="9"/>
      <c r="Q7872" s="5"/>
    </row>
    <row r="7873">
      <c r="J7873" s="5"/>
      <c r="P7873" s="9"/>
      <c r="Q7873" s="5"/>
    </row>
    <row r="7874">
      <c r="J7874" s="5"/>
      <c r="P7874" s="9"/>
      <c r="Q7874" s="5"/>
    </row>
    <row r="7875">
      <c r="J7875" s="5"/>
      <c r="P7875" s="9"/>
      <c r="Q7875" s="5"/>
    </row>
    <row r="7876">
      <c r="J7876" s="5"/>
      <c r="P7876" s="9"/>
      <c r="Q7876" s="5"/>
    </row>
    <row r="7877">
      <c r="J7877" s="5"/>
      <c r="P7877" s="9"/>
      <c r="Q7877" s="5"/>
    </row>
    <row r="7878">
      <c r="J7878" s="5"/>
      <c r="P7878" s="9"/>
      <c r="Q7878" s="5"/>
    </row>
    <row r="7879">
      <c r="J7879" s="5"/>
      <c r="P7879" s="9"/>
      <c r="Q7879" s="5"/>
    </row>
    <row r="7880">
      <c r="J7880" s="5"/>
      <c r="P7880" s="9"/>
      <c r="Q7880" s="5"/>
    </row>
    <row r="7881">
      <c r="J7881" s="5"/>
      <c r="P7881" s="9"/>
      <c r="Q7881" s="5"/>
    </row>
    <row r="7882">
      <c r="J7882" s="5"/>
      <c r="P7882" s="9"/>
      <c r="Q7882" s="5"/>
    </row>
    <row r="7883">
      <c r="J7883" s="5"/>
      <c r="P7883" s="9"/>
      <c r="Q7883" s="5"/>
    </row>
    <row r="7884">
      <c r="J7884" s="5"/>
      <c r="P7884" s="9"/>
      <c r="Q7884" s="5"/>
    </row>
    <row r="7885">
      <c r="J7885" s="5"/>
      <c r="P7885" s="9"/>
      <c r="Q7885" s="5"/>
    </row>
    <row r="7886">
      <c r="J7886" s="5"/>
      <c r="P7886" s="9"/>
      <c r="Q7886" s="5"/>
    </row>
    <row r="7887">
      <c r="J7887" s="5"/>
      <c r="P7887" s="9"/>
      <c r="Q7887" s="5"/>
    </row>
    <row r="7888">
      <c r="J7888" s="5"/>
      <c r="P7888" s="9"/>
      <c r="Q7888" s="5"/>
    </row>
    <row r="7889">
      <c r="J7889" s="5"/>
      <c r="P7889" s="9"/>
      <c r="Q7889" s="5"/>
    </row>
    <row r="7890">
      <c r="J7890" s="5"/>
      <c r="P7890" s="9"/>
      <c r="Q7890" s="5"/>
    </row>
    <row r="7891">
      <c r="J7891" s="5"/>
      <c r="P7891" s="9"/>
      <c r="Q7891" s="5"/>
    </row>
    <row r="7892">
      <c r="J7892" s="5"/>
      <c r="P7892" s="9"/>
      <c r="Q7892" s="5"/>
    </row>
    <row r="7893">
      <c r="J7893" s="5"/>
      <c r="P7893" s="9"/>
      <c r="Q7893" s="5"/>
    </row>
    <row r="7894">
      <c r="J7894" s="5"/>
      <c r="P7894" s="9"/>
      <c r="Q7894" s="5"/>
    </row>
    <row r="7895">
      <c r="J7895" s="5"/>
      <c r="P7895" s="9"/>
      <c r="Q7895" s="5"/>
    </row>
    <row r="7896">
      <c r="J7896" s="5"/>
      <c r="P7896" s="9"/>
      <c r="Q7896" s="5"/>
    </row>
    <row r="7897">
      <c r="J7897" s="5"/>
      <c r="P7897" s="9"/>
      <c r="Q7897" s="5"/>
    </row>
    <row r="7898">
      <c r="J7898" s="5"/>
      <c r="P7898" s="9"/>
      <c r="Q7898" s="5"/>
    </row>
    <row r="7899">
      <c r="J7899" s="5"/>
      <c r="P7899" s="9"/>
      <c r="Q7899" s="5"/>
    </row>
    <row r="7900">
      <c r="J7900" s="5"/>
      <c r="P7900" s="9"/>
      <c r="Q7900" s="5"/>
    </row>
    <row r="7901">
      <c r="J7901" s="5"/>
      <c r="P7901" s="9"/>
      <c r="Q7901" s="5"/>
    </row>
    <row r="7902">
      <c r="J7902" s="5"/>
      <c r="P7902" s="9"/>
      <c r="Q7902" s="5"/>
    </row>
    <row r="7903">
      <c r="J7903" s="5"/>
      <c r="P7903" s="9"/>
      <c r="Q7903" s="5"/>
    </row>
    <row r="7904">
      <c r="J7904" s="5"/>
      <c r="P7904" s="9"/>
      <c r="Q7904" s="5"/>
    </row>
    <row r="7905">
      <c r="J7905" s="5"/>
      <c r="P7905" s="9"/>
      <c r="Q7905" s="5"/>
    </row>
    <row r="7906">
      <c r="J7906" s="5"/>
      <c r="P7906" s="9"/>
      <c r="Q7906" s="5"/>
    </row>
    <row r="7907">
      <c r="J7907" s="5"/>
      <c r="P7907" s="9"/>
      <c r="Q7907" s="5"/>
    </row>
    <row r="7908">
      <c r="J7908" s="5"/>
      <c r="P7908" s="9"/>
      <c r="Q7908" s="5"/>
    </row>
    <row r="7909">
      <c r="J7909" s="5"/>
      <c r="P7909" s="9"/>
      <c r="Q7909" s="5"/>
    </row>
    <row r="7910">
      <c r="J7910" s="5"/>
      <c r="P7910" s="9"/>
      <c r="Q7910" s="5"/>
    </row>
    <row r="7911">
      <c r="J7911" s="5"/>
      <c r="P7911" s="9"/>
      <c r="Q7911" s="5"/>
    </row>
    <row r="7912">
      <c r="J7912" s="5"/>
      <c r="P7912" s="9"/>
      <c r="Q7912" s="5"/>
    </row>
    <row r="7913">
      <c r="J7913" s="5"/>
      <c r="P7913" s="9"/>
      <c r="Q7913" s="5"/>
    </row>
    <row r="7914">
      <c r="J7914" s="5"/>
      <c r="P7914" s="9"/>
      <c r="Q7914" s="5"/>
    </row>
    <row r="7915">
      <c r="J7915" s="5"/>
      <c r="P7915" s="9"/>
      <c r="Q7915" s="5"/>
    </row>
    <row r="7916">
      <c r="J7916" s="5"/>
      <c r="P7916" s="9"/>
      <c r="Q7916" s="5"/>
    </row>
    <row r="7917">
      <c r="J7917" s="5"/>
      <c r="P7917" s="9"/>
      <c r="Q7917" s="5"/>
    </row>
    <row r="7918">
      <c r="J7918" s="5"/>
      <c r="P7918" s="9"/>
      <c r="Q7918" s="5"/>
    </row>
    <row r="7919">
      <c r="J7919" s="5"/>
      <c r="P7919" s="9"/>
      <c r="Q7919" s="5"/>
    </row>
    <row r="7920">
      <c r="J7920" s="5"/>
      <c r="P7920" s="9"/>
      <c r="Q7920" s="5"/>
    </row>
    <row r="7921">
      <c r="J7921" s="5"/>
      <c r="P7921" s="9"/>
      <c r="Q7921" s="5"/>
    </row>
    <row r="7922">
      <c r="J7922" s="5"/>
      <c r="P7922" s="9"/>
      <c r="Q7922" s="5"/>
    </row>
    <row r="7923">
      <c r="J7923" s="5"/>
      <c r="P7923" s="9"/>
      <c r="Q7923" s="5"/>
    </row>
    <row r="7924">
      <c r="J7924" s="5"/>
      <c r="P7924" s="9"/>
      <c r="Q7924" s="5"/>
    </row>
    <row r="7925">
      <c r="J7925" s="5"/>
      <c r="P7925" s="9"/>
      <c r="Q7925" s="5"/>
    </row>
    <row r="7926">
      <c r="J7926" s="5"/>
      <c r="P7926" s="9"/>
      <c r="Q7926" s="5"/>
    </row>
    <row r="7927">
      <c r="J7927" s="5"/>
      <c r="P7927" s="9"/>
      <c r="Q7927" s="5"/>
    </row>
    <row r="7928">
      <c r="J7928" s="5"/>
      <c r="P7928" s="9"/>
      <c r="Q7928" s="5"/>
    </row>
    <row r="7929">
      <c r="J7929" s="5"/>
      <c r="P7929" s="9"/>
      <c r="Q7929" s="5"/>
    </row>
    <row r="7930">
      <c r="J7930" s="5"/>
      <c r="P7930" s="9"/>
      <c r="Q7930" s="5"/>
    </row>
    <row r="7931">
      <c r="J7931" s="5"/>
      <c r="P7931" s="9"/>
      <c r="Q7931" s="5"/>
    </row>
    <row r="7932">
      <c r="J7932" s="5"/>
      <c r="P7932" s="9"/>
      <c r="Q7932" s="5"/>
    </row>
    <row r="7933">
      <c r="J7933" s="5"/>
      <c r="P7933" s="9"/>
      <c r="Q7933" s="5"/>
    </row>
    <row r="7934">
      <c r="J7934" s="5"/>
      <c r="P7934" s="9"/>
      <c r="Q7934" s="5"/>
    </row>
    <row r="7935">
      <c r="J7935" s="5"/>
      <c r="P7935" s="9"/>
      <c r="Q7935" s="5"/>
    </row>
    <row r="7936">
      <c r="J7936" s="5"/>
      <c r="P7936" s="9"/>
      <c r="Q7936" s="5"/>
    </row>
    <row r="7937">
      <c r="J7937" s="5"/>
      <c r="P7937" s="9"/>
      <c r="Q7937" s="5"/>
    </row>
    <row r="7938">
      <c r="J7938" s="5"/>
      <c r="P7938" s="9"/>
      <c r="Q7938" s="5"/>
    </row>
    <row r="7939">
      <c r="J7939" s="5"/>
      <c r="P7939" s="9"/>
      <c r="Q7939" s="5"/>
    </row>
    <row r="7940">
      <c r="J7940" s="5"/>
      <c r="P7940" s="9"/>
      <c r="Q7940" s="5"/>
    </row>
    <row r="7941">
      <c r="J7941" s="5"/>
      <c r="P7941" s="9"/>
      <c r="Q7941" s="5"/>
    </row>
    <row r="7942">
      <c r="J7942" s="5"/>
      <c r="P7942" s="9"/>
      <c r="Q7942" s="5"/>
    </row>
    <row r="7943">
      <c r="J7943" s="5"/>
      <c r="P7943" s="9"/>
      <c r="Q7943" s="5"/>
    </row>
    <row r="7944">
      <c r="J7944" s="5"/>
      <c r="P7944" s="9"/>
      <c r="Q7944" s="5"/>
    </row>
    <row r="7945">
      <c r="J7945" s="5"/>
      <c r="P7945" s="9"/>
      <c r="Q7945" s="5"/>
    </row>
    <row r="7946">
      <c r="J7946" s="5"/>
      <c r="P7946" s="9"/>
      <c r="Q7946" s="5"/>
    </row>
    <row r="7947">
      <c r="J7947" s="5"/>
      <c r="P7947" s="9"/>
      <c r="Q7947" s="5"/>
    </row>
    <row r="7948">
      <c r="J7948" s="5"/>
      <c r="P7948" s="9"/>
      <c r="Q7948" s="5"/>
    </row>
    <row r="7949">
      <c r="J7949" s="5"/>
      <c r="P7949" s="9"/>
      <c r="Q7949" s="5"/>
    </row>
    <row r="7950">
      <c r="J7950" s="5"/>
      <c r="P7950" s="9"/>
      <c r="Q7950" s="5"/>
    </row>
    <row r="7951">
      <c r="J7951" s="5"/>
      <c r="P7951" s="9"/>
      <c r="Q7951" s="5"/>
    </row>
    <row r="7952">
      <c r="J7952" s="5"/>
      <c r="P7952" s="9"/>
      <c r="Q7952" s="5"/>
    </row>
    <row r="7953">
      <c r="J7953" s="5"/>
      <c r="P7953" s="9"/>
      <c r="Q7953" s="5"/>
    </row>
    <row r="7954">
      <c r="J7954" s="5"/>
      <c r="P7954" s="9"/>
      <c r="Q7954" s="5"/>
    </row>
    <row r="7955">
      <c r="J7955" s="5"/>
      <c r="P7955" s="9"/>
      <c r="Q7955" s="5"/>
    </row>
    <row r="7956">
      <c r="J7956" s="5"/>
      <c r="P7956" s="9"/>
      <c r="Q7956" s="5"/>
    </row>
    <row r="7957">
      <c r="J7957" s="5"/>
      <c r="P7957" s="9"/>
      <c r="Q7957" s="5"/>
    </row>
    <row r="7958">
      <c r="J7958" s="5"/>
      <c r="P7958" s="9"/>
      <c r="Q7958" s="5"/>
    </row>
    <row r="7959">
      <c r="J7959" s="5"/>
      <c r="P7959" s="9"/>
      <c r="Q7959" s="5"/>
    </row>
    <row r="7960">
      <c r="J7960" s="5"/>
      <c r="P7960" s="9"/>
      <c r="Q7960" s="5"/>
    </row>
    <row r="7961">
      <c r="J7961" s="5"/>
      <c r="P7961" s="9"/>
      <c r="Q7961" s="5"/>
    </row>
    <row r="7962">
      <c r="J7962" s="5"/>
      <c r="P7962" s="9"/>
      <c r="Q7962" s="5"/>
    </row>
    <row r="7963">
      <c r="J7963" s="5"/>
      <c r="P7963" s="9"/>
      <c r="Q7963" s="5"/>
    </row>
    <row r="7964">
      <c r="J7964" s="5"/>
      <c r="P7964" s="9"/>
      <c r="Q7964" s="5"/>
    </row>
    <row r="7965">
      <c r="J7965" s="5"/>
      <c r="P7965" s="9"/>
      <c r="Q7965" s="5"/>
    </row>
    <row r="7966">
      <c r="J7966" s="5"/>
      <c r="P7966" s="9"/>
      <c r="Q7966" s="5"/>
    </row>
    <row r="7967">
      <c r="J7967" s="5"/>
      <c r="P7967" s="9"/>
      <c r="Q7967" s="5"/>
    </row>
    <row r="7968">
      <c r="J7968" s="5"/>
      <c r="P7968" s="9"/>
      <c r="Q7968" s="5"/>
    </row>
    <row r="7969">
      <c r="J7969" s="5"/>
      <c r="P7969" s="9"/>
      <c r="Q7969" s="5"/>
    </row>
    <row r="7970">
      <c r="J7970" s="5"/>
      <c r="P7970" s="9"/>
      <c r="Q7970" s="5"/>
    </row>
    <row r="7971">
      <c r="J7971" s="5"/>
      <c r="P7971" s="9"/>
      <c r="Q7971" s="5"/>
    </row>
    <row r="7972">
      <c r="J7972" s="5"/>
      <c r="P7972" s="9"/>
      <c r="Q7972" s="5"/>
    </row>
    <row r="7973">
      <c r="J7973" s="5"/>
      <c r="P7973" s="9"/>
      <c r="Q7973" s="5"/>
    </row>
    <row r="7974">
      <c r="J7974" s="5"/>
      <c r="P7974" s="9"/>
      <c r="Q7974" s="5"/>
    </row>
    <row r="7975">
      <c r="J7975" s="5"/>
      <c r="P7975" s="9"/>
      <c r="Q7975" s="5"/>
    </row>
    <row r="7976">
      <c r="J7976" s="5"/>
      <c r="P7976" s="9"/>
      <c r="Q7976" s="5"/>
    </row>
    <row r="7977">
      <c r="J7977" s="5"/>
      <c r="P7977" s="9"/>
      <c r="Q7977" s="5"/>
    </row>
    <row r="7978">
      <c r="J7978" s="5"/>
      <c r="P7978" s="9"/>
      <c r="Q7978" s="5"/>
    </row>
    <row r="7979">
      <c r="J7979" s="5"/>
      <c r="P7979" s="9"/>
      <c r="Q7979" s="5"/>
    </row>
    <row r="7980">
      <c r="J7980" s="5"/>
      <c r="P7980" s="9"/>
      <c r="Q7980" s="5"/>
    </row>
    <row r="7981">
      <c r="J7981" s="5"/>
      <c r="P7981" s="9"/>
      <c r="Q7981" s="5"/>
    </row>
    <row r="7982">
      <c r="J7982" s="5"/>
      <c r="P7982" s="9"/>
      <c r="Q7982" s="5"/>
    </row>
    <row r="7983">
      <c r="J7983" s="5"/>
      <c r="P7983" s="9"/>
      <c r="Q7983" s="5"/>
    </row>
    <row r="7984">
      <c r="J7984" s="5"/>
      <c r="P7984" s="9"/>
      <c r="Q7984" s="5"/>
    </row>
    <row r="7985">
      <c r="J7985" s="5"/>
      <c r="P7985" s="9"/>
      <c r="Q7985" s="5"/>
    </row>
    <row r="7986">
      <c r="J7986" s="5"/>
      <c r="P7986" s="9"/>
      <c r="Q7986" s="5"/>
    </row>
    <row r="7987">
      <c r="J7987" s="5"/>
      <c r="P7987" s="9"/>
      <c r="Q7987" s="5"/>
    </row>
    <row r="7988">
      <c r="J7988" s="5"/>
      <c r="P7988" s="9"/>
      <c r="Q7988" s="5"/>
    </row>
    <row r="7989">
      <c r="J7989" s="5"/>
      <c r="P7989" s="9"/>
      <c r="Q7989" s="5"/>
    </row>
    <row r="7990">
      <c r="J7990" s="5"/>
      <c r="P7990" s="9"/>
      <c r="Q7990" s="5"/>
    </row>
    <row r="7991">
      <c r="J7991" s="5"/>
      <c r="P7991" s="9"/>
      <c r="Q7991" s="5"/>
    </row>
    <row r="7992">
      <c r="J7992" s="5"/>
      <c r="P7992" s="9"/>
      <c r="Q7992" s="5"/>
    </row>
    <row r="7993">
      <c r="J7993" s="5"/>
      <c r="P7993" s="9"/>
      <c r="Q7993" s="5"/>
    </row>
    <row r="7994">
      <c r="J7994" s="5"/>
      <c r="P7994" s="9"/>
      <c r="Q7994" s="5"/>
    </row>
    <row r="7995">
      <c r="J7995" s="5"/>
      <c r="P7995" s="9"/>
      <c r="Q7995" s="5"/>
    </row>
    <row r="7996">
      <c r="J7996" s="5"/>
      <c r="P7996" s="9"/>
      <c r="Q7996" s="5"/>
    </row>
    <row r="7997">
      <c r="J7997" s="5"/>
      <c r="P7997" s="9"/>
      <c r="Q7997" s="5"/>
    </row>
    <row r="7998">
      <c r="J7998" s="5"/>
      <c r="P7998" s="9"/>
      <c r="Q7998" s="5"/>
    </row>
    <row r="7999">
      <c r="J7999" s="5"/>
      <c r="P7999" s="9"/>
      <c r="Q7999" s="5"/>
    </row>
    <row r="8000">
      <c r="J8000" s="5"/>
      <c r="P8000" s="9"/>
      <c r="Q8000" s="5"/>
    </row>
    <row r="8001">
      <c r="J8001" s="5"/>
      <c r="P8001" s="9"/>
      <c r="Q8001" s="5"/>
    </row>
    <row r="8002">
      <c r="J8002" s="5"/>
      <c r="P8002" s="9"/>
      <c r="Q8002" s="5"/>
    </row>
    <row r="8003">
      <c r="J8003" s="5"/>
      <c r="P8003" s="9"/>
      <c r="Q8003" s="5"/>
    </row>
    <row r="8004">
      <c r="J8004" s="5"/>
      <c r="P8004" s="9"/>
      <c r="Q8004" s="5"/>
    </row>
    <row r="8005">
      <c r="J8005" s="5"/>
      <c r="P8005" s="9"/>
      <c r="Q8005" s="5"/>
    </row>
    <row r="8006">
      <c r="J8006" s="5"/>
      <c r="P8006" s="9"/>
      <c r="Q8006" s="5"/>
    </row>
    <row r="8007">
      <c r="J8007" s="5"/>
      <c r="P8007" s="9"/>
      <c r="Q8007" s="5"/>
    </row>
    <row r="8008">
      <c r="J8008" s="5"/>
      <c r="P8008" s="9"/>
      <c r="Q8008" s="5"/>
    </row>
    <row r="8009">
      <c r="J8009" s="5"/>
      <c r="P8009" s="9"/>
      <c r="Q8009" s="5"/>
    </row>
    <row r="8010">
      <c r="J8010" s="5"/>
      <c r="P8010" s="9"/>
      <c r="Q8010" s="5"/>
    </row>
    <row r="8011">
      <c r="J8011" s="5"/>
      <c r="P8011" s="9"/>
      <c r="Q8011" s="5"/>
    </row>
    <row r="8012">
      <c r="J8012" s="5"/>
      <c r="P8012" s="9"/>
      <c r="Q8012" s="5"/>
    </row>
    <row r="8013">
      <c r="J8013" s="5"/>
      <c r="P8013" s="9"/>
      <c r="Q8013" s="5"/>
    </row>
    <row r="8014">
      <c r="J8014" s="5"/>
      <c r="P8014" s="9"/>
      <c r="Q8014" s="5"/>
    </row>
    <row r="8015">
      <c r="J8015" s="5"/>
      <c r="P8015" s="9"/>
      <c r="Q8015" s="5"/>
    </row>
    <row r="8016">
      <c r="J8016" s="5"/>
      <c r="P8016" s="9"/>
      <c r="Q8016" s="5"/>
    </row>
    <row r="8017">
      <c r="J8017" s="5"/>
      <c r="P8017" s="9"/>
      <c r="Q8017" s="5"/>
    </row>
    <row r="8018">
      <c r="J8018" s="5"/>
      <c r="P8018" s="9"/>
      <c r="Q8018" s="5"/>
    </row>
    <row r="8019">
      <c r="J8019" s="5"/>
      <c r="P8019" s="9"/>
      <c r="Q8019" s="5"/>
    </row>
    <row r="8020">
      <c r="J8020" s="5"/>
      <c r="P8020" s="9"/>
      <c r="Q8020" s="5"/>
    </row>
    <row r="8021">
      <c r="J8021" s="5"/>
      <c r="P8021" s="9"/>
      <c r="Q8021" s="5"/>
    </row>
    <row r="8022">
      <c r="J8022" s="5"/>
      <c r="P8022" s="9"/>
      <c r="Q8022" s="5"/>
    </row>
    <row r="8023">
      <c r="J8023" s="5"/>
      <c r="P8023" s="9"/>
      <c r="Q8023" s="5"/>
    </row>
    <row r="8024">
      <c r="J8024" s="5"/>
      <c r="P8024" s="9"/>
      <c r="Q8024" s="5"/>
    </row>
    <row r="8025">
      <c r="J8025" s="5"/>
      <c r="P8025" s="9"/>
      <c r="Q8025" s="5"/>
    </row>
    <row r="8026">
      <c r="J8026" s="5"/>
      <c r="P8026" s="9"/>
      <c r="Q8026" s="5"/>
    </row>
    <row r="8027">
      <c r="J8027" s="5"/>
      <c r="P8027" s="9"/>
      <c r="Q8027" s="5"/>
    </row>
    <row r="8028">
      <c r="J8028" s="5"/>
      <c r="P8028" s="9"/>
      <c r="Q8028" s="5"/>
    </row>
    <row r="8029">
      <c r="J8029" s="5"/>
      <c r="P8029" s="9"/>
      <c r="Q8029" s="5"/>
    </row>
    <row r="8030">
      <c r="J8030" s="5"/>
      <c r="P8030" s="9"/>
      <c r="Q8030" s="5"/>
    </row>
    <row r="8031">
      <c r="J8031" s="5"/>
      <c r="P8031" s="9"/>
      <c r="Q8031" s="5"/>
    </row>
    <row r="8032">
      <c r="J8032" s="5"/>
      <c r="P8032" s="9"/>
      <c r="Q8032" s="5"/>
    </row>
    <row r="8033">
      <c r="J8033" s="5"/>
      <c r="P8033" s="9"/>
      <c r="Q8033" s="5"/>
    </row>
    <row r="8034">
      <c r="J8034" s="5"/>
      <c r="P8034" s="9"/>
      <c r="Q8034" s="5"/>
    </row>
    <row r="8035">
      <c r="J8035" s="5"/>
      <c r="P8035" s="9"/>
      <c r="Q8035" s="5"/>
    </row>
    <row r="8036">
      <c r="J8036" s="5"/>
      <c r="P8036" s="9"/>
      <c r="Q8036" s="5"/>
    </row>
    <row r="8037">
      <c r="J8037" s="5"/>
      <c r="P8037" s="9"/>
      <c r="Q8037" s="5"/>
    </row>
    <row r="8038">
      <c r="J8038" s="5"/>
      <c r="P8038" s="9"/>
      <c r="Q8038" s="5"/>
    </row>
    <row r="8039">
      <c r="J8039" s="5"/>
      <c r="P8039" s="9"/>
      <c r="Q8039" s="5"/>
    </row>
    <row r="8040">
      <c r="J8040" s="5"/>
      <c r="P8040" s="9"/>
      <c r="Q8040" s="5"/>
    </row>
    <row r="8041">
      <c r="J8041" s="5"/>
      <c r="P8041" s="9"/>
      <c r="Q8041" s="5"/>
    </row>
    <row r="8042">
      <c r="J8042" s="5"/>
      <c r="P8042" s="9"/>
      <c r="Q8042" s="5"/>
    </row>
    <row r="8043">
      <c r="J8043" s="5"/>
      <c r="P8043" s="9"/>
      <c r="Q8043" s="5"/>
    </row>
    <row r="8044">
      <c r="J8044" s="5"/>
      <c r="P8044" s="9"/>
      <c r="Q8044" s="5"/>
    </row>
    <row r="8045">
      <c r="J8045" s="5"/>
      <c r="P8045" s="9"/>
      <c r="Q8045" s="5"/>
    </row>
    <row r="8046">
      <c r="J8046" s="5"/>
      <c r="P8046" s="9"/>
      <c r="Q8046" s="5"/>
    </row>
    <row r="8047">
      <c r="J8047" s="5"/>
      <c r="P8047" s="9"/>
      <c r="Q8047" s="5"/>
    </row>
    <row r="8048">
      <c r="J8048" s="5"/>
      <c r="P8048" s="9"/>
      <c r="Q8048" s="5"/>
    </row>
    <row r="8049">
      <c r="J8049" s="5"/>
      <c r="P8049" s="9"/>
      <c r="Q8049" s="5"/>
    </row>
    <row r="8050">
      <c r="J8050" s="5"/>
      <c r="P8050" s="9"/>
      <c r="Q8050" s="5"/>
    </row>
    <row r="8051">
      <c r="J8051" s="5"/>
      <c r="P8051" s="9"/>
      <c r="Q8051" s="5"/>
    </row>
    <row r="8052">
      <c r="J8052" s="5"/>
      <c r="P8052" s="9"/>
      <c r="Q8052" s="5"/>
    </row>
    <row r="8053">
      <c r="J8053" s="5"/>
      <c r="P8053" s="9"/>
      <c r="Q8053" s="5"/>
    </row>
    <row r="8054">
      <c r="J8054" s="5"/>
      <c r="P8054" s="9"/>
      <c r="Q8054" s="5"/>
    </row>
    <row r="8055">
      <c r="J8055" s="5"/>
      <c r="P8055" s="9"/>
      <c r="Q8055" s="5"/>
    </row>
    <row r="8056">
      <c r="J8056" s="5"/>
      <c r="P8056" s="9"/>
      <c r="Q8056" s="5"/>
    </row>
    <row r="8057">
      <c r="J8057" s="5"/>
      <c r="P8057" s="9"/>
      <c r="Q8057" s="5"/>
    </row>
    <row r="8058">
      <c r="J8058" s="5"/>
      <c r="P8058" s="9"/>
      <c r="Q8058" s="5"/>
    </row>
    <row r="8059">
      <c r="J8059" s="5"/>
      <c r="P8059" s="9"/>
      <c r="Q8059" s="5"/>
    </row>
    <row r="8060">
      <c r="J8060" s="5"/>
      <c r="P8060" s="9"/>
      <c r="Q8060" s="5"/>
    </row>
    <row r="8061">
      <c r="J8061" s="5"/>
      <c r="P8061" s="9"/>
      <c r="Q8061" s="5"/>
    </row>
    <row r="8062">
      <c r="J8062" s="5"/>
      <c r="P8062" s="9"/>
      <c r="Q8062" s="5"/>
    </row>
    <row r="8063">
      <c r="J8063" s="5"/>
      <c r="P8063" s="9"/>
      <c r="Q8063" s="5"/>
    </row>
    <row r="8064">
      <c r="J8064" s="5"/>
      <c r="P8064" s="9"/>
      <c r="Q8064" s="5"/>
    </row>
    <row r="8065">
      <c r="J8065" s="5"/>
      <c r="P8065" s="9"/>
      <c r="Q8065" s="5"/>
    </row>
    <row r="8066">
      <c r="J8066" s="5"/>
      <c r="P8066" s="9"/>
      <c r="Q8066" s="5"/>
    </row>
    <row r="8067">
      <c r="J8067" s="5"/>
      <c r="P8067" s="9"/>
      <c r="Q8067" s="5"/>
    </row>
    <row r="8068">
      <c r="J8068" s="5"/>
      <c r="P8068" s="9"/>
      <c r="Q8068" s="5"/>
    </row>
    <row r="8069">
      <c r="J8069" s="5"/>
      <c r="P8069" s="9"/>
      <c r="Q8069" s="5"/>
    </row>
    <row r="8070">
      <c r="J8070" s="5"/>
      <c r="P8070" s="9"/>
      <c r="Q8070" s="5"/>
    </row>
    <row r="8071">
      <c r="J8071" s="5"/>
      <c r="P8071" s="9"/>
      <c r="Q8071" s="5"/>
    </row>
    <row r="8072">
      <c r="J8072" s="5"/>
      <c r="P8072" s="9"/>
      <c r="Q8072" s="5"/>
    </row>
    <row r="8073">
      <c r="J8073" s="5"/>
      <c r="P8073" s="9"/>
      <c r="Q8073" s="5"/>
    </row>
    <row r="8074">
      <c r="J8074" s="5"/>
      <c r="P8074" s="9"/>
      <c r="Q8074" s="5"/>
    </row>
    <row r="8075">
      <c r="J8075" s="5"/>
      <c r="P8075" s="9"/>
      <c r="Q8075" s="5"/>
    </row>
    <row r="8076">
      <c r="J8076" s="5"/>
      <c r="P8076" s="9"/>
      <c r="Q8076" s="5"/>
    </row>
    <row r="8077">
      <c r="J8077" s="5"/>
      <c r="P8077" s="9"/>
      <c r="Q8077" s="5"/>
    </row>
    <row r="8078">
      <c r="J8078" s="5"/>
      <c r="P8078" s="9"/>
      <c r="Q8078" s="5"/>
    </row>
    <row r="8079">
      <c r="J8079" s="5"/>
      <c r="P8079" s="9"/>
      <c r="Q8079" s="5"/>
    </row>
    <row r="8080">
      <c r="J8080" s="5"/>
      <c r="P8080" s="9"/>
      <c r="Q8080" s="5"/>
    </row>
    <row r="8081">
      <c r="J8081" s="5"/>
      <c r="P8081" s="9"/>
      <c r="Q8081" s="5"/>
    </row>
    <row r="8082">
      <c r="J8082" s="5"/>
      <c r="P8082" s="9"/>
      <c r="Q8082" s="5"/>
    </row>
    <row r="8083">
      <c r="J8083" s="5"/>
      <c r="P8083" s="9"/>
      <c r="Q8083" s="5"/>
    </row>
    <row r="8084">
      <c r="J8084" s="5"/>
      <c r="P8084" s="9"/>
      <c r="Q8084" s="5"/>
    </row>
    <row r="8085">
      <c r="J8085" s="5"/>
      <c r="P8085" s="9"/>
      <c r="Q8085" s="5"/>
    </row>
    <row r="8086">
      <c r="J8086" s="5"/>
      <c r="P8086" s="9"/>
      <c r="Q8086" s="5"/>
    </row>
    <row r="8087">
      <c r="J8087" s="5"/>
      <c r="P8087" s="9"/>
      <c r="Q8087" s="5"/>
    </row>
    <row r="8088">
      <c r="J8088" s="5"/>
      <c r="P8088" s="9"/>
      <c r="Q8088" s="5"/>
    </row>
    <row r="8089">
      <c r="J8089" s="5"/>
      <c r="P8089" s="9"/>
      <c r="Q8089" s="5"/>
    </row>
    <row r="8090">
      <c r="J8090" s="5"/>
      <c r="P8090" s="9"/>
      <c r="Q8090" s="5"/>
    </row>
    <row r="8091">
      <c r="J8091" s="5"/>
      <c r="P8091" s="9"/>
      <c r="Q8091" s="5"/>
    </row>
    <row r="8092">
      <c r="J8092" s="5"/>
      <c r="P8092" s="9"/>
      <c r="Q8092" s="5"/>
    </row>
    <row r="8093">
      <c r="J8093" s="5"/>
      <c r="P8093" s="9"/>
      <c r="Q8093" s="5"/>
    </row>
    <row r="8094">
      <c r="J8094" s="5"/>
      <c r="P8094" s="9"/>
      <c r="Q8094" s="5"/>
    </row>
    <row r="8095">
      <c r="J8095" s="5"/>
      <c r="P8095" s="9"/>
      <c r="Q8095" s="5"/>
    </row>
    <row r="8096">
      <c r="J8096" s="5"/>
      <c r="P8096" s="9"/>
      <c r="Q8096" s="5"/>
    </row>
    <row r="8097">
      <c r="J8097" s="5"/>
      <c r="P8097" s="9"/>
      <c r="Q8097" s="5"/>
    </row>
    <row r="8098">
      <c r="J8098" s="5"/>
      <c r="P8098" s="9"/>
      <c r="Q8098" s="5"/>
    </row>
    <row r="8099">
      <c r="J8099" s="5"/>
      <c r="P8099" s="9"/>
      <c r="Q8099" s="5"/>
    </row>
    <row r="8100">
      <c r="J8100" s="5"/>
      <c r="P8100" s="9"/>
      <c r="Q8100" s="5"/>
    </row>
    <row r="8101">
      <c r="J8101" s="5"/>
      <c r="P8101" s="9"/>
      <c r="Q8101" s="5"/>
    </row>
    <row r="8102">
      <c r="J8102" s="5"/>
      <c r="P8102" s="9"/>
      <c r="Q8102" s="5"/>
    </row>
    <row r="8103">
      <c r="J8103" s="5"/>
      <c r="P8103" s="9"/>
      <c r="Q8103" s="5"/>
    </row>
    <row r="8104">
      <c r="J8104" s="5"/>
      <c r="P8104" s="9"/>
      <c r="Q8104" s="5"/>
    </row>
    <row r="8105">
      <c r="J8105" s="5"/>
      <c r="P8105" s="9"/>
      <c r="Q8105" s="5"/>
    </row>
    <row r="8106">
      <c r="J8106" s="5"/>
      <c r="P8106" s="9"/>
      <c r="Q8106" s="5"/>
    </row>
    <row r="8107">
      <c r="J8107" s="5"/>
      <c r="P8107" s="9"/>
      <c r="Q8107" s="5"/>
    </row>
    <row r="8108">
      <c r="J8108" s="5"/>
      <c r="P8108" s="9"/>
      <c r="Q8108" s="5"/>
    </row>
    <row r="8109">
      <c r="J8109" s="5"/>
      <c r="P8109" s="9"/>
      <c r="Q8109" s="5"/>
    </row>
    <row r="8110">
      <c r="J8110" s="5"/>
      <c r="P8110" s="9"/>
      <c r="Q8110" s="5"/>
    </row>
    <row r="8111">
      <c r="J8111" s="5"/>
      <c r="P8111" s="9"/>
      <c r="Q8111" s="5"/>
    </row>
    <row r="8112">
      <c r="J8112" s="5"/>
      <c r="P8112" s="9"/>
      <c r="Q8112" s="5"/>
    </row>
    <row r="8113">
      <c r="J8113" s="5"/>
      <c r="P8113" s="9"/>
      <c r="Q8113" s="5"/>
    </row>
    <row r="8114">
      <c r="J8114" s="5"/>
      <c r="P8114" s="9"/>
      <c r="Q8114" s="5"/>
    </row>
    <row r="8115">
      <c r="J8115" s="5"/>
      <c r="P8115" s="9"/>
      <c r="Q8115" s="5"/>
    </row>
    <row r="8116">
      <c r="J8116" s="5"/>
      <c r="P8116" s="9"/>
      <c r="Q8116" s="5"/>
    </row>
    <row r="8117">
      <c r="J8117" s="5"/>
      <c r="P8117" s="9"/>
      <c r="Q8117" s="5"/>
    </row>
    <row r="8118">
      <c r="J8118" s="5"/>
      <c r="P8118" s="9"/>
      <c r="Q8118" s="5"/>
    </row>
    <row r="8119">
      <c r="J8119" s="5"/>
      <c r="P8119" s="9"/>
      <c r="Q8119" s="5"/>
    </row>
    <row r="8120">
      <c r="J8120" s="5"/>
      <c r="P8120" s="9"/>
      <c r="Q8120" s="5"/>
    </row>
    <row r="8121">
      <c r="J8121" s="5"/>
      <c r="P8121" s="9"/>
      <c r="Q8121" s="5"/>
    </row>
    <row r="8122">
      <c r="J8122" s="5"/>
      <c r="P8122" s="9"/>
      <c r="Q8122" s="5"/>
    </row>
    <row r="8123">
      <c r="J8123" s="5"/>
      <c r="P8123" s="9"/>
      <c r="Q8123" s="5"/>
    </row>
    <row r="8124">
      <c r="J8124" s="5"/>
      <c r="P8124" s="9"/>
      <c r="Q8124" s="5"/>
    </row>
    <row r="8125">
      <c r="J8125" s="5"/>
      <c r="P8125" s="9"/>
      <c r="Q8125" s="5"/>
    </row>
    <row r="8126">
      <c r="J8126" s="5"/>
      <c r="P8126" s="9"/>
      <c r="Q8126" s="5"/>
    </row>
    <row r="8127">
      <c r="J8127" s="5"/>
      <c r="P8127" s="9"/>
      <c r="Q8127" s="5"/>
    </row>
    <row r="8128">
      <c r="J8128" s="5"/>
      <c r="P8128" s="9"/>
      <c r="Q8128" s="5"/>
    </row>
    <row r="8129">
      <c r="J8129" s="5"/>
      <c r="P8129" s="9"/>
      <c r="Q8129" s="5"/>
    </row>
    <row r="8130">
      <c r="J8130" s="5"/>
      <c r="P8130" s="9"/>
      <c r="Q8130" s="5"/>
    </row>
    <row r="8131">
      <c r="J8131" s="5"/>
      <c r="P8131" s="9"/>
      <c r="Q8131" s="5"/>
    </row>
    <row r="8132">
      <c r="J8132" s="5"/>
      <c r="P8132" s="9"/>
      <c r="Q8132" s="5"/>
    </row>
    <row r="8133">
      <c r="J8133" s="5"/>
      <c r="P8133" s="9"/>
      <c r="Q8133" s="5"/>
    </row>
    <row r="8134">
      <c r="J8134" s="5"/>
      <c r="P8134" s="9"/>
      <c r="Q8134" s="5"/>
    </row>
    <row r="8135">
      <c r="J8135" s="5"/>
      <c r="P8135" s="9"/>
      <c r="Q8135" s="5"/>
    </row>
    <row r="8136">
      <c r="J8136" s="5"/>
      <c r="P8136" s="9"/>
      <c r="Q8136" s="5"/>
    </row>
    <row r="8137">
      <c r="J8137" s="5"/>
      <c r="P8137" s="9"/>
      <c r="Q8137" s="5"/>
    </row>
    <row r="8138">
      <c r="J8138" s="5"/>
      <c r="P8138" s="9"/>
      <c r="Q8138" s="5"/>
    </row>
    <row r="8139">
      <c r="J8139" s="5"/>
      <c r="P8139" s="9"/>
      <c r="Q8139" s="5"/>
    </row>
    <row r="8140">
      <c r="J8140" s="5"/>
      <c r="P8140" s="9"/>
      <c r="Q8140" s="5"/>
    </row>
    <row r="8141">
      <c r="J8141" s="5"/>
      <c r="P8141" s="9"/>
      <c r="Q8141" s="5"/>
    </row>
    <row r="8142">
      <c r="J8142" s="5"/>
      <c r="P8142" s="9"/>
      <c r="Q8142" s="5"/>
    </row>
    <row r="8143">
      <c r="J8143" s="5"/>
      <c r="P8143" s="9"/>
      <c r="Q8143" s="5"/>
    </row>
    <row r="8144">
      <c r="J8144" s="5"/>
      <c r="P8144" s="9"/>
      <c r="Q8144" s="5"/>
    </row>
    <row r="8145">
      <c r="J8145" s="5"/>
      <c r="P8145" s="9"/>
      <c r="Q8145" s="5"/>
    </row>
    <row r="8146">
      <c r="J8146" s="5"/>
      <c r="P8146" s="9"/>
      <c r="Q8146" s="5"/>
    </row>
    <row r="8147">
      <c r="J8147" s="5"/>
      <c r="P8147" s="9"/>
      <c r="Q8147" s="5"/>
    </row>
    <row r="8148">
      <c r="J8148" s="5"/>
      <c r="P8148" s="9"/>
      <c r="Q8148" s="5"/>
    </row>
    <row r="8149">
      <c r="J8149" s="5"/>
      <c r="P8149" s="9"/>
      <c r="Q8149" s="5"/>
    </row>
    <row r="8150">
      <c r="J8150" s="5"/>
      <c r="P8150" s="9"/>
      <c r="Q8150" s="5"/>
    </row>
    <row r="8151">
      <c r="J8151" s="5"/>
      <c r="P8151" s="9"/>
      <c r="Q8151" s="5"/>
    </row>
    <row r="8152">
      <c r="J8152" s="5"/>
      <c r="P8152" s="9"/>
      <c r="Q8152" s="5"/>
    </row>
    <row r="8153">
      <c r="J8153" s="5"/>
      <c r="P8153" s="9"/>
      <c r="Q8153" s="5"/>
    </row>
    <row r="8154">
      <c r="J8154" s="5"/>
      <c r="P8154" s="9"/>
      <c r="Q8154" s="5"/>
    </row>
    <row r="8155">
      <c r="J8155" s="5"/>
      <c r="P8155" s="9"/>
      <c r="Q8155" s="5"/>
    </row>
    <row r="8156">
      <c r="J8156" s="5"/>
      <c r="P8156" s="9"/>
      <c r="Q8156" s="5"/>
    </row>
    <row r="8157">
      <c r="J8157" s="5"/>
      <c r="P8157" s="9"/>
      <c r="Q8157" s="5"/>
    </row>
    <row r="8158">
      <c r="J8158" s="5"/>
      <c r="P8158" s="9"/>
      <c r="Q8158" s="5"/>
    </row>
    <row r="8159">
      <c r="J8159" s="5"/>
      <c r="P8159" s="9"/>
      <c r="Q8159" s="5"/>
    </row>
    <row r="8160">
      <c r="J8160" s="5"/>
      <c r="P8160" s="9"/>
      <c r="Q8160" s="5"/>
    </row>
    <row r="8161">
      <c r="J8161" s="5"/>
      <c r="P8161" s="9"/>
      <c r="Q8161" s="5"/>
    </row>
    <row r="8162">
      <c r="J8162" s="5"/>
      <c r="P8162" s="9"/>
      <c r="Q8162" s="5"/>
    </row>
    <row r="8163">
      <c r="J8163" s="5"/>
      <c r="P8163" s="9"/>
      <c r="Q8163" s="5"/>
    </row>
    <row r="8164">
      <c r="J8164" s="5"/>
      <c r="P8164" s="9"/>
      <c r="Q8164" s="5"/>
    </row>
    <row r="8165">
      <c r="J8165" s="5"/>
      <c r="P8165" s="9"/>
      <c r="Q8165" s="5"/>
    </row>
    <row r="8166">
      <c r="J8166" s="5"/>
      <c r="P8166" s="9"/>
      <c r="Q8166" s="5"/>
    </row>
    <row r="8167">
      <c r="J8167" s="5"/>
      <c r="P8167" s="9"/>
      <c r="Q8167" s="5"/>
    </row>
    <row r="8168">
      <c r="J8168" s="5"/>
      <c r="P8168" s="9"/>
      <c r="Q8168" s="5"/>
    </row>
    <row r="8169">
      <c r="J8169" s="5"/>
      <c r="P8169" s="9"/>
      <c r="Q8169" s="5"/>
    </row>
    <row r="8170">
      <c r="J8170" s="5"/>
      <c r="P8170" s="9"/>
      <c r="Q8170" s="5"/>
    </row>
    <row r="8171">
      <c r="J8171" s="5"/>
      <c r="P8171" s="9"/>
      <c r="Q8171" s="5"/>
    </row>
    <row r="8172">
      <c r="J8172" s="5"/>
      <c r="P8172" s="9"/>
      <c r="Q8172" s="5"/>
    </row>
    <row r="8173">
      <c r="J8173" s="5"/>
      <c r="P8173" s="9"/>
      <c r="Q8173" s="5"/>
    </row>
    <row r="8174">
      <c r="J8174" s="5"/>
      <c r="P8174" s="9"/>
      <c r="Q8174" s="5"/>
    </row>
    <row r="8175">
      <c r="J8175" s="5"/>
      <c r="P8175" s="9"/>
      <c r="Q8175" s="5"/>
    </row>
    <row r="8176">
      <c r="J8176" s="5"/>
      <c r="P8176" s="9"/>
      <c r="Q8176" s="5"/>
    </row>
    <row r="8177">
      <c r="J8177" s="5"/>
      <c r="P8177" s="9"/>
      <c r="Q8177" s="5"/>
    </row>
    <row r="8178">
      <c r="J8178" s="5"/>
      <c r="P8178" s="9"/>
      <c r="Q8178" s="5"/>
    </row>
    <row r="8179">
      <c r="J8179" s="5"/>
      <c r="P8179" s="9"/>
      <c r="Q8179" s="5"/>
    </row>
    <row r="8180">
      <c r="J8180" s="5"/>
      <c r="P8180" s="9"/>
      <c r="Q8180" s="5"/>
    </row>
    <row r="8181">
      <c r="J8181" s="5"/>
      <c r="P8181" s="9"/>
      <c r="Q8181" s="5"/>
    </row>
    <row r="8182">
      <c r="J8182" s="5"/>
      <c r="P8182" s="9"/>
      <c r="Q8182" s="5"/>
    </row>
    <row r="8183">
      <c r="J8183" s="5"/>
      <c r="P8183" s="9"/>
      <c r="Q8183" s="5"/>
    </row>
    <row r="8184">
      <c r="J8184" s="5"/>
      <c r="P8184" s="9"/>
      <c r="Q8184" s="5"/>
    </row>
    <row r="8185">
      <c r="J8185" s="5"/>
      <c r="P8185" s="9"/>
      <c r="Q8185" s="5"/>
    </row>
    <row r="8186">
      <c r="J8186" s="5"/>
      <c r="P8186" s="9"/>
      <c r="Q8186" s="5"/>
    </row>
    <row r="8187">
      <c r="J8187" s="5"/>
      <c r="P8187" s="9"/>
      <c r="Q8187" s="5"/>
    </row>
    <row r="8188">
      <c r="J8188" s="5"/>
      <c r="P8188" s="9"/>
      <c r="Q8188" s="5"/>
    </row>
    <row r="8189">
      <c r="J8189" s="5"/>
      <c r="P8189" s="9"/>
      <c r="Q8189" s="5"/>
    </row>
    <row r="8190">
      <c r="J8190" s="5"/>
      <c r="P8190" s="9"/>
      <c r="Q8190" s="5"/>
    </row>
    <row r="8191">
      <c r="J8191" s="5"/>
      <c r="P8191" s="9"/>
      <c r="Q8191" s="5"/>
    </row>
    <row r="8192">
      <c r="J8192" s="5"/>
      <c r="P8192" s="9"/>
      <c r="Q8192" s="5"/>
    </row>
    <row r="8193">
      <c r="J8193" s="5"/>
      <c r="P8193" s="9"/>
      <c r="Q8193" s="5"/>
    </row>
    <row r="8194">
      <c r="J8194" s="5"/>
      <c r="P8194" s="9"/>
      <c r="Q8194" s="5"/>
    </row>
    <row r="8195">
      <c r="J8195" s="5"/>
      <c r="P8195" s="9"/>
      <c r="Q8195" s="5"/>
    </row>
    <row r="8196">
      <c r="J8196" s="5"/>
      <c r="P8196" s="9"/>
      <c r="Q8196" s="5"/>
    </row>
    <row r="8197">
      <c r="J8197" s="5"/>
      <c r="P8197" s="9"/>
      <c r="Q8197" s="5"/>
    </row>
    <row r="8198">
      <c r="J8198" s="5"/>
      <c r="P8198" s="9"/>
      <c r="Q8198" s="5"/>
    </row>
    <row r="8199">
      <c r="J8199" s="5"/>
      <c r="P8199" s="9"/>
      <c r="Q8199" s="5"/>
    </row>
    <row r="8200">
      <c r="J8200" s="5"/>
      <c r="P8200" s="9"/>
      <c r="Q8200" s="5"/>
    </row>
    <row r="8201">
      <c r="J8201" s="5"/>
      <c r="P8201" s="9"/>
      <c r="Q8201" s="5"/>
    </row>
    <row r="8202">
      <c r="J8202" s="5"/>
      <c r="P8202" s="9"/>
      <c r="Q8202" s="5"/>
    </row>
    <row r="8203">
      <c r="J8203" s="5"/>
      <c r="P8203" s="9"/>
      <c r="Q8203" s="5"/>
    </row>
    <row r="8204">
      <c r="J8204" s="5"/>
      <c r="P8204" s="9"/>
      <c r="Q8204" s="5"/>
    </row>
    <row r="8205">
      <c r="J8205" s="5"/>
      <c r="P8205" s="9"/>
      <c r="Q8205" s="5"/>
    </row>
    <row r="8206">
      <c r="J8206" s="5"/>
      <c r="P8206" s="9"/>
      <c r="Q8206" s="5"/>
    </row>
    <row r="8207">
      <c r="J8207" s="5"/>
      <c r="P8207" s="9"/>
      <c r="Q8207" s="5"/>
    </row>
    <row r="8208">
      <c r="J8208" s="5"/>
      <c r="P8208" s="9"/>
      <c r="Q8208" s="5"/>
    </row>
    <row r="8209">
      <c r="J8209" s="5"/>
      <c r="P8209" s="9"/>
      <c r="Q8209" s="5"/>
    </row>
    <row r="8210">
      <c r="J8210" s="5"/>
      <c r="P8210" s="9"/>
      <c r="Q8210" s="5"/>
    </row>
    <row r="8211">
      <c r="J8211" s="5"/>
      <c r="P8211" s="9"/>
      <c r="Q8211" s="5"/>
    </row>
    <row r="8212">
      <c r="J8212" s="5"/>
      <c r="P8212" s="9"/>
      <c r="Q8212" s="5"/>
    </row>
    <row r="8213">
      <c r="J8213" s="5"/>
      <c r="P8213" s="9"/>
      <c r="Q8213" s="5"/>
    </row>
    <row r="8214">
      <c r="J8214" s="5"/>
      <c r="P8214" s="9"/>
      <c r="Q8214" s="5"/>
    </row>
    <row r="8215">
      <c r="J8215" s="5"/>
      <c r="P8215" s="9"/>
      <c r="Q8215" s="5"/>
    </row>
    <row r="8216">
      <c r="J8216" s="5"/>
      <c r="P8216" s="9"/>
      <c r="Q8216" s="5"/>
    </row>
    <row r="8217">
      <c r="J8217" s="5"/>
      <c r="P8217" s="9"/>
      <c r="Q8217" s="5"/>
    </row>
    <row r="8218">
      <c r="J8218" s="5"/>
      <c r="P8218" s="9"/>
      <c r="Q8218" s="5"/>
    </row>
    <row r="8219">
      <c r="J8219" s="5"/>
      <c r="P8219" s="9"/>
      <c r="Q8219" s="5"/>
    </row>
    <row r="8220">
      <c r="J8220" s="5"/>
      <c r="P8220" s="9"/>
      <c r="Q8220" s="5"/>
    </row>
    <row r="8221">
      <c r="J8221" s="5"/>
      <c r="P8221" s="9"/>
      <c r="Q8221" s="5"/>
    </row>
    <row r="8222">
      <c r="J8222" s="5"/>
      <c r="P8222" s="9"/>
      <c r="Q8222" s="5"/>
    </row>
    <row r="8223">
      <c r="J8223" s="5"/>
      <c r="P8223" s="9"/>
      <c r="Q8223" s="5"/>
    </row>
    <row r="8224">
      <c r="J8224" s="5"/>
      <c r="P8224" s="9"/>
      <c r="Q8224" s="5"/>
    </row>
    <row r="8225">
      <c r="J8225" s="5"/>
      <c r="P8225" s="9"/>
      <c r="Q8225" s="5"/>
    </row>
    <row r="8226">
      <c r="J8226" s="5"/>
      <c r="P8226" s="9"/>
      <c r="Q8226" s="5"/>
    </row>
    <row r="8227">
      <c r="J8227" s="5"/>
      <c r="P8227" s="9"/>
      <c r="Q8227" s="5"/>
    </row>
    <row r="8228">
      <c r="J8228" s="5"/>
      <c r="P8228" s="9"/>
      <c r="Q8228" s="5"/>
    </row>
    <row r="8229">
      <c r="J8229" s="5"/>
      <c r="P8229" s="9"/>
      <c r="Q8229" s="5"/>
    </row>
    <row r="8230">
      <c r="J8230" s="5"/>
      <c r="P8230" s="9"/>
      <c r="Q8230" s="5"/>
    </row>
    <row r="8231">
      <c r="J8231" s="5"/>
      <c r="P8231" s="9"/>
      <c r="Q8231" s="5"/>
    </row>
    <row r="8232">
      <c r="J8232" s="5"/>
      <c r="P8232" s="9"/>
      <c r="Q8232" s="5"/>
    </row>
    <row r="8233">
      <c r="J8233" s="5"/>
      <c r="P8233" s="9"/>
      <c r="Q8233" s="5"/>
    </row>
    <row r="8234">
      <c r="J8234" s="5"/>
      <c r="P8234" s="9"/>
      <c r="Q8234" s="5"/>
    </row>
    <row r="8235">
      <c r="J8235" s="5"/>
      <c r="P8235" s="9"/>
      <c r="Q8235" s="5"/>
    </row>
    <row r="8236">
      <c r="J8236" s="5"/>
      <c r="P8236" s="9"/>
      <c r="Q8236" s="5"/>
    </row>
    <row r="8237">
      <c r="J8237" s="5"/>
      <c r="P8237" s="9"/>
      <c r="Q8237" s="5"/>
    </row>
    <row r="8238">
      <c r="J8238" s="5"/>
      <c r="P8238" s="9"/>
      <c r="Q8238" s="5"/>
    </row>
    <row r="8239">
      <c r="J8239" s="5"/>
      <c r="P8239" s="9"/>
      <c r="Q8239" s="5"/>
    </row>
    <row r="8240">
      <c r="J8240" s="5"/>
      <c r="P8240" s="9"/>
      <c r="Q8240" s="5"/>
    </row>
    <row r="8241">
      <c r="J8241" s="5"/>
      <c r="P8241" s="9"/>
      <c r="Q8241" s="5"/>
    </row>
    <row r="8242">
      <c r="J8242" s="5"/>
      <c r="P8242" s="9"/>
      <c r="Q8242" s="5"/>
    </row>
    <row r="8243">
      <c r="J8243" s="5"/>
      <c r="P8243" s="9"/>
      <c r="Q8243" s="5"/>
    </row>
    <row r="8244">
      <c r="J8244" s="5"/>
      <c r="P8244" s="9"/>
      <c r="Q8244" s="5"/>
    </row>
    <row r="8245">
      <c r="J8245" s="5"/>
      <c r="P8245" s="9"/>
      <c r="Q8245" s="5"/>
    </row>
    <row r="8246">
      <c r="J8246" s="5"/>
      <c r="P8246" s="9"/>
      <c r="Q8246" s="5"/>
    </row>
    <row r="8247">
      <c r="J8247" s="5"/>
      <c r="P8247" s="9"/>
      <c r="Q8247" s="5"/>
    </row>
    <row r="8248">
      <c r="J8248" s="5"/>
      <c r="P8248" s="9"/>
      <c r="Q8248" s="5"/>
    </row>
    <row r="8249">
      <c r="J8249" s="5"/>
      <c r="P8249" s="9"/>
      <c r="Q8249" s="5"/>
    </row>
    <row r="8250">
      <c r="J8250" s="5"/>
      <c r="P8250" s="9"/>
      <c r="Q8250" s="5"/>
    </row>
    <row r="8251">
      <c r="J8251" s="5"/>
      <c r="P8251" s="9"/>
      <c r="Q8251" s="5"/>
    </row>
    <row r="8252">
      <c r="J8252" s="5"/>
      <c r="P8252" s="9"/>
      <c r="Q8252" s="5"/>
    </row>
    <row r="8253">
      <c r="J8253" s="5"/>
      <c r="P8253" s="9"/>
      <c r="Q8253" s="5"/>
    </row>
    <row r="8254">
      <c r="J8254" s="5"/>
      <c r="P8254" s="9"/>
      <c r="Q8254" s="5"/>
    </row>
    <row r="8255">
      <c r="J8255" s="5"/>
      <c r="P8255" s="9"/>
      <c r="Q8255" s="5"/>
    </row>
    <row r="8256">
      <c r="J8256" s="5"/>
      <c r="P8256" s="9"/>
      <c r="Q8256" s="5"/>
    </row>
    <row r="8257">
      <c r="J8257" s="5"/>
      <c r="P8257" s="9"/>
      <c r="Q8257" s="5"/>
    </row>
    <row r="8258">
      <c r="J8258" s="5"/>
      <c r="P8258" s="9"/>
      <c r="Q8258" s="5"/>
    </row>
    <row r="8259">
      <c r="J8259" s="5"/>
      <c r="P8259" s="9"/>
      <c r="Q8259" s="5"/>
    </row>
    <row r="8260">
      <c r="J8260" s="5"/>
      <c r="P8260" s="9"/>
      <c r="Q8260" s="5"/>
    </row>
    <row r="8261">
      <c r="J8261" s="5"/>
      <c r="P8261" s="9"/>
      <c r="Q8261" s="5"/>
    </row>
    <row r="8262">
      <c r="J8262" s="5"/>
      <c r="P8262" s="9"/>
      <c r="Q8262" s="5"/>
    </row>
    <row r="8263">
      <c r="J8263" s="5"/>
      <c r="P8263" s="9"/>
      <c r="Q8263" s="5"/>
    </row>
    <row r="8264">
      <c r="J8264" s="5"/>
      <c r="P8264" s="9"/>
      <c r="Q8264" s="5"/>
    </row>
    <row r="8265">
      <c r="J8265" s="5"/>
      <c r="P8265" s="9"/>
      <c r="Q8265" s="5"/>
    </row>
    <row r="8266">
      <c r="J8266" s="5"/>
      <c r="P8266" s="9"/>
      <c r="Q8266" s="5"/>
    </row>
    <row r="8267">
      <c r="J8267" s="5"/>
      <c r="P8267" s="9"/>
      <c r="Q8267" s="5"/>
    </row>
    <row r="8268">
      <c r="J8268" s="5"/>
      <c r="P8268" s="9"/>
      <c r="Q8268" s="5"/>
    </row>
    <row r="8269">
      <c r="J8269" s="5"/>
      <c r="P8269" s="9"/>
      <c r="Q8269" s="5"/>
    </row>
    <row r="8270">
      <c r="J8270" s="5"/>
      <c r="P8270" s="9"/>
      <c r="Q8270" s="5"/>
    </row>
    <row r="8271">
      <c r="J8271" s="5"/>
      <c r="P8271" s="9"/>
      <c r="Q8271" s="5"/>
    </row>
    <row r="8272">
      <c r="J8272" s="5"/>
      <c r="P8272" s="9"/>
      <c r="Q8272" s="5"/>
    </row>
    <row r="8273">
      <c r="J8273" s="5"/>
      <c r="P8273" s="9"/>
      <c r="Q8273" s="5"/>
    </row>
    <row r="8274">
      <c r="J8274" s="5"/>
      <c r="P8274" s="9"/>
      <c r="Q8274" s="5"/>
    </row>
    <row r="8275">
      <c r="J8275" s="5"/>
      <c r="P8275" s="9"/>
      <c r="Q8275" s="5"/>
    </row>
    <row r="8276">
      <c r="J8276" s="5"/>
      <c r="P8276" s="9"/>
      <c r="Q8276" s="5"/>
    </row>
    <row r="8277">
      <c r="J8277" s="5"/>
      <c r="P8277" s="9"/>
      <c r="Q8277" s="5"/>
    </row>
    <row r="8278">
      <c r="J8278" s="5"/>
      <c r="P8278" s="9"/>
      <c r="Q8278" s="5"/>
    </row>
    <row r="8279">
      <c r="J8279" s="5"/>
      <c r="P8279" s="9"/>
      <c r="Q8279" s="5"/>
    </row>
    <row r="8280">
      <c r="J8280" s="5"/>
      <c r="P8280" s="9"/>
      <c r="Q8280" s="5"/>
    </row>
    <row r="8281">
      <c r="J8281" s="5"/>
      <c r="P8281" s="9"/>
      <c r="Q8281" s="5"/>
    </row>
    <row r="8282">
      <c r="J8282" s="5"/>
      <c r="P8282" s="9"/>
      <c r="Q8282" s="5"/>
    </row>
    <row r="8283">
      <c r="J8283" s="5"/>
      <c r="P8283" s="9"/>
      <c r="Q8283" s="5"/>
    </row>
    <row r="8284">
      <c r="J8284" s="5"/>
      <c r="P8284" s="9"/>
      <c r="Q8284" s="5"/>
    </row>
    <row r="8285">
      <c r="J8285" s="5"/>
      <c r="P8285" s="9"/>
      <c r="Q8285" s="5"/>
    </row>
    <row r="8286">
      <c r="J8286" s="5"/>
      <c r="P8286" s="9"/>
      <c r="Q8286" s="5"/>
    </row>
    <row r="8287">
      <c r="J8287" s="5"/>
      <c r="P8287" s="9"/>
      <c r="Q8287" s="5"/>
    </row>
    <row r="8288">
      <c r="J8288" s="5"/>
      <c r="P8288" s="9"/>
      <c r="Q8288" s="5"/>
    </row>
    <row r="8289">
      <c r="J8289" s="5"/>
      <c r="P8289" s="9"/>
      <c r="Q8289" s="5"/>
    </row>
    <row r="8290">
      <c r="J8290" s="5"/>
      <c r="P8290" s="9"/>
      <c r="Q8290" s="5"/>
    </row>
    <row r="8291">
      <c r="J8291" s="5"/>
      <c r="P8291" s="9"/>
      <c r="Q8291" s="5"/>
    </row>
    <row r="8292">
      <c r="J8292" s="5"/>
      <c r="P8292" s="9"/>
      <c r="Q8292" s="5"/>
    </row>
    <row r="8293">
      <c r="J8293" s="5"/>
      <c r="P8293" s="9"/>
      <c r="Q8293" s="5"/>
    </row>
    <row r="8294">
      <c r="J8294" s="5"/>
      <c r="P8294" s="9"/>
      <c r="Q8294" s="5"/>
    </row>
    <row r="8295">
      <c r="J8295" s="5"/>
      <c r="P8295" s="9"/>
      <c r="Q8295" s="5"/>
    </row>
    <row r="8296">
      <c r="J8296" s="5"/>
      <c r="P8296" s="9"/>
      <c r="Q8296" s="5"/>
    </row>
    <row r="8297">
      <c r="J8297" s="5"/>
      <c r="P8297" s="9"/>
      <c r="Q8297" s="5"/>
    </row>
    <row r="8298">
      <c r="J8298" s="5"/>
      <c r="P8298" s="9"/>
      <c r="Q8298" s="5"/>
    </row>
    <row r="8299">
      <c r="J8299" s="5"/>
      <c r="P8299" s="9"/>
      <c r="Q8299" s="5"/>
    </row>
    <row r="8300">
      <c r="J8300" s="5"/>
      <c r="P8300" s="9"/>
      <c r="Q8300" s="5"/>
    </row>
    <row r="8301">
      <c r="J8301" s="5"/>
      <c r="P8301" s="9"/>
      <c r="Q8301" s="5"/>
    </row>
    <row r="8302">
      <c r="J8302" s="5"/>
      <c r="P8302" s="9"/>
      <c r="Q8302" s="5"/>
    </row>
    <row r="8303">
      <c r="J8303" s="5"/>
      <c r="P8303" s="9"/>
      <c r="Q8303" s="5"/>
    </row>
    <row r="8304">
      <c r="J8304" s="5"/>
      <c r="P8304" s="9"/>
      <c r="Q8304" s="5"/>
    </row>
    <row r="8305">
      <c r="J8305" s="5"/>
      <c r="P8305" s="9"/>
      <c r="Q8305" s="5"/>
    </row>
    <row r="8306">
      <c r="J8306" s="5"/>
      <c r="P8306" s="9"/>
      <c r="Q8306" s="5"/>
    </row>
    <row r="8307">
      <c r="J8307" s="5"/>
      <c r="P8307" s="9"/>
      <c r="Q8307" s="5"/>
    </row>
    <row r="8308">
      <c r="J8308" s="5"/>
      <c r="P8308" s="9"/>
      <c r="Q8308" s="5"/>
    </row>
    <row r="8309">
      <c r="J8309" s="5"/>
      <c r="P8309" s="9"/>
      <c r="Q8309" s="5"/>
    </row>
    <row r="8310">
      <c r="J8310" s="5"/>
      <c r="P8310" s="9"/>
      <c r="Q8310" s="5"/>
    </row>
    <row r="8311">
      <c r="J8311" s="5"/>
      <c r="P8311" s="9"/>
      <c r="Q8311" s="5"/>
    </row>
    <row r="8312">
      <c r="J8312" s="5"/>
      <c r="P8312" s="9"/>
      <c r="Q8312" s="5"/>
    </row>
    <row r="8313">
      <c r="J8313" s="5"/>
      <c r="P8313" s="9"/>
      <c r="Q8313" s="5"/>
    </row>
    <row r="8314">
      <c r="J8314" s="5"/>
      <c r="P8314" s="9"/>
      <c r="Q8314" s="5"/>
    </row>
    <row r="8315">
      <c r="J8315" s="5"/>
      <c r="P8315" s="9"/>
      <c r="Q8315" s="5"/>
    </row>
    <row r="8316">
      <c r="J8316" s="5"/>
      <c r="P8316" s="9"/>
      <c r="Q8316" s="5"/>
    </row>
    <row r="8317">
      <c r="J8317" s="5"/>
      <c r="P8317" s="9"/>
      <c r="Q8317" s="5"/>
    </row>
    <row r="8318">
      <c r="J8318" s="5"/>
      <c r="P8318" s="9"/>
      <c r="Q8318" s="5"/>
    </row>
    <row r="8319">
      <c r="J8319" s="5"/>
      <c r="P8319" s="9"/>
      <c r="Q8319" s="5"/>
    </row>
    <row r="8320">
      <c r="J8320" s="5"/>
      <c r="P8320" s="9"/>
      <c r="Q8320" s="5"/>
    </row>
    <row r="8321">
      <c r="J8321" s="5"/>
      <c r="P8321" s="9"/>
      <c r="Q8321" s="5"/>
    </row>
    <row r="8322">
      <c r="J8322" s="5"/>
      <c r="P8322" s="9"/>
      <c r="Q8322" s="5"/>
    </row>
    <row r="8323">
      <c r="J8323" s="5"/>
      <c r="P8323" s="9"/>
      <c r="Q8323" s="5"/>
    </row>
    <row r="8324">
      <c r="J8324" s="5"/>
      <c r="P8324" s="9"/>
      <c r="Q8324" s="5"/>
    </row>
    <row r="8325">
      <c r="J8325" s="5"/>
      <c r="P8325" s="9"/>
      <c r="Q8325" s="5"/>
    </row>
    <row r="8326">
      <c r="J8326" s="5"/>
      <c r="P8326" s="9"/>
      <c r="Q8326" s="5"/>
    </row>
    <row r="8327">
      <c r="J8327" s="5"/>
      <c r="P8327" s="9"/>
      <c r="Q8327" s="5"/>
    </row>
    <row r="8328">
      <c r="J8328" s="5"/>
      <c r="P8328" s="9"/>
      <c r="Q8328" s="5"/>
    </row>
    <row r="8329">
      <c r="J8329" s="5"/>
      <c r="P8329" s="9"/>
      <c r="Q8329" s="5"/>
    </row>
    <row r="8330">
      <c r="J8330" s="5"/>
      <c r="P8330" s="9"/>
      <c r="Q8330" s="5"/>
    </row>
    <row r="8331">
      <c r="J8331" s="5"/>
      <c r="P8331" s="9"/>
      <c r="Q8331" s="5"/>
    </row>
    <row r="8332">
      <c r="J8332" s="5"/>
      <c r="P8332" s="9"/>
      <c r="Q8332" s="5"/>
    </row>
    <row r="8333">
      <c r="J8333" s="5"/>
      <c r="P8333" s="9"/>
      <c r="Q8333" s="5"/>
    </row>
    <row r="8334">
      <c r="J8334" s="5"/>
      <c r="P8334" s="9"/>
      <c r="Q8334" s="5"/>
    </row>
    <row r="8335">
      <c r="J8335" s="5"/>
      <c r="P8335" s="9"/>
      <c r="Q8335" s="5"/>
    </row>
    <row r="8336">
      <c r="J8336" s="5"/>
      <c r="P8336" s="9"/>
      <c r="Q8336" s="5"/>
    </row>
    <row r="8337">
      <c r="J8337" s="5"/>
      <c r="P8337" s="9"/>
      <c r="Q8337" s="5"/>
    </row>
    <row r="8338">
      <c r="J8338" s="5"/>
      <c r="P8338" s="9"/>
      <c r="Q8338" s="5"/>
    </row>
    <row r="8339">
      <c r="J8339" s="5"/>
      <c r="P8339" s="9"/>
      <c r="Q8339" s="5"/>
    </row>
    <row r="8340">
      <c r="J8340" s="5"/>
      <c r="P8340" s="9"/>
      <c r="Q8340" s="5"/>
    </row>
    <row r="8341">
      <c r="J8341" s="5"/>
      <c r="P8341" s="9"/>
      <c r="Q8341" s="5"/>
    </row>
    <row r="8342">
      <c r="J8342" s="5"/>
      <c r="P8342" s="9"/>
      <c r="Q8342" s="5"/>
    </row>
    <row r="8343">
      <c r="J8343" s="5"/>
      <c r="P8343" s="9"/>
      <c r="Q8343" s="5"/>
    </row>
    <row r="8344">
      <c r="J8344" s="5"/>
      <c r="P8344" s="9"/>
      <c r="Q8344" s="5"/>
    </row>
    <row r="8345">
      <c r="J8345" s="5"/>
      <c r="P8345" s="9"/>
      <c r="Q8345" s="5"/>
    </row>
    <row r="8346">
      <c r="J8346" s="5"/>
      <c r="P8346" s="9"/>
      <c r="Q8346" s="5"/>
    </row>
    <row r="8347">
      <c r="J8347" s="5"/>
      <c r="P8347" s="9"/>
      <c r="Q8347" s="5"/>
    </row>
    <row r="8348">
      <c r="J8348" s="5"/>
      <c r="P8348" s="9"/>
      <c r="Q8348" s="5"/>
    </row>
    <row r="8349">
      <c r="J8349" s="5"/>
      <c r="P8349" s="9"/>
      <c r="Q8349" s="5"/>
    </row>
    <row r="8350">
      <c r="J8350" s="5"/>
      <c r="P8350" s="9"/>
      <c r="Q8350" s="5"/>
    </row>
    <row r="8351">
      <c r="J8351" s="5"/>
      <c r="P8351" s="9"/>
      <c r="Q8351" s="5"/>
    </row>
    <row r="8352">
      <c r="J8352" s="5"/>
      <c r="P8352" s="9"/>
      <c r="Q8352" s="5"/>
    </row>
    <row r="8353">
      <c r="J8353" s="5"/>
      <c r="P8353" s="9"/>
      <c r="Q8353" s="5"/>
    </row>
    <row r="8354">
      <c r="J8354" s="5"/>
      <c r="P8354" s="9"/>
      <c r="Q8354" s="5"/>
    </row>
    <row r="8355">
      <c r="J8355" s="5"/>
      <c r="P8355" s="9"/>
      <c r="Q8355" s="5"/>
    </row>
    <row r="8356">
      <c r="J8356" s="5"/>
      <c r="P8356" s="9"/>
      <c r="Q8356" s="5"/>
    </row>
    <row r="8357">
      <c r="J8357" s="5"/>
      <c r="P8357" s="9"/>
      <c r="Q8357" s="5"/>
    </row>
    <row r="8358">
      <c r="J8358" s="5"/>
      <c r="P8358" s="9"/>
      <c r="Q8358" s="5"/>
    </row>
    <row r="8359">
      <c r="J8359" s="5"/>
      <c r="P8359" s="9"/>
      <c r="Q8359" s="5"/>
    </row>
    <row r="8360">
      <c r="J8360" s="5"/>
      <c r="P8360" s="9"/>
      <c r="Q8360" s="5"/>
    </row>
    <row r="8361">
      <c r="J8361" s="5"/>
      <c r="P8361" s="9"/>
      <c r="Q8361" s="5"/>
    </row>
    <row r="8362">
      <c r="J8362" s="5"/>
      <c r="P8362" s="9"/>
      <c r="Q8362" s="5"/>
    </row>
    <row r="8363">
      <c r="J8363" s="5"/>
      <c r="P8363" s="9"/>
      <c r="Q8363" s="5"/>
    </row>
    <row r="8364">
      <c r="J8364" s="5"/>
      <c r="P8364" s="9"/>
      <c r="Q8364" s="5"/>
    </row>
    <row r="8365">
      <c r="J8365" s="5"/>
      <c r="P8365" s="9"/>
      <c r="Q8365" s="5"/>
    </row>
    <row r="8366">
      <c r="J8366" s="5"/>
      <c r="P8366" s="9"/>
      <c r="Q8366" s="5"/>
    </row>
    <row r="8367">
      <c r="J8367" s="5"/>
      <c r="P8367" s="9"/>
      <c r="Q8367" s="5"/>
    </row>
    <row r="8368">
      <c r="J8368" s="5"/>
      <c r="P8368" s="9"/>
      <c r="Q8368" s="5"/>
    </row>
    <row r="8369">
      <c r="J8369" s="5"/>
      <c r="P8369" s="9"/>
      <c r="Q8369" s="5"/>
    </row>
    <row r="8370">
      <c r="J8370" s="5"/>
      <c r="P8370" s="9"/>
      <c r="Q8370" s="5"/>
    </row>
    <row r="8371">
      <c r="J8371" s="5"/>
      <c r="P8371" s="9"/>
      <c r="Q8371" s="5"/>
    </row>
    <row r="8372">
      <c r="J8372" s="5"/>
      <c r="P8372" s="9"/>
      <c r="Q8372" s="5"/>
    </row>
    <row r="8373">
      <c r="J8373" s="5"/>
      <c r="P8373" s="9"/>
      <c r="Q8373" s="5"/>
    </row>
    <row r="8374">
      <c r="J8374" s="5"/>
      <c r="P8374" s="9"/>
      <c r="Q8374" s="5"/>
    </row>
    <row r="8375">
      <c r="J8375" s="5"/>
      <c r="P8375" s="9"/>
      <c r="Q8375" s="5"/>
    </row>
    <row r="8376">
      <c r="J8376" s="5"/>
      <c r="P8376" s="9"/>
      <c r="Q8376" s="5"/>
    </row>
    <row r="8377">
      <c r="J8377" s="5"/>
      <c r="P8377" s="9"/>
      <c r="Q8377" s="5"/>
    </row>
    <row r="8378">
      <c r="J8378" s="5"/>
      <c r="P8378" s="9"/>
      <c r="Q8378" s="5"/>
    </row>
    <row r="8379">
      <c r="J8379" s="5"/>
      <c r="P8379" s="9"/>
      <c r="Q8379" s="5"/>
    </row>
    <row r="8380">
      <c r="J8380" s="5"/>
      <c r="P8380" s="9"/>
      <c r="Q8380" s="5"/>
    </row>
    <row r="8381">
      <c r="J8381" s="5"/>
      <c r="P8381" s="9"/>
      <c r="Q8381" s="5"/>
    </row>
    <row r="8382">
      <c r="J8382" s="5"/>
      <c r="P8382" s="9"/>
      <c r="Q8382" s="5"/>
    </row>
    <row r="8383">
      <c r="J8383" s="5"/>
      <c r="P8383" s="9"/>
      <c r="Q8383" s="5"/>
    </row>
    <row r="8384">
      <c r="J8384" s="5"/>
      <c r="P8384" s="9"/>
      <c r="Q8384" s="5"/>
    </row>
    <row r="8385">
      <c r="J8385" s="5"/>
      <c r="P8385" s="9"/>
      <c r="Q8385" s="5"/>
    </row>
    <row r="8386">
      <c r="J8386" s="5"/>
      <c r="P8386" s="9"/>
      <c r="Q8386" s="5"/>
    </row>
    <row r="8387">
      <c r="J8387" s="5"/>
      <c r="P8387" s="9"/>
      <c r="Q8387" s="5"/>
    </row>
    <row r="8388">
      <c r="J8388" s="5"/>
      <c r="P8388" s="9"/>
      <c r="Q8388" s="5"/>
    </row>
    <row r="8389">
      <c r="J8389" s="5"/>
      <c r="P8389" s="9"/>
      <c r="Q8389" s="5"/>
    </row>
    <row r="8390">
      <c r="J8390" s="5"/>
      <c r="P8390" s="9"/>
      <c r="Q8390" s="5"/>
    </row>
    <row r="8391">
      <c r="J8391" s="5"/>
      <c r="P8391" s="9"/>
      <c r="Q8391" s="5"/>
    </row>
    <row r="8392">
      <c r="J8392" s="5"/>
      <c r="P8392" s="9"/>
      <c r="Q8392" s="5"/>
    </row>
    <row r="8393">
      <c r="J8393" s="5"/>
      <c r="P8393" s="9"/>
      <c r="Q8393" s="5"/>
    </row>
    <row r="8394">
      <c r="J8394" s="5"/>
      <c r="P8394" s="9"/>
      <c r="Q8394" s="5"/>
    </row>
    <row r="8395">
      <c r="J8395" s="5"/>
      <c r="P8395" s="9"/>
      <c r="Q8395" s="5"/>
    </row>
    <row r="8396">
      <c r="J8396" s="5"/>
      <c r="P8396" s="9"/>
      <c r="Q8396" s="5"/>
    </row>
    <row r="8397">
      <c r="J8397" s="5"/>
      <c r="P8397" s="9"/>
      <c r="Q8397" s="5"/>
    </row>
    <row r="8398">
      <c r="J8398" s="5"/>
      <c r="P8398" s="9"/>
      <c r="Q8398" s="5"/>
    </row>
    <row r="8399">
      <c r="J8399" s="5"/>
      <c r="P8399" s="9"/>
      <c r="Q8399" s="5"/>
    </row>
    <row r="8400">
      <c r="J8400" s="5"/>
      <c r="P8400" s="9"/>
      <c r="Q8400" s="5"/>
    </row>
    <row r="8401">
      <c r="J8401" s="5"/>
      <c r="P8401" s="9"/>
      <c r="Q8401" s="5"/>
    </row>
    <row r="8402">
      <c r="J8402" s="5"/>
      <c r="P8402" s="9"/>
      <c r="Q8402" s="5"/>
    </row>
    <row r="8403">
      <c r="J8403" s="5"/>
      <c r="P8403" s="9"/>
      <c r="Q8403" s="5"/>
    </row>
    <row r="8404">
      <c r="J8404" s="5"/>
      <c r="P8404" s="9"/>
      <c r="Q8404" s="5"/>
    </row>
    <row r="8405">
      <c r="J8405" s="5"/>
      <c r="P8405" s="9"/>
      <c r="Q8405" s="5"/>
    </row>
    <row r="8406">
      <c r="J8406" s="5"/>
      <c r="P8406" s="9"/>
      <c r="Q8406" s="5"/>
    </row>
    <row r="8407">
      <c r="J8407" s="5"/>
      <c r="P8407" s="9"/>
      <c r="Q8407" s="5"/>
    </row>
    <row r="8408">
      <c r="J8408" s="5"/>
      <c r="P8408" s="9"/>
      <c r="Q8408" s="5"/>
    </row>
    <row r="8409">
      <c r="J8409" s="5"/>
      <c r="P8409" s="9"/>
      <c r="Q8409" s="5"/>
    </row>
    <row r="8410">
      <c r="J8410" s="5"/>
      <c r="P8410" s="9"/>
      <c r="Q8410" s="5"/>
    </row>
    <row r="8411">
      <c r="J8411" s="5"/>
      <c r="P8411" s="9"/>
      <c r="Q8411" s="5"/>
    </row>
    <row r="8412">
      <c r="J8412" s="5"/>
      <c r="P8412" s="9"/>
      <c r="Q8412" s="5"/>
    </row>
    <row r="8413">
      <c r="J8413" s="5"/>
      <c r="P8413" s="9"/>
      <c r="Q8413" s="5"/>
    </row>
    <row r="8414">
      <c r="J8414" s="5"/>
      <c r="P8414" s="9"/>
      <c r="Q8414" s="5"/>
    </row>
    <row r="8415">
      <c r="J8415" s="5"/>
      <c r="P8415" s="9"/>
      <c r="Q8415" s="5"/>
    </row>
    <row r="8416">
      <c r="J8416" s="5"/>
      <c r="P8416" s="9"/>
      <c r="Q8416" s="5"/>
    </row>
    <row r="8417">
      <c r="J8417" s="5"/>
      <c r="P8417" s="9"/>
      <c r="Q8417" s="5"/>
    </row>
    <row r="8418">
      <c r="J8418" s="5"/>
      <c r="P8418" s="9"/>
      <c r="Q8418" s="5"/>
    </row>
    <row r="8419">
      <c r="J8419" s="5"/>
      <c r="P8419" s="9"/>
      <c r="Q8419" s="5"/>
    </row>
    <row r="8420">
      <c r="J8420" s="5"/>
      <c r="P8420" s="9"/>
      <c r="Q8420" s="5"/>
    </row>
    <row r="8421">
      <c r="J8421" s="5"/>
      <c r="P8421" s="9"/>
      <c r="Q8421" s="5"/>
    </row>
    <row r="8422">
      <c r="J8422" s="5"/>
      <c r="P8422" s="9"/>
      <c r="Q8422" s="5"/>
    </row>
    <row r="8423">
      <c r="J8423" s="5"/>
      <c r="P8423" s="9"/>
      <c r="Q8423" s="5"/>
    </row>
    <row r="8424">
      <c r="J8424" s="5"/>
      <c r="P8424" s="9"/>
      <c r="Q8424" s="5"/>
    </row>
    <row r="8425">
      <c r="J8425" s="5"/>
      <c r="P8425" s="9"/>
      <c r="Q8425" s="5"/>
    </row>
    <row r="8426">
      <c r="J8426" s="5"/>
      <c r="P8426" s="9"/>
      <c r="Q8426" s="5"/>
    </row>
    <row r="8427">
      <c r="J8427" s="5"/>
      <c r="P8427" s="9"/>
      <c r="Q8427" s="5"/>
    </row>
    <row r="8428">
      <c r="J8428" s="5"/>
      <c r="P8428" s="9"/>
      <c r="Q8428" s="5"/>
    </row>
    <row r="8429">
      <c r="J8429" s="5"/>
      <c r="P8429" s="9"/>
      <c r="Q8429" s="5"/>
    </row>
    <row r="8430">
      <c r="J8430" s="5"/>
      <c r="P8430" s="9"/>
      <c r="Q8430" s="5"/>
    </row>
    <row r="8431">
      <c r="J8431" s="5"/>
      <c r="P8431" s="9"/>
      <c r="Q8431" s="5"/>
    </row>
    <row r="8432">
      <c r="J8432" s="5"/>
      <c r="P8432" s="9"/>
      <c r="Q8432" s="5"/>
    </row>
    <row r="8433">
      <c r="J8433" s="5"/>
      <c r="P8433" s="9"/>
      <c r="Q8433" s="5"/>
    </row>
    <row r="8434">
      <c r="J8434" s="5"/>
      <c r="P8434" s="9"/>
      <c r="Q8434" s="5"/>
    </row>
    <row r="8435">
      <c r="J8435" s="5"/>
      <c r="P8435" s="9"/>
      <c r="Q8435" s="5"/>
    </row>
    <row r="8436">
      <c r="J8436" s="5"/>
      <c r="P8436" s="9"/>
      <c r="Q8436" s="5"/>
    </row>
    <row r="8437">
      <c r="J8437" s="5"/>
      <c r="P8437" s="9"/>
      <c r="Q8437" s="5"/>
    </row>
    <row r="8438">
      <c r="J8438" s="5"/>
      <c r="P8438" s="9"/>
      <c r="Q8438" s="5"/>
    </row>
    <row r="8439">
      <c r="J8439" s="5"/>
      <c r="P8439" s="9"/>
      <c r="Q8439" s="5"/>
    </row>
    <row r="8440">
      <c r="J8440" s="5"/>
      <c r="P8440" s="9"/>
      <c r="Q8440" s="5"/>
    </row>
    <row r="8441">
      <c r="J8441" s="5"/>
      <c r="P8441" s="9"/>
      <c r="Q8441" s="5"/>
    </row>
    <row r="8442">
      <c r="J8442" s="5"/>
      <c r="P8442" s="9"/>
      <c r="Q8442" s="5"/>
    </row>
    <row r="8443">
      <c r="J8443" s="5"/>
      <c r="P8443" s="9"/>
      <c r="Q8443" s="5"/>
    </row>
    <row r="8444">
      <c r="J8444" s="5"/>
      <c r="P8444" s="9"/>
      <c r="Q8444" s="5"/>
    </row>
    <row r="8445">
      <c r="J8445" s="5"/>
      <c r="P8445" s="9"/>
      <c r="Q8445" s="5"/>
    </row>
    <row r="8446">
      <c r="J8446" s="5"/>
      <c r="P8446" s="9"/>
      <c r="Q8446" s="5"/>
    </row>
    <row r="8447">
      <c r="J8447" s="5"/>
      <c r="P8447" s="9"/>
      <c r="Q8447" s="5"/>
    </row>
    <row r="8448">
      <c r="J8448" s="5"/>
      <c r="P8448" s="9"/>
      <c r="Q8448" s="5"/>
    </row>
    <row r="8449">
      <c r="J8449" s="5"/>
      <c r="P8449" s="9"/>
      <c r="Q8449" s="5"/>
    </row>
    <row r="8450">
      <c r="J8450" s="5"/>
      <c r="P8450" s="9"/>
      <c r="Q8450" s="5"/>
    </row>
    <row r="8451">
      <c r="J8451" s="5"/>
      <c r="P8451" s="9"/>
      <c r="Q8451" s="5"/>
    </row>
    <row r="8452">
      <c r="J8452" s="5"/>
      <c r="P8452" s="9"/>
      <c r="Q8452" s="5"/>
    </row>
    <row r="8453">
      <c r="J8453" s="5"/>
      <c r="P8453" s="9"/>
      <c r="Q8453" s="5"/>
    </row>
    <row r="8454">
      <c r="J8454" s="5"/>
      <c r="P8454" s="9"/>
      <c r="Q8454" s="5"/>
    </row>
    <row r="8455">
      <c r="J8455" s="5"/>
      <c r="P8455" s="9"/>
      <c r="Q8455" s="5"/>
    </row>
    <row r="8456">
      <c r="J8456" s="5"/>
      <c r="P8456" s="9"/>
      <c r="Q8456" s="5"/>
    </row>
    <row r="8457">
      <c r="J8457" s="5"/>
      <c r="P8457" s="9"/>
      <c r="Q8457" s="5"/>
    </row>
    <row r="8458">
      <c r="J8458" s="5"/>
      <c r="P8458" s="9"/>
      <c r="Q8458" s="5"/>
    </row>
    <row r="8459">
      <c r="J8459" s="5"/>
      <c r="P8459" s="9"/>
      <c r="Q8459" s="5"/>
    </row>
    <row r="8460">
      <c r="J8460" s="5"/>
      <c r="P8460" s="9"/>
      <c r="Q8460" s="5"/>
    </row>
    <row r="8461">
      <c r="J8461" s="5"/>
      <c r="P8461" s="9"/>
      <c r="Q8461" s="5"/>
    </row>
    <row r="8462">
      <c r="J8462" s="5"/>
      <c r="P8462" s="9"/>
      <c r="Q8462" s="5"/>
    </row>
    <row r="8463">
      <c r="J8463" s="5"/>
      <c r="P8463" s="9"/>
      <c r="Q8463" s="5"/>
    </row>
    <row r="8464">
      <c r="J8464" s="5"/>
      <c r="P8464" s="9"/>
      <c r="Q8464" s="5"/>
    </row>
    <row r="8465">
      <c r="J8465" s="5"/>
      <c r="P8465" s="9"/>
      <c r="Q8465" s="5"/>
    </row>
    <row r="8466">
      <c r="J8466" s="5"/>
      <c r="P8466" s="9"/>
      <c r="Q8466" s="5"/>
    </row>
    <row r="8467">
      <c r="J8467" s="5"/>
      <c r="P8467" s="9"/>
      <c r="Q8467" s="5"/>
    </row>
    <row r="8468">
      <c r="J8468" s="5"/>
      <c r="P8468" s="9"/>
      <c r="Q8468" s="5"/>
    </row>
    <row r="8469">
      <c r="J8469" s="5"/>
      <c r="P8469" s="9"/>
      <c r="Q8469" s="5"/>
    </row>
    <row r="8470">
      <c r="J8470" s="5"/>
      <c r="P8470" s="9"/>
      <c r="Q8470" s="5"/>
    </row>
    <row r="8471">
      <c r="J8471" s="5"/>
      <c r="P8471" s="9"/>
      <c r="Q8471" s="5"/>
    </row>
    <row r="8472">
      <c r="J8472" s="5"/>
      <c r="P8472" s="9"/>
      <c r="Q8472" s="5"/>
    </row>
    <row r="8473">
      <c r="J8473" s="5"/>
      <c r="P8473" s="9"/>
      <c r="Q8473" s="5"/>
    </row>
    <row r="8474">
      <c r="J8474" s="5"/>
      <c r="P8474" s="9"/>
      <c r="Q8474" s="5"/>
    </row>
    <row r="8475">
      <c r="J8475" s="5"/>
      <c r="P8475" s="9"/>
      <c r="Q8475" s="5"/>
    </row>
    <row r="8476">
      <c r="J8476" s="5"/>
      <c r="P8476" s="9"/>
      <c r="Q8476" s="5"/>
    </row>
    <row r="8477">
      <c r="J8477" s="5"/>
      <c r="P8477" s="9"/>
      <c r="Q8477" s="5"/>
    </row>
    <row r="8478">
      <c r="J8478" s="5"/>
      <c r="P8478" s="9"/>
      <c r="Q8478" s="5"/>
    </row>
    <row r="8479">
      <c r="J8479" s="5"/>
      <c r="P8479" s="9"/>
      <c r="Q8479" s="5"/>
    </row>
    <row r="8480">
      <c r="J8480" s="5"/>
      <c r="P8480" s="9"/>
      <c r="Q8480" s="5"/>
    </row>
    <row r="8481">
      <c r="J8481" s="5"/>
      <c r="P8481" s="9"/>
      <c r="Q8481" s="5"/>
    </row>
    <row r="8482">
      <c r="J8482" s="5"/>
      <c r="P8482" s="9"/>
      <c r="Q8482" s="5"/>
    </row>
    <row r="8483">
      <c r="J8483" s="5"/>
      <c r="P8483" s="9"/>
      <c r="Q8483" s="5"/>
    </row>
    <row r="8484">
      <c r="J8484" s="5"/>
      <c r="P8484" s="9"/>
      <c r="Q8484" s="5"/>
    </row>
    <row r="8485">
      <c r="J8485" s="5"/>
      <c r="P8485" s="9"/>
      <c r="Q8485" s="5"/>
    </row>
    <row r="8486">
      <c r="J8486" s="5"/>
      <c r="P8486" s="9"/>
      <c r="Q8486" s="5"/>
    </row>
    <row r="8487">
      <c r="J8487" s="5"/>
      <c r="P8487" s="9"/>
      <c r="Q8487" s="5"/>
    </row>
    <row r="8488">
      <c r="J8488" s="5"/>
      <c r="P8488" s="9"/>
      <c r="Q8488" s="5"/>
    </row>
    <row r="8489">
      <c r="J8489" s="5"/>
      <c r="P8489" s="9"/>
      <c r="Q8489" s="5"/>
    </row>
    <row r="8490">
      <c r="J8490" s="5"/>
      <c r="P8490" s="9"/>
      <c r="Q8490" s="5"/>
    </row>
    <row r="8491">
      <c r="J8491" s="5"/>
      <c r="P8491" s="9"/>
      <c r="Q8491" s="5"/>
    </row>
    <row r="8492">
      <c r="J8492" s="5"/>
      <c r="P8492" s="9"/>
      <c r="Q8492" s="5"/>
    </row>
    <row r="8493">
      <c r="J8493" s="5"/>
      <c r="P8493" s="9"/>
      <c r="Q8493" s="5"/>
    </row>
    <row r="8494">
      <c r="J8494" s="5"/>
      <c r="P8494" s="9"/>
      <c r="Q8494" s="5"/>
    </row>
    <row r="8495">
      <c r="J8495" s="5"/>
      <c r="P8495" s="9"/>
      <c r="Q8495" s="5"/>
    </row>
    <row r="8496">
      <c r="J8496" s="5"/>
      <c r="P8496" s="9"/>
      <c r="Q8496" s="5"/>
    </row>
    <row r="8497">
      <c r="J8497" s="5"/>
      <c r="P8497" s="9"/>
      <c r="Q8497" s="5"/>
    </row>
    <row r="8498">
      <c r="J8498" s="5"/>
      <c r="P8498" s="9"/>
      <c r="Q8498" s="5"/>
    </row>
    <row r="8499">
      <c r="J8499" s="5"/>
      <c r="P8499" s="9"/>
      <c r="Q8499" s="5"/>
    </row>
    <row r="8500">
      <c r="J8500" s="5"/>
      <c r="P8500" s="9"/>
      <c r="Q8500" s="5"/>
    </row>
    <row r="8501">
      <c r="J8501" s="5"/>
      <c r="P8501" s="9"/>
      <c r="Q8501" s="5"/>
    </row>
    <row r="8502">
      <c r="J8502" s="5"/>
      <c r="P8502" s="9"/>
      <c r="Q8502" s="5"/>
    </row>
    <row r="8503">
      <c r="J8503" s="5"/>
      <c r="P8503" s="9"/>
      <c r="Q8503" s="5"/>
    </row>
    <row r="8504">
      <c r="J8504" s="5"/>
      <c r="P8504" s="9"/>
      <c r="Q8504" s="5"/>
    </row>
    <row r="8505">
      <c r="J8505" s="5"/>
      <c r="P8505" s="9"/>
      <c r="Q8505" s="5"/>
    </row>
    <row r="8506">
      <c r="J8506" s="5"/>
      <c r="P8506" s="9"/>
      <c r="Q8506" s="5"/>
    </row>
    <row r="8507">
      <c r="J8507" s="5"/>
      <c r="P8507" s="9"/>
      <c r="Q8507" s="5"/>
    </row>
    <row r="8508">
      <c r="J8508" s="5"/>
      <c r="P8508" s="9"/>
      <c r="Q8508" s="5"/>
    </row>
    <row r="8509">
      <c r="J8509" s="5"/>
      <c r="P8509" s="9"/>
      <c r="Q8509" s="5"/>
    </row>
    <row r="8510">
      <c r="J8510" s="5"/>
      <c r="P8510" s="9"/>
      <c r="Q8510" s="5"/>
    </row>
    <row r="8511">
      <c r="J8511" s="5"/>
      <c r="P8511" s="9"/>
      <c r="Q8511" s="5"/>
    </row>
    <row r="8512">
      <c r="J8512" s="5"/>
      <c r="P8512" s="9"/>
      <c r="Q8512" s="5"/>
    </row>
    <row r="8513">
      <c r="J8513" s="5"/>
      <c r="P8513" s="9"/>
      <c r="Q8513" s="5"/>
    </row>
    <row r="8514">
      <c r="J8514" s="5"/>
      <c r="P8514" s="9"/>
      <c r="Q8514" s="5"/>
    </row>
    <row r="8515">
      <c r="J8515" s="5"/>
      <c r="P8515" s="9"/>
      <c r="Q8515" s="5"/>
    </row>
    <row r="8516">
      <c r="J8516" s="5"/>
      <c r="P8516" s="9"/>
      <c r="Q8516" s="5"/>
    </row>
    <row r="8517">
      <c r="J8517" s="5"/>
      <c r="P8517" s="9"/>
      <c r="Q8517" s="5"/>
    </row>
    <row r="8518">
      <c r="J8518" s="5"/>
      <c r="P8518" s="9"/>
      <c r="Q8518" s="5"/>
    </row>
    <row r="8519">
      <c r="J8519" s="5"/>
      <c r="P8519" s="9"/>
      <c r="Q8519" s="5"/>
    </row>
    <row r="8520">
      <c r="J8520" s="5"/>
      <c r="P8520" s="9"/>
      <c r="Q8520" s="5"/>
    </row>
    <row r="8521">
      <c r="J8521" s="5"/>
      <c r="P8521" s="9"/>
      <c r="Q8521" s="5"/>
    </row>
    <row r="8522">
      <c r="J8522" s="5"/>
      <c r="P8522" s="9"/>
      <c r="Q8522" s="5"/>
    </row>
    <row r="8523">
      <c r="J8523" s="5"/>
      <c r="P8523" s="9"/>
      <c r="Q8523" s="5"/>
    </row>
    <row r="8524">
      <c r="J8524" s="5"/>
      <c r="P8524" s="9"/>
      <c r="Q8524" s="5"/>
    </row>
    <row r="8525">
      <c r="J8525" s="5"/>
      <c r="P8525" s="9"/>
      <c r="Q8525" s="5"/>
    </row>
    <row r="8526">
      <c r="J8526" s="5"/>
      <c r="P8526" s="9"/>
      <c r="Q8526" s="5"/>
    </row>
    <row r="8527">
      <c r="J8527" s="5"/>
      <c r="P8527" s="9"/>
      <c r="Q8527" s="5"/>
    </row>
    <row r="8528">
      <c r="J8528" s="5"/>
      <c r="P8528" s="9"/>
      <c r="Q8528" s="5"/>
    </row>
    <row r="8529">
      <c r="J8529" s="5"/>
      <c r="P8529" s="9"/>
      <c r="Q8529" s="5"/>
    </row>
    <row r="8530">
      <c r="J8530" s="5"/>
      <c r="P8530" s="9"/>
      <c r="Q8530" s="5"/>
    </row>
    <row r="8531">
      <c r="J8531" s="5"/>
      <c r="P8531" s="9"/>
      <c r="Q8531" s="5"/>
    </row>
    <row r="8532">
      <c r="J8532" s="5"/>
      <c r="P8532" s="9"/>
      <c r="Q8532" s="5"/>
    </row>
    <row r="8533">
      <c r="J8533" s="5"/>
      <c r="P8533" s="9"/>
      <c r="Q8533" s="5"/>
    </row>
    <row r="8534">
      <c r="J8534" s="5"/>
      <c r="P8534" s="9"/>
      <c r="Q8534" s="5"/>
    </row>
    <row r="8535">
      <c r="J8535" s="5"/>
      <c r="P8535" s="9"/>
      <c r="Q8535" s="5"/>
    </row>
    <row r="8536">
      <c r="J8536" s="5"/>
      <c r="P8536" s="9"/>
      <c r="Q8536" s="5"/>
    </row>
    <row r="8537">
      <c r="J8537" s="5"/>
      <c r="P8537" s="9"/>
      <c r="Q8537" s="5"/>
    </row>
    <row r="8538">
      <c r="J8538" s="5"/>
      <c r="P8538" s="9"/>
      <c r="Q8538" s="5"/>
    </row>
    <row r="8539">
      <c r="J8539" s="5"/>
      <c r="P8539" s="9"/>
      <c r="Q8539" s="5"/>
    </row>
    <row r="8540">
      <c r="J8540" s="5"/>
      <c r="P8540" s="9"/>
      <c r="Q8540" s="5"/>
    </row>
    <row r="8541">
      <c r="J8541" s="5"/>
      <c r="P8541" s="9"/>
      <c r="Q8541" s="5"/>
    </row>
    <row r="8542">
      <c r="J8542" s="5"/>
      <c r="P8542" s="9"/>
      <c r="Q8542" s="5"/>
    </row>
    <row r="8543">
      <c r="J8543" s="5"/>
      <c r="P8543" s="9"/>
      <c r="Q8543" s="5"/>
    </row>
    <row r="8544">
      <c r="J8544" s="5"/>
      <c r="P8544" s="9"/>
      <c r="Q8544" s="5"/>
    </row>
    <row r="8545">
      <c r="J8545" s="5"/>
      <c r="P8545" s="9"/>
      <c r="Q8545" s="5"/>
    </row>
    <row r="8546">
      <c r="J8546" s="5"/>
      <c r="P8546" s="9"/>
      <c r="Q8546" s="5"/>
    </row>
    <row r="8547">
      <c r="J8547" s="5"/>
      <c r="P8547" s="9"/>
      <c r="Q8547" s="5"/>
    </row>
    <row r="8548">
      <c r="J8548" s="5"/>
      <c r="P8548" s="9"/>
      <c r="Q8548" s="5"/>
    </row>
    <row r="8549">
      <c r="J8549" s="5"/>
      <c r="P8549" s="9"/>
      <c r="Q8549" s="5"/>
    </row>
    <row r="8550">
      <c r="J8550" s="5"/>
      <c r="P8550" s="9"/>
      <c r="Q8550" s="5"/>
    </row>
    <row r="8551">
      <c r="J8551" s="5"/>
      <c r="P8551" s="9"/>
      <c r="Q8551" s="5"/>
    </row>
    <row r="8552">
      <c r="J8552" s="5"/>
      <c r="P8552" s="9"/>
      <c r="Q8552" s="5"/>
    </row>
    <row r="8553">
      <c r="J8553" s="5"/>
      <c r="P8553" s="9"/>
      <c r="Q8553" s="5"/>
    </row>
    <row r="8554">
      <c r="J8554" s="5"/>
      <c r="P8554" s="9"/>
      <c r="Q8554" s="5"/>
    </row>
    <row r="8555">
      <c r="J8555" s="5"/>
      <c r="P8555" s="9"/>
      <c r="Q8555" s="5"/>
    </row>
    <row r="8556">
      <c r="J8556" s="5"/>
      <c r="P8556" s="9"/>
      <c r="Q8556" s="5"/>
    </row>
    <row r="8557">
      <c r="J8557" s="5"/>
      <c r="P8557" s="9"/>
      <c r="Q8557" s="5"/>
    </row>
    <row r="8558">
      <c r="J8558" s="5"/>
      <c r="P8558" s="9"/>
      <c r="Q8558" s="5"/>
    </row>
    <row r="8559">
      <c r="J8559" s="5"/>
      <c r="P8559" s="9"/>
      <c r="Q8559" s="5"/>
    </row>
    <row r="8560">
      <c r="J8560" s="5"/>
      <c r="P8560" s="9"/>
      <c r="Q8560" s="5"/>
    </row>
    <row r="8561">
      <c r="J8561" s="5"/>
      <c r="P8561" s="9"/>
      <c r="Q8561" s="5"/>
    </row>
    <row r="8562">
      <c r="J8562" s="5"/>
      <c r="P8562" s="9"/>
      <c r="Q8562" s="5"/>
    </row>
    <row r="8563">
      <c r="J8563" s="5"/>
      <c r="P8563" s="9"/>
      <c r="Q8563" s="5"/>
    </row>
    <row r="8564">
      <c r="J8564" s="5"/>
      <c r="P8564" s="9"/>
      <c r="Q8564" s="5"/>
    </row>
    <row r="8565">
      <c r="J8565" s="5"/>
      <c r="P8565" s="9"/>
      <c r="Q8565" s="5"/>
    </row>
    <row r="8566">
      <c r="J8566" s="5"/>
      <c r="P8566" s="9"/>
      <c r="Q8566" s="5"/>
    </row>
    <row r="8567">
      <c r="J8567" s="5"/>
      <c r="P8567" s="9"/>
      <c r="Q8567" s="5"/>
    </row>
    <row r="8568">
      <c r="J8568" s="5"/>
      <c r="P8568" s="9"/>
      <c r="Q8568" s="5"/>
    </row>
    <row r="8569">
      <c r="J8569" s="5"/>
      <c r="P8569" s="9"/>
      <c r="Q8569" s="5"/>
    </row>
    <row r="8570">
      <c r="J8570" s="5"/>
      <c r="P8570" s="9"/>
      <c r="Q8570" s="5"/>
    </row>
    <row r="8571">
      <c r="J8571" s="5"/>
      <c r="P8571" s="9"/>
      <c r="Q8571" s="5"/>
    </row>
    <row r="8572">
      <c r="J8572" s="5"/>
      <c r="P8572" s="9"/>
      <c r="Q8572" s="5"/>
    </row>
    <row r="8573">
      <c r="J8573" s="5"/>
      <c r="P8573" s="9"/>
      <c r="Q8573" s="5"/>
    </row>
    <row r="8574">
      <c r="J8574" s="5"/>
      <c r="P8574" s="9"/>
      <c r="Q8574" s="5"/>
    </row>
    <row r="8575">
      <c r="J8575" s="5"/>
      <c r="P8575" s="9"/>
      <c r="Q8575" s="5"/>
    </row>
    <row r="8576">
      <c r="J8576" s="5"/>
      <c r="P8576" s="9"/>
      <c r="Q8576" s="5"/>
    </row>
    <row r="8577">
      <c r="J8577" s="5"/>
      <c r="P8577" s="9"/>
      <c r="Q8577" s="5"/>
    </row>
    <row r="8578">
      <c r="J8578" s="5"/>
      <c r="P8578" s="9"/>
      <c r="Q8578" s="5"/>
    </row>
    <row r="8579">
      <c r="J8579" s="5"/>
      <c r="P8579" s="9"/>
      <c r="Q8579" s="5"/>
    </row>
    <row r="8580">
      <c r="J8580" s="5"/>
      <c r="P8580" s="9"/>
      <c r="Q8580" s="5"/>
    </row>
    <row r="8581">
      <c r="J8581" s="5"/>
      <c r="P8581" s="9"/>
      <c r="Q8581" s="5"/>
    </row>
    <row r="8582">
      <c r="J8582" s="5"/>
      <c r="P8582" s="9"/>
      <c r="Q8582" s="5"/>
    </row>
    <row r="8583">
      <c r="J8583" s="5"/>
      <c r="P8583" s="9"/>
      <c r="Q8583" s="5"/>
    </row>
    <row r="8584">
      <c r="J8584" s="5"/>
      <c r="P8584" s="9"/>
      <c r="Q8584" s="5"/>
    </row>
    <row r="8585">
      <c r="J8585" s="5"/>
      <c r="P8585" s="9"/>
      <c r="Q8585" s="5"/>
    </row>
    <row r="8586">
      <c r="J8586" s="5"/>
      <c r="P8586" s="9"/>
      <c r="Q8586" s="5"/>
    </row>
    <row r="8587">
      <c r="J8587" s="5"/>
      <c r="P8587" s="9"/>
      <c r="Q8587" s="5"/>
    </row>
    <row r="8588">
      <c r="J8588" s="5"/>
      <c r="P8588" s="9"/>
      <c r="Q8588" s="5"/>
    </row>
    <row r="8589">
      <c r="J8589" s="5"/>
      <c r="P8589" s="9"/>
      <c r="Q8589" s="5"/>
    </row>
    <row r="8590">
      <c r="J8590" s="5"/>
      <c r="P8590" s="9"/>
      <c r="Q8590" s="5"/>
    </row>
    <row r="8591">
      <c r="J8591" s="5"/>
      <c r="P8591" s="9"/>
      <c r="Q8591" s="5"/>
    </row>
    <row r="8592">
      <c r="J8592" s="5"/>
      <c r="P8592" s="9"/>
      <c r="Q8592" s="5"/>
    </row>
    <row r="8593">
      <c r="J8593" s="5"/>
      <c r="P8593" s="9"/>
      <c r="Q8593" s="5"/>
    </row>
    <row r="8594">
      <c r="J8594" s="5"/>
      <c r="P8594" s="9"/>
      <c r="Q8594" s="5"/>
    </row>
    <row r="8595">
      <c r="J8595" s="5"/>
      <c r="P8595" s="9"/>
      <c r="Q8595" s="5"/>
    </row>
    <row r="8596">
      <c r="J8596" s="5"/>
      <c r="P8596" s="9"/>
      <c r="Q8596" s="5"/>
    </row>
    <row r="8597">
      <c r="J8597" s="5"/>
      <c r="P8597" s="9"/>
      <c r="Q8597" s="5"/>
    </row>
    <row r="8598">
      <c r="J8598" s="5"/>
      <c r="P8598" s="9"/>
      <c r="Q8598" s="5"/>
    </row>
    <row r="8599">
      <c r="J8599" s="5"/>
      <c r="P8599" s="9"/>
      <c r="Q8599" s="5"/>
    </row>
    <row r="8600">
      <c r="J8600" s="5"/>
      <c r="P8600" s="9"/>
      <c r="Q8600" s="5"/>
    </row>
    <row r="8601">
      <c r="J8601" s="5"/>
      <c r="P8601" s="9"/>
      <c r="Q8601" s="5"/>
    </row>
    <row r="8602">
      <c r="J8602" s="5"/>
      <c r="P8602" s="9"/>
      <c r="Q8602" s="5"/>
    </row>
    <row r="8603">
      <c r="J8603" s="5"/>
      <c r="P8603" s="9"/>
      <c r="Q8603" s="5"/>
    </row>
    <row r="8604">
      <c r="J8604" s="5"/>
      <c r="P8604" s="9"/>
      <c r="Q8604" s="5"/>
    </row>
    <row r="8605">
      <c r="J8605" s="5"/>
      <c r="P8605" s="9"/>
      <c r="Q8605" s="5"/>
    </row>
    <row r="8606">
      <c r="J8606" s="5"/>
      <c r="P8606" s="9"/>
      <c r="Q8606" s="5"/>
    </row>
    <row r="8607">
      <c r="J8607" s="5"/>
      <c r="P8607" s="9"/>
      <c r="Q8607" s="5"/>
    </row>
    <row r="8608">
      <c r="J8608" s="5"/>
      <c r="P8608" s="9"/>
      <c r="Q8608" s="5"/>
    </row>
    <row r="8609">
      <c r="J8609" s="5"/>
      <c r="P8609" s="9"/>
      <c r="Q8609" s="5"/>
    </row>
    <row r="8610">
      <c r="J8610" s="5"/>
      <c r="P8610" s="9"/>
      <c r="Q8610" s="5"/>
    </row>
    <row r="8611">
      <c r="J8611" s="5"/>
      <c r="P8611" s="9"/>
      <c r="Q8611" s="5"/>
    </row>
    <row r="8612">
      <c r="J8612" s="5"/>
      <c r="P8612" s="9"/>
      <c r="Q8612" s="5"/>
    </row>
    <row r="8613">
      <c r="J8613" s="5"/>
      <c r="P8613" s="9"/>
      <c r="Q8613" s="5"/>
    </row>
    <row r="8614">
      <c r="J8614" s="5"/>
      <c r="P8614" s="9"/>
      <c r="Q8614" s="5"/>
    </row>
    <row r="8615">
      <c r="J8615" s="5"/>
      <c r="P8615" s="9"/>
      <c r="Q8615" s="5"/>
    </row>
    <row r="8616">
      <c r="J8616" s="5"/>
      <c r="P8616" s="9"/>
      <c r="Q8616" s="5"/>
    </row>
    <row r="8617">
      <c r="J8617" s="5"/>
      <c r="P8617" s="9"/>
      <c r="Q8617" s="5"/>
    </row>
    <row r="8618">
      <c r="J8618" s="5"/>
      <c r="P8618" s="9"/>
      <c r="Q8618" s="5"/>
    </row>
    <row r="8619">
      <c r="J8619" s="5"/>
      <c r="P8619" s="9"/>
      <c r="Q8619" s="5"/>
    </row>
    <row r="8620">
      <c r="J8620" s="5"/>
      <c r="P8620" s="9"/>
      <c r="Q8620" s="5"/>
    </row>
    <row r="8621">
      <c r="J8621" s="5"/>
      <c r="P8621" s="9"/>
      <c r="Q8621" s="5"/>
    </row>
    <row r="8622">
      <c r="J8622" s="5"/>
      <c r="P8622" s="9"/>
      <c r="Q8622" s="5"/>
    </row>
    <row r="8623">
      <c r="J8623" s="5"/>
      <c r="P8623" s="9"/>
      <c r="Q8623" s="5"/>
    </row>
    <row r="8624">
      <c r="J8624" s="5"/>
      <c r="P8624" s="9"/>
      <c r="Q8624" s="5"/>
    </row>
    <row r="8625">
      <c r="J8625" s="5"/>
      <c r="P8625" s="9"/>
      <c r="Q8625" s="5"/>
    </row>
    <row r="8626">
      <c r="J8626" s="5"/>
      <c r="P8626" s="9"/>
      <c r="Q8626" s="5"/>
    </row>
    <row r="8627">
      <c r="J8627" s="5"/>
      <c r="P8627" s="9"/>
      <c r="Q8627" s="5"/>
    </row>
    <row r="8628">
      <c r="J8628" s="5"/>
      <c r="P8628" s="9"/>
      <c r="Q8628" s="5"/>
    </row>
    <row r="8629">
      <c r="J8629" s="5"/>
      <c r="P8629" s="9"/>
      <c r="Q8629" s="5"/>
    </row>
    <row r="8630">
      <c r="J8630" s="5"/>
      <c r="P8630" s="9"/>
      <c r="Q8630" s="5"/>
    </row>
    <row r="8631">
      <c r="J8631" s="5"/>
      <c r="P8631" s="9"/>
      <c r="Q8631" s="5"/>
    </row>
    <row r="8632">
      <c r="J8632" s="5"/>
      <c r="P8632" s="9"/>
      <c r="Q8632" s="5"/>
    </row>
    <row r="8633">
      <c r="J8633" s="5"/>
      <c r="P8633" s="9"/>
      <c r="Q8633" s="5"/>
    </row>
    <row r="8634">
      <c r="J8634" s="5"/>
      <c r="P8634" s="9"/>
      <c r="Q8634" s="5"/>
    </row>
    <row r="8635">
      <c r="J8635" s="5"/>
      <c r="P8635" s="9"/>
      <c r="Q8635" s="5"/>
    </row>
    <row r="8636">
      <c r="J8636" s="5"/>
      <c r="P8636" s="9"/>
      <c r="Q8636" s="5"/>
    </row>
    <row r="8637">
      <c r="J8637" s="5"/>
      <c r="P8637" s="9"/>
      <c r="Q8637" s="5"/>
    </row>
    <row r="8638">
      <c r="J8638" s="5"/>
      <c r="P8638" s="9"/>
      <c r="Q8638" s="5"/>
    </row>
    <row r="8639">
      <c r="J8639" s="5"/>
      <c r="P8639" s="9"/>
      <c r="Q8639" s="5"/>
    </row>
    <row r="8640">
      <c r="J8640" s="5"/>
      <c r="P8640" s="9"/>
      <c r="Q8640" s="5"/>
    </row>
    <row r="8641">
      <c r="J8641" s="5"/>
      <c r="P8641" s="9"/>
      <c r="Q8641" s="5"/>
    </row>
    <row r="8642">
      <c r="J8642" s="5"/>
      <c r="P8642" s="9"/>
      <c r="Q8642" s="5"/>
    </row>
    <row r="8643">
      <c r="J8643" s="5"/>
      <c r="P8643" s="9"/>
      <c r="Q8643" s="5"/>
    </row>
    <row r="8644">
      <c r="J8644" s="5"/>
      <c r="P8644" s="9"/>
      <c r="Q8644" s="5"/>
    </row>
    <row r="8645">
      <c r="J8645" s="5"/>
      <c r="P8645" s="9"/>
      <c r="Q8645" s="5"/>
    </row>
    <row r="8646">
      <c r="J8646" s="5"/>
      <c r="P8646" s="9"/>
      <c r="Q8646" s="5"/>
    </row>
    <row r="8647">
      <c r="J8647" s="5"/>
      <c r="P8647" s="9"/>
      <c r="Q8647" s="5"/>
    </row>
    <row r="8648">
      <c r="J8648" s="5"/>
      <c r="P8648" s="9"/>
      <c r="Q8648" s="5"/>
    </row>
    <row r="8649">
      <c r="J8649" s="5"/>
      <c r="P8649" s="9"/>
      <c r="Q8649" s="5"/>
    </row>
    <row r="8650">
      <c r="J8650" s="5"/>
      <c r="P8650" s="9"/>
      <c r="Q8650" s="5"/>
    </row>
    <row r="8651">
      <c r="J8651" s="5"/>
      <c r="P8651" s="9"/>
      <c r="Q8651" s="5"/>
    </row>
    <row r="8652">
      <c r="J8652" s="5"/>
      <c r="P8652" s="9"/>
      <c r="Q8652" s="5"/>
    </row>
    <row r="8653">
      <c r="J8653" s="5"/>
      <c r="P8653" s="9"/>
      <c r="Q8653" s="5"/>
    </row>
    <row r="8654">
      <c r="J8654" s="5"/>
      <c r="P8654" s="9"/>
      <c r="Q8654" s="5"/>
    </row>
    <row r="8655">
      <c r="J8655" s="5"/>
      <c r="P8655" s="9"/>
      <c r="Q8655" s="5"/>
    </row>
    <row r="8656">
      <c r="J8656" s="5"/>
      <c r="P8656" s="9"/>
      <c r="Q8656" s="5"/>
    </row>
    <row r="8657">
      <c r="J8657" s="5"/>
      <c r="P8657" s="9"/>
      <c r="Q8657" s="5"/>
    </row>
    <row r="8658">
      <c r="J8658" s="5"/>
      <c r="P8658" s="9"/>
      <c r="Q8658" s="5"/>
    </row>
    <row r="8659">
      <c r="J8659" s="5"/>
      <c r="P8659" s="9"/>
      <c r="Q8659" s="5"/>
    </row>
    <row r="8660">
      <c r="J8660" s="5"/>
      <c r="P8660" s="9"/>
      <c r="Q8660" s="5"/>
    </row>
    <row r="8661">
      <c r="J8661" s="5"/>
      <c r="P8661" s="9"/>
      <c r="Q8661" s="5"/>
    </row>
    <row r="8662">
      <c r="J8662" s="5"/>
      <c r="P8662" s="9"/>
      <c r="Q8662" s="5"/>
    </row>
    <row r="8663">
      <c r="J8663" s="5"/>
      <c r="P8663" s="9"/>
      <c r="Q8663" s="5"/>
    </row>
    <row r="8664">
      <c r="J8664" s="5"/>
      <c r="P8664" s="9"/>
      <c r="Q8664" s="5"/>
    </row>
    <row r="8665">
      <c r="J8665" s="5"/>
      <c r="P8665" s="9"/>
      <c r="Q8665" s="5"/>
    </row>
    <row r="8666">
      <c r="J8666" s="5"/>
      <c r="P8666" s="9"/>
      <c r="Q8666" s="5"/>
    </row>
    <row r="8667">
      <c r="J8667" s="5"/>
      <c r="P8667" s="9"/>
      <c r="Q8667" s="5"/>
    </row>
    <row r="8668">
      <c r="J8668" s="5"/>
      <c r="P8668" s="9"/>
      <c r="Q8668" s="5"/>
    </row>
    <row r="8669">
      <c r="J8669" s="5"/>
      <c r="P8669" s="9"/>
      <c r="Q8669" s="5"/>
    </row>
    <row r="8670">
      <c r="J8670" s="5"/>
      <c r="P8670" s="9"/>
      <c r="Q8670" s="5"/>
    </row>
    <row r="8671">
      <c r="J8671" s="5"/>
      <c r="P8671" s="9"/>
      <c r="Q8671" s="5"/>
    </row>
    <row r="8672">
      <c r="J8672" s="5"/>
      <c r="P8672" s="9"/>
      <c r="Q8672" s="5"/>
    </row>
    <row r="8673">
      <c r="J8673" s="5"/>
      <c r="P8673" s="9"/>
      <c r="Q8673" s="5"/>
    </row>
    <row r="8674">
      <c r="J8674" s="5"/>
      <c r="P8674" s="9"/>
      <c r="Q8674" s="5"/>
    </row>
    <row r="8675">
      <c r="J8675" s="5"/>
      <c r="P8675" s="9"/>
      <c r="Q8675" s="5"/>
    </row>
    <row r="8676">
      <c r="J8676" s="5"/>
      <c r="P8676" s="9"/>
      <c r="Q8676" s="5"/>
    </row>
    <row r="8677">
      <c r="J8677" s="5"/>
      <c r="P8677" s="9"/>
      <c r="Q8677" s="5"/>
    </row>
    <row r="8678">
      <c r="J8678" s="5"/>
      <c r="P8678" s="9"/>
      <c r="Q8678" s="5"/>
    </row>
    <row r="8679">
      <c r="J8679" s="5"/>
      <c r="P8679" s="9"/>
      <c r="Q8679" s="5"/>
    </row>
    <row r="8680">
      <c r="J8680" s="5"/>
      <c r="P8680" s="9"/>
      <c r="Q8680" s="5"/>
    </row>
    <row r="8681">
      <c r="J8681" s="5"/>
      <c r="P8681" s="9"/>
      <c r="Q8681" s="5"/>
    </row>
    <row r="8682">
      <c r="J8682" s="5"/>
      <c r="P8682" s="9"/>
      <c r="Q8682" s="5"/>
    </row>
    <row r="8683">
      <c r="J8683" s="5"/>
      <c r="P8683" s="9"/>
      <c r="Q8683" s="5"/>
    </row>
    <row r="8684">
      <c r="J8684" s="5"/>
      <c r="P8684" s="9"/>
      <c r="Q8684" s="5"/>
    </row>
    <row r="8685">
      <c r="J8685" s="5"/>
      <c r="P8685" s="9"/>
      <c r="Q8685" s="5"/>
    </row>
    <row r="8686">
      <c r="J8686" s="5"/>
      <c r="P8686" s="9"/>
      <c r="Q8686" s="5"/>
    </row>
    <row r="8687">
      <c r="J8687" s="5"/>
      <c r="P8687" s="9"/>
      <c r="Q8687" s="5"/>
    </row>
    <row r="8688">
      <c r="J8688" s="5"/>
      <c r="P8688" s="9"/>
      <c r="Q8688" s="5"/>
    </row>
    <row r="8689">
      <c r="J8689" s="5"/>
      <c r="P8689" s="9"/>
      <c r="Q8689" s="5"/>
    </row>
    <row r="8690">
      <c r="J8690" s="5"/>
      <c r="P8690" s="9"/>
      <c r="Q8690" s="5"/>
    </row>
    <row r="8691">
      <c r="J8691" s="5"/>
      <c r="P8691" s="9"/>
      <c r="Q8691" s="5"/>
    </row>
    <row r="8692">
      <c r="J8692" s="5"/>
      <c r="P8692" s="9"/>
      <c r="Q8692" s="5"/>
    </row>
    <row r="8693">
      <c r="J8693" s="5"/>
      <c r="P8693" s="9"/>
      <c r="Q8693" s="5"/>
    </row>
    <row r="8694">
      <c r="J8694" s="5"/>
      <c r="P8694" s="9"/>
      <c r="Q8694" s="5"/>
    </row>
    <row r="8695">
      <c r="J8695" s="5"/>
      <c r="P8695" s="9"/>
      <c r="Q8695" s="5"/>
    </row>
    <row r="8696">
      <c r="J8696" s="5"/>
      <c r="P8696" s="9"/>
      <c r="Q8696" s="5"/>
    </row>
    <row r="8697">
      <c r="J8697" s="5"/>
      <c r="P8697" s="9"/>
      <c r="Q8697" s="5"/>
    </row>
    <row r="8698">
      <c r="J8698" s="5"/>
      <c r="P8698" s="9"/>
      <c r="Q8698" s="5"/>
    </row>
    <row r="8699">
      <c r="J8699" s="5"/>
      <c r="P8699" s="9"/>
      <c r="Q8699" s="5"/>
    </row>
    <row r="8700">
      <c r="J8700" s="5"/>
      <c r="P8700" s="9"/>
      <c r="Q8700" s="5"/>
    </row>
    <row r="8701">
      <c r="J8701" s="5"/>
      <c r="P8701" s="9"/>
      <c r="Q8701" s="5"/>
    </row>
    <row r="8702">
      <c r="J8702" s="5"/>
      <c r="P8702" s="9"/>
      <c r="Q8702" s="5"/>
    </row>
    <row r="8703">
      <c r="J8703" s="5"/>
      <c r="P8703" s="9"/>
      <c r="Q8703" s="5"/>
    </row>
    <row r="8704">
      <c r="J8704" s="5"/>
      <c r="P8704" s="9"/>
      <c r="Q8704" s="5"/>
    </row>
    <row r="8705">
      <c r="J8705" s="5"/>
      <c r="P8705" s="9"/>
      <c r="Q8705" s="5"/>
    </row>
    <row r="8706">
      <c r="J8706" s="5"/>
      <c r="P8706" s="9"/>
      <c r="Q8706" s="5"/>
    </row>
    <row r="8707">
      <c r="J8707" s="5"/>
      <c r="P8707" s="9"/>
      <c r="Q8707" s="5"/>
    </row>
    <row r="8708">
      <c r="J8708" s="5"/>
      <c r="P8708" s="9"/>
      <c r="Q8708" s="5"/>
    </row>
    <row r="8709">
      <c r="J8709" s="5"/>
      <c r="P8709" s="9"/>
      <c r="Q8709" s="5"/>
    </row>
    <row r="8710">
      <c r="J8710" s="5"/>
      <c r="P8710" s="9"/>
      <c r="Q8710" s="5"/>
    </row>
    <row r="8711">
      <c r="J8711" s="5"/>
      <c r="P8711" s="9"/>
      <c r="Q8711" s="5"/>
    </row>
    <row r="8712">
      <c r="J8712" s="5"/>
      <c r="P8712" s="9"/>
      <c r="Q8712" s="5"/>
    </row>
    <row r="8713">
      <c r="J8713" s="5"/>
      <c r="P8713" s="9"/>
      <c r="Q8713" s="5"/>
    </row>
    <row r="8714">
      <c r="J8714" s="5"/>
      <c r="P8714" s="9"/>
      <c r="Q8714" s="5"/>
    </row>
    <row r="8715">
      <c r="J8715" s="5"/>
      <c r="P8715" s="9"/>
      <c r="Q8715" s="5"/>
    </row>
    <row r="8716">
      <c r="J8716" s="5"/>
      <c r="P8716" s="9"/>
      <c r="Q8716" s="5"/>
    </row>
    <row r="8717">
      <c r="J8717" s="5"/>
      <c r="P8717" s="9"/>
      <c r="Q8717" s="5"/>
    </row>
    <row r="8718">
      <c r="J8718" s="5"/>
      <c r="P8718" s="9"/>
      <c r="Q8718" s="5"/>
    </row>
    <row r="8719">
      <c r="J8719" s="5"/>
      <c r="P8719" s="9"/>
      <c r="Q8719" s="5"/>
    </row>
    <row r="8720">
      <c r="J8720" s="5"/>
      <c r="P8720" s="9"/>
      <c r="Q8720" s="5"/>
    </row>
    <row r="8721">
      <c r="J8721" s="5"/>
      <c r="P8721" s="9"/>
      <c r="Q8721" s="5"/>
    </row>
    <row r="8722">
      <c r="J8722" s="5"/>
      <c r="P8722" s="9"/>
      <c r="Q8722" s="5"/>
    </row>
    <row r="8723">
      <c r="J8723" s="5"/>
      <c r="P8723" s="9"/>
      <c r="Q8723" s="5"/>
    </row>
    <row r="8724">
      <c r="J8724" s="5"/>
      <c r="P8724" s="9"/>
      <c r="Q8724" s="5"/>
    </row>
    <row r="8725">
      <c r="J8725" s="5"/>
      <c r="P8725" s="9"/>
      <c r="Q8725" s="5"/>
    </row>
    <row r="8726">
      <c r="J8726" s="5"/>
      <c r="P8726" s="9"/>
      <c r="Q8726" s="5"/>
    </row>
    <row r="8727">
      <c r="J8727" s="5"/>
      <c r="P8727" s="9"/>
      <c r="Q8727" s="5"/>
    </row>
    <row r="8728">
      <c r="J8728" s="5"/>
      <c r="P8728" s="9"/>
      <c r="Q8728" s="5"/>
    </row>
    <row r="8729">
      <c r="J8729" s="5"/>
      <c r="P8729" s="9"/>
      <c r="Q8729" s="5"/>
    </row>
    <row r="8730">
      <c r="J8730" s="5"/>
      <c r="P8730" s="9"/>
      <c r="Q8730" s="5"/>
    </row>
    <row r="8731">
      <c r="J8731" s="5"/>
      <c r="P8731" s="9"/>
      <c r="Q8731" s="5"/>
    </row>
    <row r="8732">
      <c r="J8732" s="5"/>
      <c r="P8732" s="9"/>
      <c r="Q8732" s="5"/>
    </row>
    <row r="8733">
      <c r="J8733" s="5"/>
      <c r="P8733" s="9"/>
      <c r="Q8733" s="5"/>
    </row>
    <row r="8734">
      <c r="J8734" s="5"/>
      <c r="P8734" s="9"/>
      <c r="Q8734" s="5"/>
    </row>
    <row r="8735">
      <c r="J8735" s="5"/>
      <c r="P8735" s="9"/>
      <c r="Q8735" s="5"/>
    </row>
    <row r="8736">
      <c r="J8736" s="5"/>
      <c r="P8736" s="9"/>
      <c r="Q8736" s="5"/>
    </row>
    <row r="8737">
      <c r="J8737" s="5"/>
      <c r="P8737" s="9"/>
      <c r="Q8737" s="5"/>
    </row>
    <row r="8738">
      <c r="J8738" s="5"/>
      <c r="P8738" s="9"/>
      <c r="Q8738" s="5"/>
    </row>
    <row r="8739">
      <c r="J8739" s="5"/>
      <c r="P8739" s="9"/>
      <c r="Q8739" s="5"/>
    </row>
    <row r="8740">
      <c r="J8740" s="5"/>
      <c r="P8740" s="9"/>
      <c r="Q8740" s="5"/>
    </row>
    <row r="8741">
      <c r="J8741" s="5"/>
      <c r="P8741" s="9"/>
      <c r="Q8741" s="5"/>
    </row>
    <row r="8742">
      <c r="J8742" s="5"/>
      <c r="P8742" s="9"/>
      <c r="Q8742" s="5"/>
    </row>
    <row r="8743">
      <c r="J8743" s="5"/>
      <c r="P8743" s="9"/>
      <c r="Q8743" s="5"/>
    </row>
    <row r="8744">
      <c r="J8744" s="5"/>
      <c r="P8744" s="9"/>
      <c r="Q8744" s="5"/>
    </row>
    <row r="8745">
      <c r="J8745" s="5"/>
      <c r="P8745" s="9"/>
      <c r="Q8745" s="5"/>
    </row>
    <row r="8746">
      <c r="J8746" s="5"/>
      <c r="P8746" s="9"/>
      <c r="Q8746" s="5"/>
    </row>
    <row r="8747">
      <c r="J8747" s="5"/>
      <c r="P8747" s="9"/>
      <c r="Q8747" s="5"/>
    </row>
    <row r="8748">
      <c r="J8748" s="5"/>
      <c r="P8748" s="9"/>
      <c r="Q8748" s="5"/>
    </row>
    <row r="8749">
      <c r="J8749" s="5"/>
      <c r="P8749" s="9"/>
      <c r="Q8749" s="5"/>
    </row>
    <row r="8750">
      <c r="J8750" s="5"/>
      <c r="P8750" s="9"/>
      <c r="Q8750" s="5"/>
    </row>
    <row r="8751">
      <c r="J8751" s="5"/>
      <c r="P8751" s="9"/>
      <c r="Q8751" s="5"/>
    </row>
    <row r="8752">
      <c r="J8752" s="5"/>
      <c r="P8752" s="9"/>
      <c r="Q8752" s="5"/>
    </row>
    <row r="8753">
      <c r="J8753" s="5"/>
      <c r="P8753" s="9"/>
      <c r="Q8753" s="5"/>
    </row>
    <row r="8754">
      <c r="J8754" s="5"/>
      <c r="P8754" s="9"/>
      <c r="Q8754" s="5"/>
    </row>
    <row r="8755">
      <c r="J8755" s="5"/>
      <c r="P8755" s="9"/>
      <c r="Q8755" s="5"/>
    </row>
    <row r="8756">
      <c r="J8756" s="5"/>
      <c r="P8756" s="9"/>
      <c r="Q8756" s="5"/>
    </row>
    <row r="8757">
      <c r="J8757" s="5"/>
      <c r="P8757" s="9"/>
      <c r="Q8757" s="5"/>
    </row>
    <row r="8758">
      <c r="J8758" s="5"/>
      <c r="P8758" s="9"/>
      <c r="Q8758" s="5"/>
    </row>
    <row r="8759">
      <c r="J8759" s="5"/>
      <c r="P8759" s="9"/>
      <c r="Q8759" s="5"/>
    </row>
    <row r="8760">
      <c r="J8760" s="5"/>
      <c r="P8760" s="9"/>
      <c r="Q8760" s="5"/>
    </row>
    <row r="8761">
      <c r="J8761" s="5"/>
      <c r="P8761" s="9"/>
      <c r="Q8761" s="5"/>
    </row>
    <row r="8762">
      <c r="J8762" s="5"/>
      <c r="P8762" s="9"/>
      <c r="Q8762" s="5"/>
    </row>
    <row r="8763">
      <c r="J8763" s="5"/>
      <c r="P8763" s="9"/>
      <c r="Q8763" s="5"/>
    </row>
    <row r="8764">
      <c r="J8764" s="5"/>
      <c r="P8764" s="9"/>
      <c r="Q8764" s="5"/>
    </row>
    <row r="8765">
      <c r="J8765" s="5"/>
      <c r="P8765" s="9"/>
      <c r="Q8765" s="5"/>
    </row>
    <row r="8766">
      <c r="J8766" s="5"/>
      <c r="P8766" s="9"/>
      <c r="Q8766" s="5"/>
    </row>
    <row r="8767">
      <c r="J8767" s="5"/>
      <c r="P8767" s="9"/>
      <c r="Q8767" s="5"/>
    </row>
    <row r="8768">
      <c r="J8768" s="5"/>
      <c r="P8768" s="9"/>
      <c r="Q8768" s="5"/>
    </row>
    <row r="8769">
      <c r="J8769" s="5"/>
      <c r="P8769" s="9"/>
      <c r="Q8769" s="5"/>
    </row>
    <row r="8770">
      <c r="J8770" s="5"/>
      <c r="P8770" s="9"/>
      <c r="Q8770" s="5"/>
    </row>
    <row r="8771">
      <c r="J8771" s="5"/>
      <c r="P8771" s="9"/>
      <c r="Q8771" s="5"/>
    </row>
    <row r="8772">
      <c r="J8772" s="5"/>
      <c r="P8772" s="9"/>
      <c r="Q8772" s="5"/>
    </row>
    <row r="8773">
      <c r="J8773" s="5"/>
      <c r="P8773" s="9"/>
      <c r="Q8773" s="5"/>
    </row>
    <row r="8774">
      <c r="J8774" s="5"/>
      <c r="P8774" s="9"/>
      <c r="Q8774" s="5"/>
    </row>
    <row r="8775">
      <c r="J8775" s="5"/>
      <c r="P8775" s="9"/>
      <c r="Q8775" s="5"/>
    </row>
    <row r="8776">
      <c r="J8776" s="5"/>
      <c r="P8776" s="9"/>
      <c r="Q8776" s="5"/>
    </row>
    <row r="8777">
      <c r="J8777" s="5"/>
      <c r="P8777" s="9"/>
      <c r="Q8777" s="5"/>
    </row>
    <row r="8778">
      <c r="J8778" s="5"/>
      <c r="P8778" s="9"/>
      <c r="Q8778" s="5"/>
    </row>
    <row r="8779">
      <c r="J8779" s="5"/>
      <c r="P8779" s="9"/>
      <c r="Q8779" s="5"/>
    </row>
    <row r="8780">
      <c r="J8780" s="5"/>
      <c r="P8780" s="9"/>
      <c r="Q8780" s="5"/>
    </row>
    <row r="8781">
      <c r="J8781" s="5"/>
      <c r="P8781" s="9"/>
      <c r="Q8781" s="5"/>
    </row>
    <row r="8782">
      <c r="J8782" s="5"/>
      <c r="P8782" s="9"/>
      <c r="Q8782" s="5"/>
    </row>
    <row r="8783">
      <c r="J8783" s="5"/>
      <c r="P8783" s="9"/>
      <c r="Q8783" s="5"/>
    </row>
    <row r="8784">
      <c r="J8784" s="5"/>
      <c r="P8784" s="9"/>
      <c r="Q8784" s="5"/>
    </row>
    <row r="8785">
      <c r="J8785" s="5"/>
      <c r="P8785" s="9"/>
      <c r="Q8785" s="5"/>
    </row>
    <row r="8786">
      <c r="J8786" s="5"/>
      <c r="P8786" s="9"/>
      <c r="Q8786" s="5"/>
    </row>
    <row r="8787">
      <c r="J8787" s="5"/>
      <c r="P8787" s="9"/>
      <c r="Q8787" s="5"/>
    </row>
    <row r="8788">
      <c r="J8788" s="5"/>
      <c r="P8788" s="9"/>
      <c r="Q8788" s="5"/>
    </row>
    <row r="8789">
      <c r="J8789" s="5"/>
      <c r="P8789" s="9"/>
      <c r="Q8789" s="5"/>
    </row>
    <row r="8790">
      <c r="J8790" s="5"/>
      <c r="P8790" s="9"/>
      <c r="Q8790" s="5"/>
    </row>
    <row r="8791">
      <c r="J8791" s="5"/>
      <c r="P8791" s="9"/>
      <c r="Q8791" s="5"/>
    </row>
    <row r="8792">
      <c r="J8792" s="5"/>
      <c r="P8792" s="9"/>
      <c r="Q8792" s="5"/>
    </row>
    <row r="8793">
      <c r="J8793" s="5"/>
      <c r="P8793" s="9"/>
      <c r="Q8793" s="5"/>
    </row>
    <row r="8794">
      <c r="J8794" s="5"/>
      <c r="P8794" s="9"/>
      <c r="Q8794" s="5"/>
    </row>
    <row r="8795">
      <c r="J8795" s="5"/>
      <c r="P8795" s="9"/>
      <c r="Q8795" s="5"/>
    </row>
    <row r="8796">
      <c r="J8796" s="5"/>
      <c r="P8796" s="9"/>
      <c r="Q8796" s="5"/>
    </row>
    <row r="8797">
      <c r="J8797" s="5"/>
      <c r="P8797" s="9"/>
      <c r="Q8797" s="5"/>
    </row>
    <row r="8798">
      <c r="J8798" s="5"/>
      <c r="P8798" s="9"/>
      <c r="Q8798" s="5"/>
    </row>
    <row r="8799">
      <c r="J8799" s="5"/>
      <c r="P8799" s="9"/>
      <c r="Q8799" s="5"/>
    </row>
    <row r="8800">
      <c r="J8800" s="5"/>
      <c r="P8800" s="9"/>
      <c r="Q8800" s="5"/>
    </row>
    <row r="8801">
      <c r="J8801" s="5"/>
      <c r="P8801" s="9"/>
      <c r="Q8801" s="5"/>
    </row>
    <row r="8802">
      <c r="J8802" s="5"/>
      <c r="P8802" s="9"/>
      <c r="Q8802" s="5"/>
    </row>
    <row r="8803">
      <c r="J8803" s="5"/>
      <c r="P8803" s="9"/>
      <c r="Q8803" s="5"/>
    </row>
    <row r="8804">
      <c r="J8804" s="5"/>
      <c r="P8804" s="9"/>
      <c r="Q8804" s="5"/>
    </row>
    <row r="8805">
      <c r="J8805" s="5"/>
      <c r="P8805" s="9"/>
      <c r="Q8805" s="5"/>
    </row>
    <row r="8806">
      <c r="J8806" s="5"/>
      <c r="P8806" s="9"/>
      <c r="Q8806" s="5"/>
    </row>
    <row r="8807">
      <c r="J8807" s="5"/>
      <c r="P8807" s="9"/>
      <c r="Q8807" s="5"/>
    </row>
    <row r="8808">
      <c r="J8808" s="5"/>
      <c r="P8808" s="9"/>
      <c r="Q8808" s="5"/>
    </row>
    <row r="8809">
      <c r="J8809" s="5"/>
      <c r="P8809" s="9"/>
      <c r="Q8809" s="5"/>
    </row>
    <row r="8810">
      <c r="J8810" s="5"/>
      <c r="P8810" s="9"/>
      <c r="Q8810" s="5"/>
    </row>
    <row r="8811">
      <c r="J8811" s="5"/>
      <c r="P8811" s="9"/>
      <c r="Q8811" s="5"/>
    </row>
    <row r="8812">
      <c r="J8812" s="5"/>
      <c r="P8812" s="9"/>
      <c r="Q8812" s="5"/>
    </row>
    <row r="8813">
      <c r="J8813" s="5"/>
      <c r="P8813" s="9"/>
      <c r="Q8813" s="5"/>
    </row>
    <row r="8814">
      <c r="J8814" s="5"/>
      <c r="P8814" s="9"/>
      <c r="Q8814" s="5"/>
    </row>
    <row r="8815">
      <c r="J8815" s="5"/>
      <c r="P8815" s="9"/>
      <c r="Q8815" s="5"/>
    </row>
    <row r="8816">
      <c r="J8816" s="5"/>
      <c r="P8816" s="9"/>
      <c r="Q8816" s="5"/>
    </row>
    <row r="8817">
      <c r="J8817" s="5"/>
      <c r="P8817" s="9"/>
      <c r="Q8817" s="5"/>
    </row>
    <row r="8818">
      <c r="J8818" s="5"/>
      <c r="P8818" s="9"/>
      <c r="Q8818" s="5"/>
    </row>
    <row r="8819">
      <c r="J8819" s="5"/>
      <c r="P8819" s="9"/>
      <c r="Q8819" s="5"/>
    </row>
    <row r="8820">
      <c r="J8820" s="5"/>
      <c r="P8820" s="9"/>
      <c r="Q8820" s="5"/>
    </row>
    <row r="8821">
      <c r="J8821" s="5"/>
      <c r="P8821" s="9"/>
      <c r="Q8821" s="5"/>
    </row>
    <row r="8822">
      <c r="J8822" s="5"/>
      <c r="P8822" s="9"/>
      <c r="Q8822" s="5"/>
    </row>
    <row r="8823">
      <c r="J8823" s="5"/>
      <c r="P8823" s="9"/>
      <c r="Q8823" s="5"/>
    </row>
    <row r="8824">
      <c r="J8824" s="5"/>
      <c r="P8824" s="9"/>
      <c r="Q8824" s="5"/>
    </row>
    <row r="8825">
      <c r="J8825" s="5"/>
      <c r="P8825" s="9"/>
      <c r="Q8825" s="5"/>
    </row>
    <row r="8826">
      <c r="J8826" s="5"/>
      <c r="P8826" s="9"/>
      <c r="Q8826" s="5"/>
    </row>
    <row r="8827">
      <c r="J8827" s="5"/>
      <c r="P8827" s="9"/>
      <c r="Q8827" s="5"/>
    </row>
    <row r="8828">
      <c r="J8828" s="5"/>
      <c r="P8828" s="9"/>
      <c r="Q8828" s="5"/>
    </row>
    <row r="8829">
      <c r="J8829" s="5"/>
      <c r="P8829" s="9"/>
      <c r="Q8829" s="5"/>
    </row>
    <row r="8830">
      <c r="J8830" s="5"/>
      <c r="P8830" s="9"/>
      <c r="Q8830" s="5"/>
    </row>
    <row r="8831">
      <c r="J8831" s="5"/>
      <c r="P8831" s="9"/>
      <c r="Q8831" s="5"/>
    </row>
    <row r="8832">
      <c r="J8832" s="5"/>
      <c r="P8832" s="9"/>
      <c r="Q8832" s="5"/>
    </row>
    <row r="8833">
      <c r="J8833" s="5"/>
      <c r="P8833" s="9"/>
      <c r="Q8833" s="5"/>
    </row>
    <row r="8834">
      <c r="J8834" s="5"/>
      <c r="P8834" s="9"/>
      <c r="Q8834" s="5"/>
    </row>
    <row r="8835">
      <c r="J8835" s="5"/>
      <c r="P8835" s="9"/>
      <c r="Q8835" s="5"/>
    </row>
    <row r="8836">
      <c r="J8836" s="5"/>
      <c r="P8836" s="9"/>
      <c r="Q8836" s="5"/>
    </row>
    <row r="8837">
      <c r="J8837" s="5"/>
      <c r="P8837" s="9"/>
      <c r="Q8837" s="5"/>
    </row>
    <row r="8838">
      <c r="J8838" s="5"/>
      <c r="P8838" s="9"/>
      <c r="Q8838" s="5"/>
    </row>
    <row r="8839">
      <c r="J8839" s="5"/>
      <c r="P8839" s="9"/>
      <c r="Q8839" s="5"/>
    </row>
    <row r="8840">
      <c r="J8840" s="5"/>
      <c r="P8840" s="9"/>
      <c r="Q8840" s="5"/>
    </row>
    <row r="8841">
      <c r="J8841" s="5"/>
      <c r="P8841" s="9"/>
      <c r="Q8841" s="5"/>
    </row>
    <row r="8842">
      <c r="J8842" s="5"/>
      <c r="P8842" s="9"/>
      <c r="Q8842" s="5"/>
    </row>
    <row r="8843">
      <c r="J8843" s="5"/>
      <c r="P8843" s="9"/>
      <c r="Q8843" s="5"/>
    </row>
    <row r="8844">
      <c r="J8844" s="5"/>
      <c r="P8844" s="9"/>
      <c r="Q8844" s="5"/>
    </row>
    <row r="8845">
      <c r="J8845" s="5"/>
      <c r="P8845" s="9"/>
      <c r="Q8845" s="5"/>
    </row>
    <row r="8846">
      <c r="J8846" s="5"/>
      <c r="P8846" s="9"/>
      <c r="Q8846" s="5"/>
    </row>
    <row r="8847">
      <c r="J8847" s="5"/>
      <c r="P8847" s="9"/>
      <c r="Q8847" s="5"/>
    </row>
    <row r="8848">
      <c r="J8848" s="5"/>
      <c r="P8848" s="9"/>
      <c r="Q8848" s="5"/>
    </row>
    <row r="8849">
      <c r="J8849" s="5"/>
      <c r="P8849" s="9"/>
      <c r="Q8849" s="5"/>
    </row>
    <row r="8850">
      <c r="J8850" s="5"/>
      <c r="P8850" s="9"/>
      <c r="Q8850" s="5"/>
    </row>
    <row r="8851">
      <c r="J8851" s="5"/>
      <c r="P8851" s="9"/>
      <c r="Q8851" s="5"/>
    </row>
    <row r="8852">
      <c r="J8852" s="5"/>
      <c r="P8852" s="9"/>
      <c r="Q8852" s="5"/>
    </row>
    <row r="8853">
      <c r="J8853" s="5"/>
      <c r="P8853" s="9"/>
      <c r="Q8853" s="5"/>
    </row>
    <row r="8854">
      <c r="J8854" s="5"/>
      <c r="P8854" s="9"/>
      <c r="Q8854" s="5"/>
    </row>
    <row r="8855">
      <c r="J8855" s="5"/>
      <c r="P8855" s="9"/>
      <c r="Q8855" s="5"/>
    </row>
    <row r="8856">
      <c r="J8856" s="5"/>
      <c r="P8856" s="9"/>
      <c r="Q8856" s="5"/>
    </row>
    <row r="8857">
      <c r="J8857" s="5"/>
      <c r="P8857" s="9"/>
      <c r="Q8857" s="5"/>
    </row>
    <row r="8858">
      <c r="J8858" s="5"/>
      <c r="P8858" s="9"/>
      <c r="Q8858" s="5"/>
    </row>
    <row r="8859">
      <c r="J8859" s="5"/>
      <c r="P8859" s="9"/>
      <c r="Q8859" s="5"/>
    </row>
    <row r="8860">
      <c r="J8860" s="5"/>
      <c r="P8860" s="9"/>
      <c r="Q8860" s="5"/>
    </row>
    <row r="8861">
      <c r="J8861" s="5"/>
      <c r="P8861" s="9"/>
      <c r="Q8861" s="5"/>
    </row>
    <row r="8862">
      <c r="J8862" s="5"/>
      <c r="P8862" s="9"/>
      <c r="Q8862" s="5"/>
    </row>
    <row r="8863">
      <c r="J8863" s="5"/>
      <c r="P8863" s="9"/>
      <c r="Q8863" s="5"/>
    </row>
    <row r="8864">
      <c r="J8864" s="5"/>
      <c r="P8864" s="9"/>
      <c r="Q8864" s="5"/>
    </row>
    <row r="8865">
      <c r="J8865" s="5"/>
      <c r="P8865" s="9"/>
      <c r="Q8865" s="5"/>
    </row>
    <row r="8866">
      <c r="J8866" s="5"/>
      <c r="P8866" s="9"/>
      <c r="Q8866" s="5"/>
    </row>
    <row r="8867">
      <c r="J8867" s="5"/>
      <c r="P8867" s="9"/>
      <c r="Q8867" s="5"/>
    </row>
    <row r="8868">
      <c r="J8868" s="5"/>
      <c r="P8868" s="9"/>
      <c r="Q8868" s="5"/>
    </row>
    <row r="8869">
      <c r="J8869" s="5"/>
      <c r="P8869" s="9"/>
      <c r="Q8869" s="5"/>
    </row>
    <row r="8870">
      <c r="J8870" s="5"/>
      <c r="P8870" s="9"/>
      <c r="Q8870" s="5"/>
    </row>
    <row r="8871">
      <c r="J8871" s="5"/>
      <c r="P8871" s="9"/>
      <c r="Q8871" s="5"/>
    </row>
    <row r="8872">
      <c r="J8872" s="5"/>
      <c r="P8872" s="9"/>
      <c r="Q8872" s="5"/>
    </row>
    <row r="8873">
      <c r="J8873" s="5"/>
      <c r="P8873" s="9"/>
      <c r="Q8873" s="5"/>
    </row>
    <row r="8874">
      <c r="J8874" s="5"/>
      <c r="P8874" s="9"/>
      <c r="Q8874" s="5"/>
    </row>
    <row r="8875">
      <c r="J8875" s="5"/>
      <c r="P8875" s="9"/>
      <c r="Q8875" s="5"/>
    </row>
    <row r="8876">
      <c r="J8876" s="5"/>
      <c r="P8876" s="9"/>
      <c r="Q8876" s="5"/>
    </row>
    <row r="8877">
      <c r="J8877" s="5"/>
      <c r="P8877" s="9"/>
      <c r="Q8877" s="5"/>
    </row>
    <row r="8878">
      <c r="J8878" s="5"/>
      <c r="P8878" s="9"/>
      <c r="Q8878" s="5"/>
    </row>
    <row r="8879">
      <c r="J8879" s="5"/>
      <c r="P8879" s="9"/>
      <c r="Q8879" s="5"/>
    </row>
    <row r="8880">
      <c r="J8880" s="5"/>
      <c r="P8880" s="9"/>
      <c r="Q8880" s="5"/>
    </row>
    <row r="8881">
      <c r="J8881" s="5"/>
      <c r="P8881" s="9"/>
      <c r="Q8881" s="5"/>
    </row>
    <row r="8882">
      <c r="J8882" s="5"/>
      <c r="P8882" s="9"/>
      <c r="Q8882" s="5"/>
    </row>
    <row r="8883">
      <c r="J8883" s="5"/>
      <c r="P8883" s="9"/>
      <c r="Q8883" s="5"/>
    </row>
    <row r="8884">
      <c r="J8884" s="5"/>
      <c r="P8884" s="9"/>
      <c r="Q8884" s="5"/>
    </row>
    <row r="8885">
      <c r="J8885" s="5"/>
      <c r="P8885" s="9"/>
      <c r="Q8885" s="5"/>
    </row>
    <row r="8886">
      <c r="J8886" s="5"/>
      <c r="P8886" s="9"/>
      <c r="Q8886" s="5"/>
    </row>
    <row r="8887">
      <c r="J8887" s="5"/>
      <c r="P8887" s="9"/>
      <c r="Q8887" s="5"/>
    </row>
    <row r="8888">
      <c r="J8888" s="5"/>
      <c r="P8888" s="9"/>
      <c r="Q8888" s="5"/>
    </row>
    <row r="8889">
      <c r="J8889" s="5"/>
      <c r="P8889" s="9"/>
      <c r="Q8889" s="5"/>
    </row>
    <row r="8890">
      <c r="J8890" s="5"/>
      <c r="P8890" s="9"/>
      <c r="Q8890" s="5"/>
    </row>
    <row r="8891">
      <c r="J8891" s="5"/>
      <c r="P8891" s="9"/>
      <c r="Q8891" s="5"/>
    </row>
    <row r="8892">
      <c r="J8892" s="5"/>
      <c r="P8892" s="9"/>
      <c r="Q8892" s="5"/>
    </row>
    <row r="8893">
      <c r="J8893" s="5"/>
      <c r="P8893" s="9"/>
      <c r="Q8893" s="5"/>
    </row>
    <row r="8894">
      <c r="J8894" s="5"/>
      <c r="P8894" s="9"/>
      <c r="Q8894" s="5"/>
    </row>
    <row r="8895">
      <c r="J8895" s="5"/>
      <c r="P8895" s="9"/>
      <c r="Q8895" s="5"/>
    </row>
    <row r="8896">
      <c r="J8896" s="5"/>
      <c r="P8896" s="9"/>
      <c r="Q8896" s="5"/>
    </row>
    <row r="8897">
      <c r="J8897" s="5"/>
      <c r="P8897" s="9"/>
      <c r="Q8897" s="5"/>
    </row>
    <row r="8898">
      <c r="J8898" s="5"/>
      <c r="P8898" s="9"/>
      <c r="Q8898" s="5"/>
    </row>
    <row r="8899">
      <c r="J8899" s="5"/>
      <c r="P8899" s="9"/>
      <c r="Q8899" s="5"/>
    </row>
    <row r="8900">
      <c r="J8900" s="5"/>
      <c r="P8900" s="9"/>
      <c r="Q8900" s="5"/>
    </row>
    <row r="8901">
      <c r="J8901" s="5"/>
      <c r="P8901" s="9"/>
      <c r="Q8901" s="5"/>
    </row>
    <row r="8902">
      <c r="J8902" s="5"/>
      <c r="P8902" s="9"/>
      <c r="Q8902" s="5"/>
    </row>
    <row r="8903">
      <c r="J8903" s="5"/>
      <c r="P8903" s="9"/>
      <c r="Q8903" s="5"/>
    </row>
    <row r="8904">
      <c r="J8904" s="5"/>
      <c r="P8904" s="9"/>
      <c r="Q8904" s="5"/>
    </row>
    <row r="8905">
      <c r="J8905" s="5"/>
      <c r="P8905" s="9"/>
      <c r="Q8905" s="5"/>
    </row>
    <row r="8906">
      <c r="J8906" s="5"/>
      <c r="P8906" s="9"/>
      <c r="Q8906" s="5"/>
    </row>
    <row r="8907">
      <c r="J8907" s="5"/>
      <c r="P8907" s="9"/>
      <c r="Q8907" s="5"/>
    </row>
    <row r="8908">
      <c r="J8908" s="5"/>
      <c r="P8908" s="9"/>
      <c r="Q8908" s="5"/>
    </row>
    <row r="8909">
      <c r="J8909" s="5"/>
      <c r="P8909" s="9"/>
      <c r="Q8909" s="5"/>
    </row>
    <row r="8910">
      <c r="J8910" s="5"/>
      <c r="P8910" s="9"/>
      <c r="Q8910" s="5"/>
    </row>
    <row r="8911">
      <c r="J8911" s="5"/>
      <c r="P8911" s="9"/>
      <c r="Q8911" s="5"/>
    </row>
    <row r="8912">
      <c r="J8912" s="5"/>
      <c r="P8912" s="9"/>
      <c r="Q8912" s="5"/>
    </row>
    <row r="8913">
      <c r="J8913" s="5"/>
      <c r="P8913" s="9"/>
      <c r="Q8913" s="5"/>
    </row>
    <row r="8914">
      <c r="J8914" s="5"/>
      <c r="P8914" s="9"/>
      <c r="Q8914" s="5"/>
    </row>
    <row r="8915">
      <c r="J8915" s="5"/>
      <c r="P8915" s="9"/>
      <c r="Q8915" s="5"/>
    </row>
    <row r="8916">
      <c r="J8916" s="5"/>
      <c r="P8916" s="9"/>
      <c r="Q8916" s="5"/>
    </row>
    <row r="8917">
      <c r="J8917" s="5"/>
      <c r="P8917" s="9"/>
      <c r="Q8917" s="5"/>
    </row>
    <row r="8918">
      <c r="J8918" s="5"/>
      <c r="P8918" s="9"/>
      <c r="Q8918" s="5"/>
    </row>
    <row r="8919">
      <c r="J8919" s="5"/>
      <c r="P8919" s="9"/>
      <c r="Q8919" s="5"/>
    </row>
    <row r="8920">
      <c r="J8920" s="5"/>
      <c r="P8920" s="9"/>
      <c r="Q8920" s="5"/>
    </row>
    <row r="8921">
      <c r="J8921" s="5"/>
      <c r="P8921" s="9"/>
      <c r="Q8921" s="5"/>
    </row>
    <row r="8922">
      <c r="J8922" s="5"/>
      <c r="P8922" s="9"/>
      <c r="Q8922" s="5"/>
    </row>
    <row r="8923">
      <c r="J8923" s="5"/>
      <c r="P8923" s="9"/>
      <c r="Q8923" s="5"/>
    </row>
    <row r="8924">
      <c r="J8924" s="5"/>
      <c r="P8924" s="9"/>
      <c r="Q8924" s="5"/>
    </row>
    <row r="8925">
      <c r="J8925" s="5"/>
      <c r="P8925" s="9"/>
      <c r="Q8925" s="5"/>
    </row>
    <row r="8926">
      <c r="J8926" s="5"/>
      <c r="P8926" s="9"/>
      <c r="Q8926" s="5"/>
    </row>
    <row r="8927">
      <c r="J8927" s="5"/>
      <c r="P8927" s="9"/>
      <c r="Q8927" s="5"/>
    </row>
    <row r="8928">
      <c r="J8928" s="5"/>
      <c r="P8928" s="9"/>
      <c r="Q8928" s="5"/>
    </row>
    <row r="8929">
      <c r="J8929" s="5"/>
      <c r="P8929" s="9"/>
      <c r="Q8929" s="5"/>
    </row>
    <row r="8930">
      <c r="J8930" s="5"/>
      <c r="P8930" s="9"/>
      <c r="Q8930" s="5"/>
    </row>
    <row r="8931">
      <c r="J8931" s="5"/>
      <c r="P8931" s="9"/>
      <c r="Q8931" s="5"/>
    </row>
    <row r="8932">
      <c r="J8932" s="5"/>
      <c r="P8932" s="9"/>
      <c r="Q8932" s="5"/>
    </row>
    <row r="8933">
      <c r="J8933" s="5"/>
      <c r="P8933" s="9"/>
      <c r="Q8933" s="5"/>
    </row>
    <row r="8934">
      <c r="J8934" s="5"/>
      <c r="P8934" s="9"/>
      <c r="Q8934" s="5"/>
    </row>
    <row r="8935">
      <c r="J8935" s="5"/>
      <c r="P8935" s="9"/>
      <c r="Q8935" s="5"/>
    </row>
    <row r="8936">
      <c r="J8936" s="5"/>
      <c r="P8936" s="9"/>
      <c r="Q8936" s="5"/>
    </row>
    <row r="8937">
      <c r="J8937" s="5"/>
      <c r="P8937" s="9"/>
      <c r="Q8937" s="5"/>
    </row>
    <row r="8938">
      <c r="J8938" s="5"/>
      <c r="P8938" s="9"/>
      <c r="Q8938" s="5"/>
    </row>
    <row r="8939">
      <c r="J8939" s="5"/>
      <c r="P8939" s="9"/>
      <c r="Q8939" s="5"/>
    </row>
    <row r="8940">
      <c r="J8940" s="5"/>
      <c r="P8940" s="9"/>
      <c r="Q8940" s="5"/>
    </row>
    <row r="8941">
      <c r="J8941" s="5"/>
      <c r="P8941" s="9"/>
      <c r="Q8941" s="5"/>
    </row>
    <row r="8942">
      <c r="J8942" s="5"/>
      <c r="P8942" s="9"/>
      <c r="Q8942" s="5"/>
    </row>
    <row r="8943">
      <c r="J8943" s="5"/>
      <c r="P8943" s="9"/>
      <c r="Q8943" s="5"/>
    </row>
    <row r="8944">
      <c r="J8944" s="5"/>
      <c r="P8944" s="9"/>
      <c r="Q8944" s="5"/>
    </row>
    <row r="8945">
      <c r="J8945" s="5"/>
      <c r="P8945" s="9"/>
      <c r="Q8945" s="5"/>
    </row>
    <row r="8946">
      <c r="J8946" s="5"/>
      <c r="P8946" s="9"/>
      <c r="Q8946" s="5"/>
    </row>
    <row r="8947">
      <c r="J8947" s="5"/>
      <c r="P8947" s="9"/>
      <c r="Q8947" s="5"/>
    </row>
    <row r="8948">
      <c r="J8948" s="5"/>
      <c r="P8948" s="9"/>
      <c r="Q8948" s="5"/>
    </row>
    <row r="8949">
      <c r="J8949" s="5"/>
      <c r="P8949" s="9"/>
      <c r="Q8949" s="5"/>
    </row>
    <row r="8950">
      <c r="J8950" s="5"/>
      <c r="P8950" s="9"/>
      <c r="Q8950" s="5"/>
    </row>
    <row r="8951">
      <c r="J8951" s="5"/>
      <c r="P8951" s="9"/>
      <c r="Q8951" s="5"/>
    </row>
    <row r="8952">
      <c r="J8952" s="5"/>
      <c r="P8952" s="9"/>
      <c r="Q8952" s="5"/>
    </row>
    <row r="8953">
      <c r="J8953" s="5"/>
      <c r="P8953" s="9"/>
      <c r="Q8953" s="5"/>
    </row>
    <row r="8954">
      <c r="J8954" s="5"/>
      <c r="P8954" s="9"/>
      <c r="Q8954" s="5"/>
    </row>
    <row r="8955">
      <c r="J8955" s="5"/>
      <c r="P8955" s="9"/>
      <c r="Q8955" s="5"/>
    </row>
    <row r="8956">
      <c r="J8956" s="5"/>
      <c r="P8956" s="9"/>
      <c r="Q8956" s="5"/>
    </row>
    <row r="8957">
      <c r="J8957" s="5"/>
      <c r="P8957" s="9"/>
      <c r="Q8957" s="5"/>
    </row>
    <row r="8958">
      <c r="J8958" s="5"/>
      <c r="P8958" s="9"/>
      <c r="Q8958" s="5"/>
    </row>
    <row r="8959">
      <c r="J8959" s="5"/>
      <c r="P8959" s="9"/>
      <c r="Q8959" s="5"/>
    </row>
    <row r="8960">
      <c r="J8960" s="5"/>
      <c r="P8960" s="9"/>
      <c r="Q8960" s="5"/>
    </row>
    <row r="8961">
      <c r="J8961" s="5"/>
      <c r="P8961" s="9"/>
      <c r="Q8961" s="5"/>
    </row>
    <row r="8962">
      <c r="J8962" s="5"/>
      <c r="P8962" s="9"/>
      <c r="Q8962" s="5"/>
    </row>
    <row r="8963">
      <c r="J8963" s="5"/>
      <c r="P8963" s="9"/>
      <c r="Q8963" s="5"/>
    </row>
    <row r="8964">
      <c r="J8964" s="5"/>
      <c r="P8964" s="9"/>
      <c r="Q8964" s="5"/>
    </row>
    <row r="8965">
      <c r="J8965" s="5"/>
      <c r="P8965" s="9"/>
      <c r="Q8965" s="5"/>
    </row>
    <row r="8966">
      <c r="J8966" s="5"/>
      <c r="P8966" s="9"/>
      <c r="Q8966" s="5"/>
    </row>
    <row r="8967">
      <c r="J8967" s="5"/>
      <c r="P8967" s="9"/>
      <c r="Q8967" s="5"/>
    </row>
    <row r="8968">
      <c r="J8968" s="5"/>
      <c r="P8968" s="9"/>
      <c r="Q8968" s="5"/>
    </row>
    <row r="8969">
      <c r="J8969" s="5"/>
      <c r="P8969" s="9"/>
      <c r="Q8969" s="5"/>
    </row>
    <row r="8970">
      <c r="J8970" s="5"/>
      <c r="P8970" s="9"/>
      <c r="Q8970" s="5"/>
    </row>
    <row r="8971">
      <c r="J8971" s="5"/>
      <c r="P8971" s="9"/>
      <c r="Q8971" s="5"/>
    </row>
    <row r="8972">
      <c r="J8972" s="5"/>
      <c r="P8972" s="9"/>
      <c r="Q8972" s="5"/>
    </row>
    <row r="8973">
      <c r="J8973" s="5"/>
      <c r="P8973" s="9"/>
      <c r="Q8973" s="5"/>
    </row>
    <row r="8974">
      <c r="J8974" s="5"/>
      <c r="P8974" s="9"/>
      <c r="Q8974" s="5"/>
    </row>
    <row r="8975">
      <c r="J8975" s="5"/>
      <c r="P8975" s="9"/>
      <c r="Q8975" s="5"/>
    </row>
    <row r="8976">
      <c r="J8976" s="5"/>
      <c r="P8976" s="9"/>
      <c r="Q8976" s="5"/>
    </row>
    <row r="8977">
      <c r="J8977" s="5"/>
      <c r="P8977" s="9"/>
      <c r="Q8977" s="5"/>
    </row>
    <row r="8978">
      <c r="J8978" s="5"/>
      <c r="P8978" s="9"/>
      <c r="Q8978" s="5"/>
    </row>
    <row r="8979">
      <c r="J8979" s="5"/>
      <c r="P8979" s="9"/>
      <c r="Q8979" s="5"/>
    </row>
    <row r="8980">
      <c r="J8980" s="5"/>
      <c r="P8980" s="9"/>
      <c r="Q8980" s="5"/>
    </row>
    <row r="8981">
      <c r="J8981" s="5"/>
      <c r="P8981" s="9"/>
      <c r="Q8981" s="5"/>
    </row>
    <row r="8982">
      <c r="J8982" s="5"/>
      <c r="P8982" s="9"/>
      <c r="Q8982" s="5"/>
    </row>
    <row r="8983">
      <c r="J8983" s="5"/>
      <c r="P8983" s="9"/>
      <c r="Q8983" s="5"/>
    </row>
    <row r="8984">
      <c r="J8984" s="5"/>
      <c r="P8984" s="9"/>
      <c r="Q8984" s="5"/>
    </row>
    <row r="8985">
      <c r="J8985" s="5"/>
      <c r="P8985" s="9"/>
      <c r="Q8985" s="5"/>
    </row>
    <row r="8986">
      <c r="J8986" s="5"/>
      <c r="P8986" s="9"/>
      <c r="Q8986" s="5"/>
    </row>
    <row r="8987">
      <c r="J8987" s="5"/>
      <c r="P8987" s="9"/>
      <c r="Q8987" s="5"/>
    </row>
    <row r="8988">
      <c r="J8988" s="5"/>
      <c r="P8988" s="9"/>
      <c r="Q8988" s="5"/>
    </row>
    <row r="8989">
      <c r="J8989" s="5"/>
      <c r="P8989" s="9"/>
      <c r="Q8989" s="5"/>
    </row>
    <row r="8990">
      <c r="J8990" s="5"/>
      <c r="P8990" s="9"/>
      <c r="Q8990" s="5"/>
    </row>
    <row r="8991">
      <c r="J8991" s="5"/>
      <c r="P8991" s="9"/>
      <c r="Q8991" s="5"/>
    </row>
    <row r="8992">
      <c r="J8992" s="5"/>
      <c r="P8992" s="9"/>
      <c r="Q8992" s="5"/>
    </row>
    <row r="8993">
      <c r="J8993" s="5"/>
      <c r="P8993" s="9"/>
      <c r="Q8993" s="5"/>
    </row>
    <row r="8994">
      <c r="J8994" s="5"/>
      <c r="P8994" s="9"/>
      <c r="Q8994" s="5"/>
    </row>
    <row r="8995">
      <c r="J8995" s="5"/>
      <c r="P8995" s="9"/>
      <c r="Q8995" s="5"/>
    </row>
    <row r="8996">
      <c r="J8996" s="5"/>
      <c r="P8996" s="9"/>
      <c r="Q8996" s="5"/>
    </row>
    <row r="8997">
      <c r="J8997" s="5"/>
      <c r="P8997" s="9"/>
      <c r="Q8997" s="5"/>
    </row>
    <row r="8998">
      <c r="J8998" s="5"/>
      <c r="P8998" s="9"/>
      <c r="Q8998" s="5"/>
    </row>
    <row r="8999">
      <c r="J8999" s="5"/>
      <c r="P8999" s="9"/>
      <c r="Q8999" s="5"/>
    </row>
    <row r="9000">
      <c r="J9000" s="5"/>
      <c r="P9000" s="9"/>
      <c r="Q9000" s="5"/>
    </row>
    <row r="9001">
      <c r="J9001" s="5"/>
      <c r="P9001" s="9"/>
      <c r="Q9001" s="5"/>
    </row>
    <row r="9002">
      <c r="J9002" s="5"/>
      <c r="P9002" s="9"/>
      <c r="Q9002" s="5"/>
    </row>
    <row r="9003">
      <c r="J9003" s="5"/>
      <c r="P9003" s="9"/>
      <c r="Q9003" s="5"/>
    </row>
    <row r="9004">
      <c r="J9004" s="5"/>
      <c r="P9004" s="9"/>
      <c r="Q9004" s="5"/>
    </row>
    <row r="9005">
      <c r="J9005" s="5"/>
      <c r="P9005" s="9"/>
      <c r="Q9005" s="5"/>
    </row>
    <row r="9006">
      <c r="J9006" s="5"/>
      <c r="P9006" s="9"/>
      <c r="Q9006" s="5"/>
    </row>
    <row r="9007">
      <c r="J9007" s="5"/>
      <c r="P9007" s="9"/>
      <c r="Q9007" s="5"/>
    </row>
    <row r="9008">
      <c r="J9008" s="5"/>
      <c r="P9008" s="9"/>
      <c r="Q9008" s="5"/>
    </row>
    <row r="9009">
      <c r="J9009" s="5"/>
      <c r="P9009" s="9"/>
      <c r="Q9009" s="5"/>
    </row>
    <row r="9010">
      <c r="J9010" s="5"/>
      <c r="P9010" s="9"/>
      <c r="Q9010" s="5"/>
    </row>
    <row r="9011">
      <c r="J9011" s="5"/>
      <c r="P9011" s="9"/>
      <c r="Q9011" s="5"/>
    </row>
    <row r="9012">
      <c r="J9012" s="5"/>
      <c r="P9012" s="9"/>
      <c r="Q9012" s="5"/>
    </row>
    <row r="9013">
      <c r="J9013" s="5"/>
      <c r="P9013" s="9"/>
      <c r="Q9013" s="5"/>
    </row>
    <row r="9014">
      <c r="J9014" s="5"/>
      <c r="P9014" s="9"/>
      <c r="Q9014" s="5"/>
    </row>
    <row r="9015">
      <c r="J9015" s="5"/>
      <c r="P9015" s="9"/>
      <c r="Q9015" s="5"/>
    </row>
    <row r="9016">
      <c r="J9016" s="5"/>
      <c r="P9016" s="9"/>
      <c r="Q9016" s="5"/>
    </row>
    <row r="9017">
      <c r="J9017" s="5"/>
      <c r="P9017" s="9"/>
      <c r="Q9017" s="5"/>
    </row>
    <row r="9018">
      <c r="J9018" s="5"/>
      <c r="P9018" s="9"/>
      <c r="Q9018" s="5"/>
    </row>
    <row r="9019">
      <c r="J9019" s="5"/>
      <c r="P9019" s="9"/>
      <c r="Q9019" s="5"/>
    </row>
    <row r="9020">
      <c r="J9020" s="5"/>
      <c r="P9020" s="9"/>
      <c r="Q9020" s="5"/>
    </row>
    <row r="9021">
      <c r="J9021" s="5"/>
      <c r="P9021" s="9"/>
      <c r="Q9021" s="5"/>
    </row>
    <row r="9022">
      <c r="J9022" s="5"/>
      <c r="P9022" s="9"/>
      <c r="Q9022" s="5"/>
    </row>
    <row r="9023">
      <c r="J9023" s="5"/>
      <c r="P9023" s="9"/>
      <c r="Q9023" s="5"/>
    </row>
    <row r="9024">
      <c r="J9024" s="5"/>
      <c r="P9024" s="9"/>
      <c r="Q9024" s="5"/>
    </row>
    <row r="9025">
      <c r="J9025" s="5"/>
      <c r="P9025" s="9"/>
      <c r="Q9025" s="5"/>
    </row>
    <row r="9026">
      <c r="J9026" s="5"/>
      <c r="P9026" s="9"/>
      <c r="Q9026" s="5"/>
    </row>
    <row r="9027">
      <c r="J9027" s="5"/>
      <c r="P9027" s="9"/>
      <c r="Q9027" s="5"/>
    </row>
    <row r="9028">
      <c r="J9028" s="5"/>
      <c r="P9028" s="9"/>
      <c r="Q9028" s="5"/>
    </row>
    <row r="9029">
      <c r="J9029" s="5"/>
      <c r="P9029" s="9"/>
      <c r="Q9029" s="5"/>
    </row>
    <row r="9030">
      <c r="J9030" s="5"/>
      <c r="P9030" s="9"/>
      <c r="Q9030" s="5"/>
    </row>
    <row r="9031">
      <c r="J9031" s="5"/>
      <c r="P9031" s="9"/>
      <c r="Q9031" s="5"/>
    </row>
    <row r="9032">
      <c r="J9032" s="5"/>
      <c r="P9032" s="9"/>
      <c r="Q9032" s="5"/>
    </row>
    <row r="9033">
      <c r="J9033" s="5"/>
      <c r="P9033" s="9"/>
      <c r="Q9033" s="5"/>
    </row>
    <row r="9034">
      <c r="J9034" s="5"/>
      <c r="P9034" s="9"/>
      <c r="Q9034" s="5"/>
    </row>
    <row r="9035">
      <c r="J9035" s="5"/>
      <c r="P9035" s="9"/>
      <c r="Q9035" s="5"/>
    </row>
    <row r="9036">
      <c r="J9036" s="5"/>
      <c r="P9036" s="9"/>
      <c r="Q9036" s="5"/>
    </row>
    <row r="9037">
      <c r="J9037" s="5"/>
      <c r="P9037" s="9"/>
      <c r="Q9037" s="5"/>
    </row>
    <row r="9038">
      <c r="J9038" s="5"/>
      <c r="P9038" s="9"/>
      <c r="Q9038" s="5"/>
    </row>
    <row r="9039">
      <c r="J9039" s="5"/>
      <c r="P9039" s="9"/>
      <c r="Q9039" s="5"/>
    </row>
    <row r="9040">
      <c r="J9040" s="5"/>
      <c r="P9040" s="9"/>
      <c r="Q9040" s="5"/>
    </row>
    <row r="9041">
      <c r="J9041" s="5"/>
      <c r="P9041" s="9"/>
      <c r="Q9041" s="5"/>
    </row>
    <row r="9042">
      <c r="J9042" s="5"/>
      <c r="P9042" s="9"/>
      <c r="Q9042" s="5"/>
    </row>
    <row r="9043">
      <c r="J9043" s="5"/>
      <c r="P9043" s="9"/>
      <c r="Q9043" s="5"/>
    </row>
    <row r="9044">
      <c r="J9044" s="5"/>
      <c r="P9044" s="9"/>
      <c r="Q9044" s="5"/>
    </row>
    <row r="9045">
      <c r="J9045" s="5"/>
      <c r="P9045" s="9"/>
      <c r="Q9045" s="5"/>
    </row>
    <row r="9046">
      <c r="J9046" s="5"/>
      <c r="P9046" s="9"/>
      <c r="Q9046" s="5"/>
    </row>
    <row r="9047">
      <c r="J9047" s="5"/>
      <c r="P9047" s="9"/>
      <c r="Q9047" s="5"/>
    </row>
    <row r="9048">
      <c r="J9048" s="5"/>
      <c r="P9048" s="9"/>
      <c r="Q9048" s="5"/>
    </row>
    <row r="9049">
      <c r="J9049" s="5"/>
      <c r="P9049" s="9"/>
      <c r="Q9049" s="5"/>
    </row>
    <row r="9050">
      <c r="J9050" s="5"/>
      <c r="P9050" s="9"/>
      <c r="Q9050" s="5"/>
    </row>
    <row r="9051">
      <c r="J9051" s="5"/>
      <c r="P9051" s="9"/>
      <c r="Q9051" s="5"/>
    </row>
    <row r="9052">
      <c r="J9052" s="5"/>
      <c r="P9052" s="9"/>
      <c r="Q9052" s="5"/>
    </row>
    <row r="9053">
      <c r="J9053" s="5"/>
      <c r="P9053" s="9"/>
      <c r="Q9053" s="5"/>
    </row>
    <row r="9054">
      <c r="J9054" s="5"/>
      <c r="P9054" s="9"/>
      <c r="Q9054" s="5"/>
    </row>
    <row r="9055">
      <c r="J9055" s="5"/>
      <c r="P9055" s="9"/>
      <c r="Q9055" s="5"/>
    </row>
    <row r="9056">
      <c r="J9056" s="5"/>
      <c r="P9056" s="9"/>
      <c r="Q9056" s="5"/>
    </row>
    <row r="9057">
      <c r="J9057" s="5"/>
      <c r="P9057" s="9"/>
      <c r="Q9057" s="5"/>
    </row>
    <row r="9058">
      <c r="J9058" s="5"/>
      <c r="P9058" s="9"/>
      <c r="Q9058" s="5"/>
    </row>
    <row r="9059">
      <c r="J9059" s="5"/>
      <c r="P9059" s="9"/>
      <c r="Q9059" s="5"/>
    </row>
    <row r="9060">
      <c r="J9060" s="5"/>
      <c r="P9060" s="9"/>
      <c r="Q9060" s="5"/>
    </row>
    <row r="9061">
      <c r="J9061" s="5"/>
      <c r="P9061" s="9"/>
      <c r="Q9061" s="5"/>
    </row>
    <row r="9062">
      <c r="J9062" s="5"/>
      <c r="P9062" s="9"/>
      <c r="Q9062" s="5"/>
    </row>
    <row r="9063">
      <c r="J9063" s="5"/>
      <c r="P9063" s="9"/>
      <c r="Q9063" s="5"/>
    </row>
    <row r="9064">
      <c r="J9064" s="5"/>
      <c r="P9064" s="9"/>
      <c r="Q9064" s="5"/>
    </row>
    <row r="9065">
      <c r="J9065" s="5"/>
      <c r="P9065" s="9"/>
      <c r="Q9065" s="5"/>
    </row>
    <row r="9066">
      <c r="J9066" s="5"/>
      <c r="P9066" s="9"/>
      <c r="Q9066" s="5"/>
    </row>
    <row r="9067">
      <c r="J9067" s="5"/>
      <c r="P9067" s="9"/>
      <c r="Q9067" s="5"/>
    </row>
    <row r="9068">
      <c r="J9068" s="5"/>
      <c r="P9068" s="9"/>
      <c r="Q9068" s="5"/>
    </row>
    <row r="9069">
      <c r="J9069" s="5"/>
      <c r="P9069" s="9"/>
      <c r="Q9069" s="5"/>
    </row>
    <row r="9070">
      <c r="J9070" s="5"/>
      <c r="P9070" s="9"/>
      <c r="Q9070" s="5"/>
    </row>
    <row r="9071">
      <c r="J9071" s="5"/>
      <c r="P9071" s="9"/>
      <c r="Q9071" s="5"/>
    </row>
    <row r="9072">
      <c r="J9072" s="5"/>
      <c r="P9072" s="9"/>
      <c r="Q9072" s="5"/>
    </row>
    <row r="9073">
      <c r="J9073" s="5"/>
      <c r="P9073" s="9"/>
      <c r="Q9073" s="5"/>
    </row>
    <row r="9074">
      <c r="J9074" s="5"/>
      <c r="P9074" s="9"/>
      <c r="Q9074" s="5"/>
    </row>
    <row r="9075">
      <c r="J9075" s="5"/>
      <c r="P9075" s="9"/>
      <c r="Q9075" s="5"/>
    </row>
    <row r="9076">
      <c r="J9076" s="5"/>
      <c r="P9076" s="9"/>
      <c r="Q9076" s="5"/>
    </row>
    <row r="9077">
      <c r="J9077" s="5"/>
      <c r="P9077" s="9"/>
      <c r="Q9077" s="5"/>
    </row>
    <row r="9078">
      <c r="J9078" s="5"/>
      <c r="P9078" s="9"/>
      <c r="Q9078" s="5"/>
    </row>
    <row r="9079">
      <c r="J9079" s="5"/>
      <c r="P9079" s="9"/>
      <c r="Q9079" s="5"/>
    </row>
    <row r="9080">
      <c r="J9080" s="5"/>
      <c r="P9080" s="9"/>
      <c r="Q9080" s="5"/>
    </row>
    <row r="9081">
      <c r="J9081" s="5"/>
      <c r="P9081" s="9"/>
      <c r="Q9081" s="5"/>
    </row>
    <row r="9082">
      <c r="J9082" s="5"/>
      <c r="P9082" s="9"/>
      <c r="Q9082" s="5"/>
    </row>
    <row r="9083">
      <c r="J9083" s="5"/>
      <c r="P9083" s="9"/>
      <c r="Q9083" s="5"/>
    </row>
    <row r="9084">
      <c r="J9084" s="5"/>
      <c r="P9084" s="9"/>
      <c r="Q9084" s="5"/>
    </row>
    <row r="9085">
      <c r="J9085" s="5"/>
      <c r="P9085" s="9"/>
      <c r="Q9085" s="5"/>
    </row>
    <row r="9086">
      <c r="J9086" s="5"/>
      <c r="P9086" s="9"/>
      <c r="Q9086" s="5"/>
    </row>
    <row r="9087">
      <c r="J9087" s="5"/>
      <c r="P9087" s="9"/>
      <c r="Q9087" s="5"/>
    </row>
    <row r="9088">
      <c r="J9088" s="5"/>
      <c r="P9088" s="9"/>
      <c r="Q9088" s="5"/>
    </row>
    <row r="9089">
      <c r="J9089" s="5"/>
      <c r="P9089" s="9"/>
      <c r="Q9089" s="5"/>
    </row>
    <row r="9090">
      <c r="J9090" s="5"/>
      <c r="P9090" s="9"/>
      <c r="Q9090" s="5"/>
    </row>
    <row r="9091">
      <c r="J9091" s="5"/>
      <c r="P9091" s="9"/>
      <c r="Q9091" s="5"/>
    </row>
    <row r="9092">
      <c r="J9092" s="5"/>
      <c r="P9092" s="9"/>
      <c r="Q9092" s="5"/>
    </row>
    <row r="9093">
      <c r="J9093" s="5"/>
      <c r="P9093" s="9"/>
      <c r="Q9093" s="5"/>
    </row>
    <row r="9094">
      <c r="J9094" s="5"/>
      <c r="P9094" s="9"/>
      <c r="Q9094" s="5"/>
    </row>
    <row r="9095">
      <c r="J9095" s="5"/>
      <c r="P9095" s="9"/>
      <c r="Q9095" s="5"/>
    </row>
    <row r="9096">
      <c r="J9096" s="5"/>
      <c r="P9096" s="9"/>
      <c r="Q9096" s="5"/>
    </row>
    <row r="9097">
      <c r="J9097" s="5"/>
      <c r="P9097" s="9"/>
      <c r="Q9097" s="5"/>
    </row>
    <row r="9098">
      <c r="J9098" s="5"/>
      <c r="P9098" s="9"/>
      <c r="Q9098" s="5"/>
    </row>
    <row r="9099">
      <c r="J9099" s="5"/>
      <c r="P9099" s="9"/>
      <c r="Q9099" s="5"/>
    </row>
    <row r="9100">
      <c r="J9100" s="5"/>
      <c r="P9100" s="9"/>
      <c r="Q9100" s="5"/>
    </row>
    <row r="9101">
      <c r="J9101" s="5"/>
      <c r="P9101" s="9"/>
      <c r="Q9101" s="5"/>
    </row>
    <row r="9102">
      <c r="J9102" s="5"/>
      <c r="P9102" s="9"/>
      <c r="Q9102" s="5"/>
    </row>
    <row r="9103">
      <c r="J9103" s="5"/>
      <c r="P9103" s="9"/>
      <c r="Q9103" s="5"/>
    </row>
    <row r="9104">
      <c r="J9104" s="5"/>
      <c r="P9104" s="9"/>
      <c r="Q9104" s="5"/>
    </row>
    <row r="9105">
      <c r="J9105" s="5"/>
      <c r="P9105" s="9"/>
      <c r="Q9105" s="5"/>
    </row>
    <row r="9106">
      <c r="J9106" s="5"/>
      <c r="P9106" s="9"/>
      <c r="Q9106" s="5"/>
    </row>
    <row r="9107">
      <c r="J9107" s="5"/>
      <c r="P9107" s="9"/>
      <c r="Q9107" s="5"/>
    </row>
    <row r="9108">
      <c r="J9108" s="5"/>
      <c r="P9108" s="9"/>
      <c r="Q9108" s="5"/>
    </row>
    <row r="9109">
      <c r="J9109" s="5"/>
      <c r="P9109" s="9"/>
      <c r="Q9109" s="5"/>
    </row>
    <row r="9110">
      <c r="J9110" s="5"/>
      <c r="P9110" s="9"/>
      <c r="Q9110" s="5"/>
    </row>
    <row r="9111">
      <c r="J9111" s="5"/>
      <c r="P9111" s="9"/>
      <c r="Q9111" s="5"/>
    </row>
    <row r="9112">
      <c r="J9112" s="5"/>
      <c r="P9112" s="9"/>
      <c r="Q9112" s="5"/>
    </row>
    <row r="9113">
      <c r="J9113" s="5"/>
      <c r="P9113" s="9"/>
      <c r="Q9113" s="5"/>
    </row>
    <row r="9114">
      <c r="J9114" s="5"/>
      <c r="P9114" s="9"/>
      <c r="Q9114" s="5"/>
    </row>
    <row r="9115">
      <c r="J9115" s="5"/>
      <c r="P9115" s="9"/>
      <c r="Q9115" s="5"/>
    </row>
    <row r="9116">
      <c r="J9116" s="5"/>
      <c r="P9116" s="9"/>
      <c r="Q9116" s="5"/>
    </row>
    <row r="9117">
      <c r="J9117" s="5"/>
      <c r="P9117" s="9"/>
      <c r="Q9117" s="5"/>
    </row>
    <row r="9118">
      <c r="J9118" s="5"/>
      <c r="P9118" s="9"/>
      <c r="Q9118" s="5"/>
    </row>
    <row r="9119">
      <c r="J9119" s="5"/>
      <c r="P9119" s="9"/>
      <c r="Q9119" s="5"/>
    </row>
    <row r="9120">
      <c r="J9120" s="5"/>
      <c r="P9120" s="9"/>
      <c r="Q9120" s="5"/>
    </row>
    <row r="9121">
      <c r="J9121" s="5"/>
      <c r="P9121" s="9"/>
      <c r="Q9121" s="5"/>
    </row>
    <row r="9122">
      <c r="J9122" s="5"/>
      <c r="P9122" s="9"/>
      <c r="Q9122" s="5"/>
    </row>
    <row r="9123">
      <c r="J9123" s="5"/>
      <c r="P9123" s="9"/>
      <c r="Q9123" s="5"/>
    </row>
    <row r="9124">
      <c r="J9124" s="5"/>
      <c r="P9124" s="9"/>
      <c r="Q9124" s="5"/>
    </row>
    <row r="9125">
      <c r="J9125" s="5"/>
      <c r="P9125" s="9"/>
      <c r="Q9125" s="5"/>
    </row>
    <row r="9126">
      <c r="J9126" s="5"/>
      <c r="P9126" s="9"/>
      <c r="Q9126" s="5"/>
    </row>
    <row r="9127">
      <c r="J9127" s="5"/>
      <c r="P9127" s="9"/>
      <c r="Q9127" s="5"/>
    </row>
    <row r="9128">
      <c r="J9128" s="5"/>
      <c r="P9128" s="9"/>
      <c r="Q9128" s="5"/>
    </row>
    <row r="9129">
      <c r="J9129" s="5"/>
      <c r="P9129" s="9"/>
      <c r="Q9129" s="5"/>
    </row>
    <row r="9130">
      <c r="J9130" s="5"/>
      <c r="P9130" s="9"/>
      <c r="Q9130" s="5"/>
    </row>
    <row r="9131">
      <c r="J9131" s="5"/>
      <c r="P9131" s="9"/>
      <c r="Q9131" s="5"/>
    </row>
    <row r="9132">
      <c r="J9132" s="5"/>
      <c r="P9132" s="9"/>
      <c r="Q9132" s="5"/>
    </row>
    <row r="9133">
      <c r="J9133" s="5"/>
      <c r="P9133" s="9"/>
      <c r="Q9133" s="5"/>
    </row>
    <row r="9134">
      <c r="J9134" s="5"/>
      <c r="P9134" s="9"/>
      <c r="Q9134" s="5"/>
    </row>
    <row r="9135">
      <c r="J9135" s="5"/>
      <c r="P9135" s="9"/>
      <c r="Q9135" s="5"/>
    </row>
    <row r="9136">
      <c r="J9136" s="5"/>
      <c r="P9136" s="9"/>
      <c r="Q9136" s="5"/>
    </row>
    <row r="9137">
      <c r="J9137" s="5"/>
      <c r="P9137" s="9"/>
      <c r="Q9137" s="5"/>
    </row>
    <row r="9138">
      <c r="J9138" s="5"/>
      <c r="P9138" s="9"/>
      <c r="Q9138" s="5"/>
    </row>
    <row r="9139">
      <c r="J9139" s="5"/>
      <c r="P9139" s="9"/>
      <c r="Q9139" s="5"/>
    </row>
    <row r="9140">
      <c r="J9140" s="5"/>
      <c r="P9140" s="9"/>
      <c r="Q9140" s="5"/>
    </row>
    <row r="9141">
      <c r="J9141" s="5"/>
      <c r="P9141" s="9"/>
      <c r="Q9141" s="5"/>
    </row>
    <row r="9142">
      <c r="J9142" s="5"/>
      <c r="P9142" s="9"/>
      <c r="Q9142" s="5"/>
    </row>
    <row r="9143">
      <c r="J9143" s="5"/>
      <c r="P9143" s="9"/>
      <c r="Q9143" s="5"/>
    </row>
    <row r="9144">
      <c r="J9144" s="5"/>
      <c r="P9144" s="9"/>
      <c r="Q9144" s="5"/>
    </row>
    <row r="9145">
      <c r="J9145" s="5"/>
      <c r="P9145" s="9"/>
      <c r="Q9145" s="5"/>
    </row>
    <row r="9146">
      <c r="J9146" s="5"/>
      <c r="P9146" s="9"/>
      <c r="Q9146" s="5"/>
    </row>
    <row r="9147">
      <c r="J9147" s="5"/>
      <c r="P9147" s="9"/>
      <c r="Q9147" s="5"/>
    </row>
    <row r="9148">
      <c r="J9148" s="5"/>
      <c r="P9148" s="9"/>
      <c r="Q9148" s="5"/>
    </row>
    <row r="9149">
      <c r="J9149" s="5"/>
      <c r="P9149" s="9"/>
      <c r="Q9149" s="5"/>
    </row>
    <row r="9150">
      <c r="J9150" s="5"/>
      <c r="P9150" s="9"/>
      <c r="Q9150" s="5"/>
    </row>
    <row r="9151">
      <c r="J9151" s="5"/>
      <c r="P9151" s="9"/>
      <c r="Q9151" s="5"/>
    </row>
    <row r="9152">
      <c r="J9152" s="5"/>
      <c r="P9152" s="9"/>
      <c r="Q9152" s="5"/>
    </row>
    <row r="9153">
      <c r="J9153" s="5"/>
      <c r="P9153" s="9"/>
      <c r="Q9153" s="5"/>
    </row>
    <row r="9154">
      <c r="J9154" s="5"/>
      <c r="P9154" s="9"/>
      <c r="Q9154" s="5"/>
    </row>
    <row r="9155">
      <c r="J9155" s="5"/>
      <c r="P9155" s="9"/>
      <c r="Q9155" s="5"/>
    </row>
    <row r="9156">
      <c r="J9156" s="5"/>
      <c r="P9156" s="9"/>
      <c r="Q9156" s="5"/>
    </row>
    <row r="9157">
      <c r="J9157" s="5"/>
      <c r="P9157" s="9"/>
      <c r="Q9157" s="5"/>
    </row>
    <row r="9158">
      <c r="J9158" s="5"/>
      <c r="P9158" s="9"/>
      <c r="Q9158" s="5"/>
    </row>
    <row r="9159">
      <c r="J9159" s="5"/>
      <c r="P9159" s="9"/>
      <c r="Q9159" s="5"/>
    </row>
    <row r="9160">
      <c r="J9160" s="5"/>
      <c r="P9160" s="9"/>
      <c r="Q9160" s="5"/>
    </row>
    <row r="9161">
      <c r="J9161" s="5"/>
      <c r="P9161" s="9"/>
      <c r="Q9161" s="5"/>
    </row>
    <row r="9162">
      <c r="J9162" s="5"/>
      <c r="P9162" s="9"/>
      <c r="Q9162" s="5"/>
    </row>
    <row r="9163">
      <c r="J9163" s="5"/>
      <c r="P9163" s="9"/>
      <c r="Q9163" s="5"/>
    </row>
    <row r="9164">
      <c r="J9164" s="5"/>
      <c r="P9164" s="9"/>
      <c r="Q9164" s="5"/>
    </row>
    <row r="9165">
      <c r="J9165" s="5"/>
      <c r="P9165" s="9"/>
      <c r="Q9165" s="5"/>
    </row>
    <row r="9166">
      <c r="J9166" s="5"/>
      <c r="P9166" s="9"/>
      <c r="Q9166" s="5"/>
    </row>
    <row r="9167">
      <c r="J9167" s="5"/>
      <c r="P9167" s="9"/>
      <c r="Q9167" s="5"/>
    </row>
    <row r="9168">
      <c r="J9168" s="5"/>
      <c r="P9168" s="9"/>
      <c r="Q9168" s="5"/>
    </row>
    <row r="9169">
      <c r="J9169" s="5"/>
      <c r="P9169" s="9"/>
      <c r="Q9169" s="5"/>
    </row>
    <row r="9170">
      <c r="J9170" s="5"/>
      <c r="P9170" s="9"/>
      <c r="Q9170" s="5"/>
    </row>
    <row r="9171">
      <c r="J9171" s="5"/>
      <c r="P9171" s="9"/>
      <c r="Q9171" s="5"/>
    </row>
    <row r="9172">
      <c r="J9172" s="5"/>
      <c r="P9172" s="9"/>
      <c r="Q9172" s="5"/>
    </row>
    <row r="9173">
      <c r="J9173" s="5"/>
      <c r="P9173" s="9"/>
      <c r="Q9173" s="5"/>
    </row>
    <row r="9174">
      <c r="J9174" s="5"/>
      <c r="P9174" s="9"/>
      <c r="Q9174" s="5"/>
    </row>
    <row r="9175">
      <c r="J9175" s="5"/>
      <c r="P9175" s="9"/>
      <c r="Q9175" s="5"/>
    </row>
    <row r="9176">
      <c r="J9176" s="5"/>
      <c r="P9176" s="9"/>
      <c r="Q9176" s="5"/>
    </row>
    <row r="9177">
      <c r="J9177" s="5"/>
      <c r="P9177" s="9"/>
      <c r="Q9177" s="5"/>
    </row>
    <row r="9178">
      <c r="J9178" s="5"/>
      <c r="P9178" s="9"/>
      <c r="Q9178" s="5"/>
    </row>
    <row r="9179">
      <c r="J9179" s="5"/>
      <c r="P9179" s="9"/>
      <c r="Q9179" s="5"/>
    </row>
    <row r="9180">
      <c r="J9180" s="5"/>
      <c r="P9180" s="9"/>
      <c r="Q9180" s="5"/>
    </row>
    <row r="9181">
      <c r="J9181" s="5"/>
      <c r="P9181" s="9"/>
      <c r="Q9181" s="5"/>
    </row>
    <row r="9182">
      <c r="J9182" s="5"/>
      <c r="P9182" s="9"/>
      <c r="Q9182" s="5"/>
    </row>
    <row r="9183">
      <c r="J9183" s="5"/>
      <c r="P9183" s="9"/>
      <c r="Q9183" s="5"/>
    </row>
    <row r="9184">
      <c r="J9184" s="5"/>
      <c r="P9184" s="9"/>
      <c r="Q9184" s="5"/>
    </row>
    <row r="9185">
      <c r="J9185" s="5"/>
      <c r="P9185" s="9"/>
      <c r="Q9185" s="5"/>
    </row>
    <row r="9186">
      <c r="J9186" s="5"/>
      <c r="P9186" s="9"/>
      <c r="Q9186" s="5"/>
    </row>
    <row r="9187">
      <c r="J9187" s="5"/>
      <c r="P9187" s="9"/>
      <c r="Q9187" s="5"/>
    </row>
    <row r="9188">
      <c r="J9188" s="5"/>
      <c r="P9188" s="9"/>
      <c r="Q9188" s="5"/>
    </row>
    <row r="9189">
      <c r="J9189" s="5"/>
      <c r="P9189" s="9"/>
      <c r="Q9189" s="5"/>
    </row>
    <row r="9190">
      <c r="J9190" s="5"/>
      <c r="P9190" s="9"/>
      <c r="Q9190" s="5"/>
    </row>
    <row r="9191">
      <c r="J9191" s="5"/>
      <c r="P9191" s="9"/>
      <c r="Q9191" s="5"/>
    </row>
    <row r="9192">
      <c r="J9192" s="5"/>
      <c r="P9192" s="9"/>
      <c r="Q9192" s="5"/>
    </row>
    <row r="9193">
      <c r="J9193" s="5"/>
      <c r="P9193" s="9"/>
      <c r="Q9193" s="5"/>
    </row>
    <row r="9194">
      <c r="J9194" s="5"/>
      <c r="P9194" s="9"/>
      <c r="Q9194" s="5"/>
    </row>
    <row r="9195">
      <c r="J9195" s="5"/>
      <c r="P9195" s="9"/>
      <c r="Q9195" s="5"/>
    </row>
    <row r="9196">
      <c r="J9196" s="5"/>
      <c r="P9196" s="9"/>
      <c r="Q9196" s="5"/>
    </row>
    <row r="9197">
      <c r="J9197" s="5"/>
      <c r="P9197" s="9"/>
      <c r="Q9197" s="5"/>
    </row>
    <row r="9198">
      <c r="J9198" s="5"/>
      <c r="P9198" s="9"/>
      <c r="Q9198" s="5"/>
    </row>
    <row r="9199">
      <c r="J9199" s="5"/>
      <c r="P9199" s="9"/>
      <c r="Q9199" s="5"/>
    </row>
    <row r="9200">
      <c r="J9200" s="5"/>
      <c r="P9200" s="9"/>
      <c r="Q9200" s="5"/>
    </row>
    <row r="9201">
      <c r="J9201" s="5"/>
      <c r="P9201" s="9"/>
      <c r="Q9201" s="5"/>
    </row>
    <row r="9202">
      <c r="J9202" s="5"/>
      <c r="P9202" s="9"/>
      <c r="Q9202" s="5"/>
    </row>
    <row r="9203">
      <c r="J9203" s="5"/>
      <c r="P9203" s="9"/>
      <c r="Q9203" s="5"/>
    </row>
    <row r="9204">
      <c r="J9204" s="5"/>
      <c r="P9204" s="9"/>
      <c r="Q9204" s="5"/>
    </row>
    <row r="9205">
      <c r="J9205" s="5"/>
      <c r="P9205" s="9"/>
      <c r="Q9205" s="5"/>
    </row>
    <row r="9206">
      <c r="J9206" s="5"/>
      <c r="P9206" s="9"/>
      <c r="Q9206" s="5"/>
    </row>
    <row r="9207">
      <c r="J9207" s="5"/>
      <c r="P9207" s="9"/>
      <c r="Q9207" s="5"/>
    </row>
    <row r="9208">
      <c r="J9208" s="5"/>
      <c r="P9208" s="9"/>
      <c r="Q9208" s="5"/>
    </row>
    <row r="9209">
      <c r="J9209" s="5"/>
      <c r="P9209" s="9"/>
      <c r="Q9209" s="5"/>
    </row>
    <row r="9210">
      <c r="J9210" s="5"/>
      <c r="P9210" s="9"/>
      <c r="Q9210" s="5"/>
    </row>
    <row r="9211">
      <c r="J9211" s="5"/>
      <c r="P9211" s="9"/>
      <c r="Q9211" s="5"/>
    </row>
    <row r="9212">
      <c r="J9212" s="5"/>
      <c r="P9212" s="9"/>
      <c r="Q9212" s="5"/>
    </row>
    <row r="9213">
      <c r="J9213" s="5"/>
      <c r="P9213" s="9"/>
      <c r="Q9213" s="5"/>
    </row>
    <row r="9214">
      <c r="J9214" s="5"/>
      <c r="P9214" s="9"/>
      <c r="Q9214" s="5"/>
    </row>
    <row r="9215">
      <c r="J9215" s="5"/>
      <c r="P9215" s="9"/>
      <c r="Q9215" s="5"/>
    </row>
    <row r="9216">
      <c r="J9216" s="5"/>
      <c r="P9216" s="9"/>
      <c r="Q9216" s="5"/>
    </row>
    <row r="9217">
      <c r="J9217" s="5"/>
      <c r="P9217" s="9"/>
      <c r="Q9217" s="5"/>
    </row>
    <row r="9218">
      <c r="J9218" s="5"/>
      <c r="P9218" s="9"/>
      <c r="Q9218" s="5"/>
    </row>
    <row r="9219">
      <c r="J9219" s="5"/>
      <c r="P9219" s="9"/>
      <c r="Q9219" s="5"/>
    </row>
    <row r="9220">
      <c r="J9220" s="5"/>
      <c r="P9220" s="9"/>
      <c r="Q9220" s="5"/>
    </row>
    <row r="9221">
      <c r="J9221" s="5"/>
      <c r="P9221" s="9"/>
      <c r="Q9221" s="5"/>
    </row>
    <row r="9222">
      <c r="J9222" s="5"/>
      <c r="P9222" s="9"/>
      <c r="Q9222" s="5"/>
    </row>
    <row r="9223">
      <c r="J9223" s="5"/>
      <c r="P9223" s="9"/>
      <c r="Q9223" s="5"/>
    </row>
    <row r="9224">
      <c r="J9224" s="5"/>
      <c r="P9224" s="9"/>
      <c r="Q9224" s="5"/>
    </row>
    <row r="9225">
      <c r="J9225" s="5"/>
      <c r="P9225" s="9"/>
      <c r="Q9225" s="5"/>
    </row>
    <row r="9226">
      <c r="J9226" s="5"/>
      <c r="P9226" s="9"/>
      <c r="Q9226" s="5"/>
    </row>
    <row r="9227">
      <c r="J9227" s="5"/>
      <c r="P9227" s="9"/>
      <c r="Q9227" s="5"/>
    </row>
    <row r="9228">
      <c r="J9228" s="5"/>
      <c r="P9228" s="9"/>
      <c r="Q9228" s="5"/>
    </row>
    <row r="9229">
      <c r="J9229" s="5"/>
      <c r="P9229" s="9"/>
      <c r="Q9229" s="5"/>
    </row>
    <row r="9230">
      <c r="J9230" s="5"/>
      <c r="P9230" s="9"/>
      <c r="Q9230" s="5"/>
    </row>
    <row r="9231">
      <c r="J9231" s="5"/>
      <c r="P9231" s="9"/>
      <c r="Q9231" s="5"/>
    </row>
    <row r="9232">
      <c r="J9232" s="5"/>
      <c r="P9232" s="9"/>
      <c r="Q9232" s="5"/>
    </row>
    <row r="9233">
      <c r="J9233" s="5"/>
      <c r="P9233" s="9"/>
      <c r="Q9233" s="5"/>
    </row>
    <row r="9234">
      <c r="J9234" s="5"/>
      <c r="P9234" s="9"/>
      <c r="Q9234" s="5"/>
    </row>
    <row r="9235">
      <c r="J9235" s="5"/>
      <c r="P9235" s="9"/>
      <c r="Q9235" s="5"/>
    </row>
    <row r="9236">
      <c r="J9236" s="5"/>
      <c r="P9236" s="9"/>
      <c r="Q9236" s="5"/>
    </row>
    <row r="9237">
      <c r="J9237" s="5"/>
      <c r="P9237" s="9"/>
      <c r="Q9237" s="5"/>
    </row>
    <row r="9238">
      <c r="J9238" s="5"/>
      <c r="P9238" s="9"/>
      <c r="Q9238" s="5"/>
    </row>
    <row r="9239">
      <c r="J9239" s="5"/>
      <c r="P9239" s="9"/>
      <c r="Q9239" s="5"/>
    </row>
    <row r="9240">
      <c r="J9240" s="5"/>
      <c r="P9240" s="9"/>
      <c r="Q9240" s="5"/>
    </row>
    <row r="9241">
      <c r="J9241" s="5"/>
      <c r="P9241" s="9"/>
      <c r="Q9241" s="5"/>
    </row>
    <row r="9242">
      <c r="J9242" s="5"/>
      <c r="P9242" s="9"/>
      <c r="Q9242" s="5"/>
    </row>
    <row r="9243">
      <c r="J9243" s="5"/>
      <c r="P9243" s="9"/>
      <c r="Q9243" s="5"/>
    </row>
    <row r="9244">
      <c r="J9244" s="5"/>
      <c r="P9244" s="9"/>
      <c r="Q9244" s="5"/>
    </row>
    <row r="9245">
      <c r="J9245" s="5"/>
      <c r="P9245" s="9"/>
      <c r="Q9245" s="5"/>
    </row>
    <row r="9246">
      <c r="J9246" s="5"/>
      <c r="P9246" s="9"/>
      <c r="Q9246" s="5"/>
    </row>
    <row r="9247">
      <c r="J9247" s="5"/>
      <c r="P9247" s="9"/>
      <c r="Q9247" s="5"/>
    </row>
    <row r="9248">
      <c r="J9248" s="5"/>
      <c r="P9248" s="9"/>
      <c r="Q9248" s="5"/>
    </row>
    <row r="9249">
      <c r="J9249" s="5"/>
      <c r="P9249" s="9"/>
      <c r="Q9249" s="5"/>
    </row>
    <row r="9250">
      <c r="J9250" s="5"/>
      <c r="P9250" s="9"/>
      <c r="Q9250" s="5"/>
    </row>
    <row r="9251">
      <c r="J9251" s="5"/>
      <c r="P9251" s="9"/>
      <c r="Q9251" s="5"/>
    </row>
    <row r="9252">
      <c r="J9252" s="5"/>
      <c r="P9252" s="9"/>
      <c r="Q9252" s="5"/>
    </row>
    <row r="9253">
      <c r="J9253" s="5"/>
      <c r="P9253" s="9"/>
      <c r="Q9253" s="5"/>
    </row>
    <row r="9254">
      <c r="J9254" s="5"/>
      <c r="P9254" s="9"/>
      <c r="Q9254" s="5"/>
    </row>
    <row r="9255">
      <c r="J9255" s="5"/>
      <c r="P9255" s="9"/>
      <c r="Q9255" s="5"/>
    </row>
    <row r="9256">
      <c r="J9256" s="5"/>
      <c r="P9256" s="9"/>
      <c r="Q9256" s="5"/>
    </row>
    <row r="9257">
      <c r="J9257" s="5"/>
      <c r="P9257" s="9"/>
      <c r="Q9257" s="5"/>
    </row>
    <row r="9258">
      <c r="J9258" s="5"/>
      <c r="P9258" s="9"/>
      <c r="Q9258" s="5"/>
    </row>
    <row r="9259">
      <c r="J9259" s="5"/>
      <c r="P9259" s="9"/>
      <c r="Q9259" s="5"/>
    </row>
    <row r="9260">
      <c r="J9260" s="5"/>
      <c r="P9260" s="9"/>
      <c r="Q9260" s="5"/>
    </row>
    <row r="9261">
      <c r="J9261" s="5"/>
      <c r="P9261" s="9"/>
      <c r="Q9261" s="5"/>
    </row>
    <row r="9262">
      <c r="J9262" s="5"/>
      <c r="P9262" s="9"/>
      <c r="Q9262" s="5"/>
    </row>
    <row r="9263">
      <c r="J9263" s="5"/>
      <c r="P9263" s="9"/>
      <c r="Q9263" s="5"/>
    </row>
    <row r="9264">
      <c r="J9264" s="5"/>
      <c r="P9264" s="9"/>
      <c r="Q9264" s="5"/>
    </row>
    <row r="9265">
      <c r="J9265" s="5"/>
      <c r="P9265" s="9"/>
      <c r="Q9265" s="5"/>
    </row>
    <row r="9266">
      <c r="J9266" s="5"/>
      <c r="P9266" s="9"/>
      <c r="Q9266" s="5"/>
    </row>
    <row r="9267">
      <c r="J9267" s="5"/>
      <c r="P9267" s="9"/>
      <c r="Q9267" s="5"/>
    </row>
    <row r="9268">
      <c r="J9268" s="5"/>
      <c r="P9268" s="9"/>
      <c r="Q9268" s="5"/>
    </row>
    <row r="9269">
      <c r="J9269" s="5"/>
      <c r="P9269" s="9"/>
      <c r="Q9269" s="5"/>
    </row>
    <row r="9270">
      <c r="J9270" s="5"/>
      <c r="P9270" s="9"/>
      <c r="Q9270" s="5"/>
    </row>
    <row r="9271">
      <c r="J9271" s="5"/>
      <c r="P9271" s="9"/>
      <c r="Q9271" s="5"/>
    </row>
    <row r="9272">
      <c r="J9272" s="5"/>
      <c r="P9272" s="9"/>
      <c r="Q9272" s="5"/>
    </row>
    <row r="9273">
      <c r="J9273" s="5"/>
      <c r="P9273" s="9"/>
      <c r="Q9273" s="5"/>
    </row>
    <row r="9274">
      <c r="J9274" s="5"/>
      <c r="P9274" s="9"/>
      <c r="Q9274" s="5"/>
    </row>
    <row r="9275">
      <c r="J9275" s="5"/>
      <c r="P9275" s="9"/>
      <c r="Q9275" s="5"/>
    </row>
    <row r="9276">
      <c r="J9276" s="5"/>
      <c r="P9276" s="9"/>
      <c r="Q9276" s="5"/>
    </row>
    <row r="9277">
      <c r="J9277" s="5"/>
      <c r="P9277" s="9"/>
      <c r="Q9277" s="5"/>
    </row>
    <row r="9278">
      <c r="J9278" s="5"/>
      <c r="P9278" s="9"/>
      <c r="Q9278" s="5"/>
    </row>
    <row r="9279">
      <c r="J9279" s="5"/>
      <c r="P9279" s="9"/>
      <c r="Q9279" s="5"/>
    </row>
    <row r="9280">
      <c r="J9280" s="5"/>
      <c r="P9280" s="9"/>
      <c r="Q9280" s="5"/>
    </row>
    <row r="9281">
      <c r="J9281" s="5"/>
      <c r="P9281" s="9"/>
      <c r="Q9281" s="5"/>
    </row>
    <row r="9282">
      <c r="J9282" s="5"/>
      <c r="P9282" s="9"/>
      <c r="Q9282" s="5"/>
    </row>
    <row r="9283">
      <c r="J9283" s="5"/>
      <c r="P9283" s="9"/>
      <c r="Q9283" s="5"/>
    </row>
    <row r="9284">
      <c r="J9284" s="5"/>
      <c r="P9284" s="9"/>
      <c r="Q9284" s="5"/>
    </row>
    <row r="9285">
      <c r="J9285" s="5"/>
      <c r="P9285" s="9"/>
      <c r="Q9285" s="5"/>
    </row>
    <row r="9286">
      <c r="J9286" s="5"/>
      <c r="P9286" s="9"/>
      <c r="Q9286" s="5"/>
    </row>
    <row r="9287">
      <c r="J9287" s="5"/>
      <c r="P9287" s="9"/>
      <c r="Q9287" s="5"/>
    </row>
    <row r="9288">
      <c r="J9288" s="5"/>
      <c r="P9288" s="9"/>
      <c r="Q9288" s="5"/>
    </row>
    <row r="9289">
      <c r="J9289" s="5"/>
      <c r="P9289" s="9"/>
      <c r="Q9289" s="5"/>
    </row>
    <row r="9290">
      <c r="J9290" s="5"/>
      <c r="P9290" s="9"/>
      <c r="Q9290" s="5"/>
    </row>
    <row r="9291">
      <c r="J9291" s="5"/>
      <c r="P9291" s="9"/>
      <c r="Q9291" s="5"/>
    </row>
    <row r="9292">
      <c r="J9292" s="5"/>
      <c r="P9292" s="9"/>
      <c r="Q9292" s="5"/>
    </row>
    <row r="9293">
      <c r="J9293" s="5"/>
      <c r="P9293" s="9"/>
      <c r="Q9293" s="5"/>
    </row>
    <row r="9294">
      <c r="J9294" s="5"/>
      <c r="P9294" s="9"/>
      <c r="Q9294" s="5"/>
    </row>
    <row r="9295">
      <c r="J9295" s="5"/>
      <c r="P9295" s="9"/>
      <c r="Q9295" s="5"/>
    </row>
    <row r="9296">
      <c r="J9296" s="5"/>
      <c r="P9296" s="9"/>
      <c r="Q9296" s="5"/>
    </row>
    <row r="9297">
      <c r="J9297" s="5"/>
      <c r="P9297" s="9"/>
      <c r="Q9297" s="5"/>
    </row>
    <row r="9298">
      <c r="J9298" s="5"/>
      <c r="P9298" s="9"/>
      <c r="Q9298" s="5"/>
    </row>
    <row r="9299">
      <c r="J9299" s="5"/>
      <c r="P9299" s="9"/>
      <c r="Q9299" s="5"/>
    </row>
    <row r="9300">
      <c r="J9300" s="5"/>
      <c r="P9300" s="9"/>
      <c r="Q9300" s="5"/>
    </row>
    <row r="9301">
      <c r="J9301" s="5"/>
      <c r="P9301" s="9"/>
      <c r="Q9301" s="5"/>
    </row>
    <row r="9302">
      <c r="J9302" s="5"/>
      <c r="P9302" s="9"/>
      <c r="Q9302" s="5"/>
    </row>
    <row r="9303">
      <c r="J9303" s="5"/>
      <c r="P9303" s="9"/>
      <c r="Q9303" s="5"/>
    </row>
    <row r="9304">
      <c r="J9304" s="5"/>
      <c r="P9304" s="9"/>
      <c r="Q9304" s="5"/>
    </row>
    <row r="9305">
      <c r="J9305" s="5"/>
      <c r="P9305" s="9"/>
      <c r="Q9305" s="5"/>
    </row>
    <row r="9306">
      <c r="J9306" s="5"/>
      <c r="P9306" s="9"/>
      <c r="Q9306" s="5"/>
    </row>
    <row r="9307">
      <c r="J9307" s="5"/>
      <c r="P9307" s="9"/>
      <c r="Q9307" s="5"/>
    </row>
    <row r="9308">
      <c r="J9308" s="5"/>
      <c r="P9308" s="9"/>
      <c r="Q9308" s="5"/>
    </row>
    <row r="9309">
      <c r="J9309" s="5"/>
      <c r="P9309" s="9"/>
      <c r="Q9309" s="5"/>
    </row>
    <row r="9310">
      <c r="J9310" s="5"/>
      <c r="P9310" s="9"/>
      <c r="Q9310" s="5"/>
    </row>
    <row r="9311">
      <c r="J9311" s="5"/>
      <c r="P9311" s="9"/>
      <c r="Q9311" s="5"/>
    </row>
    <row r="9312">
      <c r="J9312" s="5"/>
      <c r="P9312" s="9"/>
      <c r="Q9312" s="5"/>
    </row>
    <row r="9313">
      <c r="J9313" s="5"/>
      <c r="P9313" s="9"/>
      <c r="Q9313" s="5"/>
    </row>
    <row r="9314">
      <c r="J9314" s="5"/>
      <c r="P9314" s="9"/>
      <c r="Q9314" s="5"/>
    </row>
    <row r="9315">
      <c r="J9315" s="5"/>
      <c r="P9315" s="9"/>
      <c r="Q9315" s="5"/>
    </row>
    <row r="9316">
      <c r="J9316" s="5"/>
      <c r="P9316" s="9"/>
      <c r="Q9316" s="5"/>
    </row>
    <row r="9317">
      <c r="J9317" s="5"/>
      <c r="P9317" s="9"/>
      <c r="Q9317" s="5"/>
    </row>
    <row r="9318">
      <c r="J9318" s="5"/>
      <c r="P9318" s="9"/>
      <c r="Q9318" s="5"/>
    </row>
    <row r="9319">
      <c r="J9319" s="5"/>
      <c r="P9319" s="9"/>
      <c r="Q9319" s="5"/>
    </row>
    <row r="9320">
      <c r="J9320" s="5"/>
      <c r="P9320" s="9"/>
      <c r="Q9320" s="5"/>
    </row>
    <row r="9321">
      <c r="J9321" s="5"/>
      <c r="P9321" s="9"/>
      <c r="Q9321" s="5"/>
    </row>
    <row r="9322">
      <c r="J9322" s="5"/>
      <c r="P9322" s="9"/>
      <c r="Q9322" s="5"/>
    </row>
    <row r="9323">
      <c r="J9323" s="5"/>
      <c r="P9323" s="9"/>
      <c r="Q9323" s="5"/>
    </row>
    <row r="9324">
      <c r="J9324" s="5"/>
      <c r="P9324" s="9"/>
      <c r="Q9324" s="5"/>
    </row>
    <row r="9325">
      <c r="J9325" s="5"/>
      <c r="P9325" s="9"/>
      <c r="Q9325" s="5"/>
    </row>
    <row r="9326">
      <c r="J9326" s="5"/>
      <c r="P9326" s="9"/>
      <c r="Q9326" s="5"/>
    </row>
    <row r="9327">
      <c r="J9327" s="5"/>
      <c r="P9327" s="9"/>
      <c r="Q9327" s="5"/>
    </row>
    <row r="9328">
      <c r="J9328" s="5"/>
      <c r="P9328" s="9"/>
      <c r="Q9328" s="5"/>
    </row>
    <row r="9329">
      <c r="J9329" s="5"/>
      <c r="P9329" s="9"/>
      <c r="Q9329" s="5"/>
    </row>
    <row r="9330">
      <c r="J9330" s="5"/>
      <c r="P9330" s="9"/>
      <c r="Q9330" s="5"/>
    </row>
    <row r="9331">
      <c r="J9331" s="5"/>
      <c r="P9331" s="9"/>
      <c r="Q9331" s="5"/>
    </row>
    <row r="9332">
      <c r="J9332" s="5"/>
      <c r="P9332" s="9"/>
      <c r="Q9332" s="5"/>
    </row>
    <row r="9333">
      <c r="J9333" s="5"/>
      <c r="P9333" s="9"/>
      <c r="Q9333" s="5"/>
    </row>
    <row r="9334">
      <c r="J9334" s="5"/>
      <c r="P9334" s="9"/>
      <c r="Q9334" s="5"/>
    </row>
    <row r="9335">
      <c r="J9335" s="5"/>
      <c r="P9335" s="9"/>
      <c r="Q9335" s="5"/>
    </row>
    <row r="9336">
      <c r="J9336" s="5"/>
      <c r="P9336" s="9"/>
      <c r="Q9336" s="5"/>
    </row>
    <row r="9337">
      <c r="J9337" s="5"/>
      <c r="P9337" s="9"/>
      <c r="Q9337" s="5"/>
    </row>
    <row r="9338">
      <c r="J9338" s="5"/>
      <c r="P9338" s="9"/>
      <c r="Q9338" s="5"/>
    </row>
    <row r="9339">
      <c r="J9339" s="5"/>
      <c r="P9339" s="9"/>
      <c r="Q9339" s="5"/>
    </row>
    <row r="9340">
      <c r="J9340" s="5"/>
      <c r="P9340" s="9"/>
      <c r="Q9340" s="5"/>
    </row>
    <row r="9341">
      <c r="J9341" s="5"/>
      <c r="P9341" s="9"/>
      <c r="Q9341" s="5"/>
    </row>
    <row r="9342">
      <c r="J9342" s="5"/>
      <c r="P9342" s="9"/>
      <c r="Q9342" s="5"/>
    </row>
    <row r="9343">
      <c r="J9343" s="5"/>
      <c r="P9343" s="9"/>
      <c r="Q9343" s="5"/>
    </row>
    <row r="9344">
      <c r="J9344" s="5"/>
      <c r="P9344" s="9"/>
      <c r="Q9344" s="5"/>
    </row>
    <row r="9345">
      <c r="J9345" s="5"/>
      <c r="P9345" s="9"/>
      <c r="Q9345" s="5"/>
    </row>
    <row r="9346">
      <c r="J9346" s="5"/>
      <c r="P9346" s="9"/>
      <c r="Q9346" s="5"/>
    </row>
    <row r="9347">
      <c r="J9347" s="5"/>
      <c r="P9347" s="9"/>
      <c r="Q9347" s="5"/>
    </row>
    <row r="9348">
      <c r="J9348" s="5"/>
      <c r="P9348" s="9"/>
      <c r="Q9348" s="5"/>
    </row>
    <row r="9349">
      <c r="J9349" s="5"/>
      <c r="P9349" s="9"/>
      <c r="Q9349" s="5"/>
    </row>
    <row r="9350">
      <c r="J9350" s="5"/>
      <c r="P9350" s="9"/>
      <c r="Q9350" s="5"/>
    </row>
    <row r="9351">
      <c r="J9351" s="5"/>
      <c r="P9351" s="9"/>
      <c r="Q9351" s="5"/>
    </row>
    <row r="9352">
      <c r="J9352" s="5"/>
      <c r="P9352" s="9"/>
      <c r="Q9352" s="5"/>
    </row>
    <row r="9353">
      <c r="J9353" s="5"/>
      <c r="P9353" s="9"/>
      <c r="Q9353" s="5"/>
    </row>
    <row r="9354">
      <c r="J9354" s="5"/>
      <c r="P9354" s="9"/>
      <c r="Q9354" s="5"/>
    </row>
    <row r="9355">
      <c r="J9355" s="5"/>
      <c r="P9355" s="9"/>
      <c r="Q9355" s="5"/>
    </row>
    <row r="9356">
      <c r="J9356" s="5"/>
      <c r="P9356" s="9"/>
      <c r="Q9356" s="5"/>
    </row>
    <row r="9357">
      <c r="J9357" s="5"/>
      <c r="P9357" s="9"/>
      <c r="Q9357" s="5"/>
    </row>
    <row r="9358">
      <c r="J9358" s="5"/>
      <c r="P9358" s="9"/>
      <c r="Q9358" s="5"/>
    </row>
    <row r="9359">
      <c r="J9359" s="5"/>
      <c r="P9359" s="9"/>
      <c r="Q9359" s="5"/>
    </row>
    <row r="9360">
      <c r="J9360" s="5"/>
      <c r="P9360" s="9"/>
      <c r="Q9360" s="5"/>
    </row>
    <row r="9361">
      <c r="J9361" s="5"/>
      <c r="P9361" s="9"/>
      <c r="Q9361" s="5"/>
    </row>
    <row r="9362">
      <c r="J9362" s="5"/>
      <c r="P9362" s="9"/>
      <c r="Q9362" s="5"/>
    </row>
    <row r="9363">
      <c r="J9363" s="5"/>
      <c r="P9363" s="9"/>
      <c r="Q9363" s="5"/>
    </row>
    <row r="9364">
      <c r="J9364" s="5"/>
      <c r="P9364" s="9"/>
      <c r="Q9364" s="5"/>
    </row>
    <row r="9365">
      <c r="J9365" s="5"/>
      <c r="P9365" s="9"/>
      <c r="Q9365" s="5"/>
    </row>
    <row r="9366">
      <c r="J9366" s="5"/>
      <c r="P9366" s="9"/>
      <c r="Q9366" s="5"/>
    </row>
    <row r="9367">
      <c r="J9367" s="5"/>
      <c r="P9367" s="9"/>
      <c r="Q9367" s="5"/>
    </row>
    <row r="9368">
      <c r="J9368" s="5"/>
      <c r="P9368" s="9"/>
      <c r="Q9368" s="5"/>
    </row>
    <row r="9369">
      <c r="J9369" s="5"/>
      <c r="P9369" s="9"/>
      <c r="Q9369" s="5"/>
    </row>
    <row r="9370">
      <c r="J9370" s="5"/>
      <c r="P9370" s="9"/>
      <c r="Q9370" s="5"/>
    </row>
    <row r="9371">
      <c r="J9371" s="5"/>
      <c r="P9371" s="9"/>
      <c r="Q9371" s="5"/>
    </row>
    <row r="9372">
      <c r="J9372" s="5"/>
      <c r="P9372" s="9"/>
      <c r="Q9372" s="5"/>
    </row>
    <row r="9373">
      <c r="J9373" s="5"/>
      <c r="P9373" s="9"/>
      <c r="Q9373" s="5"/>
    </row>
    <row r="9374">
      <c r="J9374" s="5"/>
      <c r="P9374" s="9"/>
      <c r="Q9374" s="5"/>
    </row>
    <row r="9375">
      <c r="J9375" s="5"/>
      <c r="P9375" s="9"/>
      <c r="Q9375" s="5"/>
    </row>
    <row r="9376">
      <c r="J9376" s="5"/>
      <c r="P9376" s="9"/>
      <c r="Q9376" s="5"/>
    </row>
    <row r="9377">
      <c r="J9377" s="5"/>
      <c r="P9377" s="9"/>
      <c r="Q9377" s="5"/>
    </row>
    <row r="9378">
      <c r="J9378" s="5"/>
      <c r="P9378" s="9"/>
      <c r="Q9378" s="5"/>
    </row>
    <row r="9379">
      <c r="J9379" s="5"/>
      <c r="P9379" s="9"/>
      <c r="Q9379" s="5"/>
    </row>
    <row r="9380">
      <c r="J9380" s="5"/>
      <c r="P9380" s="9"/>
      <c r="Q9380" s="5"/>
    </row>
    <row r="9381">
      <c r="J9381" s="5"/>
      <c r="P9381" s="9"/>
      <c r="Q9381" s="5"/>
    </row>
    <row r="9382">
      <c r="J9382" s="5"/>
      <c r="P9382" s="9"/>
      <c r="Q9382" s="5"/>
    </row>
    <row r="9383">
      <c r="J9383" s="5"/>
      <c r="P9383" s="9"/>
      <c r="Q9383" s="5"/>
    </row>
    <row r="9384">
      <c r="J9384" s="5"/>
      <c r="P9384" s="9"/>
      <c r="Q9384" s="5"/>
    </row>
    <row r="9385">
      <c r="J9385" s="5"/>
      <c r="P9385" s="9"/>
      <c r="Q9385" s="5"/>
    </row>
    <row r="9386">
      <c r="J9386" s="5"/>
      <c r="P9386" s="9"/>
      <c r="Q9386" s="5"/>
    </row>
    <row r="9387">
      <c r="J9387" s="5"/>
      <c r="P9387" s="9"/>
      <c r="Q9387" s="5"/>
    </row>
    <row r="9388">
      <c r="J9388" s="5"/>
      <c r="P9388" s="9"/>
      <c r="Q9388" s="5"/>
    </row>
    <row r="9389">
      <c r="J9389" s="5"/>
      <c r="P9389" s="9"/>
      <c r="Q9389" s="5"/>
    </row>
    <row r="9390">
      <c r="J9390" s="5"/>
      <c r="P9390" s="9"/>
      <c r="Q9390" s="5"/>
    </row>
    <row r="9391">
      <c r="J9391" s="5"/>
      <c r="P9391" s="9"/>
      <c r="Q9391" s="5"/>
    </row>
    <row r="9392">
      <c r="J9392" s="5"/>
      <c r="P9392" s="9"/>
      <c r="Q9392" s="5"/>
    </row>
    <row r="9393">
      <c r="J9393" s="5"/>
      <c r="P9393" s="9"/>
      <c r="Q9393" s="5"/>
    </row>
    <row r="9394">
      <c r="J9394" s="5"/>
      <c r="P9394" s="9"/>
      <c r="Q9394" s="5"/>
    </row>
    <row r="9395">
      <c r="J9395" s="5"/>
      <c r="P9395" s="9"/>
      <c r="Q9395" s="5"/>
    </row>
    <row r="9396">
      <c r="J9396" s="5"/>
      <c r="P9396" s="9"/>
      <c r="Q9396" s="5"/>
    </row>
    <row r="9397">
      <c r="J9397" s="5"/>
      <c r="P9397" s="9"/>
      <c r="Q9397" s="5"/>
    </row>
    <row r="9398">
      <c r="J9398" s="5"/>
      <c r="P9398" s="9"/>
      <c r="Q9398" s="5"/>
    </row>
    <row r="9399">
      <c r="J9399" s="5"/>
      <c r="P9399" s="9"/>
      <c r="Q9399" s="5"/>
    </row>
    <row r="9400">
      <c r="J9400" s="5"/>
      <c r="P9400" s="9"/>
      <c r="Q9400" s="5"/>
    </row>
    <row r="9401">
      <c r="J9401" s="5"/>
      <c r="P9401" s="9"/>
      <c r="Q9401" s="5"/>
    </row>
    <row r="9402">
      <c r="J9402" s="5"/>
      <c r="P9402" s="9"/>
      <c r="Q9402" s="5"/>
    </row>
    <row r="9403">
      <c r="J9403" s="5"/>
      <c r="P9403" s="9"/>
      <c r="Q9403" s="5"/>
    </row>
    <row r="9404">
      <c r="J9404" s="5"/>
      <c r="P9404" s="9"/>
      <c r="Q9404" s="5"/>
    </row>
    <row r="9405">
      <c r="J9405" s="5"/>
      <c r="P9405" s="9"/>
      <c r="Q9405" s="5"/>
    </row>
    <row r="9406">
      <c r="J9406" s="5"/>
      <c r="P9406" s="9"/>
      <c r="Q9406" s="5"/>
    </row>
    <row r="9407">
      <c r="J9407" s="5"/>
      <c r="P9407" s="9"/>
      <c r="Q9407" s="5"/>
    </row>
    <row r="9408">
      <c r="J9408" s="5"/>
      <c r="P9408" s="9"/>
      <c r="Q9408" s="5"/>
    </row>
    <row r="9409">
      <c r="J9409" s="5"/>
      <c r="P9409" s="9"/>
      <c r="Q9409" s="5"/>
    </row>
    <row r="9410">
      <c r="J9410" s="5"/>
      <c r="P9410" s="9"/>
      <c r="Q9410" s="5"/>
    </row>
    <row r="9411">
      <c r="J9411" s="5"/>
      <c r="P9411" s="9"/>
      <c r="Q9411" s="5"/>
    </row>
    <row r="9412">
      <c r="J9412" s="5"/>
      <c r="P9412" s="9"/>
      <c r="Q9412" s="5"/>
    </row>
    <row r="9413">
      <c r="J9413" s="5"/>
      <c r="P9413" s="9"/>
      <c r="Q9413" s="5"/>
    </row>
    <row r="9414">
      <c r="J9414" s="5"/>
      <c r="P9414" s="9"/>
      <c r="Q9414" s="5"/>
    </row>
    <row r="9415">
      <c r="J9415" s="5"/>
      <c r="P9415" s="9"/>
      <c r="Q9415" s="5"/>
    </row>
    <row r="9416">
      <c r="J9416" s="5"/>
      <c r="P9416" s="9"/>
      <c r="Q9416" s="5"/>
    </row>
    <row r="9417">
      <c r="J9417" s="5"/>
      <c r="P9417" s="9"/>
      <c r="Q9417" s="5"/>
    </row>
    <row r="9418">
      <c r="J9418" s="5"/>
      <c r="P9418" s="9"/>
      <c r="Q9418" s="5"/>
    </row>
    <row r="9419">
      <c r="J9419" s="5"/>
      <c r="P9419" s="9"/>
      <c r="Q9419" s="5"/>
    </row>
    <row r="9420">
      <c r="J9420" s="5"/>
      <c r="P9420" s="9"/>
      <c r="Q9420" s="5"/>
    </row>
    <row r="9421">
      <c r="J9421" s="5"/>
      <c r="P9421" s="9"/>
      <c r="Q9421" s="5"/>
    </row>
    <row r="9422">
      <c r="J9422" s="5"/>
      <c r="P9422" s="9"/>
      <c r="Q9422" s="5"/>
    </row>
    <row r="9423">
      <c r="J9423" s="5"/>
      <c r="P9423" s="9"/>
      <c r="Q9423" s="5"/>
    </row>
    <row r="9424">
      <c r="J9424" s="5"/>
      <c r="P9424" s="9"/>
      <c r="Q9424" s="5"/>
    </row>
    <row r="9425">
      <c r="J9425" s="5"/>
      <c r="P9425" s="9"/>
      <c r="Q9425" s="5"/>
    </row>
    <row r="9426">
      <c r="J9426" s="5"/>
      <c r="P9426" s="9"/>
      <c r="Q9426" s="5"/>
    </row>
    <row r="9427">
      <c r="J9427" s="5"/>
      <c r="P9427" s="9"/>
      <c r="Q9427" s="5"/>
    </row>
    <row r="9428">
      <c r="J9428" s="5"/>
      <c r="P9428" s="9"/>
      <c r="Q9428" s="5"/>
    </row>
    <row r="9429">
      <c r="J9429" s="5"/>
      <c r="P9429" s="9"/>
      <c r="Q9429" s="5"/>
    </row>
    <row r="9430">
      <c r="J9430" s="5"/>
      <c r="P9430" s="9"/>
      <c r="Q9430" s="5"/>
    </row>
    <row r="9431">
      <c r="J9431" s="5"/>
      <c r="P9431" s="9"/>
      <c r="Q9431" s="5"/>
    </row>
    <row r="9432">
      <c r="J9432" s="5"/>
      <c r="P9432" s="9"/>
      <c r="Q9432" s="5"/>
    </row>
    <row r="9433">
      <c r="J9433" s="5"/>
      <c r="P9433" s="9"/>
      <c r="Q9433" s="5"/>
    </row>
    <row r="9434">
      <c r="J9434" s="5"/>
      <c r="P9434" s="9"/>
      <c r="Q9434" s="5"/>
    </row>
    <row r="9435">
      <c r="J9435" s="5"/>
      <c r="P9435" s="9"/>
      <c r="Q9435" s="5"/>
    </row>
    <row r="9436">
      <c r="J9436" s="5"/>
      <c r="P9436" s="9"/>
      <c r="Q9436" s="5"/>
    </row>
    <row r="9437">
      <c r="J9437" s="5"/>
      <c r="P9437" s="9"/>
      <c r="Q9437" s="5"/>
    </row>
    <row r="9438">
      <c r="J9438" s="5"/>
      <c r="P9438" s="9"/>
      <c r="Q9438" s="5"/>
    </row>
    <row r="9439">
      <c r="J9439" s="5"/>
      <c r="P9439" s="9"/>
      <c r="Q9439" s="5"/>
    </row>
    <row r="9440">
      <c r="J9440" s="5"/>
      <c r="P9440" s="9"/>
      <c r="Q9440" s="5"/>
    </row>
    <row r="9441">
      <c r="J9441" s="5"/>
      <c r="P9441" s="9"/>
      <c r="Q9441" s="5"/>
    </row>
    <row r="9442">
      <c r="J9442" s="5"/>
      <c r="P9442" s="9"/>
      <c r="Q9442" s="5"/>
    </row>
    <row r="9443">
      <c r="J9443" s="5"/>
      <c r="P9443" s="9"/>
      <c r="Q9443" s="5"/>
    </row>
    <row r="9444">
      <c r="J9444" s="5"/>
      <c r="P9444" s="9"/>
      <c r="Q9444" s="5"/>
    </row>
    <row r="9445">
      <c r="J9445" s="5"/>
      <c r="P9445" s="9"/>
      <c r="Q9445" s="5"/>
    </row>
    <row r="9446">
      <c r="J9446" s="5"/>
      <c r="P9446" s="9"/>
      <c r="Q9446" s="5"/>
    </row>
    <row r="9447">
      <c r="J9447" s="5"/>
      <c r="P9447" s="9"/>
      <c r="Q9447" s="5"/>
    </row>
    <row r="9448">
      <c r="J9448" s="5"/>
      <c r="P9448" s="9"/>
      <c r="Q9448" s="5"/>
    </row>
    <row r="9449">
      <c r="J9449" s="5"/>
      <c r="P9449" s="9"/>
      <c r="Q9449" s="5"/>
    </row>
    <row r="9450">
      <c r="J9450" s="5"/>
      <c r="P9450" s="9"/>
      <c r="Q9450" s="5"/>
    </row>
    <row r="9451">
      <c r="J9451" s="5"/>
      <c r="P9451" s="9"/>
      <c r="Q9451" s="5"/>
    </row>
    <row r="9452">
      <c r="J9452" s="5"/>
      <c r="P9452" s="9"/>
      <c r="Q9452" s="5"/>
    </row>
    <row r="9453">
      <c r="J9453" s="5"/>
      <c r="P9453" s="9"/>
      <c r="Q9453" s="5"/>
    </row>
    <row r="9454">
      <c r="J9454" s="5"/>
      <c r="P9454" s="9"/>
      <c r="Q9454" s="5"/>
    </row>
    <row r="9455">
      <c r="J9455" s="5"/>
      <c r="P9455" s="9"/>
      <c r="Q9455" s="5"/>
    </row>
    <row r="9456">
      <c r="J9456" s="5"/>
      <c r="P9456" s="9"/>
      <c r="Q9456" s="5"/>
    </row>
    <row r="9457">
      <c r="J9457" s="5"/>
      <c r="P9457" s="9"/>
      <c r="Q9457" s="5"/>
    </row>
    <row r="9458">
      <c r="J9458" s="5"/>
      <c r="P9458" s="9"/>
      <c r="Q9458" s="5"/>
    </row>
    <row r="9459">
      <c r="J9459" s="5"/>
      <c r="P9459" s="9"/>
      <c r="Q9459" s="5"/>
    </row>
    <row r="9460">
      <c r="J9460" s="5"/>
      <c r="P9460" s="9"/>
      <c r="Q9460" s="5"/>
    </row>
    <row r="9461">
      <c r="J9461" s="5"/>
      <c r="P9461" s="9"/>
      <c r="Q9461" s="5"/>
    </row>
    <row r="9462">
      <c r="J9462" s="5"/>
      <c r="P9462" s="9"/>
      <c r="Q9462" s="5"/>
    </row>
    <row r="9463">
      <c r="J9463" s="5"/>
      <c r="P9463" s="9"/>
      <c r="Q9463" s="5"/>
    </row>
    <row r="9464">
      <c r="J9464" s="5"/>
      <c r="P9464" s="9"/>
      <c r="Q9464" s="5"/>
    </row>
    <row r="9465">
      <c r="J9465" s="5"/>
      <c r="P9465" s="9"/>
      <c r="Q9465" s="5"/>
    </row>
    <row r="9466">
      <c r="J9466" s="5"/>
      <c r="P9466" s="9"/>
      <c r="Q9466" s="5"/>
    </row>
    <row r="9467">
      <c r="J9467" s="5"/>
      <c r="P9467" s="9"/>
      <c r="Q9467" s="5"/>
    </row>
    <row r="9468">
      <c r="J9468" s="5"/>
      <c r="P9468" s="9"/>
      <c r="Q9468" s="5"/>
    </row>
    <row r="9469">
      <c r="J9469" s="5"/>
      <c r="P9469" s="9"/>
      <c r="Q9469" s="5"/>
    </row>
    <row r="9470">
      <c r="J9470" s="5"/>
      <c r="P9470" s="9"/>
      <c r="Q9470" s="5"/>
    </row>
    <row r="9471">
      <c r="J9471" s="5"/>
      <c r="P9471" s="9"/>
      <c r="Q9471" s="5"/>
    </row>
    <row r="9472">
      <c r="J9472" s="5"/>
      <c r="P9472" s="9"/>
      <c r="Q9472" s="5"/>
    </row>
    <row r="9473">
      <c r="J9473" s="5"/>
      <c r="P9473" s="9"/>
      <c r="Q9473" s="5"/>
    </row>
    <row r="9474">
      <c r="J9474" s="5"/>
      <c r="P9474" s="9"/>
      <c r="Q9474" s="5"/>
    </row>
    <row r="9475">
      <c r="J9475" s="5"/>
      <c r="P9475" s="9"/>
      <c r="Q9475" s="5"/>
    </row>
    <row r="9476">
      <c r="J9476" s="5"/>
      <c r="P9476" s="9"/>
      <c r="Q9476" s="5"/>
    </row>
    <row r="9477">
      <c r="J9477" s="5"/>
      <c r="P9477" s="9"/>
      <c r="Q9477" s="5"/>
    </row>
    <row r="9478">
      <c r="J9478" s="5"/>
      <c r="P9478" s="9"/>
      <c r="Q9478" s="5"/>
    </row>
    <row r="9479">
      <c r="J9479" s="5"/>
      <c r="P9479" s="9"/>
      <c r="Q9479" s="5"/>
    </row>
    <row r="9480">
      <c r="J9480" s="5"/>
      <c r="P9480" s="9"/>
      <c r="Q9480" s="5"/>
    </row>
    <row r="9481">
      <c r="J9481" s="5"/>
      <c r="P9481" s="9"/>
      <c r="Q9481" s="5"/>
    </row>
    <row r="9482">
      <c r="J9482" s="5"/>
      <c r="P9482" s="9"/>
      <c r="Q9482" s="5"/>
    </row>
    <row r="9483">
      <c r="J9483" s="5"/>
      <c r="P9483" s="9"/>
      <c r="Q9483" s="5"/>
    </row>
    <row r="9484">
      <c r="J9484" s="5"/>
      <c r="P9484" s="9"/>
      <c r="Q9484" s="5"/>
    </row>
    <row r="9485">
      <c r="J9485" s="5"/>
      <c r="P9485" s="9"/>
      <c r="Q9485" s="5"/>
    </row>
    <row r="9486">
      <c r="J9486" s="5"/>
      <c r="P9486" s="9"/>
      <c r="Q9486" s="5"/>
    </row>
    <row r="9487">
      <c r="J9487" s="5"/>
      <c r="P9487" s="9"/>
      <c r="Q9487" s="5"/>
    </row>
    <row r="9488">
      <c r="J9488" s="5"/>
      <c r="P9488" s="9"/>
      <c r="Q9488" s="5"/>
    </row>
    <row r="9489">
      <c r="J9489" s="5"/>
      <c r="P9489" s="9"/>
      <c r="Q9489" s="5"/>
    </row>
    <row r="9490">
      <c r="J9490" s="5"/>
      <c r="P9490" s="9"/>
      <c r="Q9490" s="5"/>
    </row>
    <row r="9491">
      <c r="J9491" s="5"/>
      <c r="P9491" s="9"/>
      <c r="Q9491" s="5"/>
    </row>
    <row r="9492">
      <c r="J9492" s="5"/>
      <c r="P9492" s="9"/>
      <c r="Q9492" s="5"/>
    </row>
    <row r="9493">
      <c r="J9493" s="5"/>
      <c r="P9493" s="9"/>
      <c r="Q9493" s="5"/>
    </row>
    <row r="9494">
      <c r="J9494" s="5"/>
      <c r="P9494" s="9"/>
      <c r="Q9494" s="5"/>
    </row>
    <row r="9495">
      <c r="J9495" s="5"/>
      <c r="P9495" s="9"/>
      <c r="Q9495" s="5"/>
    </row>
    <row r="9496">
      <c r="J9496" s="5"/>
      <c r="P9496" s="9"/>
      <c r="Q9496" s="5"/>
    </row>
    <row r="9497">
      <c r="J9497" s="5"/>
      <c r="P9497" s="9"/>
      <c r="Q9497" s="5"/>
    </row>
    <row r="9498">
      <c r="J9498" s="5"/>
      <c r="P9498" s="9"/>
      <c r="Q9498" s="5"/>
    </row>
    <row r="9499">
      <c r="J9499" s="5"/>
      <c r="P9499" s="9"/>
      <c r="Q9499" s="5"/>
    </row>
    <row r="9500">
      <c r="J9500" s="5"/>
      <c r="P9500" s="9"/>
      <c r="Q9500" s="5"/>
    </row>
    <row r="9501">
      <c r="J9501" s="5"/>
      <c r="P9501" s="9"/>
      <c r="Q9501" s="5"/>
    </row>
    <row r="9502">
      <c r="J9502" s="5"/>
      <c r="P9502" s="9"/>
      <c r="Q9502" s="5"/>
    </row>
    <row r="9503">
      <c r="J9503" s="5"/>
      <c r="P9503" s="9"/>
      <c r="Q9503" s="5"/>
    </row>
    <row r="9504">
      <c r="J9504" s="5"/>
      <c r="P9504" s="9"/>
      <c r="Q9504" s="5"/>
    </row>
    <row r="9505">
      <c r="J9505" s="5"/>
      <c r="P9505" s="9"/>
      <c r="Q9505" s="5"/>
    </row>
    <row r="9506">
      <c r="J9506" s="5"/>
      <c r="P9506" s="9"/>
      <c r="Q9506" s="5"/>
    </row>
    <row r="9507">
      <c r="J9507" s="5"/>
      <c r="P9507" s="9"/>
      <c r="Q9507" s="5"/>
    </row>
    <row r="9508">
      <c r="J9508" s="5"/>
      <c r="P9508" s="9"/>
      <c r="Q9508" s="5"/>
    </row>
    <row r="9509">
      <c r="J9509" s="5"/>
      <c r="P9509" s="9"/>
      <c r="Q9509" s="5"/>
    </row>
    <row r="9510">
      <c r="J9510" s="5"/>
      <c r="P9510" s="9"/>
      <c r="Q9510" s="5"/>
    </row>
    <row r="9511">
      <c r="J9511" s="5"/>
      <c r="P9511" s="9"/>
      <c r="Q9511" s="5"/>
    </row>
    <row r="9512">
      <c r="J9512" s="5"/>
      <c r="P9512" s="9"/>
      <c r="Q9512" s="5"/>
    </row>
    <row r="9513">
      <c r="J9513" s="5"/>
      <c r="P9513" s="9"/>
      <c r="Q9513" s="5"/>
    </row>
    <row r="9514">
      <c r="J9514" s="5"/>
      <c r="P9514" s="9"/>
      <c r="Q9514" s="5"/>
    </row>
    <row r="9515">
      <c r="J9515" s="5"/>
      <c r="P9515" s="9"/>
      <c r="Q9515" s="5"/>
    </row>
    <row r="9516">
      <c r="J9516" s="5"/>
      <c r="P9516" s="9"/>
      <c r="Q9516" s="5"/>
    </row>
    <row r="9517">
      <c r="J9517" s="5"/>
      <c r="P9517" s="9"/>
      <c r="Q9517" s="5"/>
    </row>
    <row r="9518">
      <c r="J9518" s="5"/>
      <c r="P9518" s="9"/>
      <c r="Q9518" s="5"/>
    </row>
    <row r="9519">
      <c r="J9519" s="5"/>
      <c r="P9519" s="9"/>
      <c r="Q9519" s="5"/>
    </row>
    <row r="9520">
      <c r="J9520" s="5"/>
      <c r="P9520" s="9"/>
      <c r="Q9520" s="5"/>
    </row>
    <row r="9521">
      <c r="J9521" s="5"/>
      <c r="P9521" s="9"/>
      <c r="Q9521" s="5"/>
    </row>
    <row r="9522">
      <c r="J9522" s="5"/>
      <c r="P9522" s="9"/>
      <c r="Q9522" s="5"/>
    </row>
    <row r="9523">
      <c r="J9523" s="5"/>
      <c r="P9523" s="9"/>
      <c r="Q9523" s="5"/>
    </row>
    <row r="9524">
      <c r="J9524" s="5"/>
      <c r="P9524" s="9"/>
      <c r="Q9524" s="5"/>
    </row>
    <row r="9525">
      <c r="J9525" s="5"/>
      <c r="P9525" s="9"/>
      <c r="Q9525" s="5"/>
    </row>
    <row r="9526">
      <c r="J9526" s="5"/>
      <c r="P9526" s="9"/>
      <c r="Q9526" s="5"/>
    </row>
    <row r="9527">
      <c r="J9527" s="5"/>
      <c r="P9527" s="9"/>
      <c r="Q9527" s="5"/>
    </row>
    <row r="9528">
      <c r="J9528" s="5"/>
      <c r="P9528" s="9"/>
      <c r="Q9528" s="5"/>
    </row>
    <row r="9529">
      <c r="J9529" s="5"/>
      <c r="P9529" s="9"/>
      <c r="Q9529" s="5"/>
    </row>
    <row r="9530">
      <c r="J9530" s="5"/>
      <c r="P9530" s="9"/>
      <c r="Q9530" s="5"/>
    </row>
    <row r="9531">
      <c r="J9531" s="5"/>
      <c r="P9531" s="9"/>
      <c r="Q9531" s="5"/>
    </row>
    <row r="9532">
      <c r="J9532" s="5"/>
      <c r="P9532" s="9"/>
      <c r="Q9532" s="5"/>
    </row>
    <row r="9533">
      <c r="J9533" s="5"/>
      <c r="P9533" s="9"/>
      <c r="Q9533" s="5"/>
    </row>
    <row r="9534">
      <c r="J9534" s="5"/>
      <c r="P9534" s="9"/>
      <c r="Q9534" s="5"/>
    </row>
    <row r="9535">
      <c r="J9535" s="5"/>
      <c r="P9535" s="9"/>
      <c r="Q9535" s="5"/>
    </row>
    <row r="9536">
      <c r="J9536" s="5"/>
      <c r="P9536" s="9"/>
      <c r="Q9536" s="5"/>
    </row>
    <row r="9537">
      <c r="J9537" s="5"/>
      <c r="P9537" s="9"/>
      <c r="Q9537" s="5"/>
    </row>
    <row r="9538">
      <c r="J9538" s="5"/>
      <c r="P9538" s="9"/>
      <c r="Q9538" s="5"/>
    </row>
    <row r="9539">
      <c r="J9539" s="5"/>
      <c r="P9539" s="9"/>
      <c r="Q9539" s="5"/>
    </row>
    <row r="9540">
      <c r="J9540" s="5"/>
      <c r="P9540" s="9"/>
      <c r="Q9540" s="5"/>
    </row>
    <row r="9541">
      <c r="J9541" s="5"/>
      <c r="P9541" s="9"/>
      <c r="Q9541" s="5"/>
    </row>
    <row r="9542">
      <c r="J9542" s="5"/>
      <c r="P9542" s="9"/>
      <c r="Q9542" s="5"/>
    </row>
    <row r="9543">
      <c r="J9543" s="5"/>
      <c r="P9543" s="9"/>
      <c r="Q9543" s="5"/>
    </row>
    <row r="9544">
      <c r="J9544" s="5"/>
      <c r="P9544" s="9"/>
      <c r="Q9544" s="5"/>
    </row>
    <row r="9545">
      <c r="J9545" s="5"/>
      <c r="P9545" s="9"/>
      <c r="Q9545" s="5"/>
    </row>
    <row r="9546">
      <c r="J9546" s="5"/>
      <c r="P9546" s="9"/>
      <c r="Q9546" s="5"/>
    </row>
    <row r="9547">
      <c r="J9547" s="5"/>
      <c r="P9547" s="9"/>
      <c r="Q9547" s="5"/>
    </row>
    <row r="9548">
      <c r="J9548" s="5"/>
      <c r="P9548" s="9"/>
      <c r="Q9548" s="5"/>
    </row>
    <row r="9549">
      <c r="J9549" s="5"/>
      <c r="P9549" s="9"/>
      <c r="Q9549" s="5"/>
    </row>
    <row r="9550">
      <c r="J9550" s="5"/>
      <c r="P9550" s="9"/>
      <c r="Q9550" s="5"/>
    </row>
    <row r="9551">
      <c r="J9551" s="5"/>
      <c r="P9551" s="9"/>
      <c r="Q9551" s="5"/>
    </row>
    <row r="9552">
      <c r="J9552" s="5"/>
      <c r="P9552" s="9"/>
      <c r="Q9552" s="5"/>
    </row>
    <row r="9553">
      <c r="J9553" s="5"/>
      <c r="P9553" s="9"/>
      <c r="Q9553" s="5"/>
    </row>
    <row r="9554">
      <c r="J9554" s="5"/>
      <c r="P9554" s="9"/>
      <c r="Q9554" s="5"/>
    </row>
    <row r="9555">
      <c r="J9555" s="5"/>
      <c r="P9555" s="9"/>
      <c r="Q9555" s="5"/>
    </row>
    <row r="9556">
      <c r="J9556" s="5"/>
      <c r="P9556" s="9"/>
      <c r="Q9556" s="5"/>
    </row>
    <row r="9557">
      <c r="J9557" s="5"/>
      <c r="P9557" s="9"/>
      <c r="Q9557" s="5"/>
    </row>
    <row r="9558">
      <c r="J9558" s="5"/>
      <c r="P9558" s="9"/>
      <c r="Q9558" s="5"/>
    </row>
    <row r="9559">
      <c r="J9559" s="5"/>
      <c r="P9559" s="9"/>
      <c r="Q9559" s="5"/>
    </row>
    <row r="9560">
      <c r="J9560" s="5"/>
      <c r="P9560" s="9"/>
      <c r="Q9560" s="5"/>
    </row>
    <row r="9561">
      <c r="J9561" s="5"/>
      <c r="P9561" s="9"/>
      <c r="Q9561" s="5"/>
    </row>
    <row r="9562">
      <c r="J9562" s="5"/>
      <c r="P9562" s="9"/>
      <c r="Q9562" s="5"/>
    </row>
    <row r="9563">
      <c r="J9563" s="5"/>
      <c r="P9563" s="9"/>
      <c r="Q9563" s="5"/>
    </row>
    <row r="9564">
      <c r="J9564" s="5"/>
      <c r="P9564" s="9"/>
      <c r="Q9564" s="5"/>
    </row>
    <row r="9565">
      <c r="J9565" s="5"/>
      <c r="P9565" s="9"/>
      <c r="Q9565" s="5"/>
    </row>
    <row r="9566">
      <c r="J9566" s="5"/>
      <c r="P9566" s="9"/>
      <c r="Q9566" s="5"/>
    </row>
    <row r="9567">
      <c r="J9567" s="5"/>
      <c r="P9567" s="9"/>
      <c r="Q9567" s="5"/>
    </row>
    <row r="9568">
      <c r="J9568" s="5"/>
      <c r="P9568" s="9"/>
      <c r="Q9568" s="5"/>
    </row>
    <row r="9569">
      <c r="J9569" s="5"/>
      <c r="P9569" s="9"/>
      <c r="Q9569" s="5"/>
    </row>
    <row r="9570">
      <c r="J9570" s="5"/>
      <c r="P9570" s="9"/>
      <c r="Q9570" s="5"/>
    </row>
    <row r="9571">
      <c r="J9571" s="5"/>
      <c r="P9571" s="9"/>
      <c r="Q9571" s="5"/>
    </row>
    <row r="9572">
      <c r="J9572" s="5"/>
      <c r="P9572" s="9"/>
      <c r="Q9572" s="5"/>
    </row>
    <row r="9573">
      <c r="J9573" s="5"/>
      <c r="P9573" s="9"/>
      <c r="Q9573" s="5"/>
    </row>
    <row r="9574">
      <c r="J9574" s="5"/>
      <c r="P9574" s="9"/>
      <c r="Q9574" s="5"/>
    </row>
    <row r="9575">
      <c r="J9575" s="5"/>
      <c r="P9575" s="9"/>
      <c r="Q9575" s="5"/>
    </row>
    <row r="9576">
      <c r="J9576" s="5"/>
      <c r="P9576" s="9"/>
      <c r="Q9576" s="5"/>
    </row>
    <row r="9577">
      <c r="J9577" s="5"/>
      <c r="P9577" s="9"/>
      <c r="Q9577" s="5"/>
    </row>
    <row r="9578">
      <c r="J9578" s="5"/>
      <c r="P9578" s="9"/>
      <c r="Q9578" s="5"/>
    </row>
    <row r="9579">
      <c r="J9579" s="5"/>
      <c r="P9579" s="9"/>
      <c r="Q9579" s="5"/>
    </row>
    <row r="9580">
      <c r="J9580" s="5"/>
      <c r="P9580" s="9"/>
      <c r="Q9580" s="5"/>
    </row>
    <row r="9581">
      <c r="J9581" s="5"/>
      <c r="P9581" s="9"/>
      <c r="Q9581" s="5"/>
    </row>
    <row r="9582">
      <c r="J9582" s="5"/>
      <c r="P9582" s="9"/>
      <c r="Q9582" s="5"/>
    </row>
    <row r="9583">
      <c r="J9583" s="5"/>
      <c r="P9583" s="9"/>
      <c r="Q9583" s="5"/>
    </row>
    <row r="9584">
      <c r="J9584" s="5"/>
      <c r="P9584" s="9"/>
      <c r="Q9584" s="5"/>
    </row>
    <row r="9585">
      <c r="J9585" s="5"/>
      <c r="P9585" s="9"/>
      <c r="Q9585" s="5"/>
    </row>
    <row r="9586">
      <c r="J9586" s="5"/>
      <c r="P9586" s="9"/>
      <c r="Q9586" s="5"/>
    </row>
    <row r="9587">
      <c r="J9587" s="5"/>
      <c r="P9587" s="9"/>
      <c r="Q9587" s="5"/>
    </row>
    <row r="9588">
      <c r="J9588" s="5"/>
      <c r="P9588" s="9"/>
      <c r="Q9588" s="5"/>
    </row>
    <row r="9589">
      <c r="J9589" s="5"/>
      <c r="P9589" s="9"/>
      <c r="Q9589" s="5"/>
    </row>
    <row r="9590">
      <c r="J9590" s="5"/>
      <c r="P9590" s="9"/>
      <c r="Q9590" s="5"/>
    </row>
    <row r="9591">
      <c r="J9591" s="5"/>
      <c r="P9591" s="9"/>
      <c r="Q9591" s="5"/>
    </row>
    <row r="9592">
      <c r="J9592" s="5"/>
      <c r="P9592" s="9"/>
      <c r="Q9592" s="5"/>
    </row>
    <row r="9593">
      <c r="J9593" s="5"/>
      <c r="P9593" s="9"/>
      <c r="Q9593" s="5"/>
    </row>
    <row r="9594">
      <c r="J9594" s="5"/>
      <c r="P9594" s="9"/>
      <c r="Q9594" s="5"/>
    </row>
    <row r="9595">
      <c r="J9595" s="5"/>
      <c r="P9595" s="9"/>
      <c r="Q9595" s="5"/>
    </row>
    <row r="9596">
      <c r="J9596" s="5"/>
      <c r="P9596" s="9"/>
      <c r="Q9596" s="5"/>
    </row>
    <row r="9597">
      <c r="J9597" s="5"/>
      <c r="P9597" s="9"/>
      <c r="Q9597" s="5"/>
    </row>
    <row r="9598">
      <c r="J9598" s="5"/>
      <c r="P9598" s="9"/>
      <c r="Q9598" s="5"/>
    </row>
    <row r="9599">
      <c r="J9599" s="5"/>
      <c r="P9599" s="9"/>
      <c r="Q9599" s="5"/>
    </row>
    <row r="9600">
      <c r="J9600" s="5"/>
      <c r="P9600" s="9"/>
      <c r="Q9600" s="5"/>
    </row>
    <row r="9601">
      <c r="J9601" s="5"/>
      <c r="P9601" s="9"/>
      <c r="Q9601" s="5"/>
    </row>
    <row r="9602">
      <c r="J9602" s="5"/>
      <c r="P9602" s="9"/>
      <c r="Q9602" s="5"/>
    </row>
    <row r="9603">
      <c r="J9603" s="5"/>
      <c r="P9603" s="9"/>
      <c r="Q9603" s="5"/>
    </row>
    <row r="9604">
      <c r="J9604" s="5"/>
      <c r="P9604" s="9"/>
      <c r="Q9604" s="5"/>
    </row>
    <row r="9605">
      <c r="J9605" s="5"/>
      <c r="P9605" s="9"/>
      <c r="Q9605" s="5"/>
    </row>
    <row r="9606">
      <c r="J9606" s="5"/>
      <c r="P9606" s="9"/>
      <c r="Q9606" s="5"/>
    </row>
    <row r="9607">
      <c r="J9607" s="5"/>
      <c r="P9607" s="9"/>
      <c r="Q9607" s="5"/>
    </row>
    <row r="9608">
      <c r="J9608" s="5"/>
      <c r="P9608" s="9"/>
      <c r="Q9608" s="5"/>
    </row>
    <row r="9609">
      <c r="J9609" s="5"/>
      <c r="P9609" s="9"/>
      <c r="Q9609" s="5"/>
    </row>
    <row r="9610">
      <c r="J9610" s="5"/>
      <c r="P9610" s="9"/>
      <c r="Q9610" s="5"/>
    </row>
    <row r="9611">
      <c r="J9611" s="5"/>
      <c r="P9611" s="9"/>
      <c r="Q9611" s="5"/>
    </row>
    <row r="9612">
      <c r="J9612" s="5"/>
      <c r="P9612" s="9"/>
      <c r="Q9612" s="5"/>
    </row>
    <row r="9613">
      <c r="J9613" s="5"/>
      <c r="P9613" s="9"/>
      <c r="Q9613" s="5"/>
    </row>
    <row r="9614">
      <c r="J9614" s="5"/>
      <c r="P9614" s="9"/>
      <c r="Q9614" s="5"/>
    </row>
    <row r="9615">
      <c r="J9615" s="5"/>
      <c r="P9615" s="9"/>
      <c r="Q9615" s="5"/>
    </row>
    <row r="9616">
      <c r="J9616" s="5"/>
      <c r="P9616" s="9"/>
      <c r="Q9616" s="5"/>
    </row>
    <row r="9617">
      <c r="J9617" s="5"/>
      <c r="P9617" s="9"/>
      <c r="Q9617" s="5"/>
    </row>
    <row r="9618">
      <c r="J9618" s="5"/>
      <c r="P9618" s="9"/>
      <c r="Q9618" s="5"/>
    </row>
    <row r="9619">
      <c r="J9619" s="5"/>
      <c r="P9619" s="9"/>
      <c r="Q9619" s="5"/>
    </row>
    <row r="9620">
      <c r="J9620" s="5"/>
      <c r="P9620" s="9"/>
      <c r="Q9620" s="5"/>
    </row>
    <row r="9621">
      <c r="J9621" s="5"/>
      <c r="P9621" s="9"/>
      <c r="Q9621" s="5"/>
    </row>
    <row r="9622">
      <c r="J9622" s="5"/>
      <c r="P9622" s="9"/>
      <c r="Q9622" s="5"/>
    </row>
    <row r="9623">
      <c r="J9623" s="5"/>
      <c r="P9623" s="9"/>
      <c r="Q9623" s="5"/>
    </row>
    <row r="9624">
      <c r="J9624" s="5"/>
      <c r="P9624" s="9"/>
      <c r="Q9624" s="5"/>
    </row>
    <row r="9625">
      <c r="J9625" s="5"/>
      <c r="P9625" s="9"/>
      <c r="Q9625" s="5"/>
    </row>
    <row r="9626">
      <c r="J9626" s="5"/>
      <c r="P9626" s="9"/>
      <c r="Q9626" s="5"/>
    </row>
    <row r="9627">
      <c r="J9627" s="5"/>
      <c r="P9627" s="9"/>
      <c r="Q9627" s="5"/>
    </row>
    <row r="9628">
      <c r="J9628" s="5"/>
      <c r="P9628" s="9"/>
      <c r="Q9628" s="5"/>
    </row>
    <row r="9629">
      <c r="J9629" s="5"/>
      <c r="P9629" s="9"/>
      <c r="Q9629" s="5"/>
    </row>
    <row r="9630">
      <c r="J9630" s="5"/>
      <c r="P9630" s="9"/>
      <c r="Q9630" s="5"/>
    </row>
    <row r="9631">
      <c r="J9631" s="5"/>
      <c r="P9631" s="9"/>
      <c r="Q9631" s="5"/>
    </row>
    <row r="9632">
      <c r="J9632" s="5"/>
      <c r="P9632" s="9"/>
      <c r="Q9632" s="5"/>
    </row>
    <row r="9633">
      <c r="J9633" s="5"/>
      <c r="P9633" s="9"/>
      <c r="Q9633" s="5"/>
    </row>
    <row r="9634">
      <c r="J9634" s="5"/>
      <c r="P9634" s="9"/>
      <c r="Q9634" s="5"/>
    </row>
    <row r="9635">
      <c r="J9635" s="5"/>
      <c r="P9635" s="9"/>
      <c r="Q9635" s="5"/>
    </row>
    <row r="9636">
      <c r="J9636" s="5"/>
      <c r="P9636" s="9"/>
      <c r="Q9636" s="5"/>
    </row>
    <row r="9637">
      <c r="J9637" s="5"/>
      <c r="P9637" s="9"/>
      <c r="Q9637" s="5"/>
    </row>
    <row r="9638">
      <c r="J9638" s="5"/>
      <c r="P9638" s="9"/>
      <c r="Q9638" s="5"/>
    </row>
    <row r="9639">
      <c r="J9639" s="5"/>
      <c r="P9639" s="9"/>
      <c r="Q9639" s="5"/>
    </row>
    <row r="9640">
      <c r="J9640" s="5"/>
      <c r="P9640" s="9"/>
      <c r="Q9640" s="5"/>
    </row>
    <row r="9641">
      <c r="J9641" s="5"/>
      <c r="P9641" s="9"/>
      <c r="Q9641" s="5"/>
    </row>
    <row r="9642">
      <c r="J9642" s="5"/>
      <c r="P9642" s="9"/>
      <c r="Q9642" s="5"/>
    </row>
    <row r="9643">
      <c r="J9643" s="5"/>
      <c r="P9643" s="9"/>
      <c r="Q9643" s="5"/>
    </row>
    <row r="9644">
      <c r="J9644" s="5"/>
      <c r="P9644" s="9"/>
      <c r="Q9644" s="5"/>
    </row>
    <row r="9645">
      <c r="J9645" s="5"/>
      <c r="P9645" s="9"/>
      <c r="Q9645" s="5"/>
    </row>
    <row r="9646">
      <c r="J9646" s="5"/>
      <c r="P9646" s="9"/>
      <c r="Q9646" s="5"/>
    </row>
    <row r="9647">
      <c r="J9647" s="5"/>
      <c r="P9647" s="9"/>
      <c r="Q9647" s="5"/>
    </row>
    <row r="9648">
      <c r="J9648" s="5"/>
      <c r="P9648" s="9"/>
      <c r="Q9648" s="5"/>
    </row>
    <row r="9649">
      <c r="J9649" s="5"/>
      <c r="P9649" s="9"/>
      <c r="Q9649" s="5"/>
    </row>
    <row r="9650">
      <c r="J9650" s="5"/>
      <c r="P9650" s="9"/>
      <c r="Q9650" s="5"/>
    </row>
    <row r="9651">
      <c r="J9651" s="5"/>
      <c r="P9651" s="9"/>
      <c r="Q9651" s="5"/>
    </row>
    <row r="9652">
      <c r="J9652" s="5"/>
      <c r="P9652" s="9"/>
      <c r="Q9652" s="5"/>
    </row>
    <row r="9653">
      <c r="J9653" s="5"/>
      <c r="P9653" s="9"/>
      <c r="Q9653" s="5"/>
    </row>
    <row r="9654">
      <c r="J9654" s="5"/>
      <c r="P9654" s="9"/>
      <c r="Q9654" s="5"/>
    </row>
    <row r="9655">
      <c r="J9655" s="5"/>
      <c r="P9655" s="9"/>
      <c r="Q9655" s="5"/>
    </row>
    <row r="9656">
      <c r="J9656" s="5"/>
      <c r="P9656" s="9"/>
      <c r="Q9656" s="5"/>
    </row>
    <row r="9657">
      <c r="J9657" s="5"/>
      <c r="P9657" s="9"/>
      <c r="Q9657" s="5"/>
    </row>
    <row r="9658">
      <c r="J9658" s="5"/>
      <c r="P9658" s="9"/>
      <c r="Q9658" s="5"/>
    </row>
    <row r="9659">
      <c r="J9659" s="5"/>
      <c r="P9659" s="9"/>
      <c r="Q9659" s="5"/>
    </row>
    <row r="9660">
      <c r="J9660" s="5"/>
      <c r="P9660" s="9"/>
      <c r="Q9660" s="5"/>
    </row>
    <row r="9661">
      <c r="J9661" s="5"/>
      <c r="P9661" s="9"/>
      <c r="Q9661" s="5"/>
    </row>
    <row r="9662">
      <c r="J9662" s="5"/>
      <c r="P9662" s="9"/>
      <c r="Q9662" s="5"/>
    </row>
    <row r="9663">
      <c r="J9663" s="5"/>
      <c r="P9663" s="9"/>
      <c r="Q9663" s="5"/>
    </row>
    <row r="9664">
      <c r="J9664" s="5"/>
      <c r="P9664" s="9"/>
      <c r="Q9664" s="5"/>
    </row>
    <row r="9665">
      <c r="J9665" s="5"/>
      <c r="P9665" s="9"/>
      <c r="Q9665" s="5"/>
    </row>
    <row r="9666">
      <c r="J9666" s="5"/>
      <c r="P9666" s="9"/>
      <c r="Q9666" s="5"/>
    </row>
    <row r="9667">
      <c r="J9667" s="5"/>
      <c r="P9667" s="9"/>
      <c r="Q9667" s="5"/>
    </row>
    <row r="9668">
      <c r="J9668" s="5"/>
      <c r="P9668" s="9"/>
      <c r="Q9668" s="5"/>
    </row>
    <row r="9669">
      <c r="J9669" s="5"/>
      <c r="P9669" s="9"/>
      <c r="Q9669" s="5"/>
    </row>
    <row r="9670">
      <c r="J9670" s="5"/>
      <c r="P9670" s="9"/>
      <c r="Q9670" s="5"/>
    </row>
    <row r="9671">
      <c r="J9671" s="5"/>
      <c r="P9671" s="9"/>
      <c r="Q9671" s="5"/>
    </row>
    <row r="9672">
      <c r="J9672" s="5"/>
      <c r="P9672" s="9"/>
      <c r="Q9672" s="5"/>
    </row>
    <row r="9673">
      <c r="J9673" s="5"/>
      <c r="P9673" s="9"/>
      <c r="Q9673" s="5"/>
    </row>
    <row r="9674">
      <c r="J9674" s="5"/>
      <c r="P9674" s="9"/>
      <c r="Q9674" s="5"/>
    </row>
    <row r="9675">
      <c r="J9675" s="5"/>
      <c r="P9675" s="9"/>
      <c r="Q9675" s="5"/>
    </row>
    <row r="9676">
      <c r="J9676" s="5"/>
      <c r="P9676" s="9"/>
      <c r="Q9676" s="5"/>
    </row>
    <row r="9677">
      <c r="J9677" s="5"/>
      <c r="P9677" s="9"/>
      <c r="Q9677" s="5"/>
    </row>
    <row r="9678">
      <c r="J9678" s="5"/>
      <c r="P9678" s="9"/>
      <c r="Q9678" s="5"/>
    </row>
    <row r="9679">
      <c r="J9679" s="5"/>
      <c r="P9679" s="9"/>
      <c r="Q9679" s="5"/>
    </row>
    <row r="9680">
      <c r="J9680" s="5"/>
      <c r="P9680" s="9"/>
      <c r="Q9680" s="5"/>
    </row>
    <row r="9681">
      <c r="J9681" s="5"/>
      <c r="P9681" s="9"/>
      <c r="Q9681" s="5"/>
    </row>
    <row r="9682">
      <c r="J9682" s="5"/>
      <c r="P9682" s="9"/>
      <c r="Q9682" s="5"/>
    </row>
    <row r="9683">
      <c r="J9683" s="5"/>
      <c r="P9683" s="9"/>
      <c r="Q9683" s="5"/>
    </row>
    <row r="9684">
      <c r="J9684" s="5"/>
      <c r="P9684" s="9"/>
      <c r="Q9684" s="5"/>
    </row>
    <row r="9685">
      <c r="J9685" s="5"/>
      <c r="P9685" s="9"/>
      <c r="Q9685" s="5"/>
    </row>
    <row r="9686">
      <c r="J9686" s="5"/>
      <c r="P9686" s="9"/>
      <c r="Q9686" s="5"/>
    </row>
    <row r="9687">
      <c r="J9687" s="5"/>
      <c r="P9687" s="9"/>
      <c r="Q9687" s="5"/>
    </row>
    <row r="9688">
      <c r="J9688" s="5"/>
      <c r="P9688" s="9"/>
      <c r="Q9688" s="5"/>
    </row>
    <row r="9689">
      <c r="J9689" s="5"/>
      <c r="P9689" s="9"/>
      <c r="Q9689" s="5"/>
    </row>
    <row r="9690">
      <c r="J9690" s="5"/>
      <c r="P9690" s="9"/>
      <c r="Q9690" s="5"/>
    </row>
    <row r="9691">
      <c r="J9691" s="5"/>
      <c r="P9691" s="9"/>
      <c r="Q9691" s="5"/>
    </row>
    <row r="9692">
      <c r="J9692" s="5"/>
      <c r="P9692" s="9"/>
      <c r="Q9692" s="5"/>
    </row>
    <row r="9693">
      <c r="J9693" s="5"/>
      <c r="P9693" s="9"/>
      <c r="Q9693" s="5"/>
    </row>
    <row r="9694">
      <c r="J9694" s="5"/>
      <c r="P9694" s="9"/>
      <c r="Q9694" s="5"/>
    </row>
    <row r="9695">
      <c r="J9695" s="5"/>
      <c r="P9695" s="9"/>
      <c r="Q9695" s="5"/>
    </row>
    <row r="9696">
      <c r="J9696" s="5"/>
      <c r="P9696" s="9"/>
      <c r="Q9696" s="5"/>
    </row>
    <row r="9697">
      <c r="J9697" s="5"/>
      <c r="P9697" s="9"/>
      <c r="Q9697" s="5"/>
    </row>
    <row r="9698">
      <c r="J9698" s="5"/>
      <c r="P9698" s="9"/>
      <c r="Q9698" s="5"/>
    </row>
    <row r="9699">
      <c r="J9699" s="5"/>
      <c r="P9699" s="9"/>
      <c r="Q9699" s="5"/>
    </row>
    <row r="9700">
      <c r="J9700" s="5"/>
      <c r="P9700" s="9"/>
      <c r="Q9700" s="5"/>
    </row>
    <row r="9701">
      <c r="J9701" s="5"/>
      <c r="P9701" s="9"/>
      <c r="Q9701" s="5"/>
    </row>
    <row r="9702">
      <c r="J9702" s="5"/>
      <c r="P9702" s="9"/>
      <c r="Q9702" s="5"/>
    </row>
    <row r="9703">
      <c r="J9703" s="5"/>
      <c r="P9703" s="9"/>
      <c r="Q9703" s="5"/>
    </row>
    <row r="9704">
      <c r="J9704" s="5"/>
      <c r="P9704" s="9"/>
      <c r="Q9704" s="5"/>
    </row>
    <row r="9705">
      <c r="J9705" s="5"/>
      <c r="P9705" s="9"/>
      <c r="Q9705" s="5"/>
    </row>
    <row r="9706">
      <c r="J9706" s="5"/>
      <c r="P9706" s="9"/>
      <c r="Q9706" s="5"/>
    </row>
    <row r="9707">
      <c r="J9707" s="5"/>
      <c r="P9707" s="9"/>
      <c r="Q9707" s="5"/>
    </row>
    <row r="9708">
      <c r="J9708" s="5"/>
      <c r="P9708" s="9"/>
      <c r="Q9708" s="5"/>
    </row>
    <row r="9709">
      <c r="J9709" s="5"/>
      <c r="P9709" s="9"/>
      <c r="Q9709" s="5"/>
    </row>
    <row r="9710">
      <c r="J9710" s="5"/>
      <c r="P9710" s="9"/>
      <c r="Q9710" s="5"/>
    </row>
    <row r="9711">
      <c r="J9711" s="5"/>
      <c r="P9711" s="9"/>
      <c r="Q9711" s="5"/>
    </row>
    <row r="9712">
      <c r="J9712" s="5"/>
      <c r="P9712" s="9"/>
      <c r="Q9712" s="5"/>
    </row>
    <row r="9713">
      <c r="J9713" s="5"/>
      <c r="P9713" s="9"/>
      <c r="Q9713" s="5"/>
    </row>
    <row r="9714">
      <c r="J9714" s="5"/>
      <c r="P9714" s="9"/>
      <c r="Q9714" s="5"/>
    </row>
    <row r="9715">
      <c r="J9715" s="5"/>
      <c r="P9715" s="9"/>
      <c r="Q9715" s="5"/>
    </row>
    <row r="9716">
      <c r="J9716" s="5"/>
      <c r="P9716" s="9"/>
      <c r="Q9716" s="5"/>
    </row>
    <row r="9717">
      <c r="J9717" s="5"/>
      <c r="P9717" s="9"/>
      <c r="Q9717" s="5"/>
    </row>
    <row r="9718">
      <c r="J9718" s="5"/>
      <c r="P9718" s="9"/>
      <c r="Q9718" s="5"/>
    </row>
    <row r="9719">
      <c r="J9719" s="5"/>
      <c r="P9719" s="9"/>
      <c r="Q9719" s="5"/>
    </row>
    <row r="9720">
      <c r="J9720" s="5"/>
      <c r="P9720" s="9"/>
      <c r="Q9720" s="5"/>
    </row>
    <row r="9721">
      <c r="J9721" s="5"/>
      <c r="P9721" s="9"/>
      <c r="Q9721" s="5"/>
    </row>
    <row r="9722">
      <c r="J9722" s="5"/>
      <c r="P9722" s="9"/>
      <c r="Q9722" s="5"/>
    </row>
    <row r="9723">
      <c r="J9723" s="5"/>
      <c r="P9723" s="9"/>
      <c r="Q9723" s="5"/>
    </row>
    <row r="9724">
      <c r="J9724" s="5"/>
      <c r="P9724" s="9"/>
      <c r="Q9724" s="5"/>
    </row>
    <row r="9725">
      <c r="J9725" s="5"/>
      <c r="P9725" s="9"/>
      <c r="Q9725" s="5"/>
    </row>
    <row r="9726">
      <c r="J9726" s="5"/>
      <c r="P9726" s="9"/>
      <c r="Q9726" s="5"/>
    </row>
    <row r="9727">
      <c r="J9727" s="5"/>
      <c r="P9727" s="9"/>
      <c r="Q9727" s="5"/>
    </row>
    <row r="9728">
      <c r="J9728" s="5"/>
      <c r="P9728" s="9"/>
      <c r="Q9728" s="5"/>
    </row>
    <row r="9729">
      <c r="J9729" s="5"/>
      <c r="P9729" s="9"/>
      <c r="Q9729" s="5"/>
    </row>
    <row r="9730">
      <c r="J9730" s="5"/>
      <c r="P9730" s="9"/>
      <c r="Q9730" s="5"/>
    </row>
    <row r="9731">
      <c r="J9731" s="5"/>
      <c r="P9731" s="9"/>
      <c r="Q9731" s="5"/>
    </row>
    <row r="9732">
      <c r="J9732" s="5"/>
      <c r="P9732" s="9"/>
      <c r="Q9732" s="5"/>
    </row>
    <row r="9733">
      <c r="J9733" s="5"/>
      <c r="P9733" s="9"/>
      <c r="Q9733" s="5"/>
    </row>
    <row r="9734">
      <c r="J9734" s="5"/>
      <c r="P9734" s="9"/>
      <c r="Q9734" s="5"/>
    </row>
    <row r="9735">
      <c r="J9735" s="5"/>
      <c r="P9735" s="9"/>
      <c r="Q9735" s="5"/>
    </row>
    <row r="9736">
      <c r="J9736" s="5"/>
      <c r="P9736" s="9"/>
      <c r="Q9736" s="5"/>
    </row>
    <row r="9737">
      <c r="J9737" s="5"/>
      <c r="P9737" s="9"/>
      <c r="Q9737" s="5"/>
    </row>
    <row r="9738">
      <c r="J9738" s="5"/>
      <c r="P9738" s="9"/>
      <c r="Q9738" s="5"/>
    </row>
    <row r="9739">
      <c r="J9739" s="5"/>
      <c r="P9739" s="9"/>
      <c r="Q9739" s="5"/>
    </row>
    <row r="9740">
      <c r="J9740" s="5"/>
      <c r="P9740" s="9"/>
      <c r="Q9740" s="5"/>
    </row>
    <row r="9741">
      <c r="J9741" s="5"/>
      <c r="P9741" s="9"/>
      <c r="Q9741" s="5"/>
    </row>
    <row r="9742">
      <c r="J9742" s="5"/>
      <c r="P9742" s="9"/>
      <c r="Q9742" s="5"/>
    </row>
    <row r="9743">
      <c r="J9743" s="5"/>
      <c r="P9743" s="9"/>
      <c r="Q9743" s="5"/>
    </row>
    <row r="9744">
      <c r="J9744" s="5"/>
      <c r="P9744" s="9"/>
      <c r="Q9744" s="5"/>
    </row>
    <row r="9745">
      <c r="J9745" s="5"/>
      <c r="P9745" s="9"/>
      <c r="Q9745" s="5"/>
    </row>
    <row r="9746">
      <c r="J9746" s="5"/>
      <c r="P9746" s="9"/>
      <c r="Q9746" s="5"/>
    </row>
    <row r="9747">
      <c r="J9747" s="5"/>
      <c r="P9747" s="9"/>
      <c r="Q9747" s="5"/>
    </row>
    <row r="9748">
      <c r="J9748" s="5"/>
      <c r="P9748" s="9"/>
      <c r="Q9748" s="5"/>
    </row>
    <row r="9749">
      <c r="J9749" s="5"/>
      <c r="P9749" s="9"/>
      <c r="Q9749" s="5"/>
    </row>
    <row r="9750">
      <c r="J9750" s="5"/>
      <c r="P9750" s="9"/>
      <c r="Q9750" s="5"/>
    </row>
    <row r="9751">
      <c r="J9751" s="5"/>
      <c r="P9751" s="9"/>
      <c r="Q9751" s="5"/>
    </row>
    <row r="9752">
      <c r="J9752" s="5"/>
      <c r="P9752" s="9"/>
      <c r="Q9752" s="5"/>
    </row>
    <row r="9753">
      <c r="J9753" s="5"/>
      <c r="P9753" s="9"/>
      <c r="Q9753" s="5"/>
    </row>
    <row r="9754">
      <c r="J9754" s="5"/>
      <c r="P9754" s="9"/>
      <c r="Q9754" s="5"/>
    </row>
    <row r="9755">
      <c r="J9755" s="5"/>
      <c r="P9755" s="9"/>
      <c r="Q9755" s="5"/>
    </row>
    <row r="9756">
      <c r="J9756" s="5"/>
      <c r="P9756" s="9"/>
      <c r="Q9756" s="5"/>
    </row>
    <row r="9757">
      <c r="J9757" s="5"/>
      <c r="P9757" s="9"/>
      <c r="Q9757" s="5"/>
    </row>
    <row r="9758">
      <c r="J9758" s="5"/>
      <c r="P9758" s="9"/>
      <c r="Q9758" s="5"/>
    </row>
    <row r="9759">
      <c r="J9759" s="5"/>
      <c r="P9759" s="9"/>
      <c r="Q9759" s="5"/>
    </row>
    <row r="9760">
      <c r="J9760" s="5"/>
      <c r="P9760" s="9"/>
      <c r="Q9760" s="5"/>
    </row>
    <row r="9761">
      <c r="J9761" s="5"/>
      <c r="P9761" s="9"/>
      <c r="Q9761" s="5"/>
    </row>
    <row r="9762">
      <c r="J9762" s="5"/>
      <c r="P9762" s="9"/>
      <c r="Q9762" s="5"/>
    </row>
    <row r="9763">
      <c r="J9763" s="5"/>
      <c r="P9763" s="9"/>
      <c r="Q9763" s="5"/>
    </row>
    <row r="9764">
      <c r="J9764" s="5"/>
      <c r="P9764" s="9"/>
      <c r="Q9764" s="5"/>
    </row>
    <row r="9765">
      <c r="J9765" s="5"/>
      <c r="P9765" s="9"/>
      <c r="Q9765" s="5"/>
    </row>
    <row r="9766">
      <c r="J9766" s="5"/>
      <c r="P9766" s="9"/>
      <c r="Q9766" s="5"/>
    </row>
    <row r="9767">
      <c r="J9767" s="5"/>
      <c r="P9767" s="9"/>
      <c r="Q9767" s="5"/>
    </row>
    <row r="9768">
      <c r="J9768" s="5"/>
      <c r="P9768" s="9"/>
      <c r="Q9768" s="5"/>
    </row>
    <row r="9769">
      <c r="J9769" s="5"/>
      <c r="P9769" s="9"/>
      <c r="Q9769" s="5"/>
    </row>
    <row r="9770">
      <c r="J9770" s="5"/>
      <c r="P9770" s="9"/>
      <c r="Q9770" s="5"/>
    </row>
    <row r="9771">
      <c r="J9771" s="5"/>
      <c r="P9771" s="9"/>
      <c r="Q9771" s="5"/>
    </row>
    <row r="9772">
      <c r="J9772" s="5"/>
      <c r="P9772" s="9"/>
      <c r="Q9772" s="5"/>
    </row>
    <row r="9773">
      <c r="J9773" s="5"/>
      <c r="P9773" s="9"/>
      <c r="Q9773" s="5"/>
    </row>
    <row r="9774">
      <c r="J9774" s="5"/>
      <c r="P9774" s="9"/>
      <c r="Q9774" s="5"/>
    </row>
    <row r="9775">
      <c r="J9775" s="5"/>
      <c r="P9775" s="9"/>
      <c r="Q9775" s="5"/>
    </row>
    <row r="9776">
      <c r="J9776" s="5"/>
      <c r="P9776" s="9"/>
      <c r="Q9776" s="5"/>
    </row>
    <row r="9777">
      <c r="J9777" s="5"/>
      <c r="P9777" s="9"/>
      <c r="Q9777" s="5"/>
    </row>
    <row r="9778">
      <c r="J9778" s="5"/>
      <c r="P9778" s="9"/>
      <c r="Q9778" s="5"/>
    </row>
    <row r="9779">
      <c r="J9779" s="5"/>
      <c r="P9779" s="9"/>
      <c r="Q9779" s="5"/>
    </row>
    <row r="9780">
      <c r="J9780" s="5"/>
      <c r="P9780" s="9"/>
      <c r="Q9780" s="5"/>
    </row>
    <row r="9781">
      <c r="J9781" s="5"/>
      <c r="P9781" s="9"/>
      <c r="Q9781" s="5"/>
    </row>
    <row r="9782">
      <c r="J9782" s="5"/>
      <c r="P9782" s="9"/>
      <c r="Q9782" s="5"/>
    </row>
    <row r="9783">
      <c r="J9783" s="5"/>
      <c r="P9783" s="9"/>
      <c r="Q9783" s="5"/>
    </row>
    <row r="9784">
      <c r="J9784" s="5"/>
      <c r="P9784" s="9"/>
      <c r="Q9784" s="5"/>
    </row>
    <row r="9785">
      <c r="J9785" s="5"/>
      <c r="P9785" s="9"/>
      <c r="Q9785" s="5"/>
    </row>
    <row r="9786">
      <c r="J9786" s="5"/>
      <c r="P9786" s="9"/>
      <c r="Q9786" s="5"/>
    </row>
    <row r="9787">
      <c r="J9787" s="5"/>
      <c r="P9787" s="9"/>
      <c r="Q9787" s="5"/>
    </row>
    <row r="9788">
      <c r="J9788" s="5"/>
      <c r="P9788" s="9"/>
      <c r="Q9788" s="5"/>
    </row>
    <row r="9789">
      <c r="J9789" s="5"/>
      <c r="P9789" s="9"/>
      <c r="Q9789" s="5"/>
    </row>
    <row r="9790">
      <c r="J9790" s="5"/>
      <c r="P9790" s="9"/>
      <c r="Q9790" s="5"/>
    </row>
    <row r="9791">
      <c r="J9791" s="5"/>
      <c r="P9791" s="9"/>
      <c r="Q9791" s="5"/>
    </row>
    <row r="9792">
      <c r="J9792" s="5"/>
      <c r="P9792" s="9"/>
      <c r="Q9792" s="5"/>
    </row>
    <row r="9793">
      <c r="J9793" s="5"/>
      <c r="P9793" s="9"/>
      <c r="Q9793" s="5"/>
    </row>
    <row r="9794">
      <c r="J9794" s="5"/>
      <c r="P9794" s="9"/>
      <c r="Q9794" s="5"/>
    </row>
    <row r="9795">
      <c r="J9795" s="5"/>
      <c r="P9795" s="9"/>
      <c r="Q9795" s="5"/>
    </row>
    <row r="9796">
      <c r="J9796" s="5"/>
      <c r="P9796" s="9"/>
      <c r="Q9796" s="5"/>
    </row>
    <row r="9797">
      <c r="J9797" s="5"/>
      <c r="P9797" s="9"/>
      <c r="Q9797" s="5"/>
    </row>
    <row r="9798">
      <c r="J9798" s="5"/>
      <c r="P9798" s="9"/>
      <c r="Q9798" s="5"/>
    </row>
    <row r="9799">
      <c r="J9799" s="5"/>
      <c r="P9799" s="9"/>
      <c r="Q9799" s="5"/>
    </row>
    <row r="9800">
      <c r="J9800" s="5"/>
      <c r="P9800" s="9"/>
      <c r="Q9800" s="5"/>
    </row>
    <row r="9801">
      <c r="J9801" s="5"/>
      <c r="P9801" s="9"/>
      <c r="Q9801" s="5"/>
    </row>
    <row r="9802">
      <c r="J9802" s="5"/>
      <c r="P9802" s="9"/>
      <c r="Q9802" s="5"/>
    </row>
    <row r="9803">
      <c r="J9803" s="5"/>
      <c r="P9803" s="9"/>
      <c r="Q9803" s="5"/>
    </row>
    <row r="9804">
      <c r="J9804" s="5"/>
      <c r="P9804" s="9"/>
      <c r="Q9804" s="5"/>
    </row>
    <row r="9805">
      <c r="J9805" s="5"/>
      <c r="P9805" s="9"/>
      <c r="Q9805" s="5"/>
    </row>
    <row r="9806">
      <c r="J9806" s="5"/>
      <c r="P9806" s="9"/>
      <c r="Q9806" s="5"/>
    </row>
    <row r="9807">
      <c r="J9807" s="5"/>
      <c r="P9807" s="9"/>
      <c r="Q9807" s="5"/>
    </row>
    <row r="9808">
      <c r="J9808" s="5"/>
      <c r="P9808" s="9"/>
      <c r="Q9808" s="5"/>
    </row>
    <row r="9809">
      <c r="J9809" s="5"/>
      <c r="P9809" s="9"/>
      <c r="Q9809" s="5"/>
    </row>
    <row r="9810">
      <c r="J9810" s="5"/>
      <c r="P9810" s="9"/>
      <c r="Q9810" s="5"/>
    </row>
    <row r="9811">
      <c r="J9811" s="5"/>
      <c r="P9811" s="9"/>
      <c r="Q9811" s="5"/>
    </row>
    <row r="9812">
      <c r="J9812" s="5"/>
      <c r="P9812" s="9"/>
      <c r="Q9812" s="5"/>
    </row>
    <row r="9813">
      <c r="J9813" s="5"/>
      <c r="P9813" s="9"/>
      <c r="Q9813" s="5"/>
    </row>
    <row r="9814">
      <c r="J9814" s="5"/>
      <c r="P9814" s="9"/>
      <c r="Q9814" s="5"/>
    </row>
    <row r="9815">
      <c r="J9815" s="5"/>
      <c r="P9815" s="9"/>
      <c r="Q9815" s="5"/>
    </row>
    <row r="9816">
      <c r="J9816" s="5"/>
      <c r="P9816" s="9"/>
      <c r="Q9816" s="5"/>
    </row>
    <row r="9817">
      <c r="J9817" s="5"/>
      <c r="P9817" s="9"/>
      <c r="Q9817" s="5"/>
    </row>
    <row r="9818">
      <c r="J9818" s="5"/>
      <c r="P9818" s="9"/>
      <c r="Q9818" s="5"/>
    </row>
    <row r="9819">
      <c r="J9819" s="5"/>
      <c r="P9819" s="9"/>
      <c r="Q9819" s="5"/>
    </row>
    <row r="9820">
      <c r="J9820" s="5"/>
      <c r="P9820" s="9"/>
      <c r="Q9820" s="5"/>
    </row>
    <row r="9821">
      <c r="J9821" s="5"/>
      <c r="P9821" s="9"/>
      <c r="Q9821" s="5"/>
    </row>
    <row r="9822">
      <c r="J9822" s="5"/>
      <c r="P9822" s="9"/>
      <c r="Q9822" s="5"/>
    </row>
    <row r="9823">
      <c r="J9823" s="5"/>
      <c r="P9823" s="9"/>
      <c r="Q9823" s="5"/>
    </row>
    <row r="9824">
      <c r="J9824" s="5"/>
      <c r="P9824" s="9"/>
      <c r="Q9824" s="5"/>
    </row>
    <row r="9825">
      <c r="J9825" s="5"/>
      <c r="P9825" s="9"/>
      <c r="Q9825" s="5"/>
    </row>
    <row r="9826">
      <c r="J9826" s="5"/>
      <c r="P9826" s="9"/>
      <c r="Q9826" s="5"/>
    </row>
    <row r="9827">
      <c r="J9827" s="5"/>
      <c r="P9827" s="9"/>
      <c r="Q9827" s="5"/>
    </row>
    <row r="9828">
      <c r="J9828" s="5"/>
      <c r="P9828" s="9"/>
      <c r="Q9828" s="5"/>
    </row>
    <row r="9829">
      <c r="J9829" s="5"/>
      <c r="P9829" s="9"/>
      <c r="Q9829" s="5"/>
    </row>
    <row r="9830">
      <c r="J9830" s="5"/>
      <c r="P9830" s="9"/>
      <c r="Q9830" s="5"/>
    </row>
    <row r="9831">
      <c r="J9831" s="5"/>
      <c r="P9831" s="9"/>
      <c r="Q9831" s="5"/>
    </row>
    <row r="9832">
      <c r="J9832" s="5"/>
      <c r="P9832" s="9"/>
      <c r="Q9832" s="5"/>
    </row>
    <row r="9833">
      <c r="J9833" s="5"/>
      <c r="P9833" s="9"/>
      <c r="Q9833" s="5"/>
    </row>
    <row r="9834">
      <c r="J9834" s="5"/>
      <c r="P9834" s="9"/>
      <c r="Q9834" s="5"/>
    </row>
    <row r="9835">
      <c r="J9835" s="5"/>
      <c r="P9835" s="9"/>
      <c r="Q9835" s="5"/>
    </row>
    <row r="9836">
      <c r="J9836" s="5"/>
      <c r="P9836" s="9"/>
      <c r="Q9836" s="5"/>
    </row>
    <row r="9837">
      <c r="J9837" s="5"/>
      <c r="P9837" s="9"/>
      <c r="Q9837" s="5"/>
    </row>
    <row r="9838">
      <c r="J9838" s="5"/>
      <c r="P9838" s="9"/>
      <c r="Q9838" s="5"/>
    </row>
    <row r="9839">
      <c r="J9839" s="5"/>
      <c r="P9839" s="9"/>
      <c r="Q9839" s="5"/>
    </row>
    <row r="9840">
      <c r="J9840" s="5"/>
      <c r="P9840" s="9"/>
      <c r="Q9840" s="5"/>
    </row>
    <row r="9841">
      <c r="J9841" s="5"/>
      <c r="P9841" s="9"/>
      <c r="Q9841" s="5"/>
    </row>
    <row r="9842">
      <c r="J9842" s="5"/>
      <c r="P9842" s="9"/>
      <c r="Q9842" s="5"/>
    </row>
    <row r="9843">
      <c r="J9843" s="5"/>
      <c r="P9843" s="9"/>
      <c r="Q9843" s="5"/>
    </row>
    <row r="9844">
      <c r="J9844" s="5"/>
      <c r="P9844" s="9"/>
      <c r="Q9844" s="5"/>
    </row>
    <row r="9845">
      <c r="J9845" s="5"/>
      <c r="P9845" s="9"/>
      <c r="Q9845" s="5"/>
    </row>
    <row r="9846">
      <c r="J9846" s="5"/>
      <c r="P9846" s="9"/>
      <c r="Q9846" s="5"/>
    </row>
    <row r="9847">
      <c r="J9847" s="5"/>
      <c r="P9847" s="9"/>
      <c r="Q9847" s="5"/>
    </row>
    <row r="9848">
      <c r="J9848" s="5"/>
      <c r="P9848" s="9"/>
      <c r="Q9848" s="5"/>
    </row>
    <row r="9849">
      <c r="J9849" s="5"/>
      <c r="P9849" s="9"/>
      <c r="Q9849" s="5"/>
    </row>
    <row r="9850">
      <c r="J9850" s="5"/>
      <c r="P9850" s="9"/>
      <c r="Q9850" s="5"/>
    </row>
    <row r="9851">
      <c r="J9851" s="5"/>
      <c r="P9851" s="9"/>
      <c r="Q9851" s="5"/>
    </row>
    <row r="9852">
      <c r="J9852" s="5"/>
      <c r="P9852" s="9"/>
      <c r="Q9852" s="5"/>
    </row>
    <row r="9853">
      <c r="J9853" s="5"/>
      <c r="P9853" s="9"/>
      <c r="Q9853" s="5"/>
    </row>
    <row r="9854">
      <c r="J9854" s="5"/>
      <c r="P9854" s="9"/>
      <c r="Q9854" s="5"/>
    </row>
    <row r="9855">
      <c r="J9855" s="5"/>
      <c r="P9855" s="9"/>
      <c r="Q9855" s="5"/>
    </row>
    <row r="9856">
      <c r="J9856" s="5"/>
      <c r="P9856" s="9"/>
      <c r="Q9856" s="5"/>
    </row>
    <row r="9857">
      <c r="J9857" s="5"/>
      <c r="P9857" s="9"/>
      <c r="Q9857" s="5"/>
    </row>
    <row r="9858">
      <c r="J9858" s="5"/>
      <c r="P9858" s="9"/>
      <c r="Q9858" s="5"/>
    </row>
    <row r="9859">
      <c r="J9859" s="5"/>
      <c r="P9859" s="9"/>
      <c r="Q9859" s="5"/>
    </row>
    <row r="9860">
      <c r="J9860" s="5"/>
      <c r="P9860" s="9"/>
      <c r="Q9860" s="5"/>
    </row>
    <row r="9861">
      <c r="J9861" s="5"/>
      <c r="P9861" s="9"/>
      <c r="Q9861" s="5"/>
    </row>
    <row r="9862">
      <c r="J9862" s="5"/>
      <c r="P9862" s="9"/>
      <c r="Q9862" s="5"/>
    </row>
    <row r="9863">
      <c r="J9863" s="5"/>
      <c r="P9863" s="9"/>
      <c r="Q9863" s="5"/>
    </row>
    <row r="9864">
      <c r="J9864" s="5"/>
      <c r="P9864" s="9"/>
      <c r="Q9864" s="5"/>
    </row>
    <row r="9865">
      <c r="J9865" s="5"/>
      <c r="P9865" s="9"/>
      <c r="Q9865" s="5"/>
    </row>
    <row r="9866">
      <c r="J9866" s="5"/>
      <c r="P9866" s="9"/>
      <c r="Q9866" s="5"/>
    </row>
    <row r="9867">
      <c r="J9867" s="5"/>
      <c r="P9867" s="9"/>
      <c r="Q9867" s="5"/>
    </row>
    <row r="9868">
      <c r="J9868" s="5"/>
      <c r="P9868" s="9"/>
      <c r="Q9868" s="5"/>
    </row>
    <row r="9869">
      <c r="J9869" s="5"/>
      <c r="P9869" s="9"/>
      <c r="Q9869" s="5"/>
    </row>
    <row r="9870">
      <c r="J9870" s="5"/>
      <c r="P9870" s="9"/>
      <c r="Q9870" s="5"/>
    </row>
    <row r="9871">
      <c r="J9871" s="5"/>
      <c r="P9871" s="9"/>
      <c r="Q9871" s="5"/>
    </row>
    <row r="9872">
      <c r="J9872" s="5"/>
      <c r="P9872" s="9"/>
      <c r="Q9872" s="5"/>
    </row>
    <row r="9873">
      <c r="J9873" s="5"/>
      <c r="P9873" s="9"/>
      <c r="Q9873" s="5"/>
    </row>
    <row r="9874">
      <c r="J9874" s="5"/>
      <c r="P9874" s="9"/>
      <c r="Q9874" s="5"/>
    </row>
    <row r="9875">
      <c r="J9875" s="5"/>
      <c r="P9875" s="9"/>
      <c r="Q9875" s="5"/>
    </row>
    <row r="9876">
      <c r="J9876" s="5"/>
      <c r="P9876" s="9"/>
      <c r="Q9876" s="5"/>
    </row>
    <row r="9877">
      <c r="J9877" s="5"/>
      <c r="P9877" s="9"/>
      <c r="Q9877" s="5"/>
    </row>
    <row r="9878">
      <c r="J9878" s="5"/>
      <c r="P9878" s="9"/>
      <c r="Q9878" s="5"/>
    </row>
    <row r="9879">
      <c r="J9879" s="5"/>
      <c r="P9879" s="9"/>
      <c r="Q9879" s="5"/>
    </row>
    <row r="9880">
      <c r="J9880" s="5"/>
      <c r="P9880" s="9"/>
      <c r="Q9880" s="5"/>
    </row>
    <row r="9881">
      <c r="J9881" s="5"/>
      <c r="P9881" s="9"/>
      <c r="Q9881" s="5"/>
    </row>
    <row r="9882">
      <c r="J9882" s="5"/>
      <c r="P9882" s="9"/>
      <c r="Q9882" s="5"/>
    </row>
    <row r="9883">
      <c r="J9883" s="5"/>
      <c r="P9883" s="9"/>
      <c r="Q9883" s="5"/>
    </row>
    <row r="9884">
      <c r="J9884" s="5"/>
      <c r="P9884" s="9"/>
      <c r="Q9884" s="5"/>
    </row>
    <row r="9885">
      <c r="J9885" s="5"/>
      <c r="P9885" s="9"/>
      <c r="Q9885" s="5"/>
    </row>
    <row r="9886">
      <c r="J9886" s="5"/>
      <c r="P9886" s="9"/>
      <c r="Q9886" s="5"/>
    </row>
    <row r="9887">
      <c r="J9887" s="5"/>
      <c r="P9887" s="9"/>
      <c r="Q9887" s="5"/>
    </row>
    <row r="9888">
      <c r="J9888" s="5"/>
      <c r="P9888" s="9"/>
      <c r="Q9888" s="5"/>
    </row>
    <row r="9889">
      <c r="J9889" s="5"/>
      <c r="P9889" s="9"/>
      <c r="Q9889" s="5"/>
    </row>
    <row r="9890">
      <c r="J9890" s="5"/>
      <c r="P9890" s="9"/>
      <c r="Q9890" s="5"/>
    </row>
    <row r="9891">
      <c r="J9891" s="5"/>
      <c r="P9891" s="9"/>
      <c r="Q9891" s="5"/>
    </row>
    <row r="9892">
      <c r="J9892" s="5"/>
      <c r="P9892" s="9"/>
      <c r="Q9892" s="5"/>
    </row>
    <row r="9893">
      <c r="J9893" s="5"/>
      <c r="P9893" s="9"/>
      <c r="Q9893" s="5"/>
    </row>
    <row r="9894">
      <c r="J9894" s="5"/>
      <c r="P9894" s="9"/>
      <c r="Q9894" s="5"/>
    </row>
    <row r="9895">
      <c r="J9895" s="5"/>
      <c r="P9895" s="9"/>
      <c r="Q9895" s="5"/>
    </row>
    <row r="9896">
      <c r="J9896" s="5"/>
      <c r="P9896" s="9"/>
      <c r="Q9896" s="5"/>
    </row>
    <row r="9897">
      <c r="J9897" s="5"/>
      <c r="P9897" s="9"/>
      <c r="Q9897" s="5"/>
    </row>
    <row r="9898">
      <c r="J9898" s="5"/>
      <c r="P9898" s="9"/>
      <c r="Q9898" s="5"/>
    </row>
    <row r="9899">
      <c r="J9899" s="5"/>
      <c r="P9899" s="9"/>
      <c r="Q9899" s="5"/>
    </row>
    <row r="9900">
      <c r="J9900" s="5"/>
      <c r="P9900" s="9"/>
      <c r="Q9900" s="5"/>
    </row>
    <row r="9901">
      <c r="J9901" s="5"/>
      <c r="P9901" s="9"/>
      <c r="Q9901" s="5"/>
    </row>
    <row r="9902">
      <c r="J9902" s="5"/>
      <c r="P9902" s="9"/>
      <c r="Q9902" s="5"/>
    </row>
    <row r="9903">
      <c r="J9903" s="5"/>
      <c r="P9903" s="9"/>
      <c r="Q9903" s="5"/>
    </row>
    <row r="9904">
      <c r="J9904" s="5"/>
      <c r="P9904" s="9"/>
      <c r="Q9904" s="5"/>
    </row>
    <row r="9905">
      <c r="J9905" s="5"/>
      <c r="P9905" s="9"/>
      <c r="Q9905" s="5"/>
    </row>
    <row r="9906">
      <c r="J9906" s="5"/>
      <c r="P9906" s="9"/>
      <c r="Q9906" s="5"/>
    </row>
    <row r="9907">
      <c r="J9907" s="5"/>
      <c r="P9907" s="9"/>
      <c r="Q9907" s="5"/>
    </row>
    <row r="9908">
      <c r="J9908" s="5"/>
      <c r="P9908" s="9"/>
      <c r="Q9908" s="5"/>
    </row>
    <row r="9909">
      <c r="J9909" s="5"/>
      <c r="P9909" s="9"/>
      <c r="Q9909" s="5"/>
    </row>
    <row r="9910">
      <c r="J9910" s="5"/>
      <c r="P9910" s="9"/>
      <c r="Q9910" s="5"/>
    </row>
    <row r="9911">
      <c r="J9911" s="5"/>
      <c r="P9911" s="9"/>
      <c r="Q9911" s="5"/>
    </row>
    <row r="9912">
      <c r="J9912" s="5"/>
      <c r="P9912" s="9"/>
      <c r="Q9912" s="5"/>
    </row>
    <row r="9913">
      <c r="J9913" s="5"/>
      <c r="P9913" s="9"/>
      <c r="Q9913" s="5"/>
    </row>
    <row r="9914">
      <c r="J9914" s="5"/>
      <c r="P9914" s="9"/>
      <c r="Q9914" s="5"/>
    </row>
    <row r="9915">
      <c r="J9915" s="5"/>
      <c r="P9915" s="9"/>
      <c r="Q9915" s="5"/>
    </row>
    <row r="9916">
      <c r="J9916" s="5"/>
      <c r="P9916" s="9"/>
      <c r="Q9916" s="5"/>
    </row>
    <row r="9917">
      <c r="J9917" s="5"/>
      <c r="P9917" s="9"/>
      <c r="Q9917" s="5"/>
    </row>
    <row r="9918">
      <c r="J9918" s="5"/>
      <c r="P9918" s="9"/>
      <c r="Q9918" s="5"/>
    </row>
    <row r="9919">
      <c r="J9919" s="5"/>
      <c r="P9919" s="9"/>
      <c r="Q9919" s="5"/>
    </row>
    <row r="9920">
      <c r="J9920" s="5"/>
      <c r="P9920" s="9"/>
      <c r="Q9920" s="5"/>
    </row>
    <row r="9921">
      <c r="J9921" s="5"/>
      <c r="P9921" s="9"/>
      <c r="Q9921" s="5"/>
    </row>
    <row r="9922">
      <c r="J9922" s="5"/>
      <c r="P9922" s="9"/>
      <c r="Q9922" s="5"/>
    </row>
    <row r="9923">
      <c r="J9923" s="5"/>
      <c r="P9923" s="9"/>
      <c r="Q9923" s="5"/>
    </row>
    <row r="9924">
      <c r="J9924" s="5"/>
      <c r="P9924" s="9"/>
      <c r="Q9924" s="5"/>
    </row>
    <row r="9925">
      <c r="J9925" s="5"/>
      <c r="P9925" s="9"/>
      <c r="Q9925" s="5"/>
    </row>
    <row r="9926">
      <c r="J9926" s="5"/>
      <c r="P9926" s="9"/>
      <c r="Q9926" s="5"/>
    </row>
    <row r="9927">
      <c r="J9927" s="5"/>
      <c r="P9927" s="9"/>
      <c r="Q9927" s="5"/>
    </row>
    <row r="9928">
      <c r="J9928" s="5"/>
      <c r="P9928" s="9"/>
      <c r="Q9928" s="5"/>
    </row>
    <row r="9929">
      <c r="J9929" s="5"/>
      <c r="P9929" s="9"/>
      <c r="Q9929" s="5"/>
    </row>
    <row r="9930">
      <c r="J9930" s="5"/>
      <c r="P9930" s="9"/>
      <c r="Q9930" s="5"/>
    </row>
    <row r="9931">
      <c r="J9931" s="5"/>
      <c r="P9931" s="9"/>
      <c r="Q9931" s="5"/>
    </row>
    <row r="9932">
      <c r="J9932" s="5"/>
      <c r="P9932" s="9"/>
      <c r="Q9932" s="5"/>
    </row>
    <row r="9933">
      <c r="J9933" s="5"/>
      <c r="P9933" s="9"/>
      <c r="Q9933" s="5"/>
    </row>
    <row r="9934">
      <c r="J9934" s="5"/>
      <c r="P9934" s="9"/>
      <c r="Q9934" s="5"/>
    </row>
    <row r="9935">
      <c r="J9935" s="5"/>
      <c r="P9935" s="9"/>
      <c r="Q9935" s="5"/>
    </row>
    <row r="9936">
      <c r="J9936" s="5"/>
      <c r="P9936" s="9"/>
      <c r="Q9936" s="5"/>
    </row>
    <row r="9937">
      <c r="J9937" s="5"/>
      <c r="P9937" s="9"/>
      <c r="Q9937" s="5"/>
    </row>
    <row r="9938">
      <c r="J9938" s="5"/>
      <c r="P9938" s="9"/>
      <c r="Q9938" s="5"/>
    </row>
    <row r="9939">
      <c r="J9939" s="5"/>
      <c r="P9939" s="9"/>
      <c r="Q9939" s="5"/>
    </row>
    <row r="9940">
      <c r="J9940" s="5"/>
      <c r="P9940" s="9"/>
      <c r="Q9940" s="5"/>
    </row>
    <row r="9941">
      <c r="J9941" s="5"/>
      <c r="P9941" s="9"/>
      <c r="Q9941" s="5"/>
    </row>
    <row r="9942">
      <c r="J9942" s="5"/>
      <c r="P9942" s="9"/>
      <c r="Q9942" s="5"/>
    </row>
    <row r="9943">
      <c r="J9943" s="5"/>
      <c r="P9943" s="9"/>
      <c r="Q9943" s="5"/>
    </row>
    <row r="9944">
      <c r="J9944" s="5"/>
      <c r="P9944" s="9"/>
      <c r="Q9944" s="5"/>
    </row>
    <row r="9945">
      <c r="J9945" s="5"/>
      <c r="P9945" s="9"/>
      <c r="Q9945" s="5"/>
    </row>
    <row r="9946">
      <c r="J9946" s="5"/>
      <c r="P9946" s="9"/>
      <c r="Q9946" s="5"/>
    </row>
    <row r="9947">
      <c r="J9947" s="5"/>
      <c r="P9947" s="9"/>
      <c r="Q9947" s="5"/>
    </row>
    <row r="9948">
      <c r="J9948" s="5"/>
      <c r="P9948" s="9"/>
      <c r="Q9948" s="5"/>
    </row>
    <row r="9949">
      <c r="J9949" s="5"/>
      <c r="P9949" s="9"/>
      <c r="Q9949" s="5"/>
    </row>
    <row r="9950">
      <c r="J9950" s="5"/>
      <c r="P9950" s="9"/>
      <c r="Q9950" s="5"/>
    </row>
    <row r="9951">
      <c r="J9951" s="5"/>
      <c r="P9951" s="9"/>
      <c r="Q9951" s="5"/>
    </row>
    <row r="9952">
      <c r="J9952" s="5"/>
      <c r="P9952" s="9"/>
      <c r="Q9952" s="5"/>
    </row>
    <row r="9953">
      <c r="J9953" s="5"/>
      <c r="P9953" s="9"/>
      <c r="Q9953" s="5"/>
    </row>
    <row r="9954">
      <c r="J9954" s="5"/>
      <c r="P9954" s="9"/>
      <c r="Q9954" s="5"/>
    </row>
    <row r="9955">
      <c r="J9955" s="5"/>
      <c r="P9955" s="9"/>
      <c r="Q9955" s="5"/>
    </row>
    <row r="9956">
      <c r="J9956" s="5"/>
      <c r="P9956" s="9"/>
      <c r="Q9956" s="5"/>
    </row>
    <row r="9957">
      <c r="J9957" s="5"/>
      <c r="P9957" s="9"/>
      <c r="Q9957" s="5"/>
    </row>
    <row r="9958">
      <c r="J9958" s="5"/>
      <c r="P9958" s="9"/>
      <c r="Q9958" s="5"/>
    </row>
    <row r="9959">
      <c r="J9959" s="5"/>
      <c r="P9959" s="9"/>
      <c r="Q9959" s="5"/>
    </row>
    <row r="9960">
      <c r="J9960" s="5"/>
      <c r="P9960" s="9"/>
      <c r="Q9960" s="5"/>
    </row>
    <row r="9961">
      <c r="J9961" s="5"/>
      <c r="P9961" s="9"/>
      <c r="Q9961" s="5"/>
    </row>
    <row r="9962">
      <c r="J9962" s="5"/>
      <c r="P9962" s="9"/>
      <c r="Q9962" s="5"/>
    </row>
    <row r="9963">
      <c r="J9963" s="5"/>
      <c r="P9963" s="9"/>
      <c r="Q9963" s="5"/>
    </row>
    <row r="9964">
      <c r="J9964" s="5"/>
      <c r="P9964" s="9"/>
      <c r="Q9964" s="5"/>
    </row>
    <row r="9965">
      <c r="J9965" s="5"/>
      <c r="P9965" s="9"/>
      <c r="Q9965" s="5"/>
    </row>
    <row r="9966">
      <c r="J9966" s="5"/>
      <c r="P9966" s="9"/>
      <c r="Q9966" s="5"/>
    </row>
    <row r="9967">
      <c r="J9967" s="5"/>
      <c r="P9967" s="9"/>
      <c r="Q9967" s="5"/>
    </row>
    <row r="9968">
      <c r="J9968" s="5"/>
      <c r="P9968" s="9"/>
      <c r="Q9968" s="5"/>
    </row>
    <row r="9969">
      <c r="J9969" s="5"/>
      <c r="P9969" s="9"/>
      <c r="Q9969" s="5"/>
    </row>
    <row r="9970">
      <c r="J9970" s="5"/>
      <c r="P9970" s="9"/>
      <c r="Q9970" s="5"/>
    </row>
    <row r="9971">
      <c r="J9971" s="5"/>
      <c r="P9971" s="9"/>
      <c r="Q9971" s="5"/>
    </row>
    <row r="9972">
      <c r="J9972" s="5"/>
      <c r="P9972" s="9"/>
      <c r="Q9972" s="5"/>
    </row>
    <row r="9973">
      <c r="J9973" s="5"/>
      <c r="P9973" s="9"/>
      <c r="Q9973" s="5"/>
    </row>
    <row r="9974">
      <c r="J9974" s="5"/>
      <c r="P9974" s="9"/>
      <c r="Q9974" s="5"/>
    </row>
    <row r="9975">
      <c r="J9975" s="5"/>
      <c r="P9975" s="9"/>
      <c r="Q9975" s="5"/>
    </row>
    <row r="9976">
      <c r="J9976" s="5"/>
      <c r="P9976" s="9"/>
      <c r="Q9976" s="5"/>
    </row>
    <row r="9977">
      <c r="J9977" s="5"/>
      <c r="P9977" s="9"/>
      <c r="Q9977" s="5"/>
    </row>
    <row r="9978">
      <c r="J9978" s="5"/>
      <c r="P9978" s="9"/>
      <c r="Q9978" s="5"/>
    </row>
    <row r="9979">
      <c r="J9979" s="5"/>
      <c r="P9979" s="9"/>
      <c r="Q9979" s="5"/>
    </row>
    <row r="9980">
      <c r="J9980" s="5"/>
      <c r="P9980" s="9"/>
      <c r="Q9980" s="5"/>
    </row>
    <row r="9981">
      <c r="J9981" s="5"/>
      <c r="P9981" s="9"/>
      <c r="Q9981" s="5"/>
    </row>
    <row r="9982">
      <c r="J9982" s="5"/>
      <c r="P9982" s="9"/>
      <c r="Q9982" s="5"/>
    </row>
    <row r="9983">
      <c r="J9983" s="5"/>
      <c r="P9983" s="9"/>
      <c r="Q9983" s="5"/>
    </row>
    <row r="9984">
      <c r="J9984" s="5"/>
      <c r="P9984" s="9"/>
      <c r="Q9984" s="5"/>
    </row>
    <row r="9985">
      <c r="J9985" s="5"/>
      <c r="P9985" s="9"/>
      <c r="Q9985" s="5"/>
    </row>
    <row r="9986">
      <c r="J9986" s="5"/>
      <c r="P9986" s="9"/>
      <c r="Q9986" s="5"/>
    </row>
    <row r="9987">
      <c r="J9987" s="5"/>
      <c r="P9987" s="9"/>
      <c r="Q9987" s="5"/>
    </row>
    <row r="9988">
      <c r="J9988" s="5"/>
      <c r="P9988" s="9"/>
      <c r="Q9988" s="5"/>
    </row>
    <row r="9989">
      <c r="J9989" s="5"/>
      <c r="P9989" s="9"/>
      <c r="Q9989" s="5"/>
    </row>
    <row r="9990">
      <c r="J9990" s="5"/>
      <c r="P9990" s="9"/>
      <c r="Q9990" s="5"/>
    </row>
    <row r="9991">
      <c r="J9991" s="5"/>
      <c r="P9991" s="9"/>
      <c r="Q9991" s="5"/>
    </row>
    <row r="9992">
      <c r="J9992" s="5"/>
      <c r="P9992" s="9"/>
      <c r="Q9992" s="5"/>
    </row>
    <row r="9993">
      <c r="J9993" s="5"/>
      <c r="P9993" s="9"/>
      <c r="Q9993" s="5"/>
    </row>
    <row r="9994">
      <c r="J9994" s="5"/>
      <c r="P9994" s="9"/>
      <c r="Q9994" s="5"/>
    </row>
    <row r="9995">
      <c r="J9995" s="5"/>
      <c r="P9995" s="9"/>
      <c r="Q9995" s="5"/>
    </row>
    <row r="9996">
      <c r="J9996" s="5"/>
      <c r="P9996" s="9"/>
      <c r="Q9996" s="5"/>
    </row>
    <row r="9997">
      <c r="J9997" s="5"/>
      <c r="P9997" s="9"/>
      <c r="Q9997" s="5"/>
    </row>
    <row r="9998">
      <c r="J9998" s="5"/>
      <c r="P9998" s="9"/>
      <c r="Q9998" s="5"/>
    </row>
    <row r="9999">
      <c r="J9999" s="5"/>
      <c r="P9999" s="9"/>
      <c r="Q9999" s="5"/>
    </row>
    <row r="10000">
      <c r="J10000" s="5"/>
      <c r="P10000" s="9"/>
      <c r="Q10000" s="5"/>
    </row>
    <row r="10001">
      <c r="J10001" s="5"/>
      <c r="P10001" s="9"/>
      <c r="Q10001" s="5"/>
    </row>
    <row r="10002">
      <c r="J10002" s="5"/>
      <c r="P10002" s="9"/>
      <c r="Q10002" s="5"/>
    </row>
    <row r="10003">
      <c r="J10003" s="5"/>
      <c r="P10003" s="9"/>
      <c r="Q10003" s="5"/>
    </row>
    <row r="10004">
      <c r="J10004" s="5"/>
      <c r="P10004" s="9"/>
      <c r="Q10004" s="5"/>
    </row>
    <row r="10005">
      <c r="J10005" s="5"/>
      <c r="P10005" s="9"/>
      <c r="Q10005" s="5"/>
    </row>
    <row r="10006">
      <c r="J10006" s="5"/>
      <c r="P10006" s="9"/>
      <c r="Q10006" s="5"/>
    </row>
    <row r="10007">
      <c r="J10007" s="5"/>
      <c r="P10007" s="9"/>
      <c r="Q10007" s="5"/>
    </row>
    <row r="10008">
      <c r="J10008" s="5"/>
      <c r="P10008" s="9"/>
      <c r="Q10008" s="5"/>
    </row>
    <row r="10009">
      <c r="J10009" s="5"/>
      <c r="P10009" s="9"/>
      <c r="Q10009" s="5"/>
    </row>
    <row r="10010">
      <c r="J10010" s="5"/>
      <c r="P10010" s="9"/>
      <c r="Q10010" s="5"/>
    </row>
    <row r="10011">
      <c r="J10011" s="5"/>
      <c r="P10011" s="9"/>
      <c r="Q10011" s="5"/>
    </row>
    <row r="10012">
      <c r="J10012" s="5"/>
      <c r="P10012" s="9"/>
      <c r="Q10012" s="5"/>
    </row>
    <row r="10013">
      <c r="J10013" s="5"/>
      <c r="P10013" s="9"/>
      <c r="Q10013" s="5"/>
    </row>
    <row r="10014">
      <c r="J10014" s="5"/>
      <c r="P10014" s="9"/>
      <c r="Q10014" s="5"/>
    </row>
    <row r="10015">
      <c r="J10015" s="5"/>
      <c r="P10015" s="9"/>
      <c r="Q10015" s="5"/>
    </row>
    <row r="10016">
      <c r="J10016" s="5"/>
      <c r="P10016" s="9"/>
      <c r="Q10016" s="5"/>
    </row>
    <row r="10017">
      <c r="J10017" s="5"/>
      <c r="P10017" s="9"/>
      <c r="Q10017" s="5"/>
    </row>
    <row r="10018">
      <c r="J10018" s="5"/>
      <c r="P10018" s="9"/>
      <c r="Q10018" s="5"/>
    </row>
    <row r="10019">
      <c r="J10019" s="5"/>
      <c r="P10019" s="9"/>
      <c r="Q10019" s="5"/>
    </row>
    <row r="10020">
      <c r="J10020" s="5"/>
      <c r="P10020" s="9"/>
      <c r="Q10020" s="5"/>
    </row>
    <row r="10021">
      <c r="J10021" s="5"/>
      <c r="P10021" s="9"/>
      <c r="Q10021" s="5"/>
    </row>
    <row r="10022">
      <c r="J10022" s="5"/>
      <c r="P10022" s="9"/>
      <c r="Q10022" s="5"/>
    </row>
    <row r="10023">
      <c r="J10023" s="5"/>
      <c r="P10023" s="9"/>
      <c r="Q10023" s="5"/>
    </row>
    <row r="10024">
      <c r="J10024" s="5"/>
      <c r="P10024" s="9"/>
      <c r="Q10024" s="5"/>
    </row>
    <row r="10025">
      <c r="J10025" s="5"/>
      <c r="P10025" s="9"/>
      <c r="Q10025" s="5"/>
    </row>
    <row r="10026">
      <c r="J10026" s="5"/>
      <c r="P10026" s="9"/>
      <c r="Q10026" s="5"/>
    </row>
    <row r="10027">
      <c r="J10027" s="5"/>
      <c r="P10027" s="9"/>
      <c r="Q10027" s="5"/>
    </row>
    <row r="10028">
      <c r="J10028" s="5"/>
      <c r="P10028" s="9"/>
      <c r="Q10028" s="5"/>
    </row>
    <row r="10029">
      <c r="J10029" s="5"/>
      <c r="P10029" s="9"/>
      <c r="Q10029" s="5"/>
    </row>
    <row r="10030">
      <c r="J10030" s="5"/>
      <c r="P10030" s="9"/>
      <c r="Q10030" s="5"/>
    </row>
    <row r="10031">
      <c r="J10031" s="5"/>
      <c r="P10031" s="9"/>
      <c r="Q10031" s="5"/>
    </row>
    <row r="10032">
      <c r="J10032" s="5"/>
      <c r="P10032" s="9"/>
      <c r="Q10032" s="5"/>
    </row>
    <row r="10033">
      <c r="J10033" s="5"/>
      <c r="P10033" s="9"/>
      <c r="Q10033" s="5"/>
    </row>
    <row r="10034">
      <c r="J10034" s="5"/>
      <c r="P10034" s="9"/>
      <c r="Q10034" s="5"/>
    </row>
    <row r="10035">
      <c r="J10035" s="5"/>
      <c r="P10035" s="9"/>
      <c r="Q10035" s="5"/>
    </row>
    <row r="10036">
      <c r="J10036" s="5"/>
      <c r="P10036" s="9"/>
      <c r="Q10036" s="5"/>
    </row>
    <row r="10037">
      <c r="J10037" s="5"/>
      <c r="P10037" s="9"/>
      <c r="Q10037" s="5"/>
    </row>
    <row r="10038">
      <c r="J10038" s="5"/>
      <c r="P10038" s="9"/>
      <c r="Q10038" s="5"/>
    </row>
    <row r="10039">
      <c r="J10039" s="5"/>
      <c r="P10039" s="9"/>
      <c r="Q10039" s="5"/>
    </row>
    <row r="10040">
      <c r="J10040" s="5"/>
      <c r="P10040" s="9"/>
      <c r="Q10040" s="5"/>
    </row>
    <row r="10041">
      <c r="J10041" s="5"/>
      <c r="P10041" s="9"/>
      <c r="Q10041" s="5"/>
    </row>
    <row r="10042">
      <c r="J10042" s="5"/>
      <c r="P10042" s="9"/>
      <c r="Q10042" s="5"/>
    </row>
    <row r="10043">
      <c r="J10043" s="5"/>
      <c r="P10043" s="9"/>
      <c r="Q10043" s="5"/>
    </row>
    <row r="10044">
      <c r="J10044" s="5"/>
      <c r="P10044" s="9"/>
      <c r="Q10044" s="5"/>
    </row>
    <row r="10045">
      <c r="J10045" s="5"/>
      <c r="P10045" s="9"/>
      <c r="Q10045" s="5"/>
    </row>
    <row r="10046">
      <c r="J10046" s="5"/>
      <c r="P10046" s="9"/>
      <c r="Q10046" s="5"/>
    </row>
    <row r="10047">
      <c r="J10047" s="5"/>
      <c r="P10047" s="9"/>
      <c r="Q10047" s="5"/>
    </row>
    <row r="10048">
      <c r="J10048" s="5"/>
      <c r="P10048" s="9"/>
      <c r="Q10048" s="5"/>
    </row>
    <row r="10049">
      <c r="J10049" s="5"/>
      <c r="P10049" s="9"/>
      <c r="Q10049" s="5"/>
    </row>
    <row r="10050">
      <c r="J10050" s="5"/>
      <c r="P10050" s="9"/>
      <c r="Q10050" s="5"/>
    </row>
    <row r="10051">
      <c r="J10051" s="5"/>
      <c r="P10051" s="9"/>
      <c r="Q10051" s="5"/>
    </row>
    <row r="10052">
      <c r="J10052" s="5"/>
      <c r="P10052" s="9"/>
      <c r="Q10052" s="5"/>
    </row>
    <row r="10053">
      <c r="J10053" s="5"/>
      <c r="P10053" s="9"/>
      <c r="Q10053" s="5"/>
    </row>
    <row r="10054">
      <c r="J10054" s="5"/>
      <c r="P10054" s="9"/>
      <c r="Q10054" s="5"/>
    </row>
    <row r="10055">
      <c r="J10055" s="5"/>
      <c r="P10055" s="9"/>
      <c r="Q10055" s="5"/>
    </row>
    <row r="10056">
      <c r="J10056" s="5"/>
      <c r="P10056" s="9"/>
      <c r="Q10056" s="5"/>
    </row>
    <row r="10057">
      <c r="J10057" s="5"/>
      <c r="P10057" s="9"/>
      <c r="Q10057" s="5"/>
    </row>
    <row r="10058">
      <c r="J10058" s="5"/>
      <c r="P10058" s="9"/>
      <c r="Q10058" s="5"/>
    </row>
    <row r="10059">
      <c r="J10059" s="5"/>
      <c r="P10059" s="9"/>
      <c r="Q10059" s="5"/>
    </row>
    <row r="10060">
      <c r="J10060" s="5"/>
      <c r="P10060" s="9"/>
      <c r="Q10060" s="5"/>
    </row>
    <row r="10061">
      <c r="J10061" s="5"/>
      <c r="P10061" s="9"/>
      <c r="Q10061" s="5"/>
    </row>
    <row r="10062">
      <c r="J10062" s="5"/>
      <c r="P10062" s="9"/>
      <c r="Q10062" s="5"/>
    </row>
    <row r="10063">
      <c r="J10063" s="5"/>
      <c r="P10063" s="9"/>
      <c r="Q10063" s="5"/>
    </row>
    <row r="10064">
      <c r="J10064" s="5"/>
      <c r="P10064" s="9"/>
      <c r="Q10064" s="5"/>
    </row>
    <row r="10065">
      <c r="J10065" s="5"/>
      <c r="P10065" s="9"/>
      <c r="Q10065" s="5"/>
    </row>
    <row r="10066">
      <c r="J10066" s="5"/>
      <c r="P10066" s="9"/>
      <c r="Q10066" s="5"/>
    </row>
    <row r="10067">
      <c r="J10067" s="5"/>
      <c r="P10067" s="9"/>
      <c r="Q10067" s="5"/>
    </row>
    <row r="10068">
      <c r="J10068" s="5"/>
      <c r="P10068" s="9"/>
      <c r="Q10068" s="5"/>
    </row>
    <row r="10069">
      <c r="J10069" s="5"/>
      <c r="P10069" s="9"/>
      <c r="Q10069" s="5"/>
    </row>
    <row r="10070">
      <c r="J10070" s="5"/>
      <c r="P10070" s="9"/>
      <c r="Q10070" s="5"/>
    </row>
    <row r="10071">
      <c r="J10071" s="5"/>
      <c r="P10071" s="9"/>
      <c r="Q10071" s="5"/>
    </row>
    <row r="10072">
      <c r="J10072" s="5"/>
      <c r="P10072" s="9"/>
      <c r="Q10072" s="5"/>
    </row>
    <row r="10073">
      <c r="J10073" s="5"/>
      <c r="P10073" s="9"/>
      <c r="Q10073" s="5"/>
    </row>
    <row r="10074">
      <c r="J10074" s="5"/>
      <c r="P10074" s="9"/>
      <c r="Q10074" s="5"/>
    </row>
    <row r="10075">
      <c r="J10075" s="5"/>
      <c r="P10075" s="9"/>
      <c r="Q10075" s="5"/>
    </row>
    <row r="10076">
      <c r="J10076" s="5"/>
      <c r="P10076" s="9"/>
      <c r="Q10076" s="5"/>
    </row>
    <row r="10077">
      <c r="J10077" s="5"/>
      <c r="P10077" s="9"/>
      <c r="Q10077" s="5"/>
    </row>
    <row r="10078">
      <c r="J10078" s="5"/>
      <c r="P10078" s="9"/>
      <c r="Q10078" s="5"/>
    </row>
    <row r="10079">
      <c r="J10079" s="5"/>
      <c r="P10079" s="9"/>
      <c r="Q10079" s="5"/>
    </row>
    <row r="10080">
      <c r="J10080" s="5"/>
      <c r="P10080" s="9"/>
      <c r="Q10080" s="5"/>
    </row>
    <row r="10081">
      <c r="J10081" s="5"/>
      <c r="P10081" s="9"/>
      <c r="Q10081" s="5"/>
    </row>
    <row r="10082">
      <c r="J10082" s="5"/>
      <c r="P10082" s="9"/>
      <c r="Q10082" s="5"/>
    </row>
    <row r="10083">
      <c r="J10083" s="5"/>
      <c r="P10083" s="9"/>
      <c r="Q10083" s="5"/>
    </row>
    <row r="10084">
      <c r="J10084" s="5"/>
      <c r="P10084" s="9"/>
      <c r="Q10084" s="5"/>
    </row>
    <row r="10085">
      <c r="J10085" s="5"/>
      <c r="P10085" s="9"/>
      <c r="Q10085" s="5"/>
    </row>
    <row r="10086">
      <c r="J10086" s="5"/>
      <c r="P10086" s="9"/>
      <c r="Q10086" s="5"/>
    </row>
    <row r="10087">
      <c r="J10087" s="5"/>
      <c r="P10087" s="9"/>
      <c r="Q10087" s="5"/>
    </row>
    <row r="10088">
      <c r="J10088" s="5"/>
      <c r="P10088" s="9"/>
      <c r="Q10088" s="5"/>
    </row>
    <row r="10089">
      <c r="J10089" s="5"/>
      <c r="P10089" s="9"/>
      <c r="Q10089" s="5"/>
    </row>
    <row r="10090">
      <c r="J10090" s="5"/>
      <c r="P10090" s="9"/>
      <c r="Q10090" s="5"/>
    </row>
    <row r="10091">
      <c r="J10091" s="5"/>
      <c r="P10091" s="9"/>
      <c r="Q10091" s="5"/>
    </row>
    <row r="10092">
      <c r="J10092" s="5"/>
      <c r="P10092" s="9"/>
      <c r="Q10092" s="5"/>
    </row>
    <row r="10093">
      <c r="J10093" s="5"/>
      <c r="P10093" s="9"/>
      <c r="Q10093" s="5"/>
    </row>
    <row r="10094">
      <c r="J10094" s="5"/>
      <c r="P10094" s="9"/>
      <c r="Q10094" s="5"/>
    </row>
    <row r="10095">
      <c r="J10095" s="5"/>
      <c r="P10095" s="9"/>
      <c r="Q10095" s="5"/>
    </row>
    <row r="10096">
      <c r="J10096" s="5"/>
      <c r="P10096" s="9"/>
      <c r="Q10096" s="5"/>
    </row>
    <row r="10097">
      <c r="J10097" s="5"/>
      <c r="P10097" s="9"/>
      <c r="Q10097" s="5"/>
    </row>
    <row r="10098">
      <c r="J10098" s="5"/>
      <c r="P10098" s="9"/>
      <c r="Q10098" s="5"/>
    </row>
    <row r="10099">
      <c r="J10099" s="5"/>
      <c r="P10099" s="9"/>
      <c r="Q10099" s="5"/>
    </row>
    <row r="10100">
      <c r="J10100" s="5"/>
      <c r="P10100" s="9"/>
      <c r="Q10100" s="5"/>
    </row>
    <row r="10101">
      <c r="J10101" s="5"/>
      <c r="P10101" s="9"/>
      <c r="Q10101" s="5"/>
    </row>
    <row r="10102">
      <c r="J10102" s="5"/>
      <c r="P10102" s="9"/>
      <c r="Q10102" s="5"/>
    </row>
    <row r="10103">
      <c r="J10103" s="5"/>
      <c r="P10103" s="9"/>
      <c r="Q10103" s="5"/>
    </row>
    <row r="10104">
      <c r="J10104" s="5"/>
      <c r="P10104" s="9"/>
      <c r="Q10104" s="5"/>
    </row>
    <row r="10105">
      <c r="J10105" s="5"/>
      <c r="P10105" s="9"/>
      <c r="Q10105" s="5"/>
    </row>
    <row r="10106">
      <c r="J10106" s="5"/>
      <c r="P10106" s="9"/>
      <c r="Q10106" s="5"/>
    </row>
    <row r="10107">
      <c r="J10107" s="5"/>
      <c r="P10107" s="9"/>
      <c r="Q10107" s="5"/>
    </row>
    <row r="10108">
      <c r="J10108" s="5"/>
      <c r="P10108" s="9"/>
      <c r="Q10108" s="5"/>
    </row>
    <row r="10109">
      <c r="J10109" s="5"/>
      <c r="P10109" s="9"/>
      <c r="Q10109" s="5"/>
    </row>
    <row r="10110">
      <c r="J10110" s="5"/>
      <c r="P10110" s="9"/>
      <c r="Q10110" s="5"/>
    </row>
    <row r="10111">
      <c r="J10111" s="5"/>
      <c r="P10111" s="9"/>
      <c r="Q10111" s="5"/>
    </row>
    <row r="10112">
      <c r="J10112" s="5"/>
      <c r="P10112" s="9"/>
      <c r="Q10112" s="5"/>
    </row>
    <row r="10113">
      <c r="J10113" s="5"/>
      <c r="P10113" s="9"/>
      <c r="Q10113" s="5"/>
    </row>
    <row r="10114">
      <c r="J10114" s="5"/>
      <c r="P10114" s="9"/>
      <c r="Q10114" s="5"/>
    </row>
    <row r="10115">
      <c r="J10115" s="5"/>
      <c r="P10115" s="9"/>
      <c r="Q10115" s="5"/>
    </row>
    <row r="10116">
      <c r="J10116" s="5"/>
      <c r="P10116" s="9"/>
      <c r="Q10116" s="5"/>
    </row>
    <row r="10117">
      <c r="J10117" s="5"/>
      <c r="P10117" s="9"/>
      <c r="Q10117" s="5"/>
    </row>
    <row r="10118">
      <c r="J10118" s="5"/>
      <c r="P10118" s="9"/>
      <c r="Q10118" s="5"/>
    </row>
    <row r="10119">
      <c r="J10119" s="5"/>
      <c r="P10119" s="9"/>
      <c r="Q10119" s="5"/>
    </row>
    <row r="10120">
      <c r="J10120" s="5"/>
      <c r="P10120" s="9"/>
      <c r="Q10120" s="5"/>
    </row>
    <row r="10121">
      <c r="J10121" s="5"/>
      <c r="P10121" s="9"/>
      <c r="Q10121" s="5"/>
    </row>
    <row r="10122">
      <c r="J10122" s="5"/>
      <c r="P10122" s="9"/>
      <c r="Q10122" s="5"/>
    </row>
    <row r="10123">
      <c r="J10123" s="5"/>
      <c r="P10123" s="9"/>
      <c r="Q10123" s="5"/>
    </row>
    <row r="10124">
      <c r="J10124" s="5"/>
      <c r="P10124" s="9"/>
      <c r="Q10124" s="5"/>
    </row>
    <row r="10125">
      <c r="J10125" s="5"/>
      <c r="P10125" s="9"/>
      <c r="Q10125" s="5"/>
    </row>
    <row r="10126">
      <c r="J10126" s="5"/>
      <c r="P10126" s="9"/>
      <c r="Q10126" s="5"/>
    </row>
    <row r="10127">
      <c r="J10127" s="5"/>
      <c r="P10127" s="9"/>
      <c r="Q10127" s="5"/>
    </row>
    <row r="10128">
      <c r="J10128" s="5"/>
      <c r="P10128" s="9"/>
      <c r="Q10128" s="5"/>
    </row>
    <row r="10129">
      <c r="J10129" s="5"/>
      <c r="P10129" s="9"/>
      <c r="Q10129" s="5"/>
    </row>
    <row r="10130">
      <c r="J10130" s="5"/>
      <c r="P10130" s="9"/>
      <c r="Q10130" s="5"/>
    </row>
    <row r="10131">
      <c r="J10131" s="5"/>
      <c r="P10131" s="9"/>
      <c r="Q10131" s="5"/>
    </row>
    <row r="10132">
      <c r="J10132" s="5"/>
      <c r="P10132" s="9"/>
      <c r="Q10132" s="5"/>
    </row>
    <row r="10133">
      <c r="J10133" s="5"/>
      <c r="P10133" s="9"/>
      <c r="Q10133" s="5"/>
    </row>
    <row r="10134">
      <c r="J10134" s="5"/>
      <c r="P10134" s="9"/>
      <c r="Q10134" s="5"/>
    </row>
    <row r="10135">
      <c r="J10135" s="5"/>
      <c r="P10135" s="9"/>
      <c r="Q10135" s="5"/>
    </row>
    <row r="10136">
      <c r="J10136" s="5"/>
      <c r="P10136" s="9"/>
      <c r="Q10136" s="5"/>
    </row>
    <row r="10137">
      <c r="J10137" s="5"/>
      <c r="P10137" s="9"/>
      <c r="Q10137" s="5"/>
    </row>
    <row r="10138">
      <c r="J10138" s="5"/>
      <c r="P10138" s="9"/>
      <c r="Q10138" s="5"/>
    </row>
    <row r="10139">
      <c r="J10139" s="5"/>
      <c r="P10139" s="9"/>
      <c r="Q10139" s="5"/>
    </row>
    <row r="10140">
      <c r="J10140" s="5"/>
      <c r="P10140" s="9"/>
      <c r="Q10140" s="5"/>
    </row>
    <row r="10141">
      <c r="J10141" s="5"/>
      <c r="P10141" s="9"/>
      <c r="Q10141" s="5"/>
    </row>
    <row r="10142">
      <c r="J10142" s="5"/>
      <c r="P10142" s="9"/>
      <c r="Q10142" s="5"/>
    </row>
    <row r="10143">
      <c r="J10143" s="5"/>
      <c r="P10143" s="9"/>
      <c r="Q10143" s="5"/>
    </row>
    <row r="10144">
      <c r="J10144" s="5"/>
      <c r="P10144" s="9"/>
      <c r="Q10144" s="5"/>
    </row>
    <row r="10145">
      <c r="J10145" s="5"/>
      <c r="P10145" s="9"/>
      <c r="Q10145" s="5"/>
    </row>
    <row r="10146">
      <c r="J10146" s="5"/>
      <c r="P10146" s="9"/>
      <c r="Q10146" s="5"/>
    </row>
    <row r="10147">
      <c r="J10147" s="5"/>
      <c r="P10147" s="9"/>
      <c r="Q10147" s="5"/>
    </row>
    <row r="10148">
      <c r="J10148" s="5"/>
      <c r="P10148" s="9"/>
      <c r="Q10148" s="5"/>
    </row>
    <row r="10149">
      <c r="J10149" s="5"/>
      <c r="P10149" s="9"/>
      <c r="Q10149" s="5"/>
    </row>
    <row r="10150">
      <c r="J10150" s="5"/>
      <c r="P10150" s="9"/>
      <c r="Q10150" s="5"/>
    </row>
    <row r="10151">
      <c r="J10151" s="5"/>
      <c r="P10151" s="9"/>
      <c r="Q10151" s="5"/>
    </row>
    <row r="10152">
      <c r="J10152" s="5"/>
      <c r="P10152" s="9"/>
      <c r="Q10152" s="5"/>
    </row>
    <row r="10153">
      <c r="J10153" s="5"/>
      <c r="P10153" s="9"/>
      <c r="Q10153" s="5"/>
    </row>
    <row r="10154">
      <c r="J10154" s="5"/>
      <c r="P10154" s="9"/>
      <c r="Q10154" s="5"/>
    </row>
    <row r="10155">
      <c r="J10155" s="5"/>
      <c r="P10155" s="9"/>
      <c r="Q10155" s="5"/>
    </row>
    <row r="10156">
      <c r="J10156" s="5"/>
      <c r="P10156" s="9"/>
      <c r="Q10156" s="5"/>
    </row>
    <row r="10157">
      <c r="J10157" s="5"/>
      <c r="P10157" s="9"/>
      <c r="Q10157" s="5"/>
    </row>
    <row r="10158">
      <c r="J10158" s="5"/>
      <c r="P10158" s="9"/>
      <c r="Q10158" s="5"/>
    </row>
    <row r="10159">
      <c r="J10159" s="5"/>
      <c r="P10159" s="9"/>
      <c r="Q10159" s="5"/>
    </row>
    <row r="10160">
      <c r="J10160" s="5"/>
      <c r="P10160" s="9"/>
      <c r="Q10160" s="5"/>
    </row>
    <row r="10161">
      <c r="J10161" s="5"/>
      <c r="P10161" s="9"/>
      <c r="Q10161" s="5"/>
    </row>
    <row r="10162">
      <c r="J10162" s="5"/>
      <c r="P10162" s="9"/>
      <c r="Q10162" s="5"/>
    </row>
    <row r="10163">
      <c r="J10163" s="5"/>
      <c r="P10163" s="9"/>
      <c r="Q10163" s="5"/>
    </row>
    <row r="10164">
      <c r="J10164" s="5"/>
      <c r="P10164" s="9"/>
      <c r="Q10164" s="5"/>
    </row>
    <row r="10165">
      <c r="J10165" s="5"/>
      <c r="P10165" s="9"/>
      <c r="Q10165" s="5"/>
    </row>
    <row r="10166">
      <c r="J10166" s="5"/>
      <c r="P10166" s="9"/>
      <c r="Q10166" s="5"/>
    </row>
    <row r="10167">
      <c r="J10167" s="5"/>
      <c r="P10167" s="9"/>
      <c r="Q10167" s="5"/>
    </row>
    <row r="10168">
      <c r="J10168" s="5"/>
      <c r="P10168" s="9"/>
      <c r="Q10168" s="5"/>
    </row>
    <row r="10169">
      <c r="J10169" s="5"/>
      <c r="P10169" s="9"/>
      <c r="Q10169" s="5"/>
    </row>
    <row r="10170">
      <c r="J10170" s="5"/>
      <c r="P10170" s="9"/>
      <c r="Q10170" s="5"/>
    </row>
    <row r="10171">
      <c r="J10171" s="5"/>
      <c r="P10171" s="9"/>
      <c r="Q10171" s="5"/>
    </row>
    <row r="10172">
      <c r="J10172" s="5"/>
      <c r="P10172" s="9"/>
      <c r="Q10172" s="5"/>
    </row>
    <row r="10173">
      <c r="J10173" s="5"/>
      <c r="P10173" s="9"/>
      <c r="Q10173" s="5"/>
    </row>
    <row r="10174">
      <c r="J10174" s="5"/>
      <c r="P10174" s="9"/>
      <c r="Q10174" s="5"/>
    </row>
    <row r="10175">
      <c r="J10175" s="5"/>
      <c r="P10175" s="9"/>
      <c r="Q10175" s="5"/>
    </row>
    <row r="10176">
      <c r="J10176" s="5"/>
      <c r="P10176" s="9"/>
      <c r="Q10176" s="5"/>
    </row>
    <row r="10177">
      <c r="J10177" s="5"/>
      <c r="P10177" s="9"/>
      <c r="Q10177" s="5"/>
    </row>
    <row r="10178">
      <c r="J10178" s="5"/>
      <c r="P10178" s="9"/>
      <c r="Q10178" s="5"/>
    </row>
    <row r="10179">
      <c r="J10179" s="5"/>
      <c r="P10179" s="9"/>
      <c r="Q10179" s="5"/>
    </row>
    <row r="10180">
      <c r="J10180" s="5"/>
      <c r="P10180" s="9"/>
      <c r="Q10180" s="5"/>
    </row>
    <row r="10181">
      <c r="J10181" s="5"/>
      <c r="P10181" s="9"/>
      <c r="Q10181" s="5"/>
    </row>
    <row r="10182">
      <c r="J10182" s="5"/>
      <c r="P10182" s="9"/>
      <c r="Q10182" s="5"/>
    </row>
    <row r="10183">
      <c r="J10183" s="5"/>
      <c r="P10183" s="9"/>
      <c r="Q10183" s="5"/>
    </row>
    <row r="10184">
      <c r="J10184" s="5"/>
      <c r="P10184" s="9"/>
      <c r="Q10184" s="5"/>
    </row>
    <row r="10185">
      <c r="J10185" s="5"/>
      <c r="P10185" s="9"/>
      <c r="Q10185" s="5"/>
    </row>
    <row r="10186">
      <c r="J10186" s="5"/>
      <c r="P10186" s="9"/>
      <c r="Q10186" s="5"/>
    </row>
    <row r="10187">
      <c r="J10187" s="5"/>
      <c r="P10187" s="9"/>
      <c r="Q10187" s="5"/>
    </row>
    <row r="10188">
      <c r="J10188" s="5"/>
      <c r="P10188" s="9"/>
      <c r="Q10188" s="5"/>
    </row>
    <row r="10189">
      <c r="J10189" s="5"/>
      <c r="P10189" s="9"/>
      <c r="Q10189" s="5"/>
    </row>
    <row r="10190">
      <c r="J10190" s="5"/>
      <c r="P10190" s="9"/>
      <c r="Q10190" s="5"/>
    </row>
    <row r="10191">
      <c r="J10191" s="5"/>
      <c r="P10191" s="9"/>
      <c r="Q10191" s="5"/>
    </row>
    <row r="10192">
      <c r="J10192" s="5"/>
      <c r="P10192" s="9"/>
      <c r="Q10192" s="5"/>
    </row>
    <row r="10193">
      <c r="J10193" s="5"/>
      <c r="P10193" s="9"/>
      <c r="Q10193" s="5"/>
    </row>
    <row r="10194">
      <c r="J10194" s="5"/>
      <c r="P10194" s="9"/>
      <c r="Q10194" s="5"/>
    </row>
    <row r="10195">
      <c r="J10195" s="5"/>
      <c r="P10195" s="9"/>
      <c r="Q10195" s="5"/>
    </row>
    <row r="10196">
      <c r="J10196" s="5"/>
      <c r="P10196" s="9"/>
      <c r="Q10196" s="5"/>
    </row>
    <row r="10197">
      <c r="J10197" s="5"/>
      <c r="P10197" s="9"/>
      <c r="Q10197" s="5"/>
    </row>
    <row r="10198">
      <c r="J10198" s="5"/>
      <c r="P10198" s="9"/>
      <c r="Q10198" s="5"/>
    </row>
    <row r="10199">
      <c r="J10199" s="5"/>
      <c r="P10199" s="9"/>
      <c r="Q10199" s="5"/>
    </row>
    <row r="10200">
      <c r="J10200" s="5"/>
      <c r="P10200" s="9"/>
      <c r="Q10200" s="5"/>
    </row>
    <row r="10201">
      <c r="J10201" s="5"/>
      <c r="P10201" s="9"/>
      <c r="Q10201" s="5"/>
    </row>
    <row r="10202">
      <c r="J10202" s="5"/>
      <c r="P10202" s="9"/>
      <c r="Q10202" s="5"/>
    </row>
    <row r="10203">
      <c r="J10203" s="5"/>
      <c r="P10203" s="9"/>
      <c r="Q10203" s="5"/>
    </row>
    <row r="10204">
      <c r="J10204" s="5"/>
      <c r="P10204" s="9"/>
      <c r="Q10204" s="5"/>
    </row>
    <row r="10205">
      <c r="J10205" s="5"/>
      <c r="P10205" s="9"/>
      <c r="Q10205" s="5"/>
    </row>
    <row r="10206">
      <c r="J10206" s="5"/>
      <c r="P10206" s="9"/>
      <c r="Q10206" s="5"/>
    </row>
    <row r="10207">
      <c r="J10207" s="5"/>
      <c r="P10207" s="9"/>
      <c r="Q10207" s="5"/>
    </row>
    <row r="10208">
      <c r="J10208" s="5"/>
      <c r="P10208" s="9"/>
      <c r="Q10208" s="5"/>
    </row>
    <row r="10209">
      <c r="J10209" s="5"/>
      <c r="P10209" s="9"/>
      <c r="Q10209" s="5"/>
    </row>
    <row r="10210">
      <c r="J10210" s="5"/>
      <c r="P10210" s="9"/>
      <c r="Q10210" s="5"/>
    </row>
    <row r="10211">
      <c r="J10211" s="5"/>
      <c r="P10211" s="9"/>
      <c r="Q10211" s="5"/>
    </row>
    <row r="10212">
      <c r="J10212" s="5"/>
      <c r="P10212" s="9"/>
      <c r="Q10212" s="5"/>
    </row>
    <row r="10213">
      <c r="J10213" s="5"/>
      <c r="P10213" s="9"/>
      <c r="Q10213" s="5"/>
    </row>
    <row r="10214">
      <c r="J10214" s="5"/>
      <c r="P10214" s="9"/>
      <c r="Q10214" s="5"/>
    </row>
    <row r="10215">
      <c r="J10215" s="5"/>
      <c r="P10215" s="9"/>
      <c r="Q10215" s="5"/>
    </row>
    <row r="10216">
      <c r="J10216" s="5"/>
      <c r="P10216" s="9"/>
      <c r="Q10216" s="5"/>
    </row>
    <row r="10217">
      <c r="J10217" s="5"/>
      <c r="P10217" s="9"/>
      <c r="Q10217" s="5"/>
    </row>
    <row r="10218">
      <c r="J10218" s="5"/>
      <c r="P10218" s="9"/>
      <c r="Q10218" s="5"/>
    </row>
    <row r="10219">
      <c r="J10219" s="5"/>
      <c r="P10219" s="9"/>
      <c r="Q10219" s="5"/>
    </row>
    <row r="10220">
      <c r="J10220" s="5"/>
      <c r="P10220" s="9"/>
      <c r="Q10220" s="5"/>
    </row>
    <row r="10221">
      <c r="J10221" s="5"/>
      <c r="P10221" s="9"/>
      <c r="Q10221" s="5"/>
    </row>
    <row r="10222">
      <c r="J10222" s="5"/>
      <c r="P10222" s="9"/>
      <c r="Q10222" s="5"/>
    </row>
    <row r="10223">
      <c r="J10223" s="5"/>
      <c r="P10223" s="9"/>
      <c r="Q10223" s="5"/>
    </row>
    <row r="10224">
      <c r="J10224" s="5"/>
      <c r="P10224" s="9"/>
      <c r="Q10224" s="5"/>
    </row>
    <row r="10225">
      <c r="J10225" s="5"/>
      <c r="P10225" s="9"/>
      <c r="Q10225" s="5"/>
    </row>
    <row r="10226">
      <c r="J10226" s="5"/>
      <c r="P10226" s="9"/>
      <c r="Q10226" s="5"/>
    </row>
    <row r="10227">
      <c r="J10227" s="5"/>
      <c r="P10227" s="9"/>
      <c r="Q10227" s="5"/>
    </row>
    <row r="10228">
      <c r="J10228" s="5"/>
      <c r="P10228" s="9"/>
      <c r="Q10228" s="5"/>
    </row>
    <row r="10229">
      <c r="J10229" s="5"/>
      <c r="P10229" s="9"/>
      <c r="Q10229" s="5"/>
    </row>
    <row r="10230">
      <c r="J10230" s="5"/>
      <c r="P10230" s="9"/>
      <c r="Q10230" s="5"/>
    </row>
    <row r="10231">
      <c r="J10231" s="5"/>
      <c r="P10231" s="9"/>
      <c r="Q10231" s="5"/>
    </row>
    <row r="10232">
      <c r="J10232" s="5"/>
      <c r="P10232" s="9"/>
      <c r="Q10232" s="5"/>
    </row>
    <row r="10233">
      <c r="J10233" s="5"/>
      <c r="P10233" s="9"/>
      <c r="Q10233" s="5"/>
    </row>
    <row r="10234">
      <c r="J10234" s="5"/>
      <c r="P10234" s="9"/>
      <c r="Q10234" s="5"/>
    </row>
    <row r="10235">
      <c r="J10235" s="5"/>
      <c r="P10235" s="9"/>
      <c r="Q10235" s="5"/>
    </row>
    <row r="10236">
      <c r="J10236" s="5"/>
      <c r="P10236" s="9"/>
      <c r="Q10236" s="5"/>
    </row>
    <row r="10237">
      <c r="J10237" s="5"/>
      <c r="P10237" s="9"/>
      <c r="Q10237" s="5"/>
    </row>
    <row r="10238">
      <c r="J10238" s="5"/>
      <c r="P10238" s="9"/>
      <c r="Q10238" s="5"/>
    </row>
    <row r="10239">
      <c r="J10239" s="5"/>
      <c r="P10239" s="9"/>
      <c r="Q10239" s="5"/>
    </row>
    <row r="10240">
      <c r="J10240" s="5"/>
      <c r="P10240" s="9"/>
      <c r="Q10240" s="5"/>
    </row>
    <row r="10241">
      <c r="J10241" s="5"/>
      <c r="P10241" s="9"/>
      <c r="Q10241" s="5"/>
    </row>
    <row r="10242">
      <c r="J10242" s="5"/>
      <c r="P10242" s="9"/>
      <c r="Q10242" s="5"/>
    </row>
    <row r="10243">
      <c r="J10243" s="5"/>
      <c r="P10243" s="9"/>
      <c r="Q10243" s="5"/>
    </row>
    <row r="10244">
      <c r="J10244" s="5"/>
      <c r="P10244" s="9"/>
      <c r="Q10244" s="5"/>
    </row>
    <row r="10245">
      <c r="J10245" s="5"/>
      <c r="P10245" s="9"/>
      <c r="Q10245" s="5"/>
    </row>
    <row r="10246">
      <c r="J10246" s="5"/>
      <c r="P10246" s="9"/>
      <c r="Q10246" s="5"/>
    </row>
    <row r="10247">
      <c r="J10247" s="5"/>
      <c r="P10247" s="9"/>
      <c r="Q10247" s="5"/>
    </row>
    <row r="10248">
      <c r="J10248" s="5"/>
      <c r="P10248" s="9"/>
      <c r="Q10248" s="5"/>
    </row>
    <row r="10249">
      <c r="J10249" s="5"/>
      <c r="P10249" s="9"/>
      <c r="Q10249" s="5"/>
    </row>
    <row r="10250">
      <c r="J10250" s="5"/>
      <c r="P10250" s="9"/>
      <c r="Q10250" s="5"/>
    </row>
    <row r="10251">
      <c r="J10251" s="5"/>
      <c r="P10251" s="9"/>
      <c r="Q10251" s="5"/>
    </row>
    <row r="10252">
      <c r="J10252" s="5"/>
      <c r="P10252" s="9"/>
      <c r="Q10252" s="5"/>
    </row>
    <row r="10253">
      <c r="J10253" s="5"/>
      <c r="P10253" s="9"/>
      <c r="Q10253" s="5"/>
    </row>
    <row r="10254">
      <c r="J10254" s="5"/>
      <c r="P10254" s="9"/>
      <c r="Q10254" s="5"/>
    </row>
    <row r="10255">
      <c r="J10255" s="5"/>
      <c r="P10255" s="9"/>
      <c r="Q10255" s="5"/>
    </row>
    <row r="10256">
      <c r="J10256" s="5"/>
      <c r="P10256" s="9"/>
      <c r="Q10256" s="5"/>
    </row>
    <row r="10257">
      <c r="J10257" s="5"/>
      <c r="P10257" s="9"/>
      <c r="Q10257" s="5"/>
    </row>
    <row r="10258">
      <c r="J10258" s="5"/>
      <c r="P10258" s="9"/>
      <c r="Q10258" s="5"/>
    </row>
    <row r="10259">
      <c r="J10259" s="5"/>
      <c r="P10259" s="9"/>
      <c r="Q10259" s="5"/>
    </row>
    <row r="10260">
      <c r="J10260" s="5"/>
      <c r="P10260" s="9"/>
      <c r="Q10260" s="5"/>
    </row>
    <row r="10261">
      <c r="J10261" s="5"/>
      <c r="P10261" s="9"/>
      <c r="Q10261" s="5"/>
    </row>
    <row r="10262">
      <c r="J10262" s="5"/>
      <c r="P10262" s="9"/>
      <c r="Q10262" s="5"/>
    </row>
    <row r="10263">
      <c r="J10263" s="5"/>
      <c r="P10263" s="9"/>
      <c r="Q10263" s="5"/>
    </row>
    <row r="10264">
      <c r="J10264" s="5"/>
      <c r="P10264" s="9"/>
      <c r="Q10264" s="5"/>
    </row>
    <row r="10265">
      <c r="J10265" s="5"/>
      <c r="P10265" s="9"/>
      <c r="Q10265" s="5"/>
    </row>
    <row r="10266">
      <c r="J10266" s="5"/>
      <c r="P10266" s="9"/>
      <c r="Q10266" s="5"/>
    </row>
    <row r="10267">
      <c r="J10267" s="5"/>
      <c r="P10267" s="9"/>
      <c r="Q10267" s="5"/>
    </row>
    <row r="10268">
      <c r="J10268" s="5"/>
      <c r="P10268" s="9"/>
      <c r="Q10268" s="5"/>
    </row>
    <row r="10269">
      <c r="J10269" s="5"/>
      <c r="P10269" s="9"/>
      <c r="Q10269" s="5"/>
    </row>
    <row r="10270">
      <c r="J10270" s="5"/>
      <c r="P10270" s="9"/>
      <c r="Q10270" s="5"/>
    </row>
    <row r="10271">
      <c r="J10271" s="5"/>
      <c r="P10271" s="9"/>
      <c r="Q10271" s="5"/>
    </row>
    <row r="10272">
      <c r="J10272" s="5"/>
      <c r="P10272" s="9"/>
      <c r="Q10272" s="5"/>
    </row>
    <row r="10273">
      <c r="J10273" s="5"/>
      <c r="P10273" s="9"/>
      <c r="Q10273" s="5"/>
    </row>
    <row r="10274">
      <c r="J10274" s="5"/>
      <c r="P10274" s="9"/>
      <c r="Q10274" s="5"/>
    </row>
    <row r="10275">
      <c r="J10275" s="5"/>
      <c r="P10275" s="9"/>
      <c r="Q10275" s="5"/>
    </row>
    <row r="10276">
      <c r="J10276" s="5"/>
      <c r="P10276" s="9"/>
      <c r="Q10276" s="5"/>
    </row>
    <row r="10277">
      <c r="J10277" s="5"/>
      <c r="P10277" s="9"/>
      <c r="Q10277" s="5"/>
    </row>
    <row r="10278">
      <c r="J10278" s="5"/>
      <c r="P10278" s="9"/>
      <c r="Q10278" s="5"/>
    </row>
    <row r="10279">
      <c r="J10279" s="5"/>
      <c r="P10279" s="9"/>
      <c r="Q10279" s="5"/>
    </row>
    <row r="10280">
      <c r="J10280" s="5"/>
      <c r="P10280" s="9"/>
      <c r="Q10280" s="5"/>
    </row>
    <row r="10281">
      <c r="J10281" s="5"/>
      <c r="P10281" s="9"/>
      <c r="Q10281" s="5"/>
    </row>
    <row r="10282">
      <c r="J10282" s="5"/>
      <c r="P10282" s="9"/>
      <c r="Q10282" s="5"/>
    </row>
    <row r="10283">
      <c r="J10283" s="5"/>
      <c r="P10283" s="9"/>
      <c r="Q10283" s="5"/>
    </row>
    <row r="10284">
      <c r="J10284" s="5"/>
      <c r="P10284" s="9"/>
      <c r="Q10284" s="5"/>
    </row>
    <row r="10285">
      <c r="J10285" s="5"/>
      <c r="P10285" s="9"/>
      <c r="Q10285" s="5"/>
    </row>
    <row r="10286">
      <c r="J10286" s="5"/>
      <c r="P10286" s="9"/>
      <c r="Q10286" s="5"/>
    </row>
    <row r="10287">
      <c r="J10287" s="5"/>
      <c r="P10287" s="9"/>
      <c r="Q10287" s="5"/>
    </row>
    <row r="10288">
      <c r="J10288" s="5"/>
      <c r="P10288" s="9"/>
      <c r="Q10288" s="5"/>
    </row>
    <row r="10289">
      <c r="J10289" s="5"/>
      <c r="P10289" s="9"/>
      <c r="Q10289" s="5"/>
    </row>
    <row r="10290">
      <c r="J10290" s="5"/>
      <c r="P10290" s="9"/>
      <c r="Q10290" s="5"/>
    </row>
    <row r="10291">
      <c r="J10291" s="5"/>
      <c r="P10291" s="9"/>
      <c r="Q10291" s="5"/>
    </row>
    <row r="10292">
      <c r="J10292" s="5"/>
      <c r="P10292" s="9"/>
      <c r="Q10292" s="5"/>
    </row>
    <row r="10293">
      <c r="J10293" s="5"/>
      <c r="P10293" s="9"/>
      <c r="Q10293" s="5"/>
    </row>
    <row r="10294">
      <c r="J10294" s="5"/>
      <c r="P10294" s="9"/>
      <c r="Q10294" s="5"/>
    </row>
    <row r="10295">
      <c r="J10295" s="5"/>
      <c r="P10295" s="9"/>
      <c r="Q10295" s="5"/>
    </row>
    <row r="10296">
      <c r="J10296" s="5"/>
      <c r="P10296" s="9"/>
      <c r="Q10296" s="5"/>
    </row>
    <row r="10297">
      <c r="J10297" s="5"/>
      <c r="P10297" s="9"/>
      <c r="Q10297" s="5"/>
    </row>
    <row r="10298">
      <c r="J10298" s="5"/>
      <c r="P10298" s="9"/>
      <c r="Q10298" s="5"/>
    </row>
    <row r="10299">
      <c r="J10299" s="5"/>
      <c r="P10299" s="9"/>
      <c r="Q10299" s="5"/>
    </row>
    <row r="10300">
      <c r="J10300" s="5"/>
      <c r="P10300" s="9"/>
      <c r="Q10300" s="5"/>
    </row>
    <row r="10301">
      <c r="J10301" s="5"/>
      <c r="P10301" s="9"/>
      <c r="Q10301" s="5"/>
    </row>
    <row r="10302">
      <c r="J10302" s="5"/>
      <c r="P10302" s="9"/>
      <c r="Q10302" s="5"/>
    </row>
    <row r="10303">
      <c r="J10303" s="5"/>
      <c r="P10303" s="9"/>
      <c r="Q10303" s="5"/>
    </row>
    <row r="10304">
      <c r="J10304" s="5"/>
      <c r="P10304" s="9"/>
      <c r="Q10304" s="5"/>
    </row>
    <row r="10305">
      <c r="J10305" s="5"/>
      <c r="P10305" s="9"/>
      <c r="Q10305" s="5"/>
    </row>
    <row r="10306">
      <c r="J10306" s="5"/>
      <c r="P10306" s="9"/>
      <c r="Q10306" s="5"/>
    </row>
    <row r="10307">
      <c r="J10307" s="5"/>
      <c r="P10307" s="9"/>
      <c r="Q10307" s="5"/>
    </row>
    <row r="10308">
      <c r="J10308" s="5"/>
      <c r="P10308" s="9"/>
      <c r="Q10308" s="5"/>
    </row>
    <row r="10309">
      <c r="J10309" s="5"/>
      <c r="P10309" s="9"/>
      <c r="Q10309" s="5"/>
    </row>
    <row r="10310">
      <c r="J10310" s="5"/>
      <c r="P10310" s="9"/>
      <c r="Q10310" s="5"/>
    </row>
    <row r="10311">
      <c r="J10311" s="5"/>
      <c r="P10311" s="9"/>
      <c r="Q10311" s="5"/>
    </row>
    <row r="10312">
      <c r="J10312" s="5"/>
      <c r="P10312" s="9"/>
      <c r="Q10312" s="5"/>
    </row>
    <row r="10313">
      <c r="J10313" s="5"/>
      <c r="P10313" s="9"/>
      <c r="Q10313" s="5"/>
    </row>
    <row r="10314">
      <c r="J10314" s="5"/>
      <c r="P10314" s="9"/>
      <c r="Q10314" s="5"/>
    </row>
    <row r="10315">
      <c r="J10315" s="5"/>
      <c r="P10315" s="9"/>
      <c r="Q10315" s="5"/>
    </row>
    <row r="10316">
      <c r="J10316" s="5"/>
      <c r="P10316" s="9"/>
      <c r="Q10316" s="5"/>
    </row>
    <row r="10317">
      <c r="J10317" s="5"/>
      <c r="P10317" s="9"/>
      <c r="Q10317" s="5"/>
    </row>
    <row r="10318">
      <c r="J10318" s="5"/>
      <c r="P10318" s="9"/>
      <c r="Q10318" s="5"/>
    </row>
    <row r="10319">
      <c r="J10319" s="5"/>
      <c r="P10319" s="9"/>
      <c r="Q10319" s="5"/>
    </row>
    <row r="10320">
      <c r="J10320" s="5"/>
      <c r="P10320" s="9"/>
      <c r="Q10320" s="5"/>
    </row>
    <row r="10321">
      <c r="J10321" s="5"/>
      <c r="P10321" s="9"/>
      <c r="Q10321" s="5"/>
    </row>
    <row r="10322">
      <c r="J10322" s="5"/>
      <c r="P10322" s="9"/>
      <c r="Q10322" s="5"/>
    </row>
    <row r="10323">
      <c r="J10323" s="5"/>
      <c r="P10323" s="9"/>
      <c r="Q10323" s="5"/>
    </row>
    <row r="10324">
      <c r="J10324" s="5"/>
      <c r="P10324" s="9"/>
      <c r="Q10324" s="5"/>
    </row>
    <row r="10325">
      <c r="J10325" s="5"/>
      <c r="P10325" s="9"/>
      <c r="Q10325" s="5"/>
    </row>
    <row r="10326">
      <c r="J10326" s="5"/>
      <c r="P10326" s="9"/>
      <c r="Q10326" s="5"/>
    </row>
    <row r="10327">
      <c r="J10327" s="5"/>
      <c r="P10327" s="9"/>
      <c r="Q10327" s="5"/>
    </row>
    <row r="10328">
      <c r="J10328" s="5"/>
      <c r="P10328" s="9"/>
      <c r="Q10328" s="5"/>
    </row>
    <row r="10329">
      <c r="J10329" s="5"/>
      <c r="P10329" s="9"/>
      <c r="Q10329" s="5"/>
    </row>
    <row r="10330">
      <c r="J10330" s="5"/>
      <c r="P10330" s="9"/>
      <c r="Q10330" s="5"/>
    </row>
    <row r="10331">
      <c r="J10331" s="5"/>
      <c r="P10331" s="9"/>
      <c r="Q10331" s="5"/>
    </row>
    <row r="10332">
      <c r="J10332" s="5"/>
      <c r="P10332" s="9"/>
      <c r="Q10332" s="5"/>
    </row>
    <row r="10333">
      <c r="J10333" s="5"/>
      <c r="P10333" s="9"/>
      <c r="Q10333" s="5"/>
    </row>
    <row r="10334">
      <c r="J10334" s="5"/>
      <c r="P10334" s="9"/>
      <c r="Q10334" s="5"/>
    </row>
    <row r="10335">
      <c r="J10335" s="5"/>
      <c r="P10335" s="9"/>
      <c r="Q10335" s="5"/>
    </row>
    <row r="10336">
      <c r="J10336" s="5"/>
      <c r="P10336" s="9"/>
      <c r="Q10336" s="5"/>
    </row>
    <row r="10337">
      <c r="J10337" s="5"/>
      <c r="P10337" s="9"/>
      <c r="Q10337" s="5"/>
    </row>
    <row r="10338">
      <c r="J10338" s="5"/>
      <c r="P10338" s="9"/>
      <c r="Q10338" s="5"/>
    </row>
    <row r="10339">
      <c r="J10339" s="5"/>
      <c r="P10339" s="9"/>
      <c r="Q10339" s="5"/>
    </row>
    <row r="10340">
      <c r="J10340" s="5"/>
      <c r="P10340" s="9"/>
      <c r="Q10340" s="5"/>
    </row>
    <row r="10341">
      <c r="J10341" s="5"/>
      <c r="P10341" s="9"/>
      <c r="Q10341" s="5"/>
    </row>
    <row r="10342">
      <c r="J10342" s="5"/>
      <c r="P10342" s="9"/>
      <c r="Q10342" s="5"/>
    </row>
    <row r="10343">
      <c r="J10343" s="5"/>
      <c r="P10343" s="9"/>
      <c r="Q10343" s="5"/>
    </row>
    <row r="10344">
      <c r="J10344" s="5"/>
      <c r="P10344" s="9"/>
      <c r="Q10344" s="5"/>
    </row>
    <row r="10345">
      <c r="J10345" s="5"/>
      <c r="P10345" s="9"/>
      <c r="Q10345" s="5"/>
    </row>
    <row r="10346">
      <c r="J10346" s="5"/>
      <c r="P10346" s="9"/>
      <c r="Q10346" s="5"/>
    </row>
    <row r="10347">
      <c r="J10347" s="5"/>
      <c r="P10347" s="9"/>
      <c r="Q10347" s="5"/>
    </row>
    <row r="10348">
      <c r="J10348" s="5"/>
      <c r="P10348" s="9"/>
      <c r="Q10348" s="5"/>
    </row>
    <row r="10349">
      <c r="J10349" s="5"/>
      <c r="P10349" s="9"/>
      <c r="Q10349" s="5"/>
    </row>
    <row r="10350">
      <c r="J10350" s="5"/>
      <c r="P10350" s="9"/>
      <c r="Q10350" s="5"/>
    </row>
    <row r="10351">
      <c r="J10351" s="5"/>
      <c r="P10351" s="9"/>
      <c r="Q10351" s="5"/>
    </row>
    <row r="10352">
      <c r="J10352" s="5"/>
      <c r="P10352" s="9"/>
      <c r="Q10352" s="5"/>
    </row>
    <row r="10353">
      <c r="J10353" s="5"/>
      <c r="P10353" s="9"/>
      <c r="Q10353" s="5"/>
    </row>
    <row r="10354">
      <c r="J10354" s="5"/>
      <c r="P10354" s="9"/>
      <c r="Q10354" s="5"/>
    </row>
    <row r="10355">
      <c r="J10355" s="5"/>
      <c r="P10355" s="9"/>
      <c r="Q10355" s="5"/>
    </row>
    <row r="10356">
      <c r="J10356" s="5"/>
      <c r="P10356" s="9"/>
      <c r="Q10356" s="5"/>
    </row>
    <row r="10357">
      <c r="J10357" s="5"/>
      <c r="P10357" s="9"/>
      <c r="Q10357" s="5"/>
    </row>
    <row r="10358">
      <c r="J10358" s="5"/>
      <c r="P10358" s="9"/>
      <c r="Q10358" s="5"/>
    </row>
    <row r="10359">
      <c r="J10359" s="5"/>
      <c r="P10359" s="9"/>
      <c r="Q10359" s="5"/>
    </row>
    <row r="10360">
      <c r="J10360" s="5"/>
      <c r="P10360" s="9"/>
      <c r="Q10360" s="5"/>
    </row>
    <row r="10361">
      <c r="J10361" s="5"/>
      <c r="P10361" s="9"/>
      <c r="Q10361" s="5"/>
    </row>
    <row r="10362">
      <c r="J10362" s="5"/>
      <c r="P10362" s="9"/>
      <c r="Q10362" s="5"/>
    </row>
    <row r="10363">
      <c r="J10363" s="5"/>
      <c r="P10363" s="9"/>
      <c r="Q10363" s="5"/>
    </row>
    <row r="10364">
      <c r="J10364" s="5"/>
      <c r="P10364" s="9"/>
      <c r="Q10364" s="5"/>
    </row>
    <row r="10365">
      <c r="J10365" s="5"/>
      <c r="P10365" s="9"/>
      <c r="Q10365" s="5"/>
    </row>
    <row r="10366">
      <c r="J10366" s="5"/>
      <c r="P10366" s="9"/>
      <c r="Q10366" s="5"/>
    </row>
    <row r="10367">
      <c r="J10367" s="5"/>
      <c r="P10367" s="9"/>
      <c r="Q10367" s="5"/>
    </row>
    <row r="10368">
      <c r="J10368" s="5"/>
      <c r="P10368" s="9"/>
      <c r="Q10368" s="5"/>
    </row>
    <row r="10369">
      <c r="J10369" s="5"/>
      <c r="P10369" s="9"/>
      <c r="Q10369" s="5"/>
    </row>
    <row r="10370">
      <c r="J10370" s="5"/>
      <c r="P10370" s="9"/>
      <c r="Q10370" s="5"/>
    </row>
    <row r="10371">
      <c r="J10371" s="5"/>
      <c r="P10371" s="9"/>
      <c r="Q10371" s="5"/>
    </row>
    <row r="10372">
      <c r="J10372" s="5"/>
      <c r="P10372" s="9"/>
      <c r="Q10372" s="5"/>
    </row>
    <row r="10373">
      <c r="J10373" s="5"/>
      <c r="P10373" s="9"/>
      <c r="Q10373" s="5"/>
    </row>
    <row r="10374">
      <c r="J10374" s="5"/>
      <c r="P10374" s="9"/>
      <c r="Q10374" s="5"/>
    </row>
    <row r="10375">
      <c r="J10375" s="5"/>
      <c r="P10375" s="9"/>
      <c r="Q10375" s="5"/>
    </row>
    <row r="10376">
      <c r="J10376" s="5"/>
      <c r="P10376" s="9"/>
      <c r="Q10376" s="5"/>
    </row>
    <row r="10377">
      <c r="J10377" s="5"/>
      <c r="P10377" s="9"/>
      <c r="Q10377" s="5"/>
    </row>
    <row r="10378">
      <c r="J10378" s="5"/>
      <c r="P10378" s="9"/>
      <c r="Q10378" s="5"/>
    </row>
    <row r="10379">
      <c r="J10379" s="5"/>
      <c r="P10379" s="9"/>
      <c r="Q10379" s="5"/>
    </row>
    <row r="10380">
      <c r="J10380" s="5"/>
      <c r="P10380" s="9"/>
      <c r="Q10380" s="5"/>
    </row>
    <row r="10381">
      <c r="J10381" s="5"/>
      <c r="P10381" s="9"/>
      <c r="Q10381" s="5"/>
    </row>
    <row r="10382">
      <c r="J10382" s="5"/>
      <c r="P10382" s="9"/>
      <c r="Q10382" s="5"/>
    </row>
    <row r="10383">
      <c r="J10383" s="5"/>
      <c r="P10383" s="9"/>
      <c r="Q10383" s="5"/>
    </row>
    <row r="10384">
      <c r="J10384" s="5"/>
      <c r="P10384" s="9"/>
      <c r="Q10384" s="5"/>
    </row>
    <row r="10385">
      <c r="J10385" s="5"/>
      <c r="P10385" s="9"/>
      <c r="Q10385" s="5"/>
    </row>
    <row r="10386">
      <c r="J10386" s="5"/>
      <c r="P10386" s="9"/>
      <c r="Q10386" s="5"/>
    </row>
    <row r="10387">
      <c r="J10387" s="5"/>
      <c r="P10387" s="9"/>
      <c r="Q10387" s="5"/>
    </row>
    <row r="10388">
      <c r="J10388" s="5"/>
      <c r="P10388" s="9"/>
      <c r="Q10388" s="5"/>
    </row>
    <row r="10389">
      <c r="J10389" s="5"/>
      <c r="P10389" s="9"/>
      <c r="Q10389" s="5"/>
    </row>
    <row r="10390">
      <c r="J10390" s="5"/>
      <c r="P10390" s="9"/>
      <c r="Q10390" s="5"/>
    </row>
    <row r="10391">
      <c r="J10391" s="5"/>
      <c r="P10391" s="9"/>
      <c r="Q10391" s="5"/>
    </row>
    <row r="10392">
      <c r="J10392" s="5"/>
      <c r="P10392" s="9"/>
      <c r="Q10392" s="5"/>
    </row>
    <row r="10393">
      <c r="J10393" s="5"/>
      <c r="P10393" s="9"/>
      <c r="Q10393" s="5"/>
    </row>
    <row r="10394">
      <c r="J10394" s="5"/>
      <c r="P10394" s="9"/>
      <c r="Q10394" s="5"/>
    </row>
    <row r="10395">
      <c r="J10395" s="5"/>
      <c r="P10395" s="9"/>
      <c r="Q10395" s="5"/>
    </row>
    <row r="10396">
      <c r="J10396" s="5"/>
      <c r="P10396" s="9"/>
      <c r="Q10396" s="5"/>
    </row>
    <row r="10397">
      <c r="J10397" s="5"/>
      <c r="P10397" s="9"/>
      <c r="Q10397" s="5"/>
    </row>
    <row r="10398">
      <c r="J10398" s="5"/>
      <c r="P10398" s="9"/>
      <c r="Q10398" s="5"/>
    </row>
    <row r="10399">
      <c r="J10399" s="5"/>
      <c r="P10399" s="9"/>
      <c r="Q10399" s="5"/>
    </row>
    <row r="10400">
      <c r="J10400" s="5"/>
      <c r="P10400" s="9"/>
      <c r="Q10400" s="5"/>
    </row>
    <row r="10401">
      <c r="J10401" s="5"/>
      <c r="P10401" s="9"/>
      <c r="Q10401" s="5"/>
    </row>
    <row r="10402">
      <c r="J10402" s="5"/>
      <c r="P10402" s="9"/>
      <c r="Q10402" s="5"/>
    </row>
    <row r="10403">
      <c r="J10403" s="5"/>
      <c r="P10403" s="9"/>
      <c r="Q10403" s="5"/>
    </row>
    <row r="10404">
      <c r="J10404" s="5"/>
      <c r="P10404" s="9"/>
      <c r="Q10404" s="5"/>
    </row>
    <row r="10405">
      <c r="J10405" s="5"/>
      <c r="P10405" s="9"/>
      <c r="Q10405" s="5"/>
    </row>
    <row r="10406">
      <c r="J10406" s="5"/>
      <c r="P10406" s="9"/>
      <c r="Q10406" s="5"/>
    </row>
    <row r="10407">
      <c r="J10407" s="5"/>
      <c r="P10407" s="9"/>
      <c r="Q10407" s="5"/>
    </row>
    <row r="10408">
      <c r="J10408" s="5"/>
      <c r="P10408" s="9"/>
      <c r="Q10408" s="5"/>
    </row>
    <row r="10409">
      <c r="J10409" s="5"/>
      <c r="P10409" s="9"/>
      <c r="Q10409" s="5"/>
    </row>
    <row r="10410">
      <c r="J10410" s="5"/>
      <c r="P10410" s="9"/>
      <c r="Q10410" s="5"/>
    </row>
    <row r="10411">
      <c r="J10411" s="5"/>
      <c r="P10411" s="9"/>
      <c r="Q10411" s="5"/>
    </row>
    <row r="10412">
      <c r="J10412" s="5"/>
      <c r="P10412" s="9"/>
      <c r="Q10412" s="5"/>
    </row>
    <row r="10413">
      <c r="J10413" s="5"/>
      <c r="P10413" s="9"/>
      <c r="Q10413" s="5"/>
    </row>
    <row r="10414">
      <c r="J10414" s="5"/>
      <c r="P10414" s="9"/>
      <c r="Q10414" s="5"/>
    </row>
    <row r="10415">
      <c r="J10415" s="5"/>
      <c r="P10415" s="9"/>
      <c r="Q10415" s="5"/>
    </row>
    <row r="10416">
      <c r="J10416" s="5"/>
      <c r="P10416" s="9"/>
      <c r="Q10416" s="5"/>
    </row>
    <row r="10417">
      <c r="J10417" s="5"/>
      <c r="P10417" s="9"/>
      <c r="Q10417" s="5"/>
    </row>
    <row r="10418">
      <c r="J10418" s="5"/>
      <c r="P10418" s="9"/>
      <c r="Q10418" s="5"/>
    </row>
    <row r="10419">
      <c r="J10419" s="5"/>
      <c r="P10419" s="9"/>
      <c r="Q10419" s="5"/>
    </row>
    <row r="10420">
      <c r="J10420" s="5"/>
      <c r="P10420" s="9"/>
      <c r="Q10420" s="5"/>
    </row>
    <row r="10421">
      <c r="J10421" s="5"/>
      <c r="P10421" s="9"/>
      <c r="Q10421" s="5"/>
    </row>
    <row r="10422">
      <c r="J10422" s="5"/>
      <c r="P10422" s="9"/>
      <c r="Q10422" s="5"/>
    </row>
    <row r="10423">
      <c r="J10423" s="5"/>
      <c r="P10423" s="9"/>
      <c r="Q10423" s="5"/>
    </row>
    <row r="10424">
      <c r="J10424" s="5"/>
      <c r="P10424" s="9"/>
      <c r="Q10424" s="5"/>
    </row>
    <row r="10425">
      <c r="J10425" s="5"/>
      <c r="P10425" s="9"/>
      <c r="Q10425" s="5"/>
    </row>
    <row r="10426">
      <c r="J10426" s="5"/>
      <c r="P10426" s="9"/>
      <c r="Q10426" s="5"/>
    </row>
    <row r="10427">
      <c r="J10427" s="5"/>
      <c r="P10427" s="9"/>
      <c r="Q10427" s="5"/>
    </row>
    <row r="10428">
      <c r="J10428" s="5"/>
      <c r="P10428" s="9"/>
      <c r="Q10428" s="5"/>
    </row>
    <row r="10429">
      <c r="J10429" s="5"/>
      <c r="P10429" s="9"/>
      <c r="Q10429" s="5"/>
    </row>
    <row r="10430">
      <c r="J10430" s="5"/>
      <c r="P10430" s="9"/>
      <c r="Q10430" s="5"/>
    </row>
    <row r="10431">
      <c r="J10431" s="5"/>
      <c r="P10431" s="9"/>
      <c r="Q10431" s="5"/>
    </row>
    <row r="10432">
      <c r="J10432" s="5"/>
      <c r="P10432" s="9"/>
      <c r="Q10432" s="5"/>
    </row>
    <row r="10433">
      <c r="J10433" s="5"/>
      <c r="P10433" s="9"/>
      <c r="Q10433" s="5"/>
    </row>
    <row r="10434">
      <c r="J10434" s="5"/>
      <c r="P10434" s="9"/>
      <c r="Q10434" s="5"/>
    </row>
    <row r="10435">
      <c r="J10435" s="5"/>
      <c r="P10435" s="9"/>
      <c r="Q10435" s="5"/>
    </row>
    <row r="10436">
      <c r="J10436" s="5"/>
      <c r="P10436" s="9"/>
      <c r="Q10436" s="5"/>
    </row>
    <row r="10437">
      <c r="J10437" s="5"/>
      <c r="P10437" s="9"/>
      <c r="Q10437" s="5"/>
    </row>
    <row r="10438">
      <c r="J10438" s="5"/>
      <c r="P10438" s="9"/>
      <c r="Q10438" s="5"/>
    </row>
    <row r="10439">
      <c r="J10439" s="5"/>
      <c r="P10439" s="9"/>
      <c r="Q10439" s="5"/>
    </row>
    <row r="10440">
      <c r="J10440" s="5"/>
      <c r="P10440" s="9"/>
      <c r="Q10440" s="5"/>
    </row>
    <row r="10441">
      <c r="J10441" s="5"/>
      <c r="P10441" s="9"/>
      <c r="Q10441" s="5"/>
    </row>
    <row r="10442">
      <c r="J10442" s="5"/>
      <c r="P10442" s="9"/>
      <c r="Q10442" s="5"/>
    </row>
    <row r="10443">
      <c r="J10443" s="5"/>
      <c r="P10443" s="9"/>
      <c r="Q10443" s="5"/>
    </row>
    <row r="10444">
      <c r="J10444" s="5"/>
      <c r="P10444" s="9"/>
      <c r="Q10444" s="5"/>
    </row>
    <row r="10445">
      <c r="J10445" s="5"/>
      <c r="P10445" s="9"/>
      <c r="Q10445" s="5"/>
    </row>
    <row r="10446">
      <c r="J10446" s="5"/>
      <c r="P10446" s="9"/>
      <c r="Q10446" s="5"/>
    </row>
    <row r="10447">
      <c r="J10447" s="5"/>
      <c r="P10447" s="9"/>
      <c r="Q10447" s="5"/>
    </row>
    <row r="10448">
      <c r="J10448" s="5"/>
      <c r="P10448" s="9"/>
      <c r="Q10448" s="5"/>
    </row>
    <row r="10449">
      <c r="J10449" s="5"/>
      <c r="P10449" s="9"/>
      <c r="Q10449" s="5"/>
    </row>
    <row r="10450">
      <c r="J10450" s="5"/>
      <c r="P10450" s="9"/>
      <c r="Q10450" s="5"/>
    </row>
    <row r="10451">
      <c r="J10451" s="5"/>
      <c r="P10451" s="9"/>
      <c r="Q10451" s="5"/>
    </row>
    <row r="10452">
      <c r="J10452" s="5"/>
      <c r="P10452" s="9"/>
      <c r="Q10452" s="5"/>
    </row>
    <row r="10453">
      <c r="J10453" s="5"/>
      <c r="P10453" s="9"/>
      <c r="Q10453" s="5"/>
    </row>
    <row r="10454">
      <c r="J10454" s="5"/>
      <c r="P10454" s="9"/>
      <c r="Q10454" s="5"/>
    </row>
    <row r="10455">
      <c r="J10455" s="5"/>
      <c r="P10455" s="9"/>
      <c r="Q10455" s="5"/>
    </row>
    <row r="10456">
      <c r="J10456" s="5"/>
      <c r="P10456" s="9"/>
      <c r="Q10456" s="5"/>
    </row>
    <row r="10457">
      <c r="J10457" s="5"/>
      <c r="P10457" s="9"/>
      <c r="Q10457" s="5"/>
    </row>
    <row r="10458">
      <c r="J10458" s="5"/>
      <c r="P10458" s="9"/>
      <c r="Q10458" s="5"/>
    </row>
    <row r="10459">
      <c r="J10459" s="5"/>
      <c r="P10459" s="9"/>
      <c r="Q10459" s="5"/>
    </row>
    <row r="10460">
      <c r="J10460" s="5"/>
      <c r="P10460" s="9"/>
      <c r="Q10460" s="5"/>
    </row>
    <row r="10461">
      <c r="J10461" s="5"/>
      <c r="P10461" s="9"/>
      <c r="Q10461" s="5"/>
    </row>
    <row r="10462">
      <c r="J10462" s="5"/>
      <c r="P10462" s="9"/>
      <c r="Q10462" s="5"/>
    </row>
    <row r="10463">
      <c r="J10463" s="5"/>
      <c r="P10463" s="9"/>
      <c r="Q10463" s="5"/>
    </row>
    <row r="10464">
      <c r="J10464" s="5"/>
      <c r="P10464" s="9"/>
      <c r="Q10464" s="5"/>
    </row>
    <row r="10465">
      <c r="J10465" s="5"/>
      <c r="P10465" s="9"/>
      <c r="Q10465" s="5"/>
    </row>
    <row r="10466">
      <c r="J10466" s="5"/>
      <c r="P10466" s="9"/>
      <c r="Q10466" s="5"/>
    </row>
    <row r="10467">
      <c r="J10467" s="5"/>
      <c r="P10467" s="9"/>
      <c r="Q10467" s="5"/>
    </row>
    <row r="10468">
      <c r="J10468" s="5"/>
      <c r="P10468" s="9"/>
      <c r="Q10468" s="5"/>
    </row>
    <row r="10469">
      <c r="J10469" s="5"/>
      <c r="P10469" s="9"/>
      <c r="Q10469" s="5"/>
    </row>
    <row r="10470">
      <c r="J10470" s="5"/>
      <c r="P10470" s="9"/>
      <c r="Q10470" s="5"/>
    </row>
    <row r="10471">
      <c r="J10471" s="5"/>
      <c r="P10471" s="9"/>
      <c r="Q10471" s="5"/>
    </row>
    <row r="10472">
      <c r="J10472" s="5"/>
      <c r="P10472" s="9"/>
      <c r="Q10472" s="5"/>
    </row>
    <row r="10473">
      <c r="J10473" s="5"/>
      <c r="P10473" s="9"/>
      <c r="Q10473" s="5"/>
    </row>
    <row r="10474">
      <c r="J10474" s="5"/>
      <c r="P10474" s="9"/>
      <c r="Q10474" s="5"/>
    </row>
    <row r="10475">
      <c r="J10475" s="5"/>
      <c r="P10475" s="9"/>
      <c r="Q10475" s="5"/>
    </row>
    <row r="10476">
      <c r="J10476" s="5"/>
      <c r="P10476" s="9"/>
      <c r="Q10476" s="5"/>
    </row>
    <row r="10477">
      <c r="J10477" s="5"/>
      <c r="P10477" s="9"/>
      <c r="Q10477" s="5"/>
    </row>
    <row r="10478">
      <c r="J10478" s="5"/>
      <c r="P10478" s="9"/>
      <c r="Q10478" s="5"/>
    </row>
    <row r="10479">
      <c r="J10479" s="5"/>
      <c r="P10479" s="9"/>
      <c r="Q10479" s="5"/>
    </row>
    <row r="10480">
      <c r="J10480" s="5"/>
      <c r="P10480" s="9"/>
      <c r="Q10480" s="5"/>
    </row>
    <row r="10481">
      <c r="J10481" s="5"/>
      <c r="P10481" s="9"/>
      <c r="Q10481" s="5"/>
    </row>
    <row r="10482">
      <c r="J10482" s="5"/>
      <c r="P10482" s="9"/>
      <c r="Q10482" s="5"/>
    </row>
    <row r="10483">
      <c r="J10483" s="5"/>
      <c r="P10483" s="9"/>
      <c r="Q10483" s="5"/>
    </row>
    <row r="10484">
      <c r="J10484" s="5"/>
      <c r="P10484" s="9"/>
      <c r="Q10484" s="5"/>
    </row>
    <row r="10485">
      <c r="J10485" s="5"/>
      <c r="P10485" s="9"/>
      <c r="Q10485" s="5"/>
    </row>
    <row r="10486">
      <c r="J10486" s="5"/>
      <c r="P10486" s="9"/>
      <c r="Q10486" s="5"/>
    </row>
    <row r="10487">
      <c r="J10487" s="5"/>
      <c r="P10487" s="9"/>
      <c r="Q10487" s="5"/>
    </row>
    <row r="10488">
      <c r="J10488" s="5"/>
      <c r="P10488" s="9"/>
      <c r="Q10488" s="5"/>
    </row>
    <row r="10489">
      <c r="J10489" s="5"/>
      <c r="P10489" s="9"/>
      <c r="Q10489" s="5"/>
    </row>
    <row r="10490">
      <c r="J10490" s="5"/>
      <c r="P10490" s="9"/>
      <c r="Q10490" s="5"/>
    </row>
    <row r="10491">
      <c r="J10491" s="5"/>
      <c r="P10491" s="9"/>
      <c r="Q10491" s="5"/>
    </row>
    <row r="10492">
      <c r="J10492" s="5"/>
      <c r="P10492" s="9"/>
      <c r="Q10492" s="5"/>
    </row>
    <row r="10493">
      <c r="J10493" s="5"/>
      <c r="P10493" s="9"/>
      <c r="Q10493" s="5"/>
    </row>
    <row r="10494">
      <c r="J10494" s="5"/>
      <c r="P10494" s="9"/>
      <c r="Q10494" s="5"/>
    </row>
    <row r="10495">
      <c r="J10495" s="5"/>
      <c r="P10495" s="9"/>
      <c r="Q10495" s="5"/>
    </row>
    <row r="10496">
      <c r="J10496" s="5"/>
      <c r="P10496" s="9"/>
      <c r="Q10496" s="5"/>
    </row>
    <row r="10497">
      <c r="J10497" s="5"/>
      <c r="P10497" s="9"/>
      <c r="Q10497" s="5"/>
    </row>
    <row r="10498">
      <c r="J10498" s="5"/>
      <c r="P10498" s="9"/>
      <c r="Q10498" s="5"/>
    </row>
    <row r="10499">
      <c r="J10499" s="5"/>
      <c r="P10499" s="9"/>
      <c r="Q10499" s="5"/>
    </row>
    <row r="10500">
      <c r="J10500" s="5"/>
      <c r="P10500" s="9"/>
      <c r="Q10500" s="5"/>
    </row>
    <row r="10501">
      <c r="J10501" s="5"/>
      <c r="P10501" s="9"/>
      <c r="Q10501" s="5"/>
    </row>
    <row r="10502">
      <c r="J10502" s="5"/>
      <c r="P10502" s="9"/>
      <c r="Q10502" s="5"/>
    </row>
    <row r="10503">
      <c r="J10503" s="5"/>
      <c r="P10503" s="9"/>
      <c r="Q10503" s="5"/>
    </row>
    <row r="10504">
      <c r="J10504" s="5"/>
      <c r="P10504" s="9"/>
      <c r="Q10504" s="5"/>
    </row>
    <row r="10505">
      <c r="J10505" s="5"/>
      <c r="P10505" s="9"/>
      <c r="Q10505" s="5"/>
    </row>
    <row r="10506">
      <c r="J10506" s="5"/>
      <c r="P10506" s="9"/>
      <c r="Q10506" s="5"/>
    </row>
    <row r="10507">
      <c r="J10507" s="5"/>
      <c r="P10507" s="9"/>
      <c r="Q10507" s="5"/>
    </row>
    <row r="10508">
      <c r="J10508" s="5"/>
      <c r="P10508" s="9"/>
      <c r="Q10508" s="5"/>
    </row>
    <row r="10509">
      <c r="J10509" s="5"/>
      <c r="P10509" s="9"/>
      <c r="Q10509" s="5"/>
    </row>
    <row r="10510">
      <c r="J10510" s="5"/>
      <c r="P10510" s="9"/>
      <c r="Q10510" s="5"/>
    </row>
    <row r="10511">
      <c r="J10511" s="5"/>
      <c r="P10511" s="9"/>
      <c r="Q10511" s="5"/>
    </row>
    <row r="10512">
      <c r="J10512" s="5"/>
      <c r="P10512" s="9"/>
      <c r="Q10512" s="5"/>
    </row>
    <row r="10513">
      <c r="J10513" s="5"/>
      <c r="P10513" s="9"/>
      <c r="Q10513" s="5"/>
    </row>
    <row r="10514">
      <c r="J10514" s="5"/>
      <c r="P10514" s="9"/>
      <c r="Q10514" s="5"/>
    </row>
    <row r="10515">
      <c r="J10515" s="5"/>
      <c r="P10515" s="9"/>
      <c r="Q10515" s="5"/>
    </row>
    <row r="10516">
      <c r="J10516" s="5"/>
      <c r="P10516" s="9"/>
      <c r="Q10516" s="5"/>
    </row>
    <row r="10517">
      <c r="J10517" s="5"/>
      <c r="P10517" s="9"/>
      <c r="Q10517" s="5"/>
    </row>
    <row r="10518">
      <c r="J10518" s="5"/>
      <c r="P10518" s="9"/>
      <c r="Q10518" s="5"/>
    </row>
    <row r="10519">
      <c r="J10519" s="5"/>
      <c r="P10519" s="9"/>
      <c r="Q10519" s="5"/>
    </row>
    <row r="10520">
      <c r="J10520" s="5"/>
      <c r="P10520" s="9"/>
      <c r="Q10520" s="5"/>
    </row>
    <row r="10521">
      <c r="J10521" s="5"/>
      <c r="P10521" s="9"/>
      <c r="Q10521" s="5"/>
    </row>
    <row r="10522">
      <c r="J10522" s="5"/>
      <c r="P10522" s="9"/>
      <c r="Q10522" s="5"/>
    </row>
    <row r="10523">
      <c r="J10523" s="5"/>
      <c r="P10523" s="9"/>
      <c r="Q10523" s="5"/>
    </row>
    <row r="10524">
      <c r="J10524" s="5"/>
      <c r="P10524" s="9"/>
      <c r="Q10524" s="5"/>
    </row>
    <row r="10525">
      <c r="J10525" s="5"/>
      <c r="P10525" s="9"/>
      <c r="Q10525" s="5"/>
    </row>
    <row r="10526">
      <c r="J10526" s="5"/>
      <c r="P10526" s="9"/>
      <c r="Q10526" s="5"/>
    </row>
    <row r="10527">
      <c r="J10527" s="5"/>
      <c r="P10527" s="9"/>
      <c r="Q10527" s="5"/>
    </row>
    <row r="10528">
      <c r="J10528" s="5"/>
      <c r="P10528" s="9"/>
      <c r="Q10528" s="5"/>
    </row>
    <row r="10529">
      <c r="J10529" s="5"/>
      <c r="P10529" s="9"/>
      <c r="Q10529" s="5"/>
    </row>
    <row r="10530">
      <c r="J10530" s="5"/>
      <c r="P10530" s="9"/>
      <c r="Q10530" s="5"/>
    </row>
    <row r="10531">
      <c r="J10531" s="5"/>
      <c r="P10531" s="9"/>
      <c r="Q10531" s="5"/>
    </row>
    <row r="10532">
      <c r="J10532" s="5"/>
      <c r="P10532" s="9"/>
      <c r="Q10532" s="5"/>
    </row>
    <row r="10533">
      <c r="J10533" s="5"/>
      <c r="P10533" s="9"/>
      <c r="Q10533" s="5"/>
    </row>
    <row r="10534">
      <c r="J10534" s="5"/>
      <c r="P10534" s="9"/>
      <c r="Q10534" s="5"/>
    </row>
    <row r="10535">
      <c r="J10535" s="5"/>
      <c r="P10535" s="9"/>
      <c r="Q10535" s="5"/>
    </row>
    <row r="10536">
      <c r="J10536" s="5"/>
      <c r="P10536" s="9"/>
      <c r="Q10536" s="5"/>
    </row>
    <row r="10537">
      <c r="J10537" s="5"/>
      <c r="P10537" s="9"/>
      <c r="Q10537" s="5"/>
    </row>
    <row r="10538">
      <c r="J10538" s="5"/>
      <c r="P10538" s="9"/>
      <c r="Q10538" s="5"/>
    </row>
    <row r="10539">
      <c r="J10539" s="5"/>
      <c r="P10539" s="9"/>
      <c r="Q10539" s="5"/>
    </row>
    <row r="10540">
      <c r="J10540" s="5"/>
      <c r="P10540" s="9"/>
      <c r="Q10540" s="5"/>
    </row>
    <row r="10541">
      <c r="J10541" s="5"/>
      <c r="P10541" s="9"/>
      <c r="Q10541" s="5"/>
    </row>
    <row r="10542">
      <c r="J10542" s="5"/>
      <c r="P10542" s="9"/>
      <c r="Q10542" s="5"/>
    </row>
    <row r="10543">
      <c r="J10543" s="5"/>
      <c r="P10543" s="9"/>
      <c r="Q10543" s="5"/>
    </row>
    <row r="10544">
      <c r="J10544" s="5"/>
      <c r="P10544" s="9"/>
      <c r="Q10544" s="5"/>
    </row>
    <row r="10545">
      <c r="J10545" s="5"/>
      <c r="P10545" s="9"/>
      <c r="Q10545" s="5"/>
    </row>
    <row r="10546">
      <c r="J10546" s="5"/>
      <c r="P10546" s="9"/>
      <c r="Q10546" s="5"/>
    </row>
    <row r="10547">
      <c r="J10547" s="5"/>
      <c r="P10547" s="9"/>
      <c r="Q10547" s="5"/>
    </row>
    <row r="10548">
      <c r="J10548" s="5"/>
      <c r="P10548" s="9"/>
      <c r="Q10548" s="5"/>
    </row>
    <row r="10549">
      <c r="J10549" s="5"/>
      <c r="P10549" s="9"/>
      <c r="Q10549" s="5"/>
    </row>
    <row r="10550">
      <c r="J10550" s="5"/>
      <c r="P10550" s="9"/>
      <c r="Q10550" s="5"/>
    </row>
    <row r="10551">
      <c r="J10551" s="5"/>
      <c r="P10551" s="9"/>
      <c r="Q10551" s="5"/>
    </row>
    <row r="10552">
      <c r="J10552" s="5"/>
      <c r="P10552" s="9"/>
      <c r="Q10552" s="5"/>
    </row>
    <row r="10553">
      <c r="J10553" s="5"/>
      <c r="P10553" s="9"/>
      <c r="Q10553" s="5"/>
    </row>
    <row r="10554">
      <c r="J10554" s="5"/>
      <c r="P10554" s="9"/>
      <c r="Q10554" s="5"/>
    </row>
    <row r="10555">
      <c r="J10555" s="5"/>
      <c r="P10555" s="9"/>
      <c r="Q10555" s="5"/>
    </row>
    <row r="10556">
      <c r="J10556" s="5"/>
      <c r="P10556" s="9"/>
      <c r="Q10556" s="5"/>
    </row>
    <row r="10557">
      <c r="J10557" s="5"/>
      <c r="P10557" s="9"/>
      <c r="Q10557" s="5"/>
    </row>
    <row r="10558">
      <c r="J10558" s="5"/>
      <c r="P10558" s="9"/>
      <c r="Q10558" s="5"/>
    </row>
    <row r="10559">
      <c r="J10559" s="5"/>
      <c r="P10559" s="9"/>
      <c r="Q10559" s="5"/>
    </row>
    <row r="10560">
      <c r="J10560" s="5"/>
      <c r="P10560" s="9"/>
      <c r="Q10560" s="5"/>
    </row>
    <row r="10561">
      <c r="J10561" s="5"/>
      <c r="P10561" s="9"/>
      <c r="Q10561" s="5"/>
    </row>
    <row r="10562">
      <c r="J10562" s="5"/>
      <c r="P10562" s="9"/>
      <c r="Q10562" s="5"/>
    </row>
    <row r="10563">
      <c r="J10563" s="5"/>
      <c r="P10563" s="9"/>
      <c r="Q10563" s="5"/>
    </row>
    <row r="10564">
      <c r="J10564" s="5"/>
      <c r="P10564" s="9"/>
      <c r="Q10564" s="5"/>
    </row>
    <row r="10565">
      <c r="J10565" s="5"/>
      <c r="P10565" s="9"/>
      <c r="Q10565" s="5"/>
    </row>
    <row r="10566">
      <c r="J10566" s="5"/>
      <c r="P10566" s="9"/>
      <c r="Q10566" s="5"/>
    </row>
    <row r="10567">
      <c r="J10567" s="5"/>
      <c r="P10567" s="9"/>
      <c r="Q10567" s="5"/>
    </row>
    <row r="10568">
      <c r="J10568" s="5"/>
      <c r="P10568" s="9"/>
      <c r="Q10568" s="5"/>
    </row>
    <row r="10569">
      <c r="J10569" s="5"/>
      <c r="P10569" s="9"/>
      <c r="Q10569" s="5"/>
    </row>
    <row r="10570">
      <c r="J10570" s="5"/>
      <c r="P10570" s="9"/>
      <c r="Q10570" s="5"/>
    </row>
    <row r="10571">
      <c r="J10571" s="5"/>
      <c r="P10571" s="9"/>
      <c r="Q10571" s="5"/>
    </row>
    <row r="10572">
      <c r="J10572" s="5"/>
      <c r="P10572" s="9"/>
      <c r="Q10572" s="5"/>
    </row>
    <row r="10573">
      <c r="J10573" s="5"/>
      <c r="P10573" s="9"/>
      <c r="Q10573" s="5"/>
    </row>
    <row r="10574">
      <c r="J10574" s="5"/>
      <c r="P10574" s="9"/>
      <c r="Q10574" s="5"/>
    </row>
    <row r="10575">
      <c r="J10575" s="5"/>
      <c r="P10575" s="9"/>
      <c r="Q10575" s="5"/>
    </row>
    <row r="10576">
      <c r="J10576" s="5"/>
      <c r="P10576" s="9"/>
      <c r="Q10576" s="5"/>
    </row>
    <row r="10577">
      <c r="J10577" s="5"/>
      <c r="P10577" s="9"/>
      <c r="Q10577" s="5"/>
    </row>
    <row r="10578">
      <c r="J10578" s="5"/>
      <c r="P10578" s="9"/>
      <c r="Q10578" s="5"/>
    </row>
    <row r="10579">
      <c r="J10579" s="5"/>
      <c r="P10579" s="9"/>
      <c r="Q10579" s="5"/>
    </row>
    <row r="10580">
      <c r="J10580" s="5"/>
      <c r="P10580" s="9"/>
      <c r="Q10580" s="5"/>
    </row>
    <row r="10581">
      <c r="J10581" s="5"/>
      <c r="P10581" s="9"/>
      <c r="Q10581" s="5"/>
    </row>
    <row r="10582">
      <c r="J10582" s="5"/>
      <c r="P10582" s="9"/>
      <c r="Q10582" s="5"/>
    </row>
    <row r="10583">
      <c r="J10583" s="5"/>
      <c r="P10583" s="9"/>
      <c r="Q10583" s="5"/>
    </row>
    <row r="10584">
      <c r="J10584" s="5"/>
      <c r="P10584" s="9"/>
      <c r="Q10584" s="5"/>
    </row>
    <row r="10585">
      <c r="J10585" s="5"/>
      <c r="P10585" s="9"/>
      <c r="Q10585" s="5"/>
    </row>
    <row r="10586">
      <c r="J10586" s="5"/>
      <c r="P10586" s="9"/>
      <c r="Q10586" s="5"/>
    </row>
    <row r="10587">
      <c r="J10587" s="5"/>
      <c r="P10587" s="9"/>
      <c r="Q10587" s="5"/>
    </row>
    <row r="10588">
      <c r="J10588" s="5"/>
      <c r="P10588" s="9"/>
      <c r="Q10588" s="5"/>
    </row>
    <row r="10589">
      <c r="J10589" s="5"/>
      <c r="P10589" s="9"/>
      <c r="Q10589" s="5"/>
    </row>
    <row r="10590">
      <c r="J10590" s="5"/>
      <c r="P10590" s="9"/>
      <c r="Q10590" s="5"/>
    </row>
    <row r="10591">
      <c r="J10591" s="5"/>
      <c r="P10591" s="9"/>
      <c r="Q10591" s="5"/>
    </row>
    <row r="10592">
      <c r="J10592" s="5"/>
      <c r="P10592" s="9"/>
      <c r="Q10592" s="5"/>
    </row>
    <row r="10593">
      <c r="J10593" s="5"/>
      <c r="P10593" s="9"/>
      <c r="Q10593" s="5"/>
    </row>
    <row r="10594">
      <c r="J10594" s="5"/>
      <c r="P10594" s="9"/>
      <c r="Q10594" s="5"/>
    </row>
    <row r="10595">
      <c r="J10595" s="5"/>
      <c r="P10595" s="9"/>
      <c r="Q10595" s="5"/>
    </row>
    <row r="10596">
      <c r="J10596" s="5"/>
      <c r="P10596" s="9"/>
      <c r="Q10596" s="5"/>
    </row>
    <row r="10597">
      <c r="J10597" s="5"/>
      <c r="P10597" s="9"/>
      <c r="Q10597" s="5"/>
    </row>
    <row r="10598">
      <c r="J10598" s="5"/>
      <c r="P10598" s="9"/>
      <c r="Q10598" s="5"/>
    </row>
    <row r="10599">
      <c r="J10599" s="5"/>
      <c r="P10599" s="9"/>
      <c r="Q10599" s="5"/>
    </row>
    <row r="10600">
      <c r="J10600" s="5"/>
      <c r="P10600" s="9"/>
      <c r="Q10600" s="5"/>
    </row>
    <row r="10601">
      <c r="J10601" s="5"/>
      <c r="P10601" s="9"/>
      <c r="Q10601" s="5"/>
    </row>
    <row r="10602">
      <c r="J10602" s="5"/>
      <c r="P10602" s="9"/>
      <c r="Q10602" s="5"/>
    </row>
    <row r="10603">
      <c r="J10603" s="5"/>
      <c r="P10603" s="9"/>
      <c r="Q10603" s="5"/>
    </row>
    <row r="10604">
      <c r="J10604" s="5"/>
      <c r="P10604" s="9"/>
      <c r="Q10604" s="5"/>
    </row>
    <row r="10605">
      <c r="J10605" s="5"/>
      <c r="P10605" s="9"/>
      <c r="Q10605" s="5"/>
    </row>
    <row r="10606">
      <c r="J10606" s="5"/>
      <c r="P10606" s="9"/>
      <c r="Q10606" s="5"/>
    </row>
    <row r="10607">
      <c r="J10607" s="5"/>
      <c r="P10607" s="9"/>
      <c r="Q10607" s="5"/>
    </row>
    <row r="10608">
      <c r="J10608" s="5"/>
      <c r="P10608" s="9"/>
      <c r="Q10608" s="5"/>
    </row>
    <row r="10609">
      <c r="J10609" s="5"/>
      <c r="P10609" s="9"/>
      <c r="Q10609" s="5"/>
    </row>
    <row r="10610">
      <c r="J10610" s="5"/>
      <c r="P10610" s="9"/>
      <c r="Q10610" s="5"/>
    </row>
    <row r="10611">
      <c r="J10611" s="5"/>
      <c r="P10611" s="9"/>
      <c r="Q10611" s="5"/>
    </row>
    <row r="10612">
      <c r="J10612" s="5"/>
      <c r="P10612" s="9"/>
      <c r="Q10612" s="5"/>
    </row>
    <row r="10613">
      <c r="J10613" s="5"/>
      <c r="P10613" s="9"/>
      <c r="Q10613" s="5"/>
    </row>
    <row r="10614">
      <c r="J10614" s="5"/>
      <c r="P10614" s="9"/>
      <c r="Q10614" s="5"/>
    </row>
    <row r="10615">
      <c r="J10615" s="5"/>
      <c r="P10615" s="9"/>
      <c r="Q10615" s="5"/>
    </row>
    <row r="10616">
      <c r="J10616" s="5"/>
      <c r="P10616" s="9"/>
      <c r="Q10616" s="5"/>
    </row>
    <row r="10617">
      <c r="J10617" s="5"/>
      <c r="P10617" s="9"/>
      <c r="Q10617" s="5"/>
    </row>
    <row r="10618">
      <c r="J10618" s="5"/>
      <c r="P10618" s="9"/>
      <c r="Q10618" s="5"/>
    </row>
    <row r="10619">
      <c r="J10619" s="5"/>
      <c r="P10619" s="9"/>
      <c r="Q10619" s="5"/>
    </row>
    <row r="10620">
      <c r="J10620" s="5"/>
      <c r="P10620" s="9"/>
      <c r="Q10620" s="5"/>
    </row>
    <row r="10621">
      <c r="J10621" s="5"/>
      <c r="P10621" s="9"/>
      <c r="Q10621" s="5"/>
    </row>
    <row r="10622">
      <c r="J10622" s="5"/>
      <c r="P10622" s="9"/>
      <c r="Q10622" s="5"/>
    </row>
    <row r="10623">
      <c r="J10623" s="5"/>
      <c r="P10623" s="9"/>
      <c r="Q10623" s="5"/>
    </row>
    <row r="10624">
      <c r="J10624" s="5"/>
      <c r="P10624" s="9"/>
      <c r="Q10624" s="5"/>
    </row>
    <row r="10625">
      <c r="J10625" s="5"/>
      <c r="P10625" s="9"/>
      <c r="Q10625" s="5"/>
    </row>
    <row r="10626">
      <c r="J10626" s="5"/>
      <c r="P10626" s="9"/>
      <c r="Q10626" s="5"/>
    </row>
    <row r="10627">
      <c r="J10627" s="5"/>
      <c r="P10627" s="9"/>
      <c r="Q10627" s="5"/>
    </row>
    <row r="10628">
      <c r="J10628" s="5"/>
      <c r="P10628" s="9"/>
      <c r="Q10628" s="5"/>
    </row>
    <row r="10629">
      <c r="J10629" s="5"/>
      <c r="P10629" s="9"/>
      <c r="Q10629" s="5"/>
    </row>
    <row r="10630">
      <c r="J10630" s="5"/>
      <c r="P10630" s="9"/>
      <c r="Q10630" s="5"/>
    </row>
    <row r="10631">
      <c r="J10631" s="5"/>
      <c r="P10631" s="9"/>
      <c r="Q10631" s="5"/>
    </row>
    <row r="10632">
      <c r="J10632" s="5"/>
      <c r="P10632" s="9"/>
      <c r="Q10632" s="5"/>
    </row>
    <row r="10633">
      <c r="J10633" s="5"/>
      <c r="P10633" s="9"/>
      <c r="Q10633" s="5"/>
    </row>
    <row r="10634">
      <c r="J10634" s="5"/>
      <c r="P10634" s="9"/>
      <c r="Q10634" s="5"/>
    </row>
    <row r="10635">
      <c r="J10635" s="5"/>
      <c r="P10635" s="9"/>
      <c r="Q10635" s="5"/>
    </row>
    <row r="10636">
      <c r="J10636" s="5"/>
      <c r="P10636" s="9"/>
      <c r="Q10636" s="5"/>
    </row>
    <row r="10637">
      <c r="J10637" s="5"/>
      <c r="P10637" s="9"/>
      <c r="Q10637" s="5"/>
    </row>
    <row r="10638">
      <c r="J10638" s="5"/>
      <c r="P10638" s="9"/>
      <c r="Q10638" s="5"/>
    </row>
    <row r="10639">
      <c r="J10639" s="5"/>
      <c r="P10639" s="9"/>
      <c r="Q10639" s="5"/>
    </row>
    <row r="10640">
      <c r="J10640" s="5"/>
      <c r="P10640" s="9"/>
      <c r="Q10640" s="5"/>
    </row>
    <row r="10641">
      <c r="J10641" s="5"/>
      <c r="P10641" s="9"/>
      <c r="Q10641" s="5"/>
    </row>
    <row r="10642">
      <c r="J10642" s="5"/>
      <c r="P10642" s="9"/>
      <c r="Q10642" s="5"/>
    </row>
    <row r="10643">
      <c r="J10643" s="5"/>
      <c r="P10643" s="9"/>
      <c r="Q10643" s="5"/>
    </row>
    <row r="10644">
      <c r="J10644" s="5"/>
      <c r="P10644" s="9"/>
      <c r="Q10644" s="5"/>
    </row>
    <row r="10645">
      <c r="J10645" s="5"/>
      <c r="P10645" s="9"/>
      <c r="Q10645" s="5"/>
    </row>
    <row r="10646">
      <c r="J10646" s="5"/>
      <c r="P10646" s="9"/>
      <c r="Q10646" s="5"/>
    </row>
    <row r="10647">
      <c r="J10647" s="5"/>
      <c r="P10647" s="9"/>
      <c r="Q10647" s="5"/>
    </row>
    <row r="10648">
      <c r="J10648" s="5"/>
      <c r="P10648" s="9"/>
      <c r="Q10648" s="5"/>
    </row>
    <row r="10649">
      <c r="J10649" s="5"/>
      <c r="P10649" s="9"/>
      <c r="Q10649" s="5"/>
    </row>
    <row r="10650">
      <c r="J10650" s="5"/>
      <c r="P10650" s="9"/>
      <c r="Q10650" s="5"/>
    </row>
    <row r="10651">
      <c r="J10651" s="5"/>
      <c r="P10651" s="9"/>
      <c r="Q10651" s="5"/>
    </row>
    <row r="10652">
      <c r="J10652" s="5"/>
      <c r="P10652" s="9"/>
      <c r="Q10652" s="5"/>
    </row>
    <row r="10653">
      <c r="J10653" s="5"/>
      <c r="P10653" s="9"/>
      <c r="Q10653" s="5"/>
    </row>
    <row r="10654">
      <c r="J10654" s="5"/>
      <c r="P10654" s="9"/>
      <c r="Q10654" s="5"/>
    </row>
    <row r="10655">
      <c r="J10655" s="5"/>
      <c r="P10655" s="9"/>
      <c r="Q10655" s="5"/>
    </row>
    <row r="10656">
      <c r="J10656" s="5"/>
      <c r="P10656" s="9"/>
      <c r="Q10656" s="5"/>
    </row>
    <row r="10657">
      <c r="J10657" s="5"/>
      <c r="P10657" s="9"/>
      <c r="Q10657" s="5"/>
    </row>
    <row r="10658">
      <c r="J10658" s="5"/>
      <c r="P10658" s="9"/>
      <c r="Q10658" s="5"/>
    </row>
    <row r="10659">
      <c r="J10659" s="5"/>
      <c r="P10659" s="9"/>
      <c r="Q10659" s="5"/>
    </row>
    <row r="10660">
      <c r="J10660" s="5"/>
      <c r="P10660" s="9"/>
      <c r="Q10660" s="5"/>
    </row>
    <row r="10661">
      <c r="J10661" s="5"/>
      <c r="P10661" s="9"/>
      <c r="Q10661" s="5"/>
    </row>
    <row r="10662">
      <c r="J10662" s="5"/>
      <c r="P10662" s="9"/>
      <c r="Q10662" s="5"/>
    </row>
    <row r="10663">
      <c r="J10663" s="5"/>
      <c r="P10663" s="9"/>
      <c r="Q10663" s="5"/>
    </row>
    <row r="10664">
      <c r="J10664" s="5"/>
      <c r="P10664" s="9"/>
      <c r="Q10664" s="5"/>
    </row>
    <row r="10665">
      <c r="J10665" s="5"/>
      <c r="P10665" s="9"/>
      <c r="Q10665" s="5"/>
    </row>
    <row r="10666">
      <c r="J10666" s="5"/>
      <c r="P10666" s="9"/>
      <c r="Q10666" s="5"/>
    </row>
    <row r="10667">
      <c r="J10667" s="5"/>
      <c r="P10667" s="9"/>
      <c r="Q10667" s="5"/>
    </row>
    <row r="10668">
      <c r="J10668" s="5"/>
      <c r="P10668" s="9"/>
      <c r="Q10668" s="5"/>
    </row>
    <row r="10669">
      <c r="J10669" s="5"/>
      <c r="P10669" s="9"/>
      <c r="Q10669" s="5"/>
    </row>
    <row r="10670">
      <c r="J10670" s="5"/>
      <c r="P10670" s="9"/>
      <c r="Q10670" s="5"/>
    </row>
    <row r="10671">
      <c r="J10671" s="5"/>
      <c r="P10671" s="9"/>
      <c r="Q10671" s="5"/>
    </row>
    <row r="10672">
      <c r="J10672" s="5"/>
      <c r="P10672" s="9"/>
      <c r="Q10672" s="5"/>
    </row>
    <row r="10673">
      <c r="J10673" s="5"/>
      <c r="P10673" s="9"/>
      <c r="Q10673" s="5"/>
    </row>
    <row r="10674">
      <c r="J10674" s="5"/>
      <c r="P10674" s="9"/>
      <c r="Q10674" s="5"/>
    </row>
    <row r="10675">
      <c r="J10675" s="5"/>
      <c r="P10675" s="9"/>
      <c r="Q10675" s="5"/>
    </row>
    <row r="10676">
      <c r="J10676" s="5"/>
      <c r="P10676" s="9"/>
      <c r="Q10676" s="5"/>
    </row>
    <row r="10677">
      <c r="J10677" s="5"/>
      <c r="P10677" s="9"/>
      <c r="Q10677" s="5"/>
    </row>
    <row r="10678">
      <c r="J10678" s="5"/>
      <c r="P10678" s="9"/>
      <c r="Q10678" s="5"/>
    </row>
    <row r="10679">
      <c r="J10679" s="5"/>
      <c r="P10679" s="9"/>
      <c r="Q10679" s="5"/>
    </row>
    <row r="10680">
      <c r="J10680" s="5"/>
      <c r="P10680" s="9"/>
      <c r="Q10680" s="5"/>
    </row>
    <row r="10681">
      <c r="J10681" s="5"/>
      <c r="P10681" s="9"/>
      <c r="Q10681" s="5"/>
    </row>
    <row r="10682">
      <c r="J10682" s="5"/>
      <c r="P10682" s="9"/>
      <c r="Q10682" s="5"/>
    </row>
    <row r="10683">
      <c r="J10683" s="5"/>
      <c r="P10683" s="9"/>
      <c r="Q10683" s="5"/>
    </row>
    <row r="10684">
      <c r="J10684" s="5"/>
      <c r="P10684" s="9"/>
      <c r="Q10684" s="5"/>
    </row>
    <row r="10685">
      <c r="J10685" s="5"/>
      <c r="P10685" s="9"/>
      <c r="Q10685" s="5"/>
    </row>
    <row r="10686">
      <c r="J10686" s="5"/>
      <c r="P10686" s="9"/>
      <c r="Q10686" s="5"/>
    </row>
    <row r="10687">
      <c r="J10687" s="5"/>
      <c r="P10687" s="9"/>
      <c r="Q10687" s="5"/>
    </row>
    <row r="10688">
      <c r="J10688" s="5"/>
      <c r="P10688" s="9"/>
      <c r="Q10688" s="5"/>
    </row>
    <row r="10689">
      <c r="J10689" s="5"/>
      <c r="P10689" s="9"/>
      <c r="Q10689" s="5"/>
    </row>
    <row r="10690">
      <c r="J10690" s="5"/>
      <c r="P10690" s="9"/>
      <c r="Q10690" s="5"/>
    </row>
    <row r="10691">
      <c r="J10691" s="5"/>
      <c r="P10691" s="9"/>
      <c r="Q10691" s="5"/>
    </row>
    <row r="10692">
      <c r="J10692" s="5"/>
      <c r="P10692" s="9"/>
      <c r="Q10692" s="5"/>
    </row>
    <row r="10693">
      <c r="J10693" s="5"/>
      <c r="P10693" s="9"/>
      <c r="Q10693" s="5"/>
    </row>
    <row r="10694">
      <c r="J10694" s="5"/>
      <c r="P10694" s="9"/>
      <c r="Q10694" s="5"/>
    </row>
    <row r="10695">
      <c r="J10695" s="5"/>
      <c r="P10695" s="9"/>
      <c r="Q10695" s="5"/>
    </row>
    <row r="10696">
      <c r="J10696" s="5"/>
      <c r="P10696" s="9"/>
      <c r="Q10696" s="5"/>
    </row>
    <row r="10697">
      <c r="J10697" s="5"/>
      <c r="P10697" s="9"/>
      <c r="Q10697" s="5"/>
    </row>
    <row r="10698">
      <c r="J10698" s="5"/>
      <c r="P10698" s="9"/>
      <c r="Q10698" s="5"/>
    </row>
    <row r="10699">
      <c r="J10699" s="5"/>
      <c r="P10699" s="9"/>
      <c r="Q10699" s="5"/>
    </row>
    <row r="10700">
      <c r="J10700" s="5"/>
      <c r="P10700" s="9"/>
      <c r="Q10700" s="5"/>
    </row>
    <row r="10701">
      <c r="J10701" s="5"/>
      <c r="P10701" s="9"/>
      <c r="Q10701" s="5"/>
    </row>
    <row r="10702">
      <c r="J10702" s="5"/>
      <c r="P10702" s="9"/>
      <c r="Q10702" s="5"/>
    </row>
    <row r="10703">
      <c r="J10703" s="5"/>
      <c r="P10703" s="9"/>
      <c r="Q10703" s="5"/>
    </row>
    <row r="10704">
      <c r="J10704" s="5"/>
      <c r="P10704" s="9"/>
      <c r="Q10704" s="5"/>
    </row>
    <row r="10705">
      <c r="J10705" s="5"/>
      <c r="P10705" s="9"/>
      <c r="Q10705" s="5"/>
    </row>
    <row r="10706">
      <c r="J10706" s="5"/>
      <c r="P10706" s="9"/>
      <c r="Q10706" s="5"/>
    </row>
    <row r="10707">
      <c r="J10707" s="5"/>
      <c r="P10707" s="9"/>
      <c r="Q10707" s="5"/>
    </row>
    <row r="10708">
      <c r="J10708" s="5"/>
      <c r="P10708" s="9"/>
      <c r="Q10708" s="5"/>
    </row>
    <row r="10709">
      <c r="J10709" s="5"/>
      <c r="P10709" s="9"/>
      <c r="Q10709" s="5"/>
    </row>
    <row r="10710">
      <c r="J10710" s="5"/>
      <c r="P10710" s="9"/>
      <c r="Q10710" s="5"/>
    </row>
    <row r="10711">
      <c r="J10711" s="5"/>
      <c r="P10711" s="9"/>
      <c r="Q10711" s="5"/>
    </row>
    <row r="10712">
      <c r="J10712" s="5"/>
      <c r="P10712" s="9"/>
      <c r="Q10712" s="5"/>
    </row>
    <row r="10713">
      <c r="J10713" s="5"/>
      <c r="P10713" s="9"/>
      <c r="Q10713" s="5"/>
    </row>
    <row r="10714">
      <c r="J10714" s="5"/>
      <c r="P10714" s="9"/>
      <c r="Q10714" s="5"/>
    </row>
    <row r="10715">
      <c r="J10715" s="5"/>
      <c r="P10715" s="9"/>
      <c r="Q10715" s="5"/>
    </row>
    <row r="10716">
      <c r="J10716" s="5"/>
      <c r="P10716" s="9"/>
      <c r="Q10716" s="5"/>
    </row>
    <row r="10717">
      <c r="J10717" s="5"/>
      <c r="P10717" s="9"/>
      <c r="Q10717" s="5"/>
    </row>
    <row r="10718">
      <c r="J10718" s="5"/>
      <c r="P10718" s="9"/>
      <c r="Q10718" s="5"/>
    </row>
    <row r="10719">
      <c r="J10719" s="5"/>
      <c r="P10719" s="9"/>
      <c r="Q10719" s="5"/>
    </row>
    <row r="10720">
      <c r="J10720" s="5"/>
      <c r="P10720" s="9"/>
      <c r="Q10720" s="5"/>
    </row>
    <row r="10721">
      <c r="J10721" s="5"/>
      <c r="P10721" s="9"/>
      <c r="Q10721" s="5"/>
    </row>
    <row r="10722">
      <c r="J10722" s="5"/>
      <c r="P10722" s="9"/>
      <c r="Q10722" s="5"/>
    </row>
    <row r="10723">
      <c r="J10723" s="5"/>
      <c r="P10723" s="9"/>
      <c r="Q10723" s="5"/>
    </row>
    <row r="10724">
      <c r="J10724" s="5"/>
      <c r="P10724" s="9"/>
      <c r="Q10724" s="5"/>
    </row>
    <row r="10725">
      <c r="J10725" s="5"/>
      <c r="P10725" s="9"/>
      <c r="Q10725" s="5"/>
    </row>
    <row r="10726">
      <c r="J10726" s="5"/>
      <c r="P10726" s="9"/>
      <c r="Q10726" s="5"/>
    </row>
    <row r="10727">
      <c r="J10727" s="5"/>
      <c r="P10727" s="9"/>
      <c r="Q10727" s="5"/>
    </row>
    <row r="10728">
      <c r="J10728" s="5"/>
      <c r="P10728" s="9"/>
      <c r="Q10728" s="5"/>
    </row>
    <row r="10729">
      <c r="J10729" s="5"/>
      <c r="P10729" s="9"/>
      <c r="Q10729" s="5"/>
    </row>
    <row r="10730">
      <c r="J10730" s="5"/>
      <c r="P10730" s="9"/>
      <c r="Q10730" s="5"/>
    </row>
    <row r="10731">
      <c r="J10731" s="5"/>
      <c r="P10731" s="9"/>
      <c r="Q10731" s="5"/>
    </row>
    <row r="10732">
      <c r="J10732" s="5"/>
      <c r="P10732" s="9"/>
      <c r="Q10732" s="5"/>
    </row>
    <row r="10733">
      <c r="J10733" s="5"/>
      <c r="P10733" s="9"/>
      <c r="Q10733" s="5"/>
    </row>
    <row r="10734">
      <c r="J10734" s="5"/>
      <c r="P10734" s="9"/>
      <c r="Q10734" s="5"/>
    </row>
    <row r="10735">
      <c r="J10735" s="5"/>
      <c r="P10735" s="9"/>
      <c r="Q10735" s="5"/>
    </row>
    <row r="10736">
      <c r="J10736" s="5"/>
      <c r="P10736" s="9"/>
      <c r="Q10736" s="5"/>
    </row>
    <row r="10737">
      <c r="J10737" s="5"/>
      <c r="P10737" s="9"/>
      <c r="Q10737" s="5"/>
    </row>
    <row r="10738">
      <c r="J10738" s="5"/>
      <c r="P10738" s="9"/>
      <c r="Q10738" s="5"/>
    </row>
    <row r="10739">
      <c r="J10739" s="5"/>
      <c r="P10739" s="9"/>
      <c r="Q10739" s="5"/>
    </row>
    <row r="10740">
      <c r="J10740" s="5"/>
      <c r="P10740" s="9"/>
      <c r="Q10740" s="5"/>
    </row>
    <row r="10741">
      <c r="J10741" s="5"/>
      <c r="P10741" s="9"/>
      <c r="Q10741" s="5"/>
    </row>
    <row r="10742">
      <c r="J10742" s="5"/>
      <c r="P10742" s="9"/>
      <c r="Q10742" s="5"/>
    </row>
    <row r="10743">
      <c r="J10743" s="5"/>
      <c r="P10743" s="9"/>
      <c r="Q10743" s="5"/>
    </row>
    <row r="10744">
      <c r="J10744" s="5"/>
      <c r="P10744" s="9"/>
      <c r="Q10744" s="5"/>
    </row>
    <row r="10745">
      <c r="J10745" s="5"/>
      <c r="P10745" s="9"/>
      <c r="Q10745" s="5"/>
    </row>
    <row r="10746">
      <c r="J10746" s="5"/>
      <c r="P10746" s="9"/>
      <c r="Q10746" s="5"/>
    </row>
    <row r="10747">
      <c r="J10747" s="5"/>
      <c r="P10747" s="9"/>
      <c r="Q10747" s="5"/>
    </row>
    <row r="10748">
      <c r="J10748" s="5"/>
      <c r="P10748" s="9"/>
      <c r="Q10748" s="5"/>
    </row>
    <row r="10749">
      <c r="J10749" s="5"/>
      <c r="P10749" s="9"/>
      <c r="Q10749" s="5"/>
    </row>
    <row r="10750">
      <c r="J10750" s="5"/>
      <c r="P10750" s="9"/>
      <c r="Q10750" s="5"/>
    </row>
    <row r="10751">
      <c r="J10751" s="5"/>
      <c r="P10751" s="9"/>
      <c r="Q10751" s="5"/>
    </row>
    <row r="10752">
      <c r="J10752" s="5"/>
      <c r="P10752" s="9"/>
      <c r="Q10752" s="5"/>
    </row>
    <row r="10753">
      <c r="J10753" s="5"/>
      <c r="P10753" s="9"/>
      <c r="Q10753" s="5"/>
    </row>
    <row r="10754">
      <c r="J10754" s="5"/>
      <c r="P10754" s="9"/>
      <c r="Q10754" s="5"/>
    </row>
    <row r="10755">
      <c r="J10755" s="5"/>
      <c r="P10755" s="9"/>
      <c r="Q10755" s="5"/>
    </row>
    <row r="10756">
      <c r="J10756" s="5"/>
      <c r="P10756" s="9"/>
      <c r="Q10756" s="5"/>
    </row>
    <row r="10757">
      <c r="J10757" s="5"/>
      <c r="P10757" s="9"/>
      <c r="Q10757" s="5"/>
    </row>
    <row r="10758">
      <c r="J10758" s="5"/>
      <c r="P10758" s="9"/>
      <c r="Q10758" s="5"/>
    </row>
    <row r="10759">
      <c r="J10759" s="5"/>
      <c r="P10759" s="9"/>
      <c r="Q10759" s="5"/>
    </row>
    <row r="10760">
      <c r="J10760" s="5"/>
      <c r="P10760" s="9"/>
      <c r="Q10760" s="5"/>
    </row>
    <row r="10761">
      <c r="J10761" s="5"/>
      <c r="P10761" s="9"/>
      <c r="Q10761" s="5"/>
    </row>
    <row r="10762">
      <c r="J10762" s="5"/>
      <c r="P10762" s="9"/>
      <c r="Q10762" s="5"/>
    </row>
    <row r="10763">
      <c r="J10763" s="5"/>
      <c r="P10763" s="9"/>
      <c r="Q10763" s="5"/>
    </row>
    <row r="10764">
      <c r="J10764" s="5"/>
      <c r="P10764" s="9"/>
      <c r="Q10764" s="5"/>
    </row>
    <row r="10765">
      <c r="J10765" s="5"/>
      <c r="P10765" s="9"/>
      <c r="Q10765" s="5"/>
    </row>
    <row r="10766">
      <c r="J10766" s="5"/>
      <c r="P10766" s="9"/>
      <c r="Q10766" s="5"/>
    </row>
    <row r="10767">
      <c r="J10767" s="5"/>
      <c r="P10767" s="9"/>
      <c r="Q10767" s="5"/>
    </row>
    <row r="10768">
      <c r="J10768" s="5"/>
      <c r="P10768" s="9"/>
      <c r="Q10768" s="5"/>
    </row>
    <row r="10769">
      <c r="J10769" s="5"/>
      <c r="P10769" s="9"/>
      <c r="Q10769" s="5"/>
    </row>
    <row r="10770">
      <c r="J10770" s="5"/>
      <c r="P10770" s="9"/>
      <c r="Q10770" s="5"/>
    </row>
    <row r="10771">
      <c r="J10771" s="5"/>
      <c r="P10771" s="9"/>
      <c r="Q10771" s="5"/>
    </row>
    <row r="10772">
      <c r="J10772" s="5"/>
      <c r="P10772" s="9"/>
      <c r="Q10772" s="5"/>
    </row>
    <row r="10773">
      <c r="J10773" s="5"/>
      <c r="P10773" s="9"/>
      <c r="Q10773" s="5"/>
    </row>
    <row r="10774">
      <c r="J10774" s="5"/>
      <c r="P10774" s="9"/>
      <c r="Q10774" s="5"/>
    </row>
    <row r="10775">
      <c r="J10775" s="5"/>
      <c r="P10775" s="9"/>
      <c r="Q10775" s="5"/>
    </row>
    <row r="10776">
      <c r="J10776" s="5"/>
      <c r="P10776" s="9"/>
      <c r="Q10776" s="5"/>
    </row>
    <row r="10777">
      <c r="J10777" s="5"/>
      <c r="P10777" s="9"/>
      <c r="Q10777" s="5"/>
    </row>
    <row r="10778">
      <c r="J10778" s="5"/>
      <c r="P10778" s="9"/>
      <c r="Q10778" s="5"/>
    </row>
    <row r="10779">
      <c r="J10779" s="5"/>
      <c r="P10779" s="9"/>
      <c r="Q10779" s="5"/>
    </row>
    <row r="10780">
      <c r="J10780" s="5"/>
      <c r="P10780" s="9"/>
      <c r="Q10780" s="5"/>
    </row>
    <row r="10781">
      <c r="J10781" s="5"/>
      <c r="P10781" s="9"/>
      <c r="Q10781" s="5"/>
    </row>
    <row r="10782">
      <c r="J10782" s="5"/>
      <c r="P10782" s="9"/>
      <c r="Q10782" s="5"/>
    </row>
    <row r="10783">
      <c r="J10783" s="5"/>
      <c r="P10783" s="9"/>
      <c r="Q10783" s="5"/>
    </row>
    <row r="10784">
      <c r="J10784" s="5"/>
      <c r="P10784" s="9"/>
      <c r="Q10784" s="5"/>
    </row>
    <row r="10785">
      <c r="J10785" s="5"/>
      <c r="P10785" s="9"/>
      <c r="Q10785" s="5"/>
    </row>
    <row r="10786">
      <c r="J10786" s="5"/>
      <c r="P10786" s="9"/>
      <c r="Q10786" s="5"/>
    </row>
    <row r="10787">
      <c r="J10787" s="5"/>
      <c r="P10787" s="9"/>
      <c r="Q10787" s="5"/>
    </row>
    <row r="10788">
      <c r="J10788" s="5"/>
      <c r="P10788" s="9"/>
      <c r="Q10788" s="5"/>
    </row>
    <row r="10789">
      <c r="J10789" s="5"/>
      <c r="P10789" s="9"/>
      <c r="Q10789" s="5"/>
    </row>
    <row r="10790">
      <c r="J10790" s="5"/>
      <c r="P10790" s="9"/>
      <c r="Q10790" s="5"/>
    </row>
    <row r="10791">
      <c r="J10791" s="5"/>
      <c r="P10791" s="9"/>
      <c r="Q10791" s="5"/>
    </row>
    <row r="10792">
      <c r="J10792" s="5"/>
      <c r="P10792" s="9"/>
      <c r="Q10792" s="5"/>
    </row>
    <row r="10793">
      <c r="J10793" s="5"/>
      <c r="P10793" s="9"/>
      <c r="Q10793" s="5"/>
    </row>
    <row r="10794">
      <c r="J10794" s="5"/>
      <c r="P10794" s="9"/>
      <c r="Q10794" s="5"/>
    </row>
    <row r="10795">
      <c r="J10795" s="5"/>
      <c r="P10795" s="9"/>
      <c r="Q10795" s="5"/>
    </row>
    <row r="10796">
      <c r="J10796" s="5"/>
      <c r="P10796" s="9"/>
      <c r="Q10796" s="5"/>
    </row>
    <row r="10797">
      <c r="J10797" s="5"/>
      <c r="P10797" s="9"/>
      <c r="Q10797" s="5"/>
    </row>
    <row r="10798">
      <c r="J10798" s="5"/>
      <c r="P10798" s="9"/>
      <c r="Q10798" s="5"/>
    </row>
    <row r="10799">
      <c r="J10799" s="5"/>
      <c r="P10799" s="9"/>
      <c r="Q10799" s="5"/>
    </row>
    <row r="10800">
      <c r="J10800" s="5"/>
      <c r="P10800" s="9"/>
      <c r="Q10800" s="5"/>
    </row>
    <row r="10801">
      <c r="J10801" s="5"/>
      <c r="P10801" s="9"/>
      <c r="Q10801" s="5"/>
    </row>
    <row r="10802">
      <c r="J10802" s="5"/>
      <c r="P10802" s="9"/>
      <c r="Q10802" s="5"/>
    </row>
    <row r="10803">
      <c r="J10803" s="5"/>
      <c r="P10803" s="9"/>
      <c r="Q10803" s="5"/>
    </row>
    <row r="10804">
      <c r="J10804" s="5"/>
      <c r="P10804" s="9"/>
      <c r="Q10804" s="5"/>
    </row>
    <row r="10805">
      <c r="J10805" s="5"/>
      <c r="P10805" s="9"/>
      <c r="Q10805" s="5"/>
    </row>
    <row r="10806">
      <c r="J10806" s="5"/>
      <c r="P10806" s="9"/>
      <c r="Q10806" s="5"/>
    </row>
    <row r="10807">
      <c r="J10807" s="5"/>
      <c r="P10807" s="9"/>
      <c r="Q10807" s="5"/>
    </row>
    <row r="10808">
      <c r="J10808" s="5"/>
      <c r="P10808" s="9"/>
      <c r="Q10808" s="5"/>
    </row>
    <row r="10809">
      <c r="J10809" s="5"/>
      <c r="P10809" s="9"/>
      <c r="Q10809" s="5"/>
    </row>
    <row r="10810">
      <c r="J10810" s="5"/>
      <c r="P10810" s="9"/>
      <c r="Q10810" s="5"/>
    </row>
    <row r="10811">
      <c r="J10811" s="5"/>
      <c r="P10811" s="9"/>
      <c r="Q10811" s="5"/>
    </row>
    <row r="10812">
      <c r="J10812" s="5"/>
      <c r="P10812" s="9"/>
      <c r="Q10812" s="5"/>
    </row>
    <row r="10813">
      <c r="J10813" s="5"/>
      <c r="P10813" s="9"/>
      <c r="Q10813" s="5"/>
    </row>
    <row r="10814">
      <c r="J10814" s="5"/>
      <c r="P10814" s="9"/>
      <c r="Q10814" s="5"/>
    </row>
    <row r="10815">
      <c r="J10815" s="5"/>
      <c r="P10815" s="9"/>
      <c r="Q10815" s="5"/>
    </row>
    <row r="10816">
      <c r="J10816" s="5"/>
      <c r="P10816" s="9"/>
      <c r="Q10816" s="5"/>
    </row>
    <row r="10817">
      <c r="J10817" s="5"/>
      <c r="P10817" s="9"/>
      <c r="Q10817" s="5"/>
    </row>
    <row r="10818">
      <c r="J10818" s="5"/>
      <c r="P10818" s="9"/>
      <c r="Q10818" s="5"/>
    </row>
    <row r="10819">
      <c r="J10819" s="5"/>
      <c r="P10819" s="9"/>
      <c r="Q10819" s="5"/>
    </row>
    <row r="10820">
      <c r="J10820" s="5"/>
      <c r="P10820" s="9"/>
      <c r="Q10820" s="5"/>
    </row>
    <row r="10821">
      <c r="J10821" s="5"/>
      <c r="P10821" s="9"/>
      <c r="Q10821" s="5"/>
    </row>
    <row r="10822">
      <c r="J10822" s="5"/>
      <c r="P10822" s="9"/>
      <c r="Q10822" s="5"/>
    </row>
    <row r="10823">
      <c r="J10823" s="5"/>
      <c r="P10823" s="9"/>
      <c r="Q10823" s="5"/>
    </row>
    <row r="10824">
      <c r="J10824" s="5"/>
      <c r="P10824" s="9"/>
      <c r="Q10824" s="5"/>
    </row>
    <row r="10825">
      <c r="J10825" s="5"/>
      <c r="P10825" s="9"/>
      <c r="Q10825" s="5"/>
    </row>
    <row r="10826">
      <c r="J10826" s="5"/>
      <c r="P10826" s="9"/>
      <c r="Q10826" s="5"/>
    </row>
    <row r="10827">
      <c r="J10827" s="5"/>
      <c r="P10827" s="9"/>
      <c r="Q10827" s="5"/>
    </row>
    <row r="10828">
      <c r="J10828" s="5"/>
      <c r="P10828" s="9"/>
      <c r="Q10828" s="5"/>
    </row>
    <row r="10829">
      <c r="J10829" s="5"/>
      <c r="P10829" s="9"/>
      <c r="Q10829" s="5"/>
    </row>
    <row r="10830">
      <c r="J10830" s="5"/>
      <c r="P10830" s="9"/>
      <c r="Q10830" s="5"/>
    </row>
    <row r="10831">
      <c r="J10831" s="5"/>
      <c r="P10831" s="9"/>
      <c r="Q10831" s="5"/>
    </row>
    <row r="10832">
      <c r="J10832" s="5"/>
      <c r="P10832" s="9"/>
      <c r="Q10832" s="5"/>
    </row>
    <row r="10833">
      <c r="J10833" s="5"/>
      <c r="P10833" s="9"/>
      <c r="Q10833" s="5"/>
    </row>
    <row r="10834">
      <c r="J10834" s="5"/>
      <c r="P10834" s="9"/>
      <c r="Q10834" s="5"/>
    </row>
    <row r="10835">
      <c r="J10835" s="5"/>
      <c r="P10835" s="9"/>
      <c r="Q10835" s="5"/>
    </row>
    <row r="10836">
      <c r="J10836" s="5"/>
      <c r="P10836" s="9"/>
      <c r="Q10836" s="5"/>
    </row>
    <row r="10837">
      <c r="J10837" s="5"/>
      <c r="P10837" s="9"/>
      <c r="Q10837" s="5"/>
    </row>
    <row r="10838">
      <c r="J10838" s="5"/>
      <c r="P10838" s="9"/>
      <c r="Q10838" s="5"/>
    </row>
    <row r="10839">
      <c r="J10839" s="5"/>
      <c r="P10839" s="9"/>
      <c r="Q10839" s="5"/>
    </row>
    <row r="10840">
      <c r="J10840" s="5"/>
      <c r="P10840" s="9"/>
      <c r="Q10840" s="5"/>
    </row>
    <row r="10841">
      <c r="J10841" s="5"/>
      <c r="P10841" s="9"/>
      <c r="Q10841" s="5"/>
    </row>
    <row r="10842">
      <c r="J10842" s="5"/>
      <c r="P10842" s="9"/>
      <c r="Q10842" s="5"/>
    </row>
    <row r="10843">
      <c r="J10843" s="5"/>
      <c r="P10843" s="9"/>
      <c r="Q10843" s="5"/>
    </row>
    <row r="10844">
      <c r="J10844" s="5"/>
      <c r="P10844" s="9"/>
      <c r="Q10844" s="5"/>
    </row>
    <row r="10845">
      <c r="J10845" s="5"/>
      <c r="P10845" s="9"/>
      <c r="Q10845" s="5"/>
    </row>
    <row r="10846">
      <c r="J10846" s="5"/>
      <c r="P10846" s="9"/>
      <c r="Q10846" s="5"/>
    </row>
    <row r="10847">
      <c r="J10847" s="5"/>
      <c r="P10847" s="9"/>
      <c r="Q10847" s="5"/>
    </row>
    <row r="10848">
      <c r="J10848" s="5"/>
      <c r="P10848" s="9"/>
      <c r="Q10848" s="5"/>
    </row>
    <row r="10849">
      <c r="J10849" s="5"/>
      <c r="P10849" s="9"/>
      <c r="Q10849" s="5"/>
    </row>
    <row r="10850">
      <c r="J10850" s="5"/>
      <c r="P10850" s="9"/>
      <c r="Q10850" s="5"/>
    </row>
    <row r="10851">
      <c r="J10851" s="5"/>
      <c r="P10851" s="9"/>
      <c r="Q10851" s="5"/>
    </row>
    <row r="10852">
      <c r="J10852" s="5"/>
      <c r="P10852" s="9"/>
      <c r="Q10852" s="5"/>
    </row>
    <row r="10853">
      <c r="J10853" s="5"/>
      <c r="P10853" s="9"/>
      <c r="Q10853" s="5"/>
    </row>
    <row r="10854">
      <c r="J10854" s="5"/>
      <c r="P10854" s="9"/>
      <c r="Q10854" s="5"/>
    </row>
    <row r="10855">
      <c r="J10855" s="5"/>
      <c r="P10855" s="9"/>
      <c r="Q10855" s="5"/>
    </row>
    <row r="10856">
      <c r="J10856" s="5"/>
      <c r="P10856" s="9"/>
      <c r="Q10856" s="5"/>
    </row>
    <row r="10857">
      <c r="J10857" s="5"/>
      <c r="P10857" s="9"/>
      <c r="Q10857" s="5"/>
    </row>
    <row r="10858">
      <c r="J10858" s="5"/>
      <c r="P10858" s="9"/>
      <c r="Q10858" s="5"/>
    </row>
    <row r="10859">
      <c r="J10859" s="5"/>
      <c r="P10859" s="9"/>
      <c r="Q10859" s="5"/>
    </row>
    <row r="10860">
      <c r="J10860" s="5"/>
      <c r="P10860" s="9"/>
      <c r="Q10860" s="5"/>
    </row>
    <row r="10861">
      <c r="J10861" s="5"/>
      <c r="P10861" s="9"/>
      <c r="Q10861" s="5"/>
    </row>
    <row r="10862">
      <c r="J10862" s="5"/>
      <c r="P10862" s="9"/>
      <c r="Q10862" s="5"/>
    </row>
    <row r="10863">
      <c r="J10863" s="5"/>
      <c r="P10863" s="9"/>
      <c r="Q10863" s="5"/>
    </row>
    <row r="10864">
      <c r="J10864" s="5"/>
      <c r="P10864" s="9"/>
      <c r="Q10864" s="5"/>
    </row>
    <row r="10865">
      <c r="J10865" s="5"/>
      <c r="P10865" s="9"/>
      <c r="Q10865" s="5"/>
    </row>
    <row r="10866">
      <c r="J10866" s="5"/>
      <c r="P10866" s="9"/>
      <c r="Q10866" s="5"/>
    </row>
    <row r="10867">
      <c r="J10867" s="5"/>
      <c r="P10867" s="9"/>
      <c r="Q10867" s="5"/>
    </row>
    <row r="10868">
      <c r="J10868" s="5"/>
      <c r="P10868" s="9"/>
      <c r="Q10868" s="5"/>
    </row>
    <row r="10869">
      <c r="J10869" s="5"/>
      <c r="P10869" s="9"/>
      <c r="Q10869" s="5"/>
    </row>
    <row r="10870">
      <c r="J10870" s="5"/>
      <c r="P10870" s="9"/>
      <c r="Q10870" s="5"/>
    </row>
    <row r="10871">
      <c r="J10871" s="5"/>
      <c r="P10871" s="9"/>
      <c r="Q10871" s="5"/>
    </row>
    <row r="10872">
      <c r="J10872" s="5"/>
      <c r="P10872" s="9"/>
      <c r="Q10872" s="5"/>
    </row>
    <row r="10873">
      <c r="J10873" s="5"/>
      <c r="P10873" s="9"/>
      <c r="Q10873" s="5"/>
    </row>
    <row r="10874">
      <c r="J10874" s="5"/>
      <c r="P10874" s="9"/>
      <c r="Q10874" s="5"/>
    </row>
    <row r="10875">
      <c r="J10875" s="5"/>
      <c r="P10875" s="9"/>
      <c r="Q10875" s="5"/>
    </row>
    <row r="10876">
      <c r="J10876" s="5"/>
      <c r="P10876" s="9"/>
      <c r="Q10876" s="5"/>
    </row>
    <row r="10877">
      <c r="J10877" s="5"/>
      <c r="P10877" s="9"/>
      <c r="Q10877" s="5"/>
    </row>
    <row r="10878">
      <c r="J10878" s="5"/>
      <c r="P10878" s="9"/>
      <c r="Q10878" s="5"/>
    </row>
    <row r="10879">
      <c r="J10879" s="5"/>
      <c r="P10879" s="9"/>
      <c r="Q10879" s="5"/>
    </row>
    <row r="10880">
      <c r="J10880" s="5"/>
      <c r="P10880" s="9"/>
      <c r="Q10880" s="5"/>
    </row>
    <row r="10881">
      <c r="J10881" s="5"/>
      <c r="P10881" s="9"/>
      <c r="Q10881" s="5"/>
    </row>
    <row r="10882">
      <c r="J10882" s="5"/>
      <c r="P10882" s="9"/>
      <c r="Q10882" s="5"/>
    </row>
    <row r="10883">
      <c r="J10883" s="5"/>
      <c r="P10883" s="9"/>
      <c r="Q10883" s="5"/>
    </row>
    <row r="10884">
      <c r="J10884" s="5"/>
      <c r="P10884" s="9"/>
      <c r="Q10884" s="5"/>
    </row>
    <row r="10885">
      <c r="J10885" s="5"/>
      <c r="P10885" s="9"/>
      <c r="Q10885" s="5"/>
    </row>
    <row r="10886">
      <c r="J10886" s="5"/>
      <c r="P10886" s="9"/>
      <c r="Q10886" s="5"/>
    </row>
    <row r="10887">
      <c r="J10887" s="5"/>
      <c r="P10887" s="9"/>
      <c r="Q10887" s="5"/>
    </row>
    <row r="10888">
      <c r="J10888" s="5"/>
      <c r="P10888" s="9"/>
      <c r="Q10888" s="5"/>
    </row>
    <row r="10889">
      <c r="J10889" s="5"/>
      <c r="P10889" s="9"/>
      <c r="Q10889" s="5"/>
    </row>
    <row r="10890">
      <c r="J10890" s="5"/>
      <c r="P10890" s="9"/>
      <c r="Q10890" s="5"/>
    </row>
    <row r="10891">
      <c r="J10891" s="5"/>
      <c r="P10891" s="9"/>
      <c r="Q10891" s="5"/>
    </row>
    <row r="10892">
      <c r="J10892" s="5"/>
      <c r="P10892" s="9"/>
      <c r="Q10892" s="5"/>
    </row>
    <row r="10893">
      <c r="J10893" s="5"/>
      <c r="P10893" s="9"/>
      <c r="Q10893" s="5"/>
    </row>
    <row r="10894">
      <c r="J10894" s="5"/>
      <c r="P10894" s="9"/>
      <c r="Q10894" s="5"/>
    </row>
    <row r="10895">
      <c r="J10895" s="5"/>
      <c r="P10895" s="9"/>
      <c r="Q10895" s="5"/>
    </row>
    <row r="10896">
      <c r="J10896" s="5"/>
      <c r="P10896" s="9"/>
      <c r="Q10896" s="5"/>
    </row>
    <row r="10897">
      <c r="J10897" s="5"/>
      <c r="P10897" s="9"/>
      <c r="Q10897" s="5"/>
    </row>
    <row r="10898">
      <c r="J10898" s="5"/>
      <c r="P10898" s="9"/>
      <c r="Q10898" s="5"/>
    </row>
    <row r="10899">
      <c r="J10899" s="5"/>
      <c r="P10899" s="9"/>
      <c r="Q10899" s="5"/>
    </row>
    <row r="10900">
      <c r="J10900" s="5"/>
      <c r="P10900" s="9"/>
      <c r="Q10900" s="5"/>
    </row>
    <row r="10901">
      <c r="J10901" s="5"/>
      <c r="P10901" s="9"/>
      <c r="Q10901" s="5"/>
    </row>
    <row r="10902">
      <c r="J10902" s="5"/>
      <c r="P10902" s="9"/>
      <c r="Q10902" s="5"/>
    </row>
    <row r="10903">
      <c r="J10903" s="5"/>
      <c r="P10903" s="9"/>
      <c r="Q10903" s="5"/>
    </row>
    <row r="10904">
      <c r="J10904" s="5"/>
      <c r="P10904" s="9"/>
      <c r="Q10904" s="5"/>
    </row>
    <row r="10905">
      <c r="J10905" s="5"/>
      <c r="P10905" s="9"/>
      <c r="Q10905" s="5"/>
    </row>
    <row r="10906">
      <c r="J10906" s="5"/>
      <c r="P10906" s="9"/>
      <c r="Q10906" s="5"/>
    </row>
    <row r="10907">
      <c r="J10907" s="5"/>
      <c r="P10907" s="9"/>
      <c r="Q10907" s="5"/>
    </row>
    <row r="10908">
      <c r="J10908" s="5"/>
      <c r="P10908" s="9"/>
      <c r="Q10908" s="5"/>
    </row>
    <row r="10909">
      <c r="J10909" s="5"/>
      <c r="P10909" s="9"/>
      <c r="Q10909" s="5"/>
    </row>
    <row r="10910">
      <c r="J10910" s="5"/>
      <c r="P10910" s="9"/>
      <c r="Q10910" s="5"/>
    </row>
    <row r="10911">
      <c r="J10911" s="5"/>
      <c r="P10911" s="9"/>
      <c r="Q10911" s="5"/>
    </row>
    <row r="10912">
      <c r="J10912" s="5"/>
      <c r="P10912" s="9"/>
      <c r="Q10912" s="5"/>
    </row>
    <row r="10913">
      <c r="J10913" s="5"/>
      <c r="P10913" s="9"/>
      <c r="Q10913" s="5"/>
    </row>
    <row r="10914">
      <c r="J10914" s="5"/>
      <c r="P10914" s="9"/>
      <c r="Q10914" s="5"/>
    </row>
    <row r="10915">
      <c r="J10915" s="5"/>
      <c r="P10915" s="9"/>
      <c r="Q10915" s="5"/>
    </row>
    <row r="10916">
      <c r="J10916" s="5"/>
      <c r="P10916" s="9"/>
      <c r="Q10916" s="5"/>
    </row>
    <row r="10917">
      <c r="J10917" s="5"/>
      <c r="P10917" s="9"/>
      <c r="Q10917" s="5"/>
    </row>
    <row r="10918">
      <c r="J10918" s="5"/>
      <c r="P10918" s="9"/>
      <c r="Q10918" s="5"/>
    </row>
    <row r="10919">
      <c r="J10919" s="5"/>
      <c r="P10919" s="9"/>
      <c r="Q10919" s="5"/>
    </row>
    <row r="10920">
      <c r="J10920" s="5"/>
      <c r="P10920" s="9"/>
      <c r="Q10920" s="5"/>
    </row>
    <row r="10921">
      <c r="J10921" s="5"/>
      <c r="P10921" s="9"/>
      <c r="Q10921" s="5"/>
    </row>
    <row r="10922">
      <c r="J10922" s="5"/>
      <c r="P10922" s="9"/>
      <c r="Q10922" s="5"/>
    </row>
    <row r="10923">
      <c r="J10923" s="5"/>
      <c r="P10923" s="9"/>
      <c r="Q10923" s="5"/>
    </row>
    <row r="10924">
      <c r="J10924" s="5"/>
      <c r="P10924" s="9"/>
      <c r="Q10924" s="5"/>
    </row>
    <row r="10925">
      <c r="J10925" s="5"/>
      <c r="P10925" s="9"/>
      <c r="Q10925" s="5"/>
    </row>
    <row r="10926">
      <c r="J10926" s="5"/>
      <c r="P10926" s="9"/>
      <c r="Q10926" s="5"/>
    </row>
    <row r="10927">
      <c r="J10927" s="5"/>
      <c r="P10927" s="9"/>
      <c r="Q10927" s="5"/>
    </row>
    <row r="10928">
      <c r="J10928" s="5"/>
      <c r="P10928" s="9"/>
      <c r="Q10928" s="5"/>
    </row>
    <row r="10929">
      <c r="J10929" s="5"/>
      <c r="P10929" s="9"/>
      <c r="Q10929" s="5"/>
    </row>
    <row r="10930">
      <c r="J10930" s="5"/>
      <c r="P10930" s="9"/>
      <c r="Q10930" s="5"/>
    </row>
    <row r="10931">
      <c r="J10931" s="5"/>
      <c r="P10931" s="9"/>
      <c r="Q10931" s="5"/>
    </row>
    <row r="10932">
      <c r="J10932" s="5"/>
      <c r="P10932" s="9"/>
      <c r="Q10932" s="5"/>
    </row>
    <row r="10933">
      <c r="J10933" s="5"/>
      <c r="P10933" s="9"/>
      <c r="Q10933" s="5"/>
    </row>
    <row r="10934">
      <c r="J10934" s="5"/>
      <c r="P10934" s="9"/>
      <c r="Q10934" s="5"/>
    </row>
    <row r="10935">
      <c r="J10935" s="5"/>
      <c r="P10935" s="9"/>
      <c r="Q10935" s="5"/>
    </row>
    <row r="10936">
      <c r="J10936" s="5"/>
      <c r="P10936" s="9"/>
      <c r="Q10936" s="5"/>
    </row>
    <row r="10937">
      <c r="J10937" s="5"/>
      <c r="P10937" s="9"/>
      <c r="Q10937" s="5"/>
    </row>
    <row r="10938">
      <c r="J10938" s="5"/>
      <c r="P10938" s="9"/>
      <c r="Q10938" s="5"/>
    </row>
    <row r="10939">
      <c r="J10939" s="5"/>
      <c r="P10939" s="9"/>
      <c r="Q10939" s="5"/>
    </row>
    <row r="10940">
      <c r="J10940" s="5"/>
      <c r="P10940" s="9"/>
      <c r="Q10940" s="5"/>
    </row>
    <row r="10941">
      <c r="J10941" s="5"/>
      <c r="P10941" s="9"/>
      <c r="Q10941" s="5"/>
    </row>
    <row r="10942">
      <c r="J10942" s="5"/>
      <c r="P10942" s="9"/>
      <c r="Q10942" s="5"/>
    </row>
    <row r="10943">
      <c r="J10943" s="5"/>
      <c r="P10943" s="9"/>
      <c r="Q10943" s="5"/>
    </row>
    <row r="10944">
      <c r="J10944" s="5"/>
      <c r="P10944" s="9"/>
      <c r="Q10944" s="5"/>
    </row>
    <row r="10945">
      <c r="J10945" s="5"/>
      <c r="P10945" s="9"/>
      <c r="Q10945" s="5"/>
    </row>
    <row r="10946">
      <c r="J10946" s="5"/>
      <c r="P10946" s="9"/>
      <c r="Q10946" s="5"/>
    </row>
    <row r="10947">
      <c r="J10947" s="5"/>
      <c r="P10947" s="9"/>
      <c r="Q10947" s="5"/>
    </row>
    <row r="10948">
      <c r="J10948" s="5"/>
      <c r="P10948" s="9"/>
      <c r="Q10948" s="5"/>
    </row>
    <row r="10949">
      <c r="J10949" s="5"/>
      <c r="P10949" s="9"/>
      <c r="Q10949" s="5"/>
    </row>
    <row r="10950">
      <c r="J10950" s="5"/>
      <c r="P10950" s="9"/>
      <c r="Q10950" s="5"/>
    </row>
    <row r="10951">
      <c r="J10951" s="5"/>
      <c r="P10951" s="9"/>
      <c r="Q10951" s="5"/>
    </row>
    <row r="10952">
      <c r="J10952" s="5"/>
      <c r="P10952" s="9"/>
      <c r="Q10952" s="5"/>
    </row>
    <row r="10953">
      <c r="J10953" s="5"/>
      <c r="P10953" s="9"/>
      <c r="Q10953" s="5"/>
    </row>
    <row r="10954">
      <c r="J10954" s="5"/>
      <c r="P10954" s="9"/>
      <c r="Q10954" s="5"/>
    </row>
    <row r="10955">
      <c r="J10955" s="5"/>
      <c r="P10955" s="9"/>
      <c r="Q10955" s="5"/>
    </row>
    <row r="10956">
      <c r="J10956" s="5"/>
      <c r="P10956" s="9"/>
      <c r="Q10956" s="5"/>
    </row>
    <row r="10957">
      <c r="J10957" s="5"/>
      <c r="P10957" s="9"/>
      <c r="Q10957" s="5"/>
    </row>
    <row r="10958">
      <c r="J10958" s="5"/>
      <c r="P10958" s="9"/>
      <c r="Q10958" s="5"/>
    </row>
    <row r="10959">
      <c r="J10959" s="5"/>
      <c r="P10959" s="9"/>
      <c r="Q10959" s="5"/>
    </row>
    <row r="10960">
      <c r="J10960" s="5"/>
      <c r="P10960" s="9"/>
      <c r="Q10960" s="5"/>
    </row>
    <row r="10961">
      <c r="J10961" s="5"/>
      <c r="P10961" s="9"/>
      <c r="Q10961" s="5"/>
    </row>
    <row r="10962">
      <c r="J10962" s="5"/>
      <c r="P10962" s="9"/>
      <c r="Q10962" s="5"/>
    </row>
    <row r="10963">
      <c r="J10963" s="5"/>
      <c r="P10963" s="9"/>
      <c r="Q10963" s="5"/>
    </row>
    <row r="10964">
      <c r="J10964" s="5"/>
      <c r="P10964" s="9"/>
      <c r="Q10964" s="5"/>
    </row>
    <row r="10965">
      <c r="J10965" s="5"/>
      <c r="P10965" s="9"/>
      <c r="Q10965" s="5"/>
    </row>
    <row r="10966">
      <c r="J10966" s="5"/>
      <c r="P10966" s="9"/>
      <c r="Q10966" s="5"/>
    </row>
    <row r="10967">
      <c r="J10967" s="5"/>
      <c r="P10967" s="9"/>
      <c r="Q10967" s="5"/>
    </row>
    <row r="10968">
      <c r="J10968" s="5"/>
      <c r="P10968" s="9"/>
      <c r="Q10968" s="5"/>
    </row>
    <row r="10969">
      <c r="J10969" s="5"/>
      <c r="P10969" s="9"/>
      <c r="Q10969" s="5"/>
    </row>
    <row r="10970">
      <c r="J10970" s="5"/>
      <c r="P10970" s="9"/>
      <c r="Q10970" s="5"/>
    </row>
    <row r="10971">
      <c r="J10971" s="5"/>
      <c r="P10971" s="9"/>
      <c r="Q10971" s="5"/>
    </row>
    <row r="10972">
      <c r="J10972" s="5"/>
      <c r="P10972" s="9"/>
      <c r="Q10972" s="5"/>
    </row>
    <row r="10973">
      <c r="J10973" s="5"/>
      <c r="P10973" s="9"/>
      <c r="Q10973" s="5"/>
    </row>
    <row r="10974">
      <c r="J10974" s="5"/>
      <c r="P10974" s="9"/>
      <c r="Q10974" s="5"/>
    </row>
    <row r="10975">
      <c r="J10975" s="5"/>
      <c r="P10975" s="9"/>
      <c r="Q10975" s="5"/>
    </row>
    <row r="10976">
      <c r="J10976" s="5"/>
      <c r="P10976" s="9"/>
      <c r="Q10976" s="5"/>
    </row>
    <row r="10977">
      <c r="J10977" s="5"/>
      <c r="P10977" s="9"/>
      <c r="Q10977" s="5"/>
    </row>
    <row r="10978">
      <c r="J10978" s="5"/>
      <c r="P10978" s="9"/>
      <c r="Q10978" s="5"/>
    </row>
    <row r="10979">
      <c r="J10979" s="5"/>
      <c r="P10979" s="9"/>
      <c r="Q10979" s="5"/>
    </row>
    <row r="10980">
      <c r="J10980" s="5"/>
      <c r="P10980" s="9"/>
      <c r="Q10980" s="5"/>
    </row>
    <row r="10981">
      <c r="J10981" s="5"/>
      <c r="P10981" s="9"/>
      <c r="Q10981" s="5"/>
    </row>
    <row r="10982">
      <c r="J10982" s="5"/>
      <c r="P10982" s="9"/>
      <c r="Q10982" s="5"/>
    </row>
    <row r="10983">
      <c r="J10983" s="5"/>
      <c r="P10983" s="9"/>
      <c r="Q10983" s="5"/>
    </row>
    <row r="10984">
      <c r="J10984" s="5"/>
      <c r="P10984" s="9"/>
      <c r="Q10984" s="5"/>
    </row>
    <row r="10985">
      <c r="J10985" s="5"/>
      <c r="P10985" s="9"/>
      <c r="Q10985" s="5"/>
    </row>
    <row r="10986">
      <c r="J10986" s="5"/>
      <c r="P10986" s="9"/>
      <c r="Q10986" s="5"/>
    </row>
    <row r="10987">
      <c r="J10987" s="5"/>
      <c r="P10987" s="9"/>
      <c r="Q10987" s="5"/>
    </row>
    <row r="10988">
      <c r="J10988" s="5"/>
      <c r="P10988" s="9"/>
      <c r="Q10988" s="5"/>
    </row>
    <row r="10989">
      <c r="J10989" s="5"/>
      <c r="P10989" s="9"/>
      <c r="Q10989" s="5"/>
    </row>
    <row r="10990">
      <c r="J10990" s="5"/>
      <c r="P10990" s="9"/>
      <c r="Q10990" s="5"/>
    </row>
    <row r="10991">
      <c r="J10991" s="5"/>
      <c r="P10991" s="9"/>
      <c r="Q10991" s="5"/>
    </row>
    <row r="10992">
      <c r="J10992" s="5"/>
      <c r="P10992" s="9"/>
      <c r="Q10992" s="5"/>
    </row>
    <row r="10993">
      <c r="J10993" s="5"/>
      <c r="P10993" s="9"/>
      <c r="Q10993" s="5"/>
    </row>
    <row r="10994">
      <c r="J10994" s="5"/>
      <c r="P10994" s="9"/>
      <c r="Q10994" s="5"/>
    </row>
    <row r="10995">
      <c r="J10995" s="5"/>
      <c r="P10995" s="9"/>
      <c r="Q10995" s="5"/>
    </row>
    <row r="10996">
      <c r="J10996" s="5"/>
      <c r="P10996" s="9"/>
      <c r="Q10996" s="5"/>
    </row>
    <row r="10997">
      <c r="J10997" s="5"/>
      <c r="P10997" s="9"/>
      <c r="Q10997" s="5"/>
    </row>
    <row r="10998">
      <c r="J10998" s="5"/>
      <c r="P10998" s="9"/>
      <c r="Q10998" s="5"/>
    </row>
    <row r="10999">
      <c r="J10999" s="5"/>
      <c r="P10999" s="9"/>
      <c r="Q10999" s="5"/>
    </row>
    <row r="11000">
      <c r="J11000" s="5"/>
      <c r="P11000" s="9"/>
      <c r="Q11000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2.25"/>
    <col customWidth="1" min="5" max="5" width="20.5"/>
    <col customWidth="1" min="8" max="8" width="20.75"/>
    <col customWidth="1" min="9" max="9" width="16.0"/>
    <col customWidth="1" min="10" max="10" width="32.13"/>
    <col customWidth="1" min="11" max="11" width="24.25"/>
  </cols>
  <sheetData>
    <row r="1" ht="16.5" customHeight="1">
      <c r="A1" s="14" t="s">
        <v>20</v>
      </c>
      <c r="B1" s="14" t="s">
        <v>21</v>
      </c>
      <c r="C1" s="14" t="s">
        <v>35</v>
      </c>
      <c r="D1" s="14" t="s">
        <v>36</v>
      </c>
      <c r="E1" s="14" t="s">
        <v>37</v>
      </c>
      <c r="F1" s="14" t="s">
        <v>24</v>
      </c>
      <c r="G1" s="14" t="s">
        <v>38</v>
      </c>
      <c r="H1" s="14" t="s">
        <v>39</v>
      </c>
      <c r="I1" s="14" t="s">
        <v>40</v>
      </c>
      <c r="J1" s="14" t="s">
        <v>17</v>
      </c>
      <c r="K1" s="14" t="s">
        <v>22</v>
      </c>
      <c r="L1" s="14" t="s">
        <v>0</v>
      </c>
      <c r="M1" s="14" t="s">
        <v>41</v>
      </c>
      <c r="N1" s="14" t="s">
        <v>42</v>
      </c>
      <c r="O1" s="14" t="s">
        <v>43</v>
      </c>
      <c r="P1" s="14" t="s">
        <v>44</v>
      </c>
      <c r="Q1" s="14" t="s">
        <v>45</v>
      </c>
      <c r="R1" s="14" t="s">
        <v>46</v>
      </c>
      <c r="S1" s="14" t="s">
        <v>47</v>
      </c>
      <c r="T1" s="15"/>
    </row>
    <row r="2" ht="16.5" customHeight="1">
      <c r="A2" s="9" t="s">
        <v>48</v>
      </c>
      <c r="B2" s="16">
        <v>45976.0</v>
      </c>
      <c r="C2" s="9" t="s">
        <v>49</v>
      </c>
      <c r="D2" s="9" t="s">
        <v>50</v>
      </c>
      <c r="E2" s="9">
        <v>852.0</v>
      </c>
      <c r="F2" s="9" t="s">
        <v>51</v>
      </c>
      <c r="G2" s="9" t="s">
        <v>52</v>
      </c>
      <c r="H2" s="9" t="s">
        <v>52</v>
      </c>
      <c r="I2" s="9" t="s">
        <v>53</v>
      </c>
      <c r="J2" s="9" t="s">
        <v>54</v>
      </c>
      <c r="K2" s="9" t="str">
        <f t="array" ref="K2:K1565">IF(
   A2:A1565 = "",
   ,
   VLOOKUP(
      A2:A1565 &amp; IF(H2:H1565="red","blue","red"),
      {A2:A1565 &amp; H2:H1565 , J2:J1565},
      2,
      FALSE
   )
)
</f>
        <v>Nebus. + ZeroO</v>
      </c>
      <c r="L2" s="9" t="s">
        <v>55</v>
      </c>
      <c r="M2" s="9">
        <v>6.0</v>
      </c>
      <c r="N2" s="9">
        <v>10.0</v>
      </c>
      <c r="O2" s="9">
        <v>0.0</v>
      </c>
      <c r="P2" s="9">
        <v>1900.0</v>
      </c>
      <c r="Q2" s="9">
        <v>154.0</v>
      </c>
      <c r="R2" s="9">
        <v>282.0</v>
      </c>
      <c r="S2" s="3">
        <f t="shared" ref="S2:S449" si="1">P2/E2</f>
        <v>2.230046948</v>
      </c>
    </row>
    <row r="3" ht="16.5" customHeight="1">
      <c r="A3" s="9" t="s">
        <v>48</v>
      </c>
      <c r="B3" s="16">
        <v>45976.0</v>
      </c>
      <c r="C3" s="9" t="s">
        <v>49</v>
      </c>
      <c r="D3" s="9" t="s">
        <v>50</v>
      </c>
      <c r="E3" s="9">
        <v>852.0</v>
      </c>
      <c r="F3" s="9" t="s">
        <v>51</v>
      </c>
      <c r="G3" s="9" t="s">
        <v>52</v>
      </c>
      <c r="H3" s="9" t="s">
        <v>52</v>
      </c>
      <c r="I3" s="9" t="s">
        <v>53</v>
      </c>
      <c r="J3" s="9" t="s">
        <v>54</v>
      </c>
      <c r="K3" s="9" t="s">
        <v>56</v>
      </c>
      <c r="L3" s="9" t="s">
        <v>57</v>
      </c>
      <c r="M3" s="9">
        <v>4.0</v>
      </c>
      <c r="N3" s="9">
        <v>10.0</v>
      </c>
      <c r="O3" s="9">
        <v>1.0</v>
      </c>
      <c r="P3" s="9">
        <v>1236.0</v>
      </c>
      <c r="Q3" s="9">
        <v>128.0</v>
      </c>
      <c r="R3" s="9">
        <v>282.0</v>
      </c>
      <c r="S3" s="3">
        <f t="shared" si="1"/>
        <v>1.450704225</v>
      </c>
    </row>
    <row r="4" ht="16.5" customHeight="1">
      <c r="A4" s="9" t="s">
        <v>48</v>
      </c>
      <c r="B4" s="16">
        <v>45976.0</v>
      </c>
      <c r="C4" s="9" t="s">
        <v>49</v>
      </c>
      <c r="D4" s="9" t="s">
        <v>50</v>
      </c>
      <c r="E4" s="9">
        <v>852.0</v>
      </c>
      <c r="F4" s="9" t="s">
        <v>51</v>
      </c>
      <c r="G4" s="9" t="s">
        <v>52</v>
      </c>
      <c r="H4" s="9" t="s">
        <v>58</v>
      </c>
      <c r="I4" s="9" t="s">
        <v>59</v>
      </c>
      <c r="J4" s="9" t="s">
        <v>56</v>
      </c>
      <c r="K4" s="9" t="s">
        <v>54</v>
      </c>
      <c r="L4" s="9" t="s">
        <v>60</v>
      </c>
      <c r="M4" s="9">
        <v>3.0</v>
      </c>
      <c r="N4" s="9">
        <v>8.0</v>
      </c>
      <c r="O4" s="9">
        <v>1.0</v>
      </c>
      <c r="P4" s="9">
        <v>3281.0</v>
      </c>
      <c r="Q4" s="9">
        <v>163.0</v>
      </c>
      <c r="R4" s="9">
        <v>293.0</v>
      </c>
      <c r="S4" s="3">
        <f t="shared" si="1"/>
        <v>3.850938967</v>
      </c>
    </row>
    <row r="5" ht="16.5" customHeight="1">
      <c r="A5" s="9" t="s">
        <v>48</v>
      </c>
      <c r="B5" s="16">
        <v>45976.0</v>
      </c>
      <c r="C5" s="9" t="s">
        <v>49</v>
      </c>
      <c r="D5" s="9" t="s">
        <v>50</v>
      </c>
      <c r="E5" s="9">
        <v>852.0</v>
      </c>
      <c r="F5" s="9" t="s">
        <v>51</v>
      </c>
      <c r="G5" s="9" t="s">
        <v>52</v>
      </c>
      <c r="H5" s="9" t="s">
        <v>58</v>
      </c>
      <c r="I5" s="9" t="s">
        <v>59</v>
      </c>
      <c r="J5" s="9" t="s">
        <v>56</v>
      </c>
      <c r="K5" s="9" t="s">
        <v>54</v>
      </c>
      <c r="L5" s="9" t="s">
        <v>61</v>
      </c>
      <c r="M5" s="9">
        <v>5.0</v>
      </c>
      <c r="N5" s="9">
        <v>8.0</v>
      </c>
      <c r="O5" s="9">
        <v>0.0</v>
      </c>
      <c r="P5" s="9">
        <v>1851.0</v>
      </c>
      <c r="Q5" s="9">
        <v>130.0</v>
      </c>
      <c r="R5" s="9">
        <v>293.0</v>
      </c>
      <c r="S5" s="3">
        <f t="shared" si="1"/>
        <v>2.172535211</v>
      </c>
    </row>
    <row r="6" ht="16.5" customHeight="1">
      <c r="A6" s="9" t="s">
        <v>62</v>
      </c>
      <c r="B6" s="16">
        <v>45976.0</v>
      </c>
      <c r="C6" s="9" t="s">
        <v>49</v>
      </c>
      <c r="D6" s="9" t="s">
        <v>63</v>
      </c>
      <c r="E6" s="9">
        <v>1006.0</v>
      </c>
      <c r="F6" s="9" t="s">
        <v>51</v>
      </c>
      <c r="G6" s="9" t="s">
        <v>58</v>
      </c>
      <c r="H6" s="9" t="s">
        <v>52</v>
      </c>
      <c r="I6" s="9" t="s">
        <v>59</v>
      </c>
      <c r="J6" s="9" t="s">
        <v>54</v>
      </c>
      <c r="K6" s="9" t="s">
        <v>56</v>
      </c>
      <c r="L6" s="9" t="s">
        <v>55</v>
      </c>
      <c r="M6" s="9">
        <v>5.0</v>
      </c>
      <c r="N6" s="9">
        <v>8.0</v>
      </c>
      <c r="O6" s="9">
        <v>1.0</v>
      </c>
      <c r="P6" s="9">
        <v>2205.0</v>
      </c>
      <c r="Q6" s="9">
        <v>154.0</v>
      </c>
      <c r="R6" s="9">
        <v>291.0</v>
      </c>
      <c r="S6" s="3">
        <f t="shared" si="1"/>
        <v>2.191848907</v>
      </c>
    </row>
    <row r="7" ht="16.5" customHeight="1">
      <c r="A7" s="9" t="s">
        <v>62</v>
      </c>
      <c r="B7" s="16">
        <v>45976.0</v>
      </c>
      <c r="C7" s="9" t="s">
        <v>49</v>
      </c>
      <c r="D7" s="9" t="s">
        <v>63</v>
      </c>
      <c r="E7" s="9">
        <v>1006.0</v>
      </c>
      <c r="F7" s="9" t="s">
        <v>51</v>
      </c>
      <c r="G7" s="9" t="s">
        <v>58</v>
      </c>
      <c r="H7" s="9" t="s">
        <v>52</v>
      </c>
      <c r="I7" s="9" t="s">
        <v>59</v>
      </c>
      <c r="J7" s="9" t="s">
        <v>54</v>
      </c>
      <c r="K7" s="9" t="s">
        <v>56</v>
      </c>
      <c r="L7" s="9" t="s">
        <v>57</v>
      </c>
      <c r="M7" s="9">
        <v>3.0</v>
      </c>
      <c r="N7" s="9">
        <v>8.0</v>
      </c>
      <c r="O7" s="9">
        <v>0.0</v>
      </c>
      <c r="P7" s="9">
        <v>1846.0</v>
      </c>
      <c r="Q7" s="9">
        <v>137.0</v>
      </c>
      <c r="R7" s="9">
        <v>291.0</v>
      </c>
      <c r="S7" s="3">
        <f t="shared" si="1"/>
        <v>1.83499006</v>
      </c>
    </row>
    <row r="8" ht="16.5" customHeight="1">
      <c r="A8" s="9" t="s">
        <v>62</v>
      </c>
      <c r="B8" s="16">
        <v>45976.0</v>
      </c>
      <c r="C8" s="9" t="s">
        <v>49</v>
      </c>
      <c r="D8" s="9" t="s">
        <v>63</v>
      </c>
      <c r="E8" s="9">
        <v>1006.0</v>
      </c>
      <c r="F8" s="9" t="s">
        <v>51</v>
      </c>
      <c r="G8" s="9" t="s">
        <v>58</v>
      </c>
      <c r="H8" s="9" t="s">
        <v>58</v>
      </c>
      <c r="I8" s="9" t="s">
        <v>53</v>
      </c>
      <c r="J8" s="9" t="s">
        <v>56</v>
      </c>
      <c r="K8" s="9" t="s">
        <v>54</v>
      </c>
      <c r="L8" s="9" t="s">
        <v>61</v>
      </c>
      <c r="M8" s="9">
        <v>7.0</v>
      </c>
      <c r="N8" s="9">
        <v>10.0</v>
      </c>
      <c r="O8" s="9">
        <v>0.0</v>
      </c>
      <c r="P8" s="9">
        <v>2593.0</v>
      </c>
      <c r="Q8" s="9">
        <v>189.0</v>
      </c>
      <c r="R8" s="9">
        <v>334.0</v>
      </c>
      <c r="S8" s="3">
        <f t="shared" si="1"/>
        <v>2.577534791</v>
      </c>
    </row>
    <row r="9" ht="16.5" customHeight="1">
      <c r="A9" s="9" t="s">
        <v>62</v>
      </c>
      <c r="B9" s="16">
        <v>45976.0</v>
      </c>
      <c r="C9" s="9" t="s">
        <v>49</v>
      </c>
      <c r="D9" s="9" t="s">
        <v>63</v>
      </c>
      <c r="E9" s="9">
        <v>1006.0</v>
      </c>
      <c r="F9" s="9" t="s">
        <v>51</v>
      </c>
      <c r="G9" s="9" t="s">
        <v>58</v>
      </c>
      <c r="H9" s="9" t="s">
        <v>58</v>
      </c>
      <c r="I9" s="9" t="s">
        <v>53</v>
      </c>
      <c r="J9" s="9" t="s">
        <v>56</v>
      </c>
      <c r="K9" s="9" t="s">
        <v>54</v>
      </c>
      <c r="L9" s="9" t="s">
        <v>60</v>
      </c>
      <c r="M9" s="9">
        <v>3.0</v>
      </c>
      <c r="N9" s="9">
        <v>10.0</v>
      </c>
      <c r="O9" s="9">
        <v>0.0</v>
      </c>
      <c r="P9" s="9">
        <v>3150.0</v>
      </c>
      <c r="Q9" s="9">
        <v>145.0</v>
      </c>
      <c r="R9" s="9">
        <v>334.0</v>
      </c>
      <c r="S9" s="3">
        <f t="shared" si="1"/>
        <v>3.131212724</v>
      </c>
    </row>
    <row r="10" ht="16.5" customHeight="1">
      <c r="A10" s="9" t="s">
        <v>64</v>
      </c>
      <c r="B10" s="16">
        <v>45976.0</v>
      </c>
      <c r="C10" s="9" t="s">
        <v>49</v>
      </c>
      <c r="D10" s="9" t="s">
        <v>65</v>
      </c>
      <c r="E10" s="9">
        <v>725.0</v>
      </c>
      <c r="F10" s="9" t="s">
        <v>51</v>
      </c>
      <c r="G10" s="9" t="s">
        <v>58</v>
      </c>
      <c r="H10" s="9" t="s">
        <v>52</v>
      </c>
      <c r="I10" s="9" t="s">
        <v>59</v>
      </c>
      <c r="J10" s="9" t="s">
        <v>54</v>
      </c>
      <c r="K10" s="9" t="s">
        <v>56</v>
      </c>
      <c r="L10" s="9" t="s">
        <v>55</v>
      </c>
      <c r="M10" s="9">
        <v>5.0</v>
      </c>
      <c r="N10" s="9">
        <v>6.0</v>
      </c>
      <c r="O10" s="9">
        <v>0.0</v>
      </c>
      <c r="P10" s="9">
        <v>1874.0</v>
      </c>
      <c r="Q10" s="9">
        <v>134.0</v>
      </c>
      <c r="R10" s="9">
        <v>222.0</v>
      </c>
      <c r="S10" s="3">
        <f t="shared" si="1"/>
        <v>2.584827586</v>
      </c>
    </row>
    <row r="11" ht="16.5" customHeight="1">
      <c r="A11" s="9" t="s">
        <v>64</v>
      </c>
      <c r="B11" s="16">
        <v>45976.0</v>
      </c>
      <c r="C11" s="9" t="s">
        <v>49</v>
      </c>
      <c r="D11" s="9" t="s">
        <v>65</v>
      </c>
      <c r="E11" s="9">
        <v>725.0</v>
      </c>
      <c r="F11" s="9" t="s">
        <v>51</v>
      </c>
      <c r="G11" s="9" t="s">
        <v>58</v>
      </c>
      <c r="H11" s="9" t="s">
        <v>52</v>
      </c>
      <c r="I11" s="9" t="s">
        <v>59</v>
      </c>
      <c r="J11" s="9" t="s">
        <v>54</v>
      </c>
      <c r="K11" s="9" t="s">
        <v>56</v>
      </c>
      <c r="L11" s="9" t="s">
        <v>57</v>
      </c>
      <c r="M11" s="9">
        <v>1.0</v>
      </c>
      <c r="N11" s="9">
        <v>6.0</v>
      </c>
      <c r="O11" s="9">
        <v>2.0</v>
      </c>
      <c r="P11" s="9">
        <v>1090.0</v>
      </c>
      <c r="Q11" s="9">
        <v>88.0</v>
      </c>
      <c r="R11" s="9">
        <v>222.0</v>
      </c>
      <c r="S11" s="3">
        <f t="shared" si="1"/>
        <v>1.503448276</v>
      </c>
    </row>
    <row r="12" ht="16.5" customHeight="1">
      <c r="A12" s="9" t="s">
        <v>64</v>
      </c>
      <c r="B12" s="16">
        <v>45976.0</v>
      </c>
      <c r="C12" s="9" t="s">
        <v>49</v>
      </c>
      <c r="D12" s="9" t="s">
        <v>65</v>
      </c>
      <c r="E12" s="9">
        <v>725.0</v>
      </c>
      <c r="F12" s="9" t="s">
        <v>51</v>
      </c>
      <c r="G12" s="9" t="s">
        <v>58</v>
      </c>
      <c r="H12" s="9" t="s">
        <v>58</v>
      </c>
      <c r="I12" s="9" t="s">
        <v>53</v>
      </c>
      <c r="J12" s="9" t="s">
        <v>56</v>
      </c>
      <c r="K12" s="9" t="s">
        <v>54</v>
      </c>
      <c r="L12" s="9" t="s">
        <v>61</v>
      </c>
      <c r="M12" s="9">
        <v>7.0</v>
      </c>
      <c r="N12" s="9">
        <v>10.0</v>
      </c>
      <c r="O12" s="9">
        <v>0.0</v>
      </c>
      <c r="P12" s="9">
        <v>1351.0</v>
      </c>
      <c r="Q12" s="9">
        <v>136.0</v>
      </c>
      <c r="R12" s="9">
        <v>247.0</v>
      </c>
      <c r="S12" s="3">
        <f t="shared" si="1"/>
        <v>1.863448276</v>
      </c>
    </row>
    <row r="13" ht="16.5" customHeight="1">
      <c r="A13" s="9" t="s">
        <v>64</v>
      </c>
      <c r="B13" s="16">
        <v>45976.0</v>
      </c>
      <c r="C13" s="9" t="s">
        <v>49</v>
      </c>
      <c r="D13" s="9" t="s">
        <v>65</v>
      </c>
      <c r="E13" s="9">
        <v>725.0</v>
      </c>
      <c r="F13" s="9" t="s">
        <v>51</v>
      </c>
      <c r="G13" s="9" t="s">
        <v>58</v>
      </c>
      <c r="H13" s="9" t="s">
        <v>58</v>
      </c>
      <c r="I13" s="9" t="s">
        <v>53</v>
      </c>
      <c r="J13" s="9" t="s">
        <v>56</v>
      </c>
      <c r="K13" s="9" t="s">
        <v>54</v>
      </c>
      <c r="L13" s="9" t="s">
        <v>60</v>
      </c>
      <c r="M13" s="9">
        <v>3.0</v>
      </c>
      <c r="N13" s="9">
        <v>10.0</v>
      </c>
      <c r="O13" s="9">
        <v>0.0</v>
      </c>
      <c r="P13" s="9">
        <v>1984.0</v>
      </c>
      <c r="Q13" s="9">
        <v>111.0</v>
      </c>
      <c r="R13" s="9">
        <v>247.0</v>
      </c>
      <c r="S13" s="3">
        <f t="shared" si="1"/>
        <v>2.736551724</v>
      </c>
    </row>
    <row r="14" ht="16.5" customHeight="1">
      <c r="A14" s="9" t="s">
        <v>66</v>
      </c>
      <c r="B14" s="16">
        <v>45976.0</v>
      </c>
      <c r="C14" s="9" t="s">
        <v>49</v>
      </c>
      <c r="D14" s="9" t="s">
        <v>67</v>
      </c>
      <c r="E14" s="9">
        <v>1045.0</v>
      </c>
      <c r="F14" s="9" t="s">
        <v>51</v>
      </c>
      <c r="G14" s="9" t="s">
        <v>58</v>
      </c>
      <c r="H14" s="9" t="s">
        <v>52</v>
      </c>
      <c r="I14" s="9" t="s">
        <v>59</v>
      </c>
      <c r="J14" s="9" t="s">
        <v>54</v>
      </c>
      <c r="K14" s="9" t="s">
        <v>56</v>
      </c>
      <c r="L14" s="9" t="s">
        <v>55</v>
      </c>
      <c r="M14" s="9">
        <v>4.0</v>
      </c>
      <c r="N14" s="9">
        <v>8.0</v>
      </c>
      <c r="O14" s="9">
        <v>0.0</v>
      </c>
      <c r="P14" s="9">
        <v>2538.0</v>
      </c>
      <c r="Q14" s="9">
        <v>151.0</v>
      </c>
      <c r="R14" s="9">
        <v>296.0</v>
      </c>
      <c r="S14" s="3">
        <f t="shared" si="1"/>
        <v>2.428708134</v>
      </c>
    </row>
    <row r="15" ht="16.5" customHeight="1">
      <c r="A15" s="9" t="s">
        <v>66</v>
      </c>
      <c r="B15" s="16">
        <v>45976.0</v>
      </c>
      <c r="C15" s="9" t="s">
        <v>49</v>
      </c>
      <c r="D15" s="9" t="s">
        <v>67</v>
      </c>
      <c r="E15" s="9">
        <v>1045.0</v>
      </c>
      <c r="F15" s="9" t="s">
        <v>51</v>
      </c>
      <c r="G15" s="9" t="s">
        <v>58</v>
      </c>
      <c r="H15" s="9" t="s">
        <v>52</v>
      </c>
      <c r="I15" s="9" t="s">
        <v>59</v>
      </c>
      <c r="J15" s="9" t="s">
        <v>54</v>
      </c>
      <c r="K15" s="9" t="s">
        <v>56</v>
      </c>
      <c r="L15" s="9" t="s">
        <v>57</v>
      </c>
      <c r="M15" s="9">
        <v>4.0</v>
      </c>
      <c r="N15" s="9">
        <v>8.0</v>
      </c>
      <c r="O15" s="9">
        <v>0.0</v>
      </c>
      <c r="P15" s="9">
        <v>1788.0</v>
      </c>
      <c r="Q15" s="9">
        <v>145.0</v>
      </c>
      <c r="R15" s="9">
        <v>296.0</v>
      </c>
      <c r="S15" s="3">
        <f t="shared" si="1"/>
        <v>1.711004785</v>
      </c>
    </row>
    <row r="16" ht="16.5" customHeight="1">
      <c r="A16" s="9" t="s">
        <v>66</v>
      </c>
      <c r="B16" s="16">
        <v>45976.0</v>
      </c>
      <c r="C16" s="9" t="s">
        <v>49</v>
      </c>
      <c r="D16" s="9" t="s">
        <v>67</v>
      </c>
      <c r="E16" s="9">
        <v>1045.0</v>
      </c>
      <c r="F16" s="9" t="s">
        <v>51</v>
      </c>
      <c r="G16" s="9" t="s">
        <v>58</v>
      </c>
      <c r="H16" s="9" t="s">
        <v>58</v>
      </c>
      <c r="I16" s="9" t="s">
        <v>53</v>
      </c>
      <c r="J16" s="9" t="s">
        <v>56</v>
      </c>
      <c r="K16" s="9" t="s">
        <v>54</v>
      </c>
      <c r="L16" s="9" t="s">
        <v>61</v>
      </c>
      <c r="M16" s="9">
        <v>8.0</v>
      </c>
      <c r="N16" s="9">
        <v>10.0</v>
      </c>
      <c r="O16" s="9">
        <v>0.0</v>
      </c>
      <c r="P16" s="9">
        <v>2285.0</v>
      </c>
      <c r="Q16" s="9">
        <v>188.0</v>
      </c>
      <c r="R16" s="9">
        <v>349.0</v>
      </c>
      <c r="S16" s="3">
        <f t="shared" si="1"/>
        <v>2.186602871</v>
      </c>
    </row>
    <row r="17" ht="16.5" customHeight="1">
      <c r="A17" s="9" t="s">
        <v>66</v>
      </c>
      <c r="B17" s="16">
        <v>45976.0</v>
      </c>
      <c r="C17" s="9" t="s">
        <v>49</v>
      </c>
      <c r="D17" s="9" t="s">
        <v>67</v>
      </c>
      <c r="E17" s="9">
        <v>1045.0</v>
      </c>
      <c r="F17" s="9" t="s">
        <v>51</v>
      </c>
      <c r="G17" s="9" t="s">
        <v>58</v>
      </c>
      <c r="H17" s="9" t="s">
        <v>58</v>
      </c>
      <c r="I17" s="9" t="s">
        <v>53</v>
      </c>
      <c r="J17" s="9" t="s">
        <v>56</v>
      </c>
      <c r="K17" s="9" t="s">
        <v>54</v>
      </c>
      <c r="L17" s="9" t="s">
        <v>60</v>
      </c>
      <c r="M17" s="9">
        <v>2.0</v>
      </c>
      <c r="N17" s="9">
        <v>10.0</v>
      </c>
      <c r="O17" s="9">
        <v>1.0</v>
      </c>
      <c r="P17" s="9">
        <v>3392.0</v>
      </c>
      <c r="Q17" s="9">
        <v>161.0</v>
      </c>
      <c r="R17" s="9">
        <v>349.0</v>
      </c>
      <c r="S17" s="3">
        <f t="shared" si="1"/>
        <v>3.245933014</v>
      </c>
    </row>
    <row r="18" ht="16.5" customHeight="1">
      <c r="A18" s="9" t="s">
        <v>68</v>
      </c>
      <c r="B18" s="16">
        <v>45976.0</v>
      </c>
      <c r="C18" s="9" t="s">
        <v>49</v>
      </c>
      <c r="D18" s="9" t="s">
        <v>69</v>
      </c>
      <c r="E18" s="9">
        <v>690.0</v>
      </c>
      <c r="F18" s="9" t="s">
        <v>51</v>
      </c>
      <c r="G18" s="9" t="s">
        <v>58</v>
      </c>
      <c r="H18" s="9" t="s">
        <v>52</v>
      </c>
      <c r="I18" s="9" t="s">
        <v>59</v>
      </c>
      <c r="J18" s="9" t="s">
        <v>70</v>
      </c>
      <c r="K18" s="9" t="s">
        <v>71</v>
      </c>
      <c r="L18" s="9" t="s">
        <v>60</v>
      </c>
      <c r="M18" s="9">
        <v>4.0</v>
      </c>
      <c r="N18" s="9">
        <v>6.0</v>
      </c>
      <c r="O18" s="9">
        <v>0.0</v>
      </c>
      <c r="P18" s="9">
        <v>2256.0</v>
      </c>
      <c r="Q18" s="9">
        <v>138.0</v>
      </c>
      <c r="R18" s="9">
        <v>220.0</v>
      </c>
      <c r="S18" s="3">
        <f t="shared" si="1"/>
        <v>3.269565217</v>
      </c>
    </row>
    <row r="19" ht="16.5" customHeight="1">
      <c r="A19" s="9" t="s">
        <v>68</v>
      </c>
      <c r="B19" s="16">
        <v>45976.0</v>
      </c>
      <c r="C19" s="9" t="s">
        <v>49</v>
      </c>
      <c r="D19" s="9" t="s">
        <v>69</v>
      </c>
      <c r="E19" s="9">
        <v>690.0</v>
      </c>
      <c r="F19" s="9" t="s">
        <v>51</v>
      </c>
      <c r="G19" s="9" t="s">
        <v>58</v>
      </c>
      <c r="H19" s="9" t="s">
        <v>52</v>
      </c>
      <c r="I19" s="9" t="s">
        <v>59</v>
      </c>
      <c r="J19" s="9" t="s">
        <v>70</v>
      </c>
      <c r="K19" s="9" t="s">
        <v>71</v>
      </c>
      <c r="L19" s="9" t="s">
        <v>55</v>
      </c>
      <c r="M19" s="9">
        <v>2.0</v>
      </c>
      <c r="N19" s="9">
        <v>6.0</v>
      </c>
      <c r="O19" s="9">
        <v>0.0</v>
      </c>
      <c r="P19" s="9">
        <v>1550.0</v>
      </c>
      <c r="Q19" s="9">
        <v>82.0</v>
      </c>
      <c r="R19" s="9">
        <v>220.0</v>
      </c>
      <c r="S19" s="3">
        <f t="shared" si="1"/>
        <v>2.246376812</v>
      </c>
    </row>
    <row r="20" ht="16.5" customHeight="1">
      <c r="A20" s="9" t="s">
        <v>68</v>
      </c>
      <c r="B20" s="16">
        <v>45976.0</v>
      </c>
      <c r="C20" s="9" t="s">
        <v>49</v>
      </c>
      <c r="D20" s="9" t="s">
        <v>69</v>
      </c>
      <c r="E20" s="9">
        <v>690.0</v>
      </c>
      <c r="F20" s="9" t="s">
        <v>51</v>
      </c>
      <c r="G20" s="9" t="s">
        <v>58</v>
      </c>
      <c r="H20" s="9" t="s">
        <v>58</v>
      </c>
      <c r="I20" s="9" t="s">
        <v>53</v>
      </c>
      <c r="J20" s="9" t="s">
        <v>71</v>
      </c>
      <c r="K20" s="9" t="s">
        <v>70</v>
      </c>
      <c r="L20" s="9" t="s">
        <v>57</v>
      </c>
      <c r="M20" s="9">
        <v>6.0</v>
      </c>
      <c r="N20" s="9">
        <v>10.0</v>
      </c>
      <c r="O20" s="9">
        <v>0.0</v>
      </c>
      <c r="P20" s="9">
        <v>1161.0</v>
      </c>
      <c r="Q20" s="9">
        <v>134.0</v>
      </c>
      <c r="R20" s="9">
        <v>253.0</v>
      </c>
      <c r="S20" s="3">
        <f t="shared" si="1"/>
        <v>1.682608696</v>
      </c>
    </row>
    <row r="21" ht="16.5" customHeight="1">
      <c r="A21" s="9" t="s">
        <v>68</v>
      </c>
      <c r="B21" s="16">
        <v>45976.0</v>
      </c>
      <c r="C21" s="9" t="s">
        <v>49</v>
      </c>
      <c r="D21" s="9" t="s">
        <v>69</v>
      </c>
      <c r="E21" s="9">
        <v>690.0</v>
      </c>
      <c r="F21" s="9" t="s">
        <v>51</v>
      </c>
      <c r="G21" s="9" t="s">
        <v>58</v>
      </c>
      <c r="H21" s="9" t="s">
        <v>58</v>
      </c>
      <c r="I21" s="9" t="s">
        <v>53</v>
      </c>
      <c r="J21" s="9" t="s">
        <v>71</v>
      </c>
      <c r="K21" s="9" t="s">
        <v>70</v>
      </c>
      <c r="L21" s="9" t="s">
        <v>61</v>
      </c>
      <c r="M21" s="9">
        <v>4.0</v>
      </c>
      <c r="N21" s="9">
        <v>10.0</v>
      </c>
      <c r="O21" s="9">
        <v>0.0</v>
      </c>
      <c r="P21" s="9">
        <v>1750.0</v>
      </c>
      <c r="Q21" s="9">
        <v>119.0</v>
      </c>
      <c r="R21" s="9">
        <v>253.0</v>
      </c>
      <c r="S21" s="3">
        <f t="shared" si="1"/>
        <v>2.536231884</v>
      </c>
    </row>
    <row r="22" ht="16.5" customHeight="1">
      <c r="A22" s="9" t="s">
        <v>72</v>
      </c>
      <c r="B22" s="16">
        <v>45976.0</v>
      </c>
      <c r="C22" s="9" t="s">
        <v>49</v>
      </c>
      <c r="D22" s="9" t="s">
        <v>73</v>
      </c>
      <c r="E22" s="9">
        <v>860.0</v>
      </c>
      <c r="F22" s="9" t="s">
        <v>51</v>
      </c>
      <c r="G22" s="9" t="s">
        <v>58</v>
      </c>
      <c r="H22" s="9" t="s">
        <v>52</v>
      </c>
      <c r="I22" s="9" t="s">
        <v>59</v>
      </c>
      <c r="J22" s="9" t="s">
        <v>70</v>
      </c>
      <c r="K22" s="9" t="s">
        <v>71</v>
      </c>
      <c r="L22" s="9" t="s">
        <v>60</v>
      </c>
      <c r="M22" s="9">
        <v>4.0</v>
      </c>
      <c r="N22" s="9">
        <v>9.0</v>
      </c>
      <c r="O22" s="9">
        <v>0.0</v>
      </c>
      <c r="P22" s="9">
        <v>3078.0</v>
      </c>
      <c r="Q22" s="9">
        <v>162.0</v>
      </c>
      <c r="R22" s="9">
        <v>285.0</v>
      </c>
      <c r="S22" s="3">
        <f t="shared" si="1"/>
        <v>3.579069767</v>
      </c>
    </row>
    <row r="23" ht="16.5" customHeight="1">
      <c r="A23" s="9" t="s">
        <v>72</v>
      </c>
      <c r="B23" s="16">
        <v>45976.0</v>
      </c>
      <c r="C23" s="9" t="s">
        <v>49</v>
      </c>
      <c r="D23" s="9" t="s">
        <v>73</v>
      </c>
      <c r="E23" s="9">
        <v>860.0</v>
      </c>
      <c r="F23" s="9" t="s">
        <v>51</v>
      </c>
      <c r="G23" s="9" t="s">
        <v>58</v>
      </c>
      <c r="H23" s="9" t="s">
        <v>52</v>
      </c>
      <c r="I23" s="9" t="s">
        <v>59</v>
      </c>
      <c r="J23" s="9" t="s">
        <v>70</v>
      </c>
      <c r="K23" s="9" t="s">
        <v>71</v>
      </c>
      <c r="L23" s="9" t="s">
        <v>55</v>
      </c>
      <c r="M23" s="9">
        <v>5.0</v>
      </c>
      <c r="N23" s="9">
        <v>9.0</v>
      </c>
      <c r="O23" s="9">
        <v>1.0</v>
      </c>
      <c r="P23" s="9">
        <v>1312.0</v>
      </c>
      <c r="Q23" s="9">
        <v>123.0</v>
      </c>
      <c r="R23" s="9">
        <v>285.0</v>
      </c>
      <c r="S23" s="3">
        <f t="shared" si="1"/>
        <v>1.525581395</v>
      </c>
    </row>
    <row r="24" ht="16.5" customHeight="1">
      <c r="A24" s="9" t="s">
        <v>72</v>
      </c>
      <c r="B24" s="16">
        <v>45976.0</v>
      </c>
      <c r="C24" s="9" t="s">
        <v>49</v>
      </c>
      <c r="D24" s="9" t="s">
        <v>73</v>
      </c>
      <c r="E24" s="9">
        <v>860.0</v>
      </c>
      <c r="F24" s="9" t="s">
        <v>51</v>
      </c>
      <c r="G24" s="9" t="s">
        <v>58</v>
      </c>
      <c r="H24" s="9" t="s">
        <v>58</v>
      </c>
      <c r="I24" s="9" t="s">
        <v>53</v>
      </c>
      <c r="J24" s="9" t="s">
        <v>71</v>
      </c>
      <c r="K24" s="9" t="s">
        <v>70</v>
      </c>
      <c r="L24" s="9" t="s">
        <v>57</v>
      </c>
      <c r="M24" s="9">
        <v>6.0</v>
      </c>
      <c r="N24" s="9">
        <v>10.0</v>
      </c>
      <c r="O24" s="9">
        <v>1.0</v>
      </c>
      <c r="P24" s="9">
        <v>1144.0</v>
      </c>
      <c r="Q24" s="9">
        <v>152.0</v>
      </c>
      <c r="R24" s="9">
        <v>302.0</v>
      </c>
      <c r="S24" s="3">
        <f t="shared" si="1"/>
        <v>1.330232558</v>
      </c>
    </row>
    <row r="25" ht="16.5" customHeight="1">
      <c r="A25" s="9" t="s">
        <v>72</v>
      </c>
      <c r="B25" s="16">
        <v>45976.0</v>
      </c>
      <c r="C25" s="9" t="s">
        <v>49</v>
      </c>
      <c r="D25" s="9" t="s">
        <v>73</v>
      </c>
      <c r="E25" s="9">
        <v>860.0</v>
      </c>
      <c r="F25" s="9" t="s">
        <v>51</v>
      </c>
      <c r="G25" s="9" t="s">
        <v>58</v>
      </c>
      <c r="H25" s="9" t="s">
        <v>58</v>
      </c>
      <c r="I25" s="9" t="s">
        <v>53</v>
      </c>
      <c r="J25" s="9" t="s">
        <v>71</v>
      </c>
      <c r="K25" s="9" t="s">
        <v>70</v>
      </c>
      <c r="L25" s="9" t="s">
        <v>61</v>
      </c>
      <c r="M25" s="9">
        <v>4.0</v>
      </c>
      <c r="N25" s="9">
        <v>10.0</v>
      </c>
      <c r="O25" s="9">
        <v>0.0</v>
      </c>
      <c r="P25" s="9">
        <v>2877.0</v>
      </c>
      <c r="Q25" s="9">
        <v>150.0</v>
      </c>
      <c r="R25" s="9">
        <v>302.0</v>
      </c>
      <c r="S25" s="3">
        <f t="shared" si="1"/>
        <v>3.345348837</v>
      </c>
    </row>
    <row r="26" ht="16.5" customHeight="1">
      <c r="A26" s="9" t="s">
        <v>74</v>
      </c>
      <c r="B26" s="16">
        <v>45976.0</v>
      </c>
      <c r="C26" s="9" t="s">
        <v>49</v>
      </c>
      <c r="D26" s="9" t="s">
        <v>75</v>
      </c>
      <c r="E26" s="9">
        <v>627.0</v>
      </c>
      <c r="F26" s="9" t="s">
        <v>51</v>
      </c>
      <c r="G26" s="9" t="s">
        <v>58</v>
      </c>
      <c r="H26" s="9" t="s">
        <v>52</v>
      </c>
      <c r="I26" s="9" t="s">
        <v>59</v>
      </c>
      <c r="J26" s="9" t="s">
        <v>76</v>
      </c>
      <c r="K26" s="9" t="s">
        <v>56</v>
      </c>
      <c r="L26" s="9" t="s">
        <v>55</v>
      </c>
      <c r="M26" s="9">
        <v>5.0</v>
      </c>
      <c r="N26" s="9">
        <v>7.0</v>
      </c>
      <c r="O26" s="9">
        <v>0.0</v>
      </c>
      <c r="P26" s="9">
        <v>1354.0</v>
      </c>
      <c r="Q26" s="9">
        <v>125.0</v>
      </c>
      <c r="R26" s="9">
        <v>188.0</v>
      </c>
      <c r="S26" s="3">
        <f t="shared" si="1"/>
        <v>2.159489633</v>
      </c>
    </row>
    <row r="27" ht="16.5" customHeight="1">
      <c r="A27" s="9" t="s">
        <v>74</v>
      </c>
      <c r="B27" s="16">
        <v>45976.0</v>
      </c>
      <c r="C27" s="9" t="s">
        <v>49</v>
      </c>
      <c r="D27" s="9" t="s">
        <v>75</v>
      </c>
      <c r="E27" s="9">
        <v>627.0</v>
      </c>
      <c r="F27" s="9" t="s">
        <v>51</v>
      </c>
      <c r="G27" s="9" t="s">
        <v>58</v>
      </c>
      <c r="H27" s="9" t="s">
        <v>52</v>
      </c>
      <c r="I27" s="9" t="s">
        <v>59</v>
      </c>
      <c r="J27" s="9" t="s">
        <v>76</v>
      </c>
      <c r="K27" s="9" t="s">
        <v>56</v>
      </c>
      <c r="L27" s="9" t="s">
        <v>77</v>
      </c>
      <c r="M27" s="9">
        <v>2.0</v>
      </c>
      <c r="N27" s="9">
        <v>7.0</v>
      </c>
      <c r="O27" s="9">
        <v>0.0</v>
      </c>
      <c r="P27" s="9">
        <v>1179.0</v>
      </c>
      <c r="Q27" s="9">
        <v>63.0</v>
      </c>
      <c r="R27" s="9">
        <v>188.0</v>
      </c>
      <c r="S27" s="3">
        <f t="shared" si="1"/>
        <v>1.880382775</v>
      </c>
    </row>
    <row r="28" ht="16.5" customHeight="1">
      <c r="A28" s="9" t="s">
        <v>74</v>
      </c>
      <c r="B28" s="16">
        <v>45976.0</v>
      </c>
      <c r="C28" s="9" t="s">
        <v>49</v>
      </c>
      <c r="D28" s="9" t="s">
        <v>75</v>
      </c>
      <c r="E28" s="9">
        <v>627.0</v>
      </c>
      <c r="F28" s="9" t="s">
        <v>51</v>
      </c>
      <c r="G28" s="9" t="s">
        <v>58</v>
      </c>
      <c r="H28" s="9" t="s">
        <v>58</v>
      </c>
      <c r="I28" s="9" t="s">
        <v>53</v>
      </c>
      <c r="J28" s="9" t="s">
        <v>56</v>
      </c>
      <c r="K28" s="9" t="s">
        <v>76</v>
      </c>
      <c r="L28" s="9" t="s">
        <v>61</v>
      </c>
      <c r="M28" s="9">
        <v>8.0</v>
      </c>
      <c r="N28" s="9">
        <v>10.0</v>
      </c>
      <c r="O28" s="9">
        <v>0.0</v>
      </c>
      <c r="P28" s="9">
        <v>794.0</v>
      </c>
      <c r="Q28" s="9">
        <v>141.0</v>
      </c>
      <c r="R28" s="9">
        <v>234.0</v>
      </c>
      <c r="S28" s="3">
        <f t="shared" si="1"/>
        <v>1.266347687</v>
      </c>
    </row>
    <row r="29" ht="16.5" customHeight="1">
      <c r="A29" s="9" t="s">
        <v>74</v>
      </c>
      <c r="B29" s="16">
        <v>45976.0</v>
      </c>
      <c r="C29" s="9" t="s">
        <v>49</v>
      </c>
      <c r="D29" s="9" t="s">
        <v>75</v>
      </c>
      <c r="E29" s="9">
        <v>627.0</v>
      </c>
      <c r="F29" s="9" t="s">
        <v>51</v>
      </c>
      <c r="G29" s="9" t="s">
        <v>58</v>
      </c>
      <c r="H29" s="9" t="s">
        <v>58</v>
      </c>
      <c r="I29" s="9" t="s">
        <v>53</v>
      </c>
      <c r="J29" s="9" t="s">
        <v>56</v>
      </c>
      <c r="K29" s="9" t="s">
        <v>76</v>
      </c>
      <c r="L29" s="9" t="s">
        <v>60</v>
      </c>
      <c r="M29" s="9">
        <v>2.0</v>
      </c>
      <c r="N29" s="9">
        <v>10.0</v>
      </c>
      <c r="O29" s="9">
        <v>1.0</v>
      </c>
      <c r="P29" s="9">
        <v>1883.0</v>
      </c>
      <c r="Q29" s="9">
        <v>93.0</v>
      </c>
      <c r="R29" s="9">
        <v>234.0</v>
      </c>
      <c r="S29" s="3">
        <f t="shared" si="1"/>
        <v>3.003189793</v>
      </c>
    </row>
    <row r="30" ht="16.5" customHeight="1">
      <c r="A30" s="9" t="s">
        <v>78</v>
      </c>
      <c r="B30" s="16">
        <v>45976.0</v>
      </c>
      <c r="C30" s="9" t="s">
        <v>49</v>
      </c>
      <c r="D30" s="9" t="s">
        <v>79</v>
      </c>
      <c r="E30" s="9">
        <v>920.0</v>
      </c>
      <c r="F30" s="9" t="s">
        <v>51</v>
      </c>
      <c r="G30" s="9" t="s">
        <v>58</v>
      </c>
      <c r="H30" s="9" t="s">
        <v>52</v>
      </c>
      <c r="I30" s="9" t="s">
        <v>59</v>
      </c>
      <c r="J30" s="9" t="s">
        <v>76</v>
      </c>
      <c r="K30" s="9" t="s">
        <v>56</v>
      </c>
      <c r="L30" s="9" t="s">
        <v>55</v>
      </c>
      <c r="M30" s="9">
        <v>7.0</v>
      </c>
      <c r="N30" s="9">
        <v>8.0</v>
      </c>
      <c r="O30" s="9">
        <v>0.0</v>
      </c>
      <c r="P30" s="9">
        <v>2072.0</v>
      </c>
      <c r="Q30" s="9">
        <v>189.0</v>
      </c>
      <c r="R30" s="9">
        <v>256.0</v>
      </c>
      <c r="S30" s="3">
        <f t="shared" si="1"/>
        <v>2.252173913</v>
      </c>
    </row>
    <row r="31" ht="16.5" customHeight="1">
      <c r="A31" s="9" t="s">
        <v>78</v>
      </c>
      <c r="B31" s="16">
        <v>45976.0</v>
      </c>
      <c r="C31" s="9" t="s">
        <v>49</v>
      </c>
      <c r="D31" s="9" t="s">
        <v>79</v>
      </c>
      <c r="E31" s="9">
        <v>920.0</v>
      </c>
      <c r="F31" s="9" t="s">
        <v>51</v>
      </c>
      <c r="G31" s="9" t="s">
        <v>58</v>
      </c>
      <c r="H31" s="9" t="s">
        <v>52</v>
      </c>
      <c r="I31" s="9" t="s">
        <v>59</v>
      </c>
      <c r="J31" s="9" t="s">
        <v>76</v>
      </c>
      <c r="K31" s="9" t="s">
        <v>56</v>
      </c>
      <c r="L31" s="9" t="s">
        <v>77</v>
      </c>
      <c r="M31" s="9">
        <v>1.0</v>
      </c>
      <c r="N31" s="9">
        <v>8.0</v>
      </c>
      <c r="O31" s="9">
        <v>0.0</v>
      </c>
      <c r="P31" s="9">
        <v>1497.0</v>
      </c>
      <c r="Q31" s="9">
        <v>67.0</v>
      </c>
      <c r="R31" s="9">
        <v>256.0</v>
      </c>
      <c r="S31" s="3">
        <f t="shared" si="1"/>
        <v>1.627173913</v>
      </c>
    </row>
    <row r="32" ht="16.5" customHeight="1">
      <c r="A32" s="9" t="s">
        <v>78</v>
      </c>
      <c r="B32" s="16">
        <v>45976.0</v>
      </c>
      <c r="C32" s="9" t="s">
        <v>49</v>
      </c>
      <c r="D32" s="9" t="s">
        <v>79</v>
      </c>
      <c r="E32" s="9">
        <v>920.0</v>
      </c>
      <c r="F32" s="9" t="s">
        <v>51</v>
      </c>
      <c r="G32" s="9" t="s">
        <v>58</v>
      </c>
      <c r="H32" s="9" t="s">
        <v>58</v>
      </c>
      <c r="I32" s="9" t="s">
        <v>53</v>
      </c>
      <c r="J32" s="9" t="s">
        <v>56</v>
      </c>
      <c r="K32" s="9" t="s">
        <v>76</v>
      </c>
      <c r="L32" s="9" t="s">
        <v>61</v>
      </c>
      <c r="M32" s="9">
        <v>7.0</v>
      </c>
      <c r="N32" s="9">
        <v>10.0</v>
      </c>
      <c r="O32" s="9">
        <v>0.0</v>
      </c>
      <c r="P32" s="9">
        <v>1831.0</v>
      </c>
      <c r="Q32" s="9">
        <v>166.0</v>
      </c>
      <c r="R32" s="9">
        <v>303.0</v>
      </c>
      <c r="S32" s="3">
        <f t="shared" si="1"/>
        <v>1.990217391</v>
      </c>
    </row>
    <row r="33" ht="16.5" customHeight="1">
      <c r="A33" s="9" t="s">
        <v>78</v>
      </c>
      <c r="B33" s="16">
        <v>45976.0</v>
      </c>
      <c r="C33" s="9" t="s">
        <v>49</v>
      </c>
      <c r="D33" s="9" t="s">
        <v>79</v>
      </c>
      <c r="E33" s="9">
        <v>920.0</v>
      </c>
      <c r="F33" s="9" t="s">
        <v>51</v>
      </c>
      <c r="G33" s="9" t="s">
        <v>58</v>
      </c>
      <c r="H33" s="9" t="s">
        <v>58</v>
      </c>
      <c r="I33" s="9" t="s">
        <v>53</v>
      </c>
      <c r="J33" s="9" t="s">
        <v>56</v>
      </c>
      <c r="K33" s="9" t="s">
        <v>76</v>
      </c>
      <c r="L33" s="9" t="s">
        <v>60</v>
      </c>
      <c r="M33" s="9">
        <v>3.0</v>
      </c>
      <c r="N33" s="9">
        <v>10.0</v>
      </c>
      <c r="O33" s="9">
        <v>0.0</v>
      </c>
      <c r="P33" s="9">
        <v>2586.0</v>
      </c>
      <c r="Q33" s="9">
        <v>137.0</v>
      </c>
      <c r="R33" s="9">
        <v>303.0</v>
      </c>
      <c r="S33" s="3">
        <f t="shared" si="1"/>
        <v>2.810869565</v>
      </c>
    </row>
    <row r="34" ht="16.5" customHeight="1">
      <c r="A34" s="9" t="s">
        <v>80</v>
      </c>
      <c r="B34" s="16">
        <v>45976.0</v>
      </c>
      <c r="C34" s="9" t="s">
        <v>49</v>
      </c>
      <c r="D34" s="9" t="s">
        <v>81</v>
      </c>
      <c r="E34" s="9">
        <v>553.0</v>
      </c>
      <c r="F34" s="9" t="s">
        <v>51</v>
      </c>
      <c r="G34" s="9" t="s">
        <v>58</v>
      </c>
      <c r="H34" s="9" t="s">
        <v>52</v>
      </c>
      <c r="I34" s="9" t="s">
        <v>59</v>
      </c>
      <c r="J34" s="9" t="s">
        <v>82</v>
      </c>
      <c r="K34" s="9" t="s">
        <v>83</v>
      </c>
      <c r="L34" s="9" t="s">
        <v>60</v>
      </c>
      <c r="M34" s="9">
        <v>3.0</v>
      </c>
      <c r="N34" s="9">
        <v>3.0</v>
      </c>
      <c r="O34" s="9">
        <v>0.0</v>
      </c>
      <c r="P34" s="9">
        <v>1747.0</v>
      </c>
      <c r="Q34" s="9">
        <v>101.0</v>
      </c>
      <c r="R34" s="9">
        <v>160.0</v>
      </c>
      <c r="S34" s="3">
        <f t="shared" si="1"/>
        <v>3.159132007</v>
      </c>
    </row>
    <row r="35" ht="16.5" customHeight="1">
      <c r="A35" s="9" t="s">
        <v>80</v>
      </c>
      <c r="B35" s="16">
        <v>45976.0</v>
      </c>
      <c r="C35" s="9" t="s">
        <v>49</v>
      </c>
      <c r="D35" s="9" t="s">
        <v>81</v>
      </c>
      <c r="E35" s="9">
        <v>553.0</v>
      </c>
      <c r="F35" s="9" t="s">
        <v>51</v>
      </c>
      <c r="G35" s="9" t="s">
        <v>58</v>
      </c>
      <c r="H35" s="9" t="s">
        <v>52</v>
      </c>
      <c r="I35" s="9" t="s">
        <v>59</v>
      </c>
      <c r="J35" s="9" t="s">
        <v>82</v>
      </c>
      <c r="K35" s="9" t="s">
        <v>83</v>
      </c>
      <c r="L35" s="9" t="s">
        <v>77</v>
      </c>
      <c r="M35" s="9">
        <v>0.0</v>
      </c>
      <c r="N35" s="9">
        <v>3.0</v>
      </c>
      <c r="O35" s="9">
        <v>0.0</v>
      </c>
      <c r="P35" s="9">
        <v>1499.0</v>
      </c>
      <c r="Q35" s="9">
        <v>59.0</v>
      </c>
      <c r="R35" s="9">
        <v>160.0</v>
      </c>
      <c r="S35" s="3">
        <f t="shared" si="1"/>
        <v>2.710669078</v>
      </c>
    </row>
    <row r="36" ht="16.5" customHeight="1">
      <c r="A36" s="9" t="s">
        <v>80</v>
      </c>
      <c r="B36" s="16">
        <v>45976.0</v>
      </c>
      <c r="C36" s="9" t="s">
        <v>49</v>
      </c>
      <c r="D36" s="9" t="s">
        <v>81</v>
      </c>
      <c r="E36" s="9">
        <v>553.0</v>
      </c>
      <c r="F36" s="9" t="s">
        <v>51</v>
      </c>
      <c r="G36" s="9" t="s">
        <v>58</v>
      </c>
      <c r="H36" s="9" t="s">
        <v>58</v>
      </c>
      <c r="I36" s="9" t="s">
        <v>53</v>
      </c>
      <c r="J36" s="9" t="s">
        <v>83</v>
      </c>
      <c r="K36" s="9" t="s">
        <v>82</v>
      </c>
      <c r="L36" s="9" t="s">
        <v>55</v>
      </c>
      <c r="M36" s="9">
        <v>6.0</v>
      </c>
      <c r="N36" s="9">
        <v>10.0</v>
      </c>
      <c r="O36" s="9">
        <v>0.0</v>
      </c>
      <c r="P36" s="9">
        <v>2016.0</v>
      </c>
      <c r="Q36" s="9">
        <v>141.0</v>
      </c>
      <c r="R36" s="9">
        <v>230.0</v>
      </c>
      <c r="S36" s="3">
        <f t="shared" si="1"/>
        <v>3.64556962</v>
      </c>
    </row>
    <row r="37" ht="16.5" customHeight="1">
      <c r="A37" s="9" t="s">
        <v>80</v>
      </c>
      <c r="B37" s="16">
        <v>45976.0</v>
      </c>
      <c r="C37" s="9" t="s">
        <v>49</v>
      </c>
      <c r="D37" s="9" t="s">
        <v>81</v>
      </c>
      <c r="E37" s="9">
        <v>553.0</v>
      </c>
      <c r="F37" s="9" t="s">
        <v>51</v>
      </c>
      <c r="G37" s="9" t="s">
        <v>58</v>
      </c>
      <c r="H37" s="9" t="s">
        <v>58</v>
      </c>
      <c r="I37" s="9" t="s">
        <v>53</v>
      </c>
      <c r="J37" s="9" t="s">
        <v>83</v>
      </c>
      <c r="K37" s="9" t="s">
        <v>82</v>
      </c>
      <c r="L37" s="9" t="s">
        <v>61</v>
      </c>
      <c r="M37" s="9">
        <v>4.0</v>
      </c>
      <c r="N37" s="9">
        <v>10.0</v>
      </c>
      <c r="O37" s="9">
        <v>0.0</v>
      </c>
      <c r="P37" s="9">
        <v>619.0</v>
      </c>
      <c r="Q37" s="9">
        <v>89.0</v>
      </c>
      <c r="R37" s="9">
        <v>230.0</v>
      </c>
      <c r="S37" s="3">
        <f t="shared" si="1"/>
        <v>1.119349005</v>
      </c>
    </row>
    <row r="38" ht="16.5" customHeight="1">
      <c r="A38" s="9" t="s">
        <v>84</v>
      </c>
      <c r="B38" s="16">
        <v>45976.0</v>
      </c>
      <c r="C38" s="9" t="s">
        <v>49</v>
      </c>
      <c r="D38" s="9" t="s">
        <v>85</v>
      </c>
      <c r="E38" s="9">
        <v>410.0</v>
      </c>
      <c r="F38" s="9" t="s">
        <v>51</v>
      </c>
      <c r="G38" s="9" t="s">
        <v>58</v>
      </c>
      <c r="H38" s="9" t="s">
        <v>52</v>
      </c>
      <c r="I38" s="9" t="s">
        <v>59</v>
      </c>
      <c r="J38" s="9" t="s">
        <v>82</v>
      </c>
      <c r="K38" s="9" t="s">
        <v>83</v>
      </c>
      <c r="L38" s="9" t="s">
        <v>77</v>
      </c>
      <c r="M38" s="9">
        <v>2.0</v>
      </c>
      <c r="N38" s="9">
        <v>2.0</v>
      </c>
      <c r="O38" s="9">
        <v>0.0</v>
      </c>
      <c r="P38" s="9">
        <v>799.0</v>
      </c>
      <c r="Q38" s="9">
        <v>56.0</v>
      </c>
      <c r="R38" s="9">
        <v>93.0</v>
      </c>
      <c r="S38" s="3">
        <f t="shared" si="1"/>
        <v>1.948780488</v>
      </c>
    </row>
    <row r="39" ht="16.5" customHeight="1">
      <c r="A39" s="9" t="s">
        <v>84</v>
      </c>
      <c r="B39" s="16">
        <v>45976.0</v>
      </c>
      <c r="C39" s="9" t="s">
        <v>49</v>
      </c>
      <c r="D39" s="9" t="s">
        <v>85</v>
      </c>
      <c r="E39" s="9">
        <v>410.0</v>
      </c>
      <c r="F39" s="9" t="s">
        <v>51</v>
      </c>
      <c r="G39" s="9" t="s">
        <v>58</v>
      </c>
      <c r="H39" s="9" t="s">
        <v>52</v>
      </c>
      <c r="I39" s="9" t="s">
        <v>59</v>
      </c>
      <c r="J39" s="9" t="s">
        <v>82</v>
      </c>
      <c r="K39" s="9" t="s">
        <v>83</v>
      </c>
      <c r="L39" s="9" t="s">
        <v>60</v>
      </c>
      <c r="M39" s="9">
        <v>0.0</v>
      </c>
      <c r="N39" s="9">
        <v>2.0</v>
      </c>
      <c r="O39" s="9">
        <v>0.0</v>
      </c>
      <c r="P39" s="9">
        <v>1059.0</v>
      </c>
      <c r="Q39" s="9">
        <v>37.0</v>
      </c>
      <c r="R39" s="9">
        <v>93.0</v>
      </c>
      <c r="S39" s="3">
        <f t="shared" si="1"/>
        <v>2.582926829</v>
      </c>
    </row>
    <row r="40" ht="16.5" customHeight="1">
      <c r="A40" s="9" t="s">
        <v>84</v>
      </c>
      <c r="B40" s="16">
        <v>45976.0</v>
      </c>
      <c r="C40" s="9" t="s">
        <v>49</v>
      </c>
      <c r="D40" s="9" t="s">
        <v>85</v>
      </c>
      <c r="E40" s="9">
        <v>410.0</v>
      </c>
      <c r="F40" s="9" t="s">
        <v>51</v>
      </c>
      <c r="G40" s="9" t="s">
        <v>58</v>
      </c>
      <c r="H40" s="9" t="s">
        <v>58</v>
      </c>
      <c r="I40" s="9" t="s">
        <v>53</v>
      </c>
      <c r="J40" s="9" t="s">
        <v>83</v>
      </c>
      <c r="K40" s="9" t="s">
        <v>82</v>
      </c>
      <c r="L40" s="9" t="s">
        <v>61</v>
      </c>
      <c r="M40" s="9">
        <v>6.0</v>
      </c>
      <c r="N40" s="9">
        <v>10.0</v>
      </c>
      <c r="O40" s="9">
        <v>0.0</v>
      </c>
      <c r="P40" s="9">
        <v>997.0</v>
      </c>
      <c r="Q40" s="9">
        <v>114.0</v>
      </c>
      <c r="R40" s="9">
        <v>214.0</v>
      </c>
      <c r="S40" s="3">
        <f t="shared" si="1"/>
        <v>2.431707317</v>
      </c>
    </row>
    <row r="41" ht="16.5" customHeight="1">
      <c r="A41" s="9" t="s">
        <v>84</v>
      </c>
      <c r="B41" s="16">
        <v>45976.0</v>
      </c>
      <c r="C41" s="9" t="s">
        <v>49</v>
      </c>
      <c r="D41" s="9" t="s">
        <v>85</v>
      </c>
      <c r="E41" s="9">
        <v>410.0</v>
      </c>
      <c r="F41" s="9" t="s">
        <v>51</v>
      </c>
      <c r="G41" s="9" t="s">
        <v>58</v>
      </c>
      <c r="H41" s="9" t="s">
        <v>58</v>
      </c>
      <c r="I41" s="9" t="s">
        <v>53</v>
      </c>
      <c r="J41" s="9" t="s">
        <v>83</v>
      </c>
      <c r="K41" s="9" t="s">
        <v>82</v>
      </c>
      <c r="L41" s="9" t="s">
        <v>55</v>
      </c>
      <c r="M41" s="9">
        <v>4.0</v>
      </c>
      <c r="N41" s="9">
        <v>10.0</v>
      </c>
      <c r="O41" s="9">
        <v>1.0</v>
      </c>
      <c r="P41" s="9">
        <v>1283.0</v>
      </c>
      <c r="Q41" s="9">
        <v>100.0</v>
      </c>
      <c r="R41" s="9">
        <v>214.0</v>
      </c>
      <c r="S41" s="3">
        <f t="shared" si="1"/>
        <v>3.129268293</v>
      </c>
    </row>
    <row r="42" ht="16.5" customHeight="1">
      <c r="A42" s="9" t="s">
        <v>86</v>
      </c>
      <c r="B42" s="16">
        <v>45976.0</v>
      </c>
      <c r="C42" s="9" t="s">
        <v>49</v>
      </c>
      <c r="D42" s="9" t="s">
        <v>87</v>
      </c>
      <c r="E42" s="9">
        <v>671.0</v>
      </c>
      <c r="F42" s="9" t="s">
        <v>51</v>
      </c>
      <c r="G42" s="9" t="s">
        <v>52</v>
      </c>
      <c r="H42" s="9" t="s">
        <v>52</v>
      </c>
      <c r="I42" s="9" t="s">
        <v>53</v>
      </c>
      <c r="J42" s="9" t="s">
        <v>70</v>
      </c>
      <c r="K42" s="9" t="s">
        <v>88</v>
      </c>
      <c r="L42" s="9" t="s">
        <v>60</v>
      </c>
      <c r="M42" s="9">
        <v>7.0</v>
      </c>
      <c r="N42" s="9">
        <v>10.0</v>
      </c>
      <c r="O42" s="9">
        <v>1.0</v>
      </c>
      <c r="P42" s="9">
        <v>1409.0</v>
      </c>
      <c r="Q42" s="9">
        <v>170.0</v>
      </c>
      <c r="R42" s="9">
        <v>270.0</v>
      </c>
      <c r="S42" s="3">
        <f t="shared" si="1"/>
        <v>2.099850969</v>
      </c>
    </row>
    <row r="43" ht="16.5" customHeight="1">
      <c r="A43" s="9" t="s">
        <v>86</v>
      </c>
      <c r="B43" s="16">
        <v>45976.0</v>
      </c>
      <c r="C43" s="9" t="s">
        <v>49</v>
      </c>
      <c r="D43" s="9" t="s">
        <v>87</v>
      </c>
      <c r="E43" s="9">
        <v>671.0</v>
      </c>
      <c r="F43" s="9" t="s">
        <v>51</v>
      </c>
      <c r="G43" s="9" t="s">
        <v>52</v>
      </c>
      <c r="H43" s="9" t="s">
        <v>52</v>
      </c>
      <c r="I43" s="9" t="s">
        <v>53</v>
      </c>
      <c r="J43" s="9" t="s">
        <v>70</v>
      </c>
      <c r="K43" s="9" t="s">
        <v>88</v>
      </c>
      <c r="L43" s="9" t="s">
        <v>55</v>
      </c>
      <c r="M43" s="9">
        <v>3.0</v>
      </c>
      <c r="N43" s="9">
        <v>10.0</v>
      </c>
      <c r="O43" s="9">
        <v>1.0</v>
      </c>
      <c r="P43" s="9">
        <v>1672.0</v>
      </c>
      <c r="Q43" s="9">
        <v>100.0</v>
      </c>
      <c r="R43" s="9">
        <v>270.0</v>
      </c>
      <c r="S43" s="3">
        <f t="shared" si="1"/>
        <v>2.491803279</v>
      </c>
    </row>
    <row r="44" ht="16.5" customHeight="1">
      <c r="A44" s="9" t="s">
        <v>86</v>
      </c>
      <c r="B44" s="16">
        <v>45976.0</v>
      </c>
      <c r="C44" s="9" t="s">
        <v>49</v>
      </c>
      <c r="D44" s="9" t="s">
        <v>87</v>
      </c>
      <c r="E44" s="9">
        <v>671.0</v>
      </c>
      <c r="F44" s="9" t="s">
        <v>51</v>
      </c>
      <c r="G44" s="9" t="s">
        <v>52</v>
      </c>
      <c r="H44" s="9" t="s">
        <v>58</v>
      </c>
      <c r="I44" s="9" t="s">
        <v>59</v>
      </c>
      <c r="J44" s="9" t="s">
        <v>88</v>
      </c>
      <c r="K44" s="9" t="s">
        <v>70</v>
      </c>
      <c r="L44" s="9" t="s">
        <v>61</v>
      </c>
      <c r="M44" s="9">
        <v>6.0</v>
      </c>
      <c r="N44" s="9">
        <v>8.0</v>
      </c>
      <c r="O44" s="9">
        <v>0.0</v>
      </c>
      <c r="P44" s="9">
        <v>1415.0</v>
      </c>
      <c r="Q44" s="9">
        <v>135.0</v>
      </c>
      <c r="R44" s="9">
        <v>223.0</v>
      </c>
      <c r="S44" s="3">
        <f t="shared" si="1"/>
        <v>2.108792846</v>
      </c>
    </row>
    <row r="45" ht="16.5" customHeight="1">
      <c r="A45" s="9" t="s">
        <v>86</v>
      </c>
      <c r="B45" s="16">
        <v>45976.0</v>
      </c>
      <c r="C45" s="9" t="s">
        <v>49</v>
      </c>
      <c r="D45" s="9" t="s">
        <v>87</v>
      </c>
      <c r="E45" s="9">
        <v>671.0</v>
      </c>
      <c r="F45" s="9" t="s">
        <v>51</v>
      </c>
      <c r="G45" s="9" t="s">
        <v>52</v>
      </c>
      <c r="H45" s="9" t="s">
        <v>58</v>
      </c>
      <c r="I45" s="9" t="s">
        <v>59</v>
      </c>
      <c r="J45" s="9" t="s">
        <v>88</v>
      </c>
      <c r="K45" s="9" t="s">
        <v>70</v>
      </c>
      <c r="L45" s="9" t="s">
        <v>77</v>
      </c>
      <c r="M45" s="9">
        <v>2.0</v>
      </c>
      <c r="N45" s="9">
        <v>8.0</v>
      </c>
      <c r="O45" s="9">
        <v>0.0</v>
      </c>
      <c r="P45" s="9">
        <v>1995.0</v>
      </c>
      <c r="Q45" s="9">
        <v>88.0</v>
      </c>
      <c r="R45" s="9">
        <v>223.0</v>
      </c>
      <c r="S45" s="3">
        <f t="shared" si="1"/>
        <v>2.973174367</v>
      </c>
    </row>
    <row r="46" ht="16.5" customHeight="1">
      <c r="A46" s="9" t="s">
        <v>89</v>
      </c>
      <c r="B46" s="16">
        <v>45976.0</v>
      </c>
      <c r="C46" s="9" t="s">
        <v>49</v>
      </c>
      <c r="D46" s="9" t="s">
        <v>90</v>
      </c>
      <c r="E46" s="9">
        <v>667.0</v>
      </c>
      <c r="F46" s="9" t="s">
        <v>51</v>
      </c>
      <c r="G46" s="9" t="s">
        <v>52</v>
      </c>
      <c r="H46" s="9" t="s">
        <v>52</v>
      </c>
      <c r="I46" s="9" t="s">
        <v>53</v>
      </c>
      <c r="J46" s="9" t="s">
        <v>70</v>
      </c>
      <c r="K46" s="9" t="s">
        <v>88</v>
      </c>
      <c r="L46" s="9" t="s">
        <v>60</v>
      </c>
      <c r="M46" s="9">
        <v>7.0</v>
      </c>
      <c r="N46" s="9">
        <v>10.0</v>
      </c>
      <c r="O46" s="9">
        <v>0.0</v>
      </c>
      <c r="P46" s="9">
        <v>2400.0</v>
      </c>
      <c r="Q46" s="9">
        <v>175.0</v>
      </c>
      <c r="R46" s="9">
        <v>281.0</v>
      </c>
      <c r="S46" s="3">
        <f t="shared" si="1"/>
        <v>3.5982009</v>
      </c>
    </row>
    <row r="47" ht="16.5" customHeight="1">
      <c r="A47" s="9" t="s">
        <v>89</v>
      </c>
      <c r="B47" s="16">
        <v>45976.0</v>
      </c>
      <c r="C47" s="9" t="s">
        <v>49</v>
      </c>
      <c r="D47" s="9" t="s">
        <v>90</v>
      </c>
      <c r="E47" s="9">
        <v>667.0</v>
      </c>
      <c r="F47" s="9" t="s">
        <v>51</v>
      </c>
      <c r="G47" s="9" t="s">
        <v>52</v>
      </c>
      <c r="H47" s="9" t="s">
        <v>52</v>
      </c>
      <c r="I47" s="9" t="s">
        <v>53</v>
      </c>
      <c r="J47" s="9" t="s">
        <v>70</v>
      </c>
      <c r="K47" s="9" t="s">
        <v>88</v>
      </c>
      <c r="L47" s="9" t="s">
        <v>55</v>
      </c>
      <c r="M47" s="9">
        <v>3.0</v>
      </c>
      <c r="N47" s="9">
        <v>10.0</v>
      </c>
      <c r="O47" s="9">
        <v>0.0</v>
      </c>
      <c r="P47" s="9">
        <v>1602.0</v>
      </c>
      <c r="Q47" s="9">
        <v>106.0</v>
      </c>
      <c r="R47" s="9">
        <v>281.0</v>
      </c>
      <c r="S47" s="3">
        <f t="shared" si="1"/>
        <v>2.4017991</v>
      </c>
    </row>
    <row r="48" ht="16.5" customHeight="1">
      <c r="A48" s="9" t="s">
        <v>89</v>
      </c>
      <c r="B48" s="16">
        <v>45976.0</v>
      </c>
      <c r="C48" s="9" t="s">
        <v>49</v>
      </c>
      <c r="D48" s="9" t="s">
        <v>90</v>
      </c>
      <c r="E48" s="9">
        <v>667.0</v>
      </c>
      <c r="F48" s="9" t="s">
        <v>51</v>
      </c>
      <c r="G48" s="9" t="s">
        <v>52</v>
      </c>
      <c r="H48" s="9" t="s">
        <v>58</v>
      </c>
      <c r="I48" s="9" t="s">
        <v>59</v>
      </c>
      <c r="J48" s="9" t="s">
        <v>88</v>
      </c>
      <c r="K48" s="9" t="s">
        <v>70</v>
      </c>
      <c r="L48" s="9" t="s">
        <v>61</v>
      </c>
      <c r="M48" s="9">
        <v>5.0</v>
      </c>
      <c r="N48" s="9">
        <v>7.0</v>
      </c>
      <c r="O48" s="9">
        <v>0.0</v>
      </c>
      <c r="P48" s="9">
        <v>1768.0</v>
      </c>
      <c r="Q48" s="9">
        <v>121.0</v>
      </c>
      <c r="R48" s="9">
        <v>195.0</v>
      </c>
      <c r="S48" s="3">
        <f t="shared" si="1"/>
        <v>2.650674663</v>
      </c>
    </row>
    <row r="49" ht="16.5" customHeight="1">
      <c r="A49" s="9" t="s">
        <v>89</v>
      </c>
      <c r="B49" s="16">
        <v>45976.0</v>
      </c>
      <c r="C49" s="9" t="s">
        <v>49</v>
      </c>
      <c r="D49" s="9" t="s">
        <v>90</v>
      </c>
      <c r="E49" s="9">
        <v>667.0</v>
      </c>
      <c r="F49" s="9" t="s">
        <v>51</v>
      </c>
      <c r="G49" s="9" t="s">
        <v>52</v>
      </c>
      <c r="H49" s="9" t="s">
        <v>58</v>
      </c>
      <c r="I49" s="9" t="s">
        <v>59</v>
      </c>
      <c r="J49" s="9" t="s">
        <v>88</v>
      </c>
      <c r="K49" s="9" t="s">
        <v>70</v>
      </c>
      <c r="L49" s="9" t="s">
        <v>77</v>
      </c>
      <c r="M49" s="9">
        <v>2.0</v>
      </c>
      <c r="N49" s="9">
        <v>7.0</v>
      </c>
      <c r="O49" s="9">
        <v>0.0</v>
      </c>
      <c r="P49" s="9">
        <v>1452.0</v>
      </c>
      <c r="Q49" s="9">
        <v>74.0</v>
      </c>
      <c r="R49" s="9">
        <v>195.0</v>
      </c>
      <c r="S49" s="3">
        <f t="shared" si="1"/>
        <v>2.176911544</v>
      </c>
    </row>
    <row r="50" ht="16.5" customHeight="1">
      <c r="A50" s="9" t="s">
        <v>91</v>
      </c>
      <c r="B50" s="16">
        <v>45976.0</v>
      </c>
      <c r="C50" s="9" t="s">
        <v>49</v>
      </c>
      <c r="D50" s="9" t="s">
        <v>92</v>
      </c>
      <c r="E50" s="9">
        <v>764.0</v>
      </c>
      <c r="F50" s="9" t="s">
        <v>51</v>
      </c>
      <c r="G50" s="9" t="s">
        <v>52</v>
      </c>
      <c r="H50" s="9" t="s">
        <v>52</v>
      </c>
      <c r="I50" s="9" t="s">
        <v>53</v>
      </c>
      <c r="J50" s="9" t="s">
        <v>70</v>
      </c>
      <c r="K50" s="9" t="s">
        <v>88</v>
      </c>
      <c r="L50" s="9" t="s">
        <v>55</v>
      </c>
      <c r="M50" s="9">
        <v>6.0</v>
      </c>
      <c r="N50" s="9">
        <v>10.0</v>
      </c>
      <c r="O50" s="9">
        <v>1.0</v>
      </c>
      <c r="P50" s="9">
        <v>1897.0</v>
      </c>
      <c r="Q50" s="9">
        <v>157.0</v>
      </c>
      <c r="R50" s="9">
        <v>307.0</v>
      </c>
      <c r="S50" s="3">
        <f t="shared" si="1"/>
        <v>2.482984293</v>
      </c>
    </row>
    <row r="51" ht="16.5" customHeight="1">
      <c r="A51" s="9" t="s">
        <v>91</v>
      </c>
      <c r="B51" s="16">
        <v>45976.0</v>
      </c>
      <c r="C51" s="9" t="s">
        <v>49</v>
      </c>
      <c r="D51" s="9" t="s">
        <v>92</v>
      </c>
      <c r="E51" s="9">
        <v>764.0</v>
      </c>
      <c r="F51" s="9" t="s">
        <v>51</v>
      </c>
      <c r="G51" s="9" t="s">
        <v>52</v>
      </c>
      <c r="H51" s="9" t="s">
        <v>52</v>
      </c>
      <c r="I51" s="9" t="s">
        <v>53</v>
      </c>
      <c r="J51" s="9" t="s">
        <v>70</v>
      </c>
      <c r="K51" s="9" t="s">
        <v>88</v>
      </c>
      <c r="L51" s="9" t="s">
        <v>60</v>
      </c>
      <c r="M51" s="9">
        <v>4.0</v>
      </c>
      <c r="N51" s="9">
        <v>10.0</v>
      </c>
      <c r="O51" s="9">
        <v>1.0</v>
      </c>
      <c r="P51" s="9">
        <v>2228.0</v>
      </c>
      <c r="Q51" s="9">
        <v>150.0</v>
      </c>
      <c r="R51" s="9">
        <v>307.0</v>
      </c>
      <c r="S51" s="3">
        <f t="shared" si="1"/>
        <v>2.916230366</v>
      </c>
    </row>
    <row r="52" ht="16.5" customHeight="1">
      <c r="A52" s="9" t="s">
        <v>91</v>
      </c>
      <c r="B52" s="16">
        <v>45976.0</v>
      </c>
      <c r="C52" s="9" t="s">
        <v>49</v>
      </c>
      <c r="D52" s="9" t="s">
        <v>92</v>
      </c>
      <c r="E52" s="9">
        <v>764.0</v>
      </c>
      <c r="F52" s="9" t="s">
        <v>51</v>
      </c>
      <c r="G52" s="9" t="s">
        <v>52</v>
      </c>
      <c r="H52" s="9" t="s">
        <v>58</v>
      </c>
      <c r="I52" s="9" t="s">
        <v>59</v>
      </c>
      <c r="J52" s="9" t="s">
        <v>88</v>
      </c>
      <c r="K52" s="9" t="s">
        <v>70</v>
      </c>
      <c r="L52" s="9" t="s">
        <v>61</v>
      </c>
      <c r="M52" s="9">
        <v>6.0</v>
      </c>
      <c r="N52" s="9">
        <v>7.0</v>
      </c>
      <c r="O52" s="9">
        <v>0.0</v>
      </c>
      <c r="P52" s="9">
        <v>1749.0</v>
      </c>
      <c r="Q52" s="9">
        <v>155.0</v>
      </c>
      <c r="R52" s="9">
        <v>245.0</v>
      </c>
      <c r="S52" s="3">
        <f t="shared" si="1"/>
        <v>2.289267016</v>
      </c>
    </row>
    <row r="53" ht="16.5" customHeight="1">
      <c r="A53" s="9" t="s">
        <v>91</v>
      </c>
      <c r="B53" s="16">
        <v>45976.0</v>
      </c>
      <c r="C53" s="9" t="s">
        <v>49</v>
      </c>
      <c r="D53" s="9" t="s">
        <v>92</v>
      </c>
      <c r="E53" s="9">
        <v>764.0</v>
      </c>
      <c r="F53" s="9" t="s">
        <v>51</v>
      </c>
      <c r="G53" s="9" t="s">
        <v>52</v>
      </c>
      <c r="H53" s="9" t="s">
        <v>58</v>
      </c>
      <c r="I53" s="9" t="s">
        <v>59</v>
      </c>
      <c r="J53" s="9" t="s">
        <v>88</v>
      </c>
      <c r="K53" s="9" t="s">
        <v>70</v>
      </c>
      <c r="L53" s="9" t="s">
        <v>77</v>
      </c>
      <c r="M53" s="9">
        <v>1.0</v>
      </c>
      <c r="N53" s="9">
        <v>7.0</v>
      </c>
      <c r="O53" s="9">
        <v>1.0</v>
      </c>
      <c r="P53" s="9">
        <v>2088.0</v>
      </c>
      <c r="Q53" s="9">
        <v>90.0</v>
      </c>
      <c r="R53" s="9">
        <v>245.0</v>
      </c>
      <c r="S53" s="3">
        <f t="shared" si="1"/>
        <v>2.732984293</v>
      </c>
    </row>
    <row r="54" ht="16.5" customHeight="1">
      <c r="A54" s="9" t="s">
        <v>93</v>
      </c>
      <c r="B54" s="16">
        <v>45976.0</v>
      </c>
      <c r="C54" s="9" t="s">
        <v>49</v>
      </c>
      <c r="D54" s="9" t="s">
        <v>94</v>
      </c>
      <c r="E54" s="9">
        <v>786.0</v>
      </c>
      <c r="F54" s="9" t="s">
        <v>51</v>
      </c>
      <c r="G54" s="9" t="s">
        <v>58</v>
      </c>
      <c r="H54" s="9" t="s">
        <v>52</v>
      </c>
      <c r="I54" s="9" t="s">
        <v>59</v>
      </c>
      <c r="J54" s="9" t="s">
        <v>82</v>
      </c>
      <c r="K54" s="9" t="s">
        <v>83</v>
      </c>
      <c r="L54" s="9" t="s">
        <v>60</v>
      </c>
      <c r="M54" s="9">
        <v>5.0</v>
      </c>
      <c r="N54" s="9">
        <v>9.0</v>
      </c>
      <c r="O54" s="9">
        <v>0.0</v>
      </c>
      <c r="P54" s="9">
        <v>3105.0</v>
      </c>
      <c r="Q54" s="9">
        <v>179.0</v>
      </c>
      <c r="R54" s="9">
        <v>304.0</v>
      </c>
      <c r="S54" s="3">
        <f t="shared" si="1"/>
        <v>3.950381679</v>
      </c>
    </row>
    <row r="55" ht="16.5" customHeight="1">
      <c r="A55" s="9" t="s">
        <v>93</v>
      </c>
      <c r="B55" s="16">
        <v>45976.0</v>
      </c>
      <c r="C55" s="9" t="s">
        <v>49</v>
      </c>
      <c r="D55" s="9" t="s">
        <v>94</v>
      </c>
      <c r="E55" s="9">
        <v>786.0</v>
      </c>
      <c r="F55" s="9" t="s">
        <v>51</v>
      </c>
      <c r="G55" s="9" t="s">
        <v>58</v>
      </c>
      <c r="H55" s="9" t="s">
        <v>52</v>
      </c>
      <c r="I55" s="9" t="s">
        <v>59</v>
      </c>
      <c r="J55" s="9" t="s">
        <v>82</v>
      </c>
      <c r="K55" s="9" t="s">
        <v>83</v>
      </c>
      <c r="L55" s="9" t="s">
        <v>77</v>
      </c>
      <c r="M55" s="9">
        <v>4.0</v>
      </c>
      <c r="N55" s="9">
        <v>9.0</v>
      </c>
      <c r="O55" s="9">
        <v>0.0</v>
      </c>
      <c r="P55" s="9">
        <v>2216.0</v>
      </c>
      <c r="Q55" s="9">
        <v>125.0</v>
      </c>
      <c r="R55" s="9">
        <v>304.0</v>
      </c>
      <c r="S55" s="3">
        <f t="shared" si="1"/>
        <v>2.819338422</v>
      </c>
    </row>
    <row r="56" ht="16.5" customHeight="1">
      <c r="A56" s="9" t="s">
        <v>93</v>
      </c>
      <c r="B56" s="16">
        <v>45976.0</v>
      </c>
      <c r="C56" s="9" t="s">
        <v>49</v>
      </c>
      <c r="D56" s="9" t="s">
        <v>94</v>
      </c>
      <c r="E56" s="9">
        <v>786.0</v>
      </c>
      <c r="F56" s="9" t="s">
        <v>51</v>
      </c>
      <c r="G56" s="9" t="s">
        <v>58</v>
      </c>
      <c r="H56" s="9" t="s">
        <v>58</v>
      </c>
      <c r="I56" s="9" t="s">
        <v>53</v>
      </c>
      <c r="J56" s="9" t="s">
        <v>83</v>
      </c>
      <c r="K56" s="9" t="s">
        <v>82</v>
      </c>
      <c r="L56" s="9" t="s">
        <v>61</v>
      </c>
      <c r="M56" s="9">
        <v>7.0</v>
      </c>
      <c r="N56" s="9">
        <v>10.0</v>
      </c>
      <c r="O56" s="9">
        <v>0.0</v>
      </c>
      <c r="P56" s="9">
        <v>1194.0</v>
      </c>
      <c r="Q56" s="9">
        <v>149.0</v>
      </c>
      <c r="R56" s="9">
        <v>264.0</v>
      </c>
      <c r="S56" s="3">
        <f t="shared" si="1"/>
        <v>1.519083969</v>
      </c>
    </row>
    <row r="57" ht="16.5" customHeight="1">
      <c r="A57" s="9" t="s">
        <v>93</v>
      </c>
      <c r="B57" s="16">
        <v>45976.0</v>
      </c>
      <c r="C57" s="9" t="s">
        <v>49</v>
      </c>
      <c r="D57" s="9" t="s">
        <v>94</v>
      </c>
      <c r="E57" s="9">
        <v>786.0</v>
      </c>
      <c r="F57" s="9" t="s">
        <v>51</v>
      </c>
      <c r="G57" s="9" t="s">
        <v>58</v>
      </c>
      <c r="H57" s="9" t="s">
        <v>58</v>
      </c>
      <c r="I57" s="9" t="s">
        <v>53</v>
      </c>
      <c r="J57" s="9" t="s">
        <v>83</v>
      </c>
      <c r="K57" s="9" t="s">
        <v>82</v>
      </c>
      <c r="L57" s="9" t="s">
        <v>55</v>
      </c>
      <c r="M57" s="9">
        <v>3.0</v>
      </c>
      <c r="N57" s="9">
        <v>10.0</v>
      </c>
      <c r="O57" s="9">
        <v>0.0</v>
      </c>
      <c r="P57" s="9">
        <v>1813.0</v>
      </c>
      <c r="Q57" s="9">
        <v>115.0</v>
      </c>
      <c r="R57" s="9">
        <v>264.0</v>
      </c>
      <c r="S57" s="3">
        <f t="shared" si="1"/>
        <v>2.306615776</v>
      </c>
    </row>
    <row r="58" ht="16.5" customHeight="1">
      <c r="A58" s="9" t="s">
        <v>95</v>
      </c>
      <c r="B58" s="16">
        <v>45976.0</v>
      </c>
      <c r="C58" s="9" t="s">
        <v>49</v>
      </c>
      <c r="D58" s="9" t="s">
        <v>96</v>
      </c>
      <c r="E58" s="9">
        <v>1018.0</v>
      </c>
      <c r="F58" s="9" t="s">
        <v>97</v>
      </c>
      <c r="G58" s="9" t="s">
        <v>58</v>
      </c>
      <c r="H58" s="9" t="s">
        <v>52</v>
      </c>
      <c r="I58" s="9" t="s">
        <v>59</v>
      </c>
      <c r="J58" s="9" t="s">
        <v>98</v>
      </c>
      <c r="K58" s="9" t="s">
        <v>99</v>
      </c>
      <c r="L58" s="9" t="s">
        <v>55</v>
      </c>
      <c r="M58" s="9">
        <v>2.0</v>
      </c>
      <c r="N58" s="9">
        <v>8.0</v>
      </c>
      <c r="O58" s="9">
        <v>0.0</v>
      </c>
      <c r="P58" s="9">
        <v>3302.0</v>
      </c>
      <c r="Q58" s="9">
        <v>156.0</v>
      </c>
      <c r="R58" s="9">
        <v>381.0</v>
      </c>
      <c r="S58" s="3">
        <f t="shared" si="1"/>
        <v>3.243614931</v>
      </c>
    </row>
    <row r="59" ht="16.5" customHeight="1">
      <c r="A59" s="9" t="s">
        <v>95</v>
      </c>
      <c r="B59" s="16">
        <v>45976.0</v>
      </c>
      <c r="C59" s="9" t="s">
        <v>49</v>
      </c>
      <c r="D59" s="9" t="s">
        <v>96</v>
      </c>
      <c r="E59" s="9">
        <v>1018.0</v>
      </c>
      <c r="F59" s="9" t="s">
        <v>97</v>
      </c>
      <c r="G59" s="9" t="s">
        <v>58</v>
      </c>
      <c r="H59" s="9" t="s">
        <v>52</v>
      </c>
      <c r="I59" s="9" t="s">
        <v>59</v>
      </c>
      <c r="J59" s="9" t="s">
        <v>98</v>
      </c>
      <c r="K59" s="9" t="s">
        <v>99</v>
      </c>
      <c r="L59" s="9" t="s">
        <v>77</v>
      </c>
      <c r="M59" s="9">
        <v>1.0</v>
      </c>
      <c r="N59" s="9">
        <v>8.0</v>
      </c>
      <c r="O59" s="9">
        <v>1.0</v>
      </c>
      <c r="P59" s="9">
        <v>2562.0</v>
      </c>
      <c r="Q59" s="9">
        <v>116.0</v>
      </c>
      <c r="R59" s="9">
        <v>381.0</v>
      </c>
      <c r="S59" s="3">
        <f t="shared" si="1"/>
        <v>2.516699411</v>
      </c>
    </row>
    <row r="60" ht="16.5" customHeight="1">
      <c r="A60" s="9" t="s">
        <v>95</v>
      </c>
      <c r="B60" s="16">
        <v>45976.0</v>
      </c>
      <c r="C60" s="9" t="s">
        <v>49</v>
      </c>
      <c r="D60" s="9" t="s">
        <v>96</v>
      </c>
      <c r="E60" s="9">
        <v>1018.0</v>
      </c>
      <c r="F60" s="9" t="s">
        <v>97</v>
      </c>
      <c r="G60" s="9" t="s">
        <v>58</v>
      </c>
      <c r="H60" s="9" t="s">
        <v>52</v>
      </c>
      <c r="I60" s="9" t="s">
        <v>59</v>
      </c>
      <c r="J60" s="9" t="s">
        <v>98</v>
      </c>
      <c r="K60" s="9" t="s">
        <v>99</v>
      </c>
      <c r="L60" s="9" t="s">
        <v>60</v>
      </c>
      <c r="M60" s="9">
        <v>5.0</v>
      </c>
      <c r="N60" s="9">
        <v>8.0</v>
      </c>
      <c r="O60" s="9">
        <v>0.0</v>
      </c>
      <c r="P60" s="9">
        <v>1173.0</v>
      </c>
      <c r="Q60" s="9">
        <v>109.0</v>
      </c>
      <c r="R60" s="9">
        <v>381.0</v>
      </c>
      <c r="S60" s="3">
        <f t="shared" si="1"/>
        <v>1.152259332</v>
      </c>
    </row>
    <row r="61" ht="16.5" customHeight="1">
      <c r="A61" s="9" t="s">
        <v>95</v>
      </c>
      <c r="B61" s="16">
        <v>45976.0</v>
      </c>
      <c r="C61" s="9" t="s">
        <v>49</v>
      </c>
      <c r="D61" s="9" t="s">
        <v>96</v>
      </c>
      <c r="E61" s="9">
        <v>1018.0</v>
      </c>
      <c r="F61" s="9" t="s">
        <v>97</v>
      </c>
      <c r="G61" s="9" t="s">
        <v>58</v>
      </c>
      <c r="H61" s="9" t="s">
        <v>58</v>
      </c>
      <c r="I61" s="9" t="s">
        <v>53</v>
      </c>
      <c r="J61" s="9" t="s">
        <v>99</v>
      </c>
      <c r="K61" s="9" t="s">
        <v>98</v>
      </c>
      <c r="L61" s="9" t="s">
        <v>61</v>
      </c>
      <c r="M61" s="9">
        <v>4.0</v>
      </c>
      <c r="N61" s="9">
        <v>10.0</v>
      </c>
      <c r="O61" s="9">
        <v>0.0</v>
      </c>
      <c r="P61" s="9">
        <v>3978.0</v>
      </c>
      <c r="Q61" s="9">
        <v>183.0</v>
      </c>
      <c r="R61" s="9">
        <v>440.0</v>
      </c>
      <c r="S61" s="3">
        <f t="shared" si="1"/>
        <v>3.907662083</v>
      </c>
    </row>
    <row r="62" ht="16.5" customHeight="1">
      <c r="A62" s="9" t="s">
        <v>95</v>
      </c>
      <c r="B62" s="16">
        <v>45976.0</v>
      </c>
      <c r="C62" s="9" t="s">
        <v>49</v>
      </c>
      <c r="D62" s="9" t="s">
        <v>96</v>
      </c>
      <c r="E62" s="9">
        <v>1018.0</v>
      </c>
      <c r="F62" s="9" t="s">
        <v>97</v>
      </c>
      <c r="G62" s="9" t="s">
        <v>58</v>
      </c>
      <c r="H62" s="9" t="s">
        <v>58</v>
      </c>
      <c r="I62" s="9" t="s">
        <v>53</v>
      </c>
      <c r="J62" s="9" t="s">
        <v>99</v>
      </c>
      <c r="K62" s="9" t="s">
        <v>98</v>
      </c>
      <c r="L62" s="9" t="s">
        <v>57</v>
      </c>
      <c r="M62" s="9">
        <v>3.0</v>
      </c>
      <c r="N62" s="9">
        <v>10.0</v>
      </c>
      <c r="O62" s="9">
        <v>0.0</v>
      </c>
      <c r="P62" s="9">
        <v>2268.0</v>
      </c>
      <c r="Q62" s="9">
        <v>162.0</v>
      </c>
      <c r="R62" s="9">
        <v>440.0</v>
      </c>
      <c r="S62" s="3">
        <f t="shared" si="1"/>
        <v>2.227897839</v>
      </c>
    </row>
    <row r="63" ht="16.5" customHeight="1">
      <c r="A63" s="9" t="s">
        <v>95</v>
      </c>
      <c r="B63" s="16">
        <v>45976.0</v>
      </c>
      <c r="C63" s="9" t="s">
        <v>49</v>
      </c>
      <c r="D63" s="9" t="s">
        <v>96</v>
      </c>
      <c r="E63" s="9">
        <v>1018.0</v>
      </c>
      <c r="F63" s="9" t="s">
        <v>97</v>
      </c>
      <c r="G63" s="9" t="s">
        <v>58</v>
      </c>
      <c r="H63" s="9" t="s">
        <v>58</v>
      </c>
      <c r="I63" s="9" t="s">
        <v>53</v>
      </c>
      <c r="J63" s="9" t="s">
        <v>99</v>
      </c>
      <c r="K63" s="9" t="s">
        <v>98</v>
      </c>
      <c r="L63" s="9" t="s">
        <v>100</v>
      </c>
      <c r="M63" s="9">
        <v>3.0</v>
      </c>
      <c r="N63" s="9">
        <v>10.0</v>
      </c>
      <c r="O63" s="9">
        <v>0.0</v>
      </c>
      <c r="P63" s="9">
        <v>1431.0</v>
      </c>
      <c r="Q63" s="9">
        <v>95.0</v>
      </c>
      <c r="R63" s="9">
        <v>440.0</v>
      </c>
      <c r="S63" s="3">
        <f t="shared" si="1"/>
        <v>1.405697446</v>
      </c>
    </row>
    <row r="64" ht="16.5" customHeight="1">
      <c r="A64" s="9" t="s">
        <v>101</v>
      </c>
      <c r="B64" s="16">
        <v>45977.0</v>
      </c>
      <c r="C64" s="9" t="s">
        <v>49</v>
      </c>
      <c r="D64" s="9" t="s">
        <v>102</v>
      </c>
      <c r="E64" s="9">
        <v>1026.0</v>
      </c>
      <c r="F64" s="9" t="s">
        <v>97</v>
      </c>
      <c r="G64" s="9" t="s">
        <v>58</v>
      </c>
      <c r="H64" s="9" t="s">
        <v>52</v>
      </c>
      <c r="I64" s="9" t="s">
        <v>59</v>
      </c>
      <c r="J64" s="9" t="s">
        <v>103</v>
      </c>
      <c r="K64" s="9" t="s">
        <v>104</v>
      </c>
      <c r="L64" s="9" t="s">
        <v>55</v>
      </c>
      <c r="M64" s="9">
        <v>5.0</v>
      </c>
      <c r="N64" s="9">
        <v>7.0</v>
      </c>
      <c r="O64" s="9">
        <v>1.0</v>
      </c>
      <c r="P64" s="9">
        <v>3684.0</v>
      </c>
      <c r="Q64" s="9">
        <v>198.0</v>
      </c>
      <c r="R64" s="9">
        <v>473.0</v>
      </c>
      <c r="S64" s="3">
        <f t="shared" si="1"/>
        <v>3.590643275</v>
      </c>
    </row>
    <row r="65" ht="16.5" customHeight="1">
      <c r="A65" s="9" t="s">
        <v>101</v>
      </c>
      <c r="B65" s="16">
        <v>45977.0</v>
      </c>
      <c r="C65" s="9" t="s">
        <v>49</v>
      </c>
      <c r="D65" s="9" t="s">
        <v>102</v>
      </c>
      <c r="E65" s="9">
        <v>1026.0</v>
      </c>
      <c r="F65" s="9" t="s">
        <v>97</v>
      </c>
      <c r="G65" s="9" t="s">
        <v>58</v>
      </c>
      <c r="H65" s="9" t="s">
        <v>52</v>
      </c>
      <c r="I65" s="9" t="s">
        <v>59</v>
      </c>
      <c r="J65" s="9" t="s">
        <v>103</v>
      </c>
      <c r="K65" s="9" t="s">
        <v>104</v>
      </c>
      <c r="L65" s="9" t="s">
        <v>57</v>
      </c>
      <c r="M65" s="9">
        <v>2.0</v>
      </c>
      <c r="N65" s="9">
        <v>7.0</v>
      </c>
      <c r="O65" s="9">
        <v>1.0</v>
      </c>
      <c r="P65" s="9">
        <v>2395.0</v>
      </c>
      <c r="Q65" s="9">
        <v>154.0</v>
      </c>
      <c r="R65" s="9">
        <v>473.0</v>
      </c>
      <c r="S65" s="3">
        <f t="shared" si="1"/>
        <v>2.334307992</v>
      </c>
    </row>
    <row r="66" ht="16.5" customHeight="1">
      <c r="A66" s="9" t="s">
        <v>101</v>
      </c>
      <c r="B66" s="16">
        <v>45977.0</v>
      </c>
      <c r="C66" s="9" t="s">
        <v>49</v>
      </c>
      <c r="D66" s="9" t="s">
        <v>102</v>
      </c>
      <c r="E66" s="9">
        <v>1026.0</v>
      </c>
      <c r="F66" s="9" t="s">
        <v>97</v>
      </c>
      <c r="G66" s="9" t="s">
        <v>58</v>
      </c>
      <c r="H66" s="9" t="s">
        <v>52</v>
      </c>
      <c r="I66" s="9" t="s">
        <v>59</v>
      </c>
      <c r="J66" s="9" t="s">
        <v>103</v>
      </c>
      <c r="K66" s="9" t="s">
        <v>104</v>
      </c>
      <c r="L66" s="9" t="s">
        <v>77</v>
      </c>
      <c r="M66" s="9">
        <v>0.0</v>
      </c>
      <c r="N66" s="9">
        <v>7.0</v>
      </c>
      <c r="O66" s="9">
        <v>2.0</v>
      </c>
      <c r="P66" s="9">
        <v>2433.0</v>
      </c>
      <c r="Q66" s="9">
        <v>121.0</v>
      </c>
      <c r="R66" s="9">
        <v>473.0</v>
      </c>
      <c r="S66" s="3">
        <f t="shared" si="1"/>
        <v>2.371345029</v>
      </c>
    </row>
    <row r="67" ht="16.5" customHeight="1">
      <c r="A67" s="9" t="s">
        <v>101</v>
      </c>
      <c r="B67" s="16">
        <v>45977.0</v>
      </c>
      <c r="C67" s="9" t="s">
        <v>49</v>
      </c>
      <c r="D67" s="9" t="s">
        <v>102</v>
      </c>
      <c r="E67" s="9">
        <v>1026.0</v>
      </c>
      <c r="F67" s="9" t="s">
        <v>97</v>
      </c>
      <c r="G67" s="9" t="s">
        <v>58</v>
      </c>
      <c r="H67" s="9" t="s">
        <v>58</v>
      </c>
      <c r="I67" s="9" t="s">
        <v>53</v>
      </c>
      <c r="J67" s="9" t="s">
        <v>104</v>
      </c>
      <c r="K67" s="9" t="s">
        <v>103</v>
      </c>
      <c r="L67" s="9" t="s">
        <v>61</v>
      </c>
      <c r="M67" s="9">
        <v>8.0</v>
      </c>
      <c r="N67" s="9">
        <v>10.0</v>
      </c>
      <c r="O67" s="9">
        <v>1.0</v>
      </c>
      <c r="P67" s="9">
        <v>3318.0</v>
      </c>
      <c r="Q67" s="9">
        <v>227.0</v>
      </c>
      <c r="R67" s="9">
        <v>479.0</v>
      </c>
      <c r="S67" s="3">
        <f t="shared" si="1"/>
        <v>3.233918129</v>
      </c>
    </row>
    <row r="68" ht="16.5" customHeight="1">
      <c r="A68" s="9" t="s">
        <v>101</v>
      </c>
      <c r="B68" s="16">
        <v>45977.0</v>
      </c>
      <c r="C68" s="9" t="s">
        <v>49</v>
      </c>
      <c r="D68" s="9" t="s">
        <v>102</v>
      </c>
      <c r="E68" s="9">
        <v>1026.0</v>
      </c>
      <c r="F68" s="9" t="s">
        <v>97</v>
      </c>
      <c r="G68" s="9" t="s">
        <v>58</v>
      </c>
      <c r="H68" s="9" t="s">
        <v>58</v>
      </c>
      <c r="I68" s="9" t="s">
        <v>53</v>
      </c>
      <c r="J68" s="9" t="s">
        <v>104</v>
      </c>
      <c r="K68" s="9" t="s">
        <v>103</v>
      </c>
      <c r="L68" s="9" t="s">
        <v>60</v>
      </c>
      <c r="M68" s="9">
        <v>0.0</v>
      </c>
      <c r="N68" s="9">
        <v>10.0</v>
      </c>
      <c r="O68" s="9">
        <v>0.0</v>
      </c>
      <c r="P68" s="9">
        <v>3858.0</v>
      </c>
      <c r="Q68" s="9">
        <v>132.0</v>
      </c>
      <c r="R68" s="9">
        <v>479.0</v>
      </c>
      <c r="S68" s="3">
        <f t="shared" si="1"/>
        <v>3.760233918</v>
      </c>
    </row>
    <row r="69" ht="16.5" customHeight="1">
      <c r="A69" s="9" t="s">
        <v>101</v>
      </c>
      <c r="B69" s="16">
        <v>45977.0</v>
      </c>
      <c r="C69" s="9" t="s">
        <v>49</v>
      </c>
      <c r="D69" s="9" t="s">
        <v>102</v>
      </c>
      <c r="E69" s="9">
        <v>1026.0</v>
      </c>
      <c r="F69" s="9" t="s">
        <v>97</v>
      </c>
      <c r="G69" s="9" t="s">
        <v>58</v>
      </c>
      <c r="H69" s="9" t="s">
        <v>58</v>
      </c>
      <c r="I69" s="9" t="s">
        <v>53</v>
      </c>
      <c r="J69" s="9" t="s">
        <v>104</v>
      </c>
      <c r="K69" s="9" t="s">
        <v>103</v>
      </c>
      <c r="L69" s="9" t="s">
        <v>100</v>
      </c>
      <c r="M69" s="9">
        <v>2.0</v>
      </c>
      <c r="N69" s="9">
        <v>10.0</v>
      </c>
      <c r="O69" s="9">
        <v>1.0</v>
      </c>
      <c r="P69" s="9">
        <v>1953.0</v>
      </c>
      <c r="Q69" s="9">
        <v>120.0</v>
      </c>
      <c r="R69" s="9">
        <v>479.0</v>
      </c>
      <c r="S69" s="3">
        <f t="shared" si="1"/>
        <v>1.903508772</v>
      </c>
    </row>
    <row r="70" ht="16.5" customHeight="1">
      <c r="A70" s="9" t="s">
        <v>105</v>
      </c>
      <c r="B70" s="16">
        <v>45976.0</v>
      </c>
      <c r="C70" s="9" t="s">
        <v>49</v>
      </c>
      <c r="D70" s="9" t="s">
        <v>106</v>
      </c>
      <c r="E70" s="9">
        <v>1060.0</v>
      </c>
      <c r="F70" s="9" t="s">
        <v>97</v>
      </c>
      <c r="G70" s="9" t="s">
        <v>52</v>
      </c>
      <c r="H70" s="9" t="s">
        <v>52</v>
      </c>
      <c r="I70" s="9" t="s">
        <v>53</v>
      </c>
      <c r="J70" s="9" t="s">
        <v>107</v>
      </c>
      <c r="K70" s="9" t="s">
        <v>108</v>
      </c>
      <c r="L70" s="9" t="s">
        <v>57</v>
      </c>
      <c r="M70" s="9">
        <v>6.0</v>
      </c>
      <c r="N70" s="9">
        <v>10.0</v>
      </c>
      <c r="O70" s="9">
        <v>0.0</v>
      </c>
      <c r="P70" s="9">
        <v>1632.0</v>
      </c>
      <c r="Q70" s="9">
        <v>164.0</v>
      </c>
      <c r="R70" s="9">
        <v>444.0</v>
      </c>
      <c r="S70" s="3">
        <f t="shared" si="1"/>
        <v>1.539622642</v>
      </c>
    </row>
    <row r="71" ht="16.5" customHeight="1">
      <c r="A71" s="9" t="s">
        <v>105</v>
      </c>
      <c r="B71" s="16">
        <v>45976.0</v>
      </c>
      <c r="C71" s="9" t="s">
        <v>49</v>
      </c>
      <c r="D71" s="9" t="s">
        <v>106</v>
      </c>
      <c r="E71" s="9">
        <v>1060.0</v>
      </c>
      <c r="F71" s="9" t="s">
        <v>97</v>
      </c>
      <c r="G71" s="9" t="s">
        <v>52</v>
      </c>
      <c r="H71" s="9" t="s">
        <v>52</v>
      </c>
      <c r="I71" s="9" t="s">
        <v>53</v>
      </c>
      <c r="J71" s="9" t="s">
        <v>107</v>
      </c>
      <c r="K71" s="9" t="s">
        <v>108</v>
      </c>
      <c r="L71" s="9" t="s">
        <v>60</v>
      </c>
      <c r="M71" s="9">
        <v>0.0</v>
      </c>
      <c r="N71" s="9">
        <v>10.0</v>
      </c>
      <c r="O71" s="9">
        <v>0.0</v>
      </c>
      <c r="P71" s="9">
        <v>4248.0</v>
      </c>
      <c r="Q71" s="9">
        <v>154.0</v>
      </c>
      <c r="R71" s="9">
        <v>444.0</v>
      </c>
      <c r="S71" s="3">
        <f t="shared" si="1"/>
        <v>4.00754717</v>
      </c>
    </row>
    <row r="72" ht="16.5" customHeight="1">
      <c r="A72" s="9" t="s">
        <v>105</v>
      </c>
      <c r="B72" s="16">
        <v>45976.0</v>
      </c>
      <c r="C72" s="9" t="s">
        <v>49</v>
      </c>
      <c r="D72" s="9" t="s">
        <v>106</v>
      </c>
      <c r="E72" s="9">
        <v>1060.0</v>
      </c>
      <c r="F72" s="9" t="s">
        <v>97</v>
      </c>
      <c r="G72" s="9" t="s">
        <v>52</v>
      </c>
      <c r="H72" s="9" t="s">
        <v>52</v>
      </c>
      <c r="I72" s="9" t="s">
        <v>53</v>
      </c>
      <c r="J72" s="9" t="s">
        <v>107</v>
      </c>
      <c r="K72" s="9" t="s">
        <v>108</v>
      </c>
      <c r="L72" s="9" t="s">
        <v>100</v>
      </c>
      <c r="M72" s="9">
        <v>4.0</v>
      </c>
      <c r="N72" s="9">
        <v>10.0</v>
      </c>
      <c r="O72" s="9">
        <v>1.0</v>
      </c>
      <c r="P72" s="9">
        <v>1644.0</v>
      </c>
      <c r="Q72" s="9">
        <v>126.0</v>
      </c>
      <c r="R72" s="9">
        <v>444.0</v>
      </c>
      <c r="S72" s="3">
        <f t="shared" si="1"/>
        <v>1.550943396</v>
      </c>
    </row>
    <row r="73" ht="16.5" customHeight="1">
      <c r="A73" s="9" t="s">
        <v>105</v>
      </c>
      <c r="B73" s="16">
        <v>45976.0</v>
      </c>
      <c r="C73" s="9" t="s">
        <v>49</v>
      </c>
      <c r="D73" s="9" t="s">
        <v>106</v>
      </c>
      <c r="E73" s="9">
        <v>1060.0</v>
      </c>
      <c r="F73" s="9" t="s">
        <v>97</v>
      </c>
      <c r="G73" s="9" t="s">
        <v>52</v>
      </c>
      <c r="H73" s="9" t="s">
        <v>58</v>
      </c>
      <c r="I73" s="9" t="s">
        <v>59</v>
      </c>
      <c r="J73" s="9" t="s">
        <v>108</v>
      </c>
      <c r="K73" s="9" t="s">
        <v>107</v>
      </c>
      <c r="L73" s="9" t="s">
        <v>55</v>
      </c>
      <c r="M73" s="9">
        <v>4.0</v>
      </c>
      <c r="N73" s="9">
        <v>9.0</v>
      </c>
      <c r="O73" s="9">
        <v>0.0</v>
      </c>
      <c r="P73" s="9">
        <v>3410.0</v>
      </c>
      <c r="Q73" s="9">
        <v>188.0</v>
      </c>
      <c r="R73" s="9">
        <v>423.0</v>
      </c>
      <c r="S73" s="3">
        <f t="shared" si="1"/>
        <v>3.216981132</v>
      </c>
    </row>
    <row r="74" ht="16.5" customHeight="1">
      <c r="A74" s="9" t="s">
        <v>105</v>
      </c>
      <c r="B74" s="16">
        <v>45976.0</v>
      </c>
      <c r="C74" s="9" t="s">
        <v>49</v>
      </c>
      <c r="D74" s="9" t="s">
        <v>106</v>
      </c>
      <c r="E74" s="9">
        <v>1060.0</v>
      </c>
      <c r="F74" s="9" t="s">
        <v>97</v>
      </c>
      <c r="G74" s="9" t="s">
        <v>52</v>
      </c>
      <c r="H74" s="9" t="s">
        <v>58</v>
      </c>
      <c r="I74" s="9" t="s">
        <v>59</v>
      </c>
      <c r="J74" s="9" t="s">
        <v>108</v>
      </c>
      <c r="K74" s="9" t="s">
        <v>107</v>
      </c>
      <c r="L74" s="9" t="s">
        <v>61</v>
      </c>
      <c r="M74" s="9">
        <v>5.0</v>
      </c>
      <c r="N74" s="9">
        <v>9.0</v>
      </c>
      <c r="O74" s="9">
        <v>0.0</v>
      </c>
      <c r="P74" s="9">
        <v>2800.0</v>
      </c>
      <c r="Q74" s="9">
        <v>168.0</v>
      </c>
      <c r="R74" s="9">
        <v>423.0</v>
      </c>
      <c r="S74" s="3">
        <f t="shared" si="1"/>
        <v>2.641509434</v>
      </c>
    </row>
    <row r="75" ht="16.5" customHeight="1">
      <c r="A75" s="9" t="s">
        <v>105</v>
      </c>
      <c r="B75" s="16">
        <v>45976.0</v>
      </c>
      <c r="C75" s="9" t="s">
        <v>49</v>
      </c>
      <c r="D75" s="9" t="s">
        <v>106</v>
      </c>
      <c r="E75" s="9">
        <v>1060.0</v>
      </c>
      <c r="F75" s="9" t="s">
        <v>97</v>
      </c>
      <c r="G75" s="9" t="s">
        <v>52</v>
      </c>
      <c r="H75" s="9" t="s">
        <v>58</v>
      </c>
      <c r="I75" s="9" t="s">
        <v>59</v>
      </c>
      <c r="J75" s="9" t="s">
        <v>108</v>
      </c>
      <c r="K75" s="9" t="s">
        <v>107</v>
      </c>
      <c r="L75" s="9" t="s">
        <v>77</v>
      </c>
      <c r="M75" s="9">
        <v>0.0</v>
      </c>
      <c r="N75" s="9">
        <v>9.0</v>
      </c>
      <c r="O75" s="9">
        <v>1.0</v>
      </c>
      <c r="P75" s="9">
        <v>1440.0</v>
      </c>
      <c r="Q75" s="9">
        <v>67.0</v>
      </c>
      <c r="R75" s="9">
        <v>423.0</v>
      </c>
      <c r="S75" s="3">
        <f t="shared" si="1"/>
        <v>1.358490566</v>
      </c>
    </row>
    <row r="76" ht="16.5" customHeight="1">
      <c r="A76" s="9" t="s">
        <v>109</v>
      </c>
      <c r="B76" s="16">
        <v>45976.0</v>
      </c>
      <c r="C76" s="9" t="s">
        <v>49</v>
      </c>
      <c r="D76" s="9" t="s">
        <v>110</v>
      </c>
      <c r="E76" s="9">
        <v>989.0</v>
      </c>
      <c r="F76" s="9" t="s">
        <v>97</v>
      </c>
      <c r="G76" s="9" t="s">
        <v>58</v>
      </c>
      <c r="H76" s="9" t="s">
        <v>52</v>
      </c>
      <c r="I76" s="9" t="s">
        <v>59</v>
      </c>
      <c r="J76" s="9" t="s">
        <v>111</v>
      </c>
      <c r="K76" s="9" t="s">
        <v>112</v>
      </c>
      <c r="L76" s="9" t="s">
        <v>55</v>
      </c>
      <c r="M76" s="9">
        <v>5.0</v>
      </c>
      <c r="N76" s="9">
        <v>9.0</v>
      </c>
      <c r="O76" s="9">
        <v>0.0</v>
      </c>
      <c r="P76" s="9">
        <v>2487.0</v>
      </c>
      <c r="Q76" s="9">
        <v>159.0</v>
      </c>
      <c r="R76" s="9">
        <v>387.0</v>
      </c>
      <c r="S76" s="3">
        <f t="shared" si="1"/>
        <v>2.514661274</v>
      </c>
    </row>
    <row r="77" ht="16.5" customHeight="1">
      <c r="A77" s="9" t="s">
        <v>109</v>
      </c>
      <c r="B77" s="16">
        <v>45976.0</v>
      </c>
      <c r="C77" s="9" t="s">
        <v>49</v>
      </c>
      <c r="D77" s="9" t="s">
        <v>110</v>
      </c>
      <c r="E77" s="9">
        <v>989.0</v>
      </c>
      <c r="F77" s="9" t="s">
        <v>97</v>
      </c>
      <c r="G77" s="9" t="s">
        <v>58</v>
      </c>
      <c r="H77" s="9" t="s">
        <v>52</v>
      </c>
      <c r="I77" s="9" t="s">
        <v>59</v>
      </c>
      <c r="J77" s="9" t="s">
        <v>111</v>
      </c>
      <c r="K77" s="9" t="s">
        <v>112</v>
      </c>
      <c r="L77" s="9" t="s">
        <v>57</v>
      </c>
      <c r="M77" s="9">
        <v>2.0</v>
      </c>
      <c r="N77" s="9">
        <v>9.0</v>
      </c>
      <c r="O77" s="9">
        <v>2.0</v>
      </c>
      <c r="P77" s="9">
        <v>1617.0</v>
      </c>
      <c r="Q77" s="9">
        <v>133.0</v>
      </c>
      <c r="R77" s="9">
        <v>387.0</v>
      </c>
      <c r="S77" s="3">
        <f t="shared" si="1"/>
        <v>1.634984833</v>
      </c>
    </row>
    <row r="78" ht="16.5" customHeight="1">
      <c r="A78" s="9" t="s">
        <v>109</v>
      </c>
      <c r="B78" s="16">
        <v>45976.0</v>
      </c>
      <c r="C78" s="9" t="s">
        <v>49</v>
      </c>
      <c r="D78" s="9" t="s">
        <v>110</v>
      </c>
      <c r="E78" s="9">
        <v>989.0</v>
      </c>
      <c r="F78" s="9" t="s">
        <v>97</v>
      </c>
      <c r="G78" s="9" t="s">
        <v>58</v>
      </c>
      <c r="H78" s="9" t="s">
        <v>52</v>
      </c>
      <c r="I78" s="9" t="s">
        <v>59</v>
      </c>
      <c r="J78" s="9" t="s">
        <v>111</v>
      </c>
      <c r="K78" s="9" t="s">
        <v>112</v>
      </c>
      <c r="L78" s="9" t="s">
        <v>100</v>
      </c>
      <c r="M78" s="9">
        <v>2.0</v>
      </c>
      <c r="N78" s="9">
        <v>9.0</v>
      </c>
      <c r="O78" s="9">
        <v>0.0</v>
      </c>
      <c r="P78" s="9">
        <v>1645.0</v>
      </c>
      <c r="Q78" s="9">
        <v>95.0</v>
      </c>
      <c r="R78" s="9">
        <v>387.0</v>
      </c>
      <c r="S78" s="3">
        <f t="shared" si="1"/>
        <v>1.663296259</v>
      </c>
    </row>
    <row r="79" ht="16.5" customHeight="1">
      <c r="A79" s="9" t="s">
        <v>109</v>
      </c>
      <c r="B79" s="16">
        <v>45976.0</v>
      </c>
      <c r="C79" s="9" t="s">
        <v>49</v>
      </c>
      <c r="D79" s="9" t="s">
        <v>110</v>
      </c>
      <c r="E79" s="9">
        <v>989.0</v>
      </c>
      <c r="F79" s="9" t="s">
        <v>97</v>
      </c>
      <c r="G79" s="9" t="s">
        <v>58</v>
      </c>
      <c r="H79" s="9" t="s">
        <v>58</v>
      </c>
      <c r="I79" s="9" t="s">
        <v>53</v>
      </c>
      <c r="J79" s="9" t="s">
        <v>112</v>
      </c>
      <c r="K79" s="9" t="s">
        <v>111</v>
      </c>
      <c r="L79" s="9" t="s">
        <v>61</v>
      </c>
      <c r="M79" s="9">
        <v>8.0</v>
      </c>
      <c r="N79" s="9">
        <v>10.0</v>
      </c>
      <c r="O79" s="9">
        <v>0.0</v>
      </c>
      <c r="P79" s="9">
        <v>2923.0</v>
      </c>
      <c r="Q79" s="9">
        <v>209.0</v>
      </c>
      <c r="R79" s="9">
        <v>474.0</v>
      </c>
      <c r="S79" s="3">
        <f t="shared" si="1"/>
        <v>2.955510617</v>
      </c>
    </row>
    <row r="80" ht="16.5" customHeight="1">
      <c r="A80" s="9" t="s">
        <v>109</v>
      </c>
      <c r="B80" s="16">
        <v>45976.0</v>
      </c>
      <c r="C80" s="9" t="s">
        <v>49</v>
      </c>
      <c r="D80" s="9" t="s">
        <v>110</v>
      </c>
      <c r="E80" s="9">
        <v>989.0</v>
      </c>
      <c r="F80" s="9" t="s">
        <v>97</v>
      </c>
      <c r="G80" s="9" t="s">
        <v>58</v>
      </c>
      <c r="H80" s="9" t="s">
        <v>58</v>
      </c>
      <c r="I80" s="9" t="s">
        <v>53</v>
      </c>
      <c r="J80" s="9" t="s">
        <v>112</v>
      </c>
      <c r="K80" s="9" t="s">
        <v>111</v>
      </c>
      <c r="L80" s="9" t="s">
        <v>60</v>
      </c>
      <c r="M80" s="9">
        <v>2.0</v>
      </c>
      <c r="N80" s="9">
        <v>10.0</v>
      </c>
      <c r="O80" s="9">
        <v>0.0</v>
      </c>
      <c r="P80" s="9">
        <v>4038.0</v>
      </c>
      <c r="Q80" s="9">
        <v>164.0</v>
      </c>
      <c r="R80" s="9">
        <v>474.0</v>
      </c>
      <c r="S80" s="3">
        <f t="shared" si="1"/>
        <v>4.082912032</v>
      </c>
    </row>
    <row r="81" ht="16.5" customHeight="1">
      <c r="A81" s="9" t="s">
        <v>109</v>
      </c>
      <c r="B81" s="16">
        <v>45976.0</v>
      </c>
      <c r="C81" s="9" t="s">
        <v>49</v>
      </c>
      <c r="D81" s="9" t="s">
        <v>110</v>
      </c>
      <c r="E81" s="9">
        <v>989.0</v>
      </c>
      <c r="F81" s="9" t="s">
        <v>97</v>
      </c>
      <c r="G81" s="9" t="s">
        <v>58</v>
      </c>
      <c r="H81" s="9" t="s">
        <v>58</v>
      </c>
      <c r="I81" s="9" t="s">
        <v>53</v>
      </c>
      <c r="J81" s="9" t="s">
        <v>112</v>
      </c>
      <c r="K81" s="9" t="s">
        <v>111</v>
      </c>
      <c r="L81" s="9" t="s">
        <v>77</v>
      </c>
      <c r="M81" s="9">
        <v>0.0</v>
      </c>
      <c r="N81" s="9">
        <v>10.0</v>
      </c>
      <c r="O81" s="9">
        <v>1.0</v>
      </c>
      <c r="P81" s="9">
        <v>2205.0</v>
      </c>
      <c r="Q81" s="9">
        <v>101.0</v>
      </c>
      <c r="R81" s="9">
        <v>474.0</v>
      </c>
      <c r="S81" s="3">
        <f t="shared" si="1"/>
        <v>2.229524772</v>
      </c>
    </row>
    <row r="82" ht="16.5" customHeight="1">
      <c r="A82" s="9" t="s">
        <v>113</v>
      </c>
      <c r="B82" s="16">
        <v>45976.0</v>
      </c>
      <c r="C82" s="9" t="s">
        <v>49</v>
      </c>
      <c r="D82" s="9" t="s">
        <v>114</v>
      </c>
      <c r="E82" s="9">
        <v>452.0</v>
      </c>
      <c r="F82" s="9" t="s">
        <v>97</v>
      </c>
      <c r="G82" s="9" t="s">
        <v>58</v>
      </c>
      <c r="H82" s="9" t="s">
        <v>52</v>
      </c>
      <c r="I82" s="9" t="s">
        <v>59</v>
      </c>
      <c r="J82" s="9" t="s">
        <v>115</v>
      </c>
      <c r="K82" s="9" t="s">
        <v>116</v>
      </c>
      <c r="L82" s="9" t="s">
        <v>55</v>
      </c>
      <c r="M82" s="9">
        <v>1.0</v>
      </c>
      <c r="N82" s="9">
        <v>1.0</v>
      </c>
      <c r="O82" s="9">
        <v>0.0</v>
      </c>
      <c r="P82" s="9">
        <v>1535.0</v>
      </c>
      <c r="Q82" s="9">
        <v>66.0</v>
      </c>
      <c r="R82" s="9">
        <v>139.0</v>
      </c>
      <c r="S82" s="3">
        <f t="shared" si="1"/>
        <v>3.396017699</v>
      </c>
    </row>
    <row r="83" ht="16.5" customHeight="1">
      <c r="A83" s="9" t="s">
        <v>113</v>
      </c>
      <c r="B83" s="16">
        <v>45976.0</v>
      </c>
      <c r="C83" s="9" t="s">
        <v>49</v>
      </c>
      <c r="D83" s="9" t="s">
        <v>114</v>
      </c>
      <c r="E83" s="9">
        <v>452.0</v>
      </c>
      <c r="F83" s="9" t="s">
        <v>97</v>
      </c>
      <c r="G83" s="9" t="s">
        <v>58</v>
      </c>
      <c r="H83" s="9" t="s">
        <v>52</v>
      </c>
      <c r="I83" s="9" t="s">
        <v>59</v>
      </c>
      <c r="J83" s="9" t="s">
        <v>115</v>
      </c>
      <c r="K83" s="9" t="s">
        <v>116</v>
      </c>
      <c r="L83" s="9" t="s">
        <v>77</v>
      </c>
      <c r="M83" s="9">
        <v>0.0</v>
      </c>
      <c r="N83" s="9">
        <v>1.0</v>
      </c>
      <c r="O83" s="9">
        <v>1.0</v>
      </c>
      <c r="P83" s="9">
        <v>917.0</v>
      </c>
      <c r="Q83" s="9">
        <v>38.0</v>
      </c>
      <c r="R83" s="9">
        <v>139.0</v>
      </c>
      <c r="S83" s="3">
        <f t="shared" si="1"/>
        <v>2.028761062</v>
      </c>
    </row>
    <row r="84" ht="16.5" customHeight="1">
      <c r="A84" s="9" t="s">
        <v>113</v>
      </c>
      <c r="B84" s="16">
        <v>45976.0</v>
      </c>
      <c r="C84" s="9" t="s">
        <v>49</v>
      </c>
      <c r="D84" s="9" t="s">
        <v>114</v>
      </c>
      <c r="E84" s="9">
        <v>452.0</v>
      </c>
      <c r="F84" s="9" t="s">
        <v>97</v>
      </c>
      <c r="G84" s="9" t="s">
        <v>58</v>
      </c>
      <c r="H84" s="9" t="s">
        <v>52</v>
      </c>
      <c r="I84" s="9" t="s">
        <v>59</v>
      </c>
      <c r="J84" s="9" t="s">
        <v>115</v>
      </c>
      <c r="K84" s="9" t="s">
        <v>116</v>
      </c>
      <c r="L84" s="9" t="s">
        <v>100</v>
      </c>
      <c r="M84" s="9">
        <v>0.0</v>
      </c>
      <c r="N84" s="9">
        <v>1.0</v>
      </c>
      <c r="O84" s="9">
        <v>0.0</v>
      </c>
      <c r="P84" s="9">
        <v>944.0</v>
      </c>
      <c r="Q84" s="9">
        <v>35.0</v>
      </c>
      <c r="R84" s="9">
        <v>139.0</v>
      </c>
      <c r="S84" s="3">
        <f t="shared" si="1"/>
        <v>2.088495575</v>
      </c>
    </row>
    <row r="85" ht="16.5" customHeight="1">
      <c r="A85" s="9" t="s">
        <v>113</v>
      </c>
      <c r="B85" s="16">
        <v>45976.0</v>
      </c>
      <c r="C85" s="9" t="s">
        <v>49</v>
      </c>
      <c r="D85" s="9" t="s">
        <v>114</v>
      </c>
      <c r="E85" s="9">
        <v>452.0</v>
      </c>
      <c r="F85" s="9" t="s">
        <v>97</v>
      </c>
      <c r="G85" s="9" t="s">
        <v>58</v>
      </c>
      <c r="H85" s="9" t="s">
        <v>58</v>
      </c>
      <c r="I85" s="9" t="s">
        <v>53</v>
      </c>
      <c r="J85" s="9" t="s">
        <v>116</v>
      </c>
      <c r="K85" s="9" t="s">
        <v>115</v>
      </c>
      <c r="L85" s="9" t="s">
        <v>57</v>
      </c>
      <c r="M85" s="9">
        <v>5.0</v>
      </c>
      <c r="N85" s="9">
        <v>10.0</v>
      </c>
      <c r="O85" s="9">
        <v>2.0</v>
      </c>
      <c r="P85" s="9">
        <v>609.0</v>
      </c>
      <c r="Q85" s="9">
        <v>109.0</v>
      </c>
      <c r="R85" s="9">
        <v>282.0</v>
      </c>
      <c r="S85" s="3">
        <f t="shared" si="1"/>
        <v>1.347345133</v>
      </c>
    </row>
    <row r="86" ht="16.5" customHeight="1">
      <c r="A86" s="9" t="s">
        <v>113</v>
      </c>
      <c r="B86" s="16">
        <v>45976.0</v>
      </c>
      <c r="C86" s="9" t="s">
        <v>49</v>
      </c>
      <c r="D86" s="9" t="s">
        <v>114</v>
      </c>
      <c r="E86" s="9">
        <v>452.0</v>
      </c>
      <c r="F86" s="9" t="s">
        <v>97</v>
      </c>
      <c r="G86" s="9" t="s">
        <v>58</v>
      </c>
      <c r="H86" s="9" t="s">
        <v>58</v>
      </c>
      <c r="I86" s="9" t="s">
        <v>53</v>
      </c>
      <c r="J86" s="9" t="s">
        <v>116</v>
      </c>
      <c r="K86" s="9" t="s">
        <v>115</v>
      </c>
      <c r="L86" s="9" t="s">
        <v>61</v>
      </c>
      <c r="M86" s="9">
        <v>3.0</v>
      </c>
      <c r="N86" s="9">
        <v>10.0</v>
      </c>
      <c r="O86" s="9">
        <v>0.0</v>
      </c>
      <c r="P86" s="9">
        <v>1949.0</v>
      </c>
      <c r="Q86" s="9">
        <v>103.0</v>
      </c>
      <c r="R86" s="9">
        <v>282.0</v>
      </c>
      <c r="S86" s="3">
        <f t="shared" si="1"/>
        <v>4.311946903</v>
      </c>
    </row>
    <row r="87" ht="16.5" customHeight="1">
      <c r="A87" s="9" t="s">
        <v>113</v>
      </c>
      <c r="B87" s="16">
        <v>45976.0</v>
      </c>
      <c r="C87" s="9" t="s">
        <v>49</v>
      </c>
      <c r="D87" s="9" t="s">
        <v>114</v>
      </c>
      <c r="E87" s="9">
        <v>452.0</v>
      </c>
      <c r="F87" s="9" t="s">
        <v>97</v>
      </c>
      <c r="G87" s="9" t="s">
        <v>58</v>
      </c>
      <c r="H87" s="9" t="s">
        <v>58</v>
      </c>
      <c r="I87" s="9" t="s">
        <v>53</v>
      </c>
      <c r="J87" s="9" t="s">
        <v>116</v>
      </c>
      <c r="K87" s="9" t="s">
        <v>115</v>
      </c>
      <c r="L87" s="9" t="s">
        <v>60</v>
      </c>
      <c r="M87" s="9">
        <v>2.0</v>
      </c>
      <c r="N87" s="9">
        <v>10.0</v>
      </c>
      <c r="O87" s="9">
        <v>0.0</v>
      </c>
      <c r="P87" s="9">
        <v>1422.0</v>
      </c>
      <c r="Q87" s="9">
        <v>70.0</v>
      </c>
      <c r="R87" s="9">
        <v>282.0</v>
      </c>
      <c r="S87" s="3">
        <f t="shared" si="1"/>
        <v>3.146017699</v>
      </c>
    </row>
    <row r="88" ht="16.5" customHeight="1">
      <c r="A88" s="9" t="s">
        <v>117</v>
      </c>
      <c r="B88" s="16">
        <v>45976.0</v>
      </c>
      <c r="C88" s="9" t="s">
        <v>49</v>
      </c>
      <c r="D88" s="9" t="s">
        <v>118</v>
      </c>
      <c r="E88" s="9">
        <v>893.0</v>
      </c>
      <c r="F88" s="9" t="s">
        <v>97</v>
      </c>
      <c r="G88" s="9" t="s">
        <v>58</v>
      </c>
      <c r="H88" s="9" t="s">
        <v>52</v>
      </c>
      <c r="I88" s="9" t="s">
        <v>59</v>
      </c>
      <c r="J88" s="9" t="s">
        <v>115</v>
      </c>
      <c r="K88" s="9" t="s">
        <v>116</v>
      </c>
      <c r="L88" s="9" t="s">
        <v>55</v>
      </c>
      <c r="M88" s="9">
        <v>4.0</v>
      </c>
      <c r="N88" s="9">
        <v>6.0</v>
      </c>
      <c r="O88" s="9">
        <v>0.0</v>
      </c>
      <c r="P88" s="9">
        <v>2707.0</v>
      </c>
      <c r="Q88" s="9">
        <v>148.0</v>
      </c>
      <c r="R88" s="9">
        <v>329.0</v>
      </c>
      <c r="S88" s="3">
        <f t="shared" si="1"/>
        <v>3.031354983</v>
      </c>
    </row>
    <row r="89" ht="16.5" customHeight="1">
      <c r="A89" s="9" t="s">
        <v>117</v>
      </c>
      <c r="B89" s="16">
        <v>45976.0</v>
      </c>
      <c r="C89" s="9" t="s">
        <v>49</v>
      </c>
      <c r="D89" s="9" t="s">
        <v>118</v>
      </c>
      <c r="E89" s="9">
        <v>893.0</v>
      </c>
      <c r="F89" s="9" t="s">
        <v>97</v>
      </c>
      <c r="G89" s="9" t="s">
        <v>58</v>
      </c>
      <c r="H89" s="9" t="s">
        <v>52</v>
      </c>
      <c r="I89" s="9" t="s">
        <v>59</v>
      </c>
      <c r="J89" s="9" t="s">
        <v>115</v>
      </c>
      <c r="K89" s="9" t="s">
        <v>116</v>
      </c>
      <c r="L89" s="9" t="s">
        <v>100</v>
      </c>
      <c r="M89" s="9">
        <v>2.0</v>
      </c>
      <c r="N89" s="9">
        <v>6.0</v>
      </c>
      <c r="O89" s="9">
        <v>0.0</v>
      </c>
      <c r="P89" s="9">
        <v>2601.0</v>
      </c>
      <c r="Q89" s="9">
        <v>118.0</v>
      </c>
      <c r="R89" s="9">
        <v>329.0</v>
      </c>
      <c r="S89" s="3">
        <f t="shared" si="1"/>
        <v>2.912653975</v>
      </c>
    </row>
    <row r="90" ht="16.5" customHeight="1">
      <c r="A90" s="9" t="s">
        <v>117</v>
      </c>
      <c r="B90" s="16">
        <v>45976.0</v>
      </c>
      <c r="C90" s="9" t="s">
        <v>49</v>
      </c>
      <c r="D90" s="9" t="s">
        <v>118</v>
      </c>
      <c r="E90" s="9">
        <v>893.0</v>
      </c>
      <c r="F90" s="9" t="s">
        <v>97</v>
      </c>
      <c r="G90" s="9" t="s">
        <v>58</v>
      </c>
      <c r="H90" s="9" t="s">
        <v>52</v>
      </c>
      <c r="I90" s="9" t="s">
        <v>59</v>
      </c>
      <c r="J90" s="9" t="s">
        <v>115</v>
      </c>
      <c r="K90" s="9" t="s">
        <v>116</v>
      </c>
      <c r="L90" s="9" t="s">
        <v>77</v>
      </c>
      <c r="M90" s="9">
        <v>0.0</v>
      </c>
      <c r="N90" s="9">
        <v>6.0</v>
      </c>
      <c r="O90" s="9">
        <v>1.0</v>
      </c>
      <c r="P90" s="9">
        <v>1513.0</v>
      </c>
      <c r="Q90" s="9">
        <v>63.0</v>
      </c>
      <c r="R90" s="9">
        <v>329.0</v>
      </c>
      <c r="S90" s="3">
        <f t="shared" si="1"/>
        <v>1.694288914</v>
      </c>
    </row>
    <row r="91" ht="16.5" customHeight="1">
      <c r="A91" s="9" t="s">
        <v>117</v>
      </c>
      <c r="B91" s="16">
        <v>45976.0</v>
      </c>
      <c r="C91" s="9" t="s">
        <v>49</v>
      </c>
      <c r="D91" s="9" t="s">
        <v>118</v>
      </c>
      <c r="E91" s="9">
        <v>893.0</v>
      </c>
      <c r="F91" s="9" t="s">
        <v>97</v>
      </c>
      <c r="G91" s="9" t="s">
        <v>58</v>
      </c>
      <c r="H91" s="9" t="s">
        <v>58</v>
      </c>
      <c r="I91" s="9" t="s">
        <v>53</v>
      </c>
      <c r="J91" s="9" t="s">
        <v>116</v>
      </c>
      <c r="K91" s="9" t="s">
        <v>115</v>
      </c>
      <c r="L91" s="9" t="s">
        <v>57</v>
      </c>
      <c r="M91" s="9">
        <v>6.0</v>
      </c>
      <c r="N91" s="9">
        <v>10.0</v>
      </c>
      <c r="O91" s="9">
        <v>1.0</v>
      </c>
      <c r="P91" s="9">
        <v>2209.0</v>
      </c>
      <c r="Q91" s="9">
        <v>182.0</v>
      </c>
      <c r="R91" s="9">
        <v>432.0</v>
      </c>
      <c r="S91" s="3">
        <f t="shared" si="1"/>
        <v>2.473684211</v>
      </c>
    </row>
    <row r="92" ht="16.5" customHeight="1">
      <c r="A92" s="9" t="s">
        <v>117</v>
      </c>
      <c r="B92" s="16">
        <v>45976.0</v>
      </c>
      <c r="C92" s="9" t="s">
        <v>49</v>
      </c>
      <c r="D92" s="9" t="s">
        <v>118</v>
      </c>
      <c r="E92" s="9">
        <v>893.0</v>
      </c>
      <c r="F92" s="9" t="s">
        <v>97</v>
      </c>
      <c r="G92" s="9" t="s">
        <v>58</v>
      </c>
      <c r="H92" s="9" t="s">
        <v>58</v>
      </c>
      <c r="I92" s="9" t="s">
        <v>53</v>
      </c>
      <c r="J92" s="9" t="s">
        <v>116</v>
      </c>
      <c r="K92" s="9" t="s">
        <v>115</v>
      </c>
      <c r="L92" s="9" t="s">
        <v>61</v>
      </c>
      <c r="M92" s="9">
        <v>3.0</v>
      </c>
      <c r="N92" s="9">
        <v>10.0</v>
      </c>
      <c r="O92" s="9">
        <v>0.0</v>
      </c>
      <c r="P92" s="9">
        <v>3583.0</v>
      </c>
      <c r="Q92" s="9">
        <v>151.0</v>
      </c>
      <c r="R92" s="9">
        <v>432.0</v>
      </c>
      <c r="S92" s="3">
        <f t="shared" si="1"/>
        <v>4.012318029</v>
      </c>
    </row>
    <row r="93" ht="16.5" customHeight="1">
      <c r="A93" s="9" t="s">
        <v>117</v>
      </c>
      <c r="B93" s="16">
        <v>45976.0</v>
      </c>
      <c r="C93" s="9" t="s">
        <v>49</v>
      </c>
      <c r="D93" s="9" t="s">
        <v>118</v>
      </c>
      <c r="E93" s="9">
        <v>893.0</v>
      </c>
      <c r="F93" s="9" t="s">
        <v>97</v>
      </c>
      <c r="G93" s="9" t="s">
        <v>58</v>
      </c>
      <c r="H93" s="9" t="s">
        <v>58</v>
      </c>
      <c r="I93" s="9" t="s">
        <v>53</v>
      </c>
      <c r="J93" s="9" t="s">
        <v>116</v>
      </c>
      <c r="K93" s="9" t="s">
        <v>115</v>
      </c>
      <c r="L93" s="9" t="s">
        <v>60</v>
      </c>
      <c r="M93" s="9">
        <v>1.0</v>
      </c>
      <c r="N93" s="9">
        <v>10.0</v>
      </c>
      <c r="O93" s="9">
        <v>0.0</v>
      </c>
      <c r="P93" s="9">
        <v>2103.0</v>
      </c>
      <c r="Q93" s="9">
        <v>99.0</v>
      </c>
      <c r="R93" s="9">
        <v>432.0</v>
      </c>
      <c r="S93" s="3">
        <f t="shared" si="1"/>
        <v>2.354983203</v>
      </c>
    </row>
    <row r="94" ht="16.5" customHeight="1">
      <c r="A94" s="9" t="s">
        <v>119</v>
      </c>
      <c r="B94" s="16">
        <v>45976.0</v>
      </c>
      <c r="C94" s="9" t="s">
        <v>49</v>
      </c>
      <c r="D94" s="9" t="s">
        <v>120</v>
      </c>
      <c r="E94" s="9">
        <v>857.0</v>
      </c>
      <c r="F94" s="9" t="s">
        <v>51</v>
      </c>
      <c r="G94" s="9" t="s">
        <v>58</v>
      </c>
      <c r="H94" s="9" t="s">
        <v>52</v>
      </c>
      <c r="I94" s="9" t="s">
        <v>59</v>
      </c>
      <c r="J94" s="9" t="s">
        <v>54</v>
      </c>
      <c r="K94" s="9" t="s">
        <v>56</v>
      </c>
      <c r="L94" s="9" t="s">
        <v>55</v>
      </c>
      <c r="M94" s="9">
        <v>5.0</v>
      </c>
      <c r="N94" s="9">
        <v>8.0</v>
      </c>
      <c r="O94" s="9">
        <v>1.0</v>
      </c>
      <c r="P94" s="9">
        <v>2388.0</v>
      </c>
      <c r="Q94" s="9">
        <v>155.0</v>
      </c>
      <c r="R94" s="9">
        <v>283.0</v>
      </c>
      <c r="S94" s="3">
        <f t="shared" si="1"/>
        <v>2.786464411</v>
      </c>
    </row>
    <row r="95" ht="16.5" customHeight="1">
      <c r="A95" s="9" t="s">
        <v>119</v>
      </c>
      <c r="B95" s="16">
        <v>45976.0</v>
      </c>
      <c r="C95" s="9" t="s">
        <v>49</v>
      </c>
      <c r="D95" s="9" t="s">
        <v>120</v>
      </c>
      <c r="E95" s="9">
        <v>857.0</v>
      </c>
      <c r="F95" s="9" t="s">
        <v>51</v>
      </c>
      <c r="G95" s="9" t="s">
        <v>58</v>
      </c>
      <c r="H95" s="9" t="s">
        <v>52</v>
      </c>
      <c r="I95" s="9" t="s">
        <v>59</v>
      </c>
      <c r="J95" s="9" t="s">
        <v>54</v>
      </c>
      <c r="K95" s="9" t="s">
        <v>56</v>
      </c>
      <c r="L95" s="9" t="s">
        <v>57</v>
      </c>
      <c r="M95" s="9">
        <v>3.0</v>
      </c>
      <c r="N95" s="9">
        <v>8.0</v>
      </c>
      <c r="O95" s="9">
        <v>0.0</v>
      </c>
      <c r="P95" s="9">
        <v>1852.0</v>
      </c>
      <c r="Q95" s="9">
        <v>128.0</v>
      </c>
      <c r="R95" s="9">
        <v>283.0</v>
      </c>
      <c r="S95" s="3">
        <f t="shared" si="1"/>
        <v>2.161026838</v>
      </c>
    </row>
    <row r="96" ht="16.5" customHeight="1">
      <c r="A96" s="9" t="s">
        <v>119</v>
      </c>
      <c r="B96" s="16">
        <v>45976.0</v>
      </c>
      <c r="C96" s="9" t="s">
        <v>49</v>
      </c>
      <c r="D96" s="9" t="s">
        <v>120</v>
      </c>
      <c r="E96" s="9">
        <v>857.0</v>
      </c>
      <c r="F96" s="9" t="s">
        <v>51</v>
      </c>
      <c r="G96" s="9" t="s">
        <v>58</v>
      </c>
      <c r="H96" s="9" t="s">
        <v>58</v>
      </c>
      <c r="I96" s="9" t="s">
        <v>53</v>
      </c>
      <c r="J96" s="9" t="s">
        <v>56</v>
      </c>
      <c r="K96" s="9" t="s">
        <v>54</v>
      </c>
      <c r="L96" s="9" t="s">
        <v>61</v>
      </c>
      <c r="M96" s="9">
        <v>7.0</v>
      </c>
      <c r="N96" s="9">
        <v>10.0</v>
      </c>
      <c r="O96" s="9">
        <v>0.0</v>
      </c>
      <c r="P96" s="9">
        <v>2270.0</v>
      </c>
      <c r="Q96" s="9">
        <v>173.0</v>
      </c>
      <c r="R96" s="9">
        <v>328.0</v>
      </c>
      <c r="S96" s="3">
        <f t="shared" si="1"/>
        <v>2.648774796</v>
      </c>
    </row>
    <row r="97" ht="16.5" customHeight="1">
      <c r="A97" s="9" t="s">
        <v>119</v>
      </c>
      <c r="B97" s="16">
        <v>45976.0</v>
      </c>
      <c r="C97" s="9" t="s">
        <v>49</v>
      </c>
      <c r="D97" s="9" t="s">
        <v>120</v>
      </c>
      <c r="E97" s="9">
        <v>857.0</v>
      </c>
      <c r="F97" s="9" t="s">
        <v>51</v>
      </c>
      <c r="G97" s="9" t="s">
        <v>58</v>
      </c>
      <c r="H97" s="9" t="s">
        <v>58</v>
      </c>
      <c r="I97" s="9" t="s">
        <v>53</v>
      </c>
      <c r="J97" s="9" t="s">
        <v>56</v>
      </c>
      <c r="K97" s="9" t="s">
        <v>54</v>
      </c>
      <c r="L97" s="9" t="s">
        <v>60</v>
      </c>
      <c r="M97" s="9">
        <v>3.0</v>
      </c>
      <c r="N97" s="9">
        <v>10.0</v>
      </c>
      <c r="O97" s="9">
        <v>1.0</v>
      </c>
      <c r="P97" s="9">
        <v>2860.0</v>
      </c>
      <c r="Q97" s="9">
        <v>155.0</v>
      </c>
      <c r="R97" s="9">
        <v>328.0</v>
      </c>
      <c r="S97" s="3">
        <f t="shared" si="1"/>
        <v>3.33722287</v>
      </c>
    </row>
    <row r="98" ht="16.5" customHeight="1">
      <c r="A98" s="9" t="s">
        <v>121</v>
      </c>
      <c r="B98" s="16">
        <v>45976.0</v>
      </c>
      <c r="C98" s="9" t="s">
        <v>49</v>
      </c>
      <c r="D98" s="9" t="s">
        <v>122</v>
      </c>
      <c r="E98" s="9">
        <v>863.0</v>
      </c>
      <c r="F98" s="9" t="s">
        <v>51</v>
      </c>
      <c r="G98" s="9" t="s">
        <v>58</v>
      </c>
      <c r="H98" s="9" t="s">
        <v>52</v>
      </c>
      <c r="I98" s="9" t="s">
        <v>59</v>
      </c>
      <c r="J98" s="9" t="s">
        <v>123</v>
      </c>
      <c r="K98" s="9" t="s">
        <v>83</v>
      </c>
      <c r="L98" s="9" t="s">
        <v>57</v>
      </c>
      <c r="M98" s="9">
        <v>5.0</v>
      </c>
      <c r="N98" s="9">
        <v>7.0</v>
      </c>
      <c r="O98" s="9">
        <v>1.0</v>
      </c>
      <c r="P98" s="9">
        <v>1731.0</v>
      </c>
      <c r="Q98" s="9">
        <v>160.0</v>
      </c>
      <c r="R98" s="9">
        <v>301.0</v>
      </c>
      <c r="S98" s="3">
        <f t="shared" si="1"/>
        <v>2.005793743</v>
      </c>
    </row>
    <row r="99" ht="16.5" customHeight="1">
      <c r="A99" s="9" t="s">
        <v>121</v>
      </c>
      <c r="B99" s="16">
        <v>45976.0</v>
      </c>
      <c r="C99" s="9" t="s">
        <v>49</v>
      </c>
      <c r="D99" s="9" t="s">
        <v>122</v>
      </c>
      <c r="E99" s="9">
        <v>863.0</v>
      </c>
      <c r="F99" s="9" t="s">
        <v>51</v>
      </c>
      <c r="G99" s="9" t="s">
        <v>58</v>
      </c>
      <c r="H99" s="9" t="s">
        <v>52</v>
      </c>
      <c r="I99" s="9" t="s">
        <v>59</v>
      </c>
      <c r="J99" s="9" t="s">
        <v>123</v>
      </c>
      <c r="K99" s="9" t="s">
        <v>83</v>
      </c>
      <c r="L99" s="9" t="s">
        <v>60</v>
      </c>
      <c r="M99" s="9">
        <v>2.0</v>
      </c>
      <c r="N99" s="9">
        <v>7.0</v>
      </c>
      <c r="O99" s="9">
        <v>0.0</v>
      </c>
      <c r="P99" s="9">
        <v>3118.0</v>
      </c>
      <c r="Q99" s="9">
        <v>141.0</v>
      </c>
      <c r="R99" s="9">
        <v>301.0</v>
      </c>
      <c r="S99" s="3">
        <f t="shared" si="1"/>
        <v>3.612977984</v>
      </c>
    </row>
    <row r="100" ht="16.5" customHeight="1">
      <c r="A100" s="9" t="s">
        <v>121</v>
      </c>
      <c r="B100" s="16">
        <v>45976.0</v>
      </c>
      <c r="C100" s="9" t="s">
        <v>49</v>
      </c>
      <c r="D100" s="9" t="s">
        <v>122</v>
      </c>
      <c r="E100" s="9">
        <v>863.0</v>
      </c>
      <c r="F100" s="9" t="s">
        <v>51</v>
      </c>
      <c r="G100" s="9" t="s">
        <v>58</v>
      </c>
      <c r="H100" s="9" t="s">
        <v>58</v>
      </c>
      <c r="I100" s="9" t="s">
        <v>53</v>
      </c>
      <c r="J100" s="9" t="s">
        <v>83</v>
      </c>
      <c r="K100" s="9" t="s">
        <v>123</v>
      </c>
      <c r="L100" s="9" t="s">
        <v>61</v>
      </c>
      <c r="M100" s="9">
        <v>5.0</v>
      </c>
      <c r="N100" s="9">
        <v>10.0</v>
      </c>
      <c r="O100" s="9">
        <v>2.0</v>
      </c>
      <c r="P100" s="9">
        <v>2628.0</v>
      </c>
      <c r="Q100" s="9">
        <v>175.0</v>
      </c>
      <c r="R100" s="9">
        <v>312.0</v>
      </c>
      <c r="S100" s="3">
        <f t="shared" si="1"/>
        <v>3.045191194</v>
      </c>
    </row>
    <row r="101" ht="16.5" customHeight="1">
      <c r="A101" s="9" t="s">
        <v>121</v>
      </c>
      <c r="B101" s="16">
        <v>45976.0</v>
      </c>
      <c r="C101" s="9" t="s">
        <v>49</v>
      </c>
      <c r="D101" s="9" t="s">
        <v>122</v>
      </c>
      <c r="E101" s="9">
        <v>863.0</v>
      </c>
      <c r="F101" s="9" t="s">
        <v>51</v>
      </c>
      <c r="G101" s="9" t="s">
        <v>58</v>
      </c>
      <c r="H101" s="9" t="s">
        <v>58</v>
      </c>
      <c r="I101" s="9" t="s">
        <v>53</v>
      </c>
      <c r="J101" s="9" t="s">
        <v>83</v>
      </c>
      <c r="K101" s="9" t="s">
        <v>123</v>
      </c>
      <c r="L101" s="9" t="s">
        <v>55</v>
      </c>
      <c r="M101" s="9">
        <v>5.0</v>
      </c>
      <c r="N101" s="9">
        <v>10.0</v>
      </c>
      <c r="O101" s="9">
        <v>0.0</v>
      </c>
      <c r="P101" s="9">
        <v>2078.0</v>
      </c>
      <c r="Q101" s="9">
        <v>137.0</v>
      </c>
      <c r="R101" s="9">
        <v>312.0</v>
      </c>
      <c r="S101" s="3">
        <f t="shared" si="1"/>
        <v>2.40787949</v>
      </c>
    </row>
    <row r="102" ht="16.5" customHeight="1">
      <c r="A102" s="9" t="s">
        <v>124</v>
      </c>
      <c r="B102" s="16">
        <v>45976.0</v>
      </c>
      <c r="C102" s="9" t="s">
        <v>49</v>
      </c>
      <c r="D102" s="9" t="s">
        <v>125</v>
      </c>
      <c r="E102" s="9">
        <v>835.0</v>
      </c>
      <c r="F102" s="9" t="s">
        <v>51</v>
      </c>
      <c r="G102" s="9" t="s">
        <v>52</v>
      </c>
      <c r="H102" s="9" t="s">
        <v>52</v>
      </c>
      <c r="I102" s="9" t="s">
        <v>53</v>
      </c>
      <c r="J102" s="9" t="s">
        <v>123</v>
      </c>
      <c r="K102" s="9" t="s">
        <v>83</v>
      </c>
      <c r="L102" s="9" t="s">
        <v>57</v>
      </c>
      <c r="M102" s="9">
        <v>6.0</v>
      </c>
      <c r="N102" s="9">
        <v>10.0</v>
      </c>
      <c r="O102" s="9">
        <v>2.0</v>
      </c>
      <c r="P102" s="9">
        <v>1496.0</v>
      </c>
      <c r="Q102" s="9">
        <v>171.0</v>
      </c>
      <c r="R102" s="9">
        <v>320.0</v>
      </c>
      <c r="S102" s="3">
        <f t="shared" si="1"/>
        <v>1.791616766</v>
      </c>
    </row>
    <row r="103" ht="16.5" customHeight="1">
      <c r="A103" s="9" t="s">
        <v>124</v>
      </c>
      <c r="B103" s="16">
        <v>45976.0</v>
      </c>
      <c r="C103" s="9" t="s">
        <v>49</v>
      </c>
      <c r="D103" s="9" t="s">
        <v>125</v>
      </c>
      <c r="E103" s="9">
        <v>835.0</v>
      </c>
      <c r="F103" s="9" t="s">
        <v>51</v>
      </c>
      <c r="G103" s="9" t="s">
        <v>52</v>
      </c>
      <c r="H103" s="9" t="s">
        <v>52</v>
      </c>
      <c r="I103" s="9" t="s">
        <v>53</v>
      </c>
      <c r="J103" s="9" t="s">
        <v>123</v>
      </c>
      <c r="K103" s="9" t="s">
        <v>83</v>
      </c>
      <c r="L103" s="9" t="s">
        <v>60</v>
      </c>
      <c r="M103" s="9">
        <v>4.0</v>
      </c>
      <c r="N103" s="9">
        <v>10.0</v>
      </c>
      <c r="O103" s="9">
        <v>1.0</v>
      </c>
      <c r="P103" s="9">
        <v>2581.0</v>
      </c>
      <c r="Q103" s="9">
        <v>149.0</v>
      </c>
      <c r="R103" s="9">
        <v>320.0</v>
      </c>
      <c r="S103" s="3">
        <f t="shared" si="1"/>
        <v>3.091017964</v>
      </c>
    </row>
    <row r="104" ht="16.5" customHeight="1">
      <c r="A104" s="9" t="s">
        <v>124</v>
      </c>
      <c r="B104" s="16">
        <v>45976.0</v>
      </c>
      <c r="C104" s="9" t="s">
        <v>49</v>
      </c>
      <c r="D104" s="9" t="s">
        <v>125</v>
      </c>
      <c r="E104" s="9">
        <v>835.0</v>
      </c>
      <c r="F104" s="9" t="s">
        <v>51</v>
      </c>
      <c r="G104" s="9" t="s">
        <v>52</v>
      </c>
      <c r="H104" s="9" t="s">
        <v>58</v>
      </c>
      <c r="I104" s="9" t="s">
        <v>59</v>
      </c>
      <c r="J104" s="9" t="s">
        <v>83</v>
      </c>
      <c r="K104" s="9" t="s">
        <v>123</v>
      </c>
      <c r="L104" s="9" t="s">
        <v>61</v>
      </c>
      <c r="M104" s="9">
        <v>4.0</v>
      </c>
      <c r="N104" s="9">
        <v>9.0</v>
      </c>
      <c r="O104" s="9">
        <v>1.0</v>
      </c>
      <c r="P104" s="9">
        <v>2765.0</v>
      </c>
      <c r="Q104" s="9">
        <v>154.0</v>
      </c>
      <c r="R104" s="9">
        <v>299.0</v>
      </c>
      <c r="S104" s="3">
        <f t="shared" si="1"/>
        <v>3.311377246</v>
      </c>
    </row>
    <row r="105" ht="16.5" customHeight="1">
      <c r="A105" s="9" t="s">
        <v>124</v>
      </c>
      <c r="B105" s="16">
        <v>45976.0</v>
      </c>
      <c r="C105" s="9" t="s">
        <v>49</v>
      </c>
      <c r="D105" s="9" t="s">
        <v>125</v>
      </c>
      <c r="E105" s="9">
        <v>835.0</v>
      </c>
      <c r="F105" s="9" t="s">
        <v>51</v>
      </c>
      <c r="G105" s="9" t="s">
        <v>52</v>
      </c>
      <c r="H105" s="9" t="s">
        <v>58</v>
      </c>
      <c r="I105" s="9" t="s">
        <v>59</v>
      </c>
      <c r="J105" s="9" t="s">
        <v>83</v>
      </c>
      <c r="K105" s="9" t="s">
        <v>123</v>
      </c>
      <c r="L105" s="9" t="s">
        <v>55</v>
      </c>
      <c r="M105" s="9">
        <v>5.0</v>
      </c>
      <c r="N105" s="9">
        <v>9.0</v>
      </c>
      <c r="O105" s="9">
        <v>0.0</v>
      </c>
      <c r="P105" s="9">
        <v>2042.0</v>
      </c>
      <c r="Q105" s="9">
        <v>145.0</v>
      </c>
      <c r="R105" s="9">
        <v>299.0</v>
      </c>
      <c r="S105" s="3">
        <f t="shared" si="1"/>
        <v>2.445508982</v>
      </c>
    </row>
    <row r="106" ht="16.5" customHeight="1">
      <c r="A106" s="9" t="s">
        <v>126</v>
      </c>
      <c r="B106" s="16">
        <v>45976.0</v>
      </c>
      <c r="C106" s="9" t="s">
        <v>49</v>
      </c>
      <c r="D106" s="9" t="s">
        <v>127</v>
      </c>
      <c r="E106" s="9">
        <v>686.0</v>
      </c>
      <c r="F106" s="9" t="s">
        <v>51</v>
      </c>
      <c r="G106" s="9" t="s">
        <v>58</v>
      </c>
      <c r="H106" s="9" t="s">
        <v>52</v>
      </c>
      <c r="I106" s="9" t="s">
        <v>59</v>
      </c>
      <c r="J106" s="9" t="s">
        <v>123</v>
      </c>
      <c r="K106" s="9" t="s">
        <v>83</v>
      </c>
      <c r="L106" s="9" t="s">
        <v>60</v>
      </c>
      <c r="M106" s="9">
        <v>5.0</v>
      </c>
      <c r="N106" s="9">
        <v>7.0</v>
      </c>
      <c r="O106" s="9">
        <v>0.0</v>
      </c>
      <c r="P106" s="9">
        <v>2191.0</v>
      </c>
      <c r="Q106" s="9">
        <v>133.0</v>
      </c>
      <c r="R106" s="9">
        <v>220.0</v>
      </c>
      <c r="S106" s="3">
        <f t="shared" si="1"/>
        <v>3.193877551</v>
      </c>
    </row>
    <row r="107" ht="16.5" customHeight="1">
      <c r="A107" s="9" t="s">
        <v>126</v>
      </c>
      <c r="B107" s="16">
        <v>45976.0</v>
      </c>
      <c r="C107" s="9" t="s">
        <v>49</v>
      </c>
      <c r="D107" s="9" t="s">
        <v>127</v>
      </c>
      <c r="E107" s="9">
        <v>686.0</v>
      </c>
      <c r="F107" s="9" t="s">
        <v>51</v>
      </c>
      <c r="G107" s="9" t="s">
        <v>58</v>
      </c>
      <c r="H107" s="9" t="s">
        <v>52</v>
      </c>
      <c r="I107" s="9" t="s">
        <v>59</v>
      </c>
      <c r="J107" s="9" t="s">
        <v>123</v>
      </c>
      <c r="K107" s="9" t="s">
        <v>83</v>
      </c>
      <c r="L107" s="9" t="s">
        <v>57</v>
      </c>
      <c r="M107" s="9">
        <v>2.0</v>
      </c>
      <c r="N107" s="9">
        <v>7.0</v>
      </c>
      <c r="O107" s="9">
        <v>2.0</v>
      </c>
      <c r="P107" s="9">
        <v>767.0</v>
      </c>
      <c r="Q107" s="9">
        <v>87.0</v>
      </c>
      <c r="R107" s="9">
        <v>220.0</v>
      </c>
      <c r="S107" s="3">
        <f t="shared" si="1"/>
        <v>1.118075802</v>
      </c>
    </row>
    <row r="108" ht="16.5" customHeight="1">
      <c r="A108" s="9" t="s">
        <v>126</v>
      </c>
      <c r="B108" s="16">
        <v>45976.0</v>
      </c>
      <c r="C108" s="9" t="s">
        <v>49</v>
      </c>
      <c r="D108" s="9" t="s">
        <v>127</v>
      </c>
      <c r="E108" s="9">
        <v>686.0</v>
      </c>
      <c r="F108" s="9" t="s">
        <v>51</v>
      </c>
      <c r="G108" s="9" t="s">
        <v>58</v>
      </c>
      <c r="H108" s="9" t="s">
        <v>58</v>
      </c>
      <c r="I108" s="9" t="s">
        <v>53</v>
      </c>
      <c r="J108" s="9" t="s">
        <v>83</v>
      </c>
      <c r="K108" s="9" t="s">
        <v>123</v>
      </c>
      <c r="L108" s="9" t="s">
        <v>61</v>
      </c>
      <c r="M108" s="9">
        <v>7.0</v>
      </c>
      <c r="N108" s="9">
        <v>10.0</v>
      </c>
      <c r="O108" s="9">
        <v>1.0</v>
      </c>
      <c r="P108" s="9">
        <v>1803.0</v>
      </c>
      <c r="Q108" s="9">
        <v>159.0</v>
      </c>
      <c r="R108" s="9">
        <v>261.0</v>
      </c>
      <c r="S108" s="3">
        <f t="shared" si="1"/>
        <v>2.628279883</v>
      </c>
    </row>
    <row r="109" ht="16.5" customHeight="1">
      <c r="A109" s="9" t="s">
        <v>126</v>
      </c>
      <c r="B109" s="16">
        <v>45976.0</v>
      </c>
      <c r="C109" s="9" t="s">
        <v>49</v>
      </c>
      <c r="D109" s="9" t="s">
        <v>127</v>
      </c>
      <c r="E109" s="9">
        <v>686.0</v>
      </c>
      <c r="F109" s="9" t="s">
        <v>51</v>
      </c>
      <c r="G109" s="9" t="s">
        <v>58</v>
      </c>
      <c r="H109" s="9" t="s">
        <v>58</v>
      </c>
      <c r="I109" s="9" t="s">
        <v>53</v>
      </c>
      <c r="J109" s="9" t="s">
        <v>83</v>
      </c>
      <c r="K109" s="9" t="s">
        <v>123</v>
      </c>
      <c r="L109" s="9" t="s">
        <v>55</v>
      </c>
      <c r="M109" s="9">
        <v>3.0</v>
      </c>
      <c r="N109" s="9">
        <v>10.0</v>
      </c>
      <c r="O109" s="9">
        <v>1.0</v>
      </c>
      <c r="P109" s="9">
        <v>1666.0</v>
      </c>
      <c r="Q109" s="9">
        <v>102.0</v>
      </c>
      <c r="R109" s="9">
        <v>261.0</v>
      </c>
      <c r="S109" s="3">
        <f t="shared" si="1"/>
        <v>2.428571429</v>
      </c>
    </row>
    <row r="110" ht="16.5" customHeight="1">
      <c r="A110" s="9" t="s">
        <v>128</v>
      </c>
      <c r="B110" s="16">
        <v>45976.0</v>
      </c>
      <c r="C110" s="9" t="s">
        <v>49</v>
      </c>
      <c r="D110" s="9" t="s">
        <v>129</v>
      </c>
      <c r="E110" s="9">
        <v>665.0</v>
      </c>
      <c r="F110" s="9" t="s">
        <v>51</v>
      </c>
      <c r="G110" s="9" t="s">
        <v>52</v>
      </c>
      <c r="H110" s="9" t="s">
        <v>52</v>
      </c>
      <c r="I110" s="9" t="s">
        <v>53</v>
      </c>
      <c r="J110" s="9" t="s">
        <v>70</v>
      </c>
      <c r="K110" s="9" t="s">
        <v>71</v>
      </c>
      <c r="L110" s="9" t="s">
        <v>55</v>
      </c>
      <c r="M110" s="9">
        <v>7.0</v>
      </c>
      <c r="N110" s="9">
        <v>10.0</v>
      </c>
      <c r="O110" s="9">
        <v>1.0</v>
      </c>
      <c r="P110" s="9">
        <v>1740.0</v>
      </c>
      <c r="Q110" s="9">
        <v>152.0</v>
      </c>
      <c r="R110" s="9">
        <v>281.0</v>
      </c>
      <c r="S110" s="3">
        <f t="shared" si="1"/>
        <v>2.616541353</v>
      </c>
    </row>
    <row r="111" ht="16.5" customHeight="1">
      <c r="A111" s="9" t="s">
        <v>128</v>
      </c>
      <c r="B111" s="16">
        <v>45976.0</v>
      </c>
      <c r="C111" s="9" t="s">
        <v>49</v>
      </c>
      <c r="D111" s="9" t="s">
        <v>129</v>
      </c>
      <c r="E111" s="9">
        <v>665.0</v>
      </c>
      <c r="F111" s="9" t="s">
        <v>51</v>
      </c>
      <c r="G111" s="9" t="s">
        <v>52</v>
      </c>
      <c r="H111" s="9" t="s">
        <v>52</v>
      </c>
      <c r="I111" s="9" t="s">
        <v>53</v>
      </c>
      <c r="J111" s="9" t="s">
        <v>70</v>
      </c>
      <c r="K111" s="9" t="s">
        <v>71</v>
      </c>
      <c r="L111" s="9" t="s">
        <v>60</v>
      </c>
      <c r="M111" s="9">
        <v>3.0</v>
      </c>
      <c r="N111" s="9">
        <v>10.0</v>
      </c>
      <c r="O111" s="9">
        <v>1.0</v>
      </c>
      <c r="P111" s="9">
        <v>2554.0</v>
      </c>
      <c r="Q111" s="9">
        <v>129.0</v>
      </c>
      <c r="R111" s="9">
        <v>281.0</v>
      </c>
      <c r="S111" s="3">
        <f t="shared" si="1"/>
        <v>3.840601504</v>
      </c>
    </row>
    <row r="112" ht="16.5" customHeight="1">
      <c r="A112" s="9" t="s">
        <v>128</v>
      </c>
      <c r="B112" s="16">
        <v>45976.0</v>
      </c>
      <c r="C112" s="9" t="s">
        <v>49</v>
      </c>
      <c r="D112" s="9" t="s">
        <v>129</v>
      </c>
      <c r="E112" s="9">
        <v>665.0</v>
      </c>
      <c r="F112" s="9" t="s">
        <v>51</v>
      </c>
      <c r="G112" s="9" t="s">
        <v>52</v>
      </c>
      <c r="H112" s="9" t="s">
        <v>58</v>
      </c>
      <c r="I112" s="9" t="s">
        <v>59</v>
      </c>
      <c r="J112" s="9" t="s">
        <v>71</v>
      </c>
      <c r="K112" s="9" t="s">
        <v>70</v>
      </c>
      <c r="L112" s="9" t="s">
        <v>61</v>
      </c>
      <c r="M112" s="9">
        <v>6.0</v>
      </c>
      <c r="N112" s="9">
        <v>8.0</v>
      </c>
      <c r="O112" s="9">
        <v>0.0</v>
      </c>
      <c r="P112" s="9">
        <v>1694.0</v>
      </c>
      <c r="Q112" s="9">
        <v>136.0</v>
      </c>
      <c r="R112" s="9">
        <v>236.0</v>
      </c>
      <c r="S112" s="3">
        <f t="shared" si="1"/>
        <v>2.547368421</v>
      </c>
    </row>
    <row r="113" ht="16.5" customHeight="1">
      <c r="A113" s="9" t="s">
        <v>128</v>
      </c>
      <c r="B113" s="16">
        <v>45976.0</v>
      </c>
      <c r="C113" s="9" t="s">
        <v>49</v>
      </c>
      <c r="D113" s="9" t="s">
        <v>129</v>
      </c>
      <c r="E113" s="9">
        <v>665.0</v>
      </c>
      <c r="F113" s="9" t="s">
        <v>51</v>
      </c>
      <c r="G113" s="9" t="s">
        <v>52</v>
      </c>
      <c r="H113" s="9" t="s">
        <v>58</v>
      </c>
      <c r="I113" s="9" t="s">
        <v>59</v>
      </c>
      <c r="J113" s="9" t="s">
        <v>71</v>
      </c>
      <c r="K113" s="9" t="s">
        <v>70</v>
      </c>
      <c r="L113" s="9" t="s">
        <v>57</v>
      </c>
      <c r="M113" s="9">
        <v>2.0</v>
      </c>
      <c r="N113" s="9">
        <v>8.0</v>
      </c>
      <c r="O113" s="9">
        <v>2.0</v>
      </c>
      <c r="P113" s="9">
        <v>1127.0</v>
      </c>
      <c r="Q113" s="9">
        <v>100.0</v>
      </c>
      <c r="R113" s="9">
        <v>236.0</v>
      </c>
      <c r="S113" s="3">
        <f t="shared" si="1"/>
        <v>1.694736842</v>
      </c>
    </row>
    <row r="114" ht="16.5" customHeight="1">
      <c r="A114" s="9" t="s">
        <v>130</v>
      </c>
      <c r="B114" s="16">
        <v>45976.0</v>
      </c>
      <c r="C114" s="9" t="s">
        <v>49</v>
      </c>
      <c r="D114" s="9" t="s">
        <v>131</v>
      </c>
      <c r="E114" s="9">
        <v>749.0</v>
      </c>
      <c r="F114" s="9" t="s">
        <v>51</v>
      </c>
      <c r="G114" s="9" t="s">
        <v>52</v>
      </c>
      <c r="H114" s="9" t="s">
        <v>52</v>
      </c>
      <c r="I114" s="9" t="s">
        <v>53</v>
      </c>
      <c r="J114" s="9" t="s">
        <v>54</v>
      </c>
      <c r="K114" s="9" t="s">
        <v>56</v>
      </c>
      <c r="L114" s="9" t="s">
        <v>57</v>
      </c>
      <c r="M114" s="9">
        <v>9.0</v>
      </c>
      <c r="N114" s="9">
        <v>10.0</v>
      </c>
      <c r="O114" s="9">
        <v>0.0</v>
      </c>
      <c r="P114" s="9">
        <v>793.0</v>
      </c>
      <c r="Q114" s="9">
        <v>160.0</v>
      </c>
      <c r="R114" s="9">
        <v>254.0</v>
      </c>
      <c r="S114" s="3">
        <f t="shared" si="1"/>
        <v>1.058744993</v>
      </c>
    </row>
    <row r="115" ht="16.5" customHeight="1">
      <c r="A115" s="9" t="s">
        <v>130</v>
      </c>
      <c r="B115" s="16">
        <v>45976.0</v>
      </c>
      <c r="C115" s="9" t="s">
        <v>49</v>
      </c>
      <c r="D115" s="9" t="s">
        <v>131</v>
      </c>
      <c r="E115" s="9">
        <v>749.0</v>
      </c>
      <c r="F115" s="9" t="s">
        <v>51</v>
      </c>
      <c r="G115" s="9" t="s">
        <v>52</v>
      </c>
      <c r="H115" s="9" t="s">
        <v>52</v>
      </c>
      <c r="I115" s="9" t="s">
        <v>53</v>
      </c>
      <c r="J115" s="9" t="s">
        <v>54</v>
      </c>
      <c r="K115" s="9" t="s">
        <v>56</v>
      </c>
      <c r="L115" s="9" t="s">
        <v>55</v>
      </c>
      <c r="M115" s="9">
        <v>1.0</v>
      </c>
      <c r="N115" s="9">
        <v>10.0</v>
      </c>
      <c r="O115" s="9">
        <v>0.0</v>
      </c>
      <c r="P115" s="9">
        <v>2431.0</v>
      </c>
      <c r="Q115" s="9">
        <v>94.0</v>
      </c>
      <c r="R115" s="9">
        <v>254.0</v>
      </c>
      <c r="S115" s="3">
        <f t="shared" si="1"/>
        <v>3.245660881</v>
      </c>
    </row>
    <row r="116" ht="16.5" customHeight="1">
      <c r="A116" s="9" t="s">
        <v>130</v>
      </c>
      <c r="B116" s="16">
        <v>45976.0</v>
      </c>
      <c r="C116" s="9" t="s">
        <v>49</v>
      </c>
      <c r="D116" s="9" t="s">
        <v>131</v>
      </c>
      <c r="E116" s="9">
        <v>749.0</v>
      </c>
      <c r="F116" s="9" t="s">
        <v>51</v>
      </c>
      <c r="G116" s="9" t="s">
        <v>52</v>
      </c>
      <c r="H116" s="9" t="s">
        <v>58</v>
      </c>
      <c r="I116" s="9" t="s">
        <v>59</v>
      </c>
      <c r="J116" s="9" t="s">
        <v>56</v>
      </c>
      <c r="K116" s="9" t="s">
        <v>54</v>
      </c>
      <c r="L116" s="9" t="s">
        <v>60</v>
      </c>
      <c r="M116" s="9">
        <v>7.0</v>
      </c>
      <c r="N116" s="9">
        <v>9.0</v>
      </c>
      <c r="O116" s="9">
        <v>0.0</v>
      </c>
      <c r="P116" s="9">
        <v>1470.0</v>
      </c>
      <c r="Q116" s="9">
        <v>149.0</v>
      </c>
      <c r="R116" s="9">
        <v>253.0</v>
      </c>
      <c r="S116" s="3">
        <f t="shared" si="1"/>
        <v>1.962616822</v>
      </c>
    </row>
    <row r="117" ht="16.5" customHeight="1">
      <c r="A117" s="9" t="s">
        <v>130</v>
      </c>
      <c r="B117" s="16">
        <v>45976.0</v>
      </c>
      <c r="C117" s="9" t="s">
        <v>49</v>
      </c>
      <c r="D117" s="9" t="s">
        <v>131</v>
      </c>
      <c r="E117" s="9">
        <v>749.0</v>
      </c>
      <c r="F117" s="9" t="s">
        <v>51</v>
      </c>
      <c r="G117" s="9" t="s">
        <v>52</v>
      </c>
      <c r="H117" s="9" t="s">
        <v>58</v>
      </c>
      <c r="I117" s="9" t="s">
        <v>59</v>
      </c>
      <c r="J117" s="9" t="s">
        <v>56</v>
      </c>
      <c r="K117" s="9" t="s">
        <v>54</v>
      </c>
      <c r="L117" s="9" t="s">
        <v>61</v>
      </c>
      <c r="M117" s="9">
        <v>2.0</v>
      </c>
      <c r="N117" s="9">
        <v>9.0</v>
      </c>
      <c r="O117" s="9">
        <v>0.0</v>
      </c>
      <c r="P117" s="9">
        <v>2519.0</v>
      </c>
      <c r="Q117" s="9">
        <v>104.0</v>
      </c>
      <c r="R117" s="9">
        <v>253.0</v>
      </c>
      <c r="S117" s="3">
        <f t="shared" si="1"/>
        <v>3.363150868</v>
      </c>
    </row>
    <row r="118" ht="16.5" customHeight="1">
      <c r="A118" s="9" t="s">
        <v>132</v>
      </c>
      <c r="B118" s="16">
        <v>45976.0</v>
      </c>
      <c r="C118" s="9" t="s">
        <v>49</v>
      </c>
      <c r="D118" s="9" t="s">
        <v>133</v>
      </c>
      <c r="E118" s="9">
        <v>612.0</v>
      </c>
      <c r="F118" s="9" t="s">
        <v>51</v>
      </c>
      <c r="G118" s="9" t="s">
        <v>58</v>
      </c>
      <c r="H118" s="9" t="s">
        <v>52</v>
      </c>
      <c r="I118" s="9" t="s">
        <v>59</v>
      </c>
      <c r="J118" s="9" t="s">
        <v>123</v>
      </c>
      <c r="K118" s="9" t="s">
        <v>83</v>
      </c>
      <c r="L118" s="9" t="s">
        <v>57</v>
      </c>
      <c r="M118" s="9">
        <v>5.0</v>
      </c>
      <c r="N118" s="9">
        <v>7.0</v>
      </c>
      <c r="O118" s="9">
        <v>1.0</v>
      </c>
      <c r="P118" s="9">
        <v>1329.0</v>
      </c>
      <c r="Q118" s="9">
        <v>128.0</v>
      </c>
      <c r="R118" s="9">
        <v>209.0</v>
      </c>
      <c r="S118" s="3">
        <f t="shared" si="1"/>
        <v>2.171568627</v>
      </c>
    </row>
    <row r="119" ht="16.5" customHeight="1">
      <c r="A119" s="9" t="s">
        <v>132</v>
      </c>
      <c r="B119" s="16">
        <v>45976.0</v>
      </c>
      <c r="C119" s="9" t="s">
        <v>49</v>
      </c>
      <c r="D119" s="9" t="s">
        <v>133</v>
      </c>
      <c r="E119" s="9">
        <v>612.0</v>
      </c>
      <c r="F119" s="9" t="s">
        <v>51</v>
      </c>
      <c r="G119" s="9" t="s">
        <v>58</v>
      </c>
      <c r="H119" s="9" t="s">
        <v>52</v>
      </c>
      <c r="I119" s="9" t="s">
        <v>59</v>
      </c>
      <c r="J119" s="9" t="s">
        <v>123</v>
      </c>
      <c r="K119" s="9" t="s">
        <v>83</v>
      </c>
      <c r="L119" s="9" t="s">
        <v>60</v>
      </c>
      <c r="M119" s="9">
        <v>2.0</v>
      </c>
      <c r="N119" s="9">
        <v>7.0</v>
      </c>
      <c r="O119" s="9">
        <v>0.0</v>
      </c>
      <c r="P119" s="9">
        <v>1574.0</v>
      </c>
      <c r="Q119" s="9">
        <v>81.0</v>
      </c>
      <c r="R119" s="9">
        <v>209.0</v>
      </c>
      <c r="S119" s="3">
        <f t="shared" si="1"/>
        <v>2.571895425</v>
      </c>
    </row>
    <row r="120" ht="16.5" customHeight="1">
      <c r="A120" s="9" t="s">
        <v>132</v>
      </c>
      <c r="B120" s="16">
        <v>45976.0</v>
      </c>
      <c r="C120" s="9" t="s">
        <v>49</v>
      </c>
      <c r="D120" s="9" t="s">
        <v>133</v>
      </c>
      <c r="E120" s="9">
        <v>612.0</v>
      </c>
      <c r="F120" s="9" t="s">
        <v>51</v>
      </c>
      <c r="G120" s="9" t="s">
        <v>58</v>
      </c>
      <c r="H120" s="9" t="s">
        <v>58</v>
      </c>
      <c r="I120" s="9" t="s">
        <v>53</v>
      </c>
      <c r="J120" s="9" t="s">
        <v>83</v>
      </c>
      <c r="K120" s="9" t="s">
        <v>123</v>
      </c>
      <c r="L120" s="9" t="s">
        <v>55</v>
      </c>
      <c r="M120" s="9">
        <v>7.0</v>
      </c>
      <c r="N120" s="9">
        <v>10.0</v>
      </c>
      <c r="O120" s="9">
        <v>0.0</v>
      </c>
      <c r="P120" s="9">
        <v>1477.0</v>
      </c>
      <c r="Q120" s="9">
        <v>137.0</v>
      </c>
      <c r="R120" s="9">
        <v>235.0</v>
      </c>
      <c r="S120" s="3">
        <f t="shared" si="1"/>
        <v>2.413398693</v>
      </c>
    </row>
    <row r="121" ht="16.5" customHeight="1">
      <c r="A121" s="9" t="s">
        <v>132</v>
      </c>
      <c r="B121" s="16">
        <v>45976.0</v>
      </c>
      <c r="C121" s="9" t="s">
        <v>49</v>
      </c>
      <c r="D121" s="9" t="s">
        <v>133</v>
      </c>
      <c r="E121" s="9">
        <v>612.0</v>
      </c>
      <c r="F121" s="9" t="s">
        <v>51</v>
      </c>
      <c r="G121" s="9" t="s">
        <v>58</v>
      </c>
      <c r="H121" s="9" t="s">
        <v>58</v>
      </c>
      <c r="I121" s="9" t="s">
        <v>53</v>
      </c>
      <c r="J121" s="9" t="s">
        <v>83</v>
      </c>
      <c r="K121" s="9" t="s">
        <v>123</v>
      </c>
      <c r="L121" s="9" t="s">
        <v>61</v>
      </c>
      <c r="M121" s="9">
        <v>3.0</v>
      </c>
      <c r="N121" s="9">
        <v>10.0</v>
      </c>
      <c r="O121" s="9">
        <v>0.0</v>
      </c>
      <c r="P121" s="9">
        <v>1850.0</v>
      </c>
      <c r="Q121" s="9">
        <v>98.0</v>
      </c>
      <c r="R121" s="9">
        <v>235.0</v>
      </c>
      <c r="S121" s="3">
        <f t="shared" si="1"/>
        <v>3.022875817</v>
      </c>
    </row>
    <row r="122" ht="16.5" customHeight="1">
      <c r="A122" s="9" t="s">
        <v>134</v>
      </c>
      <c r="B122" s="16">
        <v>45976.0</v>
      </c>
      <c r="C122" s="9" t="s">
        <v>49</v>
      </c>
      <c r="D122" s="9" t="s">
        <v>135</v>
      </c>
      <c r="E122" s="9">
        <v>650.0</v>
      </c>
      <c r="F122" s="9" t="s">
        <v>51</v>
      </c>
      <c r="G122" s="9" t="s">
        <v>52</v>
      </c>
      <c r="H122" s="9" t="s">
        <v>52</v>
      </c>
      <c r="I122" s="9" t="s">
        <v>53</v>
      </c>
      <c r="J122" s="9" t="s">
        <v>123</v>
      </c>
      <c r="K122" s="9" t="s">
        <v>83</v>
      </c>
      <c r="L122" s="9" t="s">
        <v>57</v>
      </c>
      <c r="M122" s="9">
        <v>10.0</v>
      </c>
      <c r="N122" s="9">
        <v>10.0</v>
      </c>
      <c r="O122" s="9">
        <v>0.0</v>
      </c>
      <c r="P122" s="9">
        <v>733.0</v>
      </c>
      <c r="Q122" s="9">
        <v>157.0</v>
      </c>
      <c r="R122" s="9">
        <v>230.0</v>
      </c>
      <c r="S122" s="3">
        <f t="shared" si="1"/>
        <v>1.127692308</v>
      </c>
    </row>
    <row r="123" ht="16.5" customHeight="1">
      <c r="A123" s="9" t="s">
        <v>134</v>
      </c>
      <c r="B123" s="16">
        <v>45976.0</v>
      </c>
      <c r="C123" s="9" t="s">
        <v>49</v>
      </c>
      <c r="D123" s="9" t="s">
        <v>135</v>
      </c>
      <c r="E123" s="9">
        <v>650.0</v>
      </c>
      <c r="F123" s="9" t="s">
        <v>51</v>
      </c>
      <c r="G123" s="9" t="s">
        <v>52</v>
      </c>
      <c r="H123" s="9" t="s">
        <v>52</v>
      </c>
      <c r="I123" s="9" t="s">
        <v>53</v>
      </c>
      <c r="J123" s="9" t="s">
        <v>123</v>
      </c>
      <c r="K123" s="9" t="s">
        <v>83</v>
      </c>
      <c r="L123" s="9" t="s">
        <v>60</v>
      </c>
      <c r="M123" s="9">
        <v>0.0</v>
      </c>
      <c r="N123" s="9">
        <v>10.0</v>
      </c>
      <c r="O123" s="9">
        <v>0.0</v>
      </c>
      <c r="P123" s="9">
        <v>2170.0</v>
      </c>
      <c r="Q123" s="9">
        <v>73.0</v>
      </c>
      <c r="R123" s="9">
        <v>230.0</v>
      </c>
      <c r="S123" s="3">
        <f t="shared" si="1"/>
        <v>3.338461538</v>
      </c>
    </row>
    <row r="124" ht="16.5" customHeight="1">
      <c r="A124" s="9" t="s">
        <v>134</v>
      </c>
      <c r="B124" s="16">
        <v>45976.0</v>
      </c>
      <c r="C124" s="9" t="s">
        <v>49</v>
      </c>
      <c r="D124" s="9" t="s">
        <v>135</v>
      </c>
      <c r="E124" s="9">
        <v>650.0</v>
      </c>
      <c r="F124" s="9" t="s">
        <v>51</v>
      </c>
      <c r="G124" s="9" t="s">
        <v>52</v>
      </c>
      <c r="H124" s="9" t="s">
        <v>58</v>
      </c>
      <c r="I124" s="9" t="s">
        <v>59</v>
      </c>
      <c r="J124" s="9" t="s">
        <v>83</v>
      </c>
      <c r="K124" s="9" t="s">
        <v>123</v>
      </c>
      <c r="L124" s="9" t="s">
        <v>61</v>
      </c>
      <c r="M124" s="9">
        <v>3.0</v>
      </c>
      <c r="N124" s="9">
        <v>7.0</v>
      </c>
      <c r="O124" s="9">
        <v>0.0</v>
      </c>
      <c r="P124" s="9">
        <v>2048.0</v>
      </c>
      <c r="Q124" s="9">
        <v>98.0</v>
      </c>
      <c r="R124" s="9">
        <v>195.0</v>
      </c>
      <c r="S124" s="3">
        <f t="shared" si="1"/>
        <v>3.150769231</v>
      </c>
    </row>
    <row r="125" ht="16.5" customHeight="1">
      <c r="A125" s="9" t="s">
        <v>134</v>
      </c>
      <c r="B125" s="16">
        <v>45976.0</v>
      </c>
      <c r="C125" s="9" t="s">
        <v>49</v>
      </c>
      <c r="D125" s="9" t="s">
        <v>135</v>
      </c>
      <c r="E125" s="9">
        <v>650.0</v>
      </c>
      <c r="F125" s="9" t="s">
        <v>51</v>
      </c>
      <c r="G125" s="9" t="s">
        <v>52</v>
      </c>
      <c r="H125" s="9" t="s">
        <v>58</v>
      </c>
      <c r="I125" s="9" t="s">
        <v>59</v>
      </c>
      <c r="J125" s="9" t="s">
        <v>83</v>
      </c>
      <c r="K125" s="9" t="s">
        <v>123</v>
      </c>
      <c r="L125" s="9" t="s">
        <v>55</v>
      </c>
      <c r="M125" s="9">
        <v>4.0</v>
      </c>
      <c r="N125" s="9">
        <v>7.0</v>
      </c>
      <c r="O125" s="9">
        <v>0.0</v>
      </c>
      <c r="P125" s="9">
        <v>1301.0</v>
      </c>
      <c r="Q125" s="9">
        <v>97.0</v>
      </c>
      <c r="R125" s="9">
        <v>195.0</v>
      </c>
      <c r="S125" s="3">
        <f t="shared" si="1"/>
        <v>2.001538462</v>
      </c>
    </row>
    <row r="126" ht="16.5" customHeight="1">
      <c r="A126" s="9" t="s">
        <v>136</v>
      </c>
      <c r="B126" s="16">
        <v>45976.0</v>
      </c>
      <c r="C126" s="9" t="s">
        <v>49</v>
      </c>
      <c r="D126" s="9" t="s">
        <v>137</v>
      </c>
      <c r="E126" s="9">
        <v>610.0</v>
      </c>
      <c r="F126" s="9" t="s">
        <v>51</v>
      </c>
      <c r="G126" s="9" t="s">
        <v>52</v>
      </c>
      <c r="H126" s="9" t="s">
        <v>52</v>
      </c>
      <c r="I126" s="9" t="s">
        <v>53</v>
      </c>
      <c r="J126" s="9" t="s">
        <v>70</v>
      </c>
      <c r="K126" s="9" t="s">
        <v>71</v>
      </c>
      <c r="L126" s="9" t="s">
        <v>55</v>
      </c>
      <c r="M126" s="9">
        <v>10.0</v>
      </c>
      <c r="N126" s="9">
        <v>10.0</v>
      </c>
      <c r="O126" s="9">
        <v>0.0</v>
      </c>
      <c r="P126" s="9">
        <v>1506.0</v>
      </c>
      <c r="Q126" s="9">
        <v>177.0</v>
      </c>
      <c r="R126" s="9">
        <v>251.0</v>
      </c>
      <c r="S126" s="3">
        <f t="shared" si="1"/>
        <v>2.468852459</v>
      </c>
    </row>
    <row r="127" ht="16.5" customHeight="1">
      <c r="A127" s="9" t="s">
        <v>136</v>
      </c>
      <c r="B127" s="16">
        <v>45976.0</v>
      </c>
      <c r="C127" s="9" t="s">
        <v>49</v>
      </c>
      <c r="D127" s="9" t="s">
        <v>137</v>
      </c>
      <c r="E127" s="9">
        <v>610.0</v>
      </c>
      <c r="F127" s="9" t="s">
        <v>51</v>
      </c>
      <c r="G127" s="9" t="s">
        <v>52</v>
      </c>
      <c r="H127" s="9" t="s">
        <v>52</v>
      </c>
      <c r="I127" s="9" t="s">
        <v>53</v>
      </c>
      <c r="J127" s="9" t="s">
        <v>70</v>
      </c>
      <c r="K127" s="9" t="s">
        <v>71</v>
      </c>
      <c r="L127" s="9" t="s">
        <v>60</v>
      </c>
      <c r="M127" s="9">
        <v>0.0</v>
      </c>
      <c r="N127" s="9">
        <v>10.0</v>
      </c>
      <c r="O127" s="9">
        <v>1.0</v>
      </c>
      <c r="P127" s="9">
        <v>2011.0</v>
      </c>
      <c r="Q127" s="9">
        <v>74.0</v>
      </c>
      <c r="R127" s="9">
        <v>251.0</v>
      </c>
      <c r="S127" s="3">
        <f t="shared" si="1"/>
        <v>3.296721311</v>
      </c>
    </row>
    <row r="128" ht="16.5" customHeight="1">
      <c r="A128" s="9" t="s">
        <v>136</v>
      </c>
      <c r="B128" s="16">
        <v>45976.0</v>
      </c>
      <c r="C128" s="9" t="s">
        <v>49</v>
      </c>
      <c r="D128" s="9" t="s">
        <v>137</v>
      </c>
      <c r="E128" s="9">
        <v>610.0</v>
      </c>
      <c r="F128" s="9" t="s">
        <v>51</v>
      </c>
      <c r="G128" s="9" t="s">
        <v>52</v>
      </c>
      <c r="H128" s="9" t="s">
        <v>58</v>
      </c>
      <c r="I128" s="9" t="s">
        <v>59</v>
      </c>
      <c r="J128" s="9" t="s">
        <v>71</v>
      </c>
      <c r="K128" s="9" t="s">
        <v>70</v>
      </c>
      <c r="L128" s="9" t="s">
        <v>57</v>
      </c>
      <c r="M128" s="9">
        <v>4.0</v>
      </c>
      <c r="N128" s="9">
        <v>8.0</v>
      </c>
      <c r="O128" s="9">
        <v>0.0</v>
      </c>
      <c r="P128" s="9">
        <v>1266.0</v>
      </c>
      <c r="Q128" s="9">
        <v>112.0</v>
      </c>
      <c r="R128" s="9">
        <v>218.0</v>
      </c>
      <c r="S128" s="3">
        <f t="shared" si="1"/>
        <v>2.075409836</v>
      </c>
    </row>
    <row r="129" ht="16.5" customHeight="1">
      <c r="A129" s="9" t="s">
        <v>136</v>
      </c>
      <c r="B129" s="16">
        <v>45976.0</v>
      </c>
      <c r="C129" s="9" t="s">
        <v>49</v>
      </c>
      <c r="D129" s="9" t="s">
        <v>137</v>
      </c>
      <c r="E129" s="9">
        <v>610.0</v>
      </c>
      <c r="F129" s="9" t="s">
        <v>51</v>
      </c>
      <c r="G129" s="9" t="s">
        <v>52</v>
      </c>
      <c r="H129" s="9" t="s">
        <v>58</v>
      </c>
      <c r="I129" s="9" t="s">
        <v>59</v>
      </c>
      <c r="J129" s="9" t="s">
        <v>71</v>
      </c>
      <c r="K129" s="9" t="s">
        <v>70</v>
      </c>
      <c r="L129" s="9" t="s">
        <v>61</v>
      </c>
      <c r="M129" s="9">
        <v>4.0</v>
      </c>
      <c r="N129" s="9">
        <v>8.0</v>
      </c>
      <c r="O129" s="9">
        <v>0.0</v>
      </c>
      <c r="P129" s="9">
        <v>1749.0</v>
      </c>
      <c r="Q129" s="9">
        <v>106.0</v>
      </c>
      <c r="R129" s="9">
        <v>218.0</v>
      </c>
      <c r="S129" s="3">
        <f t="shared" si="1"/>
        <v>2.867213115</v>
      </c>
    </row>
    <row r="130" ht="16.5" customHeight="1">
      <c r="A130" s="9" t="s">
        <v>138</v>
      </c>
      <c r="B130" s="16">
        <v>45976.0</v>
      </c>
      <c r="C130" s="9" t="s">
        <v>49</v>
      </c>
      <c r="D130" s="9" t="s">
        <v>139</v>
      </c>
      <c r="E130" s="9">
        <v>582.0</v>
      </c>
      <c r="F130" s="9" t="s">
        <v>51</v>
      </c>
      <c r="G130" s="9" t="s">
        <v>52</v>
      </c>
      <c r="H130" s="9" t="s">
        <v>52</v>
      </c>
      <c r="I130" s="9" t="s">
        <v>53</v>
      </c>
      <c r="J130" s="9" t="s">
        <v>70</v>
      </c>
      <c r="K130" s="9" t="s">
        <v>71</v>
      </c>
      <c r="L130" s="9" t="s">
        <v>55</v>
      </c>
      <c r="M130" s="9">
        <v>7.0</v>
      </c>
      <c r="N130" s="9">
        <v>10.0</v>
      </c>
      <c r="O130" s="9">
        <v>0.0</v>
      </c>
      <c r="P130" s="9">
        <v>1576.0</v>
      </c>
      <c r="Q130" s="9">
        <v>139.0</v>
      </c>
      <c r="R130" s="9">
        <v>214.0</v>
      </c>
      <c r="S130" s="3">
        <f t="shared" si="1"/>
        <v>2.70790378</v>
      </c>
    </row>
    <row r="131" ht="16.5" customHeight="1">
      <c r="A131" s="9" t="s">
        <v>138</v>
      </c>
      <c r="B131" s="16">
        <v>45976.0</v>
      </c>
      <c r="C131" s="9" t="s">
        <v>49</v>
      </c>
      <c r="D131" s="9" t="s">
        <v>139</v>
      </c>
      <c r="E131" s="9">
        <v>582.0</v>
      </c>
      <c r="F131" s="9" t="s">
        <v>51</v>
      </c>
      <c r="G131" s="9" t="s">
        <v>52</v>
      </c>
      <c r="H131" s="9" t="s">
        <v>52</v>
      </c>
      <c r="I131" s="9" t="s">
        <v>53</v>
      </c>
      <c r="J131" s="9" t="s">
        <v>70</v>
      </c>
      <c r="K131" s="9" t="s">
        <v>71</v>
      </c>
      <c r="L131" s="9" t="s">
        <v>60</v>
      </c>
      <c r="M131" s="9">
        <v>3.0</v>
      </c>
      <c r="N131" s="9">
        <v>10.0</v>
      </c>
      <c r="O131" s="9">
        <v>0.0</v>
      </c>
      <c r="P131" s="9">
        <v>1179.0</v>
      </c>
      <c r="Q131" s="9">
        <v>75.0</v>
      </c>
      <c r="R131" s="9">
        <v>214.0</v>
      </c>
      <c r="S131" s="3">
        <f t="shared" si="1"/>
        <v>2.025773196</v>
      </c>
    </row>
    <row r="132" ht="16.5" customHeight="1">
      <c r="A132" s="9" t="s">
        <v>138</v>
      </c>
      <c r="B132" s="16">
        <v>45976.0</v>
      </c>
      <c r="C132" s="9" t="s">
        <v>49</v>
      </c>
      <c r="D132" s="9" t="s">
        <v>139</v>
      </c>
      <c r="E132" s="9">
        <v>582.0</v>
      </c>
      <c r="F132" s="9" t="s">
        <v>51</v>
      </c>
      <c r="G132" s="9" t="s">
        <v>52</v>
      </c>
      <c r="H132" s="9" t="s">
        <v>58</v>
      </c>
      <c r="I132" s="9" t="s">
        <v>59</v>
      </c>
      <c r="J132" s="9" t="s">
        <v>71</v>
      </c>
      <c r="K132" s="9" t="s">
        <v>70</v>
      </c>
      <c r="L132" s="9" t="s">
        <v>57</v>
      </c>
      <c r="M132" s="9">
        <v>4.0</v>
      </c>
      <c r="N132" s="9">
        <v>7.0</v>
      </c>
      <c r="O132" s="9">
        <v>1.0</v>
      </c>
      <c r="P132" s="9">
        <v>1134.0</v>
      </c>
      <c r="Q132" s="9">
        <v>103.0</v>
      </c>
      <c r="R132" s="9">
        <v>205.0</v>
      </c>
      <c r="S132" s="3">
        <f t="shared" si="1"/>
        <v>1.948453608</v>
      </c>
    </row>
    <row r="133" ht="16.5" customHeight="1">
      <c r="A133" s="9" t="s">
        <v>138</v>
      </c>
      <c r="B133" s="16">
        <v>45976.0</v>
      </c>
      <c r="C133" s="9" t="s">
        <v>49</v>
      </c>
      <c r="D133" s="9" t="s">
        <v>139</v>
      </c>
      <c r="E133" s="9">
        <v>582.0</v>
      </c>
      <c r="F133" s="9" t="s">
        <v>51</v>
      </c>
      <c r="G133" s="9" t="s">
        <v>52</v>
      </c>
      <c r="H133" s="9" t="s">
        <v>58</v>
      </c>
      <c r="I133" s="9" t="s">
        <v>59</v>
      </c>
      <c r="J133" s="9" t="s">
        <v>71</v>
      </c>
      <c r="K133" s="9" t="s">
        <v>70</v>
      </c>
      <c r="L133" s="9" t="s">
        <v>61</v>
      </c>
      <c r="M133" s="9">
        <v>3.0</v>
      </c>
      <c r="N133" s="9">
        <v>7.0</v>
      </c>
      <c r="O133" s="9">
        <v>0.0</v>
      </c>
      <c r="P133" s="9">
        <v>1819.0</v>
      </c>
      <c r="Q133" s="9">
        <v>102.0</v>
      </c>
      <c r="R133" s="9">
        <v>205.0</v>
      </c>
      <c r="S133" s="3">
        <f t="shared" si="1"/>
        <v>3.125429553</v>
      </c>
    </row>
    <row r="134" ht="16.5" customHeight="1">
      <c r="A134" s="9" t="s">
        <v>140</v>
      </c>
      <c r="B134" s="16">
        <v>45976.0</v>
      </c>
      <c r="C134" s="9" t="s">
        <v>49</v>
      </c>
      <c r="D134" s="9" t="s">
        <v>141</v>
      </c>
      <c r="E134" s="9">
        <v>748.0</v>
      </c>
      <c r="F134" s="9" t="s">
        <v>51</v>
      </c>
      <c r="G134" s="9" t="s">
        <v>52</v>
      </c>
      <c r="H134" s="9" t="s">
        <v>52</v>
      </c>
      <c r="I134" s="9" t="s">
        <v>53</v>
      </c>
      <c r="J134" s="9" t="s">
        <v>70</v>
      </c>
      <c r="K134" s="9" t="s">
        <v>71</v>
      </c>
      <c r="L134" s="9" t="s">
        <v>60</v>
      </c>
      <c r="M134" s="9">
        <v>5.0</v>
      </c>
      <c r="N134" s="9">
        <v>10.0</v>
      </c>
      <c r="O134" s="9">
        <v>1.0</v>
      </c>
      <c r="P134" s="9">
        <v>2505.0</v>
      </c>
      <c r="Q134" s="9">
        <v>162.0</v>
      </c>
      <c r="R134" s="9">
        <v>290.0</v>
      </c>
      <c r="S134" s="3">
        <f t="shared" si="1"/>
        <v>3.348930481</v>
      </c>
    </row>
    <row r="135" ht="16.5" customHeight="1">
      <c r="A135" s="9" t="s">
        <v>140</v>
      </c>
      <c r="B135" s="16">
        <v>45976.0</v>
      </c>
      <c r="C135" s="9" t="s">
        <v>49</v>
      </c>
      <c r="D135" s="9" t="s">
        <v>141</v>
      </c>
      <c r="E135" s="9">
        <v>748.0</v>
      </c>
      <c r="F135" s="9" t="s">
        <v>51</v>
      </c>
      <c r="G135" s="9" t="s">
        <v>52</v>
      </c>
      <c r="H135" s="9" t="s">
        <v>52</v>
      </c>
      <c r="I135" s="9" t="s">
        <v>53</v>
      </c>
      <c r="J135" s="9" t="s">
        <v>70</v>
      </c>
      <c r="K135" s="9" t="s">
        <v>71</v>
      </c>
      <c r="L135" s="9" t="s">
        <v>55</v>
      </c>
      <c r="M135" s="9">
        <v>5.0</v>
      </c>
      <c r="N135" s="9">
        <v>10.0</v>
      </c>
      <c r="O135" s="9">
        <v>0.0</v>
      </c>
      <c r="P135" s="9">
        <v>1915.0</v>
      </c>
      <c r="Q135" s="9">
        <v>128.0</v>
      </c>
      <c r="R135" s="9">
        <v>290.0</v>
      </c>
      <c r="S135" s="3">
        <f t="shared" si="1"/>
        <v>2.560160428</v>
      </c>
    </row>
    <row r="136" ht="16.5" customHeight="1">
      <c r="A136" s="9" t="s">
        <v>140</v>
      </c>
      <c r="B136" s="16">
        <v>45976.0</v>
      </c>
      <c r="C136" s="9" t="s">
        <v>49</v>
      </c>
      <c r="D136" s="9" t="s">
        <v>141</v>
      </c>
      <c r="E136" s="9">
        <v>748.0</v>
      </c>
      <c r="F136" s="9" t="s">
        <v>51</v>
      </c>
      <c r="G136" s="9" t="s">
        <v>52</v>
      </c>
      <c r="H136" s="9" t="s">
        <v>58</v>
      </c>
      <c r="I136" s="9" t="s">
        <v>59</v>
      </c>
      <c r="J136" s="9" t="s">
        <v>71</v>
      </c>
      <c r="K136" s="9" t="s">
        <v>70</v>
      </c>
      <c r="L136" s="9" t="s">
        <v>57</v>
      </c>
      <c r="M136" s="9">
        <v>4.0</v>
      </c>
      <c r="N136" s="9">
        <v>7.0</v>
      </c>
      <c r="O136" s="9">
        <v>0.0</v>
      </c>
      <c r="P136" s="9">
        <v>1121.0</v>
      </c>
      <c r="Q136" s="9">
        <v>125.0</v>
      </c>
      <c r="R136" s="9">
        <v>231.0</v>
      </c>
      <c r="S136" s="3">
        <f t="shared" si="1"/>
        <v>1.498663102</v>
      </c>
    </row>
    <row r="137" ht="16.5" customHeight="1">
      <c r="A137" s="9" t="s">
        <v>140</v>
      </c>
      <c r="B137" s="16">
        <v>45976.0</v>
      </c>
      <c r="C137" s="9" t="s">
        <v>49</v>
      </c>
      <c r="D137" s="9" t="s">
        <v>141</v>
      </c>
      <c r="E137" s="9">
        <v>748.0</v>
      </c>
      <c r="F137" s="9" t="s">
        <v>51</v>
      </c>
      <c r="G137" s="9" t="s">
        <v>52</v>
      </c>
      <c r="H137" s="9" t="s">
        <v>58</v>
      </c>
      <c r="I137" s="9" t="s">
        <v>59</v>
      </c>
      <c r="J137" s="9" t="s">
        <v>71</v>
      </c>
      <c r="K137" s="9" t="s">
        <v>70</v>
      </c>
      <c r="L137" s="9" t="s">
        <v>61</v>
      </c>
      <c r="M137" s="9">
        <v>3.0</v>
      </c>
      <c r="N137" s="9">
        <v>7.0</v>
      </c>
      <c r="O137" s="9">
        <v>1.0</v>
      </c>
      <c r="P137" s="9">
        <v>1626.0</v>
      </c>
      <c r="Q137" s="9">
        <v>106.0</v>
      </c>
      <c r="R137" s="9">
        <v>231.0</v>
      </c>
      <c r="S137" s="3">
        <f t="shared" si="1"/>
        <v>2.173796791</v>
      </c>
    </row>
    <row r="138" ht="16.5" customHeight="1">
      <c r="A138" s="9" t="s">
        <v>142</v>
      </c>
      <c r="B138" s="16">
        <v>45976.0</v>
      </c>
      <c r="C138" s="9" t="s">
        <v>49</v>
      </c>
      <c r="D138" s="9" t="s">
        <v>143</v>
      </c>
      <c r="E138" s="9">
        <v>817.0</v>
      </c>
      <c r="F138" s="9" t="s">
        <v>51</v>
      </c>
      <c r="G138" s="9" t="s">
        <v>58</v>
      </c>
      <c r="H138" s="9" t="s">
        <v>52</v>
      </c>
      <c r="I138" s="9" t="s">
        <v>59</v>
      </c>
      <c r="J138" s="9" t="s">
        <v>54</v>
      </c>
      <c r="K138" s="9" t="s">
        <v>56</v>
      </c>
      <c r="L138" s="9" t="s">
        <v>55</v>
      </c>
      <c r="M138" s="9">
        <v>7.0</v>
      </c>
      <c r="N138" s="9">
        <v>9.0</v>
      </c>
      <c r="O138" s="9">
        <v>0.0</v>
      </c>
      <c r="P138" s="9">
        <v>1900.0</v>
      </c>
      <c r="Q138" s="9">
        <v>157.0</v>
      </c>
      <c r="R138" s="9">
        <v>256.0</v>
      </c>
      <c r="S138" s="3">
        <f t="shared" si="1"/>
        <v>2.325581395</v>
      </c>
    </row>
    <row r="139" ht="16.5" customHeight="1">
      <c r="A139" s="9" t="s">
        <v>142</v>
      </c>
      <c r="B139" s="16">
        <v>45976.0</v>
      </c>
      <c r="C139" s="9" t="s">
        <v>49</v>
      </c>
      <c r="D139" s="9" t="s">
        <v>143</v>
      </c>
      <c r="E139" s="9">
        <v>817.0</v>
      </c>
      <c r="F139" s="9" t="s">
        <v>51</v>
      </c>
      <c r="G139" s="9" t="s">
        <v>58</v>
      </c>
      <c r="H139" s="9" t="s">
        <v>52</v>
      </c>
      <c r="I139" s="9" t="s">
        <v>59</v>
      </c>
      <c r="J139" s="9" t="s">
        <v>54</v>
      </c>
      <c r="K139" s="9" t="s">
        <v>56</v>
      </c>
      <c r="L139" s="9" t="s">
        <v>57</v>
      </c>
      <c r="M139" s="9">
        <v>2.0</v>
      </c>
      <c r="N139" s="9">
        <v>9.0</v>
      </c>
      <c r="O139" s="9">
        <v>3.0</v>
      </c>
      <c r="P139" s="9">
        <v>696.0</v>
      </c>
      <c r="Q139" s="9">
        <v>99.0</v>
      </c>
      <c r="R139" s="9">
        <v>256.0</v>
      </c>
      <c r="S139" s="3">
        <f t="shared" si="1"/>
        <v>0.8518971848</v>
      </c>
    </row>
    <row r="140" ht="16.5" customHeight="1">
      <c r="A140" s="9" t="s">
        <v>142</v>
      </c>
      <c r="B140" s="16">
        <v>45976.0</v>
      </c>
      <c r="C140" s="9" t="s">
        <v>49</v>
      </c>
      <c r="D140" s="9" t="s">
        <v>143</v>
      </c>
      <c r="E140" s="9">
        <v>817.0</v>
      </c>
      <c r="F140" s="9" t="s">
        <v>51</v>
      </c>
      <c r="G140" s="9" t="s">
        <v>58</v>
      </c>
      <c r="H140" s="9" t="s">
        <v>58</v>
      </c>
      <c r="I140" s="9" t="s">
        <v>53</v>
      </c>
      <c r="J140" s="9" t="s">
        <v>56</v>
      </c>
      <c r="K140" s="9" t="s">
        <v>54</v>
      </c>
      <c r="L140" s="9" t="s">
        <v>60</v>
      </c>
      <c r="M140" s="9">
        <v>4.0</v>
      </c>
      <c r="N140" s="9">
        <v>10.0</v>
      </c>
      <c r="O140" s="9">
        <v>1.0</v>
      </c>
      <c r="P140" s="9">
        <v>2938.0</v>
      </c>
      <c r="Q140" s="9">
        <v>160.0</v>
      </c>
      <c r="R140" s="9">
        <v>294.0</v>
      </c>
      <c r="S140" s="3">
        <f t="shared" si="1"/>
        <v>3.596083231</v>
      </c>
    </row>
    <row r="141" ht="16.5" customHeight="1">
      <c r="A141" s="9" t="s">
        <v>142</v>
      </c>
      <c r="B141" s="16">
        <v>45976.0</v>
      </c>
      <c r="C141" s="9" t="s">
        <v>49</v>
      </c>
      <c r="D141" s="9" t="s">
        <v>143</v>
      </c>
      <c r="E141" s="9">
        <v>817.0</v>
      </c>
      <c r="F141" s="9" t="s">
        <v>51</v>
      </c>
      <c r="G141" s="9" t="s">
        <v>58</v>
      </c>
      <c r="H141" s="9" t="s">
        <v>58</v>
      </c>
      <c r="I141" s="9" t="s">
        <v>53</v>
      </c>
      <c r="J141" s="9" t="s">
        <v>56</v>
      </c>
      <c r="K141" s="9" t="s">
        <v>54</v>
      </c>
      <c r="L141" s="9" t="s">
        <v>61</v>
      </c>
      <c r="M141" s="9">
        <v>6.0</v>
      </c>
      <c r="N141" s="9">
        <v>10.0</v>
      </c>
      <c r="O141" s="9">
        <v>0.0</v>
      </c>
      <c r="P141" s="9">
        <v>1733.0</v>
      </c>
      <c r="Q141" s="9">
        <v>134.0</v>
      </c>
      <c r="R141" s="9">
        <v>294.0</v>
      </c>
      <c r="S141" s="3">
        <f t="shared" si="1"/>
        <v>2.121175031</v>
      </c>
    </row>
    <row r="142" ht="16.5" customHeight="1">
      <c r="A142" s="9" t="s">
        <v>144</v>
      </c>
      <c r="B142" s="16">
        <v>45976.0</v>
      </c>
      <c r="C142" s="9" t="s">
        <v>49</v>
      </c>
      <c r="D142" s="9" t="s">
        <v>145</v>
      </c>
      <c r="E142" s="9">
        <v>1402.0</v>
      </c>
      <c r="F142" s="9" t="s">
        <v>97</v>
      </c>
      <c r="G142" s="9" t="s">
        <v>52</v>
      </c>
      <c r="H142" s="9" t="s">
        <v>52</v>
      </c>
      <c r="I142" s="9" t="s">
        <v>53</v>
      </c>
      <c r="J142" s="9" t="s">
        <v>146</v>
      </c>
      <c r="K142" s="9" t="s">
        <v>112</v>
      </c>
      <c r="L142" s="9" t="s">
        <v>55</v>
      </c>
      <c r="M142" s="9">
        <v>7.0</v>
      </c>
      <c r="N142" s="9">
        <v>10.0</v>
      </c>
      <c r="O142" s="9">
        <v>1.0</v>
      </c>
      <c r="P142" s="9">
        <v>4040.0</v>
      </c>
      <c r="Q142" s="9">
        <v>266.0</v>
      </c>
      <c r="R142" s="9">
        <v>628.0</v>
      </c>
      <c r="S142" s="3">
        <f t="shared" si="1"/>
        <v>2.881597718</v>
      </c>
    </row>
    <row r="143" ht="16.5" customHeight="1">
      <c r="A143" s="9" t="s">
        <v>144</v>
      </c>
      <c r="B143" s="16">
        <v>45976.0</v>
      </c>
      <c r="C143" s="9" t="s">
        <v>49</v>
      </c>
      <c r="D143" s="9" t="s">
        <v>145</v>
      </c>
      <c r="E143" s="9">
        <v>1402.0</v>
      </c>
      <c r="F143" s="9" t="s">
        <v>97</v>
      </c>
      <c r="G143" s="9" t="s">
        <v>52</v>
      </c>
      <c r="H143" s="9" t="s">
        <v>52</v>
      </c>
      <c r="I143" s="9" t="s">
        <v>53</v>
      </c>
      <c r="J143" s="9" t="s">
        <v>146</v>
      </c>
      <c r="K143" s="9" t="s">
        <v>112</v>
      </c>
      <c r="L143" s="9" t="s">
        <v>57</v>
      </c>
      <c r="M143" s="9">
        <v>3.0</v>
      </c>
      <c r="N143" s="9">
        <v>10.0</v>
      </c>
      <c r="O143" s="9">
        <v>1.0</v>
      </c>
      <c r="P143" s="9">
        <v>2760.0</v>
      </c>
      <c r="Q143" s="9">
        <v>192.0</v>
      </c>
      <c r="R143" s="9">
        <v>628.0</v>
      </c>
      <c r="S143" s="3">
        <f t="shared" si="1"/>
        <v>1.968616262</v>
      </c>
    </row>
    <row r="144" ht="16.5" customHeight="1">
      <c r="A144" s="9" t="s">
        <v>144</v>
      </c>
      <c r="B144" s="16">
        <v>45976.0</v>
      </c>
      <c r="C144" s="9" t="s">
        <v>49</v>
      </c>
      <c r="D144" s="9" t="s">
        <v>145</v>
      </c>
      <c r="E144" s="9">
        <v>1402.0</v>
      </c>
      <c r="F144" s="9" t="s">
        <v>97</v>
      </c>
      <c r="G144" s="9" t="s">
        <v>52</v>
      </c>
      <c r="H144" s="9" t="s">
        <v>52</v>
      </c>
      <c r="I144" s="9" t="s">
        <v>53</v>
      </c>
      <c r="J144" s="9" t="s">
        <v>146</v>
      </c>
      <c r="K144" s="9" t="s">
        <v>112</v>
      </c>
      <c r="L144" s="9" t="s">
        <v>147</v>
      </c>
      <c r="M144" s="9">
        <v>0.0</v>
      </c>
      <c r="N144" s="9">
        <v>10.0</v>
      </c>
      <c r="O144" s="9">
        <v>2.0</v>
      </c>
      <c r="P144" s="9">
        <v>4268.0</v>
      </c>
      <c r="Q144" s="9">
        <v>170.0</v>
      </c>
      <c r="R144" s="9">
        <v>628.0</v>
      </c>
      <c r="S144" s="3">
        <f t="shared" si="1"/>
        <v>3.044222539</v>
      </c>
    </row>
    <row r="145" ht="16.5" customHeight="1">
      <c r="A145" s="9" t="s">
        <v>144</v>
      </c>
      <c r="B145" s="16">
        <v>45976.0</v>
      </c>
      <c r="C145" s="9" t="s">
        <v>49</v>
      </c>
      <c r="D145" s="9" t="s">
        <v>145</v>
      </c>
      <c r="E145" s="9">
        <v>1402.0</v>
      </c>
      <c r="F145" s="9" t="s">
        <v>97</v>
      </c>
      <c r="G145" s="9" t="s">
        <v>52</v>
      </c>
      <c r="H145" s="9" t="s">
        <v>58</v>
      </c>
      <c r="I145" s="9" t="s">
        <v>59</v>
      </c>
      <c r="J145" s="9" t="s">
        <v>112</v>
      </c>
      <c r="K145" s="9" t="s">
        <v>146</v>
      </c>
      <c r="L145" s="9" t="s">
        <v>61</v>
      </c>
      <c r="M145" s="9">
        <v>4.0</v>
      </c>
      <c r="N145" s="9">
        <v>8.0</v>
      </c>
      <c r="O145" s="9">
        <v>1.0</v>
      </c>
      <c r="P145" s="9">
        <v>3843.0</v>
      </c>
      <c r="Q145" s="9">
        <v>214.0</v>
      </c>
      <c r="R145" s="9">
        <v>570.0</v>
      </c>
      <c r="S145" s="3">
        <f t="shared" si="1"/>
        <v>2.741084165</v>
      </c>
    </row>
    <row r="146" ht="16.5" customHeight="1">
      <c r="A146" s="9" t="s">
        <v>144</v>
      </c>
      <c r="B146" s="16">
        <v>45976.0</v>
      </c>
      <c r="C146" s="9" t="s">
        <v>49</v>
      </c>
      <c r="D146" s="9" t="s">
        <v>145</v>
      </c>
      <c r="E146" s="9">
        <v>1402.0</v>
      </c>
      <c r="F146" s="9" t="s">
        <v>97</v>
      </c>
      <c r="G146" s="9" t="s">
        <v>52</v>
      </c>
      <c r="H146" s="9" t="s">
        <v>58</v>
      </c>
      <c r="I146" s="9" t="s">
        <v>59</v>
      </c>
      <c r="J146" s="9" t="s">
        <v>112</v>
      </c>
      <c r="K146" s="9" t="s">
        <v>146</v>
      </c>
      <c r="L146" s="9" t="s">
        <v>60</v>
      </c>
      <c r="M146" s="9">
        <v>3.0</v>
      </c>
      <c r="N146" s="9">
        <v>8.0</v>
      </c>
      <c r="O146" s="9">
        <v>0.0</v>
      </c>
      <c r="P146" s="9">
        <v>3980.0</v>
      </c>
      <c r="Q146" s="9">
        <v>194.0</v>
      </c>
      <c r="R146" s="9">
        <v>570.0</v>
      </c>
      <c r="S146" s="3">
        <f t="shared" si="1"/>
        <v>2.838801712</v>
      </c>
    </row>
    <row r="147" ht="16.5" customHeight="1">
      <c r="A147" s="9" t="s">
        <v>144</v>
      </c>
      <c r="B147" s="16">
        <v>45976.0</v>
      </c>
      <c r="C147" s="9" t="s">
        <v>49</v>
      </c>
      <c r="D147" s="9" t="s">
        <v>145</v>
      </c>
      <c r="E147" s="9">
        <v>1402.0</v>
      </c>
      <c r="F147" s="9" t="s">
        <v>97</v>
      </c>
      <c r="G147" s="9" t="s">
        <v>52</v>
      </c>
      <c r="H147" s="9" t="s">
        <v>58</v>
      </c>
      <c r="I147" s="9" t="s">
        <v>59</v>
      </c>
      <c r="J147" s="9" t="s">
        <v>112</v>
      </c>
      <c r="K147" s="9" t="s">
        <v>146</v>
      </c>
      <c r="L147" s="9" t="s">
        <v>77</v>
      </c>
      <c r="M147" s="9">
        <v>1.0</v>
      </c>
      <c r="N147" s="9">
        <v>8.0</v>
      </c>
      <c r="O147" s="9">
        <v>2.0</v>
      </c>
      <c r="P147" s="9">
        <v>3455.0</v>
      </c>
      <c r="Q147" s="9">
        <v>162.0</v>
      </c>
      <c r="R147" s="9">
        <v>570.0</v>
      </c>
      <c r="S147" s="3">
        <f t="shared" si="1"/>
        <v>2.464336662</v>
      </c>
    </row>
    <row r="148" ht="16.5" customHeight="1">
      <c r="A148" s="9" t="s">
        <v>148</v>
      </c>
      <c r="B148" s="16">
        <v>45976.0</v>
      </c>
      <c r="C148" s="9" t="s">
        <v>49</v>
      </c>
      <c r="D148" s="9" t="s">
        <v>149</v>
      </c>
      <c r="E148" s="9">
        <v>1661.0</v>
      </c>
      <c r="F148" s="9" t="s">
        <v>97</v>
      </c>
      <c r="G148" s="9" t="s">
        <v>58</v>
      </c>
      <c r="H148" s="9" t="s">
        <v>52</v>
      </c>
      <c r="I148" s="9" t="s">
        <v>59</v>
      </c>
      <c r="J148" s="9" t="s">
        <v>146</v>
      </c>
      <c r="K148" s="9" t="s">
        <v>112</v>
      </c>
      <c r="L148" s="9" t="s">
        <v>55</v>
      </c>
      <c r="M148" s="9">
        <v>6.0</v>
      </c>
      <c r="N148" s="9">
        <v>8.0</v>
      </c>
      <c r="O148" s="9">
        <v>0.0</v>
      </c>
      <c r="P148" s="9">
        <v>6037.0</v>
      </c>
      <c r="Q148" s="9">
        <v>325.0</v>
      </c>
      <c r="R148" s="9">
        <v>786.0</v>
      </c>
      <c r="S148" s="3">
        <f t="shared" si="1"/>
        <v>3.634557495</v>
      </c>
    </row>
    <row r="149" ht="16.5" customHeight="1">
      <c r="A149" s="9" t="s">
        <v>148</v>
      </c>
      <c r="B149" s="16">
        <v>45976.0</v>
      </c>
      <c r="C149" s="9" t="s">
        <v>49</v>
      </c>
      <c r="D149" s="9" t="s">
        <v>149</v>
      </c>
      <c r="E149" s="9">
        <v>1661.0</v>
      </c>
      <c r="F149" s="9" t="s">
        <v>97</v>
      </c>
      <c r="G149" s="9" t="s">
        <v>58</v>
      </c>
      <c r="H149" s="9" t="s">
        <v>52</v>
      </c>
      <c r="I149" s="9" t="s">
        <v>59</v>
      </c>
      <c r="J149" s="9" t="s">
        <v>146</v>
      </c>
      <c r="K149" s="9" t="s">
        <v>112</v>
      </c>
      <c r="L149" s="9" t="s">
        <v>57</v>
      </c>
      <c r="M149" s="9">
        <v>2.0</v>
      </c>
      <c r="N149" s="9">
        <v>8.0</v>
      </c>
      <c r="O149" s="9">
        <v>1.0</v>
      </c>
      <c r="P149" s="9">
        <v>3949.0</v>
      </c>
      <c r="Q149" s="9">
        <v>235.0</v>
      </c>
      <c r="R149" s="9">
        <v>786.0</v>
      </c>
      <c r="S149" s="3">
        <f t="shared" si="1"/>
        <v>2.377483444</v>
      </c>
    </row>
    <row r="150" ht="16.5" customHeight="1">
      <c r="A150" s="9" t="s">
        <v>148</v>
      </c>
      <c r="B150" s="16">
        <v>45976.0</v>
      </c>
      <c r="C150" s="9" t="s">
        <v>49</v>
      </c>
      <c r="D150" s="9" t="s">
        <v>149</v>
      </c>
      <c r="E150" s="9">
        <v>1661.0</v>
      </c>
      <c r="F150" s="9" t="s">
        <v>97</v>
      </c>
      <c r="G150" s="9" t="s">
        <v>58</v>
      </c>
      <c r="H150" s="9" t="s">
        <v>52</v>
      </c>
      <c r="I150" s="9" t="s">
        <v>59</v>
      </c>
      <c r="J150" s="9" t="s">
        <v>146</v>
      </c>
      <c r="K150" s="9" t="s">
        <v>112</v>
      </c>
      <c r="L150" s="9" t="s">
        <v>147</v>
      </c>
      <c r="M150" s="9">
        <v>0.0</v>
      </c>
      <c r="N150" s="9">
        <v>8.0</v>
      </c>
      <c r="O150" s="9">
        <v>0.0</v>
      </c>
      <c r="P150" s="9">
        <v>6060.0</v>
      </c>
      <c r="Q150" s="9">
        <v>226.0</v>
      </c>
      <c r="R150" s="9">
        <v>786.0</v>
      </c>
      <c r="S150" s="3">
        <f t="shared" si="1"/>
        <v>3.648404576</v>
      </c>
    </row>
    <row r="151" ht="16.5" customHeight="1">
      <c r="A151" s="9" t="s">
        <v>148</v>
      </c>
      <c r="B151" s="16">
        <v>45976.0</v>
      </c>
      <c r="C151" s="9" t="s">
        <v>49</v>
      </c>
      <c r="D151" s="9" t="s">
        <v>149</v>
      </c>
      <c r="E151" s="9">
        <v>1661.0</v>
      </c>
      <c r="F151" s="9" t="s">
        <v>97</v>
      </c>
      <c r="G151" s="9" t="s">
        <v>58</v>
      </c>
      <c r="H151" s="9" t="s">
        <v>58</v>
      </c>
      <c r="I151" s="9" t="s">
        <v>53</v>
      </c>
      <c r="J151" s="9" t="s">
        <v>112</v>
      </c>
      <c r="K151" s="9" t="s">
        <v>146</v>
      </c>
      <c r="L151" s="9" t="s">
        <v>60</v>
      </c>
      <c r="M151" s="9">
        <v>6.0</v>
      </c>
      <c r="N151" s="9">
        <v>10.0</v>
      </c>
      <c r="O151" s="9">
        <v>0.0</v>
      </c>
      <c r="P151" s="9">
        <v>5234.0</v>
      </c>
      <c r="Q151" s="9">
        <v>314.0</v>
      </c>
      <c r="R151" s="9">
        <v>754.0</v>
      </c>
      <c r="S151" s="3">
        <f t="shared" si="1"/>
        <v>3.151113787</v>
      </c>
    </row>
    <row r="152" ht="16.5" customHeight="1">
      <c r="A152" s="9" t="s">
        <v>148</v>
      </c>
      <c r="B152" s="16">
        <v>45976.0</v>
      </c>
      <c r="C152" s="9" t="s">
        <v>49</v>
      </c>
      <c r="D152" s="9" t="s">
        <v>149</v>
      </c>
      <c r="E152" s="9">
        <v>1661.0</v>
      </c>
      <c r="F152" s="9" t="s">
        <v>97</v>
      </c>
      <c r="G152" s="9" t="s">
        <v>58</v>
      </c>
      <c r="H152" s="9" t="s">
        <v>58</v>
      </c>
      <c r="I152" s="9" t="s">
        <v>53</v>
      </c>
      <c r="J152" s="9" t="s">
        <v>112</v>
      </c>
      <c r="K152" s="9" t="s">
        <v>146</v>
      </c>
      <c r="L152" s="9" t="s">
        <v>61</v>
      </c>
      <c r="M152" s="9">
        <v>3.0</v>
      </c>
      <c r="N152" s="9">
        <v>10.0</v>
      </c>
      <c r="O152" s="9">
        <v>4.0</v>
      </c>
      <c r="P152" s="9">
        <v>4651.0</v>
      </c>
      <c r="Q152" s="9">
        <v>253.0</v>
      </c>
      <c r="R152" s="9">
        <v>754.0</v>
      </c>
      <c r="S152" s="3">
        <f t="shared" si="1"/>
        <v>2.800120409</v>
      </c>
    </row>
    <row r="153" ht="16.5" customHeight="1">
      <c r="A153" s="9" t="s">
        <v>148</v>
      </c>
      <c r="B153" s="16">
        <v>45976.0</v>
      </c>
      <c r="C153" s="9" t="s">
        <v>49</v>
      </c>
      <c r="D153" s="9" t="s">
        <v>149</v>
      </c>
      <c r="E153" s="9">
        <v>1661.0</v>
      </c>
      <c r="F153" s="9" t="s">
        <v>97</v>
      </c>
      <c r="G153" s="9" t="s">
        <v>58</v>
      </c>
      <c r="H153" s="9" t="s">
        <v>58</v>
      </c>
      <c r="I153" s="9" t="s">
        <v>53</v>
      </c>
      <c r="J153" s="9" t="s">
        <v>112</v>
      </c>
      <c r="K153" s="9" t="s">
        <v>146</v>
      </c>
      <c r="L153" s="9" t="s">
        <v>77</v>
      </c>
      <c r="M153" s="9">
        <v>1.0</v>
      </c>
      <c r="N153" s="9">
        <v>10.0</v>
      </c>
      <c r="O153" s="9">
        <v>2.0</v>
      </c>
      <c r="P153" s="9">
        <v>3899.0</v>
      </c>
      <c r="Q153" s="9">
        <v>187.0</v>
      </c>
      <c r="R153" s="9">
        <v>754.0</v>
      </c>
      <c r="S153" s="3">
        <f t="shared" si="1"/>
        <v>2.347381096</v>
      </c>
    </row>
    <row r="154" ht="16.5" customHeight="1">
      <c r="A154" s="9" t="s">
        <v>150</v>
      </c>
      <c r="B154" s="16">
        <v>45976.0</v>
      </c>
      <c r="C154" s="9" t="s">
        <v>49</v>
      </c>
      <c r="D154" s="9" t="s">
        <v>151</v>
      </c>
      <c r="E154" s="9">
        <v>789.0</v>
      </c>
      <c r="F154" s="9" t="s">
        <v>97</v>
      </c>
      <c r="G154" s="9" t="s">
        <v>58</v>
      </c>
      <c r="H154" s="9" t="s">
        <v>52</v>
      </c>
      <c r="I154" s="9" t="s">
        <v>59</v>
      </c>
      <c r="J154" s="9" t="s">
        <v>152</v>
      </c>
      <c r="K154" s="9" t="s">
        <v>153</v>
      </c>
      <c r="L154" s="9" t="s">
        <v>57</v>
      </c>
      <c r="M154" s="9">
        <v>4.0</v>
      </c>
      <c r="N154" s="9">
        <v>5.0</v>
      </c>
      <c r="O154" s="9">
        <v>0.0</v>
      </c>
      <c r="P154" s="9">
        <v>1742.0</v>
      </c>
      <c r="Q154" s="9">
        <v>138.0</v>
      </c>
      <c r="R154" s="9">
        <v>356.0</v>
      </c>
      <c r="S154" s="3">
        <f t="shared" si="1"/>
        <v>2.207858048</v>
      </c>
    </row>
    <row r="155" ht="16.5" customHeight="1">
      <c r="A155" s="9" t="s">
        <v>150</v>
      </c>
      <c r="B155" s="16">
        <v>45976.0</v>
      </c>
      <c r="C155" s="9" t="s">
        <v>49</v>
      </c>
      <c r="D155" s="9" t="s">
        <v>151</v>
      </c>
      <c r="E155" s="9">
        <v>789.0</v>
      </c>
      <c r="F155" s="9" t="s">
        <v>97</v>
      </c>
      <c r="G155" s="9" t="s">
        <v>58</v>
      </c>
      <c r="H155" s="9" t="s">
        <v>52</v>
      </c>
      <c r="I155" s="9" t="s">
        <v>59</v>
      </c>
      <c r="J155" s="9" t="s">
        <v>152</v>
      </c>
      <c r="K155" s="9" t="s">
        <v>153</v>
      </c>
      <c r="L155" s="9" t="s">
        <v>147</v>
      </c>
      <c r="M155" s="9">
        <v>1.0</v>
      </c>
      <c r="N155" s="9">
        <v>5.0</v>
      </c>
      <c r="O155" s="9">
        <v>0.0</v>
      </c>
      <c r="P155" s="9">
        <v>3551.0</v>
      </c>
      <c r="Q155" s="9">
        <v>125.0</v>
      </c>
      <c r="R155" s="9">
        <v>356.0</v>
      </c>
      <c r="S155" s="3">
        <f t="shared" si="1"/>
        <v>4.500633714</v>
      </c>
    </row>
    <row r="156" ht="16.5" customHeight="1">
      <c r="A156" s="9" t="s">
        <v>150</v>
      </c>
      <c r="B156" s="16">
        <v>45976.0</v>
      </c>
      <c r="C156" s="9" t="s">
        <v>49</v>
      </c>
      <c r="D156" s="9" t="s">
        <v>151</v>
      </c>
      <c r="E156" s="9">
        <v>789.0</v>
      </c>
      <c r="F156" s="9" t="s">
        <v>97</v>
      </c>
      <c r="G156" s="9" t="s">
        <v>58</v>
      </c>
      <c r="H156" s="9" t="s">
        <v>52</v>
      </c>
      <c r="I156" s="9" t="s">
        <v>59</v>
      </c>
      <c r="J156" s="9" t="s">
        <v>152</v>
      </c>
      <c r="K156" s="9" t="s">
        <v>153</v>
      </c>
      <c r="L156" s="9" t="s">
        <v>77</v>
      </c>
      <c r="M156" s="9">
        <v>0.0</v>
      </c>
      <c r="N156" s="9">
        <v>5.0</v>
      </c>
      <c r="O156" s="9">
        <v>1.0</v>
      </c>
      <c r="P156" s="9">
        <v>2364.0</v>
      </c>
      <c r="Q156" s="9">
        <v>93.0</v>
      </c>
      <c r="R156" s="9">
        <v>356.0</v>
      </c>
      <c r="S156" s="3">
        <f t="shared" si="1"/>
        <v>2.996197719</v>
      </c>
    </row>
    <row r="157" ht="16.5" customHeight="1">
      <c r="A157" s="9" t="s">
        <v>150</v>
      </c>
      <c r="B157" s="16">
        <v>45976.0</v>
      </c>
      <c r="C157" s="9" t="s">
        <v>49</v>
      </c>
      <c r="D157" s="9" t="s">
        <v>151</v>
      </c>
      <c r="E157" s="9">
        <v>789.0</v>
      </c>
      <c r="F157" s="9" t="s">
        <v>97</v>
      </c>
      <c r="G157" s="9" t="s">
        <v>58</v>
      </c>
      <c r="H157" s="9" t="s">
        <v>58</v>
      </c>
      <c r="I157" s="9" t="s">
        <v>53</v>
      </c>
      <c r="J157" s="9" t="s">
        <v>153</v>
      </c>
      <c r="K157" s="9" t="s">
        <v>152</v>
      </c>
      <c r="L157" s="9" t="s">
        <v>55</v>
      </c>
      <c r="M157" s="9">
        <v>6.0</v>
      </c>
      <c r="N157" s="9">
        <v>10.0</v>
      </c>
      <c r="O157" s="9">
        <v>1.0</v>
      </c>
      <c r="P157" s="9">
        <v>1608.0</v>
      </c>
      <c r="Q157" s="9">
        <v>156.0</v>
      </c>
      <c r="R157" s="9">
        <v>409.0</v>
      </c>
      <c r="S157" s="3">
        <f t="shared" si="1"/>
        <v>2.038022814</v>
      </c>
    </row>
    <row r="158" ht="16.5" customHeight="1">
      <c r="A158" s="9" t="s">
        <v>150</v>
      </c>
      <c r="B158" s="16">
        <v>45976.0</v>
      </c>
      <c r="C158" s="9" t="s">
        <v>49</v>
      </c>
      <c r="D158" s="9" t="s">
        <v>151</v>
      </c>
      <c r="E158" s="9">
        <v>789.0</v>
      </c>
      <c r="F158" s="9" t="s">
        <v>97</v>
      </c>
      <c r="G158" s="9" t="s">
        <v>58</v>
      </c>
      <c r="H158" s="9" t="s">
        <v>58</v>
      </c>
      <c r="I158" s="9" t="s">
        <v>53</v>
      </c>
      <c r="J158" s="9" t="s">
        <v>153</v>
      </c>
      <c r="K158" s="9" t="s">
        <v>152</v>
      </c>
      <c r="L158" s="9" t="s">
        <v>60</v>
      </c>
      <c r="M158" s="9">
        <v>3.0</v>
      </c>
      <c r="N158" s="9">
        <v>10.0</v>
      </c>
      <c r="O158" s="9">
        <v>2.0</v>
      </c>
      <c r="P158" s="9">
        <v>2269.0</v>
      </c>
      <c r="Q158" s="9">
        <v>131.0</v>
      </c>
      <c r="R158" s="9">
        <v>409.0</v>
      </c>
      <c r="S158" s="3">
        <f t="shared" si="1"/>
        <v>2.875792142</v>
      </c>
    </row>
    <row r="159" ht="16.5" customHeight="1">
      <c r="A159" s="9" t="s">
        <v>150</v>
      </c>
      <c r="B159" s="16">
        <v>45976.0</v>
      </c>
      <c r="C159" s="9" t="s">
        <v>49</v>
      </c>
      <c r="D159" s="9" t="s">
        <v>151</v>
      </c>
      <c r="E159" s="9">
        <v>789.0</v>
      </c>
      <c r="F159" s="9" t="s">
        <v>97</v>
      </c>
      <c r="G159" s="9" t="s">
        <v>58</v>
      </c>
      <c r="H159" s="9" t="s">
        <v>58</v>
      </c>
      <c r="I159" s="9" t="s">
        <v>53</v>
      </c>
      <c r="J159" s="9" t="s">
        <v>153</v>
      </c>
      <c r="K159" s="9" t="s">
        <v>152</v>
      </c>
      <c r="L159" s="9" t="s">
        <v>61</v>
      </c>
      <c r="M159" s="9">
        <v>1.0</v>
      </c>
      <c r="N159" s="9">
        <v>10.0</v>
      </c>
      <c r="O159" s="9">
        <v>1.0</v>
      </c>
      <c r="P159" s="9">
        <v>2210.0</v>
      </c>
      <c r="Q159" s="9">
        <v>122.0</v>
      </c>
      <c r="R159" s="9">
        <v>409.0</v>
      </c>
      <c r="S159" s="3">
        <f t="shared" si="1"/>
        <v>2.801013942</v>
      </c>
    </row>
    <row r="160" ht="16.5" customHeight="1">
      <c r="A160" s="9" t="s">
        <v>154</v>
      </c>
      <c r="B160" s="16">
        <v>45976.0</v>
      </c>
      <c r="C160" s="9" t="s">
        <v>49</v>
      </c>
      <c r="D160" s="9" t="s">
        <v>155</v>
      </c>
      <c r="E160" s="9">
        <v>811.0</v>
      </c>
      <c r="F160" s="9" t="s">
        <v>97</v>
      </c>
      <c r="G160" s="9" t="s">
        <v>58</v>
      </c>
      <c r="H160" s="9" t="s">
        <v>52</v>
      </c>
      <c r="I160" s="9" t="s">
        <v>59</v>
      </c>
      <c r="J160" s="9" t="s">
        <v>103</v>
      </c>
      <c r="K160" s="9" t="s">
        <v>156</v>
      </c>
      <c r="L160" s="9" t="s">
        <v>55</v>
      </c>
      <c r="M160" s="9">
        <v>5.0</v>
      </c>
      <c r="N160" s="9">
        <v>6.0</v>
      </c>
      <c r="O160" s="9">
        <v>0.0</v>
      </c>
      <c r="P160" s="9">
        <v>2304.0</v>
      </c>
      <c r="Q160" s="9">
        <v>149.0</v>
      </c>
      <c r="R160" s="9">
        <v>344.0</v>
      </c>
      <c r="S160" s="3">
        <f t="shared" si="1"/>
        <v>2.840937115</v>
      </c>
    </row>
    <row r="161" ht="16.5" customHeight="1">
      <c r="A161" s="9" t="s">
        <v>154</v>
      </c>
      <c r="B161" s="16">
        <v>45976.0</v>
      </c>
      <c r="C161" s="9" t="s">
        <v>49</v>
      </c>
      <c r="D161" s="9" t="s">
        <v>155</v>
      </c>
      <c r="E161" s="9">
        <v>811.0</v>
      </c>
      <c r="F161" s="9" t="s">
        <v>97</v>
      </c>
      <c r="G161" s="9" t="s">
        <v>58</v>
      </c>
      <c r="H161" s="9" t="s">
        <v>52</v>
      </c>
      <c r="I161" s="9" t="s">
        <v>59</v>
      </c>
      <c r="J161" s="9" t="s">
        <v>103</v>
      </c>
      <c r="K161" s="9" t="s">
        <v>156</v>
      </c>
      <c r="L161" s="9" t="s">
        <v>57</v>
      </c>
      <c r="M161" s="9">
        <v>1.0</v>
      </c>
      <c r="N161" s="9">
        <v>6.0</v>
      </c>
      <c r="O161" s="9">
        <v>1.0</v>
      </c>
      <c r="P161" s="9">
        <v>1654.0</v>
      </c>
      <c r="Q161" s="9">
        <v>110.0</v>
      </c>
      <c r="R161" s="9">
        <v>344.0</v>
      </c>
      <c r="S161" s="3">
        <f t="shared" si="1"/>
        <v>2.03945746</v>
      </c>
    </row>
    <row r="162" ht="16.5" customHeight="1">
      <c r="A162" s="9" t="s">
        <v>154</v>
      </c>
      <c r="B162" s="16">
        <v>45976.0</v>
      </c>
      <c r="C162" s="9" t="s">
        <v>49</v>
      </c>
      <c r="D162" s="9" t="s">
        <v>155</v>
      </c>
      <c r="E162" s="9">
        <v>811.0</v>
      </c>
      <c r="F162" s="9" t="s">
        <v>97</v>
      </c>
      <c r="G162" s="9" t="s">
        <v>58</v>
      </c>
      <c r="H162" s="9" t="s">
        <v>52</v>
      </c>
      <c r="I162" s="9" t="s">
        <v>59</v>
      </c>
      <c r="J162" s="9" t="s">
        <v>103</v>
      </c>
      <c r="K162" s="9" t="s">
        <v>156</v>
      </c>
      <c r="L162" s="9" t="s">
        <v>77</v>
      </c>
      <c r="M162" s="9">
        <v>0.0</v>
      </c>
      <c r="N162" s="9">
        <v>6.0</v>
      </c>
      <c r="O162" s="9">
        <v>1.0</v>
      </c>
      <c r="P162" s="9">
        <v>2199.0</v>
      </c>
      <c r="Q162" s="9">
        <v>85.0</v>
      </c>
      <c r="R162" s="9">
        <v>344.0</v>
      </c>
      <c r="S162" s="3">
        <f t="shared" si="1"/>
        <v>2.711467324</v>
      </c>
    </row>
    <row r="163" ht="16.5" customHeight="1">
      <c r="A163" s="9" t="s">
        <v>154</v>
      </c>
      <c r="B163" s="16">
        <v>45976.0</v>
      </c>
      <c r="C163" s="9" t="s">
        <v>49</v>
      </c>
      <c r="D163" s="9" t="s">
        <v>155</v>
      </c>
      <c r="E163" s="9">
        <v>811.0</v>
      </c>
      <c r="F163" s="9" t="s">
        <v>97</v>
      </c>
      <c r="G163" s="9" t="s">
        <v>58</v>
      </c>
      <c r="H163" s="9" t="s">
        <v>58</v>
      </c>
      <c r="I163" s="9" t="s">
        <v>53</v>
      </c>
      <c r="J163" s="9" t="s">
        <v>156</v>
      </c>
      <c r="K163" s="9" t="s">
        <v>103</v>
      </c>
      <c r="L163" s="9" t="s">
        <v>60</v>
      </c>
      <c r="M163" s="9">
        <v>8.0</v>
      </c>
      <c r="N163" s="9">
        <v>10.0</v>
      </c>
      <c r="O163" s="9">
        <v>0.0</v>
      </c>
      <c r="P163" s="9">
        <v>2107.0</v>
      </c>
      <c r="Q163" s="9">
        <v>183.0</v>
      </c>
      <c r="R163" s="9">
        <v>401.0</v>
      </c>
      <c r="S163" s="3">
        <f t="shared" si="1"/>
        <v>2.598027127</v>
      </c>
    </row>
    <row r="164" ht="16.5" customHeight="1">
      <c r="A164" s="9" t="s">
        <v>154</v>
      </c>
      <c r="B164" s="16">
        <v>45976.0</v>
      </c>
      <c r="C164" s="9" t="s">
        <v>49</v>
      </c>
      <c r="D164" s="9" t="s">
        <v>155</v>
      </c>
      <c r="E164" s="9">
        <v>811.0</v>
      </c>
      <c r="F164" s="9" t="s">
        <v>97</v>
      </c>
      <c r="G164" s="9" t="s">
        <v>58</v>
      </c>
      <c r="H164" s="9" t="s">
        <v>58</v>
      </c>
      <c r="I164" s="9" t="s">
        <v>53</v>
      </c>
      <c r="J164" s="9" t="s">
        <v>156</v>
      </c>
      <c r="K164" s="9" t="s">
        <v>103</v>
      </c>
      <c r="L164" s="9" t="s">
        <v>61</v>
      </c>
      <c r="M164" s="9">
        <v>2.0</v>
      </c>
      <c r="N164" s="9">
        <v>10.0</v>
      </c>
      <c r="O164" s="9">
        <v>2.0</v>
      </c>
      <c r="P164" s="9">
        <v>2266.0</v>
      </c>
      <c r="Q164" s="9">
        <v>128.0</v>
      </c>
      <c r="R164" s="9">
        <v>401.0</v>
      </c>
      <c r="S164" s="3">
        <f t="shared" si="1"/>
        <v>2.794081381</v>
      </c>
    </row>
    <row r="165" ht="17.25" customHeight="1">
      <c r="A165" s="9" t="s">
        <v>154</v>
      </c>
      <c r="B165" s="16">
        <v>45976.0</v>
      </c>
      <c r="C165" s="9" t="s">
        <v>49</v>
      </c>
      <c r="D165" s="9" t="s">
        <v>155</v>
      </c>
      <c r="E165" s="9">
        <v>811.0</v>
      </c>
      <c r="F165" s="9" t="s">
        <v>97</v>
      </c>
      <c r="G165" s="9" t="s">
        <v>58</v>
      </c>
      <c r="H165" s="9" t="s">
        <v>58</v>
      </c>
      <c r="I165" s="9" t="s">
        <v>53</v>
      </c>
      <c r="J165" s="9" t="s">
        <v>156</v>
      </c>
      <c r="K165" s="9" t="s">
        <v>103</v>
      </c>
      <c r="L165" s="9" t="s">
        <v>147</v>
      </c>
      <c r="M165" s="9">
        <v>0.0</v>
      </c>
      <c r="N165" s="9">
        <v>10.0</v>
      </c>
      <c r="O165" s="9">
        <v>1.0</v>
      </c>
      <c r="P165" s="9">
        <v>2482.0</v>
      </c>
      <c r="Q165" s="9">
        <v>90.0</v>
      </c>
      <c r="R165" s="9">
        <v>401.0</v>
      </c>
      <c r="S165" s="3">
        <f t="shared" si="1"/>
        <v>3.060419236</v>
      </c>
    </row>
    <row r="166" ht="16.5" customHeight="1">
      <c r="A166" s="9" t="s">
        <v>157</v>
      </c>
      <c r="B166" s="16">
        <v>45976.0</v>
      </c>
      <c r="C166" s="9" t="s">
        <v>49</v>
      </c>
      <c r="D166" s="9" t="s">
        <v>158</v>
      </c>
      <c r="E166" s="9">
        <v>768.0</v>
      </c>
      <c r="F166" s="9" t="s">
        <v>97</v>
      </c>
      <c r="G166" s="9" t="s">
        <v>52</v>
      </c>
      <c r="H166" s="9" t="s">
        <v>52</v>
      </c>
      <c r="I166" s="9" t="s">
        <v>59</v>
      </c>
      <c r="J166" s="9" t="s">
        <v>159</v>
      </c>
      <c r="K166" s="9" t="s">
        <v>160</v>
      </c>
      <c r="L166" s="9" t="s">
        <v>61</v>
      </c>
      <c r="M166" s="9">
        <v>4.0</v>
      </c>
      <c r="N166" s="9">
        <v>6.0</v>
      </c>
      <c r="O166" s="9">
        <v>0.0</v>
      </c>
      <c r="P166" s="9">
        <v>2178.0</v>
      </c>
      <c r="Q166" s="9">
        <v>126.0</v>
      </c>
      <c r="R166" s="9">
        <v>260.0</v>
      </c>
      <c r="S166" s="3">
        <f t="shared" si="1"/>
        <v>2.8359375</v>
      </c>
    </row>
    <row r="167" ht="16.5" customHeight="1">
      <c r="A167" s="9" t="s">
        <v>157</v>
      </c>
      <c r="B167" s="16">
        <v>45976.0</v>
      </c>
      <c r="C167" s="9" t="s">
        <v>49</v>
      </c>
      <c r="D167" s="9" t="s">
        <v>158</v>
      </c>
      <c r="E167" s="9">
        <v>768.0</v>
      </c>
      <c r="F167" s="9" t="s">
        <v>97</v>
      </c>
      <c r="G167" s="9" t="s">
        <v>52</v>
      </c>
      <c r="H167" s="9" t="s">
        <v>52</v>
      </c>
      <c r="I167" s="9" t="s">
        <v>59</v>
      </c>
      <c r="J167" s="9" t="s">
        <v>159</v>
      </c>
      <c r="K167" s="9" t="s">
        <v>160</v>
      </c>
      <c r="L167" s="9" t="s">
        <v>147</v>
      </c>
      <c r="M167" s="9">
        <v>0.0</v>
      </c>
      <c r="N167" s="9">
        <v>6.0</v>
      </c>
      <c r="O167" s="9">
        <v>0.0</v>
      </c>
      <c r="P167" s="9">
        <v>2661.0</v>
      </c>
      <c r="Q167" s="9">
        <v>96.0</v>
      </c>
      <c r="R167" s="9">
        <v>260.0</v>
      </c>
      <c r="S167" s="3">
        <f t="shared" si="1"/>
        <v>3.46484375</v>
      </c>
    </row>
    <row r="168" ht="16.5" customHeight="1">
      <c r="A168" s="9" t="s">
        <v>157</v>
      </c>
      <c r="B168" s="16">
        <v>45976.0</v>
      </c>
      <c r="C168" s="9" t="s">
        <v>49</v>
      </c>
      <c r="D168" s="9" t="s">
        <v>158</v>
      </c>
      <c r="E168" s="9">
        <v>768.0</v>
      </c>
      <c r="F168" s="9" t="s">
        <v>97</v>
      </c>
      <c r="G168" s="9" t="s">
        <v>52</v>
      </c>
      <c r="H168" s="9" t="s">
        <v>52</v>
      </c>
      <c r="I168" s="9" t="s">
        <v>59</v>
      </c>
      <c r="J168" s="9" t="s">
        <v>159</v>
      </c>
      <c r="K168" s="9" t="s">
        <v>160</v>
      </c>
      <c r="L168" s="9" t="s">
        <v>100</v>
      </c>
      <c r="M168" s="9">
        <v>2.0</v>
      </c>
      <c r="N168" s="9">
        <v>6.0</v>
      </c>
      <c r="O168" s="9">
        <v>0.0</v>
      </c>
      <c r="P168" s="9">
        <v>354.0</v>
      </c>
      <c r="Q168" s="9">
        <v>38.0</v>
      </c>
      <c r="R168" s="9">
        <v>260.0</v>
      </c>
      <c r="S168" s="3">
        <f t="shared" si="1"/>
        <v>0.4609375</v>
      </c>
    </row>
    <row r="169" ht="16.5" customHeight="1">
      <c r="A169" s="9" t="s">
        <v>157</v>
      </c>
      <c r="B169" s="16">
        <v>45976.0</v>
      </c>
      <c r="C169" s="9" t="s">
        <v>49</v>
      </c>
      <c r="D169" s="9" t="s">
        <v>158</v>
      </c>
      <c r="E169" s="9">
        <v>768.0</v>
      </c>
      <c r="F169" s="9" t="s">
        <v>97</v>
      </c>
      <c r="G169" s="9" t="s">
        <v>52</v>
      </c>
      <c r="H169" s="9" t="s">
        <v>58</v>
      </c>
      <c r="I169" s="9" t="s">
        <v>53</v>
      </c>
      <c r="J169" s="9" t="s">
        <v>160</v>
      </c>
      <c r="K169" s="9" t="s">
        <v>159</v>
      </c>
      <c r="L169" s="9" t="s">
        <v>55</v>
      </c>
      <c r="M169" s="9">
        <v>6.0</v>
      </c>
      <c r="N169" s="9">
        <v>10.0</v>
      </c>
      <c r="O169" s="9">
        <v>0.0</v>
      </c>
      <c r="P169" s="9">
        <v>1810.0</v>
      </c>
      <c r="Q169" s="9">
        <v>141.0</v>
      </c>
      <c r="R169" s="9">
        <v>353.0</v>
      </c>
      <c r="S169" s="3">
        <f t="shared" si="1"/>
        <v>2.356770833</v>
      </c>
    </row>
    <row r="170" ht="16.5" customHeight="1">
      <c r="A170" s="9" t="s">
        <v>157</v>
      </c>
      <c r="B170" s="16">
        <v>45976.0</v>
      </c>
      <c r="C170" s="9" t="s">
        <v>49</v>
      </c>
      <c r="D170" s="9" t="s">
        <v>158</v>
      </c>
      <c r="E170" s="9">
        <v>768.0</v>
      </c>
      <c r="F170" s="9" t="s">
        <v>97</v>
      </c>
      <c r="G170" s="9" t="s">
        <v>52</v>
      </c>
      <c r="H170" s="9" t="s">
        <v>58</v>
      </c>
      <c r="I170" s="9" t="s">
        <v>53</v>
      </c>
      <c r="J170" s="9" t="s">
        <v>160</v>
      </c>
      <c r="K170" s="9" t="s">
        <v>159</v>
      </c>
      <c r="L170" s="9" t="s">
        <v>57</v>
      </c>
      <c r="M170" s="9">
        <v>2.0</v>
      </c>
      <c r="N170" s="9">
        <v>10.0</v>
      </c>
      <c r="O170" s="9">
        <v>4.0</v>
      </c>
      <c r="P170" s="9">
        <v>1310.0</v>
      </c>
      <c r="Q170" s="9">
        <v>126.0</v>
      </c>
      <c r="R170" s="9">
        <v>353.0</v>
      </c>
      <c r="S170" s="3">
        <f t="shared" si="1"/>
        <v>1.705729167</v>
      </c>
    </row>
    <row r="171" ht="16.5" customHeight="1">
      <c r="A171" s="9" t="s">
        <v>157</v>
      </c>
      <c r="B171" s="16">
        <v>45976.0</v>
      </c>
      <c r="C171" s="9" t="s">
        <v>49</v>
      </c>
      <c r="D171" s="9" t="s">
        <v>158</v>
      </c>
      <c r="E171" s="9">
        <v>768.0</v>
      </c>
      <c r="F171" s="9" t="s">
        <v>97</v>
      </c>
      <c r="G171" s="9" t="s">
        <v>52</v>
      </c>
      <c r="H171" s="9" t="s">
        <v>58</v>
      </c>
      <c r="I171" s="9" t="s">
        <v>53</v>
      </c>
      <c r="J171" s="9" t="s">
        <v>160</v>
      </c>
      <c r="K171" s="9" t="s">
        <v>159</v>
      </c>
      <c r="L171" s="9" t="s">
        <v>60</v>
      </c>
      <c r="M171" s="9">
        <v>2.0</v>
      </c>
      <c r="N171" s="9">
        <v>10.0</v>
      </c>
      <c r="O171" s="9">
        <v>0.0</v>
      </c>
      <c r="P171" s="9">
        <v>1766.0</v>
      </c>
      <c r="Q171" s="9">
        <v>86.0</v>
      </c>
      <c r="R171" s="9">
        <v>353.0</v>
      </c>
      <c r="S171" s="3">
        <f t="shared" si="1"/>
        <v>2.299479167</v>
      </c>
    </row>
    <row r="172" ht="16.5" customHeight="1">
      <c r="A172" s="9" t="s">
        <v>161</v>
      </c>
      <c r="B172" s="16">
        <v>45976.0</v>
      </c>
      <c r="C172" s="9" t="s">
        <v>49</v>
      </c>
      <c r="D172" s="9" t="s">
        <v>162</v>
      </c>
      <c r="E172" s="9">
        <v>1228.0</v>
      </c>
      <c r="F172" s="9" t="s">
        <v>97</v>
      </c>
      <c r="G172" s="9" t="s">
        <v>58</v>
      </c>
      <c r="H172" s="9" t="s">
        <v>58</v>
      </c>
      <c r="I172" s="9" t="s">
        <v>53</v>
      </c>
      <c r="J172" s="9" t="s">
        <v>159</v>
      </c>
      <c r="K172" s="9" t="s">
        <v>160</v>
      </c>
      <c r="L172" s="9" t="s">
        <v>61</v>
      </c>
      <c r="M172" s="9">
        <v>5.0</v>
      </c>
      <c r="N172" s="9">
        <v>10.0</v>
      </c>
      <c r="O172" s="9">
        <v>1.0</v>
      </c>
      <c r="P172" s="9">
        <v>4894.0</v>
      </c>
      <c r="Q172" s="9">
        <v>246.0</v>
      </c>
      <c r="R172" s="9">
        <v>540.0</v>
      </c>
      <c r="S172" s="3">
        <f t="shared" si="1"/>
        <v>3.98534202</v>
      </c>
    </row>
    <row r="173" ht="16.5" customHeight="1">
      <c r="A173" s="9" t="s">
        <v>161</v>
      </c>
      <c r="B173" s="16">
        <v>45976.0</v>
      </c>
      <c r="C173" s="9" t="s">
        <v>49</v>
      </c>
      <c r="D173" s="9" t="s">
        <v>162</v>
      </c>
      <c r="E173" s="9">
        <v>1228.0</v>
      </c>
      <c r="F173" s="9" t="s">
        <v>97</v>
      </c>
      <c r="G173" s="9" t="s">
        <v>58</v>
      </c>
      <c r="H173" s="9" t="s">
        <v>58</v>
      </c>
      <c r="I173" s="9" t="s">
        <v>53</v>
      </c>
      <c r="J173" s="9" t="s">
        <v>159</v>
      </c>
      <c r="K173" s="9" t="s">
        <v>160</v>
      </c>
      <c r="L173" s="9" t="s">
        <v>147</v>
      </c>
      <c r="M173" s="9">
        <v>2.0</v>
      </c>
      <c r="N173" s="9">
        <v>10.0</v>
      </c>
      <c r="O173" s="9">
        <v>0.0</v>
      </c>
      <c r="P173" s="9">
        <v>4541.0</v>
      </c>
      <c r="Q173" s="9">
        <v>177.0</v>
      </c>
      <c r="R173" s="9">
        <v>540.0</v>
      </c>
      <c r="S173" s="3">
        <f t="shared" si="1"/>
        <v>3.697882736</v>
      </c>
    </row>
    <row r="174" ht="16.5" customHeight="1">
      <c r="A174" s="9" t="s">
        <v>161</v>
      </c>
      <c r="B174" s="16">
        <v>45976.0</v>
      </c>
      <c r="C174" s="9" t="s">
        <v>49</v>
      </c>
      <c r="D174" s="9" t="s">
        <v>162</v>
      </c>
      <c r="E174" s="9">
        <v>1228.0</v>
      </c>
      <c r="F174" s="9" t="s">
        <v>97</v>
      </c>
      <c r="G174" s="9" t="s">
        <v>58</v>
      </c>
      <c r="H174" s="9" t="s">
        <v>58</v>
      </c>
      <c r="I174" s="9" t="s">
        <v>53</v>
      </c>
      <c r="J174" s="9" t="s">
        <v>159</v>
      </c>
      <c r="K174" s="9" t="s">
        <v>160</v>
      </c>
      <c r="L174" s="9" t="s">
        <v>100</v>
      </c>
      <c r="M174" s="9">
        <v>3.0</v>
      </c>
      <c r="N174" s="9">
        <v>10.0</v>
      </c>
      <c r="O174" s="9">
        <v>0.0</v>
      </c>
      <c r="P174" s="9">
        <v>1315.0</v>
      </c>
      <c r="Q174" s="9">
        <v>117.0</v>
      </c>
      <c r="R174" s="9">
        <v>540.0</v>
      </c>
      <c r="S174" s="3">
        <f t="shared" si="1"/>
        <v>1.070846906</v>
      </c>
    </row>
    <row r="175" ht="16.5" customHeight="1">
      <c r="A175" s="9" t="s">
        <v>161</v>
      </c>
      <c r="B175" s="16">
        <v>45976.0</v>
      </c>
      <c r="C175" s="9" t="s">
        <v>49</v>
      </c>
      <c r="D175" s="9" t="s">
        <v>162</v>
      </c>
      <c r="E175" s="9">
        <v>1228.0</v>
      </c>
      <c r="F175" s="9" t="s">
        <v>97</v>
      </c>
      <c r="G175" s="9" t="s">
        <v>58</v>
      </c>
      <c r="H175" s="9" t="s">
        <v>52</v>
      </c>
      <c r="I175" s="9" t="s">
        <v>59</v>
      </c>
      <c r="J175" s="9" t="s">
        <v>160</v>
      </c>
      <c r="K175" s="9" t="s">
        <v>159</v>
      </c>
      <c r="L175" s="9" t="s">
        <v>57</v>
      </c>
      <c r="M175" s="9">
        <v>3.0</v>
      </c>
      <c r="N175" s="9">
        <v>9.0</v>
      </c>
      <c r="O175" s="9">
        <v>3.0</v>
      </c>
      <c r="P175" s="9">
        <v>2499.0</v>
      </c>
      <c r="Q175" s="9">
        <v>182.0</v>
      </c>
      <c r="R175" s="9">
        <v>531.0</v>
      </c>
      <c r="S175" s="3">
        <f t="shared" si="1"/>
        <v>2.035016287</v>
      </c>
    </row>
    <row r="176" ht="16.5" customHeight="1">
      <c r="A176" s="9" t="s">
        <v>161</v>
      </c>
      <c r="B176" s="16">
        <v>45976.0</v>
      </c>
      <c r="C176" s="9" t="s">
        <v>49</v>
      </c>
      <c r="D176" s="9" t="s">
        <v>162</v>
      </c>
      <c r="E176" s="9">
        <v>1228.0</v>
      </c>
      <c r="F176" s="9" t="s">
        <v>97</v>
      </c>
      <c r="G176" s="9" t="s">
        <v>58</v>
      </c>
      <c r="H176" s="9" t="s">
        <v>52</v>
      </c>
      <c r="I176" s="9" t="s">
        <v>59</v>
      </c>
      <c r="J176" s="9" t="s">
        <v>160</v>
      </c>
      <c r="K176" s="9" t="s">
        <v>159</v>
      </c>
      <c r="L176" s="9" t="s">
        <v>55</v>
      </c>
      <c r="M176" s="9">
        <v>4.0</v>
      </c>
      <c r="N176" s="9">
        <v>9.0</v>
      </c>
      <c r="O176" s="9">
        <v>0.0</v>
      </c>
      <c r="P176" s="9">
        <v>2881.0</v>
      </c>
      <c r="Q176" s="9">
        <v>176.0</v>
      </c>
      <c r="R176" s="9">
        <v>531.0</v>
      </c>
      <c r="S176" s="3">
        <f t="shared" si="1"/>
        <v>2.346091205</v>
      </c>
    </row>
    <row r="177" ht="16.5" customHeight="1">
      <c r="A177" s="9" t="s">
        <v>161</v>
      </c>
      <c r="B177" s="16">
        <v>45976.0</v>
      </c>
      <c r="C177" s="9" t="s">
        <v>49</v>
      </c>
      <c r="D177" s="9" t="s">
        <v>162</v>
      </c>
      <c r="E177" s="9">
        <v>1228.0</v>
      </c>
      <c r="F177" s="9" t="s">
        <v>97</v>
      </c>
      <c r="G177" s="9" t="s">
        <v>58</v>
      </c>
      <c r="H177" s="9" t="s">
        <v>52</v>
      </c>
      <c r="I177" s="9" t="s">
        <v>59</v>
      </c>
      <c r="J177" s="9" t="s">
        <v>160</v>
      </c>
      <c r="K177" s="9" t="s">
        <v>159</v>
      </c>
      <c r="L177" s="9" t="s">
        <v>60</v>
      </c>
      <c r="M177" s="9">
        <v>2.0</v>
      </c>
      <c r="N177" s="9">
        <v>9.0</v>
      </c>
      <c r="O177" s="9">
        <v>0.0</v>
      </c>
      <c r="P177" s="9">
        <v>3816.0</v>
      </c>
      <c r="Q177" s="9">
        <v>173.0</v>
      </c>
      <c r="R177" s="9">
        <v>531.0</v>
      </c>
      <c r="S177" s="3">
        <f t="shared" si="1"/>
        <v>3.107491857</v>
      </c>
    </row>
    <row r="178" ht="16.5" customHeight="1">
      <c r="A178" s="9" t="s">
        <v>163</v>
      </c>
      <c r="B178" s="16">
        <v>45976.0</v>
      </c>
      <c r="C178" s="9" t="s">
        <v>49</v>
      </c>
      <c r="D178" s="9" t="s">
        <v>164</v>
      </c>
      <c r="E178" s="9">
        <v>1510.0</v>
      </c>
      <c r="F178" s="9" t="s">
        <v>97</v>
      </c>
      <c r="G178" s="9" t="s">
        <v>52</v>
      </c>
      <c r="H178" s="9" t="s">
        <v>52</v>
      </c>
      <c r="I178" s="9" t="s">
        <v>53</v>
      </c>
      <c r="J178" s="9" t="s">
        <v>165</v>
      </c>
      <c r="K178" s="9" t="s">
        <v>116</v>
      </c>
      <c r="L178" s="9" t="s">
        <v>55</v>
      </c>
      <c r="M178" s="9">
        <v>5.0</v>
      </c>
      <c r="N178" s="9">
        <v>9.0</v>
      </c>
      <c r="O178" s="9">
        <v>1.0</v>
      </c>
      <c r="P178" s="9">
        <v>5069.0</v>
      </c>
      <c r="Q178" s="9">
        <v>278.0</v>
      </c>
      <c r="R178" s="9">
        <v>649.0</v>
      </c>
      <c r="S178" s="3">
        <f t="shared" si="1"/>
        <v>3.356953642</v>
      </c>
    </row>
    <row r="179" ht="16.5" customHeight="1">
      <c r="A179" s="9" t="s">
        <v>163</v>
      </c>
      <c r="B179" s="16">
        <v>45976.0</v>
      </c>
      <c r="C179" s="9" t="s">
        <v>49</v>
      </c>
      <c r="D179" s="9" t="s">
        <v>164</v>
      </c>
      <c r="E179" s="9">
        <v>1510.0</v>
      </c>
      <c r="F179" s="9" t="s">
        <v>97</v>
      </c>
      <c r="G179" s="9" t="s">
        <v>52</v>
      </c>
      <c r="H179" s="9" t="s">
        <v>52</v>
      </c>
      <c r="I179" s="9" t="s">
        <v>53</v>
      </c>
      <c r="J179" s="9" t="s">
        <v>165</v>
      </c>
      <c r="K179" s="9" t="s">
        <v>116</v>
      </c>
      <c r="L179" s="9" t="s">
        <v>147</v>
      </c>
      <c r="M179" s="9">
        <v>0.0</v>
      </c>
      <c r="N179" s="9">
        <v>9.0</v>
      </c>
      <c r="O179" s="9">
        <v>0.0</v>
      </c>
      <c r="P179" s="9">
        <v>6098.0</v>
      </c>
      <c r="Q179" s="9">
        <v>215.0</v>
      </c>
      <c r="R179" s="9">
        <v>649.0</v>
      </c>
      <c r="S179" s="3">
        <f t="shared" si="1"/>
        <v>4.038410596</v>
      </c>
    </row>
    <row r="180" ht="16.5" customHeight="1">
      <c r="A180" s="9" t="s">
        <v>163</v>
      </c>
      <c r="B180" s="16">
        <v>45976.0</v>
      </c>
      <c r="C180" s="9" t="s">
        <v>49</v>
      </c>
      <c r="D180" s="9" t="s">
        <v>164</v>
      </c>
      <c r="E180" s="9">
        <v>1510.0</v>
      </c>
      <c r="F180" s="9" t="s">
        <v>97</v>
      </c>
      <c r="G180" s="9" t="s">
        <v>52</v>
      </c>
      <c r="H180" s="9" t="s">
        <v>52</v>
      </c>
      <c r="I180" s="9" t="s">
        <v>53</v>
      </c>
      <c r="J180" s="9" t="s">
        <v>165</v>
      </c>
      <c r="K180" s="9" t="s">
        <v>116</v>
      </c>
      <c r="L180" s="9" t="s">
        <v>100</v>
      </c>
      <c r="M180" s="9">
        <v>4.0</v>
      </c>
      <c r="N180" s="9">
        <v>9.0</v>
      </c>
      <c r="O180" s="9">
        <v>0.0</v>
      </c>
      <c r="P180" s="9">
        <v>2483.0</v>
      </c>
      <c r="Q180" s="9">
        <v>156.0</v>
      </c>
      <c r="R180" s="9">
        <v>649.0</v>
      </c>
      <c r="S180" s="3">
        <f t="shared" si="1"/>
        <v>1.644370861</v>
      </c>
    </row>
    <row r="181" ht="16.5" customHeight="1">
      <c r="A181" s="9" t="s">
        <v>163</v>
      </c>
      <c r="B181" s="16">
        <v>45976.0</v>
      </c>
      <c r="C181" s="9" t="s">
        <v>49</v>
      </c>
      <c r="D181" s="9" t="s">
        <v>164</v>
      </c>
      <c r="E181" s="9">
        <v>1510.0</v>
      </c>
      <c r="F181" s="9" t="s">
        <v>97</v>
      </c>
      <c r="G181" s="9" t="s">
        <v>52</v>
      </c>
      <c r="H181" s="9" t="s">
        <v>58</v>
      </c>
      <c r="I181" s="9" t="s">
        <v>59</v>
      </c>
      <c r="J181" s="9" t="s">
        <v>116</v>
      </c>
      <c r="K181" s="9" t="s">
        <v>165</v>
      </c>
      <c r="L181" s="9" t="s">
        <v>57</v>
      </c>
      <c r="M181" s="9">
        <v>4.0</v>
      </c>
      <c r="N181" s="9">
        <v>9.0</v>
      </c>
      <c r="O181" s="9">
        <v>0.0</v>
      </c>
      <c r="P181" s="9">
        <v>3361.0</v>
      </c>
      <c r="Q181" s="9">
        <v>210.0</v>
      </c>
      <c r="R181" s="9">
        <v>615.0</v>
      </c>
      <c r="S181" s="3">
        <f t="shared" si="1"/>
        <v>2.225827815</v>
      </c>
    </row>
    <row r="182" ht="16.5" customHeight="1">
      <c r="A182" s="9" t="s">
        <v>163</v>
      </c>
      <c r="B182" s="16">
        <v>45976.0</v>
      </c>
      <c r="C182" s="9" t="s">
        <v>49</v>
      </c>
      <c r="D182" s="9" t="s">
        <v>164</v>
      </c>
      <c r="E182" s="9">
        <v>1510.0</v>
      </c>
      <c r="F182" s="9" t="s">
        <v>97</v>
      </c>
      <c r="G182" s="9" t="s">
        <v>52</v>
      </c>
      <c r="H182" s="9" t="s">
        <v>58</v>
      </c>
      <c r="I182" s="9" t="s">
        <v>59</v>
      </c>
      <c r="J182" s="9" t="s">
        <v>116</v>
      </c>
      <c r="K182" s="9" t="s">
        <v>165</v>
      </c>
      <c r="L182" s="9" t="s">
        <v>61</v>
      </c>
      <c r="M182" s="9">
        <v>5.0</v>
      </c>
      <c r="N182" s="9">
        <v>9.0</v>
      </c>
      <c r="O182" s="9">
        <v>0.0</v>
      </c>
      <c r="P182" s="9">
        <v>3193.0</v>
      </c>
      <c r="Q182" s="9">
        <v>203.0</v>
      </c>
      <c r="R182" s="9">
        <v>615.0</v>
      </c>
      <c r="S182" s="3">
        <f t="shared" si="1"/>
        <v>2.114569536</v>
      </c>
    </row>
    <row r="183" ht="16.5" customHeight="1">
      <c r="A183" s="9" t="s">
        <v>163</v>
      </c>
      <c r="B183" s="16">
        <v>45976.0</v>
      </c>
      <c r="C183" s="9" t="s">
        <v>49</v>
      </c>
      <c r="D183" s="9" t="s">
        <v>164</v>
      </c>
      <c r="E183" s="9">
        <v>1510.0</v>
      </c>
      <c r="F183" s="9" t="s">
        <v>97</v>
      </c>
      <c r="G183" s="9" t="s">
        <v>52</v>
      </c>
      <c r="H183" s="9" t="s">
        <v>58</v>
      </c>
      <c r="I183" s="9" t="s">
        <v>59</v>
      </c>
      <c r="J183" s="9" t="s">
        <v>116</v>
      </c>
      <c r="K183" s="9" t="s">
        <v>165</v>
      </c>
      <c r="L183" s="9" t="s">
        <v>60</v>
      </c>
      <c r="M183" s="9">
        <v>0.0</v>
      </c>
      <c r="N183" s="9">
        <v>9.0</v>
      </c>
      <c r="O183" s="9">
        <v>0.0</v>
      </c>
      <c r="P183" s="9">
        <v>4997.0</v>
      </c>
      <c r="Q183" s="9">
        <v>202.0</v>
      </c>
      <c r="R183" s="9">
        <v>615.0</v>
      </c>
      <c r="S183" s="3">
        <f t="shared" si="1"/>
        <v>3.309271523</v>
      </c>
    </row>
    <row r="184" ht="16.5" customHeight="1">
      <c r="A184" s="9" t="s">
        <v>166</v>
      </c>
      <c r="B184" s="16">
        <v>45976.0</v>
      </c>
      <c r="C184" s="9" t="s">
        <v>49</v>
      </c>
      <c r="D184" s="9" t="s">
        <v>167</v>
      </c>
      <c r="E184" s="9">
        <v>1250.0</v>
      </c>
      <c r="F184" s="9" t="s">
        <v>97</v>
      </c>
      <c r="G184" s="9" t="s">
        <v>52</v>
      </c>
      <c r="H184" s="9" t="s">
        <v>52</v>
      </c>
      <c r="I184" s="9" t="s">
        <v>53</v>
      </c>
      <c r="J184" s="9" t="s">
        <v>98</v>
      </c>
      <c r="K184" s="9" t="s">
        <v>99</v>
      </c>
      <c r="L184" s="9" t="s">
        <v>55</v>
      </c>
      <c r="M184" s="9">
        <v>5.0</v>
      </c>
      <c r="N184" s="9">
        <v>9.0</v>
      </c>
      <c r="O184" s="9">
        <v>1.0</v>
      </c>
      <c r="P184" s="9">
        <v>3972.0</v>
      </c>
      <c r="Q184" s="9">
        <v>230.0</v>
      </c>
      <c r="R184" s="9">
        <v>464.0</v>
      </c>
      <c r="S184" s="3">
        <f t="shared" si="1"/>
        <v>3.1776</v>
      </c>
    </row>
    <row r="185" ht="16.5" customHeight="1">
      <c r="A185" s="9" t="s">
        <v>166</v>
      </c>
      <c r="B185" s="16">
        <v>45976.0</v>
      </c>
      <c r="C185" s="9" t="s">
        <v>49</v>
      </c>
      <c r="D185" s="9" t="s">
        <v>167</v>
      </c>
      <c r="E185" s="9">
        <v>1250.0</v>
      </c>
      <c r="F185" s="9" t="s">
        <v>97</v>
      </c>
      <c r="G185" s="9" t="s">
        <v>52</v>
      </c>
      <c r="H185" s="9" t="s">
        <v>52</v>
      </c>
      <c r="I185" s="9" t="s">
        <v>53</v>
      </c>
      <c r="J185" s="9" t="s">
        <v>98</v>
      </c>
      <c r="K185" s="9" t="s">
        <v>99</v>
      </c>
      <c r="L185" s="9" t="s">
        <v>60</v>
      </c>
      <c r="M185" s="9">
        <v>4.0</v>
      </c>
      <c r="N185" s="9">
        <v>9.0</v>
      </c>
      <c r="O185" s="9">
        <v>2.0</v>
      </c>
      <c r="P185" s="9">
        <v>3406.0</v>
      </c>
      <c r="Q185" s="9">
        <v>211.0</v>
      </c>
      <c r="R185" s="9">
        <v>464.0</v>
      </c>
      <c r="S185" s="3">
        <f t="shared" si="1"/>
        <v>2.7248</v>
      </c>
    </row>
    <row r="186" ht="16.5" customHeight="1">
      <c r="A186" s="9" t="s">
        <v>166</v>
      </c>
      <c r="B186" s="16">
        <v>45976.0</v>
      </c>
      <c r="C186" s="9" t="s">
        <v>49</v>
      </c>
      <c r="D186" s="9" t="s">
        <v>167</v>
      </c>
      <c r="E186" s="9">
        <v>1250.0</v>
      </c>
      <c r="F186" s="9" t="s">
        <v>97</v>
      </c>
      <c r="G186" s="9" t="s">
        <v>52</v>
      </c>
      <c r="H186" s="9" t="s">
        <v>52</v>
      </c>
      <c r="I186" s="9" t="s">
        <v>53</v>
      </c>
      <c r="J186" s="9" t="s">
        <v>98</v>
      </c>
      <c r="K186" s="9" t="s">
        <v>99</v>
      </c>
      <c r="L186" s="9" t="s">
        <v>77</v>
      </c>
      <c r="M186" s="9">
        <v>0.0</v>
      </c>
      <c r="N186" s="9">
        <v>9.0</v>
      </c>
      <c r="O186" s="9">
        <v>0.0</v>
      </c>
      <c r="P186" s="9">
        <v>561.0</v>
      </c>
      <c r="Q186" s="9">
        <v>23.0</v>
      </c>
      <c r="R186" s="9">
        <v>464.0</v>
      </c>
      <c r="S186" s="3">
        <f t="shared" si="1"/>
        <v>0.4488</v>
      </c>
    </row>
    <row r="187" ht="16.5" customHeight="1">
      <c r="A187" s="9" t="s">
        <v>166</v>
      </c>
      <c r="B187" s="16">
        <v>45976.0</v>
      </c>
      <c r="C187" s="9" t="s">
        <v>49</v>
      </c>
      <c r="D187" s="9" t="s">
        <v>167</v>
      </c>
      <c r="E187" s="9">
        <v>1250.0</v>
      </c>
      <c r="F187" s="9" t="s">
        <v>97</v>
      </c>
      <c r="G187" s="9" t="s">
        <v>52</v>
      </c>
      <c r="H187" s="9" t="s">
        <v>58</v>
      </c>
      <c r="I187" s="9" t="s">
        <v>59</v>
      </c>
      <c r="J187" s="9" t="s">
        <v>99</v>
      </c>
      <c r="K187" s="9" t="s">
        <v>98</v>
      </c>
      <c r="L187" s="9" t="s">
        <v>61</v>
      </c>
      <c r="M187" s="9">
        <v>3.0</v>
      </c>
      <c r="N187" s="9">
        <v>7.0</v>
      </c>
      <c r="O187" s="9">
        <v>0.0</v>
      </c>
      <c r="P187" s="9">
        <v>4170.0</v>
      </c>
      <c r="Q187" s="9">
        <v>185.0</v>
      </c>
      <c r="R187" s="9">
        <v>452.0</v>
      </c>
      <c r="S187" s="3">
        <f t="shared" si="1"/>
        <v>3.336</v>
      </c>
    </row>
    <row r="188" ht="16.5" customHeight="1">
      <c r="A188" s="9" t="s">
        <v>166</v>
      </c>
      <c r="B188" s="16">
        <v>45976.0</v>
      </c>
      <c r="C188" s="9" t="s">
        <v>49</v>
      </c>
      <c r="D188" s="9" t="s">
        <v>167</v>
      </c>
      <c r="E188" s="9">
        <v>1250.0</v>
      </c>
      <c r="F188" s="9" t="s">
        <v>97</v>
      </c>
      <c r="G188" s="9" t="s">
        <v>52</v>
      </c>
      <c r="H188" s="9" t="s">
        <v>58</v>
      </c>
      <c r="I188" s="9" t="s">
        <v>59</v>
      </c>
      <c r="J188" s="9" t="s">
        <v>99</v>
      </c>
      <c r="K188" s="9" t="s">
        <v>98</v>
      </c>
      <c r="L188" s="9" t="s">
        <v>57</v>
      </c>
      <c r="M188" s="9">
        <v>3.0</v>
      </c>
      <c r="N188" s="9">
        <v>7.0</v>
      </c>
      <c r="O188" s="9">
        <v>1.0</v>
      </c>
      <c r="P188" s="9">
        <v>2798.0</v>
      </c>
      <c r="Q188" s="9">
        <v>170.0</v>
      </c>
      <c r="R188" s="9">
        <v>452.0</v>
      </c>
      <c r="S188" s="3">
        <f t="shared" si="1"/>
        <v>2.2384</v>
      </c>
    </row>
    <row r="189" ht="16.5" customHeight="1">
      <c r="A189" s="9" t="s">
        <v>166</v>
      </c>
      <c r="B189" s="16">
        <v>45976.0</v>
      </c>
      <c r="C189" s="9" t="s">
        <v>49</v>
      </c>
      <c r="D189" s="9" t="s">
        <v>167</v>
      </c>
      <c r="E189" s="9">
        <v>1250.0</v>
      </c>
      <c r="F189" s="9" t="s">
        <v>97</v>
      </c>
      <c r="G189" s="9" t="s">
        <v>52</v>
      </c>
      <c r="H189" s="9" t="s">
        <v>58</v>
      </c>
      <c r="I189" s="9" t="s">
        <v>59</v>
      </c>
      <c r="J189" s="9" t="s">
        <v>99</v>
      </c>
      <c r="K189" s="9" t="s">
        <v>98</v>
      </c>
      <c r="L189" s="9" t="s">
        <v>100</v>
      </c>
      <c r="M189" s="9">
        <v>1.0</v>
      </c>
      <c r="N189" s="9">
        <v>7.0</v>
      </c>
      <c r="O189" s="9">
        <v>0.0</v>
      </c>
      <c r="P189" s="9">
        <v>1755.0</v>
      </c>
      <c r="Q189" s="9">
        <v>97.0</v>
      </c>
      <c r="R189" s="9">
        <v>452.0</v>
      </c>
      <c r="S189" s="3">
        <f t="shared" si="1"/>
        <v>1.404</v>
      </c>
    </row>
    <row r="190" ht="16.5" customHeight="1">
      <c r="A190" s="9" t="s">
        <v>168</v>
      </c>
      <c r="B190" s="16">
        <v>45976.0</v>
      </c>
      <c r="C190" s="9" t="s">
        <v>49</v>
      </c>
      <c r="D190" s="9" t="s">
        <v>169</v>
      </c>
      <c r="E190" s="9">
        <v>1388.0</v>
      </c>
      <c r="F190" s="9" t="s">
        <v>97</v>
      </c>
      <c r="G190" s="9" t="s">
        <v>52</v>
      </c>
      <c r="H190" s="9" t="s">
        <v>52</v>
      </c>
      <c r="I190" s="9" t="s">
        <v>53</v>
      </c>
      <c r="J190" s="9" t="s">
        <v>98</v>
      </c>
      <c r="K190" s="9" t="s">
        <v>99</v>
      </c>
      <c r="L190" s="9" t="s">
        <v>55</v>
      </c>
      <c r="M190" s="9">
        <v>6.0</v>
      </c>
      <c r="N190" s="9">
        <v>10.0</v>
      </c>
      <c r="O190" s="9">
        <v>0.0</v>
      </c>
      <c r="P190" s="9">
        <v>4152.0</v>
      </c>
      <c r="Q190" s="9">
        <v>253.0</v>
      </c>
      <c r="R190" s="9">
        <v>625.0</v>
      </c>
      <c r="S190" s="3">
        <f t="shared" si="1"/>
        <v>2.991354467</v>
      </c>
    </row>
    <row r="191" ht="16.5" customHeight="1">
      <c r="A191" s="9" t="s">
        <v>168</v>
      </c>
      <c r="B191" s="16">
        <v>45976.0</v>
      </c>
      <c r="C191" s="9" t="s">
        <v>49</v>
      </c>
      <c r="D191" s="9" t="s">
        <v>169</v>
      </c>
      <c r="E191" s="9">
        <v>1388.0</v>
      </c>
      <c r="F191" s="9" t="s">
        <v>97</v>
      </c>
      <c r="G191" s="9" t="s">
        <v>52</v>
      </c>
      <c r="H191" s="9" t="s">
        <v>52</v>
      </c>
      <c r="I191" s="9" t="s">
        <v>53</v>
      </c>
      <c r="J191" s="9" t="s">
        <v>98</v>
      </c>
      <c r="K191" s="9" t="s">
        <v>99</v>
      </c>
      <c r="L191" s="9" t="s">
        <v>60</v>
      </c>
      <c r="M191" s="9">
        <v>2.0</v>
      </c>
      <c r="N191" s="9">
        <v>10.0</v>
      </c>
      <c r="O191" s="9">
        <v>2.0</v>
      </c>
      <c r="P191" s="9">
        <v>5224.0</v>
      </c>
      <c r="Q191" s="9">
        <v>246.0</v>
      </c>
      <c r="R191" s="9">
        <v>625.0</v>
      </c>
      <c r="S191" s="3">
        <f t="shared" si="1"/>
        <v>3.763688761</v>
      </c>
    </row>
    <row r="192" ht="16.5" customHeight="1">
      <c r="A192" s="9" t="s">
        <v>168</v>
      </c>
      <c r="B192" s="16">
        <v>45976.0</v>
      </c>
      <c r="C192" s="9" t="s">
        <v>49</v>
      </c>
      <c r="D192" s="9" t="s">
        <v>169</v>
      </c>
      <c r="E192" s="9">
        <v>1388.0</v>
      </c>
      <c r="F192" s="9" t="s">
        <v>97</v>
      </c>
      <c r="G192" s="9" t="s">
        <v>52</v>
      </c>
      <c r="H192" s="9" t="s">
        <v>52</v>
      </c>
      <c r="I192" s="9" t="s">
        <v>53</v>
      </c>
      <c r="J192" s="9" t="s">
        <v>98</v>
      </c>
      <c r="K192" s="9" t="s">
        <v>99</v>
      </c>
      <c r="L192" s="9" t="s">
        <v>77</v>
      </c>
      <c r="M192" s="9">
        <v>2.0</v>
      </c>
      <c r="N192" s="9">
        <v>10.0</v>
      </c>
      <c r="O192" s="9">
        <v>1.0</v>
      </c>
      <c r="P192" s="9">
        <v>2548.0</v>
      </c>
      <c r="Q192" s="9">
        <v>126.0</v>
      </c>
      <c r="R192" s="9">
        <v>625.0</v>
      </c>
      <c r="S192" s="3">
        <f t="shared" si="1"/>
        <v>1.83573487</v>
      </c>
    </row>
    <row r="193" ht="16.5" customHeight="1">
      <c r="A193" s="9" t="s">
        <v>168</v>
      </c>
      <c r="B193" s="16">
        <v>45976.0</v>
      </c>
      <c r="C193" s="9" t="s">
        <v>49</v>
      </c>
      <c r="D193" s="9" t="s">
        <v>169</v>
      </c>
      <c r="E193" s="9">
        <v>1388.0</v>
      </c>
      <c r="F193" s="9" t="s">
        <v>97</v>
      </c>
      <c r="G193" s="9" t="s">
        <v>52</v>
      </c>
      <c r="H193" s="9" t="s">
        <v>58</v>
      </c>
      <c r="I193" s="9" t="s">
        <v>59</v>
      </c>
      <c r="J193" s="9" t="s">
        <v>99</v>
      </c>
      <c r="K193" s="9" t="s">
        <v>98</v>
      </c>
      <c r="L193" s="9" t="s">
        <v>61</v>
      </c>
      <c r="M193" s="9">
        <v>4.0</v>
      </c>
      <c r="N193" s="9">
        <v>6.0</v>
      </c>
      <c r="O193" s="9">
        <v>0.0</v>
      </c>
      <c r="P193" s="9">
        <v>4279.0</v>
      </c>
      <c r="Q193" s="9">
        <v>216.0</v>
      </c>
      <c r="R193" s="9">
        <v>523.0</v>
      </c>
      <c r="S193" s="3">
        <f t="shared" si="1"/>
        <v>3.082853026</v>
      </c>
    </row>
    <row r="194" ht="16.5" customHeight="1">
      <c r="A194" s="9" t="s">
        <v>168</v>
      </c>
      <c r="B194" s="16">
        <v>45976.0</v>
      </c>
      <c r="C194" s="9" t="s">
        <v>49</v>
      </c>
      <c r="D194" s="9" t="s">
        <v>169</v>
      </c>
      <c r="E194" s="9">
        <v>1388.0</v>
      </c>
      <c r="F194" s="9" t="s">
        <v>97</v>
      </c>
      <c r="G194" s="9" t="s">
        <v>52</v>
      </c>
      <c r="H194" s="9" t="s">
        <v>58</v>
      </c>
      <c r="I194" s="9" t="s">
        <v>59</v>
      </c>
      <c r="J194" s="9" t="s">
        <v>99</v>
      </c>
      <c r="K194" s="9" t="s">
        <v>98</v>
      </c>
      <c r="L194" s="9" t="s">
        <v>57</v>
      </c>
      <c r="M194" s="9">
        <v>2.0</v>
      </c>
      <c r="N194" s="9">
        <v>6.0</v>
      </c>
      <c r="O194" s="9">
        <v>1.0</v>
      </c>
      <c r="P194" s="9">
        <v>3765.0</v>
      </c>
      <c r="Q194" s="9">
        <v>190.0</v>
      </c>
      <c r="R194" s="9">
        <v>523.0</v>
      </c>
      <c r="S194" s="3">
        <f t="shared" si="1"/>
        <v>2.712536023</v>
      </c>
    </row>
    <row r="195" ht="16.5" customHeight="1">
      <c r="A195" s="9" t="s">
        <v>168</v>
      </c>
      <c r="B195" s="16">
        <v>45976.0</v>
      </c>
      <c r="C195" s="9" t="s">
        <v>49</v>
      </c>
      <c r="D195" s="9" t="s">
        <v>169</v>
      </c>
      <c r="E195" s="9">
        <v>1388.0</v>
      </c>
      <c r="F195" s="9" t="s">
        <v>97</v>
      </c>
      <c r="G195" s="9" t="s">
        <v>52</v>
      </c>
      <c r="H195" s="9" t="s">
        <v>58</v>
      </c>
      <c r="I195" s="9" t="s">
        <v>59</v>
      </c>
      <c r="J195" s="9" t="s">
        <v>99</v>
      </c>
      <c r="K195" s="9" t="s">
        <v>98</v>
      </c>
      <c r="L195" s="9" t="s">
        <v>100</v>
      </c>
      <c r="M195" s="9">
        <v>0.0</v>
      </c>
      <c r="N195" s="9">
        <v>6.0</v>
      </c>
      <c r="O195" s="9">
        <v>0.0</v>
      </c>
      <c r="P195" s="9">
        <v>2292.0</v>
      </c>
      <c r="Q195" s="9">
        <v>117.0</v>
      </c>
      <c r="R195" s="9">
        <v>523.0</v>
      </c>
      <c r="S195" s="3">
        <f t="shared" si="1"/>
        <v>1.65129683</v>
      </c>
    </row>
    <row r="196" ht="16.5" customHeight="1">
      <c r="A196" s="9" t="s">
        <v>170</v>
      </c>
      <c r="B196" s="16">
        <v>45976.0</v>
      </c>
      <c r="C196" s="9" t="s">
        <v>49</v>
      </c>
      <c r="D196" s="9" t="s">
        <v>171</v>
      </c>
      <c r="E196" s="9">
        <v>1426.0</v>
      </c>
      <c r="F196" s="9" t="s">
        <v>97</v>
      </c>
      <c r="G196" s="9" t="s">
        <v>58</v>
      </c>
      <c r="H196" s="9" t="s">
        <v>52</v>
      </c>
      <c r="I196" s="9" t="s">
        <v>59</v>
      </c>
      <c r="J196" s="9" t="s">
        <v>98</v>
      </c>
      <c r="K196" s="9" t="s">
        <v>99</v>
      </c>
      <c r="L196" s="9" t="s">
        <v>55</v>
      </c>
      <c r="M196" s="9">
        <v>7.0</v>
      </c>
      <c r="N196" s="9">
        <v>8.0</v>
      </c>
      <c r="O196" s="9">
        <v>0.0</v>
      </c>
      <c r="P196" s="9">
        <v>3769.0</v>
      </c>
      <c r="Q196" s="9">
        <v>252.0</v>
      </c>
      <c r="R196" s="9">
        <v>536.0</v>
      </c>
      <c r="S196" s="3">
        <f t="shared" si="1"/>
        <v>2.643057504</v>
      </c>
    </row>
    <row r="197" ht="16.5" customHeight="1">
      <c r="A197" s="9" t="s">
        <v>170</v>
      </c>
      <c r="B197" s="16">
        <v>45976.0</v>
      </c>
      <c r="C197" s="9" t="s">
        <v>49</v>
      </c>
      <c r="D197" s="9" t="s">
        <v>171</v>
      </c>
      <c r="E197" s="9">
        <v>1426.0</v>
      </c>
      <c r="F197" s="9" t="s">
        <v>97</v>
      </c>
      <c r="G197" s="9" t="s">
        <v>58</v>
      </c>
      <c r="H197" s="9" t="s">
        <v>52</v>
      </c>
      <c r="I197" s="9" t="s">
        <v>59</v>
      </c>
      <c r="J197" s="9" t="s">
        <v>98</v>
      </c>
      <c r="K197" s="9" t="s">
        <v>99</v>
      </c>
      <c r="L197" s="9" t="s">
        <v>77</v>
      </c>
      <c r="M197" s="9">
        <v>1.0</v>
      </c>
      <c r="N197" s="9">
        <v>8.0</v>
      </c>
      <c r="O197" s="9">
        <v>0.0</v>
      </c>
      <c r="P197" s="9">
        <v>3567.0</v>
      </c>
      <c r="Q197" s="9">
        <v>150.0</v>
      </c>
      <c r="R197" s="9">
        <v>536.0</v>
      </c>
      <c r="S197" s="3">
        <f t="shared" si="1"/>
        <v>2.501402525</v>
      </c>
    </row>
    <row r="198" ht="16.5" customHeight="1">
      <c r="A198" s="9" t="s">
        <v>170</v>
      </c>
      <c r="B198" s="16">
        <v>45976.0</v>
      </c>
      <c r="C198" s="9" t="s">
        <v>49</v>
      </c>
      <c r="D198" s="9" t="s">
        <v>171</v>
      </c>
      <c r="E198" s="9">
        <v>1426.0</v>
      </c>
      <c r="F198" s="9" t="s">
        <v>97</v>
      </c>
      <c r="G198" s="9" t="s">
        <v>58</v>
      </c>
      <c r="H198" s="9" t="s">
        <v>52</v>
      </c>
      <c r="I198" s="9" t="s">
        <v>59</v>
      </c>
      <c r="J198" s="9" t="s">
        <v>98</v>
      </c>
      <c r="K198" s="9" t="s">
        <v>99</v>
      </c>
      <c r="L198" s="9" t="s">
        <v>60</v>
      </c>
      <c r="M198" s="9">
        <v>0.0</v>
      </c>
      <c r="N198" s="9">
        <v>8.0</v>
      </c>
      <c r="O198" s="9">
        <v>0.0</v>
      </c>
      <c r="P198" s="9">
        <v>3715.0</v>
      </c>
      <c r="Q198" s="9">
        <v>134.0</v>
      </c>
      <c r="R198" s="9">
        <v>536.0</v>
      </c>
      <c r="S198" s="3">
        <f t="shared" si="1"/>
        <v>2.605189341</v>
      </c>
    </row>
    <row r="199" ht="16.5" customHeight="1">
      <c r="A199" s="9" t="s">
        <v>170</v>
      </c>
      <c r="B199" s="16">
        <v>45976.0</v>
      </c>
      <c r="C199" s="9" t="s">
        <v>49</v>
      </c>
      <c r="D199" s="9" t="s">
        <v>171</v>
      </c>
      <c r="E199" s="9">
        <v>1426.0</v>
      </c>
      <c r="F199" s="9" t="s">
        <v>97</v>
      </c>
      <c r="G199" s="9" t="s">
        <v>58</v>
      </c>
      <c r="H199" s="9" t="s">
        <v>58</v>
      </c>
      <c r="I199" s="9" t="s">
        <v>53</v>
      </c>
      <c r="J199" s="9" t="s">
        <v>99</v>
      </c>
      <c r="K199" s="9" t="s">
        <v>98</v>
      </c>
      <c r="L199" s="9" t="s">
        <v>57</v>
      </c>
      <c r="M199" s="9">
        <v>8.0</v>
      </c>
      <c r="N199" s="9">
        <v>10.0</v>
      </c>
      <c r="O199" s="9">
        <v>0.0</v>
      </c>
      <c r="P199" s="9">
        <v>2798.0</v>
      </c>
      <c r="Q199" s="9">
        <v>229.0</v>
      </c>
      <c r="R199" s="9">
        <v>488.0</v>
      </c>
      <c r="S199" s="3">
        <f t="shared" si="1"/>
        <v>1.962131837</v>
      </c>
    </row>
    <row r="200" ht="16.5" customHeight="1">
      <c r="A200" s="9" t="s">
        <v>170</v>
      </c>
      <c r="B200" s="16">
        <v>45976.0</v>
      </c>
      <c r="C200" s="9" t="s">
        <v>49</v>
      </c>
      <c r="D200" s="9" t="s">
        <v>171</v>
      </c>
      <c r="E200" s="9">
        <v>1426.0</v>
      </c>
      <c r="F200" s="9" t="s">
        <v>97</v>
      </c>
      <c r="G200" s="9" t="s">
        <v>58</v>
      </c>
      <c r="H200" s="9" t="s">
        <v>58</v>
      </c>
      <c r="I200" s="9" t="s">
        <v>53</v>
      </c>
      <c r="J200" s="9" t="s">
        <v>99</v>
      </c>
      <c r="K200" s="9" t="s">
        <v>98</v>
      </c>
      <c r="L200" s="9" t="s">
        <v>61</v>
      </c>
      <c r="M200" s="9">
        <v>2.0</v>
      </c>
      <c r="N200" s="9">
        <v>10.0</v>
      </c>
      <c r="O200" s="9">
        <v>1.0</v>
      </c>
      <c r="P200" s="9">
        <v>3002.0</v>
      </c>
      <c r="Q200" s="9">
        <v>151.0</v>
      </c>
      <c r="R200" s="9">
        <v>488.0</v>
      </c>
      <c r="S200" s="3">
        <f t="shared" si="1"/>
        <v>2.105189341</v>
      </c>
    </row>
    <row r="201" ht="16.5" customHeight="1">
      <c r="A201" s="9" t="s">
        <v>170</v>
      </c>
      <c r="B201" s="16">
        <v>45976.0</v>
      </c>
      <c r="C201" s="9" t="s">
        <v>49</v>
      </c>
      <c r="D201" s="9" t="s">
        <v>171</v>
      </c>
      <c r="E201" s="9">
        <v>1426.0</v>
      </c>
      <c r="F201" s="9" t="s">
        <v>97</v>
      </c>
      <c r="G201" s="9" t="s">
        <v>58</v>
      </c>
      <c r="H201" s="9" t="s">
        <v>58</v>
      </c>
      <c r="I201" s="9" t="s">
        <v>53</v>
      </c>
      <c r="J201" s="9" t="s">
        <v>99</v>
      </c>
      <c r="K201" s="9" t="s">
        <v>98</v>
      </c>
      <c r="L201" s="9" t="s">
        <v>100</v>
      </c>
      <c r="M201" s="9">
        <v>0.0</v>
      </c>
      <c r="N201" s="9">
        <v>10.0</v>
      </c>
      <c r="O201" s="9">
        <v>0.0</v>
      </c>
      <c r="P201" s="9">
        <v>2033.0</v>
      </c>
      <c r="Q201" s="9">
        <v>108.0</v>
      </c>
      <c r="R201" s="9">
        <v>488.0</v>
      </c>
      <c r="S201" s="3">
        <f t="shared" si="1"/>
        <v>1.425666199</v>
      </c>
    </row>
    <row r="202" ht="16.5" customHeight="1">
      <c r="A202" s="9" t="s">
        <v>172</v>
      </c>
      <c r="B202" s="16">
        <v>45976.0</v>
      </c>
      <c r="C202" s="9" t="s">
        <v>49</v>
      </c>
      <c r="D202" s="9" t="s">
        <v>173</v>
      </c>
      <c r="E202" s="9">
        <v>703.0</v>
      </c>
      <c r="F202" s="9" t="s">
        <v>97</v>
      </c>
      <c r="G202" s="9" t="s">
        <v>58</v>
      </c>
      <c r="H202" s="9" t="s">
        <v>52</v>
      </c>
      <c r="I202" s="9" t="s">
        <v>59</v>
      </c>
      <c r="J202" s="9" t="s">
        <v>174</v>
      </c>
      <c r="K202" s="9" t="s">
        <v>175</v>
      </c>
      <c r="L202" s="9" t="s">
        <v>61</v>
      </c>
      <c r="M202" s="9">
        <v>1.0</v>
      </c>
      <c r="N202" s="9">
        <v>2.0</v>
      </c>
      <c r="O202" s="9">
        <v>0.0</v>
      </c>
      <c r="P202" s="9">
        <v>1839.0</v>
      </c>
      <c r="Q202" s="9">
        <v>79.0</v>
      </c>
      <c r="R202" s="9">
        <v>199.0</v>
      </c>
      <c r="S202" s="3">
        <f t="shared" si="1"/>
        <v>2.615931721</v>
      </c>
    </row>
    <row r="203" ht="16.5" customHeight="1">
      <c r="A203" s="9" t="s">
        <v>172</v>
      </c>
      <c r="B203" s="16">
        <v>45976.0</v>
      </c>
      <c r="C203" s="9" t="s">
        <v>49</v>
      </c>
      <c r="D203" s="9" t="s">
        <v>173</v>
      </c>
      <c r="E203" s="9">
        <v>703.0</v>
      </c>
      <c r="F203" s="9" t="s">
        <v>97</v>
      </c>
      <c r="G203" s="9" t="s">
        <v>58</v>
      </c>
      <c r="H203" s="9" t="s">
        <v>52</v>
      </c>
      <c r="I203" s="9" t="s">
        <v>59</v>
      </c>
      <c r="J203" s="9" t="s">
        <v>174</v>
      </c>
      <c r="K203" s="9" t="s">
        <v>175</v>
      </c>
      <c r="L203" s="9" t="s">
        <v>57</v>
      </c>
      <c r="M203" s="9">
        <v>1.0</v>
      </c>
      <c r="N203" s="9">
        <v>2.0</v>
      </c>
      <c r="O203" s="9">
        <v>0.0</v>
      </c>
      <c r="P203" s="9">
        <v>675.0</v>
      </c>
      <c r="Q203" s="9">
        <v>62.0</v>
      </c>
      <c r="R203" s="9">
        <v>199.0</v>
      </c>
      <c r="S203" s="3">
        <f t="shared" si="1"/>
        <v>0.960170697</v>
      </c>
    </row>
    <row r="204" ht="16.5" customHeight="1">
      <c r="A204" s="9" t="s">
        <v>172</v>
      </c>
      <c r="B204" s="16">
        <v>45976.0</v>
      </c>
      <c r="C204" s="9" t="s">
        <v>49</v>
      </c>
      <c r="D204" s="9" t="s">
        <v>173</v>
      </c>
      <c r="E204" s="9">
        <v>703.0</v>
      </c>
      <c r="F204" s="9" t="s">
        <v>97</v>
      </c>
      <c r="G204" s="9" t="s">
        <v>58</v>
      </c>
      <c r="H204" s="9" t="s">
        <v>52</v>
      </c>
      <c r="I204" s="9" t="s">
        <v>59</v>
      </c>
      <c r="J204" s="9" t="s">
        <v>174</v>
      </c>
      <c r="K204" s="9" t="s">
        <v>175</v>
      </c>
      <c r="L204" s="9" t="s">
        <v>176</v>
      </c>
      <c r="M204" s="9">
        <v>0.0</v>
      </c>
      <c r="N204" s="9">
        <v>2.0</v>
      </c>
      <c r="O204" s="9">
        <v>0.0</v>
      </c>
      <c r="P204" s="9">
        <v>1729.0</v>
      </c>
      <c r="Q204" s="9">
        <v>58.0</v>
      </c>
      <c r="R204" s="9">
        <v>199.0</v>
      </c>
      <c r="S204" s="3">
        <f t="shared" si="1"/>
        <v>2.459459459</v>
      </c>
    </row>
    <row r="205" ht="16.5" customHeight="1">
      <c r="A205" s="9" t="s">
        <v>172</v>
      </c>
      <c r="B205" s="16">
        <v>45976.0</v>
      </c>
      <c r="C205" s="9" t="s">
        <v>49</v>
      </c>
      <c r="D205" s="9" t="s">
        <v>173</v>
      </c>
      <c r="E205" s="9">
        <v>703.0</v>
      </c>
      <c r="F205" s="9" t="s">
        <v>97</v>
      </c>
      <c r="G205" s="9" t="s">
        <v>58</v>
      </c>
      <c r="H205" s="9" t="s">
        <v>58</v>
      </c>
      <c r="I205" s="9" t="s">
        <v>53</v>
      </c>
      <c r="J205" s="9" t="s">
        <v>175</v>
      </c>
      <c r="K205" s="9" t="s">
        <v>174</v>
      </c>
      <c r="L205" s="9" t="s">
        <v>55</v>
      </c>
      <c r="M205" s="9">
        <v>6.0</v>
      </c>
      <c r="N205" s="9">
        <v>10.0</v>
      </c>
      <c r="O205" s="9">
        <v>0.0</v>
      </c>
      <c r="P205" s="9">
        <v>1670.0</v>
      </c>
      <c r="Q205" s="9">
        <v>154.0</v>
      </c>
      <c r="R205" s="9">
        <v>376.0</v>
      </c>
      <c r="S205" s="3">
        <f t="shared" si="1"/>
        <v>2.375533428</v>
      </c>
    </row>
    <row r="206" ht="16.5" customHeight="1">
      <c r="A206" s="9" t="s">
        <v>172</v>
      </c>
      <c r="B206" s="16">
        <v>45976.0</v>
      </c>
      <c r="C206" s="9" t="s">
        <v>49</v>
      </c>
      <c r="D206" s="9" t="s">
        <v>173</v>
      </c>
      <c r="E206" s="9">
        <v>703.0</v>
      </c>
      <c r="F206" s="9" t="s">
        <v>97</v>
      </c>
      <c r="G206" s="9" t="s">
        <v>58</v>
      </c>
      <c r="H206" s="9" t="s">
        <v>58</v>
      </c>
      <c r="I206" s="9" t="s">
        <v>53</v>
      </c>
      <c r="J206" s="9" t="s">
        <v>175</v>
      </c>
      <c r="K206" s="9" t="s">
        <v>174</v>
      </c>
      <c r="L206" s="9" t="s">
        <v>60</v>
      </c>
      <c r="M206" s="9">
        <v>2.0</v>
      </c>
      <c r="N206" s="9">
        <v>10.0</v>
      </c>
      <c r="O206" s="9">
        <v>2.0</v>
      </c>
      <c r="P206" s="9">
        <v>2262.0</v>
      </c>
      <c r="Q206" s="9">
        <v>133.0</v>
      </c>
      <c r="R206" s="9">
        <v>376.0</v>
      </c>
      <c r="S206" s="3">
        <f t="shared" si="1"/>
        <v>3.217638691</v>
      </c>
    </row>
    <row r="207" ht="16.5" customHeight="1">
      <c r="A207" s="9" t="s">
        <v>172</v>
      </c>
      <c r="B207" s="16">
        <v>45976.0</v>
      </c>
      <c r="C207" s="9" t="s">
        <v>49</v>
      </c>
      <c r="D207" s="9" t="s">
        <v>173</v>
      </c>
      <c r="E207" s="9">
        <v>703.0</v>
      </c>
      <c r="F207" s="9" t="s">
        <v>97</v>
      </c>
      <c r="G207" s="9" t="s">
        <v>58</v>
      </c>
      <c r="H207" s="9" t="s">
        <v>58</v>
      </c>
      <c r="I207" s="9" t="s">
        <v>53</v>
      </c>
      <c r="J207" s="9" t="s">
        <v>175</v>
      </c>
      <c r="K207" s="9" t="s">
        <v>174</v>
      </c>
      <c r="L207" s="9" t="s">
        <v>147</v>
      </c>
      <c r="M207" s="9">
        <v>2.0</v>
      </c>
      <c r="N207" s="9">
        <v>10.0</v>
      </c>
      <c r="O207" s="9">
        <v>0.0</v>
      </c>
      <c r="P207" s="9">
        <v>1782.0</v>
      </c>
      <c r="Q207" s="9">
        <v>89.0</v>
      </c>
      <c r="R207" s="9">
        <v>376.0</v>
      </c>
      <c r="S207" s="3">
        <f t="shared" si="1"/>
        <v>2.53485064</v>
      </c>
    </row>
    <row r="208" ht="16.5" customHeight="1">
      <c r="A208" s="9" t="s">
        <v>177</v>
      </c>
      <c r="B208" s="16">
        <v>45976.0</v>
      </c>
      <c r="C208" s="9" t="s">
        <v>49</v>
      </c>
      <c r="D208" s="9" t="s">
        <v>178</v>
      </c>
      <c r="E208" s="9">
        <v>1012.0</v>
      </c>
      <c r="F208" s="9" t="s">
        <v>97</v>
      </c>
      <c r="G208" s="9" t="s">
        <v>52</v>
      </c>
      <c r="H208" s="9" t="s">
        <v>52</v>
      </c>
      <c r="I208" s="9" t="s">
        <v>53</v>
      </c>
      <c r="J208" s="9" t="s">
        <v>175</v>
      </c>
      <c r="K208" s="9" t="s">
        <v>174</v>
      </c>
      <c r="L208" s="9" t="s">
        <v>55</v>
      </c>
      <c r="M208" s="9">
        <v>9.0</v>
      </c>
      <c r="N208" s="9">
        <v>10.0</v>
      </c>
      <c r="O208" s="9">
        <v>0.0</v>
      </c>
      <c r="P208" s="9">
        <v>2681.0</v>
      </c>
      <c r="Q208" s="9">
        <v>235.0</v>
      </c>
      <c r="R208" s="9">
        <v>455.0</v>
      </c>
      <c r="S208" s="3">
        <f t="shared" si="1"/>
        <v>2.649209486</v>
      </c>
    </row>
    <row r="209" ht="16.5" customHeight="1">
      <c r="A209" s="9" t="s">
        <v>177</v>
      </c>
      <c r="B209" s="16">
        <v>45976.0</v>
      </c>
      <c r="C209" s="9" t="s">
        <v>49</v>
      </c>
      <c r="D209" s="9" t="s">
        <v>178</v>
      </c>
      <c r="E209" s="9">
        <v>1012.0</v>
      </c>
      <c r="F209" s="9" t="s">
        <v>97</v>
      </c>
      <c r="G209" s="9" t="s">
        <v>52</v>
      </c>
      <c r="H209" s="9" t="s">
        <v>52</v>
      </c>
      <c r="I209" s="9" t="s">
        <v>53</v>
      </c>
      <c r="J209" s="9" t="s">
        <v>175</v>
      </c>
      <c r="K209" s="9" t="s">
        <v>174</v>
      </c>
      <c r="L209" s="9" t="s">
        <v>147</v>
      </c>
      <c r="M209" s="9">
        <v>1.0</v>
      </c>
      <c r="N209" s="9">
        <v>10.0</v>
      </c>
      <c r="O209" s="9">
        <v>0.0</v>
      </c>
      <c r="P209" s="9">
        <v>2830.0</v>
      </c>
      <c r="Q209" s="9">
        <v>111.0</v>
      </c>
      <c r="R209" s="9">
        <v>455.0</v>
      </c>
      <c r="S209" s="3">
        <f t="shared" si="1"/>
        <v>2.796442688</v>
      </c>
    </row>
    <row r="210" ht="16.5" customHeight="1">
      <c r="A210" s="9" t="s">
        <v>177</v>
      </c>
      <c r="B210" s="16">
        <v>45976.0</v>
      </c>
      <c r="C210" s="9" t="s">
        <v>49</v>
      </c>
      <c r="D210" s="9" t="s">
        <v>178</v>
      </c>
      <c r="E210" s="9">
        <v>1012.0</v>
      </c>
      <c r="F210" s="9" t="s">
        <v>97</v>
      </c>
      <c r="G210" s="9" t="s">
        <v>52</v>
      </c>
      <c r="H210" s="9" t="s">
        <v>52</v>
      </c>
      <c r="I210" s="9" t="s">
        <v>53</v>
      </c>
      <c r="J210" s="9" t="s">
        <v>175</v>
      </c>
      <c r="K210" s="9" t="s">
        <v>174</v>
      </c>
      <c r="L210" s="9" t="s">
        <v>60</v>
      </c>
      <c r="M210" s="9">
        <v>0.0</v>
      </c>
      <c r="N210" s="9">
        <v>10.0</v>
      </c>
      <c r="O210" s="9">
        <v>0.0</v>
      </c>
      <c r="P210" s="9">
        <v>3211.0</v>
      </c>
      <c r="Q210" s="9">
        <v>109.0</v>
      </c>
      <c r="R210" s="9">
        <v>455.0</v>
      </c>
      <c r="S210" s="3">
        <f t="shared" si="1"/>
        <v>3.172924901</v>
      </c>
    </row>
    <row r="211" ht="16.5" customHeight="1">
      <c r="A211" s="9" t="s">
        <v>177</v>
      </c>
      <c r="B211" s="16">
        <v>45976.0</v>
      </c>
      <c r="C211" s="9" t="s">
        <v>49</v>
      </c>
      <c r="D211" s="9" t="s">
        <v>178</v>
      </c>
      <c r="E211" s="9">
        <v>1012.0</v>
      </c>
      <c r="F211" s="9" t="s">
        <v>97</v>
      </c>
      <c r="G211" s="9" t="s">
        <v>52</v>
      </c>
      <c r="H211" s="9" t="s">
        <v>58</v>
      </c>
      <c r="I211" s="9" t="s">
        <v>59</v>
      </c>
      <c r="J211" s="9" t="s">
        <v>174</v>
      </c>
      <c r="K211" s="9" t="s">
        <v>175</v>
      </c>
      <c r="L211" s="9" t="s">
        <v>61</v>
      </c>
      <c r="M211" s="9">
        <v>4.0</v>
      </c>
      <c r="N211" s="9">
        <v>6.0</v>
      </c>
      <c r="O211" s="9">
        <v>0.0</v>
      </c>
      <c r="P211" s="9">
        <v>1762.0</v>
      </c>
      <c r="Q211" s="9">
        <v>135.0</v>
      </c>
      <c r="R211" s="9">
        <v>327.0</v>
      </c>
      <c r="S211" s="3">
        <f t="shared" si="1"/>
        <v>1.741106719</v>
      </c>
    </row>
    <row r="212" ht="16.5" customHeight="1">
      <c r="A212" s="9" t="s">
        <v>177</v>
      </c>
      <c r="B212" s="16">
        <v>45976.0</v>
      </c>
      <c r="C212" s="9" t="s">
        <v>49</v>
      </c>
      <c r="D212" s="9" t="s">
        <v>178</v>
      </c>
      <c r="E212" s="9">
        <v>1012.0</v>
      </c>
      <c r="F212" s="9" t="s">
        <v>97</v>
      </c>
      <c r="G212" s="9" t="s">
        <v>52</v>
      </c>
      <c r="H212" s="9" t="s">
        <v>58</v>
      </c>
      <c r="I212" s="9" t="s">
        <v>59</v>
      </c>
      <c r="J212" s="9" t="s">
        <v>174</v>
      </c>
      <c r="K212" s="9" t="s">
        <v>175</v>
      </c>
      <c r="L212" s="9" t="s">
        <v>57</v>
      </c>
      <c r="M212" s="9">
        <v>2.0</v>
      </c>
      <c r="N212" s="9">
        <v>6.0</v>
      </c>
      <c r="O212" s="9">
        <v>0.0</v>
      </c>
      <c r="P212" s="9">
        <v>1535.0</v>
      </c>
      <c r="Q212" s="9">
        <v>114.0</v>
      </c>
      <c r="R212" s="9">
        <v>327.0</v>
      </c>
      <c r="S212" s="3">
        <f t="shared" si="1"/>
        <v>1.516798419</v>
      </c>
    </row>
    <row r="213" ht="16.5" customHeight="1">
      <c r="A213" s="9" t="s">
        <v>177</v>
      </c>
      <c r="B213" s="16">
        <v>45976.0</v>
      </c>
      <c r="C213" s="9" t="s">
        <v>49</v>
      </c>
      <c r="D213" s="9" t="s">
        <v>178</v>
      </c>
      <c r="E213" s="9">
        <v>1012.0</v>
      </c>
      <c r="F213" s="9" t="s">
        <v>97</v>
      </c>
      <c r="G213" s="9" t="s">
        <v>52</v>
      </c>
      <c r="H213" s="9" t="s">
        <v>58</v>
      </c>
      <c r="I213" s="9" t="s">
        <v>59</v>
      </c>
      <c r="J213" s="9" t="s">
        <v>174</v>
      </c>
      <c r="K213" s="9" t="s">
        <v>175</v>
      </c>
      <c r="L213" s="9" t="s">
        <v>176</v>
      </c>
      <c r="M213" s="9">
        <v>0.0</v>
      </c>
      <c r="N213" s="9">
        <v>6.0</v>
      </c>
      <c r="O213" s="9">
        <v>2.0</v>
      </c>
      <c r="P213" s="9">
        <v>1683.0</v>
      </c>
      <c r="Q213" s="9">
        <v>78.0</v>
      </c>
      <c r="R213" s="9">
        <v>327.0</v>
      </c>
      <c r="S213" s="3">
        <f t="shared" si="1"/>
        <v>1.663043478</v>
      </c>
    </row>
    <row r="214" ht="16.5" customHeight="1">
      <c r="A214" s="9" t="s">
        <v>179</v>
      </c>
      <c r="B214" s="16">
        <v>45976.0</v>
      </c>
      <c r="C214" s="9" t="s">
        <v>49</v>
      </c>
      <c r="D214" s="9" t="s">
        <v>180</v>
      </c>
      <c r="E214" s="9">
        <v>658.0</v>
      </c>
      <c r="F214" s="9" t="s">
        <v>97</v>
      </c>
      <c r="G214" s="9" t="s">
        <v>58</v>
      </c>
      <c r="H214" s="9" t="s">
        <v>52</v>
      </c>
      <c r="I214" s="9" t="s">
        <v>59</v>
      </c>
      <c r="J214" s="9" t="s">
        <v>181</v>
      </c>
      <c r="K214" s="9" t="s">
        <v>182</v>
      </c>
      <c r="L214" s="9" t="s">
        <v>60</v>
      </c>
      <c r="M214" s="9">
        <v>1.0</v>
      </c>
      <c r="N214" s="9">
        <v>2.0</v>
      </c>
      <c r="O214" s="9">
        <v>0.0</v>
      </c>
      <c r="P214" s="9">
        <v>2287.0</v>
      </c>
      <c r="Q214" s="9">
        <v>110.0</v>
      </c>
      <c r="R214" s="9">
        <v>244.0</v>
      </c>
      <c r="S214" s="3">
        <f t="shared" si="1"/>
        <v>3.475683891</v>
      </c>
    </row>
    <row r="215" ht="16.5" customHeight="1">
      <c r="A215" s="9" t="s">
        <v>179</v>
      </c>
      <c r="B215" s="16">
        <v>45976.0</v>
      </c>
      <c r="C215" s="9" t="s">
        <v>49</v>
      </c>
      <c r="D215" s="9" t="s">
        <v>180</v>
      </c>
      <c r="E215" s="9">
        <v>658.0</v>
      </c>
      <c r="F215" s="9" t="s">
        <v>97</v>
      </c>
      <c r="G215" s="9" t="s">
        <v>58</v>
      </c>
      <c r="H215" s="9" t="s">
        <v>52</v>
      </c>
      <c r="I215" s="9" t="s">
        <v>59</v>
      </c>
      <c r="J215" s="9" t="s">
        <v>181</v>
      </c>
      <c r="K215" s="9" t="s">
        <v>182</v>
      </c>
      <c r="L215" s="9" t="s">
        <v>57</v>
      </c>
      <c r="M215" s="9">
        <v>1.0</v>
      </c>
      <c r="N215" s="9">
        <v>2.0</v>
      </c>
      <c r="O215" s="9">
        <v>1.0</v>
      </c>
      <c r="P215" s="9">
        <v>1559.0</v>
      </c>
      <c r="Q215" s="9">
        <v>93.0</v>
      </c>
      <c r="R215" s="9">
        <v>244.0</v>
      </c>
      <c r="S215" s="3">
        <f t="shared" si="1"/>
        <v>2.369300912</v>
      </c>
    </row>
    <row r="216" ht="16.5" customHeight="1">
      <c r="A216" s="9" t="s">
        <v>179</v>
      </c>
      <c r="B216" s="16">
        <v>45976.0</v>
      </c>
      <c r="C216" s="9" t="s">
        <v>49</v>
      </c>
      <c r="D216" s="9" t="s">
        <v>180</v>
      </c>
      <c r="E216" s="9">
        <v>658.0</v>
      </c>
      <c r="F216" s="9" t="s">
        <v>97</v>
      </c>
      <c r="G216" s="9" t="s">
        <v>58</v>
      </c>
      <c r="H216" s="9" t="s">
        <v>52</v>
      </c>
      <c r="I216" s="9" t="s">
        <v>59</v>
      </c>
      <c r="J216" s="9" t="s">
        <v>181</v>
      </c>
      <c r="K216" s="9" t="s">
        <v>182</v>
      </c>
      <c r="L216" s="9" t="s">
        <v>176</v>
      </c>
      <c r="M216" s="9">
        <v>0.0</v>
      </c>
      <c r="N216" s="9">
        <v>2.0</v>
      </c>
      <c r="O216" s="9">
        <v>0.0</v>
      </c>
      <c r="P216" s="9">
        <v>1274.0</v>
      </c>
      <c r="Q216" s="9">
        <v>41.0</v>
      </c>
      <c r="R216" s="9">
        <v>244.0</v>
      </c>
      <c r="S216" s="3">
        <f t="shared" si="1"/>
        <v>1.936170213</v>
      </c>
    </row>
    <row r="217" ht="16.5" customHeight="1">
      <c r="A217" s="9" t="s">
        <v>179</v>
      </c>
      <c r="B217" s="16">
        <v>45976.0</v>
      </c>
      <c r="C217" s="9" t="s">
        <v>49</v>
      </c>
      <c r="D217" s="9" t="s">
        <v>180</v>
      </c>
      <c r="E217" s="9">
        <v>658.0</v>
      </c>
      <c r="F217" s="9" t="s">
        <v>97</v>
      </c>
      <c r="G217" s="9" t="s">
        <v>58</v>
      </c>
      <c r="H217" s="9" t="s">
        <v>58</v>
      </c>
      <c r="I217" s="9" t="s">
        <v>53</v>
      </c>
      <c r="J217" s="9" t="s">
        <v>182</v>
      </c>
      <c r="K217" s="9" t="s">
        <v>181</v>
      </c>
      <c r="L217" s="9" t="s">
        <v>61</v>
      </c>
      <c r="M217" s="9">
        <v>5.0</v>
      </c>
      <c r="N217" s="9">
        <v>10.0</v>
      </c>
      <c r="O217" s="9">
        <v>2.0</v>
      </c>
      <c r="P217" s="9">
        <v>1236.0</v>
      </c>
      <c r="Q217" s="9">
        <v>151.0</v>
      </c>
      <c r="R217" s="9">
        <v>370.0</v>
      </c>
      <c r="S217" s="3">
        <f t="shared" si="1"/>
        <v>1.878419453</v>
      </c>
    </row>
    <row r="218" ht="16.5" customHeight="1">
      <c r="A218" s="9" t="s">
        <v>179</v>
      </c>
      <c r="B218" s="16">
        <v>45976.0</v>
      </c>
      <c r="C218" s="9" t="s">
        <v>49</v>
      </c>
      <c r="D218" s="9" t="s">
        <v>180</v>
      </c>
      <c r="E218" s="9">
        <v>658.0</v>
      </c>
      <c r="F218" s="9" t="s">
        <v>97</v>
      </c>
      <c r="G218" s="9" t="s">
        <v>58</v>
      </c>
      <c r="H218" s="9" t="s">
        <v>58</v>
      </c>
      <c r="I218" s="9" t="s">
        <v>53</v>
      </c>
      <c r="J218" s="9" t="s">
        <v>182</v>
      </c>
      <c r="K218" s="9" t="s">
        <v>181</v>
      </c>
      <c r="L218" s="9" t="s">
        <v>55</v>
      </c>
      <c r="M218" s="9">
        <v>5.0</v>
      </c>
      <c r="N218" s="9">
        <v>10.0</v>
      </c>
      <c r="O218" s="9">
        <v>0.0</v>
      </c>
      <c r="P218" s="9">
        <v>1247.0</v>
      </c>
      <c r="Q218" s="9">
        <v>125.0</v>
      </c>
      <c r="R218" s="9">
        <v>370.0</v>
      </c>
      <c r="S218" s="3">
        <f t="shared" si="1"/>
        <v>1.895136778</v>
      </c>
    </row>
    <row r="219" ht="16.5" customHeight="1">
      <c r="A219" s="9" t="s">
        <v>179</v>
      </c>
      <c r="B219" s="16">
        <v>45976.0</v>
      </c>
      <c r="C219" s="9" t="s">
        <v>49</v>
      </c>
      <c r="D219" s="9" t="s">
        <v>180</v>
      </c>
      <c r="E219" s="9">
        <v>658.0</v>
      </c>
      <c r="F219" s="9" t="s">
        <v>97</v>
      </c>
      <c r="G219" s="9" t="s">
        <v>58</v>
      </c>
      <c r="H219" s="9" t="s">
        <v>58</v>
      </c>
      <c r="I219" s="9" t="s">
        <v>53</v>
      </c>
      <c r="J219" s="9" t="s">
        <v>182</v>
      </c>
      <c r="K219" s="9" t="s">
        <v>181</v>
      </c>
      <c r="L219" s="9" t="s">
        <v>147</v>
      </c>
      <c r="M219" s="9">
        <v>0.0</v>
      </c>
      <c r="N219" s="9">
        <v>10.0</v>
      </c>
      <c r="O219" s="9">
        <v>1.0</v>
      </c>
      <c r="P219" s="9">
        <v>2587.0</v>
      </c>
      <c r="Q219" s="9">
        <v>94.0</v>
      </c>
      <c r="R219" s="9">
        <v>370.0</v>
      </c>
      <c r="S219" s="3">
        <f t="shared" si="1"/>
        <v>3.931610942</v>
      </c>
    </row>
    <row r="220" ht="16.5" customHeight="1">
      <c r="A220" s="9" t="s">
        <v>183</v>
      </c>
      <c r="B220" s="16">
        <v>45976.0</v>
      </c>
      <c r="C220" s="9" t="s">
        <v>49</v>
      </c>
      <c r="D220" s="9" t="s">
        <v>184</v>
      </c>
      <c r="E220" s="9">
        <v>938.0</v>
      </c>
      <c r="F220" s="9" t="s">
        <v>97</v>
      </c>
      <c r="G220" s="9" t="s">
        <v>58</v>
      </c>
      <c r="H220" s="9" t="s">
        <v>52</v>
      </c>
      <c r="I220" s="9" t="s">
        <v>59</v>
      </c>
      <c r="J220" s="9" t="s">
        <v>185</v>
      </c>
      <c r="K220" s="9" t="s">
        <v>186</v>
      </c>
      <c r="L220" s="9" t="s">
        <v>60</v>
      </c>
      <c r="M220" s="9">
        <v>2.0</v>
      </c>
      <c r="N220" s="9">
        <v>3.0</v>
      </c>
      <c r="O220" s="9">
        <v>0.0</v>
      </c>
      <c r="P220" s="9">
        <v>2594.0</v>
      </c>
      <c r="Q220" s="9">
        <v>136.0</v>
      </c>
      <c r="R220" s="9">
        <v>330.0</v>
      </c>
      <c r="S220" s="3">
        <f t="shared" si="1"/>
        <v>2.765458422</v>
      </c>
    </row>
    <row r="221" ht="16.5" customHeight="1">
      <c r="A221" s="9" t="s">
        <v>183</v>
      </c>
      <c r="B221" s="16">
        <v>45976.0</v>
      </c>
      <c r="C221" s="9" t="s">
        <v>49</v>
      </c>
      <c r="D221" s="9" t="s">
        <v>184</v>
      </c>
      <c r="E221" s="9">
        <v>938.0</v>
      </c>
      <c r="F221" s="9" t="s">
        <v>97</v>
      </c>
      <c r="G221" s="9" t="s">
        <v>58</v>
      </c>
      <c r="H221" s="9" t="s">
        <v>52</v>
      </c>
      <c r="I221" s="9" t="s">
        <v>59</v>
      </c>
      <c r="J221" s="9" t="s">
        <v>185</v>
      </c>
      <c r="K221" s="9" t="s">
        <v>186</v>
      </c>
      <c r="L221" s="9" t="s">
        <v>55</v>
      </c>
      <c r="M221" s="9">
        <v>1.0</v>
      </c>
      <c r="N221" s="9">
        <v>3.0</v>
      </c>
      <c r="O221" s="9">
        <v>0.0</v>
      </c>
      <c r="P221" s="9">
        <v>1877.0</v>
      </c>
      <c r="Q221" s="9">
        <v>117.0</v>
      </c>
      <c r="R221" s="9">
        <v>330.0</v>
      </c>
      <c r="S221" s="3">
        <f t="shared" si="1"/>
        <v>2.001066098</v>
      </c>
    </row>
    <row r="222" ht="16.5" customHeight="1">
      <c r="A222" s="9" t="s">
        <v>183</v>
      </c>
      <c r="B222" s="16">
        <v>45976.0</v>
      </c>
      <c r="C222" s="9" t="s">
        <v>49</v>
      </c>
      <c r="D222" s="9" t="s">
        <v>184</v>
      </c>
      <c r="E222" s="9">
        <v>938.0</v>
      </c>
      <c r="F222" s="9" t="s">
        <v>97</v>
      </c>
      <c r="G222" s="9" t="s">
        <v>58</v>
      </c>
      <c r="H222" s="9" t="s">
        <v>52</v>
      </c>
      <c r="I222" s="9" t="s">
        <v>59</v>
      </c>
      <c r="J222" s="9" t="s">
        <v>185</v>
      </c>
      <c r="K222" s="9" t="s">
        <v>186</v>
      </c>
      <c r="L222" s="9" t="s">
        <v>176</v>
      </c>
      <c r="M222" s="9">
        <v>0.0</v>
      </c>
      <c r="N222" s="9">
        <v>3.0</v>
      </c>
      <c r="O222" s="9">
        <v>0.0</v>
      </c>
      <c r="P222" s="9">
        <v>2437.0</v>
      </c>
      <c r="Q222" s="9">
        <v>77.0</v>
      </c>
      <c r="R222" s="9">
        <v>330.0</v>
      </c>
      <c r="S222" s="3">
        <f t="shared" si="1"/>
        <v>2.598081023</v>
      </c>
    </row>
    <row r="223" ht="16.5" customHeight="1">
      <c r="A223" s="9" t="s">
        <v>183</v>
      </c>
      <c r="B223" s="16">
        <v>45976.0</v>
      </c>
      <c r="C223" s="9" t="s">
        <v>49</v>
      </c>
      <c r="D223" s="9" t="s">
        <v>184</v>
      </c>
      <c r="E223" s="9">
        <v>938.0</v>
      </c>
      <c r="F223" s="9" t="s">
        <v>97</v>
      </c>
      <c r="G223" s="9" t="s">
        <v>58</v>
      </c>
      <c r="H223" s="9" t="s">
        <v>58</v>
      </c>
      <c r="I223" s="9" t="s">
        <v>53</v>
      </c>
      <c r="J223" s="9" t="s">
        <v>186</v>
      </c>
      <c r="K223" s="9" t="s">
        <v>185</v>
      </c>
      <c r="L223" s="9" t="s">
        <v>61</v>
      </c>
      <c r="M223" s="9">
        <v>7.0</v>
      </c>
      <c r="N223" s="9">
        <v>10.0</v>
      </c>
      <c r="O223" s="9">
        <v>1.0</v>
      </c>
      <c r="P223" s="9">
        <v>2320.0</v>
      </c>
      <c r="Q223" s="9">
        <v>202.0</v>
      </c>
      <c r="R223" s="9">
        <v>427.0</v>
      </c>
      <c r="S223" s="3">
        <f t="shared" si="1"/>
        <v>2.473347548</v>
      </c>
    </row>
    <row r="224" ht="16.5" customHeight="1">
      <c r="A224" s="9" t="s">
        <v>183</v>
      </c>
      <c r="B224" s="16">
        <v>45976.0</v>
      </c>
      <c r="C224" s="9" t="s">
        <v>49</v>
      </c>
      <c r="D224" s="9" t="s">
        <v>184</v>
      </c>
      <c r="E224" s="9">
        <v>938.0</v>
      </c>
      <c r="F224" s="9" t="s">
        <v>97</v>
      </c>
      <c r="G224" s="9" t="s">
        <v>58</v>
      </c>
      <c r="H224" s="9" t="s">
        <v>58</v>
      </c>
      <c r="I224" s="9" t="s">
        <v>53</v>
      </c>
      <c r="J224" s="9" t="s">
        <v>186</v>
      </c>
      <c r="K224" s="9" t="s">
        <v>185</v>
      </c>
      <c r="L224" s="9" t="s">
        <v>57</v>
      </c>
      <c r="M224" s="9">
        <v>3.0</v>
      </c>
      <c r="N224" s="9">
        <v>10.0</v>
      </c>
      <c r="O224" s="9">
        <v>0.0</v>
      </c>
      <c r="P224" s="9">
        <v>1897.0</v>
      </c>
      <c r="Q224" s="9">
        <v>139.0</v>
      </c>
      <c r="R224" s="9">
        <v>427.0</v>
      </c>
      <c r="S224" s="3">
        <f t="shared" si="1"/>
        <v>2.02238806</v>
      </c>
    </row>
    <row r="225" ht="16.5" customHeight="1">
      <c r="A225" s="9" t="s">
        <v>183</v>
      </c>
      <c r="B225" s="16">
        <v>45976.0</v>
      </c>
      <c r="C225" s="9" t="s">
        <v>49</v>
      </c>
      <c r="D225" s="9" t="s">
        <v>184</v>
      </c>
      <c r="E225" s="9">
        <v>938.0</v>
      </c>
      <c r="F225" s="9" t="s">
        <v>97</v>
      </c>
      <c r="G225" s="9" t="s">
        <v>58</v>
      </c>
      <c r="H225" s="9" t="s">
        <v>58</v>
      </c>
      <c r="I225" s="9" t="s">
        <v>53</v>
      </c>
      <c r="J225" s="9" t="s">
        <v>186</v>
      </c>
      <c r="K225" s="9" t="s">
        <v>185</v>
      </c>
      <c r="L225" s="9" t="s">
        <v>147</v>
      </c>
      <c r="M225" s="9">
        <v>0.0</v>
      </c>
      <c r="N225" s="9">
        <v>10.0</v>
      </c>
      <c r="O225" s="9">
        <v>0.0</v>
      </c>
      <c r="P225" s="9">
        <v>2863.0</v>
      </c>
      <c r="Q225" s="9">
        <v>86.0</v>
      </c>
      <c r="R225" s="9">
        <v>427.0</v>
      </c>
      <c r="S225" s="3">
        <f t="shared" si="1"/>
        <v>3.052238806</v>
      </c>
    </row>
    <row r="226" ht="16.5" customHeight="1">
      <c r="A226" s="9" t="s">
        <v>187</v>
      </c>
      <c r="B226" s="16">
        <v>45976.0</v>
      </c>
      <c r="C226" s="9" t="s">
        <v>49</v>
      </c>
      <c r="D226" s="9" t="s">
        <v>188</v>
      </c>
      <c r="E226" s="9">
        <v>1175.0</v>
      </c>
      <c r="F226" s="9" t="s">
        <v>97</v>
      </c>
      <c r="G226" s="9" t="s">
        <v>52</v>
      </c>
      <c r="H226" s="9" t="s">
        <v>52</v>
      </c>
      <c r="I226" s="9" t="s">
        <v>53</v>
      </c>
      <c r="J226" s="9" t="s">
        <v>160</v>
      </c>
      <c r="K226" s="9" t="s">
        <v>189</v>
      </c>
      <c r="L226" s="9" t="s">
        <v>55</v>
      </c>
      <c r="M226" s="9">
        <v>6.0</v>
      </c>
      <c r="N226" s="9">
        <v>10.0</v>
      </c>
      <c r="O226" s="9">
        <v>1.0</v>
      </c>
      <c r="P226" s="9">
        <v>1428.0</v>
      </c>
      <c r="Q226" s="9">
        <v>178.0</v>
      </c>
      <c r="R226" s="9">
        <v>451.0</v>
      </c>
      <c r="S226" s="3">
        <f t="shared" si="1"/>
        <v>1.215319149</v>
      </c>
    </row>
    <row r="227" ht="16.5" customHeight="1">
      <c r="A227" s="9" t="s">
        <v>187</v>
      </c>
      <c r="B227" s="16">
        <v>45976.0</v>
      </c>
      <c r="C227" s="9" t="s">
        <v>49</v>
      </c>
      <c r="D227" s="9" t="s">
        <v>188</v>
      </c>
      <c r="E227" s="9">
        <v>1175.0</v>
      </c>
      <c r="F227" s="9" t="s">
        <v>97</v>
      </c>
      <c r="G227" s="9" t="s">
        <v>52</v>
      </c>
      <c r="H227" s="9" t="s">
        <v>52</v>
      </c>
      <c r="I227" s="9" t="s">
        <v>53</v>
      </c>
      <c r="J227" s="9" t="s">
        <v>160</v>
      </c>
      <c r="K227" s="9" t="s">
        <v>189</v>
      </c>
      <c r="L227" s="9" t="s">
        <v>60</v>
      </c>
      <c r="M227" s="9">
        <v>3.0</v>
      </c>
      <c r="N227" s="9">
        <v>10.0</v>
      </c>
      <c r="O227" s="9">
        <v>1.0</v>
      </c>
      <c r="P227" s="9">
        <v>2827.0</v>
      </c>
      <c r="Q227" s="9">
        <v>169.0</v>
      </c>
      <c r="R227" s="9">
        <v>451.0</v>
      </c>
      <c r="S227" s="3">
        <f t="shared" si="1"/>
        <v>2.405957447</v>
      </c>
    </row>
    <row r="228" ht="16.5" customHeight="1">
      <c r="A228" s="9" t="s">
        <v>187</v>
      </c>
      <c r="B228" s="16">
        <v>45976.0</v>
      </c>
      <c r="C228" s="9" t="s">
        <v>49</v>
      </c>
      <c r="D228" s="9" t="s">
        <v>188</v>
      </c>
      <c r="E228" s="9">
        <v>1175.0</v>
      </c>
      <c r="F228" s="9" t="s">
        <v>97</v>
      </c>
      <c r="G228" s="9" t="s">
        <v>52</v>
      </c>
      <c r="H228" s="9" t="s">
        <v>52</v>
      </c>
      <c r="I228" s="9" t="s">
        <v>53</v>
      </c>
      <c r="J228" s="9" t="s">
        <v>160</v>
      </c>
      <c r="K228" s="9" t="s">
        <v>189</v>
      </c>
      <c r="L228" s="9" t="s">
        <v>57</v>
      </c>
      <c r="M228" s="9">
        <v>1.0</v>
      </c>
      <c r="N228" s="9">
        <v>10.0</v>
      </c>
      <c r="O228" s="9">
        <v>1.0</v>
      </c>
      <c r="P228" s="9">
        <v>2345.0</v>
      </c>
      <c r="Q228" s="9">
        <v>104.0</v>
      </c>
      <c r="R228" s="9">
        <v>451.0</v>
      </c>
      <c r="S228" s="3">
        <f t="shared" si="1"/>
        <v>1.995744681</v>
      </c>
    </row>
    <row r="229" ht="16.5" customHeight="1">
      <c r="A229" s="9" t="s">
        <v>187</v>
      </c>
      <c r="B229" s="16">
        <v>45976.0</v>
      </c>
      <c r="C229" s="9" t="s">
        <v>49</v>
      </c>
      <c r="D229" s="9" t="s">
        <v>188</v>
      </c>
      <c r="E229" s="9">
        <v>1175.0</v>
      </c>
      <c r="F229" s="9" t="s">
        <v>97</v>
      </c>
      <c r="G229" s="9" t="s">
        <v>52</v>
      </c>
      <c r="H229" s="9" t="s">
        <v>58</v>
      </c>
      <c r="I229" s="9" t="s">
        <v>59</v>
      </c>
      <c r="J229" s="9" t="s">
        <v>189</v>
      </c>
      <c r="K229" s="9" t="s">
        <v>160</v>
      </c>
      <c r="L229" s="9" t="s">
        <v>61</v>
      </c>
      <c r="M229" s="9">
        <v>4.0</v>
      </c>
      <c r="N229" s="9">
        <v>4.0</v>
      </c>
      <c r="O229" s="9">
        <v>0.0</v>
      </c>
      <c r="P229" s="9">
        <v>3352.0</v>
      </c>
      <c r="Q229" s="9">
        <v>210.0</v>
      </c>
      <c r="R229" s="9">
        <v>450.0</v>
      </c>
      <c r="S229" s="3">
        <f t="shared" si="1"/>
        <v>2.852765957</v>
      </c>
    </row>
    <row r="230" ht="16.5" customHeight="1">
      <c r="A230" s="9" t="s">
        <v>187</v>
      </c>
      <c r="B230" s="16">
        <v>45976.0</v>
      </c>
      <c r="C230" s="9" t="s">
        <v>49</v>
      </c>
      <c r="D230" s="9" t="s">
        <v>188</v>
      </c>
      <c r="E230" s="9">
        <v>1175.0</v>
      </c>
      <c r="F230" s="9" t="s">
        <v>97</v>
      </c>
      <c r="G230" s="9" t="s">
        <v>52</v>
      </c>
      <c r="H230" s="9" t="s">
        <v>58</v>
      </c>
      <c r="I230" s="9" t="s">
        <v>59</v>
      </c>
      <c r="J230" s="9" t="s">
        <v>189</v>
      </c>
      <c r="K230" s="9" t="s">
        <v>160</v>
      </c>
      <c r="L230" s="9" t="s">
        <v>147</v>
      </c>
      <c r="M230" s="9">
        <v>0.0</v>
      </c>
      <c r="N230" s="9">
        <v>4.0</v>
      </c>
      <c r="O230" s="9">
        <v>0.0</v>
      </c>
      <c r="P230" s="9">
        <v>4205.0</v>
      </c>
      <c r="Q230" s="9">
        <v>155.0</v>
      </c>
      <c r="R230" s="9">
        <v>450.0</v>
      </c>
      <c r="S230" s="3">
        <f t="shared" si="1"/>
        <v>3.578723404</v>
      </c>
    </row>
    <row r="231" ht="16.5" customHeight="1">
      <c r="A231" s="9" t="s">
        <v>187</v>
      </c>
      <c r="B231" s="16">
        <v>45976.0</v>
      </c>
      <c r="C231" s="9" t="s">
        <v>49</v>
      </c>
      <c r="D231" s="9" t="s">
        <v>188</v>
      </c>
      <c r="E231" s="9">
        <v>1175.0</v>
      </c>
      <c r="F231" s="9" t="s">
        <v>97</v>
      </c>
      <c r="G231" s="9" t="s">
        <v>52</v>
      </c>
      <c r="H231" s="9" t="s">
        <v>58</v>
      </c>
      <c r="I231" s="9" t="s">
        <v>59</v>
      </c>
      <c r="J231" s="9" t="s">
        <v>189</v>
      </c>
      <c r="K231" s="9" t="s">
        <v>160</v>
      </c>
      <c r="L231" s="9" t="s">
        <v>176</v>
      </c>
      <c r="M231" s="9">
        <v>0.0</v>
      </c>
      <c r="N231" s="9">
        <v>4.0</v>
      </c>
      <c r="O231" s="9">
        <v>0.0</v>
      </c>
      <c r="P231" s="9">
        <v>2733.0</v>
      </c>
      <c r="Q231" s="9">
        <v>85.0</v>
      </c>
      <c r="R231" s="9">
        <v>450.0</v>
      </c>
      <c r="S231" s="3">
        <f t="shared" si="1"/>
        <v>2.325957447</v>
      </c>
    </row>
    <row r="232" ht="16.5" customHeight="1">
      <c r="A232" s="9" t="s">
        <v>190</v>
      </c>
      <c r="B232" s="16">
        <v>45976.0</v>
      </c>
      <c r="C232" s="9" t="s">
        <v>49</v>
      </c>
      <c r="D232" s="9" t="s">
        <v>191</v>
      </c>
      <c r="E232" s="9">
        <v>1237.0</v>
      </c>
      <c r="F232" s="9" t="s">
        <v>97</v>
      </c>
      <c r="G232" s="9" t="s">
        <v>58</v>
      </c>
      <c r="H232" s="9" t="s">
        <v>52</v>
      </c>
      <c r="I232" s="9" t="s">
        <v>59</v>
      </c>
      <c r="J232" s="9" t="s">
        <v>103</v>
      </c>
      <c r="K232" s="9" t="s">
        <v>104</v>
      </c>
      <c r="L232" s="9" t="s">
        <v>57</v>
      </c>
      <c r="M232" s="9">
        <v>4.0</v>
      </c>
      <c r="N232" s="9">
        <v>9.0</v>
      </c>
      <c r="O232" s="9">
        <v>2.0</v>
      </c>
      <c r="P232" s="9">
        <v>2885.0</v>
      </c>
      <c r="Q232" s="9">
        <v>208.0</v>
      </c>
      <c r="R232" s="9">
        <v>578.0</v>
      </c>
      <c r="S232" s="3">
        <f t="shared" si="1"/>
        <v>2.332255457</v>
      </c>
    </row>
    <row r="233" ht="16.5" customHeight="1">
      <c r="A233" s="9" t="s">
        <v>190</v>
      </c>
      <c r="B233" s="16">
        <v>45976.0</v>
      </c>
      <c r="C233" s="9" t="s">
        <v>49</v>
      </c>
      <c r="D233" s="9" t="s">
        <v>191</v>
      </c>
      <c r="E233" s="9">
        <v>1237.0</v>
      </c>
      <c r="F233" s="9" t="s">
        <v>97</v>
      </c>
      <c r="G233" s="9" t="s">
        <v>58</v>
      </c>
      <c r="H233" s="9" t="s">
        <v>52</v>
      </c>
      <c r="I233" s="9" t="s">
        <v>59</v>
      </c>
      <c r="J233" s="9" t="s">
        <v>103</v>
      </c>
      <c r="K233" s="9" t="s">
        <v>104</v>
      </c>
      <c r="L233" s="9" t="s">
        <v>55</v>
      </c>
      <c r="M233" s="9">
        <v>3.0</v>
      </c>
      <c r="N233" s="9">
        <v>9.0</v>
      </c>
      <c r="O233" s="9">
        <v>1.0</v>
      </c>
      <c r="P233" s="9">
        <v>3634.0</v>
      </c>
      <c r="Q233" s="9">
        <v>196.0</v>
      </c>
      <c r="R233" s="9">
        <v>578.0</v>
      </c>
      <c r="S233" s="3">
        <f t="shared" si="1"/>
        <v>2.937752627</v>
      </c>
    </row>
    <row r="234" ht="16.5" customHeight="1">
      <c r="A234" s="9" t="s">
        <v>190</v>
      </c>
      <c r="B234" s="16">
        <v>45976.0</v>
      </c>
      <c r="C234" s="9" t="s">
        <v>49</v>
      </c>
      <c r="D234" s="9" t="s">
        <v>191</v>
      </c>
      <c r="E234" s="9">
        <v>1237.0</v>
      </c>
      <c r="F234" s="9" t="s">
        <v>97</v>
      </c>
      <c r="G234" s="9" t="s">
        <v>58</v>
      </c>
      <c r="H234" s="9" t="s">
        <v>52</v>
      </c>
      <c r="I234" s="9" t="s">
        <v>59</v>
      </c>
      <c r="J234" s="9" t="s">
        <v>103</v>
      </c>
      <c r="K234" s="9" t="s">
        <v>104</v>
      </c>
      <c r="L234" s="9" t="s">
        <v>77</v>
      </c>
      <c r="M234" s="9">
        <v>2.0</v>
      </c>
      <c r="N234" s="9">
        <v>9.0</v>
      </c>
      <c r="O234" s="9">
        <v>0.0</v>
      </c>
      <c r="P234" s="9">
        <v>4132.0</v>
      </c>
      <c r="Q234" s="9">
        <v>174.0</v>
      </c>
      <c r="R234" s="9">
        <v>578.0</v>
      </c>
      <c r="S234" s="3">
        <f t="shared" si="1"/>
        <v>3.340339531</v>
      </c>
    </row>
    <row r="235" ht="16.5" customHeight="1">
      <c r="A235" s="9" t="s">
        <v>190</v>
      </c>
      <c r="B235" s="16">
        <v>45976.0</v>
      </c>
      <c r="C235" s="9" t="s">
        <v>49</v>
      </c>
      <c r="D235" s="9" t="s">
        <v>191</v>
      </c>
      <c r="E235" s="9">
        <v>1237.0</v>
      </c>
      <c r="F235" s="9" t="s">
        <v>97</v>
      </c>
      <c r="G235" s="9" t="s">
        <v>58</v>
      </c>
      <c r="H235" s="9" t="s">
        <v>58</v>
      </c>
      <c r="I235" s="9" t="s">
        <v>53</v>
      </c>
      <c r="J235" s="9" t="s">
        <v>104</v>
      </c>
      <c r="K235" s="9" t="s">
        <v>103</v>
      </c>
      <c r="L235" s="9" t="s">
        <v>60</v>
      </c>
      <c r="M235" s="9">
        <v>5.0</v>
      </c>
      <c r="N235" s="9">
        <v>10.0</v>
      </c>
      <c r="O235" s="9">
        <v>0.0</v>
      </c>
      <c r="P235" s="9">
        <v>5118.0</v>
      </c>
      <c r="Q235" s="9">
        <v>262.0</v>
      </c>
      <c r="R235" s="9">
        <v>583.0</v>
      </c>
      <c r="S235" s="3">
        <f t="shared" si="1"/>
        <v>4.137429264</v>
      </c>
    </row>
    <row r="236" ht="16.5" customHeight="1">
      <c r="A236" s="9" t="s">
        <v>190</v>
      </c>
      <c r="B236" s="16">
        <v>45976.0</v>
      </c>
      <c r="C236" s="9" t="s">
        <v>49</v>
      </c>
      <c r="D236" s="9" t="s">
        <v>191</v>
      </c>
      <c r="E236" s="9">
        <v>1237.0</v>
      </c>
      <c r="F236" s="9" t="s">
        <v>97</v>
      </c>
      <c r="G236" s="9" t="s">
        <v>58</v>
      </c>
      <c r="H236" s="9" t="s">
        <v>58</v>
      </c>
      <c r="I236" s="9" t="s">
        <v>53</v>
      </c>
      <c r="J236" s="9" t="s">
        <v>104</v>
      </c>
      <c r="K236" s="9" t="s">
        <v>103</v>
      </c>
      <c r="L236" s="9" t="s">
        <v>61</v>
      </c>
      <c r="M236" s="9">
        <v>3.0</v>
      </c>
      <c r="N236" s="9">
        <v>10.0</v>
      </c>
      <c r="O236" s="9">
        <v>2.0</v>
      </c>
      <c r="P236" s="9">
        <v>3905.0</v>
      </c>
      <c r="Q236" s="9">
        <v>198.0</v>
      </c>
      <c r="R236" s="9">
        <v>583.0</v>
      </c>
      <c r="S236" s="3">
        <f t="shared" si="1"/>
        <v>3.156831043</v>
      </c>
    </row>
    <row r="237" ht="16.5" customHeight="1">
      <c r="A237" s="9" t="s">
        <v>190</v>
      </c>
      <c r="B237" s="16">
        <v>45976.0</v>
      </c>
      <c r="C237" s="9" t="s">
        <v>49</v>
      </c>
      <c r="D237" s="9" t="s">
        <v>191</v>
      </c>
      <c r="E237" s="9">
        <v>1237.0</v>
      </c>
      <c r="F237" s="9" t="s">
        <v>97</v>
      </c>
      <c r="G237" s="9" t="s">
        <v>58</v>
      </c>
      <c r="H237" s="9" t="s">
        <v>58</v>
      </c>
      <c r="I237" s="9" t="s">
        <v>53</v>
      </c>
      <c r="J237" s="9" t="s">
        <v>104</v>
      </c>
      <c r="K237" s="9" t="s">
        <v>103</v>
      </c>
      <c r="L237" s="9" t="s">
        <v>100</v>
      </c>
      <c r="M237" s="9">
        <v>2.0</v>
      </c>
      <c r="N237" s="9">
        <v>10.0</v>
      </c>
      <c r="O237" s="9">
        <v>1.0</v>
      </c>
      <c r="P237" s="9">
        <v>1985.0</v>
      </c>
      <c r="Q237" s="9">
        <v>123.0</v>
      </c>
      <c r="R237" s="9">
        <v>583.0</v>
      </c>
      <c r="S237" s="3">
        <f t="shared" si="1"/>
        <v>1.604688763</v>
      </c>
    </row>
    <row r="238" ht="16.5" customHeight="1">
      <c r="A238" s="9" t="s">
        <v>192</v>
      </c>
      <c r="B238" s="16">
        <v>45976.0</v>
      </c>
      <c r="C238" s="9" t="s">
        <v>49</v>
      </c>
      <c r="D238" s="9" t="s">
        <v>193</v>
      </c>
      <c r="E238" s="9">
        <v>1256.0</v>
      </c>
      <c r="F238" s="9" t="s">
        <v>97</v>
      </c>
      <c r="G238" s="9" t="s">
        <v>52</v>
      </c>
      <c r="H238" s="9" t="s">
        <v>52</v>
      </c>
      <c r="I238" s="9" t="s">
        <v>53</v>
      </c>
      <c r="J238" s="9" t="s">
        <v>194</v>
      </c>
      <c r="K238" s="9" t="s">
        <v>195</v>
      </c>
      <c r="L238" s="9" t="s">
        <v>60</v>
      </c>
      <c r="M238" s="9">
        <v>3.0</v>
      </c>
      <c r="N238" s="9">
        <v>10.0</v>
      </c>
      <c r="O238" s="9">
        <v>1.0</v>
      </c>
      <c r="P238" s="9">
        <v>4431.0</v>
      </c>
      <c r="Q238" s="9">
        <v>207.0</v>
      </c>
      <c r="R238" s="9">
        <v>527.0</v>
      </c>
      <c r="S238" s="3">
        <f t="shared" si="1"/>
        <v>3.527866242</v>
      </c>
    </row>
    <row r="239" ht="16.5" customHeight="1">
      <c r="A239" s="9" t="s">
        <v>192</v>
      </c>
      <c r="B239" s="16">
        <v>45976.0</v>
      </c>
      <c r="C239" s="9" t="s">
        <v>49</v>
      </c>
      <c r="D239" s="9" t="s">
        <v>193</v>
      </c>
      <c r="E239" s="9">
        <v>1256.0</v>
      </c>
      <c r="F239" s="9" t="s">
        <v>97</v>
      </c>
      <c r="G239" s="9" t="s">
        <v>52</v>
      </c>
      <c r="H239" s="9" t="s">
        <v>52</v>
      </c>
      <c r="I239" s="9" t="s">
        <v>53</v>
      </c>
      <c r="J239" s="9" t="s">
        <v>194</v>
      </c>
      <c r="K239" s="9" t="s">
        <v>195</v>
      </c>
      <c r="L239" s="9" t="s">
        <v>55</v>
      </c>
      <c r="M239" s="9">
        <v>6.0</v>
      </c>
      <c r="N239" s="9">
        <v>10.0</v>
      </c>
      <c r="O239" s="9">
        <v>1.0</v>
      </c>
      <c r="P239" s="9">
        <v>3060.0</v>
      </c>
      <c r="Q239" s="9">
        <v>205.0</v>
      </c>
      <c r="R239" s="9">
        <v>527.0</v>
      </c>
      <c r="S239" s="3">
        <f t="shared" si="1"/>
        <v>2.436305732</v>
      </c>
    </row>
    <row r="240" ht="16.5" customHeight="1">
      <c r="A240" s="9" t="s">
        <v>192</v>
      </c>
      <c r="B240" s="16">
        <v>45976.0</v>
      </c>
      <c r="C240" s="9" t="s">
        <v>49</v>
      </c>
      <c r="D240" s="9" t="s">
        <v>193</v>
      </c>
      <c r="E240" s="9">
        <v>1256.0</v>
      </c>
      <c r="F240" s="9" t="s">
        <v>97</v>
      </c>
      <c r="G240" s="9" t="s">
        <v>52</v>
      </c>
      <c r="H240" s="9" t="s">
        <v>52</v>
      </c>
      <c r="I240" s="9" t="s">
        <v>53</v>
      </c>
      <c r="J240" s="9" t="s">
        <v>194</v>
      </c>
      <c r="K240" s="9" t="s">
        <v>195</v>
      </c>
      <c r="L240" s="9" t="s">
        <v>100</v>
      </c>
      <c r="M240" s="9">
        <v>1.0</v>
      </c>
      <c r="N240" s="9">
        <v>10.0</v>
      </c>
      <c r="O240" s="9">
        <v>4.0</v>
      </c>
      <c r="P240" s="9">
        <v>1598.0</v>
      </c>
      <c r="Q240" s="9">
        <v>115.0</v>
      </c>
      <c r="R240" s="9">
        <v>527.0</v>
      </c>
      <c r="S240" s="3">
        <f t="shared" si="1"/>
        <v>1.272292994</v>
      </c>
    </row>
    <row r="241" ht="16.5" customHeight="1">
      <c r="A241" s="9" t="s">
        <v>192</v>
      </c>
      <c r="B241" s="16">
        <v>45976.0</v>
      </c>
      <c r="C241" s="9" t="s">
        <v>49</v>
      </c>
      <c r="D241" s="9" t="s">
        <v>193</v>
      </c>
      <c r="E241" s="9">
        <v>1256.0</v>
      </c>
      <c r="F241" s="9" t="s">
        <v>97</v>
      </c>
      <c r="G241" s="9" t="s">
        <v>52</v>
      </c>
      <c r="H241" s="9" t="s">
        <v>58</v>
      </c>
      <c r="I241" s="9" t="s">
        <v>59</v>
      </c>
      <c r="J241" s="9" t="s">
        <v>195</v>
      </c>
      <c r="K241" s="9" t="s">
        <v>194</v>
      </c>
      <c r="L241" s="9" t="s">
        <v>61</v>
      </c>
      <c r="M241" s="9">
        <v>7.0</v>
      </c>
      <c r="N241" s="9">
        <v>8.0</v>
      </c>
      <c r="O241" s="9">
        <v>0.0</v>
      </c>
      <c r="P241" s="9">
        <v>4535.0</v>
      </c>
      <c r="Q241" s="9">
        <v>257.0</v>
      </c>
      <c r="R241" s="9">
        <v>577.0</v>
      </c>
      <c r="S241" s="3">
        <f t="shared" si="1"/>
        <v>3.61066879</v>
      </c>
    </row>
    <row r="242" ht="16.5" customHeight="1">
      <c r="A242" s="9" t="s">
        <v>192</v>
      </c>
      <c r="B242" s="16">
        <v>45976.0</v>
      </c>
      <c r="C242" s="9" t="s">
        <v>49</v>
      </c>
      <c r="D242" s="9" t="s">
        <v>193</v>
      </c>
      <c r="E242" s="9">
        <v>1256.0</v>
      </c>
      <c r="F242" s="9" t="s">
        <v>97</v>
      </c>
      <c r="G242" s="9" t="s">
        <v>52</v>
      </c>
      <c r="H242" s="9" t="s">
        <v>58</v>
      </c>
      <c r="I242" s="9" t="s">
        <v>59</v>
      </c>
      <c r="J242" s="9" t="s">
        <v>195</v>
      </c>
      <c r="K242" s="9" t="s">
        <v>194</v>
      </c>
      <c r="L242" s="9" t="s">
        <v>57</v>
      </c>
      <c r="M242" s="9">
        <v>1.0</v>
      </c>
      <c r="N242" s="9">
        <v>8.0</v>
      </c>
      <c r="O242" s="9">
        <v>3.0</v>
      </c>
      <c r="P242" s="9">
        <v>3436.0</v>
      </c>
      <c r="Q242" s="9">
        <v>194.0</v>
      </c>
      <c r="R242" s="9">
        <v>577.0</v>
      </c>
      <c r="S242" s="3">
        <f t="shared" si="1"/>
        <v>2.73566879</v>
      </c>
    </row>
    <row r="243" ht="16.5" customHeight="1">
      <c r="A243" s="9" t="s">
        <v>192</v>
      </c>
      <c r="B243" s="16">
        <v>45976.0</v>
      </c>
      <c r="C243" s="9" t="s">
        <v>49</v>
      </c>
      <c r="D243" s="9" t="s">
        <v>193</v>
      </c>
      <c r="E243" s="9">
        <v>1256.0</v>
      </c>
      <c r="F243" s="9" t="s">
        <v>97</v>
      </c>
      <c r="G243" s="9" t="s">
        <v>52</v>
      </c>
      <c r="H243" s="9" t="s">
        <v>58</v>
      </c>
      <c r="I243" s="9" t="s">
        <v>59</v>
      </c>
      <c r="J243" s="9" t="s">
        <v>195</v>
      </c>
      <c r="K243" s="9" t="s">
        <v>194</v>
      </c>
      <c r="L243" s="9" t="s">
        <v>77</v>
      </c>
      <c r="M243" s="9">
        <v>0.0</v>
      </c>
      <c r="N243" s="9">
        <v>8.0</v>
      </c>
      <c r="O243" s="9">
        <v>0.0</v>
      </c>
      <c r="P243" s="9">
        <v>3479.0</v>
      </c>
      <c r="Q243" s="9">
        <v>126.0</v>
      </c>
      <c r="R243" s="9">
        <v>577.0</v>
      </c>
      <c r="S243" s="3">
        <f t="shared" si="1"/>
        <v>2.769904459</v>
      </c>
    </row>
    <row r="244" ht="16.5" customHeight="1">
      <c r="A244" s="9" t="s">
        <v>196</v>
      </c>
      <c r="B244" s="16">
        <v>45976.0</v>
      </c>
      <c r="C244" s="9" t="s">
        <v>49</v>
      </c>
      <c r="D244" s="9" t="s">
        <v>197</v>
      </c>
      <c r="E244" s="9">
        <v>1042.0</v>
      </c>
      <c r="F244" s="9" t="s">
        <v>97</v>
      </c>
      <c r="G244" s="9" t="s">
        <v>58</v>
      </c>
      <c r="H244" s="9" t="s">
        <v>52</v>
      </c>
      <c r="I244" s="9" t="s">
        <v>59</v>
      </c>
      <c r="J244" s="9" t="s">
        <v>115</v>
      </c>
      <c r="K244" s="9" t="s">
        <v>116</v>
      </c>
      <c r="L244" s="9" t="s">
        <v>55</v>
      </c>
      <c r="M244" s="9">
        <v>5.0</v>
      </c>
      <c r="N244" s="9">
        <v>6.0</v>
      </c>
      <c r="O244" s="9">
        <v>0.0</v>
      </c>
      <c r="P244" s="9">
        <v>3782.0</v>
      </c>
      <c r="Q244" s="9">
        <v>203.0</v>
      </c>
      <c r="R244" s="9">
        <v>437.0</v>
      </c>
      <c r="S244" s="3">
        <f t="shared" si="1"/>
        <v>3.629558541</v>
      </c>
    </row>
    <row r="245" ht="16.5" customHeight="1">
      <c r="A245" s="9" t="s">
        <v>196</v>
      </c>
      <c r="B245" s="16">
        <v>45976.0</v>
      </c>
      <c r="C245" s="9" t="s">
        <v>49</v>
      </c>
      <c r="D245" s="9" t="s">
        <v>197</v>
      </c>
      <c r="E245" s="9">
        <v>1042.0</v>
      </c>
      <c r="F245" s="9" t="s">
        <v>97</v>
      </c>
      <c r="G245" s="9" t="s">
        <v>58</v>
      </c>
      <c r="H245" s="9" t="s">
        <v>52</v>
      </c>
      <c r="I245" s="9" t="s">
        <v>59</v>
      </c>
      <c r="J245" s="9" t="s">
        <v>115</v>
      </c>
      <c r="K245" s="9" t="s">
        <v>116</v>
      </c>
      <c r="L245" s="9" t="s">
        <v>77</v>
      </c>
      <c r="M245" s="9">
        <v>0.0</v>
      </c>
      <c r="N245" s="9">
        <v>6.0</v>
      </c>
      <c r="O245" s="9">
        <v>0.0</v>
      </c>
      <c r="P245" s="9">
        <v>3711.0</v>
      </c>
      <c r="Q245" s="9">
        <v>150.0</v>
      </c>
      <c r="R245" s="9">
        <v>437.0</v>
      </c>
      <c r="S245" s="3">
        <f t="shared" si="1"/>
        <v>3.561420345</v>
      </c>
    </row>
    <row r="246" ht="16.5" customHeight="1">
      <c r="A246" s="9" t="s">
        <v>196</v>
      </c>
      <c r="B246" s="16">
        <v>45976.0</v>
      </c>
      <c r="C246" s="9" t="s">
        <v>49</v>
      </c>
      <c r="D246" s="9" t="s">
        <v>197</v>
      </c>
      <c r="E246" s="9">
        <v>1042.0</v>
      </c>
      <c r="F246" s="9" t="s">
        <v>97</v>
      </c>
      <c r="G246" s="9" t="s">
        <v>58</v>
      </c>
      <c r="H246" s="9" t="s">
        <v>52</v>
      </c>
      <c r="I246" s="9" t="s">
        <v>59</v>
      </c>
      <c r="J246" s="9" t="s">
        <v>115</v>
      </c>
      <c r="K246" s="9" t="s">
        <v>116</v>
      </c>
      <c r="L246" s="9" t="s">
        <v>100</v>
      </c>
      <c r="M246" s="9">
        <v>1.0</v>
      </c>
      <c r="N246" s="9">
        <v>6.0</v>
      </c>
      <c r="O246" s="9">
        <v>0.0</v>
      </c>
      <c r="P246" s="9">
        <v>1705.0</v>
      </c>
      <c r="Q246" s="9">
        <v>84.0</v>
      </c>
      <c r="R246" s="9">
        <v>437.0</v>
      </c>
      <c r="S246" s="3">
        <f t="shared" si="1"/>
        <v>1.636276392</v>
      </c>
    </row>
    <row r="247" ht="16.5" customHeight="1">
      <c r="A247" s="9" t="s">
        <v>196</v>
      </c>
      <c r="B247" s="16">
        <v>45976.0</v>
      </c>
      <c r="C247" s="9" t="s">
        <v>49</v>
      </c>
      <c r="D247" s="9" t="s">
        <v>197</v>
      </c>
      <c r="E247" s="9">
        <v>1042.0</v>
      </c>
      <c r="F247" s="9" t="s">
        <v>97</v>
      </c>
      <c r="G247" s="9" t="s">
        <v>58</v>
      </c>
      <c r="H247" s="9" t="s">
        <v>58</v>
      </c>
      <c r="I247" s="9" t="s">
        <v>53</v>
      </c>
      <c r="J247" s="9" t="s">
        <v>116</v>
      </c>
      <c r="K247" s="9" t="s">
        <v>115</v>
      </c>
      <c r="L247" s="9" t="s">
        <v>61</v>
      </c>
      <c r="M247" s="9">
        <v>6.0</v>
      </c>
      <c r="N247" s="9">
        <v>10.0</v>
      </c>
      <c r="O247" s="9">
        <v>0.0</v>
      </c>
      <c r="P247" s="9">
        <v>3731.0</v>
      </c>
      <c r="Q247" s="9">
        <v>214.0</v>
      </c>
      <c r="R247" s="9">
        <v>520.0</v>
      </c>
      <c r="S247" s="3">
        <f t="shared" si="1"/>
        <v>3.580614203</v>
      </c>
    </row>
    <row r="248" ht="16.5" customHeight="1">
      <c r="A248" s="9" t="s">
        <v>196</v>
      </c>
      <c r="B248" s="16">
        <v>45976.0</v>
      </c>
      <c r="C248" s="9" t="s">
        <v>49</v>
      </c>
      <c r="D248" s="9" t="s">
        <v>197</v>
      </c>
      <c r="E248" s="9">
        <v>1042.0</v>
      </c>
      <c r="F248" s="9" t="s">
        <v>97</v>
      </c>
      <c r="G248" s="9" t="s">
        <v>58</v>
      </c>
      <c r="H248" s="9" t="s">
        <v>58</v>
      </c>
      <c r="I248" s="9" t="s">
        <v>53</v>
      </c>
      <c r="J248" s="9" t="s">
        <v>116</v>
      </c>
      <c r="K248" s="9" t="s">
        <v>115</v>
      </c>
      <c r="L248" s="9" t="s">
        <v>60</v>
      </c>
      <c r="M248" s="9">
        <v>2.0</v>
      </c>
      <c r="N248" s="9">
        <v>10.0</v>
      </c>
      <c r="O248" s="9">
        <v>0.0</v>
      </c>
      <c r="P248" s="9">
        <v>3301.0</v>
      </c>
      <c r="Q248" s="9">
        <v>169.0</v>
      </c>
      <c r="R248" s="9">
        <v>520.0</v>
      </c>
      <c r="S248" s="3">
        <f t="shared" si="1"/>
        <v>3.167946257</v>
      </c>
    </row>
    <row r="249" ht="16.5" customHeight="1">
      <c r="A249" s="9" t="s">
        <v>196</v>
      </c>
      <c r="B249" s="16">
        <v>45976.0</v>
      </c>
      <c r="C249" s="9" t="s">
        <v>49</v>
      </c>
      <c r="D249" s="9" t="s">
        <v>197</v>
      </c>
      <c r="E249" s="9">
        <v>1042.0</v>
      </c>
      <c r="F249" s="9" t="s">
        <v>97</v>
      </c>
      <c r="G249" s="9" t="s">
        <v>58</v>
      </c>
      <c r="H249" s="9" t="s">
        <v>58</v>
      </c>
      <c r="I249" s="9" t="s">
        <v>53</v>
      </c>
      <c r="J249" s="9" t="s">
        <v>116</v>
      </c>
      <c r="K249" s="9" t="s">
        <v>115</v>
      </c>
      <c r="L249" s="9" t="s">
        <v>57</v>
      </c>
      <c r="M249" s="9">
        <v>2.0</v>
      </c>
      <c r="N249" s="9">
        <v>10.0</v>
      </c>
      <c r="O249" s="9">
        <v>2.0</v>
      </c>
      <c r="P249" s="9">
        <v>2019.0</v>
      </c>
      <c r="Q249" s="9">
        <v>137.0</v>
      </c>
      <c r="R249" s="9">
        <v>520.0</v>
      </c>
      <c r="S249" s="3">
        <f t="shared" si="1"/>
        <v>1.937619962</v>
      </c>
    </row>
    <row r="250" ht="16.5" customHeight="1">
      <c r="A250" s="9" t="s">
        <v>198</v>
      </c>
      <c r="B250" s="16">
        <v>45976.0</v>
      </c>
      <c r="C250" s="9" t="s">
        <v>49</v>
      </c>
      <c r="D250" s="9" t="s">
        <v>73</v>
      </c>
      <c r="E250" s="9">
        <v>860.0</v>
      </c>
      <c r="F250" s="9" t="s">
        <v>97</v>
      </c>
      <c r="G250" s="9" t="s">
        <v>58</v>
      </c>
      <c r="H250" s="9" t="s">
        <v>52</v>
      </c>
      <c r="I250" s="9" t="s">
        <v>59</v>
      </c>
      <c r="J250" s="9" t="s">
        <v>199</v>
      </c>
      <c r="K250" s="9" t="s">
        <v>200</v>
      </c>
      <c r="L250" s="9" t="s">
        <v>57</v>
      </c>
      <c r="M250" s="9">
        <v>2.0</v>
      </c>
      <c r="N250" s="9">
        <v>5.0</v>
      </c>
      <c r="O250" s="9">
        <v>0.0</v>
      </c>
      <c r="P250" s="9">
        <v>1805.0</v>
      </c>
      <c r="Q250" s="9">
        <v>123.0</v>
      </c>
      <c r="R250" s="9">
        <v>283.0</v>
      </c>
      <c r="S250" s="3">
        <f t="shared" si="1"/>
        <v>2.098837209</v>
      </c>
    </row>
    <row r="251" ht="16.5" customHeight="1">
      <c r="A251" s="9" t="s">
        <v>198</v>
      </c>
      <c r="B251" s="16">
        <v>45976.0</v>
      </c>
      <c r="C251" s="9" t="s">
        <v>49</v>
      </c>
      <c r="D251" s="9" t="s">
        <v>73</v>
      </c>
      <c r="E251" s="9">
        <v>860.0</v>
      </c>
      <c r="F251" s="9" t="s">
        <v>97</v>
      </c>
      <c r="G251" s="9" t="s">
        <v>58</v>
      </c>
      <c r="H251" s="9" t="s">
        <v>52</v>
      </c>
      <c r="I251" s="9" t="s">
        <v>59</v>
      </c>
      <c r="J251" s="9" t="s">
        <v>199</v>
      </c>
      <c r="K251" s="9" t="s">
        <v>200</v>
      </c>
      <c r="L251" s="9" t="s">
        <v>77</v>
      </c>
      <c r="M251" s="9">
        <v>1.0</v>
      </c>
      <c r="N251" s="9">
        <v>5.0</v>
      </c>
      <c r="O251" s="9">
        <v>0.0</v>
      </c>
      <c r="P251" s="9">
        <v>2299.0</v>
      </c>
      <c r="Q251" s="9">
        <v>84.0</v>
      </c>
      <c r="R251" s="9">
        <v>283.0</v>
      </c>
      <c r="S251" s="3">
        <f t="shared" si="1"/>
        <v>2.673255814</v>
      </c>
    </row>
    <row r="252" ht="16.5" customHeight="1">
      <c r="A252" s="9" t="s">
        <v>198</v>
      </c>
      <c r="B252" s="16">
        <v>45976.0</v>
      </c>
      <c r="C252" s="9" t="s">
        <v>49</v>
      </c>
      <c r="D252" s="9" t="s">
        <v>73</v>
      </c>
      <c r="E252" s="9">
        <v>860.0</v>
      </c>
      <c r="F252" s="9" t="s">
        <v>97</v>
      </c>
      <c r="G252" s="9" t="s">
        <v>58</v>
      </c>
      <c r="H252" s="9" t="s">
        <v>52</v>
      </c>
      <c r="I252" s="9" t="s">
        <v>59</v>
      </c>
      <c r="J252" s="9" t="s">
        <v>199</v>
      </c>
      <c r="K252" s="9" t="s">
        <v>200</v>
      </c>
      <c r="L252" s="9" t="s">
        <v>60</v>
      </c>
      <c r="M252" s="9">
        <v>2.0</v>
      </c>
      <c r="N252" s="9">
        <v>5.0</v>
      </c>
      <c r="O252" s="9">
        <v>0.0</v>
      </c>
      <c r="P252" s="9">
        <v>1076.0</v>
      </c>
      <c r="Q252" s="9">
        <v>76.0</v>
      </c>
      <c r="R252" s="9">
        <v>283.0</v>
      </c>
      <c r="S252" s="3">
        <f t="shared" si="1"/>
        <v>1.251162791</v>
      </c>
    </row>
    <row r="253" ht="16.5" customHeight="1">
      <c r="A253" s="9" t="s">
        <v>198</v>
      </c>
      <c r="B253" s="16">
        <v>45976.0</v>
      </c>
      <c r="C253" s="9" t="s">
        <v>49</v>
      </c>
      <c r="D253" s="9" t="s">
        <v>73</v>
      </c>
      <c r="E253" s="9">
        <v>860.0</v>
      </c>
      <c r="F253" s="9" t="s">
        <v>97</v>
      </c>
      <c r="G253" s="9" t="s">
        <v>58</v>
      </c>
      <c r="H253" s="9" t="s">
        <v>58</v>
      </c>
      <c r="I253" s="9" t="s">
        <v>53</v>
      </c>
      <c r="J253" s="9" t="s">
        <v>200</v>
      </c>
      <c r="K253" s="9" t="s">
        <v>199</v>
      </c>
      <c r="L253" s="9" t="s">
        <v>61</v>
      </c>
      <c r="M253" s="9">
        <v>6.0</v>
      </c>
      <c r="N253" s="9">
        <v>10.0</v>
      </c>
      <c r="O253" s="9">
        <v>1.0</v>
      </c>
      <c r="P253" s="9">
        <v>3190.0</v>
      </c>
      <c r="Q253" s="9">
        <v>195.0</v>
      </c>
      <c r="R253" s="9">
        <v>389.0</v>
      </c>
      <c r="S253" s="3">
        <f t="shared" si="1"/>
        <v>3.709302326</v>
      </c>
    </row>
    <row r="254" ht="16.5" customHeight="1">
      <c r="A254" s="9" t="s">
        <v>198</v>
      </c>
      <c r="B254" s="16">
        <v>45976.0</v>
      </c>
      <c r="C254" s="9" t="s">
        <v>49</v>
      </c>
      <c r="D254" s="9" t="s">
        <v>73</v>
      </c>
      <c r="E254" s="9">
        <v>860.0</v>
      </c>
      <c r="F254" s="9" t="s">
        <v>97</v>
      </c>
      <c r="G254" s="9" t="s">
        <v>58</v>
      </c>
      <c r="H254" s="9" t="s">
        <v>58</v>
      </c>
      <c r="I254" s="9" t="s">
        <v>53</v>
      </c>
      <c r="J254" s="9" t="s">
        <v>200</v>
      </c>
      <c r="K254" s="9" t="s">
        <v>199</v>
      </c>
      <c r="L254" s="9" t="s">
        <v>55</v>
      </c>
      <c r="M254" s="9">
        <v>3.0</v>
      </c>
      <c r="N254" s="9">
        <v>10.0</v>
      </c>
      <c r="O254" s="9">
        <v>2.0</v>
      </c>
      <c r="P254" s="9">
        <v>2686.0</v>
      </c>
      <c r="Q254" s="9">
        <v>149.0</v>
      </c>
      <c r="R254" s="9">
        <v>389.0</v>
      </c>
      <c r="S254" s="3">
        <f t="shared" si="1"/>
        <v>3.123255814</v>
      </c>
    </row>
    <row r="255" ht="16.5" customHeight="1">
      <c r="A255" s="9" t="s">
        <v>198</v>
      </c>
      <c r="B255" s="16">
        <v>45976.0</v>
      </c>
      <c r="C255" s="9" t="s">
        <v>49</v>
      </c>
      <c r="D255" s="9" t="s">
        <v>73</v>
      </c>
      <c r="E255" s="9">
        <v>860.0</v>
      </c>
      <c r="F255" s="9" t="s">
        <v>97</v>
      </c>
      <c r="G255" s="9" t="s">
        <v>58</v>
      </c>
      <c r="H255" s="9" t="s">
        <v>58</v>
      </c>
      <c r="I255" s="9" t="s">
        <v>53</v>
      </c>
      <c r="J255" s="9" t="s">
        <v>200</v>
      </c>
      <c r="K255" s="9" t="s">
        <v>199</v>
      </c>
      <c r="L255" s="9" t="s">
        <v>100</v>
      </c>
      <c r="M255" s="9">
        <v>1.0</v>
      </c>
      <c r="N255" s="9">
        <v>10.0</v>
      </c>
      <c r="O255" s="9">
        <v>0.0</v>
      </c>
      <c r="P255" s="9">
        <v>669.0</v>
      </c>
      <c r="Q255" s="9">
        <v>45.0</v>
      </c>
      <c r="R255" s="9">
        <v>389.0</v>
      </c>
      <c r="S255" s="3">
        <f t="shared" si="1"/>
        <v>0.7779069767</v>
      </c>
    </row>
    <row r="256" ht="16.5" customHeight="1">
      <c r="A256" s="9" t="s">
        <v>201</v>
      </c>
      <c r="B256" s="16">
        <v>45976.0</v>
      </c>
      <c r="C256" s="9" t="s">
        <v>49</v>
      </c>
      <c r="D256" s="9" t="s">
        <v>202</v>
      </c>
      <c r="E256" s="9">
        <v>930.0</v>
      </c>
      <c r="F256" s="9" t="s">
        <v>51</v>
      </c>
      <c r="G256" s="9" t="s">
        <v>58</v>
      </c>
      <c r="H256" s="9" t="s">
        <v>52</v>
      </c>
      <c r="I256" s="9" t="s">
        <v>59</v>
      </c>
      <c r="J256" s="9" t="s">
        <v>82</v>
      </c>
      <c r="K256" s="9" t="s">
        <v>83</v>
      </c>
      <c r="L256" s="9" t="s">
        <v>60</v>
      </c>
      <c r="M256" s="9">
        <v>9.0</v>
      </c>
      <c r="N256" s="9">
        <v>9.0</v>
      </c>
      <c r="O256" s="9">
        <v>0.0</v>
      </c>
      <c r="P256" s="9">
        <v>2392.0</v>
      </c>
      <c r="Q256" s="9">
        <v>215.0</v>
      </c>
      <c r="R256" s="9">
        <v>312.0</v>
      </c>
      <c r="S256" s="3">
        <f t="shared" si="1"/>
        <v>2.572043011</v>
      </c>
    </row>
    <row r="257" ht="16.5" customHeight="1">
      <c r="A257" s="9" t="s">
        <v>201</v>
      </c>
      <c r="B257" s="16">
        <v>45976.0</v>
      </c>
      <c r="C257" s="9" t="s">
        <v>49</v>
      </c>
      <c r="D257" s="9" t="s">
        <v>202</v>
      </c>
      <c r="E257" s="9">
        <v>930.0</v>
      </c>
      <c r="F257" s="9" t="s">
        <v>51</v>
      </c>
      <c r="G257" s="9" t="s">
        <v>58</v>
      </c>
      <c r="H257" s="9" t="s">
        <v>52</v>
      </c>
      <c r="I257" s="9" t="s">
        <v>59</v>
      </c>
      <c r="J257" s="9" t="s">
        <v>82</v>
      </c>
      <c r="K257" s="9" t="s">
        <v>83</v>
      </c>
      <c r="L257" s="9" t="s">
        <v>77</v>
      </c>
      <c r="M257" s="9">
        <v>0.0</v>
      </c>
      <c r="N257" s="9">
        <v>9.0</v>
      </c>
      <c r="O257" s="9">
        <v>3.0</v>
      </c>
      <c r="P257" s="9">
        <v>2340.0</v>
      </c>
      <c r="Q257" s="9">
        <v>97.0</v>
      </c>
      <c r="R257" s="9">
        <v>312.0</v>
      </c>
      <c r="S257" s="3">
        <f t="shared" si="1"/>
        <v>2.516129032</v>
      </c>
    </row>
    <row r="258" ht="16.5" customHeight="1">
      <c r="A258" s="9" t="s">
        <v>201</v>
      </c>
      <c r="B258" s="16">
        <v>45976.0</v>
      </c>
      <c r="C258" s="9" t="s">
        <v>49</v>
      </c>
      <c r="D258" s="9" t="s">
        <v>202</v>
      </c>
      <c r="E258" s="9">
        <v>930.0</v>
      </c>
      <c r="F258" s="9" t="s">
        <v>51</v>
      </c>
      <c r="G258" s="9" t="s">
        <v>58</v>
      </c>
      <c r="H258" s="9" t="s">
        <v>58</v>
      </c>
      <c r="I258" s="9" t="s">
        <v>53</v>
      </c>
      <c r="J258" s="9" t="s">
        <v>83</v>
      </c>
      <c r="K258" s="9" t="s">
        <v>82</v>
      </c>
      <c r="L258" s="9" t="s">
        <v>55</v>
      </c>
      <c r="M258" s="9">
        <v>6.0</v>
      </c>
      <c r="N258" s="9">
        <v>10.0</v>
      </c>
      <c r="O258" s="9">
        <v>0.0</v>
      </c>
      <c r="P258" s="9">
        <v>2324.0</v>
      </c>
      <c r="Q258" s="9">
        <v>167.0</v>
      </c>
      <c r="R258" s="9">
        <v>308.0</v>
      </c>
      <c r="S258" s="3">
        <f t="shared" si="1"/>
        <v>2.498924731</v>
      </c>
    </row>
    <row r="259" ht="16.5" customHeight="1">
      <c r="A259" s="9" t="s">
        <v>201</v>
      </c>
      <c r="B259" s="16">
        <v>45976.0</v>
      </c>
      <c r="C259" s="9" t="s">
        <v>49</v>
      </c>
      <c r="D259" s="9" t="s">
        <v>202</v>
      </c>
      <c r="E259" s="9">
        <v>930.0</v>
      </c>
      <c r="F259" s="9" t="s">
        <v>51</v>
      </c>
      <c r="G259" s="9" t="s">
        <v>58</v>
      </c>
      <c r="H259" s="9" t="s">
        <v>58</v>
      </c>
      <c r="I259" s="9" t="s">
        <v>53</v>
      </c>
      <c r="J259" s="9" t="s">
        <v>83</v>
      </c>
      <c r="K259" s="9" t="s">
        <v>82</v>
      </c>
      <c r="L259" s="9" t="s">
        <v>61</v>
      </c>
      <c r="M259" s="9">
        <v>4.0</v>
      </c>
      <c r="N259" s="9">
        <v>10.0</v>
      </c>
      <c r="O259" s="9">
        <v>1.0</v>
      </c>
      <c r="P259" s="9">
        <v>1879.0</v>
      </c>
      <c r="Q259" s="9">
        <v>141.0</v>
      </c>
      <c r="R259" s="9">
        <v>308.0</v>
      </c>
      <c r="S259" s="3">
        <f t="shared" si="1"/>
        <v>2.020430108</v>
      </c>
    </row>
    <row r="260" ht="16.5" customHeight="1">
      <c r="A260" s="9" t="s">
        <v>203</v>
      </c>
      <c r="B260" s="16">
        <v>45976.0</v>
      </c>
      <c r="C260" s="9" t="s">
        <v>49</v>
      </c>
      <c r="D260" s="9" t="s">
        <v>204</v>
      </c>
      <c r="E260" s="9">
        <v>982.0</v>
      </c>
      <c r="F260" s="9" t="s">
        <v>51</v>
      </c>
      <c r="G260" s="9" t="s">
        <v>52</v>
      </c>
      <c r="H260" s="9" t="s">
        <v>52</v>
      </c>
      <c r="I260" s="9" t="s">
        <v>53</v>
      </c>
      <c r="J260" s="9" t="s">
        <v>76</v>
      </c>
      <c r="K260" s="9" t="s">
        <v>56</v>
      </c>
      <c r="L260" s="9" t="s">
        <v>55</v>
      </c>
      <c r="M260" s="9">
        <v>8.0</v>
      </c>
      <c r="N260" s="9">
        <v>10.0</v>
      </c>
      <c r="O260" s="9">
        <v>0.0</v>
      </c>
      <c r="P260" s="9">
        <v>2539.0</v>
      </c>
      <c r="Q260" s="9">
        <v>196.0</v>
      </c>
      <c r="R260" s="9">
        <v>297.0</v>
      </c>
      <c r="S260" s="3">
        <f t="shared" si="1"/>
        <v>2.585539715</v>
      </c>
    </row>
    <row r="261" ht="16.5" customHeight="1">
      <c r="A261" s="9" t="s">
        <v>203</v>
      </c>
      <c r="B261" s="16">
        <v>45976.0</v>
      </c>
      <c r="C261" s="9" t="s">
        <v>49</v>
      </c>
      <c r="D261" s="9" t="s">
        <v>204</v>
      </c>
      <c r="E261" s="9">
        <v>982.0</v>
      </c>
      <c r="F261" s="9" t="s">
        <v>51</v>
      </c>
      <c r="G261" s="9" t="s">
        <v>52</v>
      </c>
      <c r="H261" s="9" t="s">
        <v>52</v>
      </c>
      <c r="I261" s="9" t="s">
        <v>53</v>
      </c>
      <c r="J261" s="9" t="s">
        <v>76</v>
      </c>
      <c r="K261" s="9" t="s">
        <v>56</v>
      </c>
      <c r="L261" s="9" t="s">
        <v>77</v>
      </c>
      <c r="M261" s="9">
        <v>2.0</v>
      </c>
      <c r="N261" s="9">
        <v>10.0</v>
      </c>
      <c r="O261" s="9">
        <v>0.0</v>
      </c>
      <c r="P261" s="9">
        <v>2146.0</v>
      </c>
      <c r="Q261" s="9">
        <v>101.0</v>
      </c>
      <c r="R261" s="9">
        <v>297.0</v>
      </c>
      <c r="S261" s="3">
        <f t="shared" si="1"/>
        <v>2.185336049</v>
      </c>
    </row>
    <row r="262" ht="16.5" customHeight="1">
      <c r="A262" s="9" t="s">
        <v>203</v>
      </c>
      <c r="B262" s="16">
        <v>45976.0</v>
      </c>
      <c r="C262" s="9" t="s">
        <v>49</v>
      </c>
      <c r="D262" s="9" t="s">
        <v>204</v>
      </c>
      <c r="E262" s="9">
        <v>982.0</v>
      </c>
      <c r="F262" s="9" t="s">
        <v>51</v>
      </c>
      <c r="G262" s="9" t="s">
        <v>52</v>
      </c>
      <c r="H262" s="9" t="s">
        <v>58</v>
      </c>
      <c r="I262" s="9" t="s">
        <v>59</v>
      </c>
      <c r="J262" s="9" t="s">
        <v>56</v>
      </c>
      <c r="K262" s="9" t="s">
        <v>76</v>
      </c>
      <c r="L262" s="9" t="s">
        <v>60</v>
      </c>
      <c r="M262" s="9">
        <v>4.0</v>
      </c>
      <c r="N262" s="9">
        <v>9.0</v>
      </c>
      <c r="O262" s="9">
        <v>0.0</v>
      </c>
      <c r="P262" s="9">
        <v>3218.0</v>
      </c>
      <c r="Q262" s="9">
        <v>180.0</v>
      </c>
      <c r="R262" s="9">
        <v>321.0</v>
      </c>
      <c r="S262" s="3">
        <f t="shared" si="1"/>
        <v>3.276985743</v>
      </c>
    </row>
    <row r="263" ht="16.5" customHeight="1">
      <c r="A263" s="9" t="s">
        <v>203</v>
      </c>
      <c r="B263" s="16">
        <v>45976.0</v>
      </c>
      <c r="C263" s="9" t="s">
        <v>49</v>
      </c>
      <c r="D263" s="9" t="s">
        <v>204</v>
      </c>
      <c r="E263" s="9">
        <v>982.0</v>
      </c>
      <c r="F263" s="9" t="s">
        <v>51</v>
      </c>
      <c r="G263" s="9" t="s">
        <v>52</v>
      </c>
      <c r="H263" s="9" t="s">
        <v>58</v>
      </c>
      <c r="I263" s="9" t="s">
        <v>59</v>
      </c>
      <c r="J263" s="9" t="s">
        <v>56</v>
      </c>
      <c r="K263" s="9" t="s">
        <v>76</v>
      </c>
      <c r="L263" s="9" t="s">
        <v>61</v>
      </c>
      <c r="M263" s="9">
        <v>5.0</v>
      </c>
      <c r="N263" s="9">
        <v>9.0</v>
      </c>
      <c r="O263" s="9">
        <v>0.0</v>
      </c>
      <c r="P263" s="9">
        <v>1783.0</v>
      </c>
      <c r="Q263" s="9">
        <v>141.0</v>
      </c>
      <c r="R263" s="9">
        <v>321.0</v>
      </c>
      <c r="S263" s="3">
        <f t="shared" si="1"/>
        <v>1.815682281</v>
      </c>
    </row>
    <row r="264" ht="16.5" customHeight="1">
      <c r="A264" s="9" t="s">
        <v>205</v>
      </c>
      <c r="B264" s="16">
        <v>45976.0</v>
      </c>
      <c r="C264" s="9" t="s">
        <v>49</v>
      </c>
      <c r="D264" s="9" t="s">
        <v>206</v>
      </c>
      <c r="E264" s="9">
        <v>776.0</v>
      </c>
      <c r="F264" s="9" t="s">
        <v>51</v>
      </c>
      <c r="G264" s="9" t="s">
        <v>58</v>
      </c>
      <c r="H264" s="9" t="s">
        <v>52</v>
      </c>
      <c r="I264" s="9" t="s">
        <v>59</v>
      </c>
      <c r="J264" s="9" t="s">
        <v>76</v>
      </c>
      <c r="K264" s="9" t="s">
        <v>56</v>
      </c>
      <c r="L264" s="9" t="s">
        <v>55</v>
      </c>
      <c r="M264" s="9">
        <v>5.0</v>
      </c>
      <c r="N264" s="9">
        <v>6.0</v>
      </c>
      <c r="O264" s="9">
        <v>0.0</v>
      </c>
      <c r="P264" s="9">
        <v>1836.0</v>
      </c>
      <c r="Q264" s="9">
        <v>137.0</v>
      </c>
      <c r="R264" s="9">
        <v>242.0</v>
      </c>
      <c r="S264" s="3">
        <f t="shared" si="1"/>
        <v>2.365979381</v>
      </c>
    </row>
    <row r="265" ht="16.5" customHeight="1">
      <c r="A265" s="9" t="s">
        <v>205</v>
      </c>
      <c r="B265" s="16">
        <v>45976.0</v>
      </c>
      <c r="C265" s="9" t="s">
        <v>49</v>
      </c>
      <c r="D265" s="9" t="s">
        <v>206</v>
      </c>
      <c r="E265" s="9">
        <v>776.0</v>
      </c>
      <c r="F265" s="9" t="s">
        <v>51</v>
      </c>
      <c r="G265" s="9" t="s">
        <v>58</v>
      </c>
      <c r="H265" s="9" t="s">
        <v>52</v>
      </c>
      <c r="I265" s="9" t="s">
        <v>59</v>
      </c>
      <c r="J265" s="9" t="s">
        <v>76</v>
      </c>
      <c r="K265" s="9" t="s">
        <v>56</v>
      </c>
      <c r="L265" s="9" t="s">
        <v>77</v>
      </c>
      <c r="M265" s="9">
        <v>1.0</v>
      </c>
      <c r="N265" s="9">
        <v>6.0</v>
      </c>
      <c r="O265" s="9">
        <v>0.0</v>
      </c>
      <c r="P265" s="9">
        <v>2413.0</v>
      </c>
      <c r="Q265" s="9">
        <v>105.0</v>
      </c>
      <c r="R265" s="9">
        <v>242.0</v>
      </c>
      <c r="S265" s="3">
        <f t="shared" si="1"/>
        <v>3.109536082</v>
      </c>
    </row>
    <row r="266" ht="16.5" customHeight="1">
      <c r="A266" s="9" t="s">
        <v>205</v>
      </c>
      <c r="B266" s="16">
        <v>45976.0</v>
      </c>
      <c r="C266" s="9" t="s">
        <v>49</v>
      </c>
      <c r="D266" s="9" t="s">
        <v>206</v>
      </c>
      <c r="E266" s="9">
        <v>776.0</v>
      </c>
      <c r="F266" s="9" t="s">
        <v>51</v>
      </c>
      <c r="G266" s="9" t="s">
        <v>58</v>
      </c>
      <c r="H266" s="9" t="s">
        <v>58</v>
      </c>
      <c r="I266" s="9" t="s">
        <v>53</v>
      </c>
      <c r="J266" s="9" t="s">
        <v>56</v>
      </c>
      <c r="K266" s="9" t="s">
        <v>76</v>
      </c>
      <c r="L266" s="9" t="s">
        <v>60</v>
      </c>
      <c r="M266" s="9">
        <v>8.0</v>
      </c>
      <c r="N266" s="9">
        <v>10.0</v>
      </c>
      <c r="O266" s="9">
        <v>0.0</v>
      </c>
      <c r="P266" s="9">
        <v>779.0</v>
      </c>
      <c r="Q266" s="9">
        <v>151.0</v>
      </c>
      <c r="R266" s="9">
        <v>272.0</v>
      </c>
      <c r="S266" s="3">
        <f t="shared" si="1"/>
        <v>1.003865979</v>
      </c>
    </row>
    <row r="267" ht="16.5" customHeight="1">
      <c r="A267" s="9" t="s">
        <v>205</v>
      </c>
      <c r="B267" s="16">
        <v>45976.0</v>
      </c>
      <c r="C267" s="9" t="s">
        <v>49</v>
      </c>
      <c r="D267" s="9" t="s">
        <v>206</v>
      </c>
      <c r="E267" s="9">
        <v>776.0</v>
      </c>
      <c r="F267" s="9" t="s">
        <v>51</v>
      </c>
      <c r="G267" s="9" t="s">
        <v>58</v>
      </c>
      <c r="H267" s="9" t="s">
        <v>58</v>
      </c>
      <c r="I267" s="9" t="s">
        <v>53</v>
      </c>
      <c r="J267" s="9" t="s">
        <v>56</v>
      </c>
      <c r="K267" s="9" t="s">
        <v>76</v>
      </c>
      <c r="L267" s="9" t="s">
        <v>61</v>
      </c>
      <c r="M267" s="9">
        <v>2.0</v>
      </c>
      <c r="N267" s="9">
        <v>10.0</v>
      </c>
      <c r="O267" s="9">
        <v>2.0</v>
      </c>
      <c r="P267" s="9">
        <v>2161.0</v>
      </c>
      <c r="Q267" s="9">
        <v>121.0</v>
      </c>
      <c r="R267" s="9">
        <v>272.0</v>
      </c>
      <c r="S267" s="3">
        <f t="shared" si="1"/>
        <v>2.784793814</v>
      </c>
    </row>
    <row r="268" ht="16.5" customHeight="1">
      <c r="A268" s="9" t="s">
        <v>207</v>
      </c>
      <c r="B268" s="16">
        <v>45976.0</v>
      </c>
      <c r="C268" s="9" t="s">
        <v>49</v>
      </c>
      <c r="D268" s="9" t="s">
        <v>208</v>
      </c>
      <c r="E268" s="9">
        <v>914.0</v>
      </c>
      <c r="F268" s="9" t="s">
        <v>51</v>
      </c>
      <c r="G268" s="9" t="s">
        <v>52</v>
      </c>
      <c r="H268" s="9" t="s">
        <v>52</v>
      </c>
      <c r="I268" s="9" t="s">
        <v>53</v>
      </c>
      <c r="J268" s="9" t="s">
        <v>70</v>
      </c>
      <c r="K268" s="9" t="s">
        <v>88</v>
      </c>
      <c r="L268" s="9" t="s">
        <v>60</v>
      </c>
      <c r="M268" s="9">
        <v>5.0</v>
      </c>
      <c r="N268" s="9">
        <v>10.0</v>
      </c>
      <c r="O268" s="9">
        <v>0.0</v>
      </c>
      <c r="P268" s="9">
        <v>2713.0</v>
      </c>
      <c r="Q268" s="9">
        <v>158.0</v>
      </c>
      <c r="R268" s="9">
        <v>293.0</v>
      </c>
      <c r="S268" s="3">
        <f t="shared" si="1"/>
        <v>2.968271335</v>
      </c>
    </row>
    <row r="269" ht="16.5" customHeight="1">
      <c r="A269" s="9" t="s">
        <v>207</v>
      </c>
      <c r="B269" s="16">
        <v>45976.0</v>
      </c>
      <c r="C269" s="9" t="s">
        <v>49</v>
      </c>
      <c r="D269" s="9" t="s">
        <v>208</v>
      </c>
      <c r="E269" s="9">
        <v>914.0</v>
      </c>
      <c r="F269" s="9" t="s">
        <v>51</v>
      </c>
      <c r="G269" s="9" t="s">
        <v>52</v>
      </c>
      <c r="H269" s="9" t="s">
        <v>52</v>
      </c>
      <c r="I269" s="9" t="s">
        <v>53</v>
      </c>
      <c r="J269" s="9" t="s">
        <v>70</v>
      </c>
      <c r="K269" s="9" t="s">
        <v>88</v>
      </c>
      <c r="L269" s="9" t="s">
        <v>55</v>
      </c>
      <c r="M269" s="9">
        <v>5.0</v>
      </c>
      <c r="N269" s="9">
        <v>10.0</v>
      </c>
      <c r="O269" s="9">
        <v>0.0</v>
      </c>
      <c r="P269" s="9">
        <v>1735.0</v>
      </c>
      <c r="Q269" s="9">
        <v>135.0</v>
      </c>
      <c r="R269" s="9">
        <v>293.0</v>
      </c>
      <c r="S269" s="3">
        <f t="shared" si="1"/>
        <v>1.898249453</v>
      </c>
    </row>
    <row r="270" ht="16.5" customHeight="1">
      <c r="A270" s="9" t="s">
        <v>207</v>
      </c>
      <c r="B270" s="16">
        <v>45976.0</v>
      </c>
      <c r="C270" s="9" t="s">
        <v>49</v>
      </c>
      <c r="D270" s="9" t="s">
        <v>208</v>
      </c>
      <c r="E270" s="9">
        <v>914.0</v>
      </c>
      <c r="F270" s="9" t="s">
        <v>51</v>
      </c>
      <c r="G270" s="9" t="s">
        <v>52</v>
      </c>
      <c r="H270" s="9" t="s">
        <v>58</v>
      </c>
      <c r="I270" s="9" t="s">
        <v>59</v>
      </c>
      <c r="J270" s="9" t="s">
        <v>88</v>
      </c>
      <c r="K270" s="9" t="s">
        <v>70</v>
      </c>
      <c r="L270" s="9" t="s">
        <v>61</v>
      </c>
      <c r="M270" s="9">
        <v>7.0</v>
      </c>
      <c r="N270" s="9">
        <v>7.0</v>
      </c>
      <c r="O270" s="9">
        <v>0.0</v>
      </c>
      <c r="P270" s="9">
        <v>1609.0</v>
      </c>
      <c r="Q270" s="9">
        <v>155.0</v>
      </c>
      <c r="R270" s="9">
        <v>242.0</v>
      </c>
      <c r="S270" s="3">
        <f t="shared" si="1"/>
        <v>1.760393873</v>
      </c>
    </row>
    <row r="271" ht="16.5" customHeight="1">
      <c r="A271" s="9" t="s">
        <v>207</v>
      </c>
      <c r="B271" s="16">
        <v>45976.0</v>
      </c>
      <c r="C271" s="9" t="s">
        <v>49</v>
      </c>
      <c r="D271" s="9" t="s">
        <v>208</v>
      </c>
      <c r="E271" s="9">
        <v>914.0</v>
      </c>
      <c r="F271" s="9" t="s">
        <v>51</v>
      </c>
      <c r="G271" s="9" t="s">
        <v>52</v>
      </c>
      <c r="H271" s="9" t="s">
        <v>58</v>
      </c>
      <c r="I271" s="9" t="s">
        <v>59</v>
      </c>
      <c r="J271" s="9" t="s">
        <v>88</v>
      </c>
      <c r="K271" s="9" t="s">
        <v>70</v>
      </c>
      <c r="L271" s="9" t="s">
        <v>77</v>
      </c>
      <c r="M271" s="9">
        <v>0.0</v>
      </c>
      <c r="N271" s="9">
        <v>7.0</v>
      </c>
      <c r="O271" s="9">
        <v>0.0</v>
      </c>
      <c r="P271" s="9">
        <v>2374.0</v>
      </c>
      <c r="Q271" s="9">
        <v>87.0</v>
      </c>
      <c r="R271" s="9">
        <v>242.0</v>
      </c>
      <c r="S271" s="3">
        <f t="shared" si="1"/>
        <v>2.597374179</v>
      </c>
    </row>
    <row r="272" ht="16.5" customHeight="1">
      <c r="A272" s="9" t="s">
        <v>209</v>
      </c>
      <c r="B272" s="16">
        <v>45976.0</v>
      </c>
      <c r="C272" s="9" t="s">
        <v>49</v>
      </c>
      <c r="D272" s="9" t="s">
        <v>69</v>
      </c>
      <c r="E272" s="9">
        <v>690.0</v>
      </c>
      <c r="F272" s="9" t="s">
        <v>51</v>
      </c>
      <c r="G272" s="9" t="s">
        <v>58</v>
      </c>
      <c r="H272" s="9" t="s">
        <v>52</v>
      </c>
      <c r="I272" s="9" t="s">
        <v>59</v>
      </c>
      <c r="J272" s="9" t="s">
        <v>70</v>
      </c>
      <c r="K272" s="9" t="s">
        <v>88</v>
      </c>
      <c r="L272" s="9" t="s">
        <v>55</v>
      </c>
      <c r="M272" s="9">
        <v>4.0</v>
      </c>
      <c r="N272" s="9">
        <v>7.0</v>
      </c>
      <c r="O272" s="9">
        <v>1.0</v>
      </c>
      <c r="P272" s="9">
        <v>984.0</v>
      </c>
      <c r="Q272" s="9">
        <v>109.0</v>
      </c>
      <c r="R272" s="9">
        <v>210.0</v>
      </c>
      <c r="S272" s="3">
        <f t="shared" si="1"/>
        <v>1.426086957</v>
      </c>
    </row>
    <row r="273" ht="16.5" customHeight="1">
      <c r="A273" s="9" t="s">
        <v>209</v>
      </c>
      <c r="B273" s="16">
        <v>45976.0</v>
      </c>
      <c r="C273" s="9" t="s">
        <v>49</v>
      </c>
      <c r="D273" s="9" t="s">
        <v>69</v>
      </c>
      <c r="E273" s="9">
        <v>690.0</v>
      </c>
      <c r="F273" s="9" t="s">
        <v>51</v>
      </c>
      <c r="G273" s="9" t="s">
        <v>58</v>
      </c>
      <c r="H273" s="9" t="s">
        <v>52</v>
      </c>
      <c r="I273" s="9" t="s">
        <v>59</v>
      </c>
      <c r="J273" s="9" t="s">
        <v>70</v>
      </c>
      <c r="K273" s="9" t="s">
        <v>88</v>
      </c>
      <c r="L273" s="9" t="s">
        <v>60</v>
      </c>
      <c r="M273" s="9">
        <v>3.0</v>
      </c>
      <c r="N273" s="9">
        <v>7.0</v>
      </c>
      <c r="O273" s="9">
        <v>1.0</v>
      </c>
      <c r="P273" s="9">
        <v>1350.0</v>
      </c>
      <c r="Q273" s="9">
        <v>101.0</v>
      </c>
      <c r="R273" s="9">
        <v>210.0</v>
      </c>
      <c r="S273" s="3">
        <f t="shared" si="1"/>
        <v>1.956521739</v>
      </c>
    </row>
    <row r="274" ht="16.5" customHeight="1">
      <c r="A274" s="9" t="s">
        <v>209</v>
      </c>
      <c r="B274" s="16">
        <v>45976.0</v>
      </c>
      <c r="C274" s="9" t="s">
        <v>49</v>
      </c>
      <c r="D274" s="9" t="s">
        <v>69</v>
      </c>
      <c r="E274" s="9">
        <v>690.0</v>
      </c>
      <c r="F274" s="9" t="s">
        <v>51</v>
      </c>
      <c r="G274" s="9" t="s">
        <v>58</v>
      </c>
      <c r="H274" s="9" t="s">
        <v>58</v>
      </c>
      <c r="I274" s="9" t="s">
        <v>53</v>
      </c>
      <c r="J274" s="9" t="s">
        <v>88</v>
      </c>
      <c r="K274" s="9" t="s">
        <v>70</v>
      </c>
      <c r="L274" s="9" t="s">
        <v>61</v>
      </c>
      <c r="M274" s="9">
        <v>7.0</v>
      </c>
      <c r="N274" s="9">
        <v>10.0</v>
      </c>
      <c r="O274" s="9">
        <v>0.0</v>
      </c>
      <c r="P274" s="9">
        <v>1720.0</v>
      </c>
      <c r="Q274" s="9">
        <v>147.0</v>
      </c>
      <c r="R274" s="9">
        <v>243.0</v>
      </c>
      <c r="S274" s="3">
        <f t="shared" si="1"/>
        <v>2.492753623</v>
      </c>
    </row>
    <row r="275" ht="16.5" customHeight="1">
      <c r="A275" s="9" t="s">
        <v>209</v>
      </c>
      <c r="B275" s="16">
        <v>45976.0</v>
      </c>
      <c r="C275" s="9" t="s">
        <v>49</v>
      </c>
      <c r="D275" s="9" t="s">
        <v>69</v>
      </c>
      <c r="E275" s="9">
        <v>690.0</v>
      </c>
      <c r="F275" s="9" t="s">
        <v>51</v>
      </c>
      <c r="G275" s="9" t="s">
        <v>58</v>
      </c>
      <c r="H275" s="9" t="s">
        <v>58</v>
      </c>
      <c r="I275" s="9" t="s">
        <v>53</v>
      </c>
      <c r="J275" s="9" t="s">
        <v>88</v>
      </c>
      <c r="K275" s="9" t="s">
        <v>70</v>
      </c>
      <c r="L275" s="9" t="s">
        <v>77</v>
      </c>
      <c r="M275" s="9">
        <v>3.0</v>
      </c>
      <c r="N275" s="9">
        <v>10.0</v>
      </c>
      <c r="O275" s="9">
        <v>0.0</v>
      </c>
      <c r="P275" s="9">
        <v>1761.0</v>
      </c>
      <c r="Q275" s="9">
        <v>96.0</v>
      </c>
      <c r="R275" s="9">
        <v>243.0</v>
      </c>
      <c r="S275" s="3">
        <f t="shared" si="1"/>
        <v>2.552173913</v>
      </c>
    </row>
    <row r="276" ht="16.5" customHeight="1">
      <c r="A276" s="9" t="s">
        <v>210</v>
      </c>
      <c r="B276" s="16">
        <v>45976.0</v>
      </c>
      <c r="C276" s="9" t="s">
        <v>49</v>
      </c>
      <c r="D276" s="9" t="s">
        <v>211</v>
      </c>
      <c r="E276" s="9">
        <v>685.0</v>
      </c>
      <c r="F276" s="9" t="s">
        <v>51</v>
      </c>
      <c r="G276" s="9" t="s">
        <v>52</v>
      </c>
      <c r="H276" s="9" t="s">
        <v>52</v>
      </c>
      <c r="I276" s="9" t="s">
        <v>53</v>
      </c>
      <c r="J276" s="9" t="s">
        <v>70</v>
      </c>
      <c r="K276" s="9" t="s">
        <v>88</v>
      </c>
      <c r="L276" s="9" t="s">
        <v>55</v>
      </c>
      <c r="M276" s="9">
        <v>8.0</v>
      </c>
      <c r="N276" s="9">
        <v>10.0</v>
      </c>
      <c r="O276" s="9">
        <v>0.0</v>
      </c>
      <c r="P276" s="9">
        <v>726.0</v>
      </c>
      <c r="Q276" s="9">
        <v>129.0</v>
      </c>
      <c r="R276" s="9">
        <v>230.0</v>
      </c>
      <c r="S276" s="3">
        <f t="shared" si="1"/>
        <v>1.059854015</v>
      </c>
    </row>
    <row r="277" ht="16.5" customHeight="1">
      <c r="A277" s="9" t="s">
        <v>210</v>
      </c>
      <c r="B277" s="16">
        <v>45976.0</v>
      </c>
      <c r="C277" s="9" t="s">
        <v>49</v>
      </c>
      <c r="D277" s="9" t="s">
        <v>211</v>
      </c>
      <c r="E277" s="9">
        <v>685.0</v>
      </c>
      <c r="F277" s="9" t="s">
        <v>51</v>
      </c>
      <c r="G277" s="9" t="s">
        <v>52</v>
      </c>
      <c r="H277" s="9" t="s">
        <v>52</v>
      </c>
      <c r="I277" s="9" t="s">
        <v>53</v>
      </c>
      <c r="J277" s="9" t="s">
        <v>70</v>
      </c>
      <c r="K277" s="9" t="s">
        <v>88</v>
      </c>
      <c r="L277" s="9" t="s">
        <v>60</v>
      </c>
      <c r="M277" s="9">
        <v>2.0</v>
      </c>
      <c r="N277" s="9">
        <v>10.0</v>
      </c>
      <c r="O277" s="9">
        <v>0.0</v>
      </c>
      <c r="P277" s="9">
        <v>2263.0</v>
      </c>
      <c r="Q277" s="9">
        <v>101.0</v>
      </c>
      <c r="R277" s="9">
        <v>230.0</v>
      </c>
      <c r="S277" s="3">
        <f t="shared" si="1"/>
        <v>3.303649635</v>
      </c>
    </row>
    <row r="278" ht="16.5" customHeight="1">
      <c r="A278" s="9" t="s">
        <v>210</v>
      </c>
      <c r="B278" s="16">
        <v>45976.0</v>
      </c>
      <c r="C278" s="9" t="s">
        <v>49</v>
      </c>
      <c r="D278" s="9" t="s">
        <v>211</v>
      </c>
      <c r="E278" s="9">
        <v>685.0</v>
      </c>
      <c r="F278" s="9" t="s">
        <v>51</v>
      </c>
      <c r="G278" s="9" t="s">
        <v>52</v>
      </c>
      <c r="H278" s="9" t="s">
        <v>58</v>
      </c>
      <c r="I278" s="9" t="s">
        <v>59</v>
      </c>
      <c r="J278" s="9" t="s">
        <v>88</v>
      </c>
      <c r="K278" s="9" t="s">
        <v>70</v>
      </c>
      <c r="L278" s="9" t="s">
        <v>61</v>
      </c>
      <c r="M278" s="9">
        <v>6.0</v>
      </c>
      <c r="N278" s="9">
        <v>6.0</v>
      </c>
      <c r="O278" s="9">
        <v>0.0</v>
      </c>
      <c r="P278" s="9">
        <v>1793.0</v>
      </c>
      <c r="Q278" s="9">
        <v>133.0</v>
      </c>
      <c r="R278" s="9">
        <v>174.0</v>
      </c>
      <c r="S278" s="3">
        <f t="shared" si="1"/>
        <v>2.617518248</v>
      </c>
    </row>
    <row r="279" ht="16.5" customHeight="1">
      <c r="A279" s="9" t="s">
        <v>210</v>
      </c>
      <c r="B279" s="16">
        <v>45976.0</v>
      </c>
      <c r="C279" s="9" t="s">
        <v>49</v>
      </c>
      <c r="D279" s="9" t="s">
        <v>211</v>
      </c>
      <c r="E279" s="9">
        <v>685.0</v>
      </c>
      <c r="F279" s="9" t="s">
        <v>51</v>
      </c>
      <c r="G279" s="9" t="s">
        <v>52</v>
      </c>
      <c r="H279" s="9" t="s">
        <v>58</v>
      </c>
      <c r="I279" s="9" t="s">
        <v>59</v>
      </c>
      <c r="J279" s="9" t="s">
        <v>88</v>
      </c>
      <c r="K279" s="9" t="s">
        <v>70</v>
      </c>
      <c r="L279" s="9" t="s">
        <v>77</v>
      </c>
      <c r="M279" s="9">
        <v>0.0</v>
      </c>
      <c r="N279" s="9">
        <v>6.0</v>
      </c>
      <c r="O279" s="9">
        <v>0.0</v>
      </c>
      <c r="P279" s="9">
        <v>1139.0</v>
      </c>
      <c r="Q279" s="9">
        <v>41.0</v>
      </c>
      <c r="R279" s="9">
        <v>174.0</v>
      </c>
      <c r="S279" s="3">
        <f t="shared" si="1"/>
        <v>1.662773723</v>
      </c>
    </row>
    <row r="280" ht="16.5" customHeight="1">
      <c r="A280" s="9" t="s">
        <v>212</v>
      </c>
      <c r="B280" s="16">
        <v>45976.0</v>
      </c>
      <c r="C280" s="9" t="s">
        <v>49</v>
      </c>
      <c r="D280" s="9" t="s">
        <v>213</v>
      </c>
      <c r="E280" s="9">
        <v>543.0</v>
      </c>
      <c r="F280" s="9" t="s">
        <v>51</v>
      </c>
      <c r="G280" s="9" t="s">
        <v>58</v>
      </c>
      <c r="H280" s="9" t="s">
        <v>52</v>
      </c>
      <c r="I280" s="9" t="s">
        <v>59</v>
      </c>
      <c r="J280" s="9" t="s">
        <v>76</v>
      </c>
      <c r="K280" s="9" t="s">
        <v>56</v>
      </c>
      <c r="L280" s="9" t="s">
        <v>77</v>
      </c>
      <c r="M280" s="9">
        <v>3.0</v>
      </c>
      <c r="N280" s="9">
        <v>6.0</v>
      </c>
      <c r="O280" s="9">
        <v>0.0</v>
      </c>
      <c r="P280" s="9">
        <v>1671.0</v>
      </c>
      <c r="Q280" s="9">
        <v>96.0</v>
      </c>
      <c r="R280" s="9">
        <v>174.0</v>
      </c>
      <c r="S280" s="3">
        <f t="shared" si="1"/>
        <v>3.077348066</v>
      </c>
    </row>
    <row r="281" ht="16.5" customHeight="1">
      <c r="A281" s="9" t="s">
        <v>212</v>
      </c>
      <c r="B281" s="16">
        <v>45976.0</v>
      </c>
      <c r="C281" s="9" t="s">
        <v>49</v>
      </c>
      <c r="D281" s="9" t="s">
        <v>213</v>
      </c>
      <c r="E281" s="9">
        <v>543.0</v>
      </c>
      <c r="F281" s="9" t="s">
        <v>51</v>
      </c>
      <c r="G281" s="9" t="s">
        <v>58</v>
      </c>
      <c r="H281" s="9" t="s">
        <v>52</v>
      </c>
      <c r="I281" s="9" t="s">
        <v>59</v>
      </c>
      <c r="J281" s="9" t="s">
        <v>76</v>
      </c>
      <c r="K281" s="9" t="s">
        <v>56</v>
      </c>
      <c r="L281" s="9" t="s">
        <v>55</v>
      </c>
      <c r="M281" s="9">
        <v>3.0</v>
      </c>
      <c r="N281" s="9">
        <v>6.0</v>
      </c>
      <c r="O281" s="9">
        <v>1.0</v>
      </c>
      <c r="P281" s="9">
        <v>776.0</v>
      </c>
      <c r="Q281" s="9">
        <v>78.0</v>
      </c>
      <c r="R281" s="9">
        <v>174.0</v>
      </c>
      <c r="S281" s="3">
        <f t="shared" si="1"/>
        <v>1.429097606</v>
      </c>
    </row>
    <row r="282" ht="16.5" customHeight="1">
      <c r="A282" s="9" t="s">
        <v>212</v>
      </c>
      <c r="B282" s="16">
        <v>45976.0</v>
      </c>
      <c r="C282" s="9" t="s">
        <v>49</v>
      </c>
      <c r="D282" s="9" t="s">
        <v>213</v>
      </c>
      <c r="E282" s="9">
        <v>543.0</v>
      </c>
      <c r="F282" s="9" t="s">
        <v>51</v>
      </c>
      <c r="G282" s="9" t="s">
        <v>58</v>
      </c>
      <c r="H282" s="9" t="s">
        <v>58</v>
      </c>
      <c r="I282" s="9" t="s">
        <v>53</v>
      </c>
      <c r="J282" s="9" t="s">
        <v>56</v>
      </c>
      <c r="K282" s="9" t="s">
        <v>76</v>
      </c>
      <c r="L282" s="9" t="s">
        <v>61</v>
      </c>
      <c r="M282" s="9">
        <v>8.0</v>
      </c>
      <c r="N282" s="9">
        <v>10.0</v>
      </c>
      <c r="O282" s="9">
        <v>0.0</v>
      </c>
      <c r="P282" s="9">
        <v>587.0</v>
      </c>
      <c r="Q282" s="9">
        <v>123.0</v>
      </c>
      <c r="R282" s="9">
        <v>196.0</v>
      </c>
      <c r="S282" s="3">
        <f t="shared" si="1"/>
        <v>1.081031308</v>
      </c>
    </row>
    <row r="283" ht="16.5" customHeight="1">
      <c r="A283" s="9" t="s">
        <v>212</v>
      </c>
      <c r="B283" s="16">
        <v>45976.0</v>
      </c>
      <c r="C283" s="9" t="s">
        <v>49</v>
      </c>
      <c r="D283" s="9" t="s">
        <v>213</v>
      </c>
      <c r="E283" s="9">
        <v>543.0</v>
      </c>
      <c r="F283" s="9" t="s">
        <v>51</v>
      </c>
      <c r="G283" s="9" t="s">
        <v>58</v>
      </c>
      <c r="H283" s="9" t="s">
        <v>58</v>
      </c>
      <c r="I283" s="9" t="s">
        <v>53</v>
      </c>
      <c r="J283" s="9" t="s">
        <v>56</v>
      </c>
      <c r="K283" s="9" t="s">
        <v>76</v>
      </c>
      <c r="L283" s="9" t="s">
        <v>60</v>
      </c>
      <c r="M283" s="9">
        <v>2.0</v>
      </c>
      <c r="N283" s="9">
        <v>10.0</v>
      </c>
      <c r="O283" s="9">
        <v>1.0</v>
      </c>
      <c r="P283" s="9">
        <v>1309.0</v>
      </c>
      <c r="Q283" s="9">
        <v>73.0</v>
      </c>
      <c r="R283" s="9">
        <v>196.0</v>
      </c>
      <c r="S283" s="3">
        <f t="shared" si="1"/>
        <v>2.4106814</v>
      </c>
    </row>
    <row r="284" ht="16.5" customHeight="1">
      <c r="A284" s="9" t="s">
        <v>214</v>
      </c>
      <c r="B284" s="16">
        <v>45976.0</v>
      </c>
      <c r="C284" s="9" t="s">
        <v>49</v>
      </c>
      <c r="D284" s="9" t="s">
        <v>215</v>
      </c>
      <c r="E284" s="9">
        <v>629.0</v>
      </c>
      <c r="F284" s="9" t="s">
        <v>51</v>
      </c>
      <c r="G284" s="9" t="s">
        <v>58</v>
      </c>
      <c r="H284" s="9" t="s">
        <v>52</v>
      </c>
      <c r="I284" s="9" t="s">
        <v>59</v>
      </c>
      <c r="J284" s="9" t="s">
        <v>76</v>
      </c>
      <c r="K284" s="9" t="s">
        <v>56</v>
      </c>
      <c r="L284" s="9" t="s">
        <v>55</v>
      </c>
      <c r="M284" s="9">
        <v>5.0</v>
      </c>
      <c r="N284" s="9">
        <v>6.0</v>
      </c>
      <c r="O284" s="9">
        <v>1.0</v>
      </c>
      <c r="P284" s="9">
        <v>738.0</v>
      </c>
      <c r="Q284" s="9">
        <v>116.0</v>
      </c>
      <c r="R284" s="9">
        <v>190.0</v>
      </c>
      <c r="S284" s="3">
        <f t="shared" si="1"/>
        <v>1.173290938</v>
      </c>
    </row>
    <row r="285" ht="16.5" customHeight="1">
      <c r="A285" s="9" t="s">
        <v>214</v>
      </c>
      <c r="B285" s="16">
        <v>45976.0</v>
      </c>
      <c r="C285" s="9" t="s">
        <v>49</v>
      </c>
      <c r="D285" s="9" t="s">
        <v>215</v>
      </c>
      <c r="E285" s="9">
        <v>629.0</v>
      </c>
      <c r="F285" s="9" t="s">
        <v>51</v>
      </c>
      <c r="G285" s="9" t="s">
        <v>58</v>
      </c>
      <c r="H285" s="9" t="s">
        <v>52</v>
      </c>
      <c r="I285" s="9" t="s">
        <v>59</v>
      </c>
      <c r="J285" s="9" t="s">
        <v>76</v>
      </c>
      <c r="K285" s="9" t="s">
        <v>56</v>
      </c>
      <c r="L285" s="9" t="s">
        <v>77</v>
      </c>
      <c r="M285" s="9">
        <v>1.0</v>
      </c>
      <c r="N285" s="9">
        <v>6.0</v>
      </c>
      <c r="O285" s="9">
        <v>0.0</v>
      </c>
      <c r="P285" s="9">
        <v>1705.0</v>
      </c>
      <c r="Q285" s="9">
        <v>74.0</v>
      </c>
      <c r="R285" s="9">
        <v>190.0</v>
      </c>
      <c r="S285" s="3">
        <f t="shared" si="1"/>
        <v>2.710651828</v>
      </c>
    </row>
    <row r="286" ht="16.5" customHeight="1">
      <c r="A286" s="9" t="s">
        <v>214</v>
      </c>
      <c r="B286" s="16">
        <v>45976.0</v>
      </c>
      <c r="C286" s="9" t="s">
        <v>49</v>
      </c>
      <c r="D286" s="9" t="s">
        <v>215</v>
      </c>
      <c r="E286" s="9">
        <v>629.0</v>
      </c>
      <c r="F286" s="9" t="s">
        <v>51</v>
      </c>
      <c r="G286" s="9" t="s">
        <v>58</v>
      </c>
      <c r="H286" s="9" t="s">
        <v>58</v>
      </c>
      <c r="I286" s="9" t="s">
        <v>53</v>
      </c>
      <c r="J286" s="9" t="s">
        <v>56</v>
      </c>
      <c r="K286" s="9" t="s">
        <v>76</v>
      </c>
      <c r="L286" s="9" t="s">
        <v>61</v>
      </c>
      <c r="M286" s="9">
        <v>6.0</v>
      </c>
      <c r="N286" s="9">
        <v>10.0</v>
      </c>
      <c r="O286" s="9">
        <v>0.0</v>
      </c>
      <c r="P286" s="9">
        <v>1665.0</v>
      </c>
      <c r="Q286" s="9">
        <v>130.0</v>
      </c>
      <c r="R286" s="9">
        <v>226.0</v>
      </c>
      <c r="S286" s="3">
        <f t="shared" si="1"/>
        <v>2.647058824</v>
      </c>
    </row>
    <row r="287" ht="16.5" customHeight="1">
      <c r="A287" s="9" t="s">
        <v>214</v>
      </c>
      <c r="B287" s="16">
        <v>45976.0</v>
      </c>
      <c r="C287" s="9" t="s">
        <v>49</v>
      </c>
      <c r="D287" s="9" t="s">
        <v>215</v>
      </c>
      <c r="E287" s="9">
        <v>629.0</v>
      </c>
      <c r="F287" s="9" t="s">
        <v>51</v>
      </c>
      <c r="G287" s="9" t="s">
        <v>58</v>
      </c>
      <c r="H287" s="9" t="s">
        <v>58</v>
      </c>
      <c r="I287" s="9" t="s">
        <v>53</v>
      </c>
      <c r="J287" s="9" t="s">
        <v>56</v>
      </c>
      <c r="K287" s="9" t="s">
        <v>76</v>
      </c>
      <c r="L287" s="9" t="s">
        <v>60</v>
      </c>
      <c r="M287" s="9">
        <v>4.0</v>
      </c>
      <c r="N287" s="9">
        <v>10.0</v>
      </c>
      <c r="O287" s="9">
        <v>0.0</v>
      </c>
      <c r="P287" s="9">
        <v>1208.0</v>
      </c>
      <c r="Q287" s="9">
        <v>96.0</v>
      </c>
      <c r="R287" s="9">
        <v>226.0</v>
      </c>
      <c r="S287" s="3">
        <f t="shared" si="1"/>
        <v>1.920508744</v>
      </c>
    </row>
    <row r="288" ht="16.5" customHeight="1">
      <c r="A288" s="9" t="s">
        <v>216</v>
      </c>
      <c r="B288" s="16">
        <v>45976.0</v>
      </c>
      <c r="C288" s="9" t="s">
        <v>49</v>
      </c>
      <c r="D288" s="9" t="s">
        <v>217</v>
      </c>
      <c r="E288" s="9">
        <v>541.0</v>
      </c>
      <c r="F288" s="9" t="s">
        <v>51</v>
      </c>
      <c r="G288" s="9" t="s">
        <v>52</v>
      </c>
      <c r="H288" s="9" t="s">
        <v>52</v>
      </c>
      <c r="I288" s="9" t="s">
        <v>53</v>
      </c>
      <c r="J288" s="9" t="s">
        <v>76</v>
      </c>
      <c r="K288" s="9" t="s">
        <v>56</v>
      </c>
      <c r="L288" s="9" t="s">
        <v>55</v>
      </c>
      <c r="M288" s="9">
        <v>8.0</v>
      </c>
      <c r="N288" s="9">
        <v>10.0</v>
      </c>
      <c r="O288" s="9">
        <v>0.0</v>
      </c>
      <c r="P288" s="9">
        <v>480.0</v>
      </c>
      <c r="Q288" s="9">
        <v>122.0</v>
      </c>
      <c r="R288" s="9">
        <v>192.0</v>
      </c>
      <c r="S288" s="3">
        <f t="shared" si="1"/>
        <v>0.887245841</v>
      </c>
    </row>
    <row r="289" ht="16.5" customHeight="1">
      <c r="A289" s="9" t="s">
        <v>216</v>
      </c>
      <c r="B289" s="16">
        <v>45976.0</v>
      </c>
      <c r="C289" s="9" t="s">
        <v>49</v>
      </c>
      <c r="D289" s="9" t="s">
        <v>217</v>
      </c>
      <c r="E289" s="9">
        <v>541.0</v>
      </c>
      <c r="F289" s="9" t="s">
        <v>51</v>
      </c>
      <c r="G289" s="9" t="s">
        <v>52</v>
      </c>
      <c r="H289" s="9" t="s">
        <v>52</v>
      </c>
      <c r="I289" s="9" t="s">
        <v>53</v>
      </c>
      <c r="J289" s="9" t="s">
        <v>76</v>
      </c>
      <c r="K289" s="9" t="s">
        <v>56</v>
      </c>
      <c r="L289" s="9" t="s">
        <v>77</v>
      </c>
      <c r="M289" s="9">
        <v>2.0</v>
      </c>
      <c r="N289" s="9">
        <v>10.0</v>
      </c>
      <c r="O289" s="9">
        <v>0.0</v>
      </c>
      <c r="P289" s="9">
        <v>1455.0</v>
      </c>
      <c r="Q289" s="9">
        <v>70.0</v>
      </c>
      <c r="R289" s="9">
        <v>192.0</v>
      </c>
      <c r="S289" s="3">
        <f t="shared" si="1"/>
        <v>2.689463956</v>
      </c>
    </row>
    <row r="290" ht="16.5" customHeight="1">
      <c r="A290" s="9" t="s">
        <v>216</v>
      </c>
      <c r="B290" s="16">
        <v>45976.0</v>
      </c>
      <c r="C290" s="9" t="s">
        <v>49</v>
      </c>
      <c r="D290" s="9" t="s">
        <v>217</v>
      </c>
      <c r="E290" s="9">
        <v>541.0</v>
      </c>
      <c r="F290" s="9" t="s">
        <v>51</v>
      </c>
      <c r="G290" s="9" t="s">
        <v>52</v>
      </c>
      <c r="H290" s="9" t="s">
        <v>58</v>
      </c>
      <c r="I290" s="9" t="s">
        <v>59</v>
      </c>
      <c r="J290" s="9" t="s">
        <v>56</v>
      </c>
      <c r="K290" s="9" t="s">
        <v>76</v>
      </c>
      <c r="L290" s="9" t="s">
        <v>60</v>
      </c>
      <c r="M290" s="9">
        <v>4.0</v>
      </c>
      <c r="N290" s="9">
        <v>7.0</v>
      </c>
      <c r="O290" s="9">
        <v>0.0</v>
      </c>
      <c r="P290" s="9">
        <v>1239.0</v>
      </c>
      <c r="Q290" s="9">
        <v>92.0</v>
      </c>
      <c r="R290" s="9">
        <v>176.0</v>
      </c>
      <c r="S290" s="3">
        <f t="shared" si="1"/>
        <v>2.290203327</v>
      </c>
    </row>
    <row r="291" ht="16.5" customHeight="1">
      <c r="A291" s="9" t="s">
        <v>216</v>
      </c>
      <c r="B291" s="16">
        <v>45976.0</v>
      </c>
      <c r="C291" s="9" t="s">
        <v>49</v>
      </c>
      <c r="D291" s="9" t="s">
        <v>217</v>
      </c>
      <c r="E291" s="9">
        <v>541.0</v>
      </c>
      <c r="F291" s="9" t="s">
        <v>51</v>
      </c>
      <c r="G291" s="9" t="s">
        <v>52</v>
      </c>
      <c r="H291" s="9" t="s">
        <v>58</v>
      </c>
      <c r="I291" s="9" t="s">
        <v>59</v>
      </c>
      <c r="J291" s="9" t="s">
        <v>56</v>
      </c>
      <c r="K291" s="9" t="s">
        <v>76</v>
      </c>
      <c r="L291" s="9" t="s">
        <v>61</v>
      </c>
      <c r="M291" s="9">
        <v>3.0</v>
      </c>
      <c r="N291" s="9">
        <v>7.0</v>
      </c>
      <c r="O291" s="9">
        <v>0.0</v>
      </c>
      <c r="P291" s="9">
        <v>1302.0</v>
      </c>
      <c r="Q291" s="9">
        <v>84.0</v>
      </c>
      <c r="R291" s="9">
        <v>176.0</v>
      </c>
      <c r="S291" s="3">
        <f t="shared" si="1"/>
        <v>2.406654344</v>
      </c>
    </row>
    <row r="292" ht="16.5" customHeight="1">
      <c r="A292" s="9" t="s">
        <v>218</v>
      </c>
      <c r="B292" s="16">
        <v>45976.0</v>
      </c>
      <c r="C292" s="9" t="s">
        <v>49</v>
      </c>
      <c r="D292" s="9" t="s">
        <v>219</v>
      </c>
      <c r="E292" s="9">
        <v>1129.0</v>
      </c>
      <c r="F292" s="9" t="s">
        <v>51</v>
      </c>
      <c r="G292" s="9" t="s">
        <v>58</v>
      </c>
      <c r="H292" s="9" t="s">
        <v>52</v>
      </c>
      <c r="I292" s="9" t="s">
        <v>59</v>
      </c>
      <c r="J292" s="9" t="s">
        <v>76</v>
      </c>
      <c r="K292" s="9" t="s">
        <v>56</v>
      </c>
      <c r="L292" s="9" t="s">
        <v>55</v>
      </c>
      <c r="M292" s="9">
        <v>6.0</v>
      </c>
      <c r="N292" s="9">
        <v>9.0</v>
      </c>
      <c r="O292" s="9">
        <v>1.0</v>
      </c>
      <c r="P292" s="9">
        <v>1181.0</v>
      </c>
      <c r="Q292" s="9">
        <v>155.0</v>
      </c>
      <c r="R292" s="9">
        <v>293.0</v>
      </c>
      <c r="S292" s="3">
        <f t="shared" si="1"/>
        <v>1.046058459</v>
      </c>
    </row>
    <row r="293" ht="16.5" customHeight="1">
      <c r="A293" s="9" t="s">
        <v>218</v>
      </c>
      <c r="B293" s="16">
        <v>45976.0</v>
      </c>
      <c r="C293" s="9" t="s">
        <v>49</v>
      </c>
      <c r="D293" s="9" t="s">
        <v>219</v>
      </c>
      <c r="E293" s="9">
        <v>1129.0</v>
      </c>
      <c r="F293" s="9" t="s">
        <v>51</v>
      </c>
      <c r="G293" s="9" t="s">
        <v>58</v>
      </c>
      <c r="H293" s="9" t="s">
        <v>52</v>
      </c>
      <c r="I293" s="9" t="s">
        <v>59</v>
      </c>
      <c r="J293" s="9" t="s">
        <v>76</v>
      </c>
      <c r="K293" s="9" t="s">
        <v>56</v>
      </c>
      <c r="L293" s="9" t="s">
        <v>77</v>
      </c>
      <c r="M293" s="9">
        <v>3.0</v>
      </c>
      <c r="N293" s="9">
        <v>9.0</v>
      </c>
      <c r="O293" s="9">
        <v>0.0</v>
      </c>
      <c r="P293" s="9">
        <v>2607.0</v>
      </c>
      <c r="Q293" s="9">
        <v>138.0</v>
      </c>
      <c r="R293" s="9">
        <v>293.0</v>
      </c>
      <c r="S293" s="3">
        <f t="shared" si="1"/>
        <v>2.309123118</v>
      </c>
    </row>
    <row r="294" ht="16.5" customHeight="1">
      <c r="A294" s="9" t="s">
        <v>218</v>
      </c>
      <c r="B294" s="16">
        <v>45976.0</v>
      </c>
      <c r="C294" s="9" t="s">
        <v>49</v>
      </c>
      <c r="D294" s="9" t="s">
        <v>219</v>
      </c>
      <c r="E294" s="9">
        <v>1129.0</v>
      </c>
      <c r="F294" s="9" t="s">
        <v>51</v>
      </c>
      <c r="G294" s="9" t="s">
        <v>58</v>
      </c>
      <c r="H294" s="9" t="s">
        <v>58</v>
      </c>
      <c r="I294" s="9" t="s">
        <v>53</v>
      </c>
      <c r="J294" s="9" t="s">
        <v>56</v>
      </c>
      <c r="K294" s="9" t="s">
        <v>76</v>
      </c>
      <c r="L294" s="9" t="s">
        <v>60</v>
      </c>
      <c r="M294" s="9">
        <v>5.0</v>
      </c>
      <c r="N294" s="9">
        <v>10.0</v>
      </c>
      <c r="O294" s="9">
        <v>1.0</v>
      </c>
      <c r="P294" s="9">
        <v>3050.0</v>
      </c>
      <c r="Q294" s="9">
        <v>181.0</v>
      </c>
      <c r="R294" s="9">
        <v>345.0</v>
      </c>
      <c r="S294" s="3">
        <f t="shared" si="1"/>
        <v>2.701505757</v>
      </c>
    </row>
    <row r="295" ht="16.5" customHeight="1">
      <c r="A295" s="9" t="s">
        <v>218</v>
      </c>
      <c r="B295" s="16">
        <v>45976.0</v>
      </c>
      <c r="C295" s="9" t="s">
        <v>49</v>
      </c>
      <c r="D295" s="9" t="s">
        <v>219</v>
      </c>
      <c r="E295" s="9">
        <v>1129.0</v>
      </c>
      <c r="F295" s="9" t="s">
        <v>51</v>
      </c>
      <c r="G295" s="9" t="s">
        <v>58</v>
      </c>
      <c r="H295" s="9" t="s">
        <v>58</v>
      </c>
      <c r="I295" s="9" t="s">
        <v>53</v>
      </c>
      <c r="J295" s="9" t="s">
        <v>56</v>
      </c>
      <c r="K295" s="9" t="s">
        <v>76</v>
      </c>
      <c r="L295" s="9" t="s">
        <v>61</v>
      </c>
      <c r="M295" s="9">
        <v>5.0</v>
      </c>
      <c r="N295" s="9">
        <v>10.0</v>
      </c>
      <c r="O295" s="9">
        <v>0.0</v>
      </c>
      <c r="P295" s="9">
        <v>2590.0</v>
      </c>
      <c r="Q295" s="9">
        <v>164.0</v>
      </c>
      <c r="R295" s="9">
        <v>345.0</v>
      </c>
      <c r="S295" s="3">
        <f t="shared" si="1"/>
        <v>2.294065545</v>
      </c>
    </row>
    <row r="296" ht="16.5" customHeight="1">
      <c r="A296" s="9" t="s">
        <v>220</v>
      </c>
      <c r="B296" s="16">
        <v>45976.0</v>
      </c>
      <c r="C296" s="9" t="s">
        <v>49</v>
      </c>
      <c r="D296" s="9" t="s">
        <v>221</v>
      </c>
      <c r="E296" s="9">
        <v>638.0</v>
      </c>
      <c r="F296" s="9" t="s">
        <v>97</v>
      </c>
      <c r="G296" s="9" t="s">
        <v>52</v>
      </c>
      <c r="H296" s="9" t="s">
        <v>52</v>
      </c>
      <c r="I296" s="9" t="s">
        <v>53</v>
      </c>
      <c r="J296" s="9" t="s">
        <v>116</v>
      </c>
      <c r="K296" s="9" t="s">
        <v>115</v>
      </c>
      <c r="L296" s="9" t="s">
        <v>60</v>
      </c>
      <c r="M296" s="9">
        <v>6.0</v>
      </c>
      <c r="N296" s="9">
        <v>10.0</v>
      </c>
      <c r="O296" s="9">
        <v>0.0</v>
      </c>
      <c r="P296" s="9">
        <v>1545.0</v>
      </c>
      <c r="Q296" s="9">
        <v>129.0</v>
      </c>
      <c r="R296" s="9">
        <v>272.0</v>
      </c>
      <c r="S296" s="3">
        <f t="shared" si="1"/>
        <v>2.421630094</v>
      </c>
    </row>
    <row r="297" ht="16.5" customHeight="1">
      <c r="A297" s="9" t="s">
        <v>220</v>
      </c>
      <c r="B297" s="16">
        <v>45976.0</v>
      </c>
      <c r="C297" s="9" t="s">
        <v>49</v>
      </c>
      <c r="D297" s="9" t="s">
        <v>221</v>
      </c>
      <c r="E297" s="9">
        <v>638.0</v>
      </c>
      <c r="F297" s="9" t="s">
        <v>97</v>
      </c>
      <c r="G297" s="9" t="s">
        <v>52</v>
      </c>
      <c r="H297" s="9" t="s">
        <v>52</v>
      </c>
      <c r="I297" s="9" t="s">
        <v>53</v>
      </c>
      <c r="J297" s="9" t="s">
        <v>116</v>
      </c>
      <c r="K297" s="9" t="s">
        <v>115</v>
      </c>
      <c r="L297" s="9" t="s">
        <v>61</v>
      </c>
      <c r="M297" s="9">
        <v>2.0</v>
      </c>
      <c r="N297" s="9">
        <v>10.0</v>
      </c>
      <c r="O297" s="9">
        <v>1.0</v>
      </c>
      <c r="P297" s="9">
        <v>1543.0</v>
      </c>
      <c r="Q297" s="9">
        <v>85.0</v>
      </c>
      <c r="R297" s="9">
        <v>272.0</v>
      </c>
      <c r="S297" s="3">
        <f t="shared" si="1"/>
        <v>2.418495298</v>
      </c>
    </row>
    <row r="298" ht="16.5" customHeight="1">
      <c r="A298" s="9" t="s">
        <v>220</v>
      </c>
      <c r="B298" s="16">
        <v>45976.0</v>
      </c>
      <c r="C298" s="9" t="s">
        <v>49</v>
      </c>
      <c r="D298" s="9" t="s">
        <v>221</v>
      </c>
      <c r="E298" s="9">
        <v>638.0</v>
      </c>
      <c r="F298" s="9" t="s">
        <v>97</v>
      </c>
      <c r="G298" s="9" t="s">
        <v>52</v>
      </c>
      <c r="H298" s="9" t="s">
        <v>52</v>
      </c>
      <c r="I298" s="9" t="s">
        <v>53</v>
      </c>
      <c r="J298" s="9" t="s">
        <v>116</v>
      </c>
      <c r="K298" s="9" t="s">
        <v>115</v>
      </c>
      <c r="L298" s="9" t="s">
        <v>57</v>
      </c>
      <c r="M298" s="9">
        <v>2.0</v>
      </c>
      <c r="N298" s="9">
        <v>10.0</v>
      </c>
      <c r="O298" s="9">
        <v>1.0</v>
      </c>
      <c r="P298" s="9">
        <v>584.0</v>
      </c>
      <c r="Q298" s="9">
        <v>58.0</v>
      </c>
      <c r="R298" s="9">
        <v>272.0</v>
      </c>
      <c r="S298" s="3">
        <f t="shared" si="1"/>
        <v>0.9153605016</v>
      </c>
    </row>
    <row r="299" ht="16.5" customHeight="1">
      <c r="A299" s="9" t="s">
        <v>220</v>
      </c>
      <c r="B299" s="16">
        <v>45976.0</v>
      </c>
      <c r="C299" s="9" t="s">
        <v>49</v>
      </c>
      <c r="D299" s="9" t="s">
        <v>221</v>
      </c>
      <c r="E299" s="9">
        <v>638.0</v>
      </c>
      <c r="F299" s="9" t="s">
        <v>97</v>
      </c>
      <c r="G299" s="9" t="s">
        <v>52</v>
      </c>
      <c r="H299" s="9" t="s">
        <v>58</v>
      </c>
      <c r="I299" s="9" t="s">
        <v>59</v>
      </c>
      <c r="J299" s="9" t="s">
        <v>115</v>
      </c>
      <c r="K299" s="9" t="s">
        <v>116</v>
      </c>
      <c r="L299" s="9" t="s">
        <v>55</v>
      </c>
      <c r="M299" s="9">
        <v>2.0</v>
      </c>
      <c r="N299" s="9">
        <v>6.0</v>
      </c>
      <c r="O299" s="9">
        <v>1.0</v>
      </c>
      <c r="P299" s="9">
        <v>1788.0</v>
      </c>
      <c r="Q299" s="9">
        <v>98.0</v>
      </c>
      <c r="R299" s="9">
        <v>233.0</v>
      </c>
      <c r="S299" s="3">
        <f t="shared" si="1"/>
        <v>2.802507837</v>
      </c>
    </row>
    <row r="300" ht="16.5" customHeight="1">
      <c r="A300" s="9" t="s">
        <v>220</v>
      </c>
      <c r="B300" s="16">
        <v>45976.0</v>
      </c>
      <c r="C300" s="9" t="s">
        <v>49</v>
      </c>
      <c r="D300" s="9" t="s">
        <v>221</v>
      </c>
      <c r="E300" s="9">
        <v>638.0</v>
      </c>
      <c r="F300" s="9" t="s">
        <v>97</v>
      </c>
      <c r="G300" s="9" t="s">
        <v>52</v>
      </c>
      <c r="H300" s="9" t="s">
        <v>58</v>
      </c>
      <c r="I300" s="9" t="s">
        <v>59</v>
      </c>
      <c r="J300" s="9" t="s">
        <v>115</v>
      </c>
      <c r="K300" s="9" t="s">
        <v>116</v>
      </c>
      <c r="L300" s="9" t="s">
        <v>77</v>
      </c>
      <c r="M300" s="9">
        <v>2.0</v>
      </c>
      <c r="N300" s="9">
        <v>6.0</v>
      </c>
      <c r="O300" s="9">
        <v>0.0</v>
      </c>
      <c r="P300" s="9">
        <v>1931.0</v>
      </c>
      <c r="Q300" s="9">
        <v>87.0</v>
      </c>
      <c r="R300" s="9">
        <v>233.0</v>
      </c>
      <c r="S300" s="3">
        <f t="shared" si="1"/>
        <v>3.026645768</v>
      </c>
    </row>
    <row r="301" ht="16.5" customHeight="1">
      <c r="A301" s="9" t="s">
        <v>220</v>
      </c>
      <c r="B301" s="16">
        <v>45976.0</v>
      </c>
      <c r="C301" s="9" t="s">
        <v>49</v>
      </c>
      <c r="D301" s="9" t="s">
        <v>221</v>
      </c>
      <c r="E301" s="9">
        <v>638.0</v>
      </c>
      <c r="F301" s="9" t="s">
        <v>97</v>
      </c>
      <c r="G301" s="9" t="s">
        <v>52</v>
      </c>
      <c r="H301" s="9" t="s">
        <v>58</v>
      </c>
      <c r="I301" s="9" t="s">
        <v>59</v>
      </c>
      <c r="J301" s="9" t="s">
        <v>115</v>
      </c>
      <c r="K301" s="9" t="s">
        <v>116</v>
      </c>
      <c r="L301" s="9" t="s">
        <v>100</v>
      </c>
      <c r="M301" s="9">
        <v>2.0</v>
      </c>
      <c r="N301" s="9">
        <v>6.0</v>
      </c>
      <c r="O301" s="9">
        <v>0.0</v>
      </c>
      <c r="P301" s="9">
        <v>506.0</v>
      </c>
      <c r="Q301" s="9">
        <v>48.0</v>
      </c>
      <c r="R301" s="9">
        <v>233.0</v>
      </c>
      <c r="S301" s="3">
        <f t="shared" si="1"/>
        <v>0.7931034483</v>
      </c>
    </row>
    <row r="302" ht="16.5" customHeight="1">
      <c r="A302" s="9" t="s">
        <v>222</v>
      </c>
      <c r="B302" s="16">
        <v>45976.0</v>
      </c>
      <c r="C302" s="9" t="s">
        <v>49</v>
      </c>
      <c r="D302" s="9" t="s">
        <v>223</v>
      </c>
      <c r="E302" s="9">
        <v>824.0</v>
      </c>
      <c r="F302" s="9" t="s">
        <v>97</v>
      </c>
      <c r="G302" s="9" t="s">
        <v>58</v>
      </c>
      <c r="H302" s="9" t="s">
        <v>52</v>
      </c>
      <c r="I302" s="9" t="s">
        <v>59</v>
      </c>
      <c r="J302" s="9" t="s">
        <v>115</v>
      </c>
      <c r="K302" s="9" t="s">
        <v>116</v>
      </c>
      <c r="L302" s="9" t="s">
        <v>55</v>
      </c>
      <c r="M302" s="9">
        <v>3.0</v>
      </c>
      <c r="N302" s="9">
        <v>6.0</v>
      </c>
      <c r="O302" s="9">
        <v>0.0</v>
      </c>
      <c r="P302" s="9">
        <v>2808.0</v>
      </c>
      <c r="Q302" s="9">
        <v>130.0</v>
      </c>
      <c r="R302" s="9">
        <v>334.0</v>
      </c>
      <c r="S302" s="3">
        <f t="shared" si="1"/>
        <v>3.40776699</v>
      </c>
    </row>
    <row r="303" ht="16.5" customHeight="1">
      <c r="A303" s="9" t="s">
        <v>222</v>
      </c>
      <c r="B303" s="16">
        <v>45976.0</v>
      </c>
      <c r="C303" s="9" t="s">
        <v>49</v>
      </c>
      <c r="D303" s="9" t="s">
        <v>223</v>
      </c>
      <c r="E303" s="9">
        <v>824.0</v>
      </c>
      <c r="F303" s="9" t="s">
        <v>97</v>
      </c>
      <c r="G303" s="9" t="s">
        <v>58</v>
      </c>
      <c r="H303" s="9" t="s">
        <v>52</v>
      </c>
      <c r="I303" s="9" t="s">
        <v>59</v>
      </c>
      <c r="J303" s="9" t="s">
        <v>115</v>
      </c>
      <c r="K303" s="9" t="s">
        <v>116</v>
      </c>
      <c r="L303" s="9" t="s">
        <v>77</v>
      </c>
      <c r="M303" s="9">
        <v>1.0</v>
      </c>
      <c r="N303" s="9">
        <v>6.0</v>
      </c>
      <c r="O303" s="9">
        <v>0.0</v>
      </c>
      <c r="P303" s="9">
        <v>3172.0</v>
      </c>
      <c r="Q303" s="9">
        <v>124.0</v>
      </c>
      <c r="R303" s="9">
        <v>334.0</v>
      </c>
      <c r="S303" s="3">
        <f t="shared" si="1"/>
        <v>3.849514563</v>
      </c>
    </row>
    <row r="304" ht="16.5" customHeight="1">
      <c r="A304" s="9" t="s">
        <v>222</v>
      </c>
      <c r="B304" s="16">
        <v>45976.0</v>
      </c>
      <c r="C304" s="9" t="s">
        <v>49</v>
      </c>
      <c r="D304" s="9" t="s">
        <v>223</v>
      </c>
      <c r="E304" s="9">
        <v>824.0</v>
      </c>
      <c r="F304" s="9" t="s">
        <v>97</v>
      </c>
      <c r="G304" s="9" t="s">
        <v>58</v>
      </c>
      <c r="H304" s="9" t="s">
        <v>52</v>
      </c>
      <c r="I304" s="9" t="s">
        <v>59</v>
      </c>
      <c r="J304" s="9" t="s">
        <v>115</v>
      </c>
      <c r="K304" s="9" t="s">
        <v>116</v>
      </c>
      <c r="L304" s="9" t="s">
        <v>100</v>
      </c>
      <c r="M304" s="9">
        <v>2.0</v>
      </c>
      <c r="N304" s="9">
        <v>6.0</v>
      </c>
      <c r="O304" s="9">
        <v>0.0</v>
      </c>
      <c r="P304" s="9">
        <v>1286.0</v>
      </c>
      <c r="Q304" s="9">
        <v>80.0</v>
      </c>
      <c r="R304" s="9">
        <v>334.0</v>
      </c>
      <c r="S304" s="3">
        <f t="shared" si="1"/>
        <v>1.560679612</v>
      </c>
    </row>
    <row r="305" ht="16.5" customHeight="1">
      <c r="A305" s="9" t="s">
        <v>222</v>
      </c>
      <c r="B305" s="16">
        <v>45976.0</v>
      </c>
      <c r="C305" s="9" t="s">
        <v>49</v>
      </c>
      <c r="D305" s="9" t="s">
        <v>223</v>
      </c>
      <c r="E305" s="9">
        <v>824.0</v>
      </c>
      <c r="F305" s="9" t="s">
        <v>97</v>
      </c>
      <c r="G305" s="9" t="s">
        <v>58</v>
      </c>
      <c r="H305" s="9" t="s">
        <v>58</v>
      </c>
      <c r="I305" s="9" t="s">
        <v>53</v>
      </c>
      <c r="J305" s="9" t="s">
        <v>116</v>
      </c>
      <c r="K305" s="9" t="s">
        <v>115</v>
      </c>
      <c r="L305" s="9" t="s">
        <v>57</v>
      </c>
      <c r="M305" s="9">
        <v>5.0</v>
      </c>
      <c r="N305" s="9">
        <v>10.0</v>
      </c>
      <c r="O305" s="9">
        <v>0.0</v>
      </c>
      <c r="P305" s="9">
        <v>1542.0</v>
      </c>
      <c r="Q305" s="9">
        <v>138.0</v>
      </c>
      <c r="R305" s="9">
        <v>366.0</v>
      </c>
      <c r="S305" s="3">
        <f t="shared" si="1"/>
        <v>1.871359223</v>
      </c>
    </row>
    <row r="306" ht="16.5" customHeight="1">
      <c r="A306" s="9" t="s">
        <v>222</v>
      </c>
      <c r="B306" s="16">
        <v>45976.0</v>
      </c>
      <c r="C306" s="9" t="s">
        <v>49</v>
      </c>
      <c r="D306" s="9" t="s">
        <v>223</v>
      </c>
      <c r="E306" s="9">
        <v>824.0</v>
      </c>
      <c r="F306" s="9" t="s">
        <v>97</v>
      </c>
      <c r="G306" s="9" t="s">
        <v>58</v>
      </c>
      <c r="H306" s="9" t="s">
        <v>58</v>
      </c>
      <c r="I306" s="9" t="s">
        <v>53</v>
      </c>
      <c r="J306" s="9" t="s">
        <v>116</v>
      </c>
      <c r="K306" s="9" t="s">
        <v>115</v>
      </c>
      <c r="L306" s="9" t="s">
        <v>61</v>
      </c>
      <c r="M306" s="9">
        <v>3.0</v>
      </c>
      <c r="N306" s="9">
        <v>10.0</v>
      </c>
      <c r="O306" s="9">
        <v>0.0</v>
      </c>
      <c r="P306" s="9">
        <v>2169.0</v>
      </c>
      <c r="Q306" s="9">
        <v>120.0</v>
      </c>
      <c r="R306" s="9">
        <v>366.0</v>
      </c>
      <c r="S306" s="3">
        <f t="shared" si="1"/>
        <v>2.632281553</v>
      </c>
    </row>
    <row r="307" ht="16.5" customHeight="1">
      <c r="A307" s="9" t="s">
        <v>222</v>
      </c>
      <c r="B307" s="16">
        <v>45976.0</v>
      </c>
      <c r="C307" s="9" t="s">
        <v>49</v>
      </c>
      <c r="D307" s="9" t="s">
        <v>223</v>
      </c>
      <c r="E307" s="9">
        <v>824.0</v>
      </c>
      <c r="F307" s="9" t="s">
        <v>97</v>
      </c>
      <c r="G307" s="9" t="s">
        <v>58</v>
      </c>
      <c r="H307" s="9" t="s">
        <v>58</v>
      </c>
      <c r="I307" s="9" t="s">
        <v>53</v>
      </c>
      <c r="J307" s="9" t="s">
        <v>116</v>
      </c>
      <c r="K307" s="9" t="s">
        <v>115</v>
      </c>
      <c r="L307" s="9" t="s">
        <v>60</v>
      </c>
      <c r="M307" s="9">
        <v>2.0</v>
      </c>
      <c r="N307" s="9">
        <v>10.0</v>
      </c>
      <c r="O307" s="9">
        <v>0.0</v>
      </c>
      <c r="P307" s="9">
        <v>2645.0</v>
      </c>
      <c r="Q307" s="9">
        <v>108.0</v>
      </c>
      <c r="R307" s="9">
        <v>366.0</v>
      </c>
      <c r="S307" s="3">
        <f t="shared" si="1"/>
        <v>3.209951456</v>
      </c>
    </row>
    <row r="308" ht="16.5" customHeight="1">
      <c r="A308" s="9" t="s">
        <v>224</v>
      </c>
      <c r="B308" s="16">
        <v>45976.0</v>
      </c>
      <c r="C308" s="9" t="s">
        <v>49</v>
      </c>
      <c r="D308" s="9" t="s">
        <v>225</v>
      </c>
      <c r="E308" s="9">
        <v>795.0</v>
      </c>
      <c r="F308" s="9" t="s">
        <v>97</v>
      </c>
      <c r="G308" s="9" t="s">
        <v>58</v>
      </c>
      <c r="H308" s="9" t="s">
        <v>52</v>
      </c>
      <c r="I308" s="9" t="s">
        <v>59</v>
      </c>
      <c r="J308" s="9" t="s">
        <v>103</v>
      </c>
      <c r="K308" s="9" t="s">
        <v>104</v>
      </c>
      <c r="L308" s="9" t="s">
        <v>55</v>
      </c>
      <c r="M308" s="9">
        <v>5.0</v>
      </c>
      <c r="N308" s="9">
        <v>8.0</v>
      </c>
      <c r="O308" s="9">
        <v>0.0</v>
      </c>
      <c r="P308" s="9">
        <v>2931.0</v>
      </c>
      <c r="Q308" s="9">
        <v>158.0</v>
      </c>
      <c r="R308" s="9">
        <v>323.0</v>
      </c>
      <c r="S308" s="3">
        <f t="shared" si="1"/>
        <v>3.686792453</v>
      </c>
    </row>
    <row r="309" ht="16.5" customHeight="1">
      <c r="A309" s="9" t="s">
        <v>224</v>
      </c>
      <c r="B309" s="16">
        <v>45976.0</v>
      </c>
      <c r="C309" s="9" t="s">
        <v>49</v>
      </c>
      <c r="D309" s="9" t="s">
        <v>225</v>
      </c>
      <c r="E309" s="9">
        <v>795.0</v>
      </c>
      <c r="F309" s="9" t="s">
        <v>97</v>
      </c>
      <c r="G309" s="9" t="s">
        <v>58</v>
      </c>
      <c r="H309" s="9" t="s">
        <v>52</v>
      </c>
      <c r="I309" s="9" t="s">
        <v>59</v>
      </c>
      <c r="J309" s="9" t="s">
        <v>103</v>
      </c>
      <c r="K309" s="9" t="s">
        <v>104</v>
      </c>
      <c r="L309" s="9" t="s">
        <v>57</v>
      </c>
      <c r="M309" s="9">
        <v>3.0</v>
      </c>
      <c r="N309" s="9">
        <v>8.0</v>
      </c>
      <c r="O309" s="9">
        <v>0.0</v>
      </c>
      <c r="P309" s="9">
        <v>1117.0</v>
      </c>
      <c r="Q309" s="9">
        <v>109.0</v>
      </c>
      <c r="R309" s="9">
        <v>323.0</v>
      </c>
      <c r="S309" s="3">
        <f t="shared" si="1"/>
        <v>1.405031447</v>
      </c>
    </row>
    <row r="310" ht="16.5" customHeight="1">
      <c r="A310" s="9" t="s">
        <v>224</v>
      </c>
      <c r="B310" s="16">
        <v>45976.0</v>
      </c>
      <c r="C310" s="9" t="s">
        <v>49</v>
      </c>
      <c r="D310" s="9" t="s">
        <v>225</v>
      </c>
      <c r="E310" s="9">
        <v>795.0</v>
      </c>
      <c r="F310" s="9" t="s">
        <v>97</v>
      </c>
      <c r="G310" s="9" t="s">
        <v>58</v>
      </c>
      <c r="H310" s="9" t="s">
        <v>52</v>
      </c>
      <c r="I310" s="9" t="s">
        <v>59</v>
      </c>
      <c r="J310" s="9" t="s">
        <v>103</v>
      </c>
      <c r="K310" s="9" t="s">
        <v>104</v>
      </c>
      <c r="L310" s="9" t="s">
        <v>77</v>
      </c>
      <c r="M310" s="9">
        <v>0.0</v>
      </c>
      <c r="N310" s="9">
        <v>8.0</v>
      </c>
      <c r="O310" s="9">
        <v>0.0</v>
      </c>
      <c r="P310" s="9">
        <v>1759.0</v>
      </c>
      <c r="Q310" s="9">
        <v>56.0</v>
      </c>
      <c r="R310" s="9">
        <v>323.0</v>
      </c>
      <c r="S310" s="3">
        <f t="shared" si="1"/>
        <v>2.212578616</v>
      </c>
    </row>
    <row r="311" ht="16.5" customHeight="1">
      <c r="A311" s="9" t="s">
        <v>224</v>
      </c>
      <c r="B311" s="16">
        <v>45976.0</v>
      </c>
      <c r="C311" s="9" t="s">
        <v>49</v>
      </c>
      <c r="D311" s="9" t="s">
        <v>225</v>
      </c>
      <c r="E311" s="9">
        <v>795.0</v>
      </c>
      <c r="F311" s="9" t="s">
        <v>97</v>
      </c>
      <c r="G311" s="9" t="s">
        <v>58</v>
      </c>
      <c r="H311" s="9" t="s">
        <v>58</v>
      </c>
      <c r="I311" s="9" t="s">
        <v>53</v>
      </c>
      <c r="J311" s="9" t="s">
        <v>104</v>
      </c>
      <c r="K311" s="9" t="s">
        <v>103</v>
      </c>
      <c r="L311" s="9" t="s">
        <v>61</v>
      </c>
      <c r="M311" s="9">
        <v>5.0</v>
      </c>
      <c r="N311" s="9">
        <v>10.0</v>
      </c>
      <c r="O311" s="9">
        <v>0.0</v>
      </c>
      <c r="P311" s="9">
        <v>2399.0</v>
      </c>
      <c r="Q311" s="9">
        <v>145.0</v>
      </c>
      <c r="R311" s="9">
        <v>335.0</v>
      </c>
      <c r="S311" s="3">
        <f t="shared" si="1"/>
        <v>3.017610063</v>
      </c>
    </row>
    <row r="312" ht="16.5" customHeight="1">
      <c r="A312" s="9" t="s">
        <v>224</v>
      </c>
      <c r="B312" s="16">
        <v>45976.0</v>
      </c>
      <c r="C312" s="9" t="s">
        <v>49</v>
      </c>
      <c r="D312" s="9" t="s">
        <v>225</v>
      </c>
      <c r="E312" s="9">
        <v>795.0</v>
      </c>
      <c r="F312" s="9" t="s">
        <v>97</v>
      </c>
      <c r="G312" s="9" t="s">
        <v>58</v>
      </c>
      <c r="H312" s="9" t="s">
        <v>58</v>
      </c>
      <c r="I312" s="9" t="s">
        <v>53</v>
      </c>
      <c r="J312" s="9" t="s">
        <v>104</v>
      </c>
      <c r="K312" s="9" t="s">
        <v>103</v>
      </c>
      <c r="L312" s="9" t="s">
        <v>60</v>
      </c>
      <c r="M312" s="9">
        <v>2.0</v>
      </c>
      <c r="N312" s="9">
        <v>10.0</v>
      </c>
      <c r="O312" s="9">
        <v>0.0</v>
      </c>
      <c r="P312" s="9">
        <v>2455.0</v>
      </c>
      <c r="Q312" s="9">
        <v>105.0</v>
      </c>
      <c r="R312" s="9">
        <v>335.0</v>
      </c>
      <c r="S312" s="3">
        <f t="shared" si="1"/>
        <v>3.088050314</v>
      </c>
    </row>
    <row r="313" ht="16.5" customHeight="1">
      <c r="A313" s="9" t="s">
        <v>224</v>
      </c>
      <c r="B313" s="16">
        <v>45976.0</v>
      </c>
      <c r="C313" s="9" t="s">
        <v>49</v>
      </c>
      <c r="D313" s="9" t="s">
        <v>225</v>
      </c>
      <c r="E313" s="9">
        <v>795.0</v>
      </c>
      <c r="F313" s="9" t="s">
        <v>97</v>
      </c>
      <c r="G313" s="9" t="s">
        <v>58</v>
      </c>
      <c r="H313" s="9" t="s">
        <v>58</v>
      </c>
      <c r="I313" s="9" t="s">
        <v>53</v>
      </c>
      <c r="J313" s="9" t="s">
        <v>104</v>
      </c>
      <c r="K313" s="9" t="s">
        <v>103</v>
      </c>
      <c r="L313" s="9" t="s">
        <v>100</v>
      </c>
      <c r="M313" s="9">
        <v>3.0</v>
      </c>
      <c r="N313" s="9">
        <v>10.0</v>
      </c>
      <c r="O313" s="9">
        <v>0.0</v>
      </c>
      <c r="P313" s="9">
        <v>1327.0</v>
      </c>
      <c r="Q313" s="9">
        <v>85.0</v>
      </c>
      <c r="R313" s="9">
        <v>335.0</v>
      </c>
      <c r="S313" s="3">
        <f t="shared" si="1"/>
        <v>1.66918239</v>
      </c>
    </row>
    <row r="314" ht="16.5" customHeight="1">
      <c r="A314" s="9" t="s">
        <v>226</v>
      </c>
      <c r="B314" s="16">
        <v>45976.0</v>
      </c>
      <c r="C314" s="9" t="s">
        <v>49</v>
      </c>
      <c r="D314" s="9" t="s">
        <v>227</v>
      </c>
      <c r="E314" s="9">
        <v>859.0</v>
      </c>
      <c r="F314" s="9" t="s">
        <v>97</v>
      </c>
      <c r="G314" s="9" t="s">
        <v>58</v>
      </c>
      <c r="H314" s="9" t="s">
        <v>52</v>
      </c>
      <c r="I314" s="9" t="s">
        <v>59</v>
      </c>
      <c r="J314" s="9" t="s">
        <v>111</v>
      </c>
      <c r="K314" s="9" t="s">
        <v>112</v>
      </c>
      <c r="L314" s="9" t="s">
        <v>55</v>
      </c>
      <c r="M314" s="9">
        <v>2.0</v>
      </c>
      <c r="N314" s="9">
        <v>5.0</v>
      </c>
      <c r="O314" s="9">
        <v>1.0</v>
      </c>
      <c r="P314" s="9">
        <v>2503.0</v>
      </c>
      <c r="Q314" s="9">
        <v>130.0</v>
      </c>
      <c r="R314" s="9">
        <v>367.0</v>
      </c>
      <c r="S314" s="3">
        <f t="shared" si="1"/>
        <v>2.913853318</v>
      </c>
    </row>
    <row r="315" ht="16.5" customHeight="1">
      <c r="A315" s="9" t="s">
        <v>226</v>
      </c>
      <c r="B315" s="16">
        <v>45976.0</v>
      </c>
      <c r="C315" s="9" t="s">
        <v>49</v>
      </c>
      <c r="D315" s="9" t="s">
        <v>227</v>
      </c>
      <c r="E315" s="9">
        <v>859.0</v>
      </c>
      <c r="F315" s="9" t="s">
        <v>97</v>
      </c>
      <c r="G315" s="9" t="s">
        <v>58</v>
      </c>
      <c r="H315" s="9" t="s">
        <v>52</v>
      </c>
      <c r="I315" s="9" t="s">
        <v>59</v>
      </c>
      <c r="J315" s="9" t="s">
        <v>111</v>
      </c>
      <c r="K315" s="9" t="s">
        <v>112</v>
      </c>
      <c r="L315" s="9" t="s">
        <v>100</v>
      </c>
      <c r="M315" s="9">
        <v>3.0</v>
      </c>
      <c r="N315" s="9">
        <v>5.0</v>
      </c>
      <c r="O315" s="9">
        <v>0.0</v>
      </c>
      <c r="P315" s="9">
        <v>2131.0</v>
      </c>
      <c r="Q315" s="9">
        <v>122.0</v>
      </c>
      <c r="R315" s="9">
        <v>367.0</v>
      </c>
      <c r="S315" s="3">
        <f t="shared" si="1"/>
        <v>2.480791618</v>
      </c>
    </row>
    <row r="316" ht="16.5" customHeight="1">
      <c r="A316" s="9" t="s">
        <v>226</v>
      </c>
      <c r="B316" s="16">
        <v>45976.0</v>
      </c>
      <c r="C316" s="9" t="s">
        <v>49</v>
      </c>
      <c r="D316" s="9" t="s">
        <v>227</v>
      </c>
      <c r="E316" s="9">
        <v>859.0</v>
      </c>
      <c r="F316" s="9" t="s">
        <v>97</v>
      </c>
      <c r="G316" s="9" t="s">
        <v>58</v>
      </c>
      <c r="H316" s="9" t="s">
        <v>52</v>
      </c>
      <c r="I316" s="9" t="s">
        <v>59</v>
      </c>
      <c r="J316" s="9" t="s">
        <v>111</v>
      </c>
      <c r="K316" s="9" t="s">
        <v>112</v>
      </c>
      <c r="L316" s="9" t="s">
        <v>57</v>
      </c>
      <c r="M316" s="9">
        <v>0.0</v>
      </c>
      <c r="N316" s="9">
        <v>5.0</v>
      </c>
      <c r="O316" s="9">
        <v>1.0</v>
      </c>
      <c r="P316" s="9">
        <v>2452.0</v>
      </c>
      <c r="Q316" s="9">
        <v>115.0</v>
      </c>
      <c r="R316" s="9">
        <v>367.0</v>
      </c>
      <c r="S316" s="3">
        <f t="shared" si="1"/>
        <v>2.854481956</v>
      </c>
    </row>
    <row r="317" ht="16.5" customHeight="1">
      <c r="A317" s="9" t="s">
        <v>226</v>
      </c>
      <c r="B317" s="16">
        <v>45976.0</v>
      </c>
      <c r="C317" s="9" t="s">
        <v>49</v>
      </c>
      <c r="D317" s="9" t="s">
        <v>227</v>
      </c>
      <c r="E317" s="9">
        <v>859.0</v>
      </c>
      <c r="F317" s="9" t="s">
        <v>97</v>
      </c>
      <c r="G317" s="9" t="s">
        <v>58</v>
      </c>
      <c r="H317" s="9" t="s">
        <v>58</v>
      </c>
      <c r="I317" s="9" t="s">
        <v>53</v>
      </c>
      <c r="J317" s="9" t="s">
        <v>112</v>
      </c>
      <c r="K317" s="9" t="s">
        <v>111</v>
      </c>
      <c r="L317" s="9" t="s">
        <v>60</v>
      </c>
      <c r="M317" s="9">
        <v>4.0</v>
      </c>
      <c r="N317" s="9">
        <v>10.0</v>
      </c>
      <c r="O317" s="9">
        <v>0.0</v>
      </c>
      <c r="P317" s="9">
        <v>3541.0</v>
      </c>
      <c r="Q317" s="9">
        <v>185.0</v>
      </c>
      <c r="R317" s="9">
        <v>467.0</v>
      </c>
      <c r="S317" s="3">
        <f t="shared" si="1"/>
        <v>4.122235157</v>
      </c>
    </row>
    <row r="318" ht="16.5" customHeight="1">
      <c r="A318" s="9" t="s">
        <v>226</v>
      </c>
      <c r="B318" s="16">
        <v>45976.0</v>
      </c>
      <c r="C318" s="9" t="s">
        <v>49</v>
      </c>
      <c r="D318" s="9" t="s">
        <v>227</v>
      </c>
      <c r="E318" s="9">
        <v>859.0</v>
      </c>
      <c r="F318" s="9" t="s">
        <v>97</v>
      </c>
      <c r="G318" s="9" t="s">
        <v>58</v>
      </c>
      <c r="H318" s="9" t="s">
        <v>58</v>
      </c>
      <c r="I318" s="9" t="s">
        <v>53</v>
      </c>
      <c r="J318" s="9" t="s">
        <v>112</v>
      </c>
      <c r="K318" s="9" t="s">
        <v>111</v>
      </c>
      <c r="L318" s="9" t="s">
        <v>61</v>
      </c>
      <c r="M318" s="9">
        <v>6.0</v>
      </c>
      <c r="N318" s="9">
        <v>10.0</v>
      </c>
      <c r="O318" s="9">
        <v>1.0</v>
      </c>
      <c r="P318" s="9">
        <v>2406.0</v>
      </c>
      <c r="Q318" s="9">
        <v>184.0</v>
      </c>
      <c r="R318" s="9">
        <v>467.0</v>
      </c>
      <c r="S318" s="3">
        <f t="shared" si="1"/>
        <v>2.800931315</v>
      </c>
    </row>
    <row r="319" ht="16.5" customHeight="1">
      <c r="A319" s="9" t="s">
        <v>226</v>
      </c>
      <c r="B319" s="16">
        <v>45976.0</v>
      </c>
      <c r="C319" s="9" t="s">
        <v>49</v>
      </c>
      <c r="D319" s="9" t="s">
        <v>227</v>
      </c>
      <c r="E319" s="9">
        <v>859.0</v>
      </c>
      <c r="F319" s="9" t="s">
        <v>97</v>
      </c>
      <c r="G319" s="9" t="s">
        <v>58</v>
      </c>
      <c r="H319" s="9" t="s">
        <v>58</v>
      </c>
      <c r="I319" s="9" t="s">
        <v>53</v>
      </c>
      <c r="J319" s="9" t="s">
        <v>112</v>
      </c>
      <c r="K319" s="9" t="s">
        <v>111</v>
      </c>
      <c r="L319" s="9" t="s">
        <v>77</v>
      </c>
      <c r="M319" s="9">
        <v>0.0</v>
      </c>
      <c r="N319" s="9">
        <v>10.0</v>
      </c>
      <c r="O319" s="9">
        <v>1.0</v>
      </c>
      <c r="P319" s="9">
        <v>2539.0</v>
      </c>
      <c r="Q319" s="9">
        <v>98.0</v>
      </c>
      <c r="R319" s="9">
        <v>467.0</v>
      </c>
      <c r="S319" s="3">
        <f t="shared" si="1"/>
        <v>2.955762515</v>
      </c>
    </row>
    <row r="320" ht="16.5" customHeight="1">
      <c r="A320" s="9" t="s">
        <v>228</v>
      </c>
      <c r="B320" s="16">
        <v>45976.0</v>
      </c>
      <c r="C320" s="9" t="s">
        <v>49</v>
      </c>
      <c r="D320" s="9" t="s">
        <v>229</v>
      </c>
      <c r="E320" s="9">
        <v>1241.0</v>
      </c>
      <c r="F320" s="9" t="s">
        <v>97</v>
      </c>
      <c r="G320" s="9" t="s">
        <v>52</v>
      </c>
      <c r="H320" s="9" t="s">
        <v>52</v>
      </c>
      <c r="I320" s="9" t="s">
        <v>53</v>
      </c>
      <c r="J320" s="9" t="s">
        <v>98</v>
      </c>
      <c r="K320" s="9" t="s">
        <v>99</v>
      </c>
      <c r="L320" s="9" t="s">
        <v>60</v>
      </c>
      <c r="M320" s="9">
        <v>3.0</v>
      </c>
      <c r="N320" s="9">
        <v>10.0</v>
      </c>
      <c r="O320" s="9">
        <v>1.0</v>
      </c>
      <c r="P320" s="9">
        <v>4982.0</v>
      </c>
      <c r="Q320" s="9">
        <v>241.0</v>
      </c>
      <c r="R320" s="9">
        <v>589.0</v>
      </c>
      <c r="S320" s="3">
        <f t="shared" si="1"/>
        <v>4.014504432</v>
      </c>
    </row>
    <row r="321" ht="16.5" customHeight="1">
      <c r="A321" s="9" t="s">
        <v>228</v>
      </c>
      <c r="B321" s="16">
        <v>45976.0</v>
      </c>
      <c r="C321" s="9" t="s">
        <v>49</v>
      </c>
      <c r="D321" s="9" t="s">
        <v>229</v>
      </c>
      <c r="E321" s="9">
        <v>1241.0</v>
      </c>
      <c r="F321" s="9" t="s">
        <v>97</v>
      </c>
      <c r="G321" s="9" t="s">
        <v>52</v>
      </c>
      <c r="H321" s="9" t="s">
        <v>52</v>
      </c>
      <c r="I321" s="9" t="s">
        <v>53</v>
      </c>
      <c r="J321" s="9" t="s">
        <v>98</v>
      </c>
      <c r="K321" s="9" t="s">
        <v>99</v>
      </c>
      <c r="L321" s="9" t="s">
        <v>55</v>
      </c>
      <c r="M321" s="9">
        <v>6.0</v>
      </c>
      <c r="N321" s="9">
        <v>10.0</v>
      </c>
      <c r="O321" s="9">
        <v>1.0</v>
      </c>
      <c r="P321" s="9">
        <v>3206.0</v>
      </c>
      <c r="Q321" s="9">
        <v>209.0</v>
      </c>
      <c r="R321" s="9">
        <v>589.0</v>
      </c>
      <c r="S321" s="3">
        <f t="shared" si="1"/>
        <v>2.583400483</v>
      </c>
    </row>
    <row r="322" ht="16.5" customHeight="1">
      <c r="A322" s="9" t="s">
        <v>228</v>
      </c>
      <c r="B322" s="16">
        <v>45976.0</v>
      </c>
      <c r="C322" s="9" t="s">
        <v>49</v>
      </c>
      <c r="D322" s="9" t="s">
        <v>229</v>
      </c>
      <c r="E322" s="9">
        <v>1241.0</v>
      </c>
      <c r="F322" s="9" t="s">
        <v>97</v>
      </c>
      <c r="G322" s="9" t="s">
        <v>52</v>
      </c>
      <c r="H322" s="9" t="s">
        <v>52</v>
      </c>
      <c r="I322" s="9" t="s">
        <v>53</v>
      </c>
      <c r="J322" s="9" t="s">
        <v>98</v>
      </c>
      <c r="K322" s="9" t="s">
        <v>99</v>
      </c>
      <c r="L322" s="9" t="s">
        <v>77</v>
      </c>
      <c r="M322" s="9">
        <v>1.0</v>
      </c>
      <c r="N322" s="9">
        <v>10.0</v>
      </c>
      <c r="O322" s="9">
        <v>0.0</v>
      </c>
      <c r="P322" s="9">
        <v>3380.0</v>
      </c>
      <c r="Q322" s="9">
        <v>139.0</v>
      </c>
      <c r="R322" s="9">
        <v>589.0</v>
      </c>
      <c r="S322" s="3">
        <f t="shared" si="1"/>
        <v>2.723609992</v>
      </c>
    </row>
    <row r="323" ht="16.5" customHeight="1">
      <c r="A323" s="9" t="s">
        <v>228</v>
      </c>
      <c r="B323" s="16">
        <v>45976.0</v>
      </c>
      <c r="C323" s="9" t="s">
        <v>49</v>
      </c>
      <c r="D323" s="9" t="s">
        <v>229</v>
      </c>
      <c r="E323" s="9">
        <v>1241.0</v>
      </c>
      <c r="F323" s="9" t="s">
        <v>97</v>
      </c>
      <c r="G323" s="9" t="s">
        <v>52</v>
      </c>
      <c r="H323" s="9" t="s">
        <v>58</v>
      </c>
      <c r="I323" s="9" t="s">
        <v>59</v>
      </c>
      <c r="J323" s="9" t="s">
        <v>99</v>
      </c>
      <c r="K323" s="9" t="s">
        <v>98</v>
      </c>
      <c r="L323" s="9" t="s">
        <v>61</v>
      </c>
      <c r="M323" s="9">
        <v>6.0</v>
      </c>
      <c r="N323" s="9">
        <v>8.0</v>
      </c>
      <c r="O323" s="9">
        <v>0.0</v>
      </c>
      <c r="P323" s="9">
        <v>3441.0</v>
      </c>
      <c r="Q323" s="9">
        <v>215.0</v>
      </c>
      <c r="R323" s="9">
        <v>474.0</v>
      </c>
      <c r="S323" s="3">
        <f t="shared" si="1"/>
        <v>2.7727639</v>
      </c>
    </row>
    <row r="324" ht="16.5" customHeight="1">
      <c r="A324" s="9" t="s">
        <v>228</v>
      </c>
      <c r="B324" s="16">
        <v>45976.0</v>
      </c>
      <c r="C324" s="9" t="s">
        <v>49</v>
      </c>
      <c r="D324" s="9" t="s">
        <v>229</v>
      </c>
      <c r="E324" s="9">
        <v>1241.0</v>
      </c>
      <c r="F324" s="9" t="s">
        <v>97</v>
      </c>
      <c r="G324" s="9" t="s">
        <v>52</v>
      </c>
      <c r="H324" s="9" t="s">
        <v>58</v>
      </c>
      <c r="I324" s="9" t="s">
        <v>59</v>
      </c>
      <c r="J324" s="9" t="s">
        <v>99</v>
      </c>
      <c r="K324" s="9" t="s">
        <v>98</v>
      </c>
      <c r="L324" s="9" t="s">
        <v>57</v>
      </c>
      <c r="M324" s="9">
        <v>1.0</v>
      </c>
      <c r="N324" s="9">
        <v>8.0</v>
      </c>
      <c r="O324" s="9">
        <v>1.0</v>
      </c>
      <c r="P324" s="9">
        <v>3272.0</v>
      </c>
      <c r="Q324" s="9">
        <v>155.0</v>
      </c>
      <c r="R324" s="9">
        <v>474.0</v>
      </c>
      <c r="S324" s="3">
        <f t="shared" si="1"/>
        <v>2.6365834</v>
      </c>
    </row>
    <row r="325" ht="16.5" customHeight="1">
      <c r="A325" s="9" t="s">
        <v>228</v>
      </c>
      <c r="B325" s="16">
        <v>45976.0</v>
      </c>
      <c r="C325" s="9" t="s">
        <v>49</v>
      </c>
      <c r="D325" s="9" t="s">
        <v>229</v>
      </c>
      <c r="E325" s="9">
        <v>1241.0</v>
      </c>
      <c r="F325" s="9" t="s">
        <v>97</v>
      </c>
      <c r="G325" s="9" t="s">
        <v>52</v>
      </c>
      <c r="H325" s="9" t="s">
        <v>58</v>
      </c>
      <c r="I325" s="9" t="s">
        <v>59</v>
      </c>
      <c r="J325" s="9" t="s">
        <v>99</v>
      </c>
      <c r="K325" s="9" t="s">
        <v>98</v>
      </c>
      <c r="L325" s="9" t="s">
        <v>100</v>
      </c>
      <c r="M325" s="9">
        <v>1.0</v>
      </c>
      <c r="N325" s="9">
        <v>8.0</v>
      </c>
      <c r="O325" s="9">
        <v>0.0</v>
      </c>
      <c r="P325" s="9">
        <v>2027.0</v>
      </c>
      <c r="Q325" s="9">
        <v>104.0</v>
      </c>
      <c r="R325" s="9">
        <v>474.0</v>
      </c>
      <c r="S325" s="3">
        <f t="shared" si="1"/>
        <v>1.633360193</v>
      </c>
    </row>
    <row r="326" ht="16.5" customHeight="1">
      <c r="A326" s="9" t="s">
        <v>230</v>
      </c>
      <c r="B326" s="16">
        <v>45976.0</v>
      </c>
      <c r="C326" s="9" t="s">
        <v>49</v>
      </c>
      <c r="D326" s="9" t="s">
        <v>231</v>
      </c>
      <c r="E326" s="9">
        <v>601.0</v>
      </c>
      <c r="F326" s="9" t="s">
        <v>51</v>
      </c>
      <c r="G326" s="9" t="s">
        <v>58</v>
      </c>
      <c r="H326" s="9" t="s">
        <v>52</v>
      </c>
      <c r="I326" s="9" t="s">
        <v>59</v>
      </c>
      <c r="J326" s="9" t="s">
        <v>76</v>
      </c>
      <c r="K326" s="9" t="s">
        <v>56</v>
      </c>
      <c r="L326" s="9" t="s">
        <v>55</v>
      </c>
      <c r="M326" s="9">
        <v>4.0</v>
      </c>
      <c r="N326" s="9">
        <v>6.0</v>
      </c>
      <c r="O326" s="9">
        <v>0.0</v>
      </c>
      <c r="P326" s="9">
        <v>1491.0</v>
      </c>
      <c r="Q326" s="9">
        <v>111.0</v>
      </c>
      <c r="R326" s="9">
        <v>194.0</v>
      </c>
      <c r="S326" s="3">
        <f t="shared" si="1"/>
        <v>2.480865225</v>
      </c>
    </row>
    <row r="327" ht="16.5" customHeight="1">
      <c r="A327" s="9" t="s">
        <v>230</v>
      </c>
      <c r="B327" s="16">
        <v>45976.0</v>
      </c>
      <c r="C327" s="9" t="s">
        <v>49</v>
      </c>
      <c r="D327" s="9" t="s">
        <v>231</v>
      </c>
      <c r="E327" s="9">
        <v>601.0</v>
      </c>
      <c r="F327" s="9" t="s">
        <v>51</v>
      </c>
      <c r="G327" s="9" t="s">
        <v>58</v>
      </c>
      <c r="H327" s="9" t="s">
        <v>52</v>
      </c>
      <c r="I327" s="9" t="s">
        <v>59</v>
      </c>
      <c r="J327" s="9" t="s">
        <v>76</v>
      </c>
      <c r="K327" s="9" t="s">
        <v>56</v>
      </c>
      <c r="L327" s="9" t="s">
        <v>77</v>
      </c>
      <c r="M327" s="9">
        <v>2.0</v>
      </c>
      <c r="N327" s="9">
        <v>6.0</v>
      </c>
      <c r="O327" s="9">
        <v>0.0</v>
      </c>
      <c r="P327" s="9">
        <v>1734.0</v>
      </c>
      <c r="Q327" s="9">
        <v>83.0</v>
      </c>
      <c r="R327" s="9">
        <v>194.0</v>
      </c>
      <c r="S327" s="3">
        <f t="shared" si="1"/>
        <v>2.885191348</v>
      </c>
    </row>
    <row r="328" ht="16.5" customHeight="1">
      <c r="A328" s="9" t="s">
        <v>230</v>
      </c>
      <c r="B328" s="16">
        <v>45976.0</v>
      </c>
      <c r="C328" s="9" t="s">
        <v>49</v>
      </c>
      <c r="D328" s="9" t="s">
        <v>231</v>
      </c>
      <c r="E328" s="9">
        <v>601.0</v>
      </c>
      <c r="F328" s="9" t="s">
        <v>51</v>
      </c>
      <c r="G328" s="9" t="s">
        <v>58</v>
      </c>
      <c r="H328" s="9" t="s">
        <v>58</v>
      </c>
      <c r="I328" s="9" t="s">
        <v>53</v>
      </c>
      <c r="J328" s="9" t="s">
        <v>56</v>
      </c>
      <c r="K328" s="9" t="s">
        <v>76</v>
      </c>
      <c r="L328" s="9" t="s">
        <v>61</v>
      </c>
      <c r="M328" s="9">
        <v>9.0</v>
      </c>
      <c r="N328" s="9">
        <v>10.0</v>
      </c>
      <c r="O328" s="9">
        <v>0.0</v>
      </c>
      <c r="P328" s="9">
        <v>958.0</v>
      </c>
      <c r="Q328" s="9">
        <v>154.0</v>
      </c>
      <c r="R328" s="9">
        <v>209.0</v>
      </c>
      <c r="S328" s="3">
        <f t="shared" si="1"/>
        <v>1.594009983</v>
      </c>
    </row>
    <row r="329" ht="16.5" customHeight="1">
      <c r="A329" s="9" t="s">
        <v>230</v>
      </c>
      <c r="B329" s="16">
        <v>45976.0</v>
      </c>
      <c r="C329" s="9" t="s">
        <v>49</v>
      </c>
      <c r="D329" s="9" t="s">
        <v>231</v>
      </c>
      <c r="E329" s="9">
        <v>601.0</v>
      </c>
      <c r="F329" s="9" t="s">
        <v>51</v>
      </c>
      <c r="G329" s="9" t="s">
        <v>58</v>
      </c>
      <c r="H329" s="9" t="s">
        <v>58</v>
      </c>
      <c r="I329" s="9" t="s">
        <v>53</v>
      </c>
      <c r="J329" s="9" t="s">
        <v>56</v>
      </c>
      <c r="K329" s="9" t="s">
        <v>76</v>
      </c>
      <c r="L329" s="9" t="s">
        <v>60</v>
      </c>
      <c r="M329" s="9">
        <v>1.0</v>
      </c>
      <c r="N329" s="9">
        <v>10.0</v>
      </c>
      <c r="O329" s="9">
        <v>1.0</v>
      </c>
      <c r="P329" s="9">
        <v>585.0</v>
      </c>
      <c r="Q329" s="9">
        <v>55.0</v>
      </c>
      <c r="R329" s="9">
        <v>209.0</v>
      </c>
      <c r="S329" s="3">
        <f t="shared" si="1"/>
        <v>0.9733777038</v>
      </c>
    </row>
    <row r="330" ht="16.5" customHeight="1">
      <c r="A330" s="9" t="s">
        <v>232</v>
      </c>
      <c r="B330" s="16">
        <v>45976.0</v>
      </c>
      <c r="C330" s="9" t="s">
        <v>49</v>
      </c>
      <c r="D330" s="9" t="s">
        <v>225</v>
      </c>
      <c r="E330" s="9">
        <v>795.0</v>
      </c>
      <c r="F330" s="9" t="s">
        <v>51</v>
      </c>
      <c r="G330" s="9" t="s">
        <v>52</v>
      </c>
      <c r="H330" s="9" t="s">
        <v>52</v>
      </c>
      <c r="I330" s="9" t="s">
        <v>53</v>
      </c>
      <c r="J330" s="9" t="s">
        <v>76</v>
      </c>
      <c r="K330" s="9" t="s">
        <v>56</v>
      </c>
      <c r="L330" s="9" t="s">
        <v>55</v>
      </c>
      <c r="M330" s="9">
        <v>9.0</v>
      </c>
      <c r="N330" s="9">
        <v>10.0</v>
      </c>
      <c r="O330" s="9">
        <v>0.0</v>
      </c>
      <c r="P330" s="9">
        <v>2084.0</v>
      </c>
      <c r="Q330" s="9">
        <v>198.0</v>
      </c>
      <c r="R330" s="9">
        <v>325.0</v>
      </c>
      <c r="S330" s="3">
        <f t="shared" si="1"/>
        <v>2.621383648</v>
      </c>
    </row>
    <row r="331" ht="16.5" customHeight="1">
      <c r="A331" s="9" t="s">
        <v>232</v>
      </c>
      <c r="B331" s="16">
        <v>45976.0</v>
      </c>
      <c r="C331" s="9" t="s">
        <v>49</v>
      </c>
      <c r="D331" s="9" t="s">
        <v>225</v>
      </c>
      <c r="E331" s="9">
        <v>795.0</v>
      </c>
      <c r="F331" s="9" t="s">
        <v>51</v>
      </c>
      <c r="G331" s="9" t="s">
        <v>52</v>
      </c>
      <c r="H331" s="9" t="s">
        <v>52</v>
      </c>
      <c r="I331" s="9" t="s">
        <v>53</v>
      </c>
      <c r="J331" s="9" t="s">
        <v>76</v>
      </c>
      <c r="K331" s="9" t="s">
        <v>56</v>
      </c>
      <c r="L331" s="9" t="s">
        <v>77</v>
      </c>
      <c r="M331" s="9">
        <v>1.0</v>
      </c>
      <c r="N331" s="9">
        <v>10.0</v>
      </c>
      <c r="O331" s="9">
        <v>1.0</v>
      </c>
      <c r="P331" s="9">
        <v>2874.0</v>
      </c>
      <c r="Q331" s="9">
        <v>127.0</v>
      </c>
      <c r="R331" s="9">
        <v>325.0</v>
      </c>
      <c r="S331" s="3">
        <f t="shared" si="1"/>
        <v>3.61509434</v>
      </c>
    </row>
    <row r="332" ht="16.5" customHeight="1">
      <c r="A332" s="9" t="s">
        <v>232</v>
      </c>
      <c r="B332" s="16">
        <v>45976.0</v>
      </c>
      <c r="C332" s="9" t="s">
        <v>49</v>
      </c>
      <c r="D332" s="9" t="s">
        <v>225</v>
      </c>
      <c r="E332" s="9">
        <v>795.0</v>
      </c>
      <c r="F332" s="9" t="s">
        <v>51</v>
      </c>
      <c r="G332" s="9" t="s">
        <v>52</v>
      </c>
      <c r="H332" s="9" t="s">
        <v>58</v>
      </c>
      <c r="I332" s="9" t="s">
        <v>59</v>
      </c>
      <c r="J332" s="9" t="s">
        <v>56</v>
      </c>
      <c r="K332" s="9" t="s">
        <v>76</v>
      </c>
      <c r="L332" s="9" t="s">
        <v>61</v>
      </c>
      <c r="M332" s="9">
        <v>6.0</v>
      </c>
      <c r="N332" s="9">
        <v>8.0</v>
      </c>
      <c r="O332" s="9">
        <v>1.0</v>
      </c>
      <c r="P332" s="9">
        <v>1407.0</v>
      </c>
      <c r="Q332" s="9">
        <v>154.0</v>
      </c>
      <c r="R332" s="9">
        <v>241.0</v>
      </c>
      <c r="S332" s="3">
        <f t="shared" si="1"/>
        <v>1.769811321</v>
      </c>
    </row>
    <row r="333" ht="16.5" customHeight="1">
      <c r="A333" s="9" t="s">
        <v>232</v>
      </c>
      <c r="B333" s="16">
        <v>45976.0</v>
      </c>
      <c r="C333" s="9" t="s">
        <v>49</v>
      </c>
      <c r="D333" s="9" t="s">
        <v>225</v>
      </c>
      <c r="E333" s="9">
        <v>795.0</v>
      </c>
      <c r="F333" s="9" t="s">
        <v>51</v>
      </c>
      <c r="G333" s="9" t="s">
        <v>52</v>
      </c>
      <c r="H333" s="9" t="s">
        <v>58</v>
      </c>
      <c r="I333" s="9" t="s">
        <v>59</v>
      </c>
      <c r="J333" s="9" t="s">
        <v>56</v>
      </c>
      <c r="K333" s="9" t="s">
        <v>76</v>
      </c>
      <c r="L333" s="9" t="s">
        <v>60</v>
      </c>
      <c r="M333" s="9">
        <v>2.0</v>
      </c>
      <c r="N333" s="9">
        <v>8.0</v>
      </c>
      <c r="O333" s="9">
        <v>0.0</v>
      </c>
      <c r="P333" s="9">
        <v>1268.0</v>
      </c>
      <c r="Q333" s="9">
        <v>87.0</v>
      </c>
      <c r="R333" s="9">
        <v>241.0</v>
      </c>
      <c r="S333" s="3">
        <f t="shared" si="1"/>
        <v>1.594968553</v>
      </c>
    </row>
    <row r="334" ht="16.5" customHeight="1">
      <c r="A334" s="9" t="s">
        <v>233</v>
      </c>
      <c r="B334" s="16">
        <v>45976.0</v>
      </c>
      <c r="C334" s="9" t="s">
        <v>49</v>
      </c>
      <c r="D334" s="9" t="s">
        <v>135</v>
      </c>
      <c r="E334" s="9">
        <v>650.0</v>
      </c>
      <c r="F334" s="9" t="s">
        <v>51</v>
      </c>
      <c r="G334" s="9" t="s">
        <v>52</v>
      </c>
      <c r="H334" s="9" t="s">
        <v>52</v>
      </c>
      <c r="I334" s="9" t="s">
        <v>53</v>
      </c>
      <c r="J334" s="9" t="s">
        <v>76</v>
      </c>
      <c r="K334" s="9" t="s">
        <v>56</v>
      </c>
      <c r="L334" s="9" t="s">
        <v>55</v>
      </c>
      <c r="M334" s="9">
        <v>9.0</v>
      </c>
      <c r="N334" s="9">
        <v>10.0</v>
      </c>
      <c r="O334" s="9">
        <v>1.0</v>
      </c>
      <c r="P334" s="9">
        <v>1777.0</v>
      </c>
      <c r="Q334" s="9">
        <v>180.0</v>
      </c>
      <c r="R334" s="9">
        <v>274.0</v>
      </c>
      <c r="S334" s="3">
        <f t="shared" si="1"/>
        <v>2.733846154</v>
      </c>
    </row>
    <row r="335" ht="16.5" customHeight="1">
      <c r="A335" s="9" t="s">
        <v>233</v>
      </c>
      <c r="B335" s="16">
        <v>45976.0</v>
      </c>
      <c r="C335" s="9" t="s">
        <v>49</v>
      </c>
      <c r="D335" s="9" t="s">
        <v>135</v>
      </c>
      <c r="E335" s="9">
        <v>650.0</v>
      </c>
      <c r="F335" s="9" t="s">
        <v>51</v>
      </c>
      <c r="G335" s="9" t="s">
        <v>52</v>
      </c>
      <c r="H335" s="9" t="s">
        <v>52</v>
      </c>
      <c r="I335" s="9" t="s">
        <v>53</v>
      </c>
      <c r="J335" s="9" t="s">
        <v>76</v>
      </c>
      <c r="K335" s="9" t="s">
        <v>56</v>
      </c>
      <c r="L335" s="9" t="s">
        <v>77</v>
      </c>
      <c r="M335" s="9">
        <v>1.0</v>
      </c>
      <c r="N335" s="9">
        <v>10.0</v>
      </c>
      <c r="O335" s="9">
        <v>0.0</v>
      </c>
      <c r="P335" s="9">
        <v>2780.0</v>
      </c>
      <c r="Q335" s="9">
        <v>94.0</v>
      </c>
      <c r="R335" s="9">
        <v>274.0</v>
      </c>
      <c r="S335" s="3">
        <f t="shared" si="1"/>
        <v>4.276923077</v>
      </c>
    </row>
    <row r="336" ht="16.5" customHeight="1">
      <c r="A336" s="9" t="s">
        <v>233</v>
      </c>
      <c r="B336" s="16">
        <v>45976.0</v>
      </c>
      <c r="C336" s="9" t="s">
        <v>49</v>
      </c>
      <c r="D336" s="9" t="s">
        <v>135</v>
      </c>
      <c r="E336" s="9">
        <v>650.0</v>
      </c>
      <c r="F336" s="9" t="s">
        <v>51</v>
      </c>
      <c r="G336" s="9" t="s">
        <v>52</v>
      </c>
      <c r="H336" s="9" t="s">
        <v>58</v>
      </c>
      <c r="I336" s="9" t="s">
        <v>59</v>
      </c>
      <c r="J336" s="9" t="s">
        <v>56</v>
      </c>
      <c r="K336" s="9" t="s">
        <v>76</v>
      </c>
      <c r="L336" s="9" t="s">
        <v>61</v>
      </c>
      <c r="M336" s="9">
        <v>5.0</v>
      </c>
      <c r="N336" s="9">
        <v>8.0</v>
      </c>
      <c r="O336" s="9">
        <v>1.0</v>
      </c>
      <c r="P336" s="9">
        <v>680.0</v>
      </c>
      <c r="Q336" s="9">
        <v>104.0</v>
      </c>
      <c r="R336" s="9">
        <v>175.0</v>
      </c>
      <c r="S336" s="3">
        <f t="shared" si="1"/>
        <v>1.046153846</v>
      </c>
    </row>
    <row r="337" ht="16.5" customHeight="1">
      <c r="A337" s="9" t="s">
        <v>233</v>
      </c>
      <c r="B337" s="16">
        <v>45976.0</v>
      </c>
      <c r="C337" s="9" t="s">
        <v>49</v>
      </c>
      <c r="D337" s="9" t="s">
        <v>135</v>
      </c>
      <c r="E337" s="9">
        <v>650.0</v>
      </c>
      <c r="F337" s="9" t="s">
        <v>51</v>
      </c>
      <c r="G337" s="9" t="s">
        <v>52</v>
      </c>
      <c r="H337" s="9" t="s">
        <v>58</v>
      </c>
      <c r="I337" s="9" t="s">
        <v>59</v>
      </c>
      <c r="J337" s="9" t="s">
        <v>56</v>
      </c>
      <c r="K337" s="9" t="s">
        <v>76</v>
      </c>
      <c r="L337" s="9" t="s">
        <v>60</v>
      </c>
      <c r="M337" s="9">
        <v>3.0</v>
      </c>
      <c r="N337" s="9">
        <v>8.0</v>
      </c>
      <c r="O337" s="9">
        <v>0.0</v>
      </c>
      <c r="P337" s="9">
        <v>771.0</v>
      </c>
      <c r="Q337" s="9">
        <v>71.0</v>
      </c>
      <c r="R337" s="9">
        <v>175.0</v>
      </c>
      <c r="S337" s="3">
        <f t="shared" si="1"/>
        <v>1.186153846</v>
      </c>
    </row>
    <row r="338" ht="16.5" customHeight="1">
      <c r="A338" s="9" t="s">
        <v>234</v>
      </c>
      <c r="B338" s="16">
        <v>45976.0</v>
      </c>
      <c r="C338" s="9" t="s">
        <v>49</v>
      </c>
      <c r="D338" s="9" t="s">
        <v>235</v>
      </c>
      <c r="E338" s="9">
        <v>753.0</v>
      </c>
      <c r="F338" s="9" t="s">
        <v>51</v>
      </c>
      <c r="G338" s="9" t="s">
        <v>58</v>
      </c>
      <c r="H338" s="9" t="s">
        <v>52</v>
      </c>
      <c r="I338" s="9" t="s">
        <v>59</v>
      </c>
      <c r="J338" s="9" t="s">
        <v>76</v>
      </c>
      <c r="K338" s="9" t="s">
        <v>56</v>
      </c>
      <c r="L338" s="9" t="s">
        <v>77</v>
      </c>
      <c r="M338" s="9">
        <v>3.0</v>
      </c>
      <c r="N338" s="9">
        <v>6.0</v>
      </c>
      <c r="O338" s="9">
        <v>0.0</v>
      </c>
      <c r="P338" s="9">
        <v>2189.0</v>
      </c>
      <c r="Q338" s="9">
        <v>120.0</v>
      </c>
      <c r="R338" s="9">
        <v>225.0</v>
      </c>
      <c r="S338" s="3">
        <f t="shared" si="1"/>
        <v>2.907038513</v>
      </c>
    </row>
    <row r="339" ht="16.5" customHeight="1">
      <c r="A339" s="9" t="s">
        <v>234</v>
      </c>
      <c r="B339" s="16">
        <v>45976.0</v>
      </c>
      <c r="C339" s="9" t="s">
        <v>49</v>
      </c>
      <c r="D339" s="9" t="s">
        <v>235</v>
      </c>
      <c r="E339" s="9">
        <v>753.0</v>
      </c>
      <c r="F339" s="9" t="s">
        <v>51</v>
      </c>
      <c r="G339" s="9" t="s">
        <v>58</v>
      </c>
      <c r="H339" s="9" t="s">
        <v>52</v>
      </c>
      <c r="I339" s="9" t="s">
        <v>59</v>
      </c>
      <c r="J339" s="9" t="s">
        <v>76</v>
      </c>
      <c r="K339" s="9" t="s">
        <v>56</v>
      </c>
      <c r="L339" s="9" t="s">
        <v>55</v>
      </c>
      <c r="M339" s="9">
        <v>3.0</v>
      </c>
      <c r="N339" s="9">
        <v>6.0</v>
      </c>
      <c r="O339" s="9">
        <v>0.0</v>
      </c>
      <c r="P339" s="9">
        <v>1894.0</v>
      </c>
      <c r="Q339" s="9">
        <v>105.0</v>
      </c>
      <c r="R339" s="9">
        <v>225.0</v>
      </c>
      <c r="S339" s="3">
        <f t="shared" si="1"/>
        <v>2.515272244</v>
      </c>
    </row>
    <row r="340" ht="16.5" customHeight="1">
      <c r="A340" s="9" t="s">
        <v>234</v>
      </c>
      <c r="B340" s="16">
        <v>45976.0</v>
      </c>
      <c r="C340" s="9" t="s">
        <v>49</v>
      </c>
      <c r="D340" s="9" t="s">
        <v>235</v>
      </c>
      <c r="E340" s="9">
        <v>753.0</v>
      </c>
      <c r="F340" s="9" t="s">
        <v>51</v>
      </c>
      <c r="G340" s="9" t="s">
        <v>58</v>
      </c>
      <c r="H340" s="9" t="s">
        <v>58</v>
      </c>
      <c r="I340" s="9" t="s">
        <v>53</v>
      </c>
      <c r="J340" s="9" t="s">
        <v>56</v>
      </c>
      <c r="K340" s="9" t="s">
        <v>76</v>
      </c>
      <c r="L340" s="9" t="s">
        <v>61</v>
      </c>
      <c r="M340" s="9">
        <v>8.0</v>
      </c>
      <c r="N340" s="9">
        <v>10.0</v>
      </c>
      <c r="O340" s="9">
        <v>0.0</v>
      </c>
      <c r="P340" s="9">
        <v>1065.0</v>
      </c>
      <c r="Q340" s="9">
        <v>167.0</v>
      </c>
      <c r="R340" s="9">
        <v>303.0</v>
      </c>
      <c r="S340" s="3">
        <f t="shared" si="1"/>
        <v>1.414342629</v>
      </c>
    </row>
    <row r="341" ht="16.5" customHeight="1">
      <c r="A341" s="9" t="s">
        <v>234</v>
      </c>
      <c r="B341" s="16">
        <v>45976.0</v>
      </c>
      <c r="C341" s="9" t="s">
        <v>49</v>
      </c>
      <c r="D341" s="9" t="s">
        <v>235</v>
      </c>
      <c r="E341" s="9">
        <v>753.0</v>
      </c>
      <c r="F341" s="9" t="s">
        <v>51</v>
      </c>
      <c r="G341" s="9" t="s">
        <v>58</v>
      </c>
      <c r="H341" s="9" t="s">
        <v>58</v>
      </c>
      <c r="I341" s="9" t="s">
        <v>53</v>
      </c>
      <c r="J341" s="9" t="s">
        <v>56</v>
      </c>
      <c r="K341" s="9" t="s">
        <v>76</v>
      </c>
      <c r="L341" s="9" t="s">
        <v>60</v>
      </c>
      <c r="M341" s="9">
        <v>2.0</v>
      </c>
      <c r="N341" s="9">
        <v>10.0</v>
      </c>
      <c r="O341" s="9">
        <v>2.0</v>
      </c>
      <c r="P341" s="9">
        <v>2606.0</v>
      </c>
      <c r="Q341" s="9">
        <v>136.0</v>
      </c>
      <c r="R341" s="9">
        <v>303.0</v>
      </c>
      <c r="S341" s="3">
        <f t="shared" si="1"/>
        <v>3.460823373</v>
      </c>
    </row>
    <row r="342" ht="16.5" customHeight="1">
      <c r="A342" s="9" t="s">
        <v>236</v>
      </c>
      <c r="B342" s="16">
        <v>45976.0</v>
      </c>
      <c r="C342" s="9" t="s">
        <v>49</v>
      </c>
      <c r="D342" s="9" t="s">
        <v>237</v>
      </c>
      <c r="E342" s="9">
        <v>694.0</v>
      </c>
      <c r="F342" s="9" t="s">
        <v>51</v>
      </c>
      <c r="G342" s="9" t="s">
        <v>52</v>
      </c>
      <c r="H342" s="9" t="s">
        <v>52</v>
      </c>
      <c r="I342" s="9" t="s">
        <v>53</v>
      </c>
      <c r="J342" s="9" t="s">
        <v>70</v>
      </c>
      <c r="K342" s="9" t="s">
        <v>88</v>
      </c>
      <c r="L342" s="9" t="s">
        <v>55</v>
      </c>
      <c r="M342" s="9">
        <v>6.0</v>
      </c>
      <c r="N342" s="9">
        <v>10.0</v>
      </c>
      <c r="O342" s="9">
        <v>1.0</v>
      </c>
      <c r="P342" s="9">
        <v>2175.0</v>
      </c>
      <c r="Q342" s="9">
        <v>160.0</v>
      </c>
      <c r="R342" s="9">
        <v>294.0</v>
      </c>
      <c r="S342" s="3">
        <f t="shared" si="1"/>
        <v>3.134005764</v>
      </c>
    </row>
    <row r="343" ht="16.5" customHeight="1">
      <c r="A343" s="9" t="s">
        <v>236</v>
      </c>
      <c r="B343" s="16">
        <v>45976.0</v>
      </c>
      <c r="C343" s="9" t="s">
        <v>49</v>
      </c>
      <c r="D343" s="9" t="s">
        <v>237</v>
      </c>
      <c r="E343" s="9">
        <v>694.0</v>
      </c>
      <c r="F343" s="9" t="s">
        <v>51</v>
      </c>
      <c r="G343" s="9" t="s">
        <v>52</v>
      </c>
      <c r="H343" s="9" t="s">
        <v>52</v>
      </c>
      <c r="I343" s="9" t="s">
        <v>53</v>
      </c>
      <c r="J343" s="9" t="s">
        <v>70</v>
      </c>
      <c r="K343" s="9" t="s">
        <v>88</v>
      </c>
      <c r="L343" s="9" t="s">
        <v>60</v>
      </c>
      <c r="M343" s="9">
        <v>4.0</v>
      </c>
      <c r="N343" s="9">
        <v>10.0</v>
      </c>
      <c r="O343" s="9">
        <v>1.0</v>
      </c>
      <c r="P343" s="9">
        <v>1732.0</v>
      </c>
      <c r="Q343" s="9">
        <v>134.0</v>
      </c>
      <c r="R343" s="9">
        <v>294.0</v>
      </c>
      <c r="S343" s="3">
        <f t="shared" si="1"/>
        <v>2.495677233</v>
      </c>
    </row>
    <row r="344" ht="16.5" customHeight="1">
      <c r="A344" s="9" t="s">
        <v>236</v>
      </c>
      <c r="B344" s="16">
        <v>45976.0</v>
      </c>
      <c r="C344" s="9" t="s">
        <v>49</v>
      </c>
      <c r="D344" s="9" t="s">
        <v>237</v>
      </c>
      <c r="E344" s="9">
        <v>694.0</v>
      </c>
      <c r="F344" s="9" t="s">
        <v>51</v>
      </c>
      <c r="G344" s="9" t="s">
        <v>52</v>
      </c>
      <c r="H344" s="9" t="s">
        <v>58</v>
      </c>
      <c r="I344" s="9" t="s">
        <v>59</v>
      </c>
      <c r="J344" s="9" t="s">
        <v>88</v>
      </c>
      <c r="K344" s="9" t="s">
        <v>70</v>
      </c>
      <c r="L344" s="9" t="s">
        <v>61</v>
      </c>
      <c r="M344" s="9">
        <v>5.0</v>
      </c>
      <c r="N344" s="9">
        <v>6.0</v>
      </c>
      <c r="O344" s="9">
        <v>0.0</v>
      </c>
      <c r="P344" s="9">
        <v>1476.0</v>
      </c>
      <c r="Q344" s="9">
        <v>133.0</v>
      </c>
      <c r="R344" s="9">
        <v>213.0</v>
      </c>
      <c r="S344" s="3">
        <f t="shared" si="1"/>
        <v>2.126801153</v>
      </c>
    </row>
    <row r="345" ht="16.5" customHeight="1">
      <c r="A345" s="9" t="s">
        <v>236</v>
      </c>
      <c r="B345" s="16">
        <v>45976.0</v>
      </c>
      <c r="C345" s="9" t="s">
        <v>49</v>
      </c>
      <c r="D345" s="9" t="s">
        <v>237</v>
      </c>
      <c r="E345" s="9">
        <v>694.0</v>
      </c>
      <c r="F345" s="9" t="s">
        <v>51</v>
      </c>
      <c r="G345" s="9" t="s">
        <v>52</v>
      </c>
      <c r="H345" s="9" t="s">
        <v>58</v>
      </c>
      <c r="I345" s="9" t="s">
        <v>59</v>
      </c>
      <c r="J345" s="9" t="s">
        <v>88</v>
      </c>
      <c r="K345" s="9" t="s">
        <v>70</v>
      </c>
      <c r="L345" s="9" t="s">
        <v>77</v>
      </c>
      <c r="M345" s="9">
        <v>1.0</v>
      </c>
      <c r="N345" s="9">
        <v>6.0</v>
      </c>
      <c r="O345" s="9">
        <v>1.0</v>
      </c>
      <c r="P345" s="9">
        <v>1663.0</v>
      </c>
      <c r="Q345" s="9">
        <v>80.0</v>
      </c>
      <c r="R345" s="9">
        <v>213.0</v>
      </c>
      <c r="S345" s="3">
        <f t="shared" si="1"/>
        <v>2.396253602</v>
      </c>
    </row>
    <row r="346" ht="16.5" customHeight="1">
      <c r="A346" s="9" t="s">
        <v>238</v>
      </c>
      <c r="B346" s="16">
        <v>45976.0</v>
      </c>
      <c r="C346" s="9" t="s">
        <v>49</v>
      </c>
      <c r="D346" s="9" t="s">
        <v>239</v>
      </c>
      <c r="E346" s="9">
        <v>547.0</v>
      </c>
      <c r="F346" s="9" t="s">
        <v>51</v>
      </c>
      <c r="G346" s="9" t="s">
        <v>58</v>
      </c>
      <c r="H346" s="9" t="s">
        <v>52</v>
      </c>
      <c r="I346" s="9" t="s">
        <v>59</v>
      </c>
      <c r="J346" s="9" t="s">
        <v>76</v>
      </c>
      <c r="K346" s="9" t="s">
        <v>56</v>
      </c>
      <c r="L346" s="9" t="s">
        <v>55</v>
      </c>
      <c r="M346" s="9">
        <v>4.0</v>
      </c>
      <c r="N346" s="9">
        <v>4.0</v>
      </c>
      <c r="O346" s="9">
        <v>0.0</v>
      </c>
      <c r="P346" s="9">
        <v>860.0</v>
      </c>
      <c r="Q346" s="9">
        <v>86.0</v>
      </c>
      <c r="R346" s="9">
        <v>120.0</v>
      </c>
      <c r="S346" s="3">
        <f t="shared" si="1"/>
        <v>1.572212066</v>
      </c>
    </row>
    <row r="347" ht="16.5" customHeight="1">
      <c r="A347" s="9" t="s">
        <v>238</v>
      </c>
      <c r="B347" s="16">
        <v>45976.0</v>
      </c>
      <c r="C347" s="9" t="s">
        <v>49</v>
      </c>
      <c r="D347" s="9" t="s">
        <v>239</v>
      </c>
      <c r="E347" s="9">
        <v>547.0</v>
      </c>
      <c r="F347" s="9" t="s">
        <v>51</v>
      </c>
      <c r="G347" s="9" t="s">
        <v>58</v>
      </c>
      <c r="H347" s="9" t="s">
        <v>52</v>
      </c>
      <c r="I347" s="9" t="s">
        <v>59</v>
      </c>
      <c r="J347" s="9" t="s">
        <v>76</v>
      </c>
      <c r="K347" s="9" t="s">
        <v>56</v>
      </c>
      <c r="L347" s="9" t="s">
        <v>77</v>
      </c>
      <c r="M347" s="9">
        <v>0.0</v>
      </c>
      <c r="N347" s="9">
        <v>4.0</v>
      </c>
      <c r="O347" s="9">
        <v>0.0</v>
      </c>
      <c r="P347" s="9">
        <v>970.0</v>
      </c>
      <c r="Q347" s="9">
        <v>34.0</v>
      </c>
      <c r="R347" s="9">
        <v>120.0</v>
      </c>
      <c r="S347" s="3">
        <f t="shared" si="1"/>
        <v>1.773308958</v>
      </c>
    </row>
    <row r="348" ht="16.5" customHeight="1">
      <c r="A348" s="9" t="s">
        <v>238</v>
      </c>
      <c r="B348" s="16">
        <v>45976.0</v>
      </c>
      <c r="C348" s="9" t="s">
        <v>49</v>
      </c>
      <c r="D348" s="9" t="s">
        <v>239</v>
      </c>
      <c r="E348" s="9">
        <v>547.0</v>
      </c>
      <c r="F348" s="9" t="s">
        <v>51</v>
      </c>
      <c r="G348" s="9" t="s">
        <v>58</v>
      </c>
      <c r="H348" s="9" t="s">
        <v>58</v>
      </c>
      <c r="I348" s="9" t="s">
        <v>53</v>
      </c>
      <c r="J348" s="9" t="s">
        <v>56</v>
      </c>
      <c r="K348" s="9" t="s">
        <v>76</v>
      </c>
      <c r="L348" s="9" t="s">
        <v>61</v>
      </c>
      <c r="M348" s="9">
        <v>4.0</v>
      </c>
      <c r="N348" s="9">
        <v>10.0</v>
      </c>
      <c r="O348" s="9">
        <v>1.0</v>
      </c>
      <c r="P348" s="9">
        <v>1709.0</v>
      </c>
      <c r="Q348" s="9">
        <v>114.0</v>
      </c>
      <c r="R348" s="9">
        <v>217.0</v>
      </c>
      <c r="S348" s="3">
        <f t="shared" si="1"/>
        <v>3.124314442</v>
      </c>
    </row>
    <row r="349" ht="16.5" customHeight="1">
      <c r="A349" s="9" t="s">
        <v>238</v>
      </c>
      <c r="B349" s="16">
        <v>45976.0</v>
      </c>
      <c r="C349" s="9" t="s">
        <v>49</v>
      </c>
      <c r="D349" s="9" t="s">
        <v>239</v>
      </c>
      <c r="E349" s="9">
        <v>547.0</v>
      </c>
      <c r="F349" s="9" t="s">
        <v>51</v>
      </c>
      <c r="G349" s="9" t="s">
        <v>58</v>
      </c>
      <c r="H349" s="9" t="s">
        <v>58</v>
      </c>
      <c r="I349" s="9" t="s">
        <v>53</v>
      </c>
      <c r="J349" s="9" t="s">
        <v>56</v>
      </c>
      <c r="K349" s="9" t="s">
        <v>76</v>
      </c>
      <c r="L349" s="9" t="s">
        <v>60</v>
      </c>
      <c r="M349" s="9">
        <v>6.0</v>
      </c>
      <c r="N349" s="9">
        <v>10.0</v>
      </c>
      <c r="O349" s="9">
        <v>0.0</v>
      </c>
      <c r="P349" s="9">
        <v>821.0</v>
      </c>
      <c r="Q349" s="9">
        <v>103.0</v>
      </c>
      <c r="R349" s="9">
        <v>217.0</v>
      </c>
      <c r="S349" s="3">
        <f t="shared" si="1"/>
        <v>1.500914077</v>
      </c>
    </row>
    <row r="350" ht="16.5" customHeight="1">
      <c r="A350" s="9" t="s">
        <v>240</v>
      </c>
      <c r="B350" s="16">
        <v>45976.0</v>
      </c>
      <c r="C350" s="9" t="s">
        <v>49</v>
      </c>
      <c r="D350" s="9" t="s">
        <v>241</v>
      </c>
      <c r="E350" s="9">
        <v>447.0</v>
      </c>
      <c r="F350" s="9" t="s">
        <v>51</v>
      </c>
      <c r="G350" s="9" t="s">
        <v>58</v>
      </c>
      <c r="H350" s="9" t="s">
        <v>52</v>
      </c>
      <c r="I350" s="9" t="s">
        <v>59</v>
      </c>
      <c r="J350" s="9" t="s">
        <v>82</v>
      </c>
      <c r="K350" s="9" t="s">
        <v>83</v>
      </c>
      <c r="L350" s="9" t="s">
        <v>60</v>
      </c>
      <c r="M350" s="9">
        <v>2.0</v>
      </c>
      <c r="N350" s="9">
        <v>4.0</v>
      </c>
      <c r="O350" s="9">
        <v>0.0</v>
      </c>
      <c r="P350" s="9">
        <v>1021.0</v>
      </c>
      <c r="Q350" s="9">
        <v>61.0</v>
      </c>
      <c r="R350" s="9">
        <v>112.0</v>
      </c>
      <c r="S350" s="3">
        <f t="shared" si="1"/>
        <v>2.284116331</v>
      </c>
    </row>
    <row r="351" ht="16.5" customHeight="1">
      <c r="A351" s="9" t="s">
        <v>240</v>
      </c>
      <c r="B351" s="16">
        <v>45976.0</v>
      </c>
      <c r="C351" s="9" t="s">
        <v>49</v>
      </c>
      <c r="D351" s="9" t="s">
        <v>241</v>
      </c>
      <c r="E351" s="9">
        <v>447.0</v>
      </c>
      <c r="F351" s="9" t="s">
        <v>51</v>
      </c>
      <c r="G351" s="9" t="s">
        <v>58</v>
      </c>
      <c r="H351" s="9" t="s">
        <v>52</v>
      </c>
      <c r="I351" s="9" t="s">
        <v>59</v>
      </c>
      <c r="J351" s="9" t="s">
        <v>82</v>
      </c>
      <c r="K351" s="9" t="s">
        <v>83</v>
      </c>
      <c r="L351" s="9" t="s">
        <v>77</v>
      </c>
      <c r="M351" s="9">
        <v>2.0</v>
      </c>
      <c r="N351" s="9">
        <v>4.0</v>
      </c>
      <c r="O351" s="9">
        <v>0.0</v>
      </c>
      <c r="P351" s="9">
        <v>821.0</v>
      </c>
      <c r="Q351" s="9">
        <v>51.0</v>
      </c>
      <c r="R351" s="9">
        <v>112.0</v>
      </c>
      <c r="S351" s="3">
        <f t="shared" si="1"/>
        <v>1.836689038</v>
      </c>
    </row>
    <row r="352" ht="16.5" customHeight="1">
      <c r="A352" s="9" t="s">
        <v>240</v>
      </c>
      <c r="B352" s="16">
        <v>45976.0</v>
      </c>
      <c r="C352" s="9" t="s">
        <v>49</v>
      </c>
      <c r="D352" s="9" t="s">
        <v>241</v>
      </c>
      <c r="E352" s="9">
        <v>447.0</v>
      </c>
      <c r="F352" s="9" t="s">
        <v>51</v>
      </c>
      <c r="G352" s="9" t="s">
        <v>58</v>
      </c>
      <c r="H352" s="9" t="s">
        <v>58</v>
      </c>
      <c r="I352" s="9" t="s">
        <v>53</v>
      </c>
      <c r="J352" s="9" t="s">
        <v>83</v>
      </c>
      <c r="K352" s="9" t="s">
        <v>82</v>
      </c>
      <c r="L352" s="9" t="s">
        <v>55</v>
      </c>
      <c r="M352" s="9">
        <v>8.0</v>
      </c>
      <c r="N352" s="9">
        <v>10.0</v>
      </c>
      <c r="O352" s="9">
        <v>0.0</v>
      </c>
      <c r="P352" s="9">
        <v>994.0</v>
      </c>
      <c r="Q352" s="9">
        <v>133.0</v>
      </c>
      <c r="R352" s="9">
        <v>203.0</v>
      </c>
      <c r="S352" s="3">
        <f t="shared" si="1"/>
        <v>2.223713647</v>
      </c>
    </row>
    <row r="353" ht="16.5" customHeight="1">
      <c r="A353" s="9" t="s">
        <v>240</v>
      </c>
      <c r="B353" s="16">
        <v>45976.0</v>
      </c>
      <c r="C353" s="9" t="s">
        <v>49</v>
      </c>
      <c r="D353" s="9" t="s">
        <v>241</v>
      </c>
      <c r="E353" s="9">
        <v>447.0</v>
      </c>
      <c r="F353" s="9" t="s">
        <v>51</v>
      </c>
      <c r="G353" s="9" t="s">
        <v>58</v>
      </c>
      <c r="H353" s="9" t="s">
        <v>58</v>
      </c>
      <c r="I353" s="9" t="s">
        <v>53</v>
      </c>
      <c r="J353" s="9" t="s">
        <v>83</v>
      </c>
      <c r="K353" s="9" t="s">
        <v>82</v>
      </c>
      <c r="L353" s="9" t="s">
        <v>61</v>
      </c>
      <c r="M353" s="9">
        <v>2.0</v>
      </c>
      <c r="N353" s="9">
        <v>10.0</v>
      </c>
      <c r="O353" s="9">
        <v>0.0</v>
      </c>
      <c r="P353" s="9">
        <v>1135.0</v>
      </c>
      <c r="Q353" s="9">
        <v>70.0</v>
      </c>
      <c r="R353" s="9">
        <v>203.0</v>
      </c>
      <c r="S353" s="3">
        <f t="shared" si="1"/>
        <v>2.539149888</v>
      </c>
    </row>
    <row r="354" ht="16.5" customHeight="1">
      <c r="A354" s="9" t="s">
        <v>242</v>
      </c>
      <c r="B354" s="16">
        <v>45976.0</v>
      </c>
      <c r="C354" s="9" t="s">
        <v>49</v>
      </c>
      <c r="D354" s="9" t="s">
        <v>243</v>
      </c>
      <c r="E354" s="9">
        <v>672.0</v>
      </c>
      <c r="F354" s="9" t="s">
        <v>51</v>
      </c>
      <c r="G354" s="9" t="s">
        <v>58</v>
      </c>
      <c r="H354" s="9" t="s">
        <v>52</v>
      </c>
      <c r="I354" s="9" t="s">
        <v>59</v>
      </c>
      <c r="J354" s="9" t="s">
        <v>82</v>
      </c>
      <c r="K354" s="9" t="s">
        <v>83</v>
      </c>
      <c r="L354" s="9" t="s">
        <v>60</v>
      </c>
      <c r="M354" s="9">
        <v>3.0</v>
      </c>
      <c r="N354" s="9">
        <v>3.0</v>
      </c>
      <c r="O354" s="9">
        <v>0.0</v>
      </c>
      <c r="P354" s="9">
        <v>2297.0</v>
      </c>
      <c r="Q354" s="9">
        <v>137.0</v>
      </c>
      <c r="R354" s="9">
        <v>187.0</v>
      </c>
      <c r="S354" s="3">
        <f t="shared" si="1"/>
        <v>3.418154762</v>
      </c>
    </row>
    <row r="355" ht="16.5" customHeight="1">
      <c r="A355" s="9" t="s">
        <v>242</v>
      </c>
      <c r="B355" s="16">
        <v>45976.0</v>
      </c>
      <c r="C355" s="9" t="s">
        <v>49</v>
      </c>
      <c r="D355" s="9" t="s">
        <v>243</v>
      </c>
      <c r="E355" s="9">
        <v>672.0</v>
      </c>
      <c r="F355" s="9" t="s">
        <v>51</v>
      </c>
      <c r="G355" s="9" t="s">
        <v>58</v>
      </c>
      <c r="H355" s="9" t="s">
        <v>52</v>
      </c>
      <c r="I355" s="9" t="s">
        <v>59</v>
      </c>
      <c r="J355" s="9" t="s">
        <v>82</v>
      </c>
      <c r="K355" s="9" t="s">
        <v>83</v>
      </c>
      <c r="L355" s="9" t="s">
        <v>77</v>
      </c>
      <c r="M355" s="9">
        <v>0.0</v>
      </c>
      <c r="N355" s="9">
        <v>3.0</v>
      </c>
      <c r="O355" s="9">
        <v>0.0</v>
      </c>
      <c r="P355" s="9">
        <v>1495.0</v>
      </c>
      <c r="Q355" s="9">
        <v>50.0</v>
      </c>
      <c r="R355" s="9">
        <v>187.0</v>
      </c>
      <c r="S355" s="3">
        <f t="shared" si="1"/>
        <v>2.224702381</v>
      </c>
    </row>
    <row r="356" ht="16.5" customHeight="1">
      <c r="A356" s="9" t="s">
        <v>242</v>
      </c>
      <c r="B356" s="16">
        <v>45976.0</v>
      </c>
      <c r="C356" s="9" t="s">
        <v>49</v>
      </c>
      <c r="D356" s="9" t="s">
        <v>243</v>
      </c>
      <c r="E356" s="9">
        <v>672.0</v>
      </c>
      <c r="F356" s="9" t="s">
        <v>51</v>
      </c>
      <c r="G356" s="9" t="s">
        <v>58</v>
      </c>
      <c r="H356" s="9" t="s">
        <v>58</v>
      </c>
      <c r="I356" s="9" t="s">
        <v>53</v>
      </c>
      <c r="J356" s="9" t="s">
        <v>83</v>
      </c>
      <c r="K356" s="9" t="s">
        <v>82</v>
      </c>
      <c r="L356" s="9" t="s">
        <v>61</v>
      </c>
      <c r="M356" s="9">
        <v>7.0</v>
      </c>
      <c r="N356" s="9">
        <v>10.0</v>
      </c>
      <c r="O356" s="9">
        <v>0.0</v>
      </c>
      <c r="P356" s="9">
        <v>1145.0</v>
      </c>
      <c r="Q356" s="9">
        <v>141.0</v>
      </c>
      <c r="R356" s="9">
        <v>257.0</v>
      </c>
      <c r="S356" s="3">
        <f t="shared" si="1"/>
        <v>1.703869048</v>
      </c>
    </row>
    <row r="357" ht="16.5" customHeight="1">
      <c r="A357" s="9" t="s">
        <v>242</v>
      </c>
      <c r="B357" s="16">
        <v>45976.0</v>
      </c>
      <c r="C357" s="9" t="s">
        <v>49</v>
      </c>
      <c r="D357" s="9" t="s">
        <v>243</v>
      </c>
      <c r="E357" s="9">
        <v>672.0</v>
      </c>
      <c r="F357" s="9" t="s">
        <v>51</v>
      </c>
      <c r="G357" s="9" t="s">
        <v>58</v>
      </c>
      <c r="H357" s="9" t="s">
        <v>58</v>
      </c>
      <c r="I357" s="9" t="s">
        <v>53</v>
      </c>
      <c r="J357" s="9" t="s">
        <v>83</v>
      </c>
      <c r="K357" s="9" t="s">
        <v>82</v>
      </c>
      <c r="L357" s="9" t="s">
        <v>55</v>
      </c>
      <c r="M357" s="9">
        <v>3.0</v>
      </c>
      <c r="N357" s="9">
        <v>10.0</v>
      </c>
      <c r="O357" s="9">
        <v>2.0</v>
      </c>
      <c r="P357" s="9">
        <v>1367.0</v>
      </c>
      <c r="Q357" s="9">
        <v>116.0</v>
      </c>
      <c r="R357" s="9">
        <v>257.0</v>
      </c>
      <c r="S357" s="3">
        <f t="shared" si="1"/>
        <v>2.03422619</v>
      </c>
    </row>
    <row r="358" ht="16.5" customHeight="1">
      <c r="A358" s="9" t="s">
        <v>244</v>
      </c>
      <c r="B358" s="16">
        <v>45976.0</v>
      </c>
      <c r="C358" s="9" t="s">
        <v>49</v>
      </c>
      <c r="D358" s="9" t="s">
        <v>245</v>
      </c>
      <c r="E358" s="9">
        <v>763.0</v>
      </c>
      <c r="F358" s="9" t="s">
        <v>51</v>
      </c>
      <c r="G358" s="9" t="s">
        <v>52</v>
      </c>
      <c r="H358" s="9" t="s">
        <v>52</v>
      </c>
      <c r="I358" s="9" t="s">
        <v>53</v>
      </c>
      <c r="J358" s="9" t="s">
        <v>70</v>
      </c>
      <c r="K358" s="9" t="s">
        <v>88</v>
      </c>
      <c r="L358" s="9" t="s">
        <v>55</v>
      </c>
      <c r="M358" s="9">
        <v>6.0</v>
      </c>
      <c r="N358" s="9">
        <v>10.0</v>
      </c>
      <c r="O358" s="9">
        <v>1.0</v>
      </c>
      <c r="P358" s="9">
        <v>1550.0</v>
      </c>
      <c r="Q358" s="9">
        <v>146.0</v>
      </c>
      <c r="R358" s="9">
        <v>275.0</v>
      </c>
      <c r="S358" s="3">
        <f t="shared" si="1"/>
        <v>2.031454784</v>
      </c>
    </row>
    <row r="359" ht="16.5" customHeight="1">
      <c r="A359" s="9" t="s">
        <v>244</v>
      </c>
      <c r="B359" s="16">
        <v>45976.0</v>
      </c>
      <c r="C359" s="9" t="s">
        <v>49</v>
      </c>
      <c r="D359" s="9" t="s">
        <v>245</v>
      </c>
      <c r="E359" s="9">
        <v>763.0</v>
      </c>
      <c r="F359" s="9" t="s">
        <v>51</v>
      </c>
      <c r="G359" s="9" t="s">
        <v>52</v>
      </c>
      <c r="H359" s="9" t="s">
        <v>52</v>
      </c>
      <c r="I359" s="9" t="s">
        <v>53</v>
      </c>
      <c r="J359" s="9" t="s">
        <v>70</v>
      </c>
      <c r="K359" s="9" t="s">
        <v>88</v>
      </c>
      <c r="L359" s="9" t="s">
        <v>60</v>
      </c>
      <c r="M359" s="9">
        <v>4.0</v>
      </c>
      <c r="N359" s="9">
        <v>10.0</v>
      </c>
      <c r="O359" s="9">
        <v>1.0</v>
      </c>
      <c r="P359" s="9">
        <v>1914.0</v>
      </c>
      <c r="Q359" s="9">
        <v>129.0</v>
      </c>
      <c r="R359" s="9">
        <v>275.0</v>
      </c>
      <c r="S359" s="3">
        <f t="shared" si="1"/>
        <v>2.508519004</v>
      </c>
    </row>
    <row r="360" ht="16.5" customHeight="1">
      <c r="A360" s="9" t="s">
        <v>244</v>
      </c>
      <c r="B360" s="16">
        <v>45976.0</v>
      </c>
      <c r="C360" s="9" t="s">
        <v>49</v>
      </c>
      <c r="D360" s="9" t="s">
        <v>245</v>
      </c>
      <c r="E360" s="9">
        <v>763.0</v>
      </c>
      <c r="F360" s="9" t="s">
        <v>51</v>
      </c>
      <c r="G360" s="9" t="s">
        <v>52</v>
      </c>
      <c r="H360" s="9" t="s">
        <v>58</v>
      </c>
      <c r="I360" s="9" t="s">
        <v>59</v>
      </c>
      <c r="J360" s="9" t="s">
        <v>88</v>
      </c>
      <c r="K360" s="9" t="s">
        <v>70</v>
      </c>
      <c r="L360" s="9" t="s">
        <v>61</v>
      </c>
      <c r="M360" s="9">
        <v>8.0</v>
      </c>
      <c r="N360" s="9">
        <v>8.0</v>
      </c>
      <c r="O360" s="9">
        <v>0.0</v>
      </c>
      <c r="P360" s="9">
        <v>1031.0</v>
      </c>
      <c r="Q360" s="9">
        <v>168.0</v>
      </c>
      <c r="R360" s="9">
        <v>244.0</v>
      </c>
      <c r="S360" s="3">
        <f t="shared" si="1"/>
        <v>1.351245085</v>
      </c>
    </row>
    <row r="361" ht="16.5" customHeight="1">
      <c r="A361" s="9" t="s">
        <v>244</v>
      </c>
      <c r="B361" s="16">
        <v>45976.0</v>
      </c>
      <c r="C361" s="9" t="s">
        <v>49</v>
      </c>
      <c r="D361" s="9" t="s">
        <v>245</v>
      </c>
      <c r="E361" s="9">
        <v>763.0</v>
      </c>
      <c r="F361" s="9" t="s">
        <v>51</v>
      </c>
      <c r="G361" s="9" t="s">
        <v>52</v>
      </c>
      <c r="H361" s="9" t="s">
        <v>58</v>
      </c>
      <c r="I361" s="9" t="s">
        <v>59</v>
      </c>
      <c r="J361" s="9" t="s">
        <v>88</v>
      </c>
      <c r="K361" s="9" t="s">
        <v>70</v>
      </c>
      <c r="L361" s="9" t="s">
        <v>77</v>
      </c>
      <c r="M361" s="9">
        <v>0.0</v>
      </c>
      <c r="N361" s="9">
        <v>8.0</v>
      </c>
      <c r="O361" s="9">
        <v>0.0</v>
      </c>
      <c r="P361" s="9">
        <v>2454.0</v>
      </c>
      <c r="Q361" s="9">
        <v>76.0</v>
      </c>
      <c r="R361" s="9">
        <v>244.0</v>
      </c>
      <c r="S361" s="3">
        <f t="shared" si="1"/>
        <v>3.216251638</v>
      </c>
    </row>
    <row r="362" ht="16.5" customHeight="1">
      <c r="A362" s="9" t="s">
        <v>246</v>
      </c>
      <c r="B362" s="16">
        <v>45976.0</v>
      </c>
      <c r="C362" s="9" t="s">
        <v>49</v>
      </c>
      <c r="D362" s="9" t="s">
        <v>247</v>
      </c>
      <c r="E362" s="9">
        <v>718.0</v>
      </c>
      <c r="F362" s="9" t="s">
        <v>51</v>
      </c>
      <c r="G362" s="9" t="s">
        <v>58</v>
      </c>
      <c r="H362" s="9" t="s">
        <v>52</v>
      </c>
      <c r="I362" s="9" t="s">
        <v>59</v>
      </c>
      <c r="J362" s="9" t="s">
        <v>76</v>
      </c>
      <c r="K362" s="9" t="s">
        <v>56</v>
      </c>
      <c r="L362" s="9" t="s">
        <v>55</v>
      </c>
      <c r="M362" s="9">
        <v>6.0</v>
      </c>
      <c r="N362" s="9">
        <v>8.0</v>
      </c>
      <c r="O362" s="9">
        <v>0.0</v>
      </c>
      <c r="P362" s="9">
        <v>1697.0</v>
      </c>
      <c r="Q362" s="9">
        <v>147.0</v>
      </c>
      <c r="R362" s="9">
        <v>241.0</v>
      </c>
      <c r="S362" s="3">
        <f t="shared" si="1"/>
        <v>2.363509749</v>
      </c>
    </row>
    <row r="363" ht="16.5" customHeight="1">
      <c r="A363" s="9" t="s">
        <v>246</v>
      </c>
      <c r="B363" s="16">
        <v>45976.0</v>
      </c>
      <c r="C363" s="9" t="s">
        <v>49</v>
      </c>
      <c r="D363" s="9" t="s">
        <v>247</v>
      </c>
      <c r="E363" s="9">
        <v>718.0</v>
      </c>
      <c r="F363" s="9" t="s">
        <v>51</v>
      </c>
      <c r="G363" s="9" t="s">
        <v>58</v>
      </c>
      <c r="H363" s="9" t="s">
        <v>52</v>
      </c>
      <c r="I363" s="9" t="s">
        <v>59</v>
      </c>
      <c r="J363" s="9" t="s">
        <v>76</v>
      </c>
      <c r="K363" s="9" t="s">
        <v>56</v>
      </c>
      <c r="L363" s="9" t="s">
        <v>77</v>
      </c>
      <c r="M363" s="9">
        <v>2.0</v>
      </c>
      <c r="N363" s="9">
        <v>8.0</v>
      </c>
      <c r="O363" s="9">
        <v>0.0</v>
      </c>
      <c r="P363" s="9">
        <v>2064.0</v>
      </c>
      <c r="Q363" s="9">
        <v>94.0</v>
      </c>
      <c r="R363" s="9">
        <v>241.0</v>
      </c>
      <c r="S363" s="3">
        <f t="shared" si="1"/>
        <v>2.874651811</v>
      </c>
    </row>
    <row r="364" ht="16.5" customHeight="1">
      <c r="A364" s="9" t="s">
        <v>246</v>
      </c>
      <c r="B364" s="16">
        <v>45976.0</v>
      </c>
      <c r="C364" s="9" t="s">
        <v>49</v>
      </c>
      <c r="D364" s="9" t="s">
        <v>247</v>
      </c>
      <c r="E364" s="9">
        <v>718.0</v>
      </c>
      <c r="F364" s="9" t="s">
        <v>51</v>
      </c>
      <c r="G364" s="9" t="s">
        <v>58</v>
      </c>
      <c r="H364" s="9" t="s">
        <v>58</v>
      </c>
      <c r="I364" s="9" t="s">
        <v>53</v>
      </c>
      <c r="J364" s="9" t="s">
        <v>56</v>
      </c>
      <c r="K364" s="9" t="s">
        <v>76</v>
      </c>
      <c r="L364" s="9" t="s">
        <v>60</v>
      </c>
      <c r="M364" s="9">
        <v>5.0</v>
      </c>
      <c r="N364" s="9">
        <v>10.0</v>
      </c>
      <c r="O364" s="9">
        <v>0.0</v>
      </c>
      <c r="P364" s="9">
        <v>1969.0</v>
      </c>
      <c r="Q364" s="9">
        <v>146.0</v>
      </c>
      <c r="R364" s="9">
        <v>285.0</v>
      </c>
      <c r="S364" s="3">
        <f t="shared" si="1"/>
        <v>2.742339833</v>
      </c>
    </row>
    <row r="365" ht="16.5" customHeight="1">
      <c r="A365" s="9" t="s">
        <v>246</v>
      </c>
      <c r="B365" s="16">
        <v>45976.0</v>
      </c>
      <c r="C365" s="9" t="s">
        <v>49</v>
      </c>
      <c r="D365" s="9" t="s">
        <v>247</v>
      </c>
      <c r="E365" s="9">
        <v>718.0</v>
      </c>
      <c r="F365" s="9" t="s">
        <v>51</v>
      </c>
      <c r="G365" s="9" t="s">
        <v>58</v>
      </c>
      <c r="H365" s="9" t="s">
        <v>58</v>
      </c>
      <c r="I365" s="9" t="s">
        <v>53</v>
      </c>
      <c r="J365" s="9" t="s">
        <v>56</v>
      </c>
      <c r="K365" s="9" t="s">
        <v>76</v>
      </c>
      <c r="L365" s="9" t="s">
        <v>61</v>
      </c>
      <c r="M365" s="9">
        <v>5.0</v>
      </c>
      <c r="N365" s="9">
        <v>10.0</v>
      </c>
      <c r="O365" s="9">
        <v>1.0</v>
      </c>
      <c r="P365" s="9">
        <v>1487.0</v>
      </c>
      <c r="Q365" s="9">
        <v>139.0</v>
      </c>
      <c r="R365" s="9">
        <v>285.0</v>
      </c>
      <c r="S365" s="3">
        <f t="shared" si="1"/>
        <v>2.071030641</v>
      </c>
    </row>
    <row r="366" ht="16.5" customHeight="1">
      <c r="A366" s="9" t="s">
        <v>248</v>
      </c>
      <c r="B366" s="16">
        <v>45976.0</v>
      </c>
      <c r="C366" s="9" t="s">
        <v>49</v>
      </c>
      <c r="D366" s="9" t="s">
        <v>249</v>
      </c>
      <c r="E366" s="9">
        <v>877.0</v>
      </c>
      <c r="F366" s="9" t="s">
        <v>51</v>
      </c>
      <c r="G366" s="9" t="s">
        <v>52</v>
      </c>
      <c r="H366" s="9" t="s">
        <v>52</v>
      </c>
      <c r="I366" s="9" t="s">
        <v>53</v>
      </c>
      <c r="J366" s="9" t="s">
        <v>76</v>
      </c>
      <c r="K366" s="9" t="s">
        <v>56</v>
      </c>
      <c r="L366" s="9" t="s">
        <v>55</v>
      </c>
      <c r="M366" s="9">
        <v>8.0</v>
      </c>
      <c r="N366" s="9">
        <v>10.0</v>
      </c>
      <c r="O366" s="9">
        <v>1.0</v>
      </c>
      <c r="P366" s="9">
        <v>1929.0</v>
      </c>
      <c r="Q366" s="9">
        <v>189.0</v>
      </c>
      <c r="R366" s="9">
        <v>269.0</v>
      </c>
      <c r="S366" s="3">
        <f t="shared" si="1"/>
        <v>2.1995439</v>
      </c>
    </row>
    <row r="367" ht="16.5" customHeight="1">
      <c r="A367" s="9" t="s">
        <v>248</v>
      </c>
      <c r="B367" s="16">
        <v>45976.0</v>
      </c>
      <c r="C367" s="9" t="s">
        <v>49</v>
      </c>
      <c r="D367" s="9" t="s">
        <v>249</v>
      </c>
      <c r="E367" s="9">
        <v>877.0</v>
      </c>
      <c r="F367" s="9" t="s">
        <v>51</v>
      </c>
      <c r="G367" s="9" t="s">
        <v>52</v>
      </c>
      <c r="H367" s="9" t="s">
        <v>52</v>
      </c>
      <c r="I367" s="9" t="s">
        <v>53</v>
      </c>
      <c r="J367" s="9" t="s">
        <v>76</v>
      </c>
      <c r="K367" s="9" t="s">
        <v>56</v>
      </c>
      <c r="L367" s="9" t="s">
        <v>77</v>
      </c>
      <c r="M367" s="9">
        <v>2.0</v>
      </c>
      <c r="N367" s="9">
        <v>10.0</v>
      </c>
      <c r="O367" s="9">
        <v>0.0</v>
      </c>
      <c r="P367" s="9">
        <v>1405.0</v>
      </c>
      <c r="Q367" s="9">
        <v>80.0</v>
      </c>
      <c r="R367" s="9">
        <v>269.0</v>
      </c>
      <c r="S367" s="3">
        <f t="shared" si="1"/>
        <v>1.602052452</v>
      </c>
    </row>
    <row r="368" ht="16.5" customHeight="1">
      <c r="A368" s="9" t="s">
        <v>248</v>
      </c>
      <c r="B368" s="16">
        <v>45976.0</v>
      </c>
      <c r="C368" s="9" t="s">
        <v>49</v>
      </c>
      <c r="D368" s="9" t="s">
        <v>249</v>
      </c>
      <c r="E368" s="9">
        <v>877.0</v>
      </c>
      <c r="F368" s="9" t="s">
        <v>51</v>
      </c>
      <c r="G368" s="9" t="s">
        <v>52</v>
      </c>
      <c r="H368" s="9" t="s">
        <v>58</v>
      </c>
      <c r="I368" s="9" t="s">
        <v>59</v>
      </c>
      <c r="J368" s="9" t="s">
        <v>56</v>
      </c>
      <c r="K368" s="9" t="s">
        <v>76</v>
      </c>
      <c r="L368" s="9" t="s">
        <v>61</v>
      </c>
      <c r="M368" s="9">
        <v>4.0</v>
      </c>
      <c r="N368" s="9">
        <v>7.0</v>
      </c>
      <c r="O368" s="9">
        <v>0.0</v>
      </c>
      <c r="P368" s="9">
        <v>2253.0</v>
      </c>
      <c r="Q368" s="9">
        <v>134.0</v>
      </c>
      <c r="R368" s="9">
        <v>240.0</v>
      </c>
      <c r="S368" s="3">
        <f t="shared" si="1"/>
        <v>2.568985177</v>
      </c>
    </row>
    <row r="369" ht="16.5" customHeight="1">
      <c r="A369" s="9" t="s">
        <v>248</v>
      </c>
      <c r="B369" s="16">
        <v>45976.0</v>
      </c>
      <c r="C369" s="9" t="s">
        <v>49</v>
      </c>
      <c r="D369" s="9" t="s">
        <v>249</v>
      </c>
      <c r="E369" s="9">
        <v>877.0</v>
      </c>
      <c r="F369" s="9" t="s">
        <v>51</v>
      </c>
      <c r="G369" s="9" t="s">
        <v>52</v>
      </c>
      <c r="H369" s="9" t="s">
        <v>58</v>
      </c>
      <c r="I369" s="9" t="s">
        <v>59</v>
      </c>
      <c r="J369" s="9" t="s">
        <v>56</v>
      </c>
      <c r="K369" s="9" t="s">
        <v>76</v>
      </c>
      <c r="L369" s="9" t="s">
        <v>60</v>
      </c>
      <c r="M369" s="9">
        <v>3.0</v>
      </c>
      <c r="N369" s="9">
        <v>7.0</v>
      </c>
      <c r="O369" s="9">
        <v>0.0</v>
      </c>
      <c r="P369" s="9">
        <v>1587.0</v>
      </c>
      <c r="Q369" s="9">
        <v>106.0</v>
      </c>
      <c r="R369" s="9">
        <v>240.0</v>
      </c>
      <c r="S369" s="3">
        <f t="shared" si="1"/>
        <v>1.809578107</v>
      </c>
    </row>
    <row r="370" ht="16.5" customHeight="1">
      <c r="A370" s="9" t="s">
        <v>250</v>
      </c>
      <c r="B370" s="16">
        <v>45976.0</v>
      </c>
      <c r="C370" s="9" t="s">
        <v>49</v>
      </c>
      <c r="D370" s="9" t="s">
        <v>251</v>
      </c>
      <c r="E370" s="9">
        <v>440.0</v>
      </c>
      <c r="F370" s="9" t="s">
        <v>51</v>
      </c>
      <c r="G370" s="9" t="s">
        <v>58</v>
      </c>
      <c r="H370" s="9" t="s">
        <v>52</v>
      </c>
      <c r="I370" s="9" t="s">
        <v>59</v>
      </c>
      <c r="J370" s="9" t="s">
        <v>76</v>
      </c>
      <c r="K370" s="9" t="s">
        <v>56</v>
      </c>
      <c r="L370" s="9" t="s">
        <v>55</v>
      </c>
      <c r="M370" s="9">
        <v>2.0</v>
      </c>
      <c r="N370" s="9">
        <v>2.0</v>
      </c>
      <c r="O370" s="9">
        <v>0.0</v>
      </c>
      <c r="P370" s="9">
        <v>743.0</v>
      </c>
      <c r="Q370" s="9">
        <v>62.0</v>
      </c>
      <c r="R370" s="9">
        <v>102.0</v>
      </c>
      <c r="S370" s="3">
        <f t="shared" si="1"/>
        <v>1.688636364</v>
      </c>
    </row>
    <row r="371" ht="16.5" customHeight="1">
      <c r="A371" s="9" t="s">
        <v>250</v>
      </c>
      <c r="B371" s="16">
        <v>45976.0</v>
      </c>
      <c r="C371" s="9" t="s">
        <v>49</v>
      </c>
      <c r="D371" s="9" t="s">
        <v>251</v>
      </c>
      <c r="E371" s="9">
        <v>440.0</v>
      </c>
      <c r="F371" s="9" t="s">
        <v>51</v>
      </c>
      <c r="G371" s="9" t="s">
        <v>58</v>
      </c>
      <c r="H371" s="9" t="s">
        <v>52</v>
      </c>
      <c r="I371" s="9" t="s">
        <v>59</v>
      </c>
      <c r="J371" s="9" t="s">
        <v>76</v>
      </c>
      <c r="K371" s="9" t="s">
        <v>56</v>
      </c>
      <c r="L371" s="9" t="s">
        <v>77</v>
      </c>
      <c r="M371" s="9">
        <v>0.0</v>
      </c>
      <c r="N371" s="9">
        <v>2.0</v>
      </c>
      <c r="O371" s="9">
        <v>0.0</v>
      </c>
      <c r="P371" s="9">
        <v>1387.0</v>
      </c>
      <c r="Q371" s="9">
        <v>40.0</v>
      </c>
      <c r="R371" s="9">
        <v>102.0</v>
      </c>
      <c r="S371" s="3">
        <f t="shared" si="1"/>
        <v>3.152272727</v>
      </c>
    </row>
    <row r="372" ht="16.5" customHeight="1">
      <c r="A372" s="9" t="s">
        <v>250</v>
      </c>
      <c r="B372" s="16">
        <v>45976.0</v>
      </c>
      <c r="C372" s="9" t="s">
        <v>49</v>
      </c>
      <c r="D372" s="9" t="s">
        <v>251</v>
      </c>
      <c r="E372" s="9">
        <v>440.0</v>
      </c>
      <c r="F372" s="9" t="s">
        <v>51</v>
      </c>
      <c r="G372" s="9" t="s">
        <v>58</v>
      </c>
      <c r="H372" s="9" t="s">
        <v>58</v>
      </c>
      <c r="I372" s="9" t="s">
        <v>53</v>
      </c>
      <c r="J372" s="9" t="s">
        <v>56</v>
      </c>
      <c r="K372" s="9" t="s">
        <v>76</v>
      </c>
      <c r="L372" s="9" t="s">
        <v>61</v>
      </c>
      <c r="M372" s="9">
        <v>6.0</v>
      </c>
      <c r="N372" s="9">
        <v>10.0</v>
      </c>
      <c r="O372" s="9">
        <v>0.0</v>
      </c>
      <c r="P372" s="9">
        <v>1023.0</v>
      </c>
      <c r="Q372" s="9">
        <v>110.0</v>
      </c>
      <c r="R372" s="9">
        <v>192.0</v>
      </c>
      <c r="S372" s="3">
        <f t="shared" si="1"/>
        <v>2.325</v>
      </c>
    </row>
    <row r="373" ht="16.5" customHeight="1">
      <c r="A373" s="9" t="s">
        <v>250</v>
      </c>
      <c r="B373" s="16">
        <v>45976.0</v>
      </c>
      <c r="C373" s="9" t="s">
        <v>49</v>
      </c>
      <c r="D373" s="9" t="s">
        <v>251</v>
      </c>
      <c r="E373" s="9">
        <v>440.0</v>
      </c>
      <c r="F373" s="9" t="s">
        <v>51</v>
      </c>
      <c r="G373" s="9" t="s">
        <v>58</v>
      </c>
      <c r="H373" s="9" t="s">
        <v>58</v>
      </c>
      <c r="I373" s="9" t="s">
        <v>53</v>
      </c>
      <c r="J373" s="9" t="s">
        <v>56</v>
      </c>
      <c r="K373" s="9" t="s">
        <v>76</v>
      </c>
      <c r="L373" s="9" t="s">
        <v>60</v>
      </c>
      <c r="M373" s="9">
        <v>4.0</v>
      </c>
      <c r="N373" s="9">
        <v>10.0</v>
      </c>
      <c r="O373" s="9">
        <v>0.0</v>
      </c>
      <c r="P373" s="9">
        <v>946.0</v>
      </c>
      <c r="Q373" s="9">
        <v>82.0</v>
      </c>
      <c r="R373" s="9">
        <v>192.0</v>
      </c>
      <c r="S373" s="3">
        <f t="shared" si="1"/>
        <v>2.15</v>
      </c>
    </row>
    <row r="374" ht="16.5" customHeight="1">
      <c r="A374" s="9" t="s">
        <v>252</v>
      </c>
      <c r="B374" s="16">
        <v>45976.0</v>
      </c>
      <c r="C374" s="9" t="s">
        <v>49</v>
      </c>
      <c r="D374" s="9" t="s">
        <v>253</v>
      </c>
      <c r="E374" s="9">
        <v>750.0</v>
      </c>
      <c r="F374" s="9" t="s">
        <v>51</v>
      </c>
      <c r="G374" s="9" t="s">
        <v>58</v>
      </c>
      <c r="H374" s="9" t="s">
        <v>52</v>
      </c>
      <c r="I374" s="9" t="s">
        <v>59</v>
      </c>
      <c r="J374" s="9" t="s">
        <v>76</v>
      </c>
      <c r="K374" s="9" t="s">
        <v>56</v>
      </c>
      <c r="L374" s="9" t="s">
        <v>55</v>
      </c>
      <c r="M374" s="9">
        <v>9.0</v>
      </c>
      <c r="N374" s="9">
        <v>9.0</v>
      </c>
      <c r="O374" s="9">
        <v>0.0</v>
      </c>
      <c r="P374" s="9">
        <v>1395.0</v>
      </c>
      <c r="Q374" s="9">
        <v>175.0</v>
      </c>
      <c r="R374" s="9">
        <v>236.0</v>
      </c>
      <c r="S374" s="3">
        <f t="shared" si="1"/>
        <v>1.86</v>
      </c>
    </row>
    <row r="375" ht="16.5" customHeight="1">
      <c r="A375" s="9" t="s">
        <v>252</v>
      </c>
      <c r="B375" s="16">
        <v>45976.0</v>
      </c>
      <c r="C375" s="9" t="s">
        <v>49</v>
      </c>
      <c r="D375" s="9" t="s">
        <v>253</v>
      </c>
      <c r="E375" s="9">
        <v>750.0</v>
      </c>
      <c r="F375" s="9" t="s">
        <v>51</v>
      </c>
      <c r="G375" s="9" t="s">
        <v>58</v>
      </c>
      <c r="H375" s="9" t="s">
        <v>52</v>
      </c>
      <c r="I375" s="9" t="s">
        <v>59</v>
      </c>
      <c r="J375" s="9" t="s">
        <v>76</v>
      </c>
      <c r="K375" s="9" t="s">
        <v>56</v>
      </c>
      <c r="L375" s="9" t="s">
        <v>77</v>
      </c>
      <c r="M375" s="9">
        <v>0.0</v>
      </c>
      <c r="N375" s="9">
        <v>9.0</v>
      </c>
      <c r="O375" s="9">
        <v>1.0</v>
      </c>
      <c r="P375" s="9">
        <v>1604.0</v>
      </c>
      <c r="Q375" s="9">
        <v>61.0</v>
      </c>
      <c r="R375" s="9">
        <v>236.0</v>
      </c>
      <c r="S375" s="3">
        <f t="shared" si="1"/>
        <v>2.138666667</v>
      </c>
    </row>
    <row r="376" ht="16.5" customHeight="1">
      <c r="A376" s="9" t="s">
        <v>252</v>
      </c>
      <c r="B376" s="16">
        <v>45976.0</v>
      </c>
      <c r="C376" s="9" t="s">
        <v>49</v>
      </c>
      <c r="D376" s="9" t="s">
        <v>253</v>
      </c>
      <c r="E376" s="9">
        <v>750.0</v>
      </c>
      <c r="F376" s="9" t="s">
        <v>51</v>
      </c>
      <c r="G376" s="9" t="s">
        <v>58</v>
      </c>
      <c r="H376" s="9" t="s">
        <v>58</v>
      </c>
      <c r="I376" s="9" t="s">
        <v>53</v>
      </c>
      <c r="J376" s="9" t="s">
        <v>56</v>
      </c>
      <c r="K376" s="9" t="s">
        <v>76</v>
      </c>
      <c r="L376" s="9" t="s">
        <v>61</v>
      </c>
      <c r="M376" s="9">
        <v>6.0</v>
      </c>
      <c r="N376" s="9">
        <v>10.0</v>
      </c>
      <c r="O376" s="9">
        <v>0.0</v>
      </c>
      <c r="P376" s="9">
        <v>2002.0</v>
      </c>
      <c r="Q376" s="9">
        <v>144.0</v>
      </c>
      <c r="R376" s="9">
        <v>240.0</v>
      </c>
      <c r="S376" s="3">
        <f t="shared" si="1"/>
        <v>2.669333333</v>
      </c>
    </row>
    <row r="377" ht="16.5" customHeight="1">
      <c r="A377" s="9" t="s">
        <v>252</v>
      </c>
      <c r="B377" s="16">
        <v>45976.0</v>
      </c>
      <c r="C377" s="9" t="s">
        <v>49</v>
      </c>
      <c r="D377" s="9" t="s">
        <v>253</v>
      </c>
      <c r="E377" s="9">
        <v>750.0</v>
      </c>
      <c r="F377" s="9" t="s">
        <v>51</v>
      </c>
      <c r="G377" s="9" t="s">
        <v>58</v>
      </c>
      <c r="H377" s="9" t="s">
        <v>58</v>
      </c>
      <c r="I377" s="9" t="s">
        <v>53</v>
      </c>
      <c r="J377" s="9" t="s">
        <v>56</v>
      </c>
      <c r="K377" s="9" t="s">
        <v>76</v>
      </c>
      <c r="L377" s="9" t="s">
        <v>60</v>
      </c>
      <c r="M377" s="9">
        <v>4.0</v>
      </c>
      <c r="N377" s="9">
        <v>10.0</v>
      </c>
      <c r="O377" s="9">
        <v>0.0</v>
      </c>
      <c r="P377" s="9">
        <v>1114.0</v>
      </c>
      <c r="Q377" s="9">
        <v>96.0</v>
      </c>
      <c r="R377" s="9">
        <v>240.0</v>
      </c>
      <c r="S377" s="3">
        <f t="shared" si="1"/>
        <v>1.485333333</v>
      </c>
    </row>
    <row r="378" ht="16.5" customHeight="1">
      <c r="A378" s="9" t="s">
        <v>254</v>
      </c>
      <c r="B378" s="16">
        <v>45976.0</v>
      </c>
      <c r="C378" s="9" t="s">
        <v>49</v>
      </c>
      <c r="D378" s="9" t="s">
        <v>255</v>
      </c>
      <c r="E378" s="9">
        <v>614.0</v>
      </c>
      <c r="F378" s="9" t="s">
        <v>51</v>
      </c>
      <c r="G378" s="9" t="s">
        <v>58</v>
      </c>
      <c r="H378" s="9" t="s">
        <v>52</v>
      </c>
      <c r="I378" s="9" t="s">
        <v>59</v>
      </c>
      <c r="J378" s="9" t="s">
        <v>76</v>
      </c>
      <c r="K378" s="9" t="s">
        <v>56</v>
      </c>
      <c r="L378" s="9" t="s">
        <v>55</v>
      </c>
      <c r="M378" s="9">
        <v>5.0</v>
      </c>
      <c r="N378" s="9">
        <v>6.0</v>
      </c>
      <c r="O378" s="9">
        <v>0.0</v>
      </c>
      <c r="P378" s="9">
        <v>1540.0</v>
      </c>
      <c r="Q378" s="9">
        <v>130.0</v>
      </c>
      <c r="R378" s="9">
        <v>188.0</v>
      </c>
      <c r="S378" s="3">
        <f t="shared" si="1"/>
        <v>2.508143322</v>
      </c>
    </row>
    <row r="379" ht="16.5" customHeight="1">
      <c r="A379" s="9" t="s">
        <v>254</v>
      </c>
      <c r="B379" s="16">
        <v>45976.0</v>
      </c>
      <c r="C379" s="9" t="s">
        <v>49</v>
      </c>
      <c r="D379" s="9" t="s">
        <v>255</v>
      </c>
      <c r="E379" s="9">
        <v>614.0</v>
      </c>
      <c r="F379" s="9" t="s">
        <v>51</v>
      </c>
      <c r="G379" s="9" t="s">
        <v>58</v>
      </c>
      <c r="H379" s="9" t="s">
        <v>52</v>
      </c>
      <c r="I379" s="9" t="s">
        <v>59</v>
      </c>
      <c r="J379" s="9" t="s">
        <v>76</v>
      </c>
      <c r="K379" s="9" t="s">
        <v>56</v>
      </c>
      <c r="L379" s="9" t="s">
        <v>77</v>
      </c>
      <c r="M379" s="9">
        <v>1.0</v>
      </c>
      <c r="N379" s="9">
        <v>6.0</v>
      </c>
      <c r="O379" s="9">
        <v>0.0</v>
      </c>
      <c r="P379" s="9">
        <v>1269.0</v>
      </c>
      <c r="Q379" s="9">
        <v>58.0</v>
      </c>
      <c r="R379" s="9">
        <v>188.0</v>
      </c>
      <c r="S379" s="3">
        <f t="shared" si="1"/>
        <v>2.066775244</v>
      </c>
    </row>
    <row r="380" ht="16.5" customHeight="1">
      <c r="A380" s="9" t="s">
        <v>254</v>
      </c>
      <c r="B380" s="16">
        <v>45976.0</v>
      </c>
      <c r="C380" s="9" t="s">
        <v>49</v>
      </c>
      <c r="D380" s="9" t="s">
        <v>255</v>
      </c>
      <c r="E380" s="9">
        <v>614.0</v>
      </c>
      <c r="F380" s="9" t="s">
        <v>51</v>
      </c>
      <c r="G380" s="9" t="s">
        <v>58</v>
      </c>
      <c r="H380" s="9" t="s">
        <v>58</v>
      </c>
      <c r="I380" s="9" t="s">
        <v>53</v>
      </c>
      <c r="J380" s="9" t="s">
        <v>56</v>
      </c>
      <c r="K380" s="9" t="s">
        <v>76</v>
      </c>
      <c r="L380" s="9" t="s">
        <v>60</v>
      </c>
      <c r="M380" s="9">
        <v>5.0</v>
      </c>
      <c r="N380" s="9">
        <v>10.0</v>
      </c>
      <c r="O380" s="9">
        <v>2.0</v>
      </c>
      <c r="P380" s="9">
        <v>1574.0</v>
      </c>
      <c r="Q380" s="9">
        <v>132.0</v>
      </c>
      <c r="R380" s="9">
        <v>254.0</v>
      </c>
      <c r="S380" s="3">
        <f t="shared" si="1"/>
        <v>2.563517915</v>
      </c>
    </row>
    <row r="381" ht="16.5" customHeight="1">
      <c r="A381" s="9" t="s">
        <v>254</v>
      </c>
      <c r="B381" s="16">
        <v>45976.0</v>
      </c>
      <c r="C381" s="9" t="s">
        <v>49</v>
      </c>
      <c r="D381" s="9" t="s">
        <v>255</v>
      </c>
      <c r="E381" s="9">
        <v>614.0</v>
      </c>
      <c r="F381" s="9" t="s">
        <v>51</v>
      </c>
      <c r="G381" s="9" t="s">
        <v>58</v>
      </c>
      <c r="H381" s="9" t="s">
        <v>58</v>
      </c>
      <c r="I381" s="9" t="s">
        <v>53</v>
      </c>
      <c r="J381" s="9" t="s">
        <v>56</v>
      </c>
      <c r="K381" s="9" t="s">
        <v>76</v>
      </c>
      <c r="L381" s="9" t="s">
        <v>61</v>
      </c>
      <c r="M381" s="9">
        <v>5.0</v>
      </c>
      <c r="N381" s="9">
        <v>10.0</v>
      </c>
      <c r="O381" s="9">
        <v>1.0</v>
      </c>
      <c r="P381" s="9">
        <v>1019.0</v>
      </c>
      <c r="Q381" s="9">
        <v>122.0</v>
      </c>
      <c r="R381" s="9">
        <v>254.0</v>
      </c>
      <c r="S381" s="3">
        <f t="shared" si="1"/>
        <v>1.659609121</v>
      </c>
    </row>
    <row r="382" ht="16.5" customHeight="1">
      <c r="A382" s="9" t="s">
        <v>256</v>
      </c>
      <c r="B382" s="16">
        <v>45976.0</v>
      </c>
      <c r="C382" s="9" t="s">
        <v>49</v>
      </c>
      <c r="D382" s="9" t="s">
        <v>223</v>
      </c>
      <c r="E382" s="9">
        <v>824.0</v>
      </c>
      <c r="F382" s="9" t="s">
        <v>51</v>
      </c>
      <c r="G382" s="9" t="s">
        <v>52</v>
      </c>
      <c r="H382" s="9" t="s">
        <v>52</v>
      </c>
      <c r="I382" s="9" t="s">
        <v>53</v>
      </c>
      <c r="J382" s="9" t="s">
        <v>54</v>
      </c>
      <c r="K382" s="9" t="s">
        <v>257</v>
      </c>
      <c r="L382" s="9" t="s">
        <v>57</v>
      </c>
      <c r="M382" s="9">
        <v>8.0</v>
      </c>
      <c r="N382" s="9">
        <v>10.0</v>
      </c>
      <c r="O382" s="9">
        <v>1.0</v>
      </c>
      <c r="P382" s="9">
        <v>1912.0</v>
      </c>
      <c r="Q382" s="9">
        <v>191.0</v>
      </c>
      <c r="R382" s="9">
        <v>342.0</v>
      </c>
      <c r="S382" s="3">
        <f t="shared" si="1"/>
        <v>2.32038835</v>
      </c>
    </row>
    <row r="383" ht="16.5" customHeight="1">
      <c r="A383" s="9" t="s">
        <v>256</v>
      </c>
      <c r="B383" s="16">
        <v>45976.0</v>
      </c>
      <c r="C383" s="9" t="s">
        <v>49</v>
      </c>
      <c r="D383" s="9" t="s">
        <v>223</v>
      </c>
      <c r="E383" s="9">
        <v>824.0</v>
      </c>
      <c r="F383" s="9" t="s">
        <v>51</v>
      </c>
      <c r="G383" s="9" t="s">
        <v>52</v>
      </c>
      <c r="H383" s="9" t="s">
        <v>52</v>
      </c>
      <c r="I383" s="9" t="s">
        <v>53</v>
      </c>
      <c r="J383" s="9" t="s">
        <v>54</v>
      </c>
      <c r="K383" s="9" t="s">
        <v>257</v>
      </c>
      <c r="L383" s="9" t="s">
        <v>55</v>
      </c>
      <c r="M383" s="9">
        <v>2.0</v>
      </c>
      <c r="N383" s="9">
        <v>10.0</v>
      </c>
      <c r="O383" s="9">
        <v>0.0</v>
      </c>
      <c r="P383" s="9">
        <v>3279.0</v>
      </c>
      <c r="Q383" s="9">
        <v>151.0</v>
      </c>
      <c r="R383" s="9">
        <v>342.0</v>
      </c>
      <c r="S383" s="3">
        <f t="shared" si="1"/>
        <v>3.979368932</v>
      </c>
    </row>
    <row r="384" ht="16.5" customHeight="1">
      <c r="A384" s="9" t="s">
        <v>256</v>
      </c>
      <c r="B384" s="16">
        <v>45976.0</v>
      </c>
      <c r="C384" s="9" t="s">
        <v>49</v>
      </c>
      <c r="D384" s="9" t="s">
        <v>223</v>
      </c>
      <c r="E384" s="9">
        <v>824.0</v>
      </c>
      <c r="F384" s="9" t="s">
        <v>51</v>
      </c>
      <c r="G384" s="9" t="s">
        <v>52</v>
      </c>
      <c r="H384" s="9" t="s">
        <v>58</v>
      </c>
      <c r="I384" s="9" t="s">
        <v>59</v>
      </c>
      <c r="J384" s="9" t="s">
        <v>257</v>
      </c>
      <c r="K384" s="9" t="s">
        <v>54</v>
      </c>
      <c r="L384" s="9" t="s">
        <v>61</v>
      </c>
      <c r="M384" s="9">
        <v>6.0</v>
      </c>
      <c r="N384" s="9">
        <v>9.0</v>
      </c>
      <c r="O384" s="9">
        <v>0.0</v>
      </c>
      <c r="P384" s="9">
        <v>2516.0</v>
      </c>
      <c r="Q384" s="9">
        <v>167.0</v>
      </c>
      <c r="R384" s="9">
        <v>257.0</v>
      </c>
      <c r="S384" s="3">
        <f t="shared" si="1"/>
        <v>3.053398058</v>
      </c>
    </row>
    <row r="385" ht="16.5" customHeight="1">
      <c r="A385" s="9" t="s">
        <v>256</v>
      </c>
      <c r="B385" s="16">
        <v>45976.0</v>
      </c>
      <c r="C385" s="9" t="s">
        <v>49</v>
      </c>
      <c r="D385" s="9" t="s">
        <v>223</v>
      </c>
      <c r="E385" s="9">
        <v>824.0</v>
      </c>
      <c r="F385" s="9" t="s">
        <v>51</v>
      </c>
      <c r="G385" s="9" t="s">
        <v>52</v>
      </c>
      <c r="H385" s="9" t="s">
        <v>58</v>
      </c>
      <c r="I385" s="9" t="s">
        <v>59</v>
      </c>
      <c r="J385" s="9" t="s">
        <v>257</v>
      </c>
      <c r="K385" s="9" t="s">
        <v>54</v>
      </c>
      <c r="L385" s="9" t="s">
        <v>100</v>
      </c>
      <c r="M385" s="9">
        <v>3.0</v>
      </c>
      <c r="N385" s="9">
        <v>9.0</v>
      </c>
      <c r="O385" s="9">
        <v>0.0</v>
      </c>
      <c r="P385" s="9">
        <v>1329.0</v>
      </c>
      <c r="Q385" s="9">
        <v>90.0</v>
      </c>
      <c r="R385" s="9">
        <v>257.0</v>
      </c>
      <c r="S385" s="3">
        <f t="shared" si="1"/>
        <v>1.612864078</v>
      </c>
    </row>
    <row r="386" ht="16.5" customHeight="1">
      <c r="A386" s="9" t="s">
        <v>258</v>
      </c>
      <c r="B386" s="16">
        <v>45976.0</v>
      </c>
      <c r="C386" s="9" t="s">
        <v>49</v>
      </c>
      <c r="D386" s="9" t="s">
        <v>259</v>
      </c>
      <c r="E386" s="9">
        <v>841.0</v>
      </c>
      <c r="F386" s="9" t="s">
        <v>51</v>
      </c>
      <c r="G386" s="9" t="s">
        <v>52</v>
      </c>
      <c r="H386" s="9" t="s">
        <v>52</v>
      </c>
      <c r="I386" s="9" t="s">
        <v>53</v>
      </c>
      <c r="J386" s="9" t="s">
        <v>260</v>
      </c>
      <c r="K386" s="9" t="s">
        <v>71</v>
      </c>
      <c r="L386" s="9" t="s">
        <v>55</v>
      </c>
      <c r="M386" s="9">
        <v>9.0</v>
      </c>
      <c r="N386" s="9">
        <v>10.0</v>
      </c>
      <c r="O386" s="9">
        <v>0.0</v>
      </c>
      <c r="P386" s="9">
        <v>2902.0</v>
      </c>
      <c r="Q386" s="9">
        <v>220.0</v>
      </c>
      <c r="R386" s="9">
        <v>312.0</v>
      </c>
      <c r="S386" s="3">
        <f t="shared" si="1"/>
        <v>3.450653983</v>
      </c>
    </row>
    <row r="387" ht="16.5" customHeight="1">
      <c r="A387" s="9" t="s">
        <v>258</v>
      </c>
      <c r="B387" s="16">
        <v>45976.0</v>
      </c>
      <c r="C387" s="9" t="s">
        <v>49</v>
      </c>
      <c r="D387" s="9" t="s">
        <v>259</v>
      </c>
      <c r="E387" s="9">
        <v>841.0</v>
      </c>
      <c r="F387" s="9" t="s">
        <v>51</v>
      </c>
      <c r="G387" s="9" t="s">
        <v>52</v>
      </c>
      <c r="H387" s="9" t="s">
        <v>52</v>
      </c>
      <c r="I387" s="9" t="s">
        <v>53</v>
      </c>
      <c r="J387" s="9" t="s">
        <v>260</v>
      </c>
      <c r="K387" s="9" t="s">
        <v>71</v>
      </c>
      <c r="L387" s="9" t="s">
        <v>100</v>
      </c>
      <c r="M387" s="9">
        <v>1.0</v>
      </c>
      <c r="N387" s="9">
        <v>10.0</v>
      </c>
      <c r="O387" s="9">
        <v>1.0</v>
      </c>
      <c r="P387" s="9">
        <v>2016.0</v>
      </c>
      <c r="Q387" s="9">
        <v>92.0</v>
      </c>
      <c r="R387" s="9">
        <v>312.0</v>
      </c>
      <c r="S387" s="3">
        <f t="shared" si="1"/>
        <v>2.397146254</v>
      </c>
    </row>
    <row r="388" ht="16.5" customHeight="1">
      <c r="A388" s="9" t="s">
        <v>258</v>
      </c>
      <c r="B388" s="16">
        <v>45976.0</v>
      </c>
      <c r="C388" s="9" t="s">
        <v>49</v>
      </c>
      <c r="D388" s="9" t="s">
        <v>259</v>
      </c>
      <c r="E388" s="9">
        <v>841.0</v>
      </c>
      <c r="F388" s="9" t="s">
        <v>51</v>
      </c>
      <c r="G388" s="9" t="s">
        <v>52</v>
      </c>
      <c r="H388" s="9" t="s">
        <v>58</v>
      </c>
      <c r="I388" s="9" t="s">
        <v>59</v>
      </c>
      <c r="J388" s="9" t="s">
        <v>71</v>
      </c>
      <c r="K388" s="9" t="s">
        <v>260</v>
      </c>
      <c r="L388" s="9" t="s">
        <v>61</v>
      </c>
      <c r="M388" s="9">
        <v>4.0</v>
      </c>
      <c r="N388" s="9">
        <v>7.0</v>
      </c>
      <c r="O388" s="9">
        <v>1.0</v>
      </c>
      <c r="P388" s="9">
        <v>2155.0</v>
      </c>
      <c r="Q388" s="9">
        <v>145.0</v>
      </c>
      <c r="R388" s="9">
        <v>285.0</v>
      </c>
      <c r="S388" s="3">
        <f t="shared" si="1"/>
        <v>2.562425684</v>
      </c>
    </row>
    <row r="389" ht="16.5" customHeight="1">
      <c r="A389" s="9" t="s">
        <v>258</v>
      </c>
      <c r="B389" s="16">
        <v>45976.0</v>
      </c>
      <c r="C389" s="9" t="s">
        <v>49</v>
      </c>
      <c r="D389" s="9" t="s">
        <v>259</v>
      </c>
      <c r="E389" s="9">
        <v>841.0</v>
      </c>
      <c r="F389" s="9" t="s">
        <v>51</v>
      </c>
      <c r="G389" s="9" t="s">
        <v>52</v>
      </c>
      <c r="H389" s="9" t="s">
        <v>58</v>
      </c>
      <c r="I389" s="9" t="s">
        <v>59</v>
      </c>
      <c r="J389" s="9" t="s">
        <v>71</v>
      </c>
      <c r="K389" s="9" t="s">
        <v>260</v>
      </c>
      <c r="L389" s="9" t="s">
        <v>57</v>
      </c>
      <c r="M389" s="9">
        <v>3.0</v>
      </c>
      <c r="N389" s="9">
        <v>7.0</v>
      </c>
      <c r="O389" s="9">
        <v>0.0</v>
      </c>
      <c r="P389" s="9">
        <v>2070.0</v>
      </c>
      <c r="Q389" s="9">
        <v>140.0</v>
      </c>
      <c r="R389" s="9">
        <v>285.0</v>
      </c>
      <c r="S389" s="3">
        <f t="shared" si="1"/>
        <v>2.461355529</v>
      </c>
    </row>
    <row r="390" ht="16.5" customHeight="1">
      <c r="A390" s="9" t="s">
        <v>261</v>
      </c>
      <c r="B390" s="16">
        <v>45976.0</v>
      </c>
      <c r="C390" s="9" t="s">
        <v>49</v>
      </c>
      <c r="D390" s="9" t="s">
        <v>262</v>
      </c>
      <c r="E390" s="9">
        <v>760.0</v>
      </c>
      <c r="F390" s="9" t="s">
        <v>51</v>
      </c>
      <c r="G390" s="9" t="s">
        <v>58</v>
      </c>
      <c r="H390" s="9" t="s">
        <v>52</v>
      </c>
      <c r="I390" s="9" t="s">
        <v>59</v>
      </c>
      <c r="J390" s="9" t="s">
        <v>263</v>
      </c>
      <c r="K390" s="9" t="s">
        <v>83</v>
      </c>
      <c r="L390" s="9" t="s">
        <v>57</v>
      </c>
      <c r="M390" s="9">
        <v>6.0</v>
      </c>
      <c r="N390" s="9">
        <v>8.0</v>
      </c>
      <c r="O390" s="9">
        <v>0.0</v>
      </c>
      <c r="P390" s="9">
        <v>1205.0</v>
      </c>
      <c r="Q390" s="9">
        <v>138.0</v>
      </c>
      <c r="R390" s="9">
        <v>221.0</v>
      </c>
      <c r="S390" s="3">
        <f t="shared" si="1"/>
        <v>1.585526316</v>
      </c>
    </row>
    <row r="391" ht="16.5" customHeight="1">
      <c r="A391" s="9" t="s">
        <v>261</v>
      </c>
      <c r="B391" s="16">
        <v>45976.0</v>
      </c>
      <c r="C391" s="9" t="s">
        <v>49</v>
      </c>
      <c r="D391" s="9" t="s">
        <v>262</v>
      </c>
      <c r="E391" s="9">
        <v>760.0</v>
      </c>
      <c r="F391" s="9" t="s">
        <v>51</v>
      </c>
      <c r="G391" s="9" t="s">
        <v>58</v>
      </c>
      <c r="H391" s="9" t="s">
        <v>52</v>
      </c>
      <c r="I391" s="9" t="s">
        <v>59</v>
      </c>
      <c r="J391" s="9" t="s">
        <v>263</v>
      </c>
      <c r="K391" s="9" t="s">
        <v>83</v>
      </c>
      <c r="L391" s="9" t="s">
        <v>100</v>
      </c>
      <c r="M391" s="9">
        <v>2.0</v>
      </c>
      <c r="N391" s="9">
        <v>8.0</v>
      </c>
      <c r="O391" s="9">
        <v>0.0</v>
      </c>
      <c r="P391" s="9">
        <v>1451.0</v>
      </c>
      <c r="Q391" s="9">
        <v>83.0</v>
      </c>
      <c r="R391" s="9">
        <v>221.0</v>
      </c>
      <c r="S391" s="3">
        <f t="shared" si="1"/>
        <v>1.909210526</v>
      </c>
    </row>
    <row r="392" ht="16.5" customHeight="1">
      <c r="A392" s="9" t="s">
        <v>261</v>
      </c>
      <c r="B392" s="16">
        <v>45976.0</v>
      </c>
      <c r="C392" s="9" t="s">
        <v>49</v>
      </c>
      <c r="D392" s="9" t="s">
        <v>262</v>
      </c>
      <c r="E392" s="9">
        <v>760.0</v>
      </c>
      <c r="F392" s="9" t="s">
        <v>51</v>
      </c>
      <c r="G392" s="9" t="s">
        <v>58</v>
      </c>
      <c r="H392" s="9" t="s">
        <v>58</v>
      </c>
      <c r="I392" s="9" t="s">
        <v>53</v>
      </c>
      <c r="J392" s="9" t="s">
        <v>83</v>
      </c>
      <c r="K392" s="9" t="s">
        <v>263</v>
      </c>
      <c r="L392" s="9" t="s">
        <v>55</v>
      </c>
      <c r="M392" s="9">
        <v>8.0</v>
      </c>
      <c r="N392" s="9">
        <v>10.0</v>
      </c>
      <c r="O392" s="9">
        <v>0.0</v>
      </c>
      <c r="P392" s="9">
        <v>2265.0</v>
      </c>
      <c r="Q392" s="9">
        <v>177.0</v>
      </c>
      <c r="R392" s="9">
        <v>306.0</v>
      </c>
      <c r="S392" s="3">
        <f t="shared" si="1"/>
        <v>2.980263158</v>
      </c>
    </row>
    <row r="393" ht="16.5" customHeight="1">
      <c r="A393" s="9" t="s">
        <v>261</v>
      </c>
      <c r="B393" s="16">
        <v>45976.0</v>
      </c>
      <c r="C393" s="9" t="s">
        <v>49</v>
      </c>
      <c r="D393" s="9" t="s">
        <v>262</v>
      </c>
      <c r="E393" s="9">
        <v>760.0</v>
      </c>
      <c r="F393" s="9" t="s">
        <v>51</v>
      </c>
      <c r="G393" s="9" t="s">
        <v>58</v>
      </c>
      <c r="H393" s="9" t="s">
        <v>58</v>
      </c>
      <c r="I393" s="9" t="s">
        <v>53</v>
      </c>
      <c r="J393" s="9" t="s">
        <v>83</v>
      </c>
      <c r="K393" s="9" t="s">
        <v>263</v>
      </c>
      <c r="L393" s="9" t="s">
        <v>61</v>
      </c>
      <c r="M393" s="9">
        <v>2.0</v>
      </c>
      <c r="N393" s="9">
        <v>10.0</v>
      </c>
      <c r="O393" s="9">
        <v>2.0</v>
      </c>
      <c r="P393" s="9">
        <v>2718.0</v>
      </c>
      <c r="Q393" s="9">
        <v>129.0</v>
      </c>
      <c r="R393" s="9">
        <v>306.0</v>
      </c>
      <c r="S393" s="3">
        <f t="shared" si="1"/>
        <v>3.576315789</v>
      </c>
    </row>
    <row r="394" ht="16.5" customHeight="1">
      <c r="A394" s="9" t="s">
        <v>264</v>
      </c>
      <c r="B394" s="16">
        <v>45976.0</v>
      </c>
      <c r="C394" s="9" t="s">
        <v>49</v>
      </c>
      <c r="D394" s="9" t="s">
        <v>265</v>
      </c>
      <c r="E394" s="9">
        <v>1007.0</v>
      </c>
      <c r="F394" s="9" t="s">
        <v>51</v>
      </c>
      <c r="G394" s="9" t="s">
        <v>58</v>
      </c>
      <c r="H394" s="9" t="s">
        <v>52</v>
      </c>
      <c r="I394" s="9" t="s">
        <v>59</v>
      </c>
      <c r="J394" s="9" t="s">
        <v>54</v>
      </c>
      <c r="K394" s="9" t="s">
        <v>56</v>
      </c>
      <c r="L394" s="9" t="s">
        <v>55</v>
      </c>
      <c r="M394" s="9">
        <v>6.0</v>
      </c>
      <c r="N394" s="9">
        <v>9.0</v>
      </c>
      <c r="O394" s="9">
        <v>0.0</v>
      </c>
      <c r="P394" s="9">
        <v>2462.0</v>
      </c>
      <c r="Q394" s="9">
        <v>173.0</v>
      </c>
      <c r="R394" s="9">
        <v>301.0</v>
      </c>
      <c r="S394" s="3">
        <f t="shared" si="1"/>
        <v>2.444885799</v>
      </c>
    </row>
    <row r="395" ht="16.5" customHeight="1">
      <c r="A395" s="9" t="s">
        <v>264</v>
      </c>
      <c r="B395" s="16">
        <v>45976.0</v>
      </c>
      <c r="C395" s="9" t="s">
        <v>49</v>
      </c>
      <c r="D395" s="9" t="s">
        <v>265</v>
      </c>
      <c r="E395" s="9">
        <v>1007.0</v>
      </c>
      <c r="F395" s="9" t="s">
        <v>51</v>
      </c>
      <c r="G395" s="9" t="s">
        <v>58</v>
      </c>
      <c r="H395" s="9" t="s">
        <v>52</v>
      </c>
      <c r="I395" s="9" t="s">
        <v>59</v>
      </c>
      <c r="J395" s="9" t="s">
        <v>54</v>
      </c>
      <c r="K395" s="9" t="s">
        <v>56</v>
      </c>
      <c r="L395" s="9" t="s">
        <v>57</v>
      </c>
      <c r="M395" s="9">
        <v>3.0</v>
      </c>
      <c r="N395" s="9">
        <v>9.0</v>
      </c>
      <c r="O395" s="9">
        <v>1.0</v>
      </c>
      <c r="P395" s="9">
        <v>1959.0</v>
      </c>
      <c r="Q395" s="9">
        <v>128.0</v>
      </c>
      <c r="R395" s="9">
        <v>301.0</v>
      </c>
      <c r="S395" s="3">
        <f t="shared" si="1"/>
        <v>1.945382324</v>
      </c>
    </row>
    <row r="396" ht="16.5" customHeight="1">
      <c r="A396" s="9" t="s">
        <v>264</v>
      </c>
      <c r="B396" s="16">
        <v>45976.0</v>
      </c>
      <c r="C396" s="9" t="s">
        <v>49</v>
      </c>
      <c r="D396" s="9" t="s">
        <v>265</v>
      </c>
      <c r="E396" s="9">
        <v>1007.0</v>
      </c>
      <c r="F396" s="9" t="s">
        <v>51</v>
      </c>
      <c r="G396" s="9" t="s">
        <v>58</v>
      </c>
      <c r="H396" s="9" t="s">
        <v>58</v>
      </c>
      <c r="I396" s="9" t="s">
        <v>53</v>
      </c>
      <c r="J396" s="9" t="s">
        <v>56</v>
      </c>
      <c r="K396" s="9" t="s">
        <v>54</v>
      </c>
      <c r="L396" s="9" t="s">
        <v>60</v>
      </c>
      <c r="M396" s="9">
        <v>7.0</v>
      </c>
      <c r="N396" s="9">
        <v>10.0</v>
      </c>
      <c r="O396" s="9">
        <v>0.0</v>
      </c>
      <c r="P396" s="9">
        <v>2657.0</v>
      </c>
      <c r="Q396" s="9">
        <v>179.0</v>
      </c>
      <c r="R396" s="9">
        <v>324.0</v>
      </c>
      <c r="S396" s="3">
        <f t="shared" si="1"/>
        <v>2.638530288</v>
      </c>
    </row>
    <row r="397" ht="16.5" customHeight="1">
      <c r="A397" s="9" t="s">
        <v>264</v>
      </c>
      <c r="B397" s="16">
        <v>45976.0</v>
      </c>
      <c r="C397" s="9" t="s">
        <v>49</v>
      </c>
      <c r="D397" s="9" t="s">
        <v>265</v>
      </c>
      <c r="E397" s="9">
        <v>1007.0</v>
      </c>
      <c r="F397" s="9" t="s">
        <v>51</v>
      </c>
      <c r="G397" s="9" t="s">
        <v>58</v>
      </c>
      <c r="H397" s="9" t="s">
        <v>58</v>
      </c>
      <c r="I397" s="9" t="s">
        <v>53</v>
      </c>
      <c r="J397" s="9" t="s">
        <v>56</v>
      </c>
      <c r="K397" s="9" t="s">
        <v>54</v>
      </c>
      <c r="L397" s="9" t="s">
        <v>61</v>
      </c>
      <c r="M397" s="9">
        <v>3.0</v>
      </c>
      <c r="N397" s="9">
        <v>10.0</v>
      </c>
      <c r="O397" s="9">
        <v>1.0</v>
      </c>
      <c r="P397" s="9">
        <v>2334.0</v>
      </c>
      <c r="Q397" s="9">
        <v>145.0</v>
      </c>
      <c r="R397" s="9">
        <v>324.0</v>
      </c>
      <c r="S397" s="3">
        <f t="shared" si="1"/>
        <v>2.317775571</v>
      </c>
    </row>
    <row r="398" ht="16.5" customHeight="1">
      <c r="A398" s="9" t="s">
        <v>266</v>
      </c>
      <c r="B398" s="16">
        <v>45976.0</v>
      </c>
      <c r="C398" s="9" t="s">
        <v>49</v>
      </c>
      <c r="D398" s="9" t="s">
        <v>173</v>
      </c>
      <c r="E398" s="9">
        <v>703.0</v>
      </c>
      <c r="F398" s="9" t="s">
        <v>51</v>
      </c>
      <c r="G398" s="9" t="s">
        <v>52</v>
      </c>
      <c r="H398" s="9" t="s">
        <v>52</v>
      </c>
      <c r="I398" s="9" t="s">
        <v>53</v>
      </c>
      <c r="J398" s="9" t="s">
        <v>70</v>
      </c>
      <c r="K398" s="9" t="s">
        <v>71</v>
      </c>
      <c r="L398" s="9" t="s">
        <v>60</v>
      </c>
      <c r="M398" s="9">
        <v>5.0</v>
      </c>
      <c r="N398" s="9">
        <v>10.0</v>
      </c>
      <c r="O398" s="9">
        <v>2.0</v>
      </c>
      <c r="P398" s="9">
        <v>2941.0</v>
      </c>
      <c r="Q398" s="9">
        <v>179.0</v>
      </c>
      <c r="R398" s="9">
        <v>310.0</v>
      </c>
      <c r="S398" s="3">
        <f t="shared" si="1"/>
        <v>4.183499289</v>
      </c>
    </row>
    <row r="399" ht="16.5" customHeight="1">
      <c r="A399" s="9" t="s">
        <v>266</v>
      </c>
      <c r="B399" s="16">
        <v>45976.0</v>
      </c>
      <c r="C399" s="9" t="s">
        <v>49</v>
      </c>
      <c r="D399" s="9" t="s">
        <v>173</v>
      </c>
      <c r="E399" s="9">
        <v>703.0</v>
      </c>
      <c r="F399" s="9" t="s">
        <v>51</v>
      </c>
      <c r="G399" s="9" t="s">
        <v>52</v>
      </c>
      <c r="H399" s="9" t="s">
        <v>52</v>
      </c>
      <c r="I399" s="9" t="s">
        <v>53</v>
      </c>
      <c r="J399" s="9" t="s">
        <v>70</v>
      </c>
      <c r="K399" s="9" t="s">
        <v>71</v>
      </c>
      <c r="L399" s="9" t="s">
        <v>55</v>
      </c>
      <c r="M399" s="9">
        <v>5.0</v>
      </c>
      <c r="N399" s="9">
        <v>10.0</v>
      </c>
      <c r="O399" s="9">
        <v>0.0</v>
      </c>
      <c r="P399" s="9">
        <v>1864.0</v>
      </c>
      <c r="Q399" s="9">
        <v>131.0</v>
      </c>
      <c r="R399" s="9">
        <v>310.0</v>
      </c>
      <c r="S399" s="3">
        <f t="shared" si="1"/>
        <v>2.651493599</v>
      </c>
    </row>
    <row r="400" ht="16.5" customHeight="1">
      <c r="A400" s="9" t="s">
        <v>266</v>
      </c>
      <c r="B400" s="16">
        <v>45976.0</v>
      </c>
      <c r="C400" s="9" t="s">
        <v>49</v>
      </c>
      <c r="D400" s="9" t="s">
        <v>173</v>
      </c>
      <c r="E400" s="9">
        <v>703.0</v>
      </c>
      <c r="F400" s="9" t="s">
        <v>51</v>
      </c>
      <c r="G400" s="9" t="s">
        <v>52</v>
      </c>
      <c r="H400" s="9" t="s">
        <v>58</v>
      </c>
      <c r="I400" s="9" t="s">
        <v>59</v>
      </c>
      <c r="J400" s="9" t="s">
        <v>71</v>
      </c>
      <c r="K400" s="9" t="s">
        <v>70</v>
      </c>
      <c r="L400" s="9" t="s">
        <v>61</v>
      </c>
      <c r="M400" s="9">
        <v>6.0</v>
      </c>
      <c r="N400" s="9">
        <v>7.0</v>
      </c>
      <c r="O400" s="9">
        <v>0.0</v>
      </c>
      <c r="P400" s="9">
        <v>2371.0</v>
      </c>
      <c r="Q400" s="9">
        <v>166.0</v>
      </c>
      <c r="R400" s="9">
        <v>268.0</v>
      </c>
      <c r="S400" s="3">
        <f t="shared" si="1"/>
        <v>3.372688478</v>
      </c>
    </row>
    <row r="401" ht="16.5" customHeight="1">
      <c r="A401" s="9" t="s">
        <v>266</v>
      </c>
      <c r="B401" s="16">
        <v>45976.0</v>
      </c>
      <c r="C401" s="9" t="s">
        <v>49</v>
      </c>
      <c r="D401" s="9" t="s">
        <v>173</v>
      </c>
      <c r="E401" s="9">
        <v>703.0</v>
      </c>
      <c r="F401" s="9" t="s">
        <v>51</v>
      </c>
      <c r="G401" s="9" t="s">
        <v>52</v>
      </c>
      <c r="H401" s="9" t="s">
        <v>58</v>
      </c>
      <c r="I401" s="9" t="s">
        <v>59</v>
      </c>
      <c r="J401" s="9" t="s">
        <v>71</v>
      </c>
      <c r="K401" s="9" t="s">
        <v>70</v>
      </c>
      <c r="L401" s="9" t="s">
        <v>57</v>
      </c>
      <c r="M401" s="9">
        <v>1.0</v>
      </c>
      <c r="N401" s="9">
        <v>7.0</v>
      </c>
      <c r="O401" s="9">
        <v>3.0</v>
      </c>
      <c r="P401" s="9">
        <v>1489.0</v>
      </c>
      <c r="Q401" s="9">
        <v>102.0</v>
      </c>
      <c r="R401" s="9">
        <v>268.0</v>
      </c>
      <c r="S401" s="3">
        <f t="shared" si="1"/>
        <v>2.118065434</v>
      </c>
    </row>
    <row r="402" ht="16.5" customHeight="1">
      <c r="A402" s="9" t="s">
        <v>267</v>
      </c>
      <c r="B402" s="16">
        <v>45976.0</v>
      </c>
      <c r="C402" s="9" t="s">
        <v>49</v>
      </c>
      <c r="D402" s="9" t="s">
        <v>268</v>
      </c>
      <c r="E402" s="9">
        <v>963.0</v>
      </c>
      <c r="F402" s="9" t="s">
        <v>51</v>
      </c>
      <c r="G402" s="9" t="s">
        <v>58</v>
      </c>
      <c r="H402" s="9" t="s">
        <v>52</v>
      </c>
      <c r="I402" s="9" t="s">
        <v>59</v>
      </c>
      <c r="J402" s="9" t="s">
        <v>123</v>
      </c>
      <c r="K402" s="9" t="s">
        <v>83</v>
      </c>
      <c r="L402" s="9" t="s">
        <v>60</v>
      </c>
      <c r="M402" s="9">
        <v>5.0</v>
      </c>
      <c r="N402" s="9">
        <v>9.0</v>
      </c>
      <c r="O402" s="9">
        <v>0.0</v>
      </c>
      <c r="P402" s="9">
        <v>3397.0</v>
      </c>
      <c r="Q402" s="9">
        <v>192.0</v>
      </c>
      <c r="R402" s="9">
        <v>344.0</v>
      </c>
      <c r="S402" s="3">
        <f t="shared" si="1"/>
        <v>3.527518172</v>
      </c>
    </row>
    <row r="403" ht="16.5" customHeight="1">
      <c r="A403" s="9" t="s">
        <v>267</v>
      </c>
      <c r="B403" s="16">
        <v>45976.0</v>
      </c>
      <c r="C403" s="9" t="s">
        <v>49</v>
      </c>
      <c r="D403" s="9" t="s">
        <v>268</v>
      </c>
      <c r="E403" s="9">
        <v>963.0</v>
      </c>
      <c r="F403" s="9" t="s">
        <v>51</v>
      </c>
      <c r="G403" s="9" t="s">
        <v>58</v>
      </c>
      <c r="H403" s="9" t="s">
        <v>52</v>
      </c>
      <c r="I403" s="9" t="s">
        <v>59</v>
      </c>
      <c r="J403" s="9" t="s">
        <v>123</v>
      </c>
      <c r="K403" s="9" t="s">
        <v>83</v>
      </c>
      <c r="L403" s="9" t="s">
        <v>57</v>
      </c>
      <c r="M403" s="9">
        <v>4.0</v>
      </c>
      <c r="N403" s="9">
        <v>9.0</v>
      </c>
      <c r="O403" s="9">
        <v>2.0</v>
      </c>
      <c r="P403" s="9">
        <v>2025.0</v>
      </c>
      <c r="Q403" s="9">
        <v>152.0</v>
      </c>
      <c r="R403" s="9">
        <v>344.0</v>
      </c>
      <c r="S403" s="3">
        <f t="shared" si="1"/>
        <v>2.102803738</v>
      </c>
    </row>
    <row r="404" ht="16.5" customHeight="1">
      <c r="A404" s="9" t="s">
        <v>267</v>
      </c>
      <c r="B404" s="16">
        <v>45976.0</v>
      </c>
      <c r="C404" s="9" t="s">
        <v>49</v>
      </c>
      <c r="D404" s="9" t="s">
        <v>268</v>
      </c>
      <c r="E404" s="9">
        <v>963.0</v>
      </c>
      <c r="F404" s="9" t="s">
        <v>51</v>
      </c>
      <c r="G404" s="9" t="s">
        <v>58</v>
      </c>
      <c r="H404" s="9" t="s">
        <v>58</v>
      </c>
      <c r="I404" s="9" t="s">
        <v>53</v>
      </c>
      <c r="J404" s="9" t="s">
        <v>83</v>
      </c>
      <c r="K404" s="9" t="s">
        <v>123</v>
      </c>
      <c r="L404" s="9" t="s">
        <v>55</v>
      </c>
      <c r="M404" s="9">
        <v>8.0</v>
      </c>
      <c r="N404" s="9">
        <v>10.0</v>
      </c>
      <c r="O404" s="9">
        <v>0.0</v>
      </c>
      <c r="P404" s="9">
        <v>2054.0</v>
      </c>
      <c r="Q404" s="9">
        <v>189.0</v>
      </c>
      <c r="R404" s="9">
        <v>315.0</v>
      </c>
      <c r="S404" s="3">
        <f t="shared" si="1"/>
        <v>2.132917965</v>
      </c>
    </row>
    <row r="405" ht="16.5" customHeight="1">
      <c r="A405" s="9" t="s">
        <v>267</v>
      </c>
      <c r="B405" s="16">
        <v>45976.0</v>
      </c>
      <c r="C405" s="9" t="s">
        <v>49</v>
      </c>
      <c r="D405" s="9" t="s">
        <v>268</v>
      </c>
      <c r="E405" s="9">
        <v>963.0</v>
      </c>
      <c r="F405" s="9" t="s">
        <v>51</v>
      </c>
      <c r="G405" s="9" t="s">
        <v>58</v>
      </c>
      <c r="H405" s="9" t="s">
        <v>58</v>
      </c>
      <c r="I405" s="9" t="s">
        <v>53</v>
      </c>
      <c r="J405" s="9" t="s">
        <v>83</v>
      </c>
      <c r="K405" s="9" t="s">
        <v>123</v>
      </c>
      <c r="L405" s="9" t="s">
        <v>61</v>
      </c>
      <c r="M405" s="9">
        <v>2.0</v>
      </c>
      <c r="N405" s="9">
        <v>10.0</v>
      </c>
      <c r="O405" s="9">
        <v>1.0</v>
      </c>
      <c r="P405" s="9">
        <v>2377.0</v>
      </c>
      <c r="Q405" s="9">
        <v>126.0</v>
      </c>
      <c r="R405" s="9">
        <v>315.0</v>
      </c>
      <c r="S405" s="3">
        <f t="shared" si="1"/>
        <v>2.468328141</v>
      </c>
    </row>
    <row r="406" ht="16.5" customHeight="1">
      <c r="A406" s="9" t="s">
        <v>269</v>
      </c>
      <c r="B406" s="16">
        <v>45976.0</v>
      </c>
      <c r="C406" s="9" t="s">
        <v>49</v>
      </c>
      <c r="D406" s="9" t="s">
        <v>270</v>
      </c>
      <c r="E406" s="9">
        <v>978.0</v>
      </c>
      <c r="F406" s="9" t="s">
        <v>51</v>
      </c>
      <c r="G406" s="9" t="s">
        <v>58</v>
      </c>
      <c r="H406" s="9" t="s">
        <v>52</v>
      </c>
      <c r="I406" s="9" t="s">
        <v>59</v>
      </c>
      <c r="J406" s="9" t="s">
        <v>54</v>
      </c>
      <c r="K406" s="9" t="s">
        <v>56</v>
      </c>
      <c r="L406" s="9" t="s">
        <v>55</v>
      </c>
      <c r="M406" s="9">
        <v>6.0</v>
      </c>
      <c r="N406" s="9">
        <v>8.0</v>
      </c>
      <c r="O406" s="9">
        <v>1.0</v>
      </c>
      <c r="P406" s="9">
        <v>2964.0</v>
      </c>
      <c r="Q406" s="9">
        <v>196.0</v>
      </c>
      <c r="R406" s="9">
        <v>316.0</v>
      </c>
      <c r="S406" s="3">
        <f t="shared" si="1"/>
        <v>3.030674847</v>
      </c>
    </row>
    <row r="407" ht="16.5" customHeight="1">
      <c r="A407" s="9" t="s">
        <v>269</v>
      </c>
      <c r="B407" s="16">
        <v>45976.0</v>
      </c>
      <c r="C407" s="9" t="s">
        <v>49</v>
      </c>
      <c r="D407" s="9" t="s">
        <v>270</v>
      </c>
      <c r="E407" s="9">
        <v>978.0</v>
      </c>
      <c r="F407" s="9" t="s">
        <v>51</v>
      </c>
      <c r="G407" s="9" t="s">
        <v>58</v>
      </c>
      <c r="H407" s="9" t="s">
        <v>52</v>
      </c>
      <c r="I407" s="9" t="s">
        <v>59</v>
      </c>
      <c r="J407" s="9" t="s">
        <v>54</v>
      </c>
      <c r="K407" s="9" t="s">
        <v>56</v>
      </c>
      <c r="L407" s="9" t="s">
        <v>57</v>
      </c>
      <c r="M407" s="9">
        <v>2.0</v>
      </c>
      <c r="N407" s="9">
        <v>8.0</v>
      </c>
      <c r="O407" s="9">
        <v>1.0</v>
      </c>
      <c r="P407" s="9">
        <v>1814.0</v>
      </c>
      <c r="Q407" s="9">
        <v>120.0</v>
      </c>
      <c r="R407" s="9">
        <v>316.0</v>
      </c>
      <c r="S407" s="3">
        <f t="shared" si="1"/>
        <v>1.854805726</v>
      </c>
    </row>
    <row r="408" ht="16.5" customHeight="1">
      <c r="A408" s="9" t="s">
        <v>269</v>
      </c>
      <c r="B408" s="16">
        <v>45976.0</v>
      </c>
      <c r="C408" s="9" t="s">
        <v>49</v>
      </c>
      <c r="D408" s="9" t="s">
        <v>270</v>
      </c>
      <c r="E408" s="9">
        <v>978.0</v>
      </c>
      <c r="F408" s="9" t="s">
        <v>51</v>
      </c>
      <c r="G408" s="9" t="s">
        <v>58</v>
      </c>
      <c r="H408" s="9" t="s">
        <v>58</v>
      </c>
      <c r="I408" s="9" t="s">
        <v>53</v>
      </c>
      <c r="J408" s="9" t="s">
        <v>56</v>
      </c>
      <c r="K408" s="9" t="s">
        <v>54</v>
      </c>
      <c r="L408" s="9" t="s">
        <v>60</v>
      </c>
      <c r="M408" s="9">
        <v>6.0</v>
      </c>
      <c r="N408" s="9">
        <v>10.0</v>
      </c>
      <c r="O408" s="9">
        <v>1.0</v>
      </c>
      <c r="P408" s="9">
        <v>4067.0</v>
      </c>
      <c r="Q408" s="9">
        <v>234.0</v>
      </c>
      <c r="R408" s="9">
        <v>385.0</v>
      </c>
      <c r="S408" s="3">
        <f t="shared" si="1"/>
        <v>4.158486708</v>
      </c>
    </row>
    <row r="409" ht="16.5" customHeight="1">
      <c r="A409" s="9" t="s">
        <v>269</v>
      </c>
      <c r="B409" s="16">
        <v>45976.0</v>
      </c>
      <c r="C409" s="9" t="s">
        <v>49</v>
      </c>
      <c r="D409" s="9" t="s">
        <v>270</v>
      </c>
      <c r="E409" s="9">
        <v>978.0</v>
      </c>
      <c r="F409" s="9" t="s">
        <v>51</v>
      </c>
      <c r="G409" s="9" t="s">
        <v>58</v>
      </c>
      <c r="H409" s="9" t="s">
        <v>58</v>
      </c>
      <c r="I409" s="9" t="s">
        <v>53</v>
      </c>
      <c r="J409" s="9" t="s">
        <v>56</v>
      </c>
      <c r="K409" s="9" t="s">
        <v>54</v>
      </c>
      <c r="L409" s="9" t="s">
        <v>61</v>
      </c>
      <c r="M409" s="9">
        <v>4.0</v>
      </c>
      <c r="N409" s="9">
        <v>10.0</v>
      </c>
      <c r="O409" s="9">
        <v>2.0</v>
      </c>
      <c r="P409" s="9">
        <v>1778.0</v>
      </c>
      <c r="Q409" s="9">
        <v>151.0</v>
      </c>
      <c r="R409" s="9">
        <v>385.0</v>
      </c>
      <c r="S409" s="3">
        <f t="shared" si="1"/>
        <v>1.81799591</v>
      </c>
    </row>
    <row r="410" ht="16.5" customHeight="1">
      <c r="A410" s="9" t="s">
        <v>271</v>
      </c>
      <c r="B410" s="16">
        <v>45976.0</v>
      </c>
      <c r="C410" s="9" t="s">
        <v>49</v>
      </c>
      <c r="D410" s="9" t="s">
        <v>272</v>
      </c>
      <c r="E410" s="9">
        <v>939.0</v>
      </c>
      <c r="F410" s="9" t="s">
        <v>51</v>
      </c>
      <c r="G410" s="9" t="s">
        <v>52</v>
      </c>
      <c r="H410" s="9" t="s">
        <v>52</v>
      </c>
      <c r="I410" s="9" t="s">
        <v>53</v>
      </c>
      <c r="J410" s="9" t="s">
        <v>54</v>
      </c>
      <c r="K410" s="9" t="s">
        <v>56</v>
      </c>
      <c r="L410" s="9" t="s">
        <v>55</v>
      </c>
      <c r="M410" s="9">
        <v>7.0</v>
      </c>
      <c r="N410" s="9">
        <v>10.0</v>
      </c>
      <c r="O410" s="9">
        <v>0.0</v>
      </c>
      <c r="P410" s="9">
        <v>2484.0</v>
      </c>
      <c r="Q410" s="9">
        <v>188.0</v>
      </c>
      <c r="R410" s="9">
        <v>344.0</v>
      </c>
      <c r="S410" s="3">
        <f t="shared" si="1"/>
        <v>2.645367412</v>
      </c>
    </row>
    <row r="411" ht="16.5" customHeight="1">
      <c r="A411" s="9" t="s">
        <v>271</v>
      </c>
      <c r="B411" s="16">
        <v>45976.0</v>
      </c>
      <c r="C411" s="9" t="s">
        <v>49</v>
      </c>
      <c r="D411" s="9" t="s">
        <v>272</v>
      </c>
      <c r="E411" s="9">
        <v>939.0</v>
      </c>
      <c r="F411" s="9" t="s">
        <v>51</v>
      </c>
      <c r="G411" s="9" t="s">
        <v>52</v>
      </c>
      <c r="H411" s="9" t="s">
        <v>52</v>
      </c>
      <c r="I411" s="9" t="s">
        <v>53</v>
      </c>
      <c r="J411" s="9" t="s">
        <v>54</v>
      </c>
      <c r="K411" s="9" t="s">
        <v>56</v>
      </c>
      <c r="L411" s="9" t="s">
        <v>57</v>
      </c>
      <c r="M411" s="9">
        <v>3.0</v>
      </c>
      <c r="N411" s="9">
        <v>10.0</v>
      </c>
      <c r="O411" s="9">
        <v>1.0</v>
      </c>
      <c r="P411" s="9">
        <v>2481.0</v>
      </c>
      <c r="Q411" s="9">
        <v>156.0</v>
      </c>
      <c r="R411" s="9">
        <v>344.0</v>
      </c>
      <c r="S411" s="3">
        <f t="shared" si="1"/>
        <v>2.642172524</v>
      </c>
    </row>
    <row r="412" ht="16.5" customHeight="1">
      <c r="A412" s="9" t="s">
        <v>271</v>
      </c>
      <c r="B412" s="16">
        <v>45976.0</v>
      </c>
      <c r="C412" s="9" t="s">
        <v>49</v>
      </c>
      <c r="D412" s="9" t="s">
        <v>272</v>
      </c>
      <c r="E412" s="9">
        <v>939.0</v>
      </c>
      <c r="F412" s="9" t="s">
        <v>51</v>
      </c>
      <c r="G412" s="9" t="s">
        <v>52</v>
      </c>
      <c r="H412" s="9" t="s">
        <v>58</v>
      </c>
      <c r="I412" s="9" t="s">
        <v>59</v>
      </c>
      <c r="J412" s="9" t="s">
        <v>56</v>
      </c>
      <c r="K412" s="9" t="s">
        <v>54</v>
      </c>
      <c r="L412" s="9" t="s">
        <v>61</v>
      </c>
      <c r="M412" s="9">
        <v>5.0</v>
      </c>
      <c r="N412" s="9">
        <v>8.0</v>
      </c>
      <c r="O412" s="9">
        <v>1.0</v>
      </c>
      <c r="P412" s="9">
        <v>2716.0</v>
      </c>
      <c r="Q412" s="9">
        <v>181.0</v>
      </c>
      <c r="R412" s="9">
        <v>319.0</v>
      </c>
      <c r="S412" s="3">
        <f t="shared" si="1"/>
        <v>2.892438765</v>
      </c>
    </row>
    <row r="413" ht="16.5" customHeight="1">
      <c r="A413" s="9" t="s">
        <v>271</v>
      </c>
      <c r="B413" s="16">
        <v>45976.0</v>
      </c>
      <c r="C413" s="9" t="s">
        <v>49</v>
      </c>
      <c r="D413" s="9" t="s">
        <v>272</v>
      </c>
      <c r="E413" s="9">
        <v>939.0</v>
      </c>
      <c r="F413" s="9" t="s">
        <v>51</v>
      </c>
      <c r="G413" s="9" t="s">
        <v>52</v>
      </c>
      <c r="H413" s="9" t="s">
        <v>58</v>
      </c>
      <c r="I413" s="9" t="s">
        <v>59</v>
      </c>
      <c r="J413" s="9" t="s">
        <v>56</v>
      </c>
      <c r="K413" s="9" t="s">
        <v>54</v>
      </c>
      <c r="L413" s="9" t="s">
        <v>60</v>
      </c>
      <c r="M413" s="9">
        <v>3.0</v>
      </c>
      <c r="N413" s="9">
        <v>8.0</v>
      </c>
      <c r="O413" s="9">
        <v>0.0</v>
      </c>
      <c r="P413" s="9">
        <v>2581.0</v>
      </c>
      <c r="Q413" s="9">
        <v>138.0</v>
      </c>
      <c r="R413" s="9">
        <v>319.0</v>
      </c>
      <c r="S413" s="3">
        <f t="shared" si="1"/>
        <v>2.748668797</v>
      </c>
    </row>
    <row r="414" ht="16.5" customHeight="1">
      <c r="A414" s="9" t="s">
        <v>273</v>
      </c>
      <c r="B414" s="16">
        <v>45976.0</v>
      </c>
      <c r="C414" s="9" t="s">
        <v>49</v>
      </c>
      <c r="D414" s="9" t="s">
        <v>274</v>
      </c>
      <c r="E414" s="9">
        <v>944.0</v>
      </c>
      <c r="F414" s="9" t="s">
        <v>51</v>
      </c>
      <c r="G414" s="9" t="s">
        <v>52</v>
      </c>
      <c r="H414" s="9" t="s">
        <v>52</v>
      </c>
      <c r="I414" s="9" t="s">
        <v>53</v>
      </c>
      <c r="J414" s="9" t="s">
        <v>54</v>
      </c>
      <c r="K414" s="9" t="s">
        <v>56</v>
      </c>
      <c r="L414" s="9" t="s">
        <v>55</v>
      </c>
      <c r="M414" s="9">
        <v>9.0</v>
      </c>
      <c r="N414" s="9">
        <v>10.0</v>
      </c>
      <c r="O414" s="9">
        <v>0.0</v>
      </c>
      <c r="P414" s="9">
        <v>2260.0</v>
      </c>
      <c r="Q414" s="9">
        <v>192.0</v>
      </c>
      <c r="R414" s="9">
        <v>324.0</v>
      </c>
      <c r="S414" s="3">
        <f t="shared" si="1"/>
        <v>2.394067797</v>
      </c>
    </row>
    <row r="415" ht="16.5" customHeight="1">
      <c r="A415" s="9" t="s">
        <v>273</v>
      </c>
      <c r="B415" s="16">
        <v>45976.0</v>
      </c>
      <c r="C415" s="9" t="s">
        <v>49</v>
      </c>
      <c r="D415" s="9" t="s">
        <v>274</v>
      </c>
      <c r="E415" s="9">
        <v>944.0</v>
      </c>
      <c r="F415" s="9" t="s">
        <v>51</v>
      </c>
      <c r="G415" s="9" t="s">
        <v>52</v>
      </c>
      <c r="H415" s="9" t="s">
        <v>52</v>
      </c>
      <c r="I415" s="9" t="s">
        <v>53</v>
      </c>
      <c r="J415" s="9" t="s">
        <v>54</v>
      </c>
      <c r="K415" s="9" t="s">
        <v>56</v>
      </c>
      <c r="L415" s="9" t="s">
        <v>57</v>
      </c>
      <c r="M415" s="9">
        <v>1.0</v>
      </c>
      <c r="N415" s="9">
        <v>10.0</v>
      </c>
      <c r="O415" s="9">
        <v>2.0</v>
      </c>
      <c r="P415" s="9">
        <v>2472.0</v>
      </c>
      <c r="Q415" s="9">
        <v>132.0</v>
      </c>
      <c r="R415" s="9">
        <v>324.0</v>
      </c>
      <c r="S415" s="3">
        <f t="shared" si="1"/>
        <v>2.618644068</v>
      </c>
    </row>
    <row r="416" ht="16.5" customHeight="1">
      <c r="A416" s="9" t="s">
        <v>273</v>
      </c>
      <c r="B416" s="16">
        <v>45976.0</v>
      </c>
      <c r="C416" s="9" t="s">
        <v>49</v>
      </c>
      <c r="D416" s="9" t="s">
        <v>274</v>
      </c>
      <c r="E416" s="9">
        <v>944.0</v>
      </c>
      <c r="F416" s="9" t="s">
        <v>51</v>
      </c>
      <c r="G416" s="9" t="s">
        <v>52</v>
      </c>
      <c r="H416" s="9" t="s">
        <v>58</v>
      </c>
      <c r="I416" s="9" t="s">
        <v>59</v>
      </c>
      <c r="J416" s="9" t="s">
        <v>56</v>
      </c>
      <c r="K416" s="9" t="s">
        <v>54</v>
      </c>
      <c r="L416" s="9" t="s">
        <v>61</v>
      </c>
      <c r="M416" s="9">
        <v>5.0</v>
      </c>
      <c r="N416" s="9">
        <v>9.0</v>
      </c>
      <c r="O416" s="9">
        <v>3.0</v>
      </c>
      <c r="P416" s="9">
        <v>1874.0</v>
      </c>
      <c r="Q416" s="9">
        <v>174.0</v>
      </c>
      <c r="R416" s="9">
        <v>327.0</v>
      </c>
      <c r="S416" s="3">
        <f t="shared" si="1"/>
        <v>1.985169492</v>
      </c>
    </row>
    <row r="417" ht="16.5" customHeight="1">
      <c r="A417" s="9" t="s">
        <v>273</v>
      </c>
      <c r="B417" s="16">
        <v>45976.0</v>
      </c>
      <c r="C417" s="9" t="s">
        <v>49</v>
      </c>
      <c r="D417" s="9" t="s">
        <v>274</v>
      </c>
      <c r="E417" s="9">
        <v>944.0</v>
      </c>
      <c r="F417" s="9" t="s">
        <v>51</v>
      </c>
      <c r="G417" s="9" t="s">
        <v>52</v>
      </c>
      <c r="H417" s="9" t="s">
        <v>58</v>
      </c>
      <c r="I417" s="9" t="s">
        <v>59</v>
      </c>
      <c r="J417" s="9" t="s">
        <v>56</v>
      </c>
      <c r="K417" s="9" t="s">
        <v>54</v>
      </c>
      <c r="L417" s="9" t="s">
        <v>60</v>
      </c>
      <c r="M417" s="9">
        <v>4.0</v>
      </c>
      <c r="N417" s="9">
        <v>9.0</v>
      </c>
      <c r="O417" s="9">
        <v>1.0</v>
      </c>
      <c r="P417" s="9">
        <v>2661.0</v>
      </c>
      <c r="Q417" s="9">
        <v>153.0</v>
      </c>
      <c r="R417" s="9">
        <v>327.0</v>
      </c>
      <c r="S417" s="3">
        <f t="shared" si="1"/>
        <v>2.818855932</v>
      </c>
    </row>
    <row r="418" ht="16.5" customHeight="1">
      <c r="A418" s="9" t="s">
        <v>275</v>
      </c>
      <c r="B418" s="16">
        <v>45976.0</v>
      </c>
      <c r="C418" s="9" t="s">
        <v>49</v>
      </c>
      <c r="D418" s="9" t="s">
        <v>276</v>
      </c>
      <c r="E418" s="9">
        <v>633.0</v>
      </c>
      <c r="F418" s="9" t="s">
        <v>51</v>
      </c>
      <c r="G418" s="9" t="s">
        <v>52</v>
      </c>
      <c r="H418" s="9" t="s">
        <v>52</v>
      </c>
      <c r="I418" s="9" t="s">
        <v>53</v>
      </c>
      <c r="J418" s="9" t="s">
        <v>70</v>
      </c>
      <c r="K418" s="9" t="s">
        <v>71</v>
      </c>
      <c r="L418" s="9" t="s">
        <v>60</v>
      </c>
      <c r="M418" s="9">
        <v>5.0</v>
      </c>
      <c r="N418" s="9">
        <v>10.0</v>
      </c>
      <c r="O418" s="9">
        <v>0.0</v>
      </c>
      <c r="P418" s="9">
        <v>2222.0</v>
      </c>
      <c r="Q418" s="9">
        <v>149.0</v>
      </c>
      <c r="R418" s="9">
        <v>292.0</v>
      </c>
      <c r="S418" s="3">
        <f t="shared" si="1"/>
        <v>3.510268562</v>
      </c>
    </row>
    <row r="419" ht="16.5" customHeight="1">
      <c r="A419" s="9" t="s">
        <v>275</v>
      </c>
      <c r="B419" s="16">
        <v>45976.0</v>
      </c>
      <c r="C419" s="9" t="s">
        <v>49</v>
      </c>
      <c r="D419" s="9" t="s">
        <v>276</v>
      </c>
      <c r="E419" s="9">
        <v>633.0</v>
      </c>
      <c r="F419" s="9" t="s">
        <v>51</v>
      </c>
      <c r="G419" s="9" t="s">
        <v>52</v>
      </c>
      <c r="H419" s="9" t="s">
        <v>52</v>
      </c>
      <c r="I419" s="9" t="s">
        <v>53</v>
      </c>
      <c r="J419" s="9" t="s">
        <v>70</v>
      </c>
      <c r="K419" s="9" t="s">
        <v>71</v>
      </c>
      <c r="L419" s="9" t="s">
        <v>55</v>
      </c>
      <c r="M419" s="9">
        <v>5.0</v>
      </c>
      <c r="N419" s="9">
        <v>10.0</v>
      </c>
      <c r="O419" s="9">
        <v>0.0</v>
      </c>
      <c r="P419" s="9">
        <v>1905.0</v>
      </c>
      <c r="Q419" s="9">
        <v>143.0</v>
      </c>
      <c r="R419" s="9">
        <v>292.0</v>
      </c>
      <c r="S419" s="3">
        <f t="shared" si="1"/>
        <v>3.009478673</v>
      </c>
    </row>
    <row r="420" ht="16.5" customHeight="1">
      <c r="A420" s="9" t="s">
        <v>275</v>
      </c>
      <c r="B420" s="16">
        <v>45976.0</v>
      </c>
      <c r="C420" s="9" t="s">
        <v>49</v>
      </c>
      <c r="D420" s="9" t="s">
        <v>276</v>
      </c>
      <c r="E420" s="9">
        <v>633.0</v>
      </c>
      <c r="F420" s="9" t="s">
        <v>51</v>
      </c>
      <c r="G420" s="9" t="s">
        <v>52</v>
      </c>
      <c r="H420" s="9" t="s">
        <v>58</v>
      </c>
      <c r="I420" s="9" t="s">
        <v>59</v>
      </c>
      <c r="J420" s="9" t="s">
        <v>71</v>
      </c>
      <c r="K420" s="9" t="s">
        <v>70</v>
      </c>
      <c r="L420" s="9" t="s">
        <v>61</v>
      </c>
      <c r="M420" s="9">
        <v>4.0</v>
      </c>
      <c r="N420" s="9">
        <v>4.0</v>
      </c>
      <c r="O420" s="9">
        <v>0.0</v>
      </c>
      <c r="P420" s="9">
        <v>1644.0</v>
      </c>
      <c r="Q420" s="9">
        <v>131.0</v>
      </c>
      <c r="R420" s="9">
        <v>202.0</v>
      </c>
      <c r="S420" s="3">
        <f t="shared" si="1"/>
        <v>2.597156398</v>
      </c>
    </row>
    <row r="421" ht="16.5" customHeight="1">
      <c r="A421" s="9" t="s">
        <v>275</v>
      </c>
      <c r="B421" s="16">
        <v>45976.0</v>
      </c>
      <c r="C421" s="9" t="s">
        <v>49</v>
      </c>
      <c r="D421" s="9" t="s">
        <v>276</v>
      </c>
      <c r="E421" s="9">
        <v>633.0</v>
      </c>
      <c r="F421" s="9" t="s">
        <v>51</v>
      </c>
      <c r="G421" s="9" t="s">
        <v>52</v>
      </c>
      <c r="H421" s="9" t="s">
        <v>58</v>
      </c>
      <c r="I421" s="9" t="s">
        <v>59</v>
      </c>
      <c r="J421" s="9" t="s">
        <v>71</v>
      </c>
      <c r="K421" s="9" t="s">
        <v>70</v>
      </c>
      <c r="L421" s="9" t="s">
        <v>57</v>
      </c>
      <c r="M421" s="9">
        <v>0.0</v>
      </c>
      <c r="N421" s="9">
        <v>4.0</v>
      </c>
      <c r="O421" s="9">
        <v>0.0</v>
      </c>
      <c r="P421" s="9">
        <v>1532.0</v>
      </c>
      <c r="Q421" s="9">
        <v>71.0</v>
      </c>
      <c r="R421" s="9">
        <v>202.0</v>
      </c>
      <c r="S421" s="3">
        <f t="shared" si="1"/>
        <v>2.420221169</v>
      </c>
    </row>
    <row r="422" ht="16.5" customHeight="1">
      <c r="A422" s="9" t="s">
        <v>277</v>
      </c>
      <c r="B422" s="16">
        <v>45976.0</v>
      </c>
      <c r="C422" s="9" t="s">
        <v>49</v>
      </c>
      <c r="D422" s="9" t="s">
        <v>158</v>
      </c>
      <c r="E422" s="9">
        <v>768.0</v>
      </c>
      <c r="F422" s="9" t="s">
        <v>51</v>
      </c>
      <c r="G422" s="9" t="s">
        <v>58</v>
      </c>
      <c r="H422" s="9" t="s">
        <v>52</v>
      </c>
      <c r="I422" s="9" t="s">
        <v>59</v>
      </c>
      <c r="J422" s="9" t="s">
        <v>123</v>
      </c>
      <c r="K422" s="9" t="s">
        <v>83</v>
      </c>
      <c r="L422" s="9" t="s">
        <v>60</v>
      </c>
      <c r="M422" s="9">
        <v>5.0</v>
      </c>
      <c r="N422" s="9">
        <v>8.0</v>
      </c>
      <c r="O422" s="9">
        <v>0.0</v>
      </c>
      <c r="P422" s="9">
        <v>3184.0</v>
      </c>
      <c r="Q422" s="9">
        <v>185.0</v>
      </c>
      <c r="R422" s="9">
        <v>309.0</v>
      </c>
      <c r="S422" s="3">
        <f t="shared" si="1"/>
        <v>4.145833333</v>
      </c>
    </row>
    <row r="423" ht="16.5" customHeight="1">
      <c r="A423" s="9" t="s">
        <v>277</v>
      </c>
      <c r="B423" s="16">
        <v>45976.0</v>
      </c>
      <c r="C423" s="9" t="s">
        <v>49</v>
      </c>
      <c r="D423" s="9" t="s">
        <v>158</v>
      </c>
      <c r="E423" s="9">
        <v>768.0</v>
      </c>
      <c r="F423" s="9" t="s">
        <v>51</v>
      </c>
      <c r="G423" s="9" t="s">
        <v>58</v>
      </c>
      <c r="H423" s="9" t="s">
        <v>52</v>
      </c>
      <c r="I423" s="9" t="s">
        <v>59</v>
      </c>
      <c r="J423" s="9" t="s">
        <v>123</v>
      </c>
      <c r="K423" s="9" t="s">
        <v>83</v>
      </c>
      <c r="L423" s="9" t="s">
        <v>57</v>
      </c>
      <c r="M423" s="9">
        <v>3.0</v>
      </c>
      <c r="N423" s="9">
        <v>8.0</v>
      </c>
      <c r="O423" s="9">
        <v>2.0</v>
      </c>
      <c r="P423" s="9">
        <v>1448.0</v>
      </c>
      <c r="Q423" s="9">
        <v>124.0</v>
      </c>
      <c r="R423" s="9">
        <v>309.0</v>
      </c>
      <c r="S423" s="3">
        <f t="shared" si="1"/>
        <v>1.885416667</v>
      </c>
    </row>
    <row r="424" ht="16.5" customHeight="1">
      <c r="A424" s="9" t="s">
        <v>277</v>
      </c>
      <c r="B424" s="16">
        <v>45976.0</v>
      </c>
      <c r="C424" s="9" t="s">
        <v>49</v>
      </c>
      <c r="D424" s="9" t="s">
        <v>158</v>
      </c>
      <c r="E424" s="9">
        <v>768.0</v>
      </c>
      <c r="F424" s="9" t="s">
        <v>51</v>
      </c>
      <c r="G424" s="9" t="s">
        <v>58</v>
      </c>
      <c r="H424" s="9" t="s">
        <v>58</v>
      </c>
      <c r="I424" s="9" t="s">
        <v>53</v>
      </c>
      <c r="J424" s="9" t="s">
        <v>83</v>
      </c>
      <c r="K424" s="9" t="s">
        <v>123</v>
      </c>
      <c r="L424" s="9" t="s">
        <v>61</v>
      </c>
      <c r="M424" s="9">
        <v>6.0</v>
      </c>
      <c r="N424" s="9">
        <v>10.0</v>
      </c>
      <c r="O424" s="9">
        <v>0.0</v>
      </c>
      <c r="P424" s="9">
        <v>1849.0</v>
      </c>
      <c r="Q424" s="9">
        <v>150.0</v>
      </c>
      <c r="R424" s="9">
        <v>274.0</v>
      </c>
      <c r="S424" s="3">
        <f t="shared" si="1"/>
        <v>2.407552083</v>
      </c>
    </row>
    <row r="425" ht="16.5" customHeight="1">
      <c r="A425" s="9" t="s">
        <v>277</v>
      </c>
      <c r="B425" s="16">
        <v>45976.0</v>
      </c>
      <c r="C425" s="9" t="s">
        <v>49</v>
      </c>
      <c r="D425" s="9" t="s">
        <v>158</v>
      </c>
      <c r="E425" s="9">
        <v>768.0</v>
      </c>
      <c r="F425" s="9" t="s">
        <v>51</v>
      </c>
      <c r="G425" s="9" t="s">
        <v>58</v>
      </c>
      <c r="H425" s="9" t="s">
        <v>58</v>
      </c>
      <c r="I425" s="9" t="s">
        <v>53</v>
      </c>
      <c r="J425" s="9" t="s">
        <v>83</v>
      </c>
      <c r="K425" s="9" t="s">
        <v>123</v>
      </c>
      <c r="L425" s="9" t="s">
        <v>55</v>
      </c>
      <c r="M425" s="9">
        <v>4.0</v>
      </c>
      <c r="N425" s="9">
        <v>10.0</v>
      </c>
      <c r="O425" s="9">
        <v>0.0</v>
      </c>
      <c r="P425" s="9">
        <v>2074.0</v>
      </c>
      <c r="Q425" s="9">
        <v>124.0</v>
      </c>
      <c r="R425" s="9">
        <v>274.0</v>
      </c>
      <c r="S425" s="3">
        <f t="shared" si="1"/>
        <v>2.700520833</v>
      </c>
    </row>
    <row r="426" ht="16.5" customHeight="1">
      <c r="A426" s="9" t="s">
        <v>278</v>
      </c>
      <c r="B426" s="9" t="s">
        <v>279</v>
      </c>
      <c r="C426" s="9" t="s">
        <v>280</v>
      </c>
      <c r="D426" s="9" t="s">
        <v>281</v>
      </c>
      <c r="E426" s="9">
        <v>732.0</v>
      </c>
      <c r="F426" s="9" t="s">
        <v>51</v>
      </c>
      <c r="G426" s="9" t="s">
        <v>58</v>
      </c>
      <c r="H426" s="9" t="s">
        <v>52</v>
      </c>
      <c r="I426" s="9" t="s">
        <v>59</v>
      </c>
      <c r="J426" s="9" t="s">
        <v>282</v>
      </c>
      <c r="K426" s="9" t="s">
        <v>83</v>
      </c>
      <c r="L426" s="9" t="s">
        <v>57</v>
      </c>
      <c r="M426" s="9">
        <v>6.0</v>
      </c>
      <c r="N426" s="9">
        <v>8.0</v>
      </c>
      <c r="O426" s="9">
        <v>0.0</v>
      </c>
      <c r="P426" s="9">
        <v>1305.0</v>
      </c>
      <c r="Q426" s="9">
        <v>140.0</v>
      </c>
      <c r="R426" s="9">
        <v>240.0</v>
      </c>
      <c r="S426" s="3">
        <f t="shared" si="1"/>
        <v>1.782786885</v>
      </c>
    </row>
    <row r="427" ht="16.5" customHeight="1">
      <c r="A427" s="9" t="s">
        <v>278</v>
      </c>
      <c r="B427" s="9" t="s">
        <v>279</v>
      </c>
      <c r="C427" s="9" t="s">
        <v>280</v>
      </c>
      <c r="D427" s="9" t="s">
        <v>281</v>
      </c>
      <c r="E427" s="9">
        <v>732.0</v>
      </c>
      <c r="F427" s="9" t="s">
        <v>51</v>
      </c>
      <c r="G427" s="9" t="s">
        <v>58</v>
      </c>
      <c r="H427" s="9" t="s">
        <v>52</v>
      </c>
      <c r="I427" s="9" t="s">
        <v>59</v>
      </c>
      <c r="J427" s="9" t="s">
        <v>282</v>
      </c>
      <c r="K427" s="9" t="s">
        <v>83</v>
      </c>
      <c r="L427" s="9" t="s">
        <v>77</v>
      </c>
      <c r="M427" s="9">
        <v>2.0</v>
      </c>
      <c r="N427" s="9">
        <v>8.0</v>
      </c>
      <c r="O427" s="9">
        <v>0.0</v>
      </c>
      <c r="P427" s="9">
        <v>2243.0</v>
      </c>
      <c r="Q427" s="9">
        <v>100.0</v>
      </c>
      <c r="R427" s="9">
        <v>240.0</v>
      </c>
      <c r="S427" s="3">
        <f t="shared" si="1"/>
        <v>3.06420765</v>
      </c>
    </row>
    <row r="428" ht="16.5" customHeight="1">
      <c r="A428" s="9" t="s">
        <v>278</v>
      </c>
      <c r="B428" s="9" t="s">
        <v>279</v>
      </c>
      <c r="C428" s="9" t="s">
        <v>280</v>
      </c>
      <c r="D428" s="9" t="s">
        <v>281</v>
      </c>
      <c r="E428" s="9">
        <v>732.0</v>
      </c>
      <c r="F428" s="9" t="s">
        <v>51</v>
      </c>
      <c r="G428" s="9" t="s">
        <v>58</v>
      </c>
      <c r="H428" s="9" t="s">
        <v>58</v>
      </c>
      <c r="I428" s="9" t="s">
        <v>53</v>
      </c>
      <c r="J428" s="9" t="s">
        <v>83</v>
      </c>
      <c r="K428" s="9" t="s">
        <v>282</v>
      </c>
      <c r="L428" s="9" t="s">
        <v>55</v>
      </c>
      <c r="M428" s="9">
        <v>5.0</v>
      </c>
      <c r="N428" s="9">
        <v>10.0</v>
      </c>
      <c r="O428" s="9">
        <v>0.0</v>
      </c>
      <c r="P428" s="9">
        <v>2003.0</v>
      </c>
      <c r="Q428" s="9">
        <v>135.0</v>
      </c>
      <c r="R428" s="9">
        <v>267.0</v>
      </c>
      <c r="S428" s="3">
        <f t="shared" si="1"/>
        <v>2.736338798</v>
      </c>
    </row>
    <row r="429" ht="16.5" customHeight="1">
      <c r="A429" s="9" t="s">
        <v>278</v>
      </c>
      <c r="B429" s="9" t="s">
        <v>279</v>
      </c>
      <c r="C429" s="9" t="s">
        <v>280</v>
      </c>
      <c r="D429" s="9" t="s">
        <v>281</v>
      </c>
      <c r="E429" s="9">
        <v>732.0</v>
      </c>
      <c r="F429" s="9" t="s">
        <v>51</v>
      </c>
      <c r="G429" s="9" t="s">
        <v>58</v>
      </c>
      <c r="H429" s="9" t="s">
        <v>58</v>
      </c>
      <c r="I429" s="9" t="s">
        <v>53</v>
      </c>
      <c r="J429" s="9" t="s">
        <v>83</v>
      </c>
      <c r="K429" s="9" t="s">
        <v>282</v>
      </c>
      <c r="L429" s="9" t="s">
        <v>61</v>
      </c>
      <c r="M429" s="9">
        <v>5.0</v>
      </c>
      <c r="N429" s="9">
        <v>10.0</v>
      </c>
      <c r="O429" s="9">
        <v>3.0</v>
      </c>
      <c r="P429" s="9">
        <v>1291.0</v>
      </c>
      <c r="Q429" s="9">
        <v>132.0</v>
      </c>
      <c r="R429" s="9">
        <v>267.0</v>
      </c>
      <c r="S429" s="3">
        <f t="shared" si="1"/>
        <v>1.763661202</v>
      </c>
    </row>
    <row r="430" ht="16.5" customHeight="1">
      <c r="A430" s="9" t="s">
        <v>283</v>
      </c>
      <c r="B430" s="9" t="s">
        <v>279</v>
      </c>
      <c r="C430" s="9" t="s">
        <v>280</v>
      </c>
      <c r="D430" s="9" t="s">
        <v>284</v>
      </c>
      <c r="E430" s="9">
        <v>904.0</v>
      </c>
      <c r="F430" s="9" t="s">
        <v>51</v>
      </c>
      <c r="G430" s="9" t="s">
        <v>58</v>
      </c>
      <c r="H430" s="9" t="s">
        <v>52</v>
      </c>
      <c r="I430" s="9" t="s">
        <v>59</v>
      </c>
      <c r="J430" s="9" t="s">
        <v>263</v>
      </c>
      <c r="K430" s="9" t="s">
        <v>70</v>
      </c>
      <c r="L430" s="9" t="s">
        <v>57</v>
      </c>
      <c r="M430" s="9">
        <v>5.0</v>
      </c>
      <c r="N430" s="9">
        <v>8.0</v>
      </c>
      <c r="O430" s="9">
        <v>0.0</v>
      </c>
      <c r="P430" s="9">
        <v>1655.0</v>
      </c>
      <c r="Q430" s="9">
        <v>143.0</v>
      </c>
      <c r="R430" s="9">
        <v>274.0</v>
      </c>
      <c r="S430" s="3">
        <f t="shared" si="1"/>
        <v>1.830752212</v>
      </c>
    </row>
    <row r="431" ht="16.5" customHeight="1">
      <c r="A431" s="9" t="s">
        <v>283</v>
      </c>
      <c r="B431" s="9" t="s">
        <v>279</v>
      </c>
      <c r="C431" s="9" t="s">
        <v>280</v>
      </c>
      <c r="D431" s="9" t="s">
        <v>284</v>
      </c>
      <c r="E431" s="9">
        <v>904.0</v>
      </c>
      <c r="F431" s="9" t="s">
        <v>51</v>
      </c>
      <c r="G431" s="9" t="s">
        <v>58</v>
      </c>
      <c r="H431" s="9" t="s">
        <v>52</v>
      </c>
      <c r="I431" s="9" t="s">
        <v>59</v>
      </c>
      <c r="J431" s="9" t="s">
        <v>263</v>
      </c>
      <c r="K431" s="9" t="s">
        <v>70</v>
      </c>
      <c r="L431" s="9" t="s">
        <v>100</v>
      </c>
      <c r="M431" s="9">
        <v>3.0</v>
      </c>
      <c r="N431" s="9">
        <v>8.0</v>
      </c>
      <c r="O431" s="9">
        <v>0.0</v>
      </c>
      <c r="P431" s="9">
        <v>2014.0</v>
      </c>
      <c r="Q431" s="9">
        <v>131.0</v>
      </c>
      <c r="R431" s="9">
        <v>274.0</v>
      </c>
      <c r="S431" s="3">
        <f t="shared" si="1"/>
        <v>2.227876106</v>
      </c>
    </row>
    <row r="432" ht="16.5" customHeight="1">
      <c r="A432" s="9" t="s">
        <v>283</v>
      </c>
      <c r="B432" s="9" t="s">
        <v>279</v>
      </c>
      <c r="C432" s="9" t="s">
        <v>280</v>
      </c>
      <c r="D432" s="9" t="s">
        <v>284</v>
      </c>
      <c r="E432" s="9">
        <v>904.0</v>
      </c>
      <c r="F432" s="9" t="s">
        <v>51</v>
      </c>
      <c r="G432" s="9" t="s">
        <v>58</v>
      </c>
      <c r="H432" s="9" t="s">
        <v>58</v>
      </c>
      <c r="I432" s="9" t="s">
        <v>53</v>
      </c>
      <c r="J432" s="9" t="s">
        <v>70</v>
      </c>
      <c r="K432" s="9" t="s">
        <v>263</v>
      </c>
      <c r="L432" s="9" t="s">
        <v>60</v>
      </c>
      <c r="M432" s="9">
        <v>4.0</v>
      </c>
      <c r="N432" s="9">
        <v>10.0</v>
      </c>
      <c r="O432" s="9">
        <v>1.0</v>
      </c>
      <c r="P432" s="9">
        <v>2950.0</v>
      </c>
      <c r="Q432" s="9">
        <v>169.0</v>
      </c>
      <c r="R432" s="9">
        <v>337.0</v>
      </c>
      <c r="S432" s="3">
        <f t="shared" si="1"/>
        <v>3.263274336</v>
      </c>
    </row>
    <row r="433" ht="16.5" customHeight="1">
      <c r="A433" s="9" t="s">
        <v>283</v>
      </c>
      <c r="B433" s="9" t="s">
        <v>279</v>
      </c>
      <c r="C433" s="9" t="s">
        <v>280</v>
      </c>
      <c r="D433" s="9" t="s">
        <v>284</v>
      </c>
      <c r="E433" s="9">
        <v>904.0</v>
      </c>
      <c r="F433" s="9" t="s">
        <v>51</v>
      </c>
      <c r="G433" s="9" t="s">
        <v>58</v>
      </c>
      <c r="H433" s="9" t="s">
        <v>58</v>
      </c>
      <c r="I433" s="9" t="s">
        <v>53</v>
      </c>
      <c r="J433" s="9" t="s">
        <v>70</v>
      </c>
      <c r="K433" s="3" t="s">
        <v>263</v>
      </c>
      <c r="L433" s="9" t="s">
        <v>55</v>
      </c>
      <c r="M433" s="9">
        <v>6.0</v>
      </c>
      <c r="N433" s="9">
        <v>10.0</v>
      </c>
      <c r="O433" s="9">
        <v>0.0</v>
      </c>
      <c r="P433" s="9">
        <v>2439.0</v>
      </c>
      <c r="Q433" s="9">
        <v>168.0</v>
      </c>
      <c r="R433" s="9">
        <v>337.0</v>
      </c>
      <c r="S433" s="3">
        <f t="shared" si="1"/>
        <v>2.69800885</v>
      </c>
    </row>
    <row r="434" ht="16.5" customHeight="1">
      <c r="A434" s="9" t="s">
        <v>285</v>
      </c>
      <c r="B434" s="9" t="s">
        <v>279</v>
      </c>
      <c r="C434" s="9" t="s">
        <v>280</v>
      </c>
      <c r="D434" s="9" t="s">
        <v>286</v>
      </c>
      <c r="E434" s="9">
        <v>815.0</v>
      </c>
      <c r="F434" s="9" t="s">
        <v>51</v>
      </c>
      <c r="G434" s="9" t="s">
        <v>58</v>
      </c>
      <c r="H434" s="9" t="s">
        <v>52</v>
      </c>
      <c r="I434" s="9" t="s">
        <v>59</v>
      </c>
      <c r="J434" s="9" t="s">
        <v>260</v>
      </c>
      <c r="K434" s="3" t="s">
        <v>123</v>
      </c>
      <c r="L434" s="9" t="s">
        <v>55</v>
      </c>
      <c r="M434" s="9">
        <v>7.0</v>
      </c>
      <c r="N434" s="9">
        <v>8.0</v>
      </c>
      <c r="O434" s="9">
        <v>0.0</v>
      </c>
      <c r="P434" s="9">
        <v>2426.0</v>
      </c>
      <c r="Q434" s="9">
        <v>177.0</v>
      </c>
      <c r="R434" s="9">
        <v>233.0</v>
      </c>
      <c r="S434" s="3">
        <f t="shared" si="1"/>
        <v>2.976687117</v>
      </c>
    </row>
    <row r="435" ht="16.5" customHeight="1">
      <c r="A435" s="9" t="s">
        <v>285</v>
      </c>
      <c r="B435" s="9" t="s">
        <v>279</v>
      </c>
      <c r="C435" s="9" t="s">
        <v>280</v>
      </c>
      <c r="D435" s="9" t="s">
        <v>286</v>
      </c>
      <c r="E435" s="9">
        <v>815.0</v>
      </c>
      <c r="F435" s="9" t="s">
        <v>51</v>
      </c>
      <c r="G435" s="9" t="s">
        <v>58</v>
      </c>
      <c r="H435" s="9" t="s">
        <v>52</v>
      </c>
      <c r="I435" s="9" t="s">
        <v>59</v>
      </c>
      <c r="J435" s="9" t="s">
        <v>260</v>
      </c>
      <c r="K435" s="3" t="s">
        <v>123</v>
      </c>
      <c r="L435" s="9" t="s">
        <v>100</v>
      </c>
      <c r="M435" s="9">
        <v>1.0</v>
      </c>
      <c r="N435" s="9">
        <v>8.0</v>
      </c>
      <c r="O435" s="9">
        <v>0.0</v>
      </c>
      <c r="P435" s="9">
        <v>1063.0</v>
      </c>
      <c r="Q435" s="9">
        <v>56.0</v>
      </c>
      <c r="R435" s="9">
        <v>233.0</v>
      </c>
      <c r="S435" s="3">
        <f t="shared" si="1"/>
        <v>1.304294479</v>
      </c>
    </row>
    <row r="436" ht="16.5" customHeight="1">
      <c r="A436" s="9" t="s">
        <v>285</v>
      </c>
      <c r="B436" s="9" t="s">
        <v>279</v>
      </c>
      <c r="C436" s="9" t="s">
        <v>280</v>
      </c>
      <c r="D436" s="9" t="s">
        <v>286</v>
      </c>
      <c r="E436" s="9">
        <v>815.0</v>
      </c>
      <c r="F436" s="9" t="s">
        <v>51</v>
      </c>
      <c r="G436" s="9" t="s">
        <v>58</v>
      </c>
      <c r="H436" s="9" t="s">
        <v>58</v>
      </c>
      <c r="I436" s="9" t="s">
        <v>53</v>
      </c>
      <c r="J436" s="9" t="s">
        <v>123</v>
      </c>
      <c r="K436" s="3" t="s">
        <v>260</v>
      </c>
      <c r="L436" s="9" t="s">
        <v>57</v>
      </c>
      <c r="M436" s="9">
        <v>7.0</v>
      </c>
      <c r="N436" s="9">
        <v>10.0</v>
      </c>
      <c r="O436" s="9">
        <v>0.0</v>
      </c>
      <c r="P436" s="9">
        <v>1645.0</v>
      </c>
      <c r="Q436" s="9">
        <v>172.0</v>
      </c>
      <c r="R436" s="9">
        <v>313.0</v>
      </c>
      <c r="S436" s="3">
        <f t="shared" si="1"/>
        <v>2.018404908</v>
      </c>
    </row>
    <row r="437" ht="16.5" customHeight="1">
      <c r="A437" s="9" t="s">
        <v>285</v>
      </c>
      <c r="B437" s="9" t="s">
        <v>279</v>
      </c>
      <c r="C437" s="9" t="s">
        <v>280</v>
      </c>
      <c r="D437" s="9" t="s">
        <v>286</v>
      </c>
      <c r="E437" s="9">
        <v>815.0</v>
      </c>
      <c r="F437" s="9" t="s">
        <v>51</v>
      </c>
      <c r="G437" s="9" t="s">
        <v>58</v>
      </c>
      <c r="H437" s="9" t="s">
        <v>58</v>
      </c>
      <c r="I437" s="9" t="s">
        <v>53</v>
      </c>
      <c r="J437" s="9" t="s">
        <v>123</v>
      </c>
      <c r="K437" s="3" t="s">
        <v>260</v>
      </c>
      <c r="L437" s="9" t="s">
        <v>60</v>
      </c>
      <c r="M437" s="9">
        <v>3.0</v>
      </c>
      <c r="N437" s="9">
        <v>10.0</v>
      </c>
      <c r="O437" s="9">
        <v>0.0</v>
      </c>
      <c r="P437" s="9">
        <v>2621.0</v>
      </c>
      <c r="Q437" s="9">
        <v>141.0</v>
      </c>
      <c r="R437" s="9">
        <v>313.0</v>
      </c>
      <c r="S437" s="3">
        <f t="shared" si="1"/>
        <v>3.21595092</v>
      </c>
    </row>
    <row r="438" ht="16.5" customHeight="1">
      <c r="A438" s="9" t="s">
        <v>287</v>
      </c>
      <c r="B438" s="9" t="s">
        <v>279</v>
      </c>
      <c r="C438" s="9" t="s">
        <v>280</v>
      </c>
      <c r="D438" s="9" t="s">
        <v>288</v>
      </c>
      <c r="E438" s="9">
        <v>844.0</v>
      </c>
      <c r="F438" s="9" t="s">
        <v>51</v>
      </c>
      <c r="G438" s="9" t="s">
        <v>58</v>
      </c>
      <c r="H438" s="9" t="s">
        <v>52</v>
      </c>
      <c r="I438" s="9" t="s">
        <v>59</v>
      </c>
      <c r="J438" s="9" t="s">
        <v>260</v>
      </c>
      <c r="K438" s="3" t="s">
        <v>123</v>
      </c>
      <c r="L438" s="9" t="s">
        <v>55</v>
      </c>
      <c r="M438" s="9">
        <v>6.0</v>
      </c>
      <c r="N438" s="9">
        <v>7.0</v>
      </c>
      <c r="O438" s="9">
        <v>0.0</v>
      </c>
      <c r="P438" s="9">
        <v>2740.0</v>
      </c>
      <c r="Q438" s="9">
        <v>179.0</v>
      </c>
      <c r="R438" s="9">
        <v>278.0</v>
      </c>
      <c r="S438" s="3">
        <f t="shared" si="1"/>
        <v>3.246445498</v>
      </c>
    </row>
    <row r="439" ht="16.5" customHeight="1">
      <c r="A439" s="9" t="s">
        <v>287</v>
      </c>
      <c r="B439" s="9" t="s">
        <v>279</v>
      </c>
      <c r="C439" s="9" t="s">
        <v>280</v>
      </c>
      <c r="D439" s="9" t="s">
        <v>288</v>
      </c>
      <c r="E439" s="9">
        <v>844.0</v>
      </c>
      <c r="F439" s="9" t="s">
        <v>51</v>
      </c>
      <c r="G439" s="9" t="s">
        <v>58</v>
      </c>
      <c r="H439" s="9" t="s">
        <v>52</v>
      </c>
      <c r="I439" s="9" t="s">
        <v>59</v>
      </c>
      <c r="J439" s="9" t="s">
        <v>260</v>
      </c>
      <c r="K439" s="3" t="s">
        <v>123</v>
      </c>
      <c r="L439" s="9" t="s">
        <v>100</v>
      </c>
      <c r="M439" s="9">
        <v>1.0</v>
      </c>
      <c r="N439" s="9">
        <v>7.0</v>
      </c>
      <c r="O439" s="9">
        <v>1.0</v>
      </c>
      <c r="P439" s="9">
        <v>1803.0</v>
      </c>
      <c r="Q439" s="9">
        <v>99.0</v>
      </c>
      <c r="R439" s="9">
        <v>278.0</v>
      </c>
      <c r="S439" s="3">
        <f t="shared" si="1"/>
        <v>2.136255924</v>
      </c>
    </row>
    <row r="440" ht="16.5" customHeight="1">
      <c r="A440" s="9" t="s">
        <v>287</v>
      </c>
      <c r="B440" s="9" t="s">
        <v>279</v>
      </c>
      <c r="C440" s="9" t="s">
        <v>280</v>
      </c>
      <c r="D440" s="9" t="s">
        <v>288</v>
      </c>
      <c r="E440" s="9">
        <v>844.0</v>
      </c>
      <c r="F440" s="9" t="s">
        <v>51</v>
      </c>
      <c r="G440" s="9" t="s">
        <v>58</v>
      </c>
      <c r="H440" s="9" t="s">
        <v>58</v>
      </c>
      <c r="I440" s="9" t="s">
        <v>53</v>
      </c>
      <c r="J440" s="9" t="s">
        <v>123</v>
      </c>
      <c r="K440" s="3" t="s">
        <v>260</v>
      </c>
      <c r="L440" s="9" t="s">
        <v>60</v>
      </c>
      <c r="M440" s="9">
        <v>8.0</v>
      </c>
      <c r="N440" s="9">
        <v>10.0</v>
      </c>
      <c r="O440" s="9">
        <v>0.0</v>
      </c>
      <c r="P440" s="9">
        <v>3161.0</v>
      </c>
      <c r="Q440" s="9">
        <v>217.0</v>
      </c>
      <c r="R440" s="9">
        <v>374.0</v>
      </c>
      <c r="S440" s="3">
        <f t="shared" si="1"/>
        <v>3.745260664</v>
      </c>
    </row>
    <row r="441" ht="16.5" customHeight="1">
      <c r="A441" s="9" t="s">
        <v>287</v>
      </c>
      <c r="B441" s="9" t="s">
        <v>279</v>
      </c>
      <c r="C441" s="9" t="s">
        <v>280</v>
      </c>
      <c r="D441" s="9" t="s">
        <v>288</v>
      </c>
      <c r="E441" s="9">
        <v>844.0</v>
      </c>
      <c r="F441" s="9" t="s">
        <v>51</v>
      </c>
      <c r="G441" s="9" t="s">
        <v>58</v>
      </c>
      <c r="H441" s="9" t="s">
        <v>58</v>
      </c>
      <c r="I441" s="9" t="s">
        <v>53</v>
      </c>
      <c r="J441" s="9" t="s">
        <v>123</v>
      </c>
      <c r="K441" s="3" t="s">
        <v>260</v>
      </c>
      <c r="L441" s="9" t="s">
        <v>57</v>
      </c>
      <c r="M441" s="9">
        <v>2.0</v>
      </c>
      <c r="N441" s="9">
        <v>10.0</v>
      </c>
      <c r="O441" s="9">
        <v>3.0</v>
      </c>
      <c r="P441" s="9">
        <v>2079.0</v>
      </c>
      <c r="Q441" s="9">
        <v>157.0</v>
      </c>
      <c r="R441" s="9">
        <v>374.0</v>
      </c>
      <c r="S441" s="3">
        <f t="shared" si="1"/>
        <v>2.463270142</v>
      </c>
    </row>
    <row r="442" ht="16.5" customHeight="1">
      <c r="A442" s="9" t="s">
        <v>289</v>
      </c>
      <c r="B442" s="9" t="s">
        <v>279</v>
      </c>
      <c r="C442" s="9" t="s">
        <v>280</v>
      </c>
      <c r="D442" s="9" t="s">
        <v>290</v>
      </c>
      <c r="E442" s="9">
        <v>876.0</v>
      </c>
      <c r="F442" s="9" t="s">
        <v>51</v>
      </c>
      <c r="G442" s="9" t="s">
        <v>52</v>
      </c>
      <c r="H442" s="9" t="s">
        <v>52</v>
      </c>
      <c r="I442" s="9" t="s">
        <v>53</v>
      </c>
      <c r="J442" s="9" t="s">
        <v>260</v>
      </c>
      <c r="K442" s="3" t="s">
        <v>123</v>
      </c>
      <c r="L442" s="9" t="s">
        <v>55</v>
      </c>
      <c r="M442" s="9">
        <v>8.0</v>
      </c>
      <c r="N442" s="9">
        <v>10.0</v>
      </c>
      <c r="O442" s="9">
        <v>1.0</v>
      </c>
      <c r="P442" s="9">
        <v>2949.0</v>
      </c>
      <c r="Q442" s="9">
        <v>225.0</v>
      </c>
      <c r="R442" s="9">
        <v>312.0</v>
      </c>
      <c r="S442" s="3">
        <f t="shared" si="1"/>
        <v>3.366438356</v>
      </c>
    </row>
    <row r="443" ht="16.5" customHeight="1">
      <c r="A443" s="9" t="s">
        <v>289</v>
      </c>
      <c r="B443" s="9" t="s">
        <v>279</v>
      </c>
      <c r="C443" s="9" t="s">
        <v>280</v>
      </c>
      <c r="D443" s="9" t="s">
        <v>290</v>
      </c>
      <c r="E443" s="9">
        <v>876.0</v>
      </c>
      <c r="F443" s="9" t="s">
        <v>51</v>
      </c>
      <c r="G443" s="9" t="s">
        <v>52</v>
      </c>
      <c r="H443" s="9" t="s">
        <v>52</v>
      </c>
      <c r="I443" s="9" t="s">
        <v>53</v>
      </c>
      <c r="J443" s="9" t="s">
        <v>260</v>
      </c>
      <c r="K443" s="3" t="s">
        <v>123</v>
      </c>
      <c r="L443" s="9" t="s">
        <v>100</v>
      </c>
      <c r="M443" s="9">
        <v>2.0</v>
      </c>
      <c r="N443" s="9">
        <v>10.0</v>
      </c>
      <c r="O443" s="9">
        <v>0.0</v>
      </c>
      <c r="P443" s="9">
        <v>1478.0</v>
      </c>
      <c r="Q443" s="9">
        <v>87.0</v>
      </c>
      <c r="R443" s="9">
        <v>312.0</v>
      </c>
      <c r="S443" s="3">
        <f t="shared" si="1"/>
        <v>1.687214612</v>
      </c>
    </row>
    <row r="444" ht="16.5" customHeight="1">
      <c r="A444" s="9" t="s">
        <v>289</v>
      </c>
      <c r="B444" s="9" t="s">
        <v>279</v>
      </c>
      <c r="C444" s="9" t="s">
        <v>280</v>
      </c>
      <c r="D444" s="9" t="s">
        <v>290</v>
      </c>
      <c r="E444" s="9">
        <v>876.0</v>
      </c>
      <c r="F444" s="9" t="s">
        <v>51</v>
      </c>
      <c r="G444" s="9" t="s">
        <v>52</v>
      </c>
      <c r="H444" s="9" t="s">
        <v>58</v>
      </c>
      <c r="I444" s="9" t="s">
        <v>59</v>
      </c>
      <c r="J444" s="9" t="s">
        <v>123</v>
      </c>
      <c r="K444" s="3" t="s">
        <v>260</v>
      </c>
      <c r="L444" s="9" t="s">
        <v>60</v>
      </c>
      <c r="M444" s="9">
        <v>6.0</v>
      </c>
      <c r="N444" s="9">
        <v>8.0</v>
      </c>
      <c r="O444" s="9">
        <v>0.0</v>
      </c>
      <c r="P444" s="9">
        <v>3199.0</v>
      </c>
      <c r="Q444" s="9">
        <v>194.0</v>
      </c>
      <c r="R444" s="9">
        <v>334.0</v>
      </c>
      <c r="S444" s="3">
        <f t="shared" si="1"/>
        <v>3.651826484</v>
      </c>
    </row>
    <row r="445" ht="16.5" customHeight="1">
      <c r="A445" s="9" t="s">
        <v>289</v>
      </c>
      <c r="B445" s="9" t="s">
        <v>279</v>
      </c>
      <c r="C445" s="9" t="s">
        <v>280</v>
      </c>
      <c r="D445" s="9" t="s">
        <v>290</v>
      </c>
      <c r="E445" s="9">
        <v>876.0</v>
      </c>
      <c r="F445" s="9" t="s">
        <v>51</v>
      </c>
      <c r="G445" s="9" t="s">
        <v>52</v>
      </c>
      <c r="H445" s="9" t="s">
        <v>58</v>
      </c>
      <c r="I445" s="9" t="s">
        <v>59</v>
      </c>
      <c r="J445" s="9" t="s">
        <v>123</v>
      </c>
      <c r="K445" s="3" t="s">
        <v>260</v>
      </c>
      <c r="L445" s="9" t="s">
        <v>57</v>
      </c>
      <c r="M445" s="9">
        <v>2.0</v>
      </c>
      <c r="N445" s="9">
        <v>8.0</v>
      </c>
      <c r="O445" s="9">
        <v>1.0</v>
      </c>
      <c r="P445" s="9">
        <v>2300.0</v>
      </c>
      <c r="Q445" s="9">
        <v>140.0</v>
      </c>
      <c r="R445" s="9">
        <v>334.0</v>
      </c>
      <c r="S445" s="3">
        <f t="shared" si="1"/>
        <v>2.625570776</v>
      </c>
    </row>
    <row r="446" ht="16.5" customHeight="1">
      <c r="A446" s="9" t="s">
        <v>291</v>
      </c>
      <c r="B446" s="9" t="s">
        <v>279</v>
      </c>
      <c r="C446" s="9" t="s">
        <v>280</v>
      </c>
      <c r="D446" s="9" t="s">
        <v>292</v>
      </c>
      <c r="E446" s="9">
        <v>680.0</v>
      </c>
      <c r="F446" s="9" t="s">
        <v>51</v>
      </c>
      <c r="G446" s="9" t="s">
        <v>58</v>
      </c>
      <c r="H446" s="9" t="s">
        <v>52</v>
      </c>
      <c r="I446" s="9" t="s">
        <v>59</v>
      </c>
      <c r="J446" s="9" t="s">
        <v>54</v>
      </c>
      <c r="K446" s="3" t="s">
        <v>293</v>
      </c>
      <c r="L446" s="9" t="s">
        <v>55</v>
      </c>
      <c r="M446" s="9">
        <v>4.0</v>
      </c>
      <c r="N446" s="9">
        <v>8.0</v>
      </c>
      <c r="O446" s="9">
        <v>0.0</v>
      </c>
      <c r="P446" s="9">
        <v>2492.0</v>
      </c>
      <c r="Q446" s="9">
        <v>137.0</v>
      </c>
      <c r="R446" s="9">
        <v>253.0</v>
      </c>
      <c r="S446" s="3">
        <f t="shared" si="1"/>
        <v>3.664705882</v>
      </c>
    </row>
    <row r="447" ht="16.5" customHeight="1">
      <c r="A447" s="9" t="s">
        <v>291</v>
      </c>
      <c r="B447" s="9" t="s">
        <v>279</v>
      </c>
      <c r="C447" s="9" t="s">
        <v>280</v>
      </c>
      <c r="D447" s="9" t="s">
        <v>292</v>
      </c>
      <c r="E447" s="9">
        <v>680.0</v>
      </c>
      <c r="F447" s="9" t="s">
        <v>51</v>
      </c>
      <c r="G447" s="9" t="s">
        <v>58</v>
      </c>
      <c r="H447" s="9" t="s">
        <v>52</v>
      </c>
      <c r="I447" s="9" t="s">
        <v>59</v>
      </c>
      <c r="J447" s="9" t="s">
        <v>54</v>
      </c>
      <c r="K447" s="3" t="s">
        <v>293</v>
      </c>
      <c r="L447" s="9" t="s">
        <v>57</v>
      </c>
      <c r="M447" s="9">
        <v>4.0</v>
      </c>
      <c r="N447" s="9">
        <v>8.0</v>
      </c>
      <c r="O447" s="9">
        <v>1.0</v>
      </c>
      <c r="P447" s="9">
        <v>1208.0</v>
      </c>
      <c r="Q447" s="9">
        <v>116.0</v>
      </c>
      <c r="R447" s="9">
        <v>253.0</v>
      </c>
      <c r="S447" s="3">
        <f t="shared" si="1"/>
        <v>1.776470588</v>
      </c>
    </row>
    <row r="448" ht="16.5" customHeight="1">
      <c r="A448" s="9" t="s">
        <v>291</v>
      </c>
      <c r="B448" s="9" t="s">
        <v>279</v>
      </c>
      <c r="C448" s="9" t="s">
        <v>280</v>
      </c>
      <c r="D448" s="9" t="s">
        <v>292</v>
      </c>
      <c r="E448" s="9">
        <v>680.0</v>
      </c>
      <c r="F448" s="9" t="s">
        <v>51</v>
      </c>
      <c r="G448" s="9" t="s">
        <v>58</v>
      </c>
      <c r="H448" s="9" t="s">
        <v>58</v>
      </c>
      <c r="I448" s="9" t="s">
        <v>53</v>
      </c>
      <c r="J448" s="9" t="s">
        <v>293</v>
      </c>
      <c r="K448" s="3" t="s">
        <v>54</v>
      </c>
      <c r="L448" s="9" t="s">
        <v>60</v>
      </c>
      <c r="M448" s="9">
        <v>8.0</v>
      </c>
      <c r="N448" s="9">
        <v>10.0</v>
      </c>
      <c r="O448" s="9">
        <v>0.0</v>
      </c>
      <c r="P448" s="9">
        <v>1980.0</v>
      </c>
      <c r="Q448" s="9">
        <v>172.0</v>
      </c>
      <c r="R448" s="9">
        <v>261.0</v>
      </c>
      <c r="S448" s="3">
        <f t="shared" si="1"/>
        <v>2.911764706</v>
      </c>
    </row>
    <row r="449" ht="16.5" customHeight="1">
      <c r="A449" s="9" t="s">
        <v>291</v>
      </c>
      <c r="B449" s="9" t="s">
        <v>279</v>
      </c>
      <c r="C449" s="9" t="s">
        <v>280</v>
      </c>
      <c r="D449" s="9" t="s">
        <v>292</v>
      </c>
      <c r="E449" s="9">
        <v>680.0</v>
      </c>
      <c r="F449" s="9" t="s">
        <v>51</v>
      </c>
      <c r="G449" s="9" t="s">
        <v>58</v>
      </c>
      <c r="H449" s="9" t="s">
        <v>58</v>
      </c>
      <c r="I449" s="9" t="s">
        <v>53</v>
      </c>
      <c r="J449" s="9" t="s">
        <v>293</v>
      </c>
      <c r="K449" s="3" t="s">
        <v>54</v>
      </c>
      <c r="L449" s="9" t="s">
        <v>100</v>
      </c>
      <c r="M449" s="9">
        <v>2.0</v>
      </c>
      <c r="N449" s="9">
        <v>10.0</v>
      </c>
      <c r="O449" s="9">
        <v>1.0</v>
      </c>
      <c r="P449" s="9">
        <v>1540.0</v>
      </c>
      <c r="Q449" s="9">
        <v>89.0</v>
      </c>
      <c r="R449" s="9">
        <v>261.0</v>
      </c>
      <c r="S449" s="3">
        <f t="shared" si="1"/>
        <v>2.264705882</v>
      </c>
    </row>
    <row r="450" ht="16.5" customHeight="1">
      <c r="K450" s="3"/>
    </row>
    <row r="451" ht="16.5" customHeight="1">
      <c r="K451" s="3"/>
    </row>
    <row r="452" ht="16.5" customHeight="1">
      <c r="K452" s="3"/>
    </row>
    <row r="453" ht="16.5" customHeight="1">
      <c r="K453" s="3"/>
    </row>
    <row r="454" ht="16.5" customHeight="1">
      <c r="B454" s="16"/>
      <c r="K454" s="3"/>
    </row>
    <row r="455" ht="16.5" customHeight="1">
      <c r="B455" s="16"/>
      <c r="K455" s="3"/>
    </row>
    <row r="456" ht="16.5" customHeight="1">
      <c r="B456" s="16"/>
      <c r="K456" s="3"/>
    </row>
    <row r="457" ht="16.5" customHeight="1">
      <c r="B457" s="16"/>
      <c r="K457" s="3"/>
    </row>
    <row r="458" ht="16.5" customHeight="1">
      <c r="B458" s="16"/>
      <c r="K458" s="3"/>
    </row>
    <row r="459" ht="16.5" customHeight="1">
      <c r="B459" s="16"/>
      <c r="K459" s="3"/>
    </row>
    <row r="460" ht="16.5" customHeight="1">
      <c r="B460" s="16"/>
      <c r="K460" s="3"/>
    </row>
    <row r="461" ht="16.5" customHeight="1">
      <c r="B461" s="16"/>
      <c r="K461" s="3"/>
    </row>
    <row r="462" ht="16.5" customHeight="1">
      <c r="B462" s="16"/>
      <c r="K462" s="3"/>
    </row>
    <row r="463" ht="16.5" customHeight="1">
      <c r="B463" s="16"/>
      <c r="K463" s="3"/>
    </row>
    <row r="464" ht="16.5" customHeight="1">
      <c r="B464" s="16"/>
      <c r="K464" s="3"/>
    </row>
    <row r="465" ht="16.5" customHeight="1">
      <c r="B465" s="16"/>
      <c r="K465" s="3"/>
    </row>
    <row r="466" ht="16.5" customHeight="1">
      <c r="B466" s="16"/>
      <c r="K466" s="3"/>
    </row>
    <row r="467" ht="16.5" customHeight="1">
      <c r="B467" s="16"/>
      <c r="K467" s="3"/>
    </row>
    <row r="468" ht="16.5" customHeight="1">
      <c r="B468" s="16"/>
      <c r="K468" s="3"/>
    </row>
    <row r="469" ht="16.5" customHeight="1">
      <c r="B469" s="16"/>
      <c r="K469" s="3"/>
    </row>
    <row r="470" ht="16.5" customHeight="1">
      <c r="B470" s="16"/>
      <c r="K470" s="3"/>
    </row>
    <row r="471" ht="16.5" customHeight="1">
      <c r="B471" s="16"/>
      <c r="K471" s="3"/>
    </row>
    <row r="472" ht="16.5" customHeight="1">
      <c r="B472" s="16"/>
      <c r="K472" s="3"/>
    </row>
    <row r="473" ht="16.5" customHeight="1">
      <c r="B473" s="16"/>
      <c r="K473" s="3"/>
    </row>
    <row r="474" ht="16.5" customHeight="1">
      <c r="B474" s="16"/>
      <c r="K474" s="3"/>
    </row>
    <row r="475" ht="16.5" customHeight="1">
      <c r="B475" s="16"/>
      <c r="K475" s="3"/>
    </row>
    <row r="476" ht="16.5" customHeight="1">
      <c r="B476" s="16"/>
      <c r="K476" s="3"/>
    </row>
    <row r="477" ht="16.5" customHeight="1">
      <c r="B477" s="16"/>
      <c r="K477" s="3"/>
    </row>
    <row r="478" ht="16.5" customHeight="1">
      <c r="B478" s="16"/>
      <c r="K478" s="3"/>
    </row>
    <row r="479" ht="16.5" customHeight="1">
      <c r="B479" s="16"/>
      <c r="K479" s="3"/>
    </row>
    <row r="480" ht="16.5" customHeight="1">
      <c r="B480" s="16"/>
      <c r="K480" s="3"/>
    </row>
    <row r="481" ht="16.5" customHeight="1">
      <c r="B481" s="16"/>
      <c r="K481" s="3"/>
    </row>
    <row r="482" ht="16.5" customHeight="1">
      <c r="B482" s="16"/>
      <c r="K482" s="3"/>
    </row>
    <row r="483" ht="16.5" customHeight="1">
      <c r="B483" s="16"/>
      <c r="K483" s="3"/>
    </row>
    <row r="484" ht="16.5" customHeight="1">
      <c r="B484" s="16"/>
      <c r="K484" s="3"/>
    </row>
    <row r="485" ht="16.5" customHeight="1">
      <c r="B485" s="16"/>
      <c r="K485" s="3"/>
    </row>
    <row r="486" ht="16.5" customHeight="1">
      <c r="B486" s="16"/>
      <c r="K486" s="3"/>
    </row>
    <row r="487" ht="16.5" customHeight="1">
      <c r="B487" s="16"/>
      <c r="K487" s="3"/>
    </row>
    <row r="488" ht="16.5" customHeight="1">
      <c r="B488" s="16"/>
      <c r="K488" s="3"/>
    </row>
    <row r="489" ht="16.5" customHeight="1">
      <c r="B489" s="16"/>
      <c r="K489" s="3"/>
    </row>
    <row r="490" ht="16.5" customHeight="1">
      <c r="B490" s="16"/>
      <c r="K490" s="3"/>
    </row>
    <row r="491" ht="16.5" customHeight="1">
      <c r="B491" s="16"/>
      <c r="K491" s="3"/>
    </row>
    <row r="492" ht="16.5" customHeight="1">
      <c r="B492" s="16"/>
      <c r="K492" s="3"/>
    </row>
    <row r="493" ht="16.5" customHeight="1">
      <c r="B493" s="16"/>
      <c r="K493" s="3"/>
    </row>
    <row r="494" ht="16.5" customHeight="1">
      <c r="B494" s="16"/>
      <c r="K494" s="3"/>
    </row>
    <row r="495" ht="16.5" customHeight="1">
      <c r="B495" s="16"/>
      <c r="K495" s="3"/>
    </row>
    <row r="496" ht="16.5" customHeight="1">
      <c r="B496" s="16"/>
      <c r="K496" s="3"/>
    </row>
    <row r="497" ht="16.5" customHeight="1">
      <c r="B497" s="16"/>
      <c r="K497" s="3"/>
    </row>
    <row r="498" ht="16.5" customHeight="1">
      <c r="B498" s="16"/>
      <c r="K498" s="3"/>
    </row>
    <row r="499" ht="16.5" customHeight="1">
      <c r="B499" s="16"/>
      <c r="K499" s="3"/>
    </row>
    <row r="500" ht="16.5" customHeight="1">
      <c r="B500" s="16"/>
      <c r="K500" s="3"/>
    </row>
    <row r="501" ht="16.5" customHeight="1">
      <c r="B501" s="16"/>
      <c r="K501" s="3"/>
    </row>
    <row r="502" ht="16.5" customHeight="1">
      <c r="B502" s="16"/>
      <c r="K502" s="3"/>
    </row>
    <row r="503" ht="16.5" customHeight="1">
      <c r="B503" s="16"/>
      <c r="K503" s="3"/>
    </row>
    <row r="504" ht="16.5" customHeight="1">
      <c r="B504" s="16"/>
      <c r="K504" s="3"/>
    </row>
    <row r="505" ht="16.5" customHeight="1">
      <c r="B505" s="16"/>
      <c r="K505" s="3"/>
    </row>
    <row r="506" ht="16.5" customHeight="1">
      <c r="B506" s="16"/>
      <c r="K506" s="3"/>
    </row>
    <row r="507" ht="16.5" customHeight="1">
      <c r="B507" s="16"/>
      <c r="K507" s="3"/>
    </row>
    <row r="508" ht="16.5" customHeight="1">
      <c r="B508" s="16"/>
      <c r="K508" s="3"/>
    </row>
    <row r="509" ht="16.5" customHeight="1">
      <c r="B509" s="16"/>
      <c r="K509" s="3"/>
    </row>
    <row r="510" ht="16.5" customHeight="1">
      <c r="B510" s="16"/>
      <c r="K510" s="3"/>
    </row>
    <row r="511" ht="16.5" customHeight="1">
      <c r="B511" s="16"/>
      <c r="K511" s="3"/>
    </row>
    <row r="512" ht="16.5" customHeight="1">
      <c r="B512" s="16"/>
      <c r="K512" s="3"/>
    </row>
    <row r="513" ht="16.5" customHeight="1">
      <c r="B513" s="16"/>
      <c r="K513" s="3"/>
    </row>
    <row r="514" ht="16.5" customHeight="1">
      <c r="B514" s="16"/>
      <c r="K514" s="3"/>
    </row>
    <row r="515" ht="16.5" customHeight="1">
      <c r="B515" s="16"/>
      <c r="K515" s="3"/>
    </row>
    <row r="516" ht="16.5" customHeight="1">
      <c r="B516" s="16"/>
      <c r="K516" s="3"/>
    </row>
    <row r="517" ht="16.5" customHeight="1">
      <c r="B517" s="16"/>
      <c r="K517" s="3"/>
    </row>
    <row r="518" ht="16.5" customHeight="1">
      <c r="B518" s="13"/>
      <c r="K518" s="3"/>
    </row>
    <row r="519" ht="16.5" customHeight="1">
      <c r="B519" s="13"/>
      <c r="K519" s="3"/>
    </row>
    <row r="520" ht="16.5" customHeight="1">
      <c r="B520" s="13"/>
      <c r="K520" s="3"/>
    </row>
    <row r="521" ht="16.5" customHeight="1">
      <c r="B521" s="13"/>
      <c r="K521" s="3"/>
    </row>
    <row r="522" ht="16.5" customHeight="1">
      <c r="B522" s="16"/>
      <c r="K522" s="3"/>
    </row>
    <row r="523" ht="16.5" customHeight="1">
      <c r="B523" s="16"/>
      <c r="K523" s="3"/>
    </row>
    <row r="524" ht="16.5" customHeight="1">
      <c r="B524" s="16"/>
      <c r="K524" s="3"/>
    </row>
    <row r="525" ht="16.5" customHeight="1">
      <c r="B525" s="16"/>
      <c r="K525" s="3"/>
    </row>
    <row r="526" ht="16.5" customHeight="1">
      <c r="B526" s="16"/>
      <c r="K526" s="3"/>
    </row>
    <row r="527" ht="16.5" customHeight="1">
      <c r="B527" s="16"/>
      <c r="K527" s="3"/>
    </row>
    <row r="528" ht="16.5" customHeight="1">
      <c r="B528" s="16"/>
      <c r="K528" s="3"/>
    </row>
    <row r="529" ht="16.5" customHeight="1">
      <c r="B529" s="16"/>
      <c r="K529" s="3"/>
    </row>
    <row r="530" ht="16.5" customHeight="1">
      <c r="B530" s="16"/>
      <c r="K530" s="3"/>
    </row>
    <row r="531" ht="16.5" customHeight="1">
      <c r="B531" s="16"/>
      <c r="K531" s="3"/>
    </row>
    <row r="532" ht="16.5" customHeight="1">
      <c r="B532" s="16"/>
      <c r="K532" s="3"/>
    </row>
    <row r="533" ht="16.5" customHeight="1">
      <c r="B533" s="16"/>
      <c r="K533" s="3"/>
    </row>
    <row r="534" ht="16.5" customHeight="1">
      <c r="B534" s="16"/>
      <c r="K534" s="3"/>
    </row>
    <row r="535" ht="16.5" customHeight="1">
      <c r="B535" s="16"/>
      <c r="K535" s="3"/>
    </row>
    <row r="536" ht="16.5" customHeight="1">
      <c r="B536" s="16"/>
      <c r="K536" s="3"/>
    </row>
    <row r="537" ht="16.5" customHeight="1">
      <c r="B537" s="13"/>
      <c r="K537" s="3"/>
    </row>
    <row r="538" ht="16.5" customHeight="1">
      <c r="B538" s="13"/>
      <c r="K538" s="3"/>
    </row>
    <row r="539" ht="16.5" customHeight="1">
      <c r="B539" s="13"/>
      <c r="K539" s="3"/>
    </row>
    <row r="540" ht="16.5" customHeight="1">
      <c r="B540" s="13"/>
      <c r="K540" s="3"/>
    </row>
    <row r="541" ht="16.5" customHeight="1">
      <c r="B541" s="13"/>
      <c r="K541" s="3"/>
    </row>
    <row r="542" ht="16.5" customHeight="1">
      <c r="B542" s="13"/>
      <c r="K542" s="3"/>
    </row>
    <row r="543" ht="16.5" customHeight="1">
      <c r="B543" s="13"/>
      <c r="K543" s="3"/>
    </row>
    <row r="544" ht="16.5" customHeight="1">
      <c r="B544" s="13"/>
      <c r="K544" s="3"/>
    </row>
    <row r="545" ht="16.5" customHeight="1">
      <c r="B545" s="13"/>
      <c r="K545" s="3"/>
    </row>
    <row r="546" ht="16.5" customHeight="1">
      <c r="B546" s="13"/>
      <c r="K546" s="3"/>
    </row>
    <row r="547" ht="16.5" customHeight="1">
      <c r="B547" s="13"/>
      <c r="K547" s="3"/>
    </row>
    <row r="548" ht="16.5" customHeight="1">
      <c r="B548" s="13"/>
      <c r="K548" s="3"/>
    </row>
    <row r="549" ht="16.5" customHeight="1">
      <c r="B549" s="13"/>
      <c r="K549" s="3"/>
    </row>
    <row r="550" ht="16.5" customHeight="1">
      <c r="B550" s="13"/>
      <c r="K550" s="3"/>
    </row>
    <row r="551" ht="16.5" customHeight="1">
      <c r="B551" s="13"/>
      <c r="K551" s="3"/>
    </row>
    <row r="552" ht="16.5" customHeight="1">
      <c r="B552" s="13"/>
      <c r="K552" s="3"/>
    </row>
    <row r="553" ht="16.5" customHeight="1">
      <c r="B553" s="13"/>
      <c r="K553" s="3"/>
    </row>
    <row r="554" ht="16.5" customHeight="1">
      <c r="B554" s="13"/>
      <c r="K554" s="3"/>
    </row>
    <row r="555" ht="16.5" customHeight="1">
      <c r="B555" s="13"/>
      <c r="K555" s="3"/>
    </row>
    <row r="556" ht="16.5" customHeight="1">
      <c r="B556" s="13"/>
      <c r="K556" s="3"/>
    </row>
    <row r="557" ht="16.5" customHeight="1">
      <c r="B557" s="13"/>
      <c r="K557" s="3"/>
    </row>
    <row r="558" ht="16.5" customHeight="1">
      <c r="B558" s="13"/>
      <c r="K558" s="3"/>
    </row>
    <row r="559">
      <c r="B559" s="13"/>
      <c r="K559" s="3"/>
    </row>
    <row r="560">
      <c r="B560" s="13"/>
      <c r="K560" s="3"/>
    </row>
    <row r="561">
      <c r="B561" s="13"/>
      <c r="K561" s="3"/>
    </row>
    <row r="562">
      <c r="B562" s="13"/>
      <c r="K562" s="3"/>
    </row>
    <row r="563">
      <c r="B563" s="13"/>
      <c r="K563" s="3"/>
    </row>
    <row r="564">
      <c r="B564" s="13"/>
      <c r="K564" s="3"/>
    </row>
    <row r="565">
      <c r="B565" s="13"/>
      <c r="K565" s="3"/>
    </row>
    <row r="566">
      <c r="B566" s="13"/>
      <c r="K566" s="3"/>
    </row>
    <row r="567">
      <c r="B567" s="13"/>
      <c r="K567" s="3"/>
    </row>
    <row r="568">
      <c r="B568" s="13"/>
      <c r="K568" s="3"/>
    </row>
    <row r="569">
      <c r="B569" s="13"/>
      <c r="K569" s="3"/>
    </row>
    <row r="570">
      <c r="B570" s="13"/>
      <c r="K570" s="3"/>
    </row>
    <row r="571">
      <c r="B571" s="13"/>
      <c r="K571" s="3"/>
    </row>
    <row r="572">
      <c r="B572" s="13"/>
      <c r="K572" s="3"/>
    </row>
    <row r="573">
      <c r="B573" s="13"/>
      <c r="K573" s="3"/>
    </row>
    <row r="574">
      <c r="B574" s="13"/>
      <c r="K574" s="3"/>
    </row>
    <row r="575">
      <c r="B575" s="13"/>
      <c r="K575" s="3"/>
    </row>
    <row r="576">
      <c r="B576" s="13"/>
      <c r="K576" s="3"/>
    </row>
    <row r="577">
      <c r="B577" s="13"/>
      <c r="K577" s="3"/>
    </row>
    <row r="578">
      <c r="B578" s="13"/>
      <c r="K578" s="3"/>
    </row>
    <row r="579">
      <c r="B579" s="13"/>
      <c r="K579" s="3"/>
    </row>
    <row r="580">
      <c r="B580" s="13"/>
      <c r="K580" s="3"/>
    </row>
    <row r="581">
      <c r="B581" s="13"/>
      <c r="K581" s="3"/>
    </row>
    <row r="582">
      <c r="B582" s="13"/>
      <c r="K582" s="3"/>
    </row>
    <row r="583">
      <c r="B583" s="13"/>
      <c r="K583" s="3"/>
    </row>
    <row r="584">
      <c r="B584" s="13"/>
      <c r="K584" s="3"/>
    </row>
    <row r="585">
      <c r="B585" s="13"/>
      <c r="K585" s="3"/>
    </row>
    <row r="586">
      <c r="B586" s="13"/>
      <c r="K586" s="3"/>
    </row>
    <row r="587">
      <c r="B587" s="13"/>
      <c r="K587" s="3"/>
    </row>
    <row r="588">
      <c r="B588" s="13"/>
      <c r="K588" s="3"/>
    </row>
    <row r="589">
      <c r="B589" s="13"/>
      <c r="K589" s="3"/>
    </row>
    <row r="590">
      <c r="B590" s="13"/>
      <c r="K590" s="3"/>
    </row>
    <row r="591">
      <c r="B591" s="13"/>
      <c r="K591" s="3"/>
    </row>
    <row r="592">
      <c r="B592" s="13"/>
      <c r="K592" s="3"/>
    </row>
    <row r="593">
      <c r="B593" s="13"/>
      <c r="K593" s="3"/>
    </row>
    <row r="594">
      <c r="B594" s="13"/>
      <c r="K594" s="3"/>
    </row>
    <row r="595">
      <c r="B595" s="13"/>
      <c r="K595" s="3"/>
    </row>
    <row r="596">
      <c r="B596" s="13"/>
      <c r="K596" s="3"/>
    </row>
    <row r="597">
      <c r="B597" s="13"/>
      <c r="K597" s="3"/>
    </row>
    <row r="598">
      <c r="B598" s="13"/>
      <c r="K598" s="3"/>
    </row>
    <row r="599">
      <c r="B599" s="13"/>
      <c r="K599" s="3"/>
    </row>
    <row r="600">
      <c r="B600" s="13"/>
      <c r="K600" s="3"/>
    </row>
    <row r="601">
      <c r="B601" s="13"/>
      <c r="K601" s="3"/>
    </row>
    <row r="602">
      <c r="B602" s="13"/>
      <c r="K602" s="3"/>
    </row>
    <row r="603">
      <c r="B603" s="13"/>
      <c r="K603" s="3"/>
    </row>
    <row r="604">
      <c r="B604" s="13"/>
      <c r="K604" s="3"/>
    </row>
    <row r="605">
      <c r="B605" s="13"/>
      <c r="K605" s="3"/>
    </row>
    <row r="606">
      <c r="B606" s="13"/>
      <c r="K606" s="3"/>
    </row>
    <row r="607">
      <c r="B607" s="13"/>
      <c r="K607" s="3"/>
    </row>
    <row r="608">
      <c r="B608" s="13"/>
      <c r="K608" s="3"/>
    </row>
    <row r="609">
      <c r="B609" s="13"/>
      <c r="K609" s="3"/>
    </row>
    <row r="610">
      <c r="B610" s="13"/>
      <c r="K610" s="3"/>
    </row>
    <row r="611">
      <c r="B611" s="13"/>
      <c r="K611" s="3"/>
    </row>
    <row r="612">
      <c r="B612" s="13"/>
      <c r="K612" s="3"/>
    </row>
    <row r="613">
      <c r="B613" s="13"/>
      <c r="K613" s="3"/>
    </row>
    <row r="614">
      <c r="B614" s="13"/>
      <c r="K614" s="3"/>
    </row>
    <row r="615">
      <c r="B615" s="13"/>
      <c r="K615" s="3"/>
    </row>
    <row r="616">
      <c r="B616" s="13"/>
      <c r="K616" s="3"/>
    </row>
    <row r="617">
      <c r="B617" s="13"/>
      <c r="K617" s="3"/>
    </row>
    <row r="618">
      <c r="B618" s="13"/>
      <c r="K618" s="3"/>
    </row>
    <row r="619">
      <c r="B619" s="13"/>
      <c r="K619" s="3"/>
    </row>
    <row r="620">
      <c r="B620" s="13"/>
      <c r="K620" s="3"/>
    </row>
    <row r="621">
      <c r="B621" s="13"/>
      <c r="K621" s="3"/>
    </row>
    <row r="622">
      <c r="B622" s="13"/>
      <c r="K622" s="3"/>
    </row>
    <row r="623">
      <c r="B623" s="13"/>
      <c r="K623" s="3"/>
    </row>
    <row r="624">
      <c r="B624" s="13"/>
      <c r="K624" s="3"/>
    </row>
    <row r="625">
      <c r="B625" s="13"/>
      <c r="K625" s="3"/>
    </row>
    <row r="626">
      <c r="B626" s="13"/>
      <c r="K626" s="3"/>
    </row>
    <row r="627">
      <c r="B627" s="13"/>
      <c r="K627" s="3"/>
    </row>
    <row r="628">
      <c r="B628" s="13"/>
      <c r="K628" s="3"/>
    </row>
    <row r="629">
      <c r="B629" s="13"/>
      <c r="K629" s="3"/>
    </row>
    <row r="630">
      <c r="B630" s="13"/>
      <c r="K630" s="3"/>
    </row>
    <row r="631">
      <c r="B631" s="13"/>
      <c r="K631" s="3"/>
    </row>
    <row r="632">
      <c r="B632" s="13"/>
      <c r="K632" s="3"/>
    </row>
    <row r="633">
      <c r="B633" s="13"/>
      <c r="K633" s="3"/>
    </row>
    <row r="634">
      <c r="B634" s="13"/>
      <c r="K634" s="3"/>
    </row>
    <row r="635">
      <c r="B635" s="13"/>
      <c r="K635" s="3"/>
    </row>
    <row r="636">
      <c r="B636" s="13"/>
      <c r="K636" s="3"/>
    </row>
    <row r="637">
      <c r="B637" s="13"/>
      <c r="K637" s="3"/>
    </row>
    <row r="638">
      <c r="B638" s="13"/>
      <c r="K638" s="3"/>
    </row>
    <row r="639">
      <c r="B639" s="13"/>
      <c r="K639" s="3"/>
    </row>
    <row r="640">
      <c r="B640" s="13"/>
      <c r="K640" s="3"/>
    </row>
    <row r="641">
      <c r="B641" s="13"/>
      <c r="K641" s="3"/>
    </row>
    <row r="642">
      <c r="B642" s="13"/>
      <c r="K642" s="3"/>
    </row>
    <row r="643">
      <c r="B643" s="13"/>
      <c r="K643" s="3"/>
    </row>
    <row r="644">
      <c r="B644" s="13"/>
      <c r="K644" s="3"/>
    </row>
    <row r="645">
      <c r="B645" s="13"/>
      <c r="K645" s="3"/>
    </row>
    <row r="646">
      <c r="B646" s="13"/>
      <c r="K646" s="3"/>
    </row>
    <row r="647">
      <c r="B647" s="13"/>
      <c r="K647" s="3"/>
    </row>
    <row r="648">
      <c r="B648" s="13"/>
      <c r="K648" s="3"/>
    </row>
    <row r="649">
      <c r="B649" s="13"/>
      <c r="K649" s="3"/>
    </row>
    <row r="650">
      <c r="B650" s="13"/>
      <c r="K650" s="3"/>
    </row>
    <row r="651">
      <c r="B651" s="13"/>
      <c r="K651" s="3"/>
    </row>
    <row r="652">
      <c r="B652" s="13"/>
      <c r="K652" s="3"/>
    </row>
    <row r="653">
      <c r="B653" s="13"/>
      <c r="K653" s="3"/>
    </row>
    <row r="654">
      <c r="B654" s="13"/>
      <c r="K654" s="3"/>
    </row>
    <row r="655">
      <c r="B655" s="13"/>
      <c r="K655" s="3"/>
    </row>
    <row r="656">
      <c r="B656" s="13"/>
      <c r="K656" s="3"/>
    </row>
    <row r="657">
      <c r="B657" s="13"/>
      <c r="K657" s="3"/>
    </row>
    <row r="658">
      <c r="B658" s="13"/>
      <c r="K658" s="3"/>
    </row>
    <row r="659">
      <c r="B659" s="13"/>
      <c r="K659" s="3"/>
    </row>
    <row r="660">
      <c r="B660" s="13"/>
      <c r="K660" s="3"/>
    </row>
    <row r="661">
      <c r="B661" s="13"/>
      <c r="K661" s="3"/>
    </row>
    <row r="662">
      <c r="B662" s="13"/>
      <c r="K662" s="3"/>
    </row>
    <row r="663">
      <c r="B663" s="13"/>
      <c r="K663" s="3"/>
    </row>
    <row r="664">
      <c r="B664" s="13"/>
      <c r="K664" s="3"/>
    </row>
    <row r="665">
      <c r="B665" s="13"/>
      <c r="K665" s="3"/>
    </row>
    <row r="666">
      <c r="B666" s="13"/>
      <c r="K666" s="3"/>
    </row>
    <row r="667">
      <c r="B667" s="13"/>
      <c r="K667" s="3"/>
    </row>
    <row r="668">
      <c r="B668" s="13"/>
      <c r="K668" s="3"/>
    </row>
    <row r="669">
      <c r="B669" s="13"/>
      <c r="K669" s="3"/>
    </row>
    <row r="670">
      <c r="B670" s="13"/>
      <c r="K670" s="3"/>
    </row>
    <row r="671">
      <c r="B671" s="13"/>
      <c r="K671" s="3"/>
    </row>
    <row r="672">
      <c r="B672" s="13"/>
      <c r="K672" s="3"/>
    </row>
    <row r="673">
      <c r="B673" s="13"/>
      <c r="K673" s="3"/>
    </row>
    <row r="674">
      <c r="B674" s="13"/>
      <c r="K674" s="3"/>
    </row>
    <row r="675">
      <c r="B675" s="13"/>
      <c r="K675" s="3"/>
    </row>
    <row r="676">
      <c r="B676" s="13"/>
      <c r="K676" s="3"/>
    </row>
    <row r="677">
      <c r="B677" s="13"/>
      <c r="K677" s="3"/>
    </row>
    <row r="678">
      <c r="B678" s="13"/>
      <c r="K678" s="3"/>
    </row>
    <row r="679">
      <c r="B679" s="13"/>
      <c r="K679" s="3"/>
    </row>
    <row r="680">
      <c r="B680" s="13"/>
      <c r="K680" s="3"/>
    </row>
    <row r="681">
      <c r="B681" s="13"/>
      <c r="K681" s="3"/>
    </row>
    <row r="682">
      <c r="B682" s="13"/>
      <c r="K682" s="3"/>
    </row>
    <row r="683">
      <c r="B683" s="13"/>
      <c r="K683" s="3"/>
    </row>
    <row r="684">
      <c r="B684" s="13"/>
      <c r="K684" s="3"/>
    </row>
    <row r="685">
      <c r="B685" s="13"/>
      <c r="K685" s="3"/>
    </row>
    <row r="686">
      <c r="B686" s="13"/>
      <c r="K686" s="3"/>
    </row>
    <row r="687">
      <c r="B687" s="13"/>
      <c r="K687" s="3"/>
    </row>
    <row r="688">
      <c r="B688" s="13"/>
      <c r="K688" s="3"/>
    </row>
    <row r="689">
      <c r="B689" s="13"/>
      <c r="K689" s="3"/>
    </row>
    <row r="690">
      <c r="B690" s="13"/>
      <c r="K690" s="3"/>
    </row>
    <row r="691">
      <c r="B691" s="13"/>
      <c r="K691" s="3"/>
    </row>
    <row r="692">
      <c r="B692" s="13"/>
      <c r="K692" s="3"/>
    </row>
    <row r="693">
      <c r="B693" s="13"/>
      <c r="K693" s="3"/>
    </row>
    <row r="694">
      <c r="B694" s="13"/>
      <c r="K694" s="3"/>
    </row>
    <row r="695">
      <c r="B695" s="13"/>
      <c r="K695" s="3"/>
    </row>
    <row r="696">
      <c r="B696" s="13"/>
      <c r="K696" s="3"/>
    </row>
    <row r="697">
      <c r="B697" s="13"/>
      <c r="K697" s="3"/>
    </row>
    <row r="698">
      <c r="B698" s="13"/>
      <c r="K698" s="3"/>
    </row>
    <row r="699">
      <c r="B699" s="13"/>
      <c r="K699" s="3"/>
    </row>
    <row r="700">
      <c r="B700" s="13"/>
      <c r="K700" s="3"/>
    </row>
    <row r="701">
      <c r="B701" s="13"/>
      <c r="K701" s="3"/>
    </row>
    <row r="702">
      <c r="B702" s="13"/>
      <c r="K702" s="3"/>
    </row>
    <row r="703">
      <c r="B703" s="13"/>
      <c r="K703" s="3"/>
    </row>
    <row r="704">
      <c r="B704" s="13"/>
      <c r="K704" s="3"/>
    </row>
    <row r="705">
      <c r="B705" s="13"/>
      <c r="K705" s="3"/>
    </row>
    <row r="706">
      <c r="B706" s="13"/>
      <c r="K706" s="3"/>
    </row>
    <row r="707">
      <c r="B707" s="13"/>
      <c r="K707" s="3"/>
    </row>
    <row r="708">
      <c r="B708" s="13"/>
      <c r="K708" s="3"/>
    </row>
    <row r="709">
      <c r="B709" s="13"/>
      <c r="K709" s="3"/>
    </row>
    <row r="710">
      <c r="B710" s="13"/>
      <c r="K710" s="3"/>
    </row>
    <row r="711">
      <c r="B711" s="13"/>
      <c r="K711" s="3"/>
    </row>
    <row r="712">
      <c r="B712" s="13"/>
      <c r="K712" s="3"/>
    </row>
    <row r="713">
      <c r="B713" s="13"/>
      <c r="K713" s="3"/>
    </row>
    <row r="714">
      <c r="B714" s="13"/>
      <c r="K714" s="3"/>
    </row>
    <row r="715">
      <c r="B715" s="13"/>
      <c r="K715" s="3"/>
    </row>
    <row r="716">
      <c r="B716" s="13"/>
      <c r="K716" s="3"/>
    </row>
    <row r="717">
      <c r="B717" s="13"/>
      <c r="K717" s="3"/>
    </row>
    <row r="718">
      <c r="B718" s="13"/>
      <c r="K718" s="3"/>
    </row>
    <row r="719">
      <c r="B719" s="13"/>
      <c r="K719" s="3"/>
    </row>
    <row r="720">
      <c r="B720" s="13"/>
      <c r="K720" s="3"/>
    </row>
    <row r="721">
      <c r="B721" s="13"/>
      <c r="K721" s="3"/>
    </row>
    <row r="722">
      <c r="B722" s="13"/>
      <c r="K722" s="3"/>
    </row>
    <row r="723">
      <c r="B723" s="13"/>
      <c r="K723" s="3"/>
    </row>
    <row r="724">
      <c r="B724" s="13"/>
      <c r="K724" s="3"/>
    </row>
    <row r="725">
      <c r="B725" s="13"/>
      <c r="K725" s="3"/>
    </row>
    <row r="726">
      <c r="B726" s="13"/>
      <c r="K726" s="3"/>
    </row>
    <row r="727">
      <c r="B727" s="13"/>
      <c r="K727" s="3"/>
    </row>
    <row r="728">
      <c r="B728" s="13"/>
      <c r="K728" s="3"/>
    </row>
    <row r="729">
      <c r="B729" s="13"/>
      <c r="K729" s="3"/>
    </row>
    <row r="730">
      <c r="B730" s="13"/>
      <c r="K730" s="3"/>
    </row>
    <row r="731">
      <c r="B731" s="13"/>
      <c r="K731" s="3"/>
    </row>
    <row r="732">
      <c r="B732" s="13"/>
      <c r="K732" s="3"/>
    </row>
    <row r="733">
      <c r="B733" s="13"/>
      <c r="K733" s="3"/>
    </row>
    <row r="734">
      <c r="B734" s="13"/>
      <c r="K734" s="3"/>
    </row>
    <row r="735">
      <c r="B735" s="13"/>
      <c r="K735" s="3"/>
    </row>
    <row r="736">
      <c r="B736" s="13"/>
      <c r="K736" s="3"/>
    </row>
    <row r="737">
      <c r="B737" s="13"/>
      <c r="K737" s="3"/>
    </row>
    <row r="738">
      <c r="B738" s="13"/>
      <c r="K738" s="3"/>
    </row>
    <row r="739">
      <c r="B739" s="13"/>
      <c r="K739" s="3"/>
    </row>
    <row r="740">
      <c r="B740" s="13"/>
      <c r="K740" s="3"/>
    </row>
    <row r="741">
      <c r="B741" s="13"/>
      <c r="K741" s="3"/>
    </row>
    <row r="742">
      <c r="B742" s="13"/>
      <c r="K742" s="3"/>
    </row>
    <row r="743">
      <c r="B743" s="13"/>
      <c r="K743" s="3"/>
    </row>
    <row r="744">
      <c r="B744" s="13"/>
      <c r="K744" s="3"/>
    </row>
    <row r="745">
      <c r="B745" s="13"/>
      <c r="K745" s="3"/>
    </row>
    <row r="746">
      <c r="B746" s="13"/>
      <c r="K746" s="3"/>
    </row>
    <row r="747">
      <c r="B747" s="13"/>
      <c r="K747" s="3"/>
    </row>
    <row r="748">
      <c r="B748" s="13"/>
      <c r="K748" s="3"/>
    </row>
    <row r="749">
      <c r="B749" s="13"/>
      <c r="K749" s="3"/>
    </row>
    <row r="750">
      <c r="B750" s="13"/>
      <c r="K750" s="3"/>
    </row>
    <row r="751">
      <c r="B751" s="13"/>
      <c r="K751" s="3"/>
    </row>
    <row r="752">
      <c r="B752" s="13"/>
      <c r="K752" s="3"/>
    </row>
    <row r="753">
      <c r="B753" s="13"/>
      <c r="K753" s="3"/>
    </row>
    <row r="754">
      <c r="B754" s="13"/>
      <c r="K754" s="3"/>
    </row>
    <row r="755">
      <c r="B755" s="13"/>
      <c r="K755" s="3"/>
    </row>
    <row r="756">
      <c r="B756" s="13"/>
      <c r="K756" s="3"/>
    </row>
    <row r="757">
      <c r="B757" s="13"/>
      <c r="K757" s="3"/>
    </row>
    <row r="758">
      <c r="B758" s="13"/>
      <c r="K758" s="3"/>
    </row>
    <row r="759">
      <c r="B759" s="13"/>
      <c r="K759" s="3"/>
    </row>
    <row r="760">
      <c r="B760" s="13"/>
      <c r="K760" s="3"/>
    </row>
    <row r="761">
      <c r="B761" s="13"/>
      <c r="K761" s="3"/>
    </row>
    <row r="762">
      <c r="B762" s="13"/>
      <c r="K762" s="3"/>
    </row>
    <row r="763">
      <c r="B763" s="13"/>
      <c r="K763" s="3"/>
    </row>
    <row r="764">
      <c r="B764" s="13"/>
      <c r="K764" s="3"/>
    </row>
    <row r="765">
      <c r="B765" s="13"/>
      <c r="K765" s="3"/>
    </row>
    <row r="766">
      <c r="B766" s="13"/>
      <c r="K766" s="3"/>
    </row>
    <row r="767">
      <c r="B767" s="13"/>
      <c r="K767" s="3"/>
    </row>
    <row r="768">
      <c r="B768" s="13"/>
      <c r="K768" s="3"/>
    </row>
    <row r="769">
      <c r="B769" s="13"/>
      <c r="K769" s="3"/>
    </row>
    <row r="770">
      <c r="B770" s="13"/>
      <c r="K770" s="3"/>
    </row>
    <row r="771">
      <c r="B771" s="13"/>
      <c r="K771" s="3"/>
    </row>
    <row r="772">
      <c r="B772" s="13"/>
      <c r="K772" s="3"/>
    </row>
    <row r="773">
      <c r="B773" s="13"/>
      <c r="K773" s="3"/>
    </row>
    <row r="774">
      <c r="B774" s="13"/>
      <c r="K774" s="3"/>
    </row>
    <row r="775">
      <c r="B775" s="13"/>
      <c r="K775" s="3"/>
    </row>
    <row r="776">
      <c r="B776" s="13"/>
      <c r="K776" s="3"/>
    </row>
    <row r="777">
      <c r="B777" s="13"/>
      <c r="K777" s="3"/>
    </row>
    <row r="778">
      <c r="B778" s="13"/>
      <c r="K778" s="3"/>
    </row>
    <row r="779">
      <c r="B779" s="13"/>
      <c r="K779" s="3"/>
    </row>
    <row r="780">
      <c r="B780" s="13"/>
      <c r="K780" s="3"/>
    </row>
    <row r="781">
      <c r="B781" s="13"/>
      <c r="K781" s="3"/>
    </row>
    <row r="782">
      <c r="B782" s="13"/>
      <c r="K782" s="3"/>
    </row>
    <row r="783">
      <c r="B783" s="13"/>
      <c r="K783" s="3"/>
    </row>
    <row r="784">
      <c r="B784" s="13"/>
      <c r="K784" s="3"/>
    </row>
    <row r="785">
      <c r="B785" s="13"/>
      <c r="K785" s="3"/>
    </row>
    <row r="786">
      <c r="B786" s="13"/>
      <c r="K786" s="3"/>
    </row>
    <row r="787">
      <c r="B787" s="13"/>
      <c r="K787" s="3"/>
    </row>
    <row r="788">
      <c r="B788" s="13"/>
      <c r="K788" s="3"/>
    </row>
    <row r="789">
      <c r="B789" s="13"/>
      <c r="K789" s="3"/>
    </row>
    <row r="790">
      <c r="B790" s="13"/>
      <c r="K790" s="3"/>
    </row>
    <row r="791">
      <c r="B791" s="13"/>
      <c r="K791" s="3"/>
    </row>
    <row r="792">
      <c r="B792" s="13"/>
      <c r="K792" s="3"/>
    </row>
    <row r="793">
      <c r="B793" s="13"/>
      <c r="K793" s="3"/>
    </row>
    <row r="794">
      <c r="B794" s="13"/>
      <c r="K794" s="3"/>
    </row>
    <row r="795">
      <c r="B795" s="13"/>
      <c r="K795" s="3"/>
    </row>
    <row r="796">
      <c r="B796" s="13"/>
      <c r="K796" s="3"/>
    </row>
    <row r="797">
      <c r="B797" s="13"/>
      <c r="K797" s="3"/>
    </row>
    <row r="798">
      <c r="B798" s="13"/>
      <c r="K798" s="3"/>
    </row>
    <row r="799">
      <c r="B799" s="13"/>
      <c r="K799" s="3"/>
    </row>
    <row r="800">
      <c r="B800" s="13"/>
      <c r="K800" s="3"/>
    </row>
    <row r="801">
      <c r="B801" s="13"/>
      <c r="K801" s="3"/>
    </row>
    <row r="802">
      <c r="B802" s="13"/>
      <c r="K802" s="3"/>
    </row>
    <row r="803">
      <c r="B803" s="13"/>
      <c r="K803" s="3"/>
    </row>
    <row r="804">
      <c r="B804" s="13"/>
      <c r="K804" s="3"/>
    </row>
    <row r="805">
      <c r="B805" s="13"/>
      <c r="K805" s="3"/>
    </row>
    <row r="806">
      <c r="B806" s="13"/>
      <c r="K806" s="3"/>
    </row>
    <row r="807">
      <c r="B807" s="13"/>
      <c r="K807" s="3"/>
    </row>
    <row r="808">
      <c r="B808" s="13"/>
      <c r="K808" s="3"/>
    </row>
    <row r="809">
      <c r="B809" s="13"/>
      <c r="K809" s="3"/>
    </row>
    <row r="810">
      <c r="B810" s="13"/>
      <c r="K810" s="3"/>
    </row>
    <row r="811">
      <c r="B811" s="13"/>
      <c r="K811" s="3"/>
    </row>
    <row r="812">
      <c r="B812" s="13"/>
      <c r="K812" s="3"/>
    </row>
    <row r="813">
      <c r="B813" s="13"/>
      <c r="K813" s="3"/>
    </row>
    <row r="814">
      <c r="B814" s="13"/>
      <c r="K814" s="3"/>
    </row>
    <row r="815">
      <c r="B815" s="13"/>
      <c r="K815" s="3"/>
    </row>
    <row r="816">
      <c r="B816" s="13"/>
      <c r="K816" s="3"/>
    </row>
    <row r="817">
      <c r="B817" s="13"/>
      <c r="K817" s="3"/>
    </row>
    <row r="818">
      <c r="B818" s="13"/>
      <c r="K818" s="3"/>
    </row>
    <row r="819">
      <c r="B819" s="13"/>
      <c r="K819" s="3"/>
    </row>
    <row r="820">
      <c r="B820" s="13"/>
      <c r="K820" s="3"/>
    </row>
    <row r="821">
      <c r="B821" s="13"/>
      <c r="K821" s="3"/>
    </row>
    <row r="822">
      <c r="B822" s="13"/>
      <c r="K822" s="3"/>
    </row>
    <row r="823">
      <c r="B823" s="13"/>
      <c r="K823" s="3"/>
    </row>
    <row r="824">
      <c r="B824" s="13"/>
      <c r="K824" s="3"/>
    </row>
    <row r="825">
      <c r="B825" s="13"/>
      <c r="K825" s="3"/>
    </row>
    <row r="826">
      <c r="B826" s="13"/>
      <c r="K826" s="3"/>
    </row>
    <row r="827">
      <c r="B827" s="13"/>
      <c r="K827" s="3"/>
    </row>
    <row r="828">
      <c r="B828" s="13"/>
      <c r="K828" s="3"/>
    </row>
    <row r="829">
      <c r="B829" s="13"/>
      <c r="K829" s="3"/>
    </row>
    <row r="830">
      <c r="B830" s="13"/>
      <c r="K830" s="3"/>
    </row>
    <row r="831">
      <c r="B831" s="13"/>
      <c r="K831" s="3"/>
    </row>
    <row r="832">
      <c r="B832" s="13"/>
      <c r="K832" s="3"/>
    </row>
    <row r="833">
      <c r="B833" s="13"/>
      <c r="K833" s="3"/>
    </row>
    <row r="834">
      <c r="B834" s="13"/>
      <c r="K834" s="3"/>
    </row>
    <row r="835">
      <c r="B835" s="13"/>
      <c r="K835" s="3"/>
    </row>
    <row r="836">
      <c r="B836" s="13"/>
      <c r="K836" s="3"/>
    </row>
    <row r="837">
      <c r="B837" s="13"/>
      <c r="K837" s="3"/>
    </row>
    <row r="838">
      <c r="B838" s="13"/>
      <c r="K838" s="3"/>
    </row>
    <row r="839">
      <c r="B839" s="13"/>
      <c r="K839" s="3"/>
    </row>
    <row r="840">
      <c r="B840" s="13"/>
      <c r="K840" s="3"/>
    </row>
    <row r="841">
      <c r="B841" s="13"/>
      <c r="K841" s="3"/>
    </row>
    <row r="842">
      <c r="B842" s="13"/>
      <c r="K842" s="3"/>
    </row>
    <row r="843">
      <c r="B843" s="13"/>
      <c r="K843" s="3"/>
    </row>
    <row r="844">
      <c r="B844" s="13"/>
      <c r="K844" s="3"/>
    </row>
    <row r="845">
      <c r="B845" s="13"/>
      <c r="K845" s="3"/>
    </row>
    <row r="846">
      <c r="B846" s="13"/>
      <c r="K846" s="3"/>
    </row>
    <row r="847">
      <c r="B847" s="13"/>
      <c r="K847" s="3"/>
    </row>
    <row r="848">
      <c r="B848" s="13"/>
      <c r="K848" s="3"/>
    </row>
    <row r="849">
      <c r="B849" s="13"/>
      <c r="K849" s="3"/>
    </row>
    <row r="850">
      <c r="B850" s="13"/>
      <c r="K850" s="3"/>
    </row>
    <row r="851">
      <c r="B851" s="13"/>
      <c r="K851" s="3"/>
    </row>
    <row r="852">
      <c r="B852" s="13"/>
      <c r="K852" s="3"/>
    </row>
    <row r="853">
      <c r="B853" s="13"/>
      <c r="K853" s="3"/>
    </row>
    <row r="854">
      <c r="B854" s="13"/>
      <c r="K854" s="3"/>
    </row>
    <row r="855">
      <c r="B855" s="13"/>
      <c r="K855" s="3"/>
    </row>
    <row r="856">
      <c r="B856" s="13"/>
      <c r="K856" s="3"/>
    </row>
    <row r="857">
      <c r="B857" s="13"/>
      <c r="K857" s="3"/>
    </row>
    <row r="858">
      <c r="B858" s="13"/>
      <c r="K858" s="3"/>
    </row>
    <row r="859">
      <c r="B859" s="13"/>
      <c r="K859" s="3"/>
    </row>
    <row r="860">
      <c r="B860" s="13"/>
      <c r="K860" s="3"/>
    </row>
    <row r="861">
      <c r="B861" s="13"/>
      <c r="K861" s="3"/>
    </row>
    <row r="862">
      <c r="B862" s="13"/>
      <c r="K862" s="3"/>
    </row>
    <row r="863">
      <c r="B863" s="13"/>
      <c r="K863" s="3"/>
    </row>
    <row r="864">
      <c r="B864" s="13"/>
      <c r="K864" s="3"/>
    </row>
    <row r="865">
      <c r="B865" s="13"/>
      <c r="K865" s="3"/>
    </row>
    <row r="866">
      <c r="B866" s="13"/>
      <c r="K866" s="3"/>
    </row>
    <row r="867">
      <c r="B867" s="13"/>
      <c r="K867" s="3"/>
    </row>
    <row r="868">
      <c r="B868" s="13"/>
      <c r="K868" s="3"/>
    </row>
    <row r="869">
      <c r="B869" s="13"/>
      <c r="K869" s="3"/>
    </row>
    <row r="870">
      <c r="B870" s="13"/>
      <c r="K870" s="3"/>
    </row>
    <row r="871">
      <c r="B871" s="13"/>
      <c r="K871" s="3"/>
    </row>
    <row r="872">
      <c r="B872" s="13"/>
      <c r="K872" s="3"/>
    </row>
    <row r="873">
      <c r="B873" s="13"/>
      <c r="K873" s="3"/>
    </row>
    <row r="874">
      <c r="B874" s="13"/>
      <c r="K874" s="3"/>
    </row>
    <row r="875">
      <c r="B875" s="13"/>
      <c r="K875" s="3"/>
    </row>
    <row r="876">
      <c r="B876" s="13"/>
      <c r="K876" s="3"/>
    </row>
    <row r="877">
      <c r="B877" s="13"/>
      <c r="K877" s="3"/>
    </row>
    <row r="878">
      <c r="B878" s="13"/>
      <c r="K878" s="3"/>
    </row>
    <row r="879">
      <c r="B879" s="13"/>
      <c r="K879" s="3"/>
    </row>
    <row r="880">
      <c r="B880" s="13"/>
      <c r="K880" s="3"/>
    </row>
    <row r="881">
      <c r="B881" s="13"/>
      <c r="K881" s="3"/>
    </row>
    <row r="882">
      <c r="B882" s="13"/>
      <c r="K882" s="3"/>
    </row>
    <row r="883">
      <c r="B883" s="13"/>
      <c r="K883" s="3"/>
    </row>
    <row r="884">
      <c r="B884" s="13"/>
      <c r="K884" s="3"/>
    </row>
    <row r="885">
      <c r="B885" s="13"/>
      <c r="K885" s="3"/>
    </row>
    <row r="886">
      <c r="B886" s="13"/>
      <c r="K886" s="3"/>
    </row>
    <row r="887">
      <c r="B887" s="13"/>
      <c r="K887" s="3"/>
    </row>
    <row r="888">
      <c r="B888" s="13"/>
      <c r="K888" s="3"/>
    </row>
    <row r="889">
      <c r="B889" s="13"/>
      <c r="K889" s="3"/>
    </row>
    <row r="890">
      <c r="B890" s="13"/>
      <c r="K890" s="3"/>
    </row>
    <row r="891">
      <c r="B891" s="13"/>
      <c r="K891" s="3"/>
    </row>
    <row r="892">
      <c r="B892" s="13"/>
      <c r="K892" s="3"/>
    </row>
    <row r="893">
      <c r="B893" s="13"/>
      <c r="K893" s="3"/>
    </row>
    <row r="894">
      <c r="B894" s="13"/>
      <c r="K894" s="3"/>
    </row>
    <row r="895">
      <c r="B895" s="13"/>
      <c r="K895" s="3"/>
    </row>
    <row r="896">
      <c r="B896" s="13"/>
      <c r="K896" s="3"/>
    </row>
    <row r="897">
      <c r="B897" s="13"/>
      <c r="K897" s="3"/>
    </row>
    <row r="898">
      <c r="B898" s="13"/>
      <c r="K898" s="3"/>
    </row>
    <row r="899">
      <c r="B899" s="13"/>
      <c r="K899" s="3"/>
    </row>
    <row r="900">
      <c r="B900" s="13"/>
      <c r="K900" s="3"/>
    </row>
    <row r="901">
      <c r="B901" s="13"/>
      <c r="K901" s="3"/>
    </row>
    <row r="902">
      <c r="B902" s="13"/>
      <c r="K902" s="3"/>
    </row>
    <row r="903">
      <c r="B903" s="13"/>
      <c r="K903" s="3"/>
    </row>
    <row r="904">
      <c r="B904" s="13"/>
      <c r="K904" s="3"/>
    </row>
    <row r="905">
      <c r="B905" s="13"/>
      <c r="K905" s="3"/>
    </row>
    <row r="906">
      <c r="B906" s="13"/>
      <c r="K906" s="3"/>
    </row>
    <row r="907">
      <c r="B907" s="13"/>
      <c r="K907" s="3"/>
    </row>
    <row r="908">
      <c r="B908" s="13"/>
      <c r="K908" s="3"/>
    </row>
    <row r="909">
      <c r="B909" s="13"/>
      <c r="K909" s="3"/>
    </row>
    <row r="910">
      <c r="B910" s="13"/>
      <c r="K910" s="3"/>
    </row>
    <row r="911">
      <c r="B911" s="13"/>
      <c r="K911" s="3"/>
    </row>
    <row r="912">
      <c r="B912" s="13"/>
      <c r="K912" s="3"/>
    </row>
    <row r="913">
      <c r="B913" s="13"/>
      <c r="K913" s="3"/>
    </row>
    <row r="914">
      <c r="B914" s="13"/>
      <c r="K914" s="3"/>
    </row>
    <row r="915">
      <c r="B915" s="13"/>
      <c r="K915" s="3"/>
    </row>
    <row r="916">
      <c r="B916" s="13"/>
      <c r="K916" s="3"/>
    </row>
    <row r="917">
      <c r="B917" s="13"/>
      <c r="K917" s="3"/>
    </row>
    <row r="918">
      <c r="B918" s="13"/>
      <c r="K918" s="3"/>
    </row>
    <row r="919">
      <c r="B919" s="13"/>
      <c r="K919" s="3"/>
    </row>
    <row r="920">
      <c r="B920" s="13"/>
      <c r="K920" s="3"/>
    </row>
    <row r="921">
      <c r="B921" s="13"/>
      <c r="K921" s="3"/>
    </row>
    <row r="922">
      <c r="B922" s="13"/>
      <c r="K922" s="3"/>
    </row>
    <row r="923">
      <c r="B923" s="13"/>
      <c r="K923" s="3"/>
    </row>
    <row r="924">
      <c r="B924" s="13"/>
      <c r="K924" s="3"/>
    </row>
    <row r="925">
      <c r="B925" s="13"/>
      <c r="K925" s="3"/>
    </row>
    <row r="926">
      <c r="B926" s="13"/>
      <c r="K926" s="3"/>
    </row>
    <row r="927">
      <c r="B927" s="13"/>
      <c r="K927" s="3"/>
    </row>
    <row r="928">
      <c r="B928" s="13"/>
      <c r="K928" s="3"/>
    </row>
    <row r="929">
      <c r="B929" s="13"/>
      <c r="K929" s="3"/>
    </row>
    <row r="930">
      <c r="B930" s="13"/>
      <c r="K930" s="3"/>
    </row>
    <row r="931">
      <c r="B931" s="13"/>
      <c r="K931" s="3"/>
    </row>
    <row r="932">
      <c r="B932" s="13"/>
      <c r="K932" s="3"/>
    </row>
    <row r="933">
      <c r="B933" s="13"/>
      <c r="K933" s="3"/>
    </row>
    <row r="934">
      <c r="B934" s="13"/>
      <c r="K934" s="3"/>
    </row>
    <row r="935">
      <c r="B935" s="13"/>
      <c r="K935" s="3"/>
    </row>
    <row r="936">
      <c r="B936" s="13"/>
      <c r="K936" s="3"/>
    </row>
    <row r="937">
      <c r="B937" s="13"/>
      <c r="K937" s="3"/>
    </row>
    <row r="938">
      <c r="B938" s="13"/>
      <c r="K938" s="3"/>
    </row>
    <row r="939">
      <c r="B939" s="13"/>
      <c r="K939" s="3"/>
    </row>
    <row r="940">
      <c r="B940" s="13"/>
      <c r="K940" s="3"/>
    </row>
    <row r="941">
      <c r="B941" s="13"/>
      <c r="K941" s="3"/>
    </row>
    <row r="942">
      <c r="B942" s="13"/>
      <c r="K942" s="3"/>
    </row>
    <row r="943">
      <c r="B943" s="13"/>
      <c r="K943" s="3"/>
    </row>
    <row r="944">
      <c r="B944" s="13"/>
      <c r="K944" s="3"/>
    </row>
    <row r="945">
      <c r="B945" s="13"/>
      <c r="K945" s="3"/>
    </row>
    <row r="946">
      <c r="B946" s="13"/>
      <c r="K946" s="3"/>
    </row>
    <row r="947">
      <c r="B947" s="13"/>
      <c r="K947" s="3"/>
    </row>
    <row r="948">
      <c r="B948" s="13"/>
      <c r="K948" s="3"/>
    </row>
    <row r="949">
      <c r="B949" s="13"/>
      <c r="K949" s="3"/>
    </row>
    <row r="950">
      <c r="B950" s="13"/>
      <c r="K950" s="3"/>
    </row>
    <row r="951">
      <c r="B951" s="13"/>
      <c r="K951" s="3"/>
    </row>
    <row r="952">
      <c r="B952" s="13"/>
      <c r="K952" s="3"/>
    </row>
    <row r="953">
      <c r="B953" s="13"/>
      <c r="K953" s="3"/>
    </row>
    <row r="954">
      <c r="B954" s="13"/>
      <c r="K954" s="3"/>
    </row>
    <row r="955">
      <c r="B955" s="13"/>
      <c r="K955" s="3"/>
    </row>
    <row r="956">
      <c r="B956" s="13"/>
      <c r="K956" s="3"/>
    </row>
    <row r="957">
      <c r="B957" s="13"/>
      <c r="K957" s="3"/>
    </row>
    <row r="958">
      <c r="B958" s="13"/>
      <c r="K958" s="3"/>
    </row>
    <row r="959">
      <c r="B959" s="13"/>
      <c r="K959" s="3"/>
    </row>
    <row r="960">
      <c r="B960" s="13"/>
      <c r="K960" s="3"/>
    </row>
    <row r="961">
      <c r="B961" s="13"/>
      <c r="K961" s="3"/>
    </row>
    <row r="962">
      <c r="B962" s="13"/>
      <c r="K962" s="3"/>
    </row>
    <row r="963">
      <c r="B963" s="13"/>
      <c r="K963" s="3"/>
    </row>
    <row r="964">
      <c r="B964" s="13"/>
      <c r="K964" s="3"/>
    </row>
    <row r="965">
      <c r="B965" s="13"/>
      <c r="K965" s="3"/>
    </row>
    <row r="966">
      <c r="B966" s="13"/>
      <c r="K966" s="3"/>
    </row>
    <row r="967">
      <c r="B967" s="13"/>
      <c r="K967" s="3"/>
    </row>
    <row r="968">
      <c r="B968" s="13"/>
      <c r="K968" s="3"/>
    </row>
    <row r="969">
      <c r="B969" s="13"/>
      <c r="K969" s="3"/>
    </row>
    <row r="970">
      <c r="B970" s="13"/>
      <c r="K970" s="3"/>
    </row>
    <row r="971">
      <c r="B971" s="13"/>
      <c r="K971" s="3"/>
    </row>
    <row r="972">
      <c r="B972" s="13"/>
      <c r="K972" s="3"/>
    </row>
    <row r="973">
      <c r="B973" s="13"/>
      <c r="K973" s="3"/>
    </row>
    <row r="974">
      <c r="B974" s="13"/>
      <c r="K974" s="3"/>
    </row>
    <row r="975">
      <c r="B975" s="13"/>
      <c r="K975" s="3"/>
    </row>
    <row r="976">
      <c r="B976" s="13"/>
      <c r="K976" s="3"/>
    </row>
    <row r="977">
      <c r="B977" s="13"/>
      <c r="K977" s="3"/>
    </row>
    <row r="978">
      <c r="B978" s="13"/>
      <c r="K978" s="3"/>
    </row>
    <row r="979">
      <c r="B979" s="13"/>
      <c r="K979" s="3"/>
    </row>
    <row r="980">
      <c r="B980" s="13"/>
      <c r="K980" s="3"/>
    </row>
    <row r="981">
      <c r="B981" s="13"/>
      <c r="K981" s="3"/>
    </row>
    <row r="982">
      <c r="B982" s="13"/>
      <c r="K982" s="3"/>
    </row>
    <row r="983">
      <c r="B983" s="13"/>
      <c r="K983" s="3"/>
    </row>
    <row r="984">
      <c r="B984" s="13"/>
      <c r="K984" s="3"/>
    </row>
    <row r="985">
      <c r="B985" s="13"/>
      <c r="K985" s="3"/>
    </row>
    <row r="986">
      <c r="B986" s="13"/>
      <c r="K986" s="3"/>
    </row>
    <row r="987">
      <c r="B987" s="13"/>
      <c r="K987" s="3"/>
    </row>
    <row r="988">
      <c r="B988" s="13"/>
      <c r="K988" s="3"/>
    </row>
    <row r="989">
      <c r="B989" s="13"/>
      <c r="K989" s="3"/>
    </row>
    <row r="990">
      <c r="B990" s="13"/>
      <c r="K990" s="3"/>
    </row>
    <row r="991">
      <c r="B991" s="13"/>
      <c r="K991" s="3"/>
    </row>
    <row r="992">
      <c r="B992" s="13"/>
      <c r="K992" s="3"/>
    </row>
    <row r="993">
      <c r="B993" s="13"/>
      <c r="K993" s="3"/>
    </row>
    <row r="994">
      <c r="B994" s="13"/>
      <c r="K994" s="3"/>
    </row>
    <row r="995">
      <c r="B995" s="13"/>
      <c r="K995" s="3"/>
    </row>
    <row r="996">
      <c r="B996" s="13"/>
      <c r="K996" s="3"/>
    </row>
    <row r="997">
      <c r="B997" s="13"/>
      <c r="K997" s="3"/>
    </row>
    <row r="998">
      <c r="B998" s="13"/>
      <c r="K998" s="3"/>
    </row>
    <row r="999">
      <c r="B999" s="13"/>
      <c r="K999" s="3"/>
    </row>
    <row r="1000">
      <c r="B1000" s="13"/>
      <c r="K1000" s="3"/>
    </row>
    <row r="1001">
      <c r="B1001" s="13"/>
      <c r="K1001" s="3"/>
    </row>
    <row r="1002">
      <c r="B1002" s="13"/>
      <c r="K1002" s="3"/>
    </row>
    <row r="1003">
      <c r="B1003" s="13"/>
      <c r="K1003" s="3"/>
    </row>
    <row r="1004">
      <c r="B1004" s="13"/>
      <c r="K1004" s="3"/>
    </row>
    <row r="1005">
      <c r="B1005" s="13"/>
      <c r="K1005" s="3"/>
    </row>
    <row r="1006">
      <c r="B1006" s="13"/>
      <c r="K1006" s="3"/>
    </row>
    <row r="1007">
      <c r="B1007" s="13"/>
      <c r="K1007" s="3"/>
    </row>
    <row r="1008">
      <c r="B1008" s="13"/>
      <c r="K1008" s="3"/>
    </row>
    <row r="1009">
      <c r="B1009" s="13"/>
      <c r="K1009" s="3"/>
    </row>
    <row r="1010">
      <c r="B1010" s="13"/>
      <c r="K1010" s="3"/>
    </row>
    <row r="1011">
      <c r="B1011" s="13"/>
      <c r="K1011" s="3"/>
    </row>
    <row r="1012">
      <c r="B1012" s="13"/>
      <c r="K1012" s="3"/>
    </row>
    <row r="1013">
      <c r="B1013" s="13"/>
      <c r="K1013" s="3"/>
    </row>
    <row r="1014">
      <c r="B1014" s="13"/>
      <c r="K1014" s="3"/>
    </row>
    <row r="1015">
      <c r="B1015" s="13"/>
      <c r="K1015" s="3"/>
    </row>
    <row r="1016">
      <c r="B1016" s="13"/>
      <c r="K1016" s="3"/>
    </row>
    <row r="1017">
      <c r="B1017" s="13"/>
      <c r="K1017" s="3"/>
    </row>
    <row r="1018">
      <c r="B1018" s="13"/>
      <c r="K1018" s="3"/>
    </row>
    <row r="1019">
      <c r="B1019" s="13"/>
      <c r="K1019" s="3"/>
    </row>
    <row r="1020">
      <c r="B1020" s="13"/>
      <c r="K1020" s="3"/>
    </row>
    <row r="1021">
      <c r="B1021" s="13"/>
      <c r="K1021" s="3"/>
    </row>
    <row r="1022">
      <c r="B1022" s="13"/>
      <c r="K1022" s="3"/>
    </row>
    <row r="1023">
      <c r="B1023" s="13"/>
      <c r="K1023" s="3"/>
    </row>
    <row r="1024">
      <c r="B1024" s="13"/>
      <c r="K1024" s="3"/>
    </row>
    <row r="1025">
      <c r="B1025" s="13"/>
      <c r="K1025" s="3"/>
    </row>
    <row r="1026">
      <c r="B1026" s="13"/>
      <c r="K1026" s="3"/>
    </row>
    <row r="1027">
      <c r="B1027" s="13"/>
      <c r="K1027" s="3"/>
    </row>
    <row r="1028">
      <c r="B1028" s="13"/>
      <c r="K1028" s="3"/>
    </row>
    <row r="1029">
      <c r="B1029" s="13"/>
      <c r="K1029" s="3"/>
    </row>
    <row r="1030">
      <c r="B1030" s="13"/>
      <c r="K1030" s="3"/>
    </row>
    <row r="1031">
      <c r="B1031" s="13"/>
      <c r="K1031" s="3"/>
    </row>
    <row r="1032">
      <c r="B1032" s="13"/>
      <c r="K1032" s="3"/>
    </row>
    <row r="1033">
      <c r="B1033" s="13"/>
      <c r="K1033" s="3"/>
    </row>
    <row r="1034">
      <c r="B1034" s="13"/>
      <c r="K1034" s="3"/>
    </row>
    <row r="1035">
      <c r="B1035" s="13"/>
      <c r="K1035" s="3"/>
    </row>
    <row r="1036">
      <c r="B1036" s="13"/>
      <c r="K1036" s="3"/>
    </row>
    <row r="1037">
      <c r="B1037" s="13"/>
      <c r="K1037" s="3"/>
    </row>
    <row r="1038">
      <c r="B1038" s="13"/>
      <c r="K1038" s="3"/>
    </row>
    <row r="1039">
      <c r="B1039" s="13"/>
      <c r="K1039" s="3"/>
    </row>
    <row r="1040">
      <c r="B1040" s="13"/>
      <c r="K1040" s="3"/>
    </row>
    <row r="1041">
      <c r="B1041" s="13"/>
      <c r="K1041" s="3"/>
    </row>
    <row r="1042">
      <c r="B1042" s="13"/>
      <c r="K1042" s="3"/>
    </row>
    <row r="1043">
      <c r="B1043" s="13"/>
      <c r="K1043" s="3"/>
    </row>
    <row r="1044">
      <c r="B1044" s="13"/>
      <c r="K1044" s="3"/>
    </row>
    <row r="1045">
      <c r="B1045" s="13"/>
      <c r="K1045" s="3"/>
    </row>
    <row r="1046">
      <c r="B1046" s="13"/>
      <c r="K1046" s="3"/>
    </row>
    <row r="1047">
      <c r="B1047" s="13"/>
      <c r="K1047" s="3"/>
    </row>
    <row r="1048">
      <c r="B1048" s="13"/>
      <c r="K1048" s="3"/>
    </row>
    <row r="1049">
      <c r="B1049" s="13"/>
      <c r="K1049" s="3"/>
    </row>
    <row r="1050">
      <c r="B1050" s="13"/>
      <c r="K1050" s="3"/>
    </row>
    <row r="1051">
      <c r="B1051" s="13"/>
      <c r="K1051" s="3"/>
    </row>
    <row r="1052">
      <c r="B1052" s="13"/>
      <c r="K1052" s="3"/>
    </row>
    <row r="1053">
      <c r="B1053" s="13"/>
      <c r="K1053" s="3"/>
    </row>
    <row r="1054">
      <c r="B1054" s="13"/>
      <c r="K1054" s="3"/>
    </row>
    <row r="1055">
      <c r="B1055" s="13"/>
      <c r="K1055" s="3"/>
    </row>
    <row r="1056">
      <c r="B1056" s="13"/>
      <c r="K1056" s="3"/>
    </row>
    <row r="1057">
      <c r="B1057" s="13"/>
      <c r="K1057" s="3"/>
    </row>
    <row r="1058">
      <c r="B1058" s="13"/>
      <c r="K1058" s="3"/>
    </row>
    <row r="1059">
      <c r="B1059" s="13"/>
      <c r="K1059" s="3"/>
    </row>
    <row r="1060">
      <c r="B1060" s="13"/>
      <c r="K1060" s="3"/>
    </row>
    <row r="1061">
      <c r="B1061" s="13"/>
      <c r="K1061" s="3"/>
    </row>
    <row r="1062">
      <c r="B1062" s="13"/>
      <c r="K1062" s="3"/>
    </row>
    <row r="1063">
      <c r="B1063" s="13"/>
      <c r="K1063" s="3"/>
    </row>
    <row r="1064">
      <c r="B1064" s="13"/>
      <c r="K1064" s="3"/>
    </row>
    <row r="1065">
      <c r="B1065" s="13"/>
      <c r="K1065" s="3"/>
    </row>
    <row r="1066">
      <c r="B1066" s="13"/>
      <c r="K1066" s="3"/>
    </row>
    <row r="1067">
      <c r="B1067" s="13"/>
      <c r="K1067" s="3"/>
    </row>
    <row r="1068">
      <c r="B1068" s="13"/>
      <c r="K1068" s="3"/>
    </row>
    <row r="1069">
      <c r="B1069" s="13"/>
      <c r="K1069" s="3"/>
    </row>
    <row r="1070">
      <c r="B1070" s="13"/>
      <c r="K1070" s="3"/>
    </row>
    <row r="1071">
      <c r="B1071" s="13"/>
      <c r="K1071" s="3"/>
    </row>
    <row r="1072">
      <c r="B1072" s="13"/>
      <c r="K1072" s="3"/>
    </row>
    <row r="1073">
      <c r="B1073" s="13"/>
      <c r="K1073" s="3"/>
    </row>
    <row r="1074">
      <c r="B1074" s="13"/>
      <c r="K1074" s="3"/>
    </row>
    <row r="1075">
      <c r="B1075" s="13"/>
      <c r="K1075" s="3"/>
    </row>
    <row r="1076">
      <c r="B1076" s="13"/>
      <c r="K1076" s="3"/>
    </row>
    <row r="1077">
      <c r="B1077" s="13"/>
      <c r="K1077" s="3"/>
    </row>
    <row r="1078">
      <c r="B1078" s="13"/>
      <c r="K1078" s="3"/>
    </row>
    <row r="1079">
      <c r="B1079" s="13"/>
      <c r="K1079" s="3"/>
    </row>
    <row r="1080">
      <c r="B1080" s="13"/>
      <c r="K1080" s="3"/>
    </row>
    <row r="1081">
      <c r="B1081" s="13"/>
      <c r="K1081" s="3"/>
    </row>
    <row r="1082">
      <c r="B1082" s="13"/>
      <c r="K1082" s="3"/>
    </row>
    <row r="1083">
      <c r="B1083" s="13"/>
      <c r="K1083" s="3"/>
    </row>
    <row r="1084">
      <c r="B1084" s="13"/>
      <c r="K1084" s="3"/>
    </row>
    <row r="1085">
      <c r="B1085" s="13"/>
      <c r="K1085" s="3"/>
    </row>
    <row r="1086">
      <c r="B1086" s="13"/>
      <c r="K1086" s="3"/>
    </row>
    <row r="1087">
      <c r="B1087" s="13"/>
      <c r="K1087" s="3"/>
    </row>
    <row r="1088">
      <c r="B1088" s="13"/>
      <c r="K1088" s="3"/>
    </row>
    <row r="1089">
      <c r="B1089" s="13"/>
      <c r="K1089" s="3"/>
    </row>
    <row r="1090">
      <c r="B1090" s="13"/>
      <c r="K1090" s="3"/>
    </row>
    <row r="1091">
      <c r="B1091" s="13"/>
      <c r="K1091" s="3"/>
    </row>
    <row r="1092">
      <c r="B1092" s="13"/>
      <c r="K1092" s="3"/>
    </row>
    <row r="1093">
      <c r="B1093" s="13"/>
      <c r="K1093" s="3"/>
    </row>
    <row r="1094">
      <c r="B1094" s="13"/>
      <c r="K1094" s="3"/>
    </row>
    <row r="1095">
      <c r="B1095" s="13"/>
      <c r="K1095" s="3"/>
    </row>
    <row r="1096">
      <c r="B1096" s="13"/>
      <c r="K1096" s="3"/>
    </row>
    <row r="1097">
      <c r="B1097" s="13"/>
      <c r="K1097" s="3"/>
    </row>
    <row r="1098">
      <c r="B1098" s="13"/>
      <c r="K1098" s="3"/>
    </row>
    <row r="1099">
      <c r="B1099" s="13"/>
      <c r="K1099" s="3"/>
    </row>
    <row r="1100">
      <c r="B1100" s="13"/>
      <c r="K1100" s="3"/>
    </row>
    <row r="1101">
      <c r="B1101" s="13"/>
      <c r="K1101" s="3"/>
    </row>
    <row r="1102">
      <c r="B1102" s="13"/>
      <c r="K1102" s="3"/>
    </row>
    <row r="1103">
      <c r="B1103" s="13"/>
      <c r="K1103" s="3"/>
    </row>
    <row r="1104">
      <c r="B1104" s="13"/>
      <c r="K1104" s="3"/>
    </row>
    <row r="1105">
      <c r="B1105" s="13"/>
      <c r="K1105" s="3"/>
    </row>
    <row r="1106">
      <c r="B1106" s="13"/>
      <c r="K1106" s="3"/>
    </row>
    <row r="1107">
      <c r="B1107" s="13"/>
      <c r="K1107" s="3"/>
    </row>
    <row r="1108">
      <c r="B1108" s="13"/>
      <c r="K1108" s="3"/>
    </row>
    <row r="1109">
      <c r="B1109" s="13"/>
      <c r="K1109" s="3"/>
    </row>
    <row r="1110">
      <c r="B1110" s="13"/>
      <c r="K1110" s="3"/>
    </row>
    <row r="1111">
      <c r="B1111" s="13"/>
      <c r="K1111" s="3"/>
    </row>
    <row r="1112">
      <c r="B1112" s="13"/>
      <c r="K1112" s="3"/>
    </row>
    <row r="1113">
      <c r="B1113" s="13"/>
      <c r="K1113" s="3"/>
    </row>
    <row r="1114">
      <c r="B1114" s="13"/>
      <c r="K1114" s="3"/>
    </row>
    <row r="1115">
      <c r="B1115" s="13"/>
      <c r="K1115" s="3"/>
    </row>
    <row r="1116">
      <c r="B1116" s="13"/>
      <c r="K1116" s="3"/>
    </row>
    <row r="1117">
      <c r="B1117" s="13"/>
      <c r="K1117" s="3"/>
    </row>
    <row r="1118">
      <c r="B1118" s="13"/>
      <c r="K1118" s="3"/>
    </row>
    <row r="1119">
      <c r="B1119" s="13"/>
      <c r="K1119" s="3"/>
    </row>
    <row r="1120">
      <c r="B1120" s="13"/>
      <c r="K1120" s="3"/>
    </row>
    <row r="1121">
      <c r="B1121" s="13"/>
      <c r="K1121" s="3"/>
    </row>
    <row r="1122">
      <c r="B1122" s="13"/>
      <c r="K1122" s="3"/>
    </row>
    <row r="1123">
      <c r="B1123" s="13"/>
      <c r="K1123" s="3"/>
    </row>
    <row r="1124">
      <c r="B1124" s="13"/>
      <c r="K1124" s="3"/>
    </row>
    <row r="1125">
      <c r="B1125" s="13"/>
      <c r="K1125" s="3"/>
    </row>
    <row r="1126">
      <c r="B1126" s="13"/>
      <c r="K1126" s="3"/>
    </row>
    <row r="1127">
      <c r="B1127" s="13"/>
      <c r="K1127" s="3"/>
    </row>
    <row r="1128">
      <c r="B1128" s="13"/>
      <c r="K1128" s="3"/>
    </row>
    <row r="1129">
      <c r="B1129" s="13"/>
      <c r="K1129" s="3"/>
    </row>
    <row r="1130">
      <c r="B1130" s="13"/>
      <c r="K1130" s="3"/>
    </row>
    <row r="1131">
      <c r="B1131" s="13"/>
      <c r="K1131" s="3"/>
    </row>
    <row r="1132">
      <c r="B1132" s="13"/>
      <c r="K1132" s="3"/>
    </row>
    <row r="1133">
      <c r="B1133" s="13"/>
      <c r="K1133" s="3"/>
    </row>
    <row r="1134">
      <c r="B1134" s="13"/>
      <c r="K1134" s="3"/>
    </row>
    <row r="1135">
      <c r="B1135" s="13"/>
      <c r="K1135" s="3"/>
    </row>
    <row r="1136">
      <c r="B1136" s="13"/>
      <c r="K1136" s="3"/>
    </row>
    <row r="1137">
      <c r="B1137" s="13"/>
      <c r="K1137" s="3"/>
    </row>
    <row r="1138">
      <c r="B1138" s="13"/>
      <c r="K1138" s="3"/>
    </row>
    <row r="1139">
      <c r="B1139" s="13"/>
      <c r="K1139" s="3"/>
    </row>
    <row r="1140">
      <c r="B1140" s="13"/>
      <c r="K1140" s="3"/>
    </row>
    <row r="1141">
      <c r="B1141" s="13"/>
      <c r="K1141" s="3"/>
    </row>
    <row r="1142">
      <c r="B1142" s="13"/>
      <c r="K1142" s="3"/>
    </row>
    <row r="1143">
      <c r="B1143" s="13"/>
      <c r="K1143" s="3"/>
    </row>
    <row r="1144">
      <c r="B1144" s="13"/>
      <c r="K1144" s="3"/>
    </row>
    <row r="1145">
      <c r="B1145" s="13"/>
      <c r="K1145" s="3"/>
    </row>
    <row r="1146">
      <c r="B1146" s="13"/>
      <c r="K1146" s="3"/>
    </row>
    <row r="1147">
      <c r="B1147" s="13"/>
      <c r="K1147" s="3"/>
    </row>
    <row r="1148">
      <c r="B1148" s="13"/>
      <c r="K1148" s="3"/>
    </row>
    <row r="1149">
      <c r="B1149" s="13"/>
      <c r="K1149" s="3"/>
    </row>
    <row r="1150">
      <c r="B1150" s="13"/>
      <c r="K1150" s="3"/>
    </row>
    <row r="1151">
      <c r="B1151" s="13"/>
      <c r="K1151" s="3"/>
    </row>
    <row r="1152">
      <c r="B1152" s="13"/>
      <c r="K1152" s="3"/>
    </row>
    <row r="1153">
      <c r="B1153" s="13"/>
      <c r="K1153" s="3"/>
    </row>
    <row r="1154">
      <c r="B1154" s="13"/>
      <c r="K1154" s="3"/>
    </row>
    <row r="1155">
      <c r="B1155" s="13"/>
      <c r="K1155" s="3"/>
    </row>
    <row r="1156">
      <c r="B1156" s="13"/>
      <c r="K1156" s="3"/>
    </row>
    <row r="1157">
      <c r="B1157" s="13"/>
      <c r="K1157" s="3"/>
    </row>
    <row r="1158">
      <c r="B1158" s="13"/>
      <c r="K1158" s="3"/>
    </row>
    <row r="1159">
      <c r="B1159" s="13"/>
      <c r="K1159" s="3"/>
    </row>
    <row r="1160">
      <c r="B1160" s="13"/>
      <c r="K1160" s="3"/>
    </row>
    <row r="1161">
      <c r="B1161" s="13"/>
      <c r="K1161" s="3"/>
    </row>
    <row r="1162">
      <c r="B1162" s="13"/>
      <c r="K1162" s="3"/>
    </row>
    <row r="1163">
      <c r="B1163" s="13"/>
      <c r="K1163" s="3"/>
    </row>
    <row r="1164">
      <c r="B1164" s="13"/>
      <c r="K1164" s="3"/>
    </row>
    <row r="1165">
      <c r="B1165" s="13"/>
      <c r="K1165" s="3"/>
    </row>
    <row r="1166">
      <c r="B1166" s="13"/>
      <c r="K1166" s="3"/>
    </row>
    <row r="1167">
      <c r="B1167" s="13"/>
      <c r="K1167" s="3"/>
    </row>
    <row r="1168">
      <c r="B1168" s="13"/>
      <c r="K1168" s="3"/>
    </row>
    <row r="1169">
      <c r="B1169" s="13"/>
      <c r="K1169" s="3"/>
    </row>
    <row r="1170">
      <c r="B1170" s="13"/>
      <c r="K1170" s="3"/>
    </row>
    <row r="1171">
      <c r="B1171" s="13"/>
      <c r="K1171" s="3"/>
    </row>
    <row r="1172">
      <c r="B1172" s="13"/>
      <c r="K1172" s="3"/>
    </row>
    <row r="1173">
      <c r="B1173" s="13"/>
      <c r="K1173" s="3"/>
    </row>
    <row r="1174">
      <c r="B1174" s="13"/>
      <c r="K1174" s="3"/>
    </row>
    <row r="1175">
      <c r="B1175" s="13"/>
      <c r="K1175" s="3"/>
    </row>
    <row r="1176">
      <c r="B1176" s="13"/>
      <c r="K1176" s="3"/>
    </row>
    <row r="1177">
      <c r="B1177" s="13"/>
      <c r="K1177" s="3"/>
    </row>
    <row r="1178">
      <c r="B1178" s="13"/>
      <c r="K1178" s="3"/>
    </row>
    <row r="1179">
      <c r="B1179" s="13"/>
      <c r="K1179" s="3"/>
    </row>
    <row r="1180">
      <c r="B1180" s="13"/>
      <c r="K1180" s="3"/>
    </row>
    <row r="1181">
      <c r="B1181" s="13"/>
      <c r="K1181" s="3"/>
    </row>
    <row r="1182">
      <c r="B1182" s="13"/>
      <c r="K1182" s="3"/>
    </row>
    <row r="1183">
      <c r="B1183" s="13"/>
      <c r="K1183" s="3"/>
    </row>
    <row r="1184">
      <c r="B1184" s="13"/>
      <c r="K1184" s="3"/>
    </row>
    <row r="1185">
      <c r="B1185" s="13"/>
      <c r="K1185" s="3"/>
    </row>
    <row r="1186">
      <c r="B1186" s="13"/>
      <c r="K1186" s="3"/>
    </row>
    <row r="1187">
      <c r="B1187" s="13"/>
      <c r="K1187" s="3"/>
    </row>
    <row r="1188">
      <c r="B1188" s="13"/>
      <c r="K1188" s="3"/>
    </row>
    <row r="1189">
      <c r="B1189" s="13"/>
      <c r="K1189" s="3"/>
    </row>
    <row r="1190">
      <c r="B1190" s="13"/>
      <c r="K1190" s="3"/>
    </row>
    <row r="1191">
      <c r="B1191" s="13"/>
      <c r="K1191" s="3"/>
    </row>
    <row r="1192">
      <c r="B1192" s="13"/>
      <c r="K1192" s="3"/>
    </row>
    <row r="1193">
      <c r="B1193" s="13"/>
      <c r="K1193" s="3"/>
    </row>
    <row r="1194">
      <c r="B1194" s="13"/>
      <c r="K1194" s="3"/>
    </row>
    <row r="1195">
      <c r="B1195" s="13"/>
      <c r="K1195" s="3"/>
    </row>
    <row r="1196">
      <c r="B1196" s="13"/>
      <c r="K1196" s="3"/>
    </row>
    <row r="1197">
      <c r="B1197" s="13"/>
      <c r="K1197" s="3"/>
    </row>
    <row r="1198">
      <c r="B1198" s="13"/>
      <c r="K1198" s="3"/>
    </row>
    <row r="1199">
      <c r="B1199" s="13"/>
      <c r="K1199" s="3"/>
    </row>
    <row r="1200">
      <c r="B1200" s="13"/>
      <c r="K1200" s="3"/>
    </row>
    <row r="1201">
      <c r="B1201" s="13"/>
      <c r="K1201" s="3"/>
    </row>
    <row r="1202">
      <c r="B1202" s="13"/>
      <c r="K1202" s="3"/>
    </row>
    <row r="1203">
      <c r="B1203" s="13"/>
      <c r="K1203" s="3"/>
    </row>
    <row r="1204">
      <c r="B1204" s="13"/>
      <c r="K1204" s="3"/>
    </row>
    <row r="1205">
      <c r="B1205" s="13"/>
      <c r="K1205" s="3"/>
    </row>
    <row r="1206">
      <c r="B1206" s="13"/>
      <c r="K1206" s="3"/>
    </row>
    <row r="1207">
      <c r="B1207" s="13"/>
      <c r="K1207" s="3"/>
    </row>
    <row r="1208">
      <c r="B1208" s="13"/>
      <c r="K1208" s="3"/>
    </row>
    <row r="1209">
      <c r="B1209" s="13"/>
      <c r="K1209" s="3"/>
    </row>
    <row r="1210">
      <c r="B1210" s="13"/>
      <c r="K1210" s="3"/>
    </row>
    <row r="1211">
      <c r="B1211" s="13"/>
      <c r="K1211" s="3"/>
    </row>
    <row r="1212">
      <c r="B1212" s="13"/>
      <c r="K1212" s="3"/>
    </row>
    <row r="1213">
      <c r="B1213" s="13"/>
      <c r="K1213" s="3"/>
    </row>
    <row r="1214">
      <c r="B1214" s="13"/>
      <c r="K1214" s="3"/>
    </row>
    <row r="1215">
      <c r="B1215" s="13"/>
      <c r="K1215" s="3"/>
    </row>
    <row r="1216">
      <c r="B1216" s="13"/>
      <c r="K1216" s="3"/>
    </row>
    <row r="1217">
      <c r="B1217" s="13"/>
      <c r="K1217" s="3"/>
    </row>
    <row r="1218">
      <c r="B1218" s="13"/>
      <c r="K1218" s="3"/>
    </row>
    <row r="1219">
      <c r="B1219" s="13"/>
      <c r="K1219" s="3"/>
    </row>
    <row r="1220">
      <c r="B1220" s="13"/>
      <c r="K1220" s="3"/>
    </row>
    <row r="1221">
      <c r="B1221" s="13"/>
      <c r="K1221" s="3"/>
    </row>
    <row r="1222">
      <c r="B1222" s="13"/>
      <c r="K1222" s="3"/>
    </row>
    <row r="1223">
      <c r="B1223" s="13"/>
      <c r="K1223" s="3"/>
    </row>
    <row r="1224">
      <c r="B1224" s="13"/>
      <c r="K1224" s="3"/>
    </row>
    <row r="1225">
      <c r="B1225" s="13"/>
      <c r="K1225" s="3"/>
    </row>
    <row r="1226">
      <c r="B1226" s="13"/>
      <c r="K1226" s="3"/>
    </row>
    <row r="1227">
      <c r="B1227" s="13"/>
      <c r="K1227" s="3"/>
    </row>
    <row r="1228">
      <c r="B1228" s="13"/>
      <c r="K1228" s="3"/>
    </row>
    <row r="1229">
      <c r="B1229" s="13"/>
      <c r="K1229" s="3"/>
    </row>
    <row r="1230">
      <c r="B1230" s="13"/>
      <c r="K1230" s="3"/>
    </row>
    <row r="1231">
      <c r="B1231" s="13"/>
      <c r="K1231" s="3"/>
    </row>
    <row r="1232">
      <c r="B1232" s="13"/>
      <c r="K1232" s="3"/>
    </row>
    <row r="1233">
      <c r="B1233" s="13"/>
      <c r="K1233" s="3"/>
    </row>
    <row r="1234">
      <c r="B1234" s="13"/>
      <c r="K1234" s="3"/>
    </row>
    <row r="1235">
      <c r="B1235" s="13"/>
      <c r="K1235" s="3"/>
    </row>
    <row r="1236">
      <c r="B1236" s="13"/>
      <c r="K1236" s="3"/>
    </row>
    <row r="1237">
      <c r="B1237" s="13"/>
      <c r="K1237" s="3"/>
    </row>
    <row r="1238">
      <c r="B1238" s="13"/>
      <c r="K1238" s="3"/>
    </row>
    <row r="1239">
      <c r="B1239" s="13"/>
      <c r="K1239" s="3"/>
    </row>
    <row r="1240">
      <c r="B1240" s="13"/>
      <c r="K1240" s="3"/>
    </row>
    <row r="1241">
      <c r="B1241" s="13"/>
      <c r="K1241" s="3"/>
    </row>
    <row r="1242">
      <c r="B1242" s="13"/>
      <c r="K1242" s="3"/>
    </row>
    <row r="1243">
      <c r="B1243" s="13"/>
      <c r="K1243" s="3"/>
    </row>
    <row r="1244">
      <c r="B1244" s="13"/>
      <c r="K1244" s="3"/>
    </row>
    <row r="1245">
      <c r="B1245" s="13"/>
      <c r="K1245" s="3"/>
    </row>
    <row r="1246">
      <c r="B1246" s="13"/>
      <c r="K1246" s="3"/>
    </row>
    <row r="1247">
      <c r="B1247" s="13"/>
      <c r="K1247" s="3"/>
    </row>
    <row r="1248">
      <c r="B1248" s="13"/>
      <c r="K1248" s="3"/>
    </row>
    <row r="1249">
      <c r="B1249" s="13"/>
      <c r="K1249" s="3"/>
    </row>
    <row r="1250">
      <c r="B1250" s="13"/>
      <c r="K1250" s="3"/>
    </row>
    <row r="1251">
      <c r="B1251" s="13"/>
      <c r="K1251" s="3"/>
    </row>
    <row r="1252">
      <c r="B1252" s="13"/>
      <c r="K1252" s="3"/>
    </row>
    <row r="1253">
      <c r="B1253" s="13"/>
      <c r="K1253" s="3"/>
    </row>
    <row r="1254">
      <c r="B1254" s="13"/>
      <c r="K1254" s="3"/>
    </row>
    <row r="1255">
      <c r="B1255" s="13"/>
      <c r="K1255" s="3"/>
    </row>
    <row r="1256">
      <c r="B1256" s="13"/>
      <c r="K1256" s="3"/>
    </row>
    <row r="1257">
      <c r="B1257" s="13"/>
      <c r="K1257" s="3"/>
    </row>
    <row r="1258">
      <c r="B1258" s="13"/>
      <c r="K1258" s="3"/>
    </row>
    <row r="1259">
      <c r="B1259" s="13"/>
      <c r="K1259" s="3"/>
    </row>
    <row r="1260">
      <c r="B1260" s="13"/>
      <c r="K1260" s="3"/>
    </row>
    <row r="1261">
      <c r="B1261" s="13"/>
      <c r="K1261" s="3"/>
    </row>
    <row r="1262">
      <c r="B1262" s="13"/>
      <c r="K1262" s="3"/>
    </row>
    <row r="1263">
      <c r="B1263" s="13"/>
      <c r="K1263" s="3"/>
    </row>
    <row r="1264">
      <c r="B1264" s="13"/>
      <c r="K1264" s="3"/>
    </row>
    <row r="1265">
      <c r="B1265" s="13"/>
      <c r="K1265" s="3"/>
    </row>
    <row r="1266">
      <c r="B1266" s="13"/>
      <c r="K1266" s="3"/>
    </row>
    <row r="1267">
      <c r="B1267" s="13"/>
      <c r="K1267" s="3"/>
    </row>
    <row r="1268">
      <c r="B1268" s="13"/>
      <c r="K1268" s="3"/>
    </row>
    <row r="1269">
      <c r="B1269" s="13"/>
      <c r="K1269" s="3"/>
    </row>
    <row r="1270">
      <c r="B1270" s="13"/>
      <c r="K1270" s="3"/>
    </row>
    <row r="1271">
      <c r="B1271" s="13"/>
      <c r="K1271" s="3"/>
    </row>
    <row r="1272">
      <c r="B1272" s="13"/>
      <c r="K1272" s="3"/>
    </row>
    <row r="1273">
      <c r="B1273" s="13"/>
      <c r="K1273" s="3"/>
    </row>
    <row r="1274">
      <c r="B1274" s="13"/>
      <c r="K1274" s="3"/>
    </row>
    <row r="1275">
      <c r="B1275" s="13"/>
      <c r="K1275" s="3"/>
    </row>
    <row r="1276">
      <c r="B1276" s="13"/>
      <c r="K1276" s="3"/>
    </row>
    <row r="1277">
      <c r="B1277" s="13"/>
      <c r="K1277" s="3"/>
    </row>
    <row r="1278">
      <c r="B1278" s="13"/>
      <c r="K1278" s="3"/>
    </row>
    <row r="1279">
      <c r="B1279" s="13"/>
      <c r="K1279" s="3"/>
    </row>
    <row r="1280">
      <c r="B1280" s="13"/>
      <c r="K1280" s="3"/>
    </row>
    <row r="1281">
      <c r="B1281" s="13"/>
      <c r="K1281" s="3"/>
    </row>
    <row r="1282">
      <c r="B1282" s="13"/>
      <c r="K1282" s="3"/>
    </row>
    <row r="1283">
      <c r="B1283" s="13"/>
      <c r="K1283" s="3"/>
    </row>
    <row r="1284">
      <c r="B1284" s="13"/>
      <c r="K1284" s="3"/>
    </row>
    <row r="1285">
      <c r="B1285" s="13"/>
      <c r="K1285" s="3"/>
    </row>
    <row r="1286">
      <c r="B1286" s="13"/>
      <c r="K1286" s="3"/>
    </row>
    <row r="1287">
      <c r="B1287" s="13"/>
      <c r="K1287" s="3"/>
    </row>
    <row r="1288">
      <c r="B1288" s="13"/>
      <c r="K1288" s="3"/>
    </row>
    <row r="1289">
      <c r="B1289" s="13"/>
      <c r="K1289" s="3"/>
    </row>
    <row r="1290">
      <c r="B1290" s="13"/>
      <c r="K1290" s="3"/>
    </row>
    <row r="1291">
      <c r="B1291" s="13"/>
      <c r="K1291" s="3"/>
    </row>
    <row r="1292">
      <c r="B1292" s="13"/>
      <c r="K1292" s="3"/>
    </row>
    <row r="1293">
      <c r="B1293" s="13"/>
      <c r="K1293" s="3"/>
    </row>
    <row r="1294">
      <c r="B1294" s="13"/>
      <c r="K1294" s="3"/>
    </row>
    <row r="1295">
      <c r="B1295" s="13"/>
      <c r="K1295" s="3"/>
    </row>
    <row r="1296">
      <c r="B1296" s="13"/>
      <c r="K1296" s="3"/>
    </row>
    <row r="1297">
      <c r="B1297" s="13"/>
      <c r="K1297" s="3"/>
    </row>
    <row r="1298">
      <c r="B1298" s="13"/>
      <c r="K1298" s="3"/>
    </row>
    <row r="1299">
      <c r="B1299" s="13"/>
      <c r="K1299" s="3"/>
    </row>
    <row r="1300">
      <c r="B1300" s="13"/>
      <c r="K1300" s="3"/>
    </row>
    <row r="1301">
      <c r="B1301" s="13"/>
      <c r="K1301" s="3"/>
    </row>
    <row r="1302">
      <c r="B1302" s="13"/>
      <c r="K1302" s="3"/>
    </row>
    <row r="1303">
      <c r="B1303" s="13"/>
      <c r="K1303" s="3"/>
    </row>
    <row r="1304">
      <c r="B1304" s="13"/>
      <c r="K1304" s="3"/>
    </row>
    <row r="1305">
      <c r="B1305" s="13"/>
      <c r="K1305" s="3"/>
    </row>
    <row r="1306">
      <c r="B1306" s="13"/>
      <c r="K1306" s="3"/>
    </row>
    <row r="1307">
      <c r="B1307" s="13"/>
      <c r="K1307" s="3"/>
    </row>
    <row r="1308">
      <c r="B1308" s="13"/>
      <c r="K1308" s="3"/>
    </row>
    <row r="1309">
      <c r="B1309" s="13"/>
      <c r="K1309" s="3"/>
    </row>
    <row r="1310">
      <c r="B1310" s="13"/>
      <c r="K1310" s="3"/>
    </row>
    <row r="1311">
      <c r="B1311" s="13"/>
      <c r="K1311" s="3"/>
    </row>
    <row r="1312">
      <c r="B1312" s="13"/>
      <c r="K1312" s="3"/>
    </row>
    <row r="1313">
      <c r="B1313" s="13"/>
      <c r="K1313" s="3"/>
    </row>
    <row r="1314">
      <c r="B1314" s="13"/>
      <c r="K1314" s="3"/>
    </row>
    <row r="1315">
      <c r="B1315" s="13"/>
      <c r="K1315" s="3"/>
    </row>
    <row r="1316">
      <c r="B1316" s="13"/>
      <c r="K1316" s="3"/>
    </row>
    <row r="1317">
      <c r="B1317" s="13"/>
      <c r="K1317" s="3"/>
    </row>
    <row r="1318">
      <c r="B1318" s="13"/>
      <c r="K1318" s="3"/>
    </row>
    <row r="1319">
      <c r="B1319" s="13"/>
      <c r="K1319" s="3"/>
    </row>
    <row r="1320">
      <c r="B1320" s="13"/>
      <c r="K1320" s="3"/>
    </row>
    <row r="1321">
      <c r="B1321" s="13"/>
      <c r="K1321" s="3"/>
    </row>
    <row r="1322">
      <c r="B1322" s="13"/>
      <c r="K1322" s="3"/>
    </row>
    <row r="1323">
      <c r="B1323" s="13"/>
      <c r="K1323" s="3"/>
    </row>
    <row r="1324">
      <c r="B1324" s="13"/>
      <c r="K1324" s="3"/>
    </row>
    <row r="1325">
      <c r="B1325" s="13"/>
      <c r="K1325" s="3"/>
    </row>
    <row r="1326">
      <c r="B1326" s="13"/>
      <c r="K1326" s="3"/>
    </row>
    <row r="1327">
      <c r="B1327" s="13"/>
      <c r="K1327" s="3"/>
    </row>
    <row r="1328">
      <c r="B1328" s="13"/>
      <c r="K1328" s="3"/>
    </row>
    <row r="1329">
      <c r="B1329" s="13"/>
      <c r="K1329" s="3"/>
    </row>
    <row r="1330">
      <c r="B1330" s="13"/>
      <c r="K1330" s="3"/>
    </row>
    <row r="1331">
      <c r="B1331" s="13"/>
      <c r="K1331" s="3"/>
    </row>
    <row r="1332">
      <c r="B1332" s="13"/>
      <c r="K1332" s="3"/>
    </row>
    <row r="1333">
      <c r="B1333" s="13"/>
      <c r="K1333" s="3"/>
    </row>
    <row r="1334">
      <c r="B1334" s="13"/>
      <c r="K1334" s="3"/>
    </row>
    <row r="1335">
      <c r="B1335" s="13"/>
      <c r="K1335" s="3"/>
    </row>
    <row r="1336">
      <c r="B1336" s="13"/>
      <c r="K1336" s="3"/>
    </row>
    <row r="1337">
      <c r="B1337" s="13"/>
      <c r="K1337" s="3"/>
    </row>
    <row r="1338">
      <c r="B1338" s="13"/>
      <c r="K1338" s="3"/>
    </row>
    <row r="1339">
      <c r="B1339" s="13"/>
      <c r="K1339" s="3"/>
    </row>
    <row r="1340">
      <c r="B1340" s="13"/>
      <c r="K1340" s="3"/>
    </row>
    <row r="1341">
      <c r="B1341" s="13"/>
      <c r="K1341" s="3"/>
    </row>
    <row r="1342">
      <c r="B1342" s="13"/>
      <c r="K1342" s="3"/>
    </row>
    <row r="1343">
      <c r="B1343" s="13"/>
      <c r="K1343" s="3"/>
    </row>
    <row r="1344">
      <c r="B1344" s="13"/>
      <c r="K1344" s="3"/>
    </row>
    <row r="1345">
      <c r="B1345" s="13"/>
      <c r="K1345" s="3"/>
    </row>
    <row r="1346">
      <c r="B1346" s="13"/>
      <c r="K1346" s="3"/>
    </row>
    <row r="1347">
      <c r="B1347" s="13"/>
      <c r="K1347" s="3"/>
    </row>
    <row r="1348">
      <c r="B1348" s="13"/>
      <c r="K1348" s="3"/>
    </row>
    <row r="1349">
      <c r="B1349" s="13"/>
      <c r="K1349" s="3"/>
    </row>
    <row r="1350">
      <c r="B1350" s="13"/>
      <c r="K1350" s="3"/>
    </row>
    <row r="1351">
      <c r="B1351" s="13"/>
      <c r="K1351" s="3"/>
    </row>
    <row r="1352">
      <c r="B1352" s="13"/>
      <c r="K1352" s="3"/>
    </row>
    <row r="1353">
      <c r="B1353" s="13"/>
      <c r="K1353" s="3"/>
    </row>
    <row r="1354">
      <c r="B1354" s="13"/>
      <c r="K1354" s="3"/>
    </row>
    <row r="1355">
      <c r="B1355" s="13"/>
      <c r="K1355" s="3"/>
    </row>
    <row r="1356">
      <c r="B1356" s="13"/>
      <c r="K1356" s="3"/>
    </row>
    <row r="1357">
      <c r="B1357" s="13"/>
      <c r="K1357" s="3"/>
    </row>
    <row r="1358">
      <c r="B1358" s="13"/>
      <c r="K1358" s="3"/>
    </row>
    <row r="1359">
      <c r="B1359" s="13"/>
      <c r="K1359" s="3"/>
    </row>
    <row r="1360">
      <c r="B1360" s="13"/>
      <c r="K1360" s="3"/>
    </row>
    <row r="1361">
      <c r="B1361" s="13"/>
      <c r="K1361" s="3"/>
    </row>
    <row r="1362">
      <c r="B1362" s="13"/>
      <c r="K1362" s="3"/>
    </row>
    <row r="1363">
      <c r="B1363" s="13"/>
      <c r="K1363" s="3"/>
    </row>
    <row r="1364">
      <c r="B1364" s="13"/>
      <c r="K1364" s="3"/>
    </row>
    <row r="1365">
      <c r="B1365" s="13"/>
      <c r="K1365" s="3"/>
    </row>
    <row r="1366">
      <c r="B1366" s="13"/>
      <c r="K1366" s="3"/>
    </row>
    <row r="1367">
      <c r="B1367" s="13"/>
      <c r="K1367" s="3"/>
    </row>
    <row r="1368">
      <c r="B1368" s="13"/>
      <c r="K1368" s="3"/>
    </row>
    <row r="1369">
      <c r="B1369" s="13"/>
      <c r="K1369" s="3"/>
    </row>
    <row r="1370">
      <c r="B1370" s="13"/>
      <c r="K1370" s="3"/>
    </row>
    <row r="1371">
      <c r="B1371" s="13"/>
      <c r="K1371" s="3"/>
    </row>
    <row r="1372">
      <c r="B1372" s="13"/>
      <c r="K1372" s="3"/>
    </row>
    <row r="1373">
      <c r="B1373" s="13"/>
      <c r="K1373" s="3"/>
    </row>
    <row r="1374">
      <c r="B1374" s="13"/>
      <c r="K1374" s="3"/>
    </row>
    <row r="1375">
      <c r="B1375" s="13"/>
      <c r="K1375" s="3"/>
    </row>
    <row r="1376">
      <c r="B1376" s="13"/>
      <c r="K1376" s="3"/>
    </row>
    <row r="1377">
      <c r="B1377" s="13"/>
      <c r="K1377" s="3"/>
    </row>
    <row r="1378">
      <c r="B1378" s="13"/>
      <c r="K1378" s="3"/>
    </row>
    <row r="1379">
      <c r="B1379" s="13"/>
      <c r="K1379" s="3"/>
    </row>
    <row r="1380">
      <c r="B1380" s="13"/>
      <c r="K1380" s="3"/>
    </row>
    <row r="1381">
      <c r="B1381" s="13"/>
      <c r="K1381" s="3"/>
    </row>
    <row r="1382">
      <c r="B1382" s="13"/>
      <c r="K1382" s="3"/>
    </row>
    <row r="1383">
      <c r="B1383" s="13"/>
      <c r="K1383" s="3"/>
    </row>
    <row r="1384">
      <c r="B1384" s="13"/>
      <c r="K1384" s="3"/>
    </row>
    <row r="1385">
      <c r="B1385" s="13"/>
      <c r="K1385" s="3"/>
    </row>
    <row r="1386">
      <c r="B1386" s="13"/>
      <c r="K1386" s="3"/>
    </row>
    <row r="1387">
      <c r="B1387" s="13"/>
      <c r="K1387" s="3"/>
    </row>
    <row r="1388">
      <c r="B1388" s="13"/>
      <c r="K1388" s="3"/>
    </row>
    <row r="1389">
      <c r="B1389" s="13"/>
      <c r="K1389" s="3"/>
    </row>
    <row r="1390">
      <c r="B1390" s="13"/>
      <c r="K1390" s="3"/>
    </row>
    <row r="1391">
      <c r="B1391" s="13"/>
      <c r="K1391" s="3"/>
    </row>
    <row r="1392">
      <c r="B1392" s="13"/>
      <c r="K1392" s="3"/>
    </row>
    <row r="1393">
      <c r="B1393" s="13"/>
      <c r="K1393" s="3"/>
    </row>
    <row r="1394">
      <c r="B1394" s="13"/>
      <c r="K1394" s="3"/>
    </row>
    <row r="1395">
      <c r="B1395" s="13"/>
      <c r="K1395" s="3"/>
    </row>
    <row r="1396">
      <c r="B1396" s="13"/>
      <c r="K1396" s="3"/>
    </row>
    <row r="1397">
      <c r="B1397" s="13"/>
      <c r="K1397" s="3"/>
    </row>
    <row r="1398">
      <c r="B1398" s="13"/>
      <c r="K1398" s="3"/>
    </row>
    <row r="1399">
      <c r="B1399" s="13"/>
      <c r="K1399" s="3"/>
    </row>
    <row r="1400">
      <c r="B1400" s="13"/>
      <c r="K1400" s="3"/>
    </row>
    <row r="1401">
      <c r="B1401" s="13"/>
      <c r="K1401" s="3"/>
    </row>
    <row r="1402">
      <c r="B1402" s="13"/>
      <c r="K1402" s="3"/>
    </row>
    <row r="1403">
      <c r="B1403" s="13"/>
      <c r="K1403" s="3"/>
    </row>
    <row r="1404">
      <c r="B1404" s="13"/>
      <c r="K1404" s="3"/>
    </row>
    <row r="1405">
      <c r="B1405" s="13"/>
      <c r="K1405" s="3"/>
    </row>
    <row r="1406">
      <c r="B1406" s="13"/>
      <c r="K1406" s="3"/>
    </row>
    <row r="1407">
      <c r="B1407" s="13"/>
      <c r="K1407" s="3"/>
    </row>
    <row r="1408">
      <c r="B1408" s="13"/>
      <c r="K1408" s="3"/>
    </row>
    <row r="1409">
      <c r="B1409" s="13"/>
      <c r="K1409" s="3"/>
    </row>
    <row r="1410">
      <c r="B1410" s="13"/>
      <c r="K1410" s="3"/>
    </row>
    <row r="1411">
      <c r="B1411" s="13"/>
      <c r="K1411" s="3"/>
    </row>
    <row r="1412">
      <c r="B1412" s="13"/>
      <c r="K1412" s="3"/>
    </row>
    <row r="1413">
      <c r="B1413" s="13"/>
      <c r="K1413" s="3"/>
    </row>
    <row r="1414">
      <c r="B1414" s="13"/>
      <c r="K1414" s="3"/>
    </row>
    <row r="1415">
      <c r="B1415" s="13"/>
      <c r="K1415" s="3"/>
    </row>
    <row r="1416">
      <c r="B1416" s="13"/>
      <c r="K1416" s="3"/>
    </row>
    <row r="1417">
      <c r="B1417" s="13"/>
      <c r="K1417" s="3"/>
    </row>
    <row r="1418">
      <c r="B1418" s="13"/>
      <c r="K1418" s="3"/>
    </row>
    <row r="1419">
      <c r="B1419" s="13"/>
      <c r="K1419" s="3"/>
    </row>
    <row r="1420">
      <c r="B1420" s="13"/>
      <c r="K1420" s="3"/>
    </row>
    <row r="1421">
      <c r="B1421" s="13"/>
      <c r="K1421" s="3"/>
    </row>
    <row r="1422">
      <c r="B1422" s="13"/>
      <c r="K1422" s="3"/>
    </row>
    <row r="1423">
      <c r="B1423" s="13"/>
      <c r="K1423" s="3"/>
    </row>
    <row r="1424">
      <c r="B1424" s="13"/>
      <c r="K1424" s="3"/>
    </row>
    <row r="1425">
      <c r="B1425" s="13"/>
      <c r="K1425" s="3"/>
    </row>
    <row r="1426">
      <c r="B1426" s="13"/>
      <c r="K1426" s="3"/>
    </row>
    <row r="1427">
      <c r="B1427" s="13"/>
      <c r="K1427" s="3"/>
    </row>
    <row r="1428">
      <c r="B1428" s="13"/>
      <c r="K1428" s="3"/>
    </row>
    <row r="1429">
      <c r="B1429" s="13"/>
      <c r="K1429" s="3"/>
    </row>
    <row r="1430">
      <c r="B1430" s="13"/>
      <c r="K1430" s="3"/>
    </row>
    <row r="1431">
      <c r="B1431" s="13"/>
      <c r="K1431" s="3"/>
    </row>
    <row r="1432">
      <c r="B1432" s="13"/>
      <c r="K1432" s="3"/>
    </row>
    <row r="1433">
      <c r="B1433" s="13"/>
      <c r="K1433" s="3"/>
    </row>
    <row r="1434">
      <c r="B1434" s="13"/>
      <c r="K1434" s="3"/>
    </row>
    <row r="1435">
      <c r="B1435" s="13"/>
      <c r="K1435" s="3"/>
    </row>
    <row r="1436">
      <c r="B1436" s="13"/>
      <c r="K1436" s="3"/>
    </row>
    <row r="1437">
      <c r="B1437" s="13"/>
      <c r="K1437" s="3"/>
    </row>
    <row r="1438">
      <c r="B1438" s="13"/>
      <c r="K1438" s="3"/>
    </row>
    <row r="1439">
      <c r="B1439" s="13"/>
      <c r="K1439" s="3"/>
    </row>
    <row r="1440">
      <c r="B1440" s="13"/>
      <c r="K1440" s="3"/>
    </row>
    <row r="1441">
      <c r="B1441" s="13"/>
      <c r="K1441" s="3"/>
    </row>
    <row r="1442">
      <c r="B1442" s="13"/>
      <c r="K1442" s="3"/>
    </row>
    <row r="1443">
      <c r="B1443" s="13"/>
      <c r="K1443" s="3"/>
    </row>
    <row r="1444">
      <c r="B1444" s="13"/>
      <c r="K1444" s="3"/>
    </row>
    <row r="1445">
      <c r="B1445" s="13"/>
      <c r="K1445" s="3"/>
    </row>
    <row r="1446">
      <c r="B1446" s="13"/>
      <c r="K1446" s="3"/>
    </row>
    <row r="1447">
      <c r="B1447" s="13"/>
      <c r="K1447" s="3"/>
    </row>
    <row r="1448">
      <c r="B1448" s="13"/>
      <c r="K1448" s="3"/>
    </row>
    <row r="1449">
      <c r="B1449" s="13"/>
      <c r="K1449" s="3"/>
    </row>
    <row r="1450">
      <c r="B1450" s="13"/>
      <c r="K1450" s="3"/>
    </row>
    <row r="1451">
      <c r="B1451" s="13"/>
      <c r="K1451" s="3"/>
    </row>
    <row r="1452">
      <c r="B1452" s="13"/>
      <c r="K1452" s="3"/>
    </row>
    <row r="1453">
      <c r="B1453" s="13"/>
      <c r="K1453" s="3"/>
    </row>
    <row r="1454">
      <c r="B1454" s="13"/>
      <c r="K1454" s="3"/>
    </row>
    <row r="1455">
      <c r="B1455" s="13"/>
      <c r="K1455" s="3"/>
    </row>
    <row r="1456">
      <c r="B1456" s="13"/>
      <c r="K1456" s="3"/>
    </row>
    <row r="1457">
      <c r="B1457" s="13"/>
      <c r="K1457" s="3"/>
    </row>
    <row r="1458">
      <c r="B1458" s="13"/>
      <c r="K1458" s="3"/>
    </row>
    <row r="1459">
      <c r="B1459" s="13"/>
      <c r="K1459" s="3"/>
    </row>
    <row r="1460">
      <c r="B1460" s="13"/>
      <c r="K1460" s="3"/>
    </row>
    <row r="1461">
      <c r="B1461" s="13"/>
      <c r="K1461" s="3"/>
    </row>
    <row r="1462">
      <c r="B1462" s="13"/>
      <c r="K1462" s="3"/>
    </row>
    <row r="1463">
      <c r="B1463" s="13"/>
      <c r="K1463" s="3"/>
    </row>
    <row r="1464">
      <c r="B1464" s="13"/>
      <c r="K1464" s="3"/>
    </row>
    <row r="1465">
      <c r="B1465" s="13"/>
      <c r="K1465" s="3"/>
    </row>
    <row r="1466">
      <c r="B1466" s="13"/>
      <c r="K1466" s="3"/>
    </row>
    <row r="1467">
      <c r="B1467" s="13"/>
      <c r="K1467" s="3"/>
    </row>
    <row r="1468">
      <c r="B1468" s="13"/>
      <c r="K1468" s="3"/>
    </row>
    <row r="1469">
      <c r="B1469" s="13"/>
      <c r="K1469" s="3"/>
    </row>
    <row r="1470">
      <c r="B1470" s="13"/>
      <c r="K1470" s="3"/>
    </row>
    <row r="1471">
      <c r="B1471" s="13"/>
      <c r="K1471" s="3"/>
    </row>
    <row r="1472">
      <c r="B1472" s="13"/>
      <c r="K1472" s="3"/>
    </row>
    <row r="1473">
      <c r="B1473" s="13"/>
      <c r="K1473" s="3"/>
    </row>
    <row r="1474">
      <c r="B1474" s="13"/>
      <c r="K1474" s="3"/>
    </row>
    <row r="1475">
      <c r="B1475" s="13"/>
      <c r="K1475" s="3"/>
    </row>
    <row r="1476">
      <c r="B1476" s="13"/>
      <c r="K1476" s="3"/>
    </row>
    <row r="1477">
      <c r="B1477" s="13"/>
      <c r="K1477" s="3"/>
    </row>
    <row r="1478">
      <c r="B1478" s="13"/>
      <c r="K1478" s="3"/>
    </row>
    <row r="1479">
      <c r="B1479" s="13"/>
      <c r="K1479" s="3"/>
    </row>
    <row r="1480">
      <c r="B1480" s="13"/>
      <c r="K1480" s="3"/>
    </row>
    <row r="1481">
      <c r="B1481" s="13"/>
      <c r="K1481" s="3"/>
    </row>
    <row r="1482">
      <c r="B1482" s="13"/>
      <c r="K1482" s="3"/>
    </row>
    <row r="1483">
      <c r="B1483" s="13"/>
      <c r="K1483" s="3"/>
    </row>
    <row r="1484">
      <c r="B1484" s="13"/>
      <c r="K1484" s="3"/>
    </row>
    <row r="1485">
      <c r="B1485" s="13"/>
      <c r="K1485" s="3"/>
    </row>
    <row r="1486">
      <c r="B1486" s="13"/>
      <c r="K1486" s="3"/>
    </row>
    <row r="1487">
      <c r="B1487" s="13"/>
      <c r="K1487" s="3"/>
    </row>
    <row r="1488">
      <c r="B1488" s="13"/>
      <c r="K1488" s="3"/>
    </row>
    <row r="1489">
      <c r="B1489" s="13"/>
      <c r="K1489" s="3"/>
    </row>
    <row r="1490">
      <c r="B1490" s="13"/>
      <c r="K1490" s="3"/>
    </row>
    <row r="1491">
      <c r="B1491" s="13"/>
      <c r="K1491" s="3"/>
    </row>
    <row r="1492">
      <c r="B1492" s="13"/>
      <c r="K1492" s="3"/>
    </row>
    <row r="1493">
      <c r="B1493" s="13"/>
      <c r="K1493" s="3"/>
    </row>
    <row r="1494">
      <c r="B1494" s="13"/>
      <c r="K1494" s="3"/>
    </row>
    <row r="1495">
      <c r="B1495" s="13"/>
      <c r="K1495" s="3"/>
    </row>
    <row r="1496">
      <c r="B1496" s="13"/>
      <c r="K1496" s="3"/>
    </row>
    <row r="1497">
      <c r="B1497" s="13"/>
      <c r="K1497" s="3"/>
    </row>
    <row r="1498">
      <c r="B1498" s="13"/>
      <c r="K1498" s="3"/>
    </row>
    <row r="1499">
      <c r="B1499" s="13"/>
      <c r="K1499" s="3"/>
    </row>
    <row r="1500">
      <c r="B1500" s="13"/>
      <c r="K1500" s="3"/>
    </row>
    <row r="1501">
      <c r="B1501" s="13"/>
      <c r="K1501" s="3"/>
    </row>
    <row r="1502">
      <c r="B1502" s="13"/>
      <c r="K1502" s="3"/>
    </row>
    <row r="1503">
      <c r="B1503" s="13"/>
      <c r="K1503" s="3"/>
    </row>
    <row r="1504">
      <c r="B1504" s="13"/>
      <c r="K1504" s="3"/>
    </row>
    <row r="1505">
      <c r="B1505" s="13"/>
      <c r="K1505" s="3"/>
    </row>
    <row r="1506">
      <c r="B1506" s="13"/>
      <c r="K1506" s="3"/>
    </row>
    <row r="1507">
      <c r="B1507" s="13"/>
      <c r="K1507" s="3"/>
    </row>
    <row r="1508">
      <c r="B1508" s="13"/>
      <c r="K1508" s="3"/>
    </row>
    <row r="1509">
      <c r="B1509" s="13"/>
      <c r="K1509" s="3"/>
    </row>
    <row r="1510">
      <c r="B1510" s="13"/>
      <c r="K1510" s="3"/>
    </row>
    <row r="1511">
      <c r="B1511" s="13"/>
      <c r="K1511" s="3"/>
    </row>
    <row r="1512">
      <c r="B1512" s="13"/>
      <c r="K1512" s="3"/>
    </row>
    <row r="1513">
      <c r="B1513" s="13"/>
      <c r="K1513" s="3"/>
    </row>
    <row r="1514">
      <c r="B1514" s="13"/>
      <c r="K1514" s="3"/>
    </row>
    <row r="1515">
      <c r="B1515" s="13"/>
      <c r="K1515" s="3"/>
    </row>
    <row r="1516">
      <c r="B1516" s="13"/>
      <c r="K1516" s="3"/>
    </row>
    <row r="1517">
      <c r="B1517" s="13"/>
      <c r="K1517" s="3"/>
    </row>
    <row r="1518">
      <c r="B1518" s="13"/>
      <c r="K1518" s="3"/>
    </row>
    <row r="1519">
      <c r="B1519" s="13"/>
      <c r="K1519" s="3"/>
    </row>
    <row r="1520">
      <c r="B1520" s="13"/>
      <c r="K1520" s="3"/>
    </row>
    <row r="1521">
      <c r="B1521" s="13"/>
      <c r="K1521" s="3"/>
    </row>
    <row r="1522">
      <c r="B1522" s="13"/>
      <c r="K1522" s="3"/>
    </row>
    <row r="1523">
      <c r="B1523" s="13"/>
      <c r="K1523" s="3"/>
    </row>
    <row r="1524">
      <c r="B1524" s="13"/>
      <c r="K1524" s="3"/>
    </row>
    <row r="1525">
      <c r="B1525" s="13"/>
      <c r="K1525" s="3"/>
    </row>
    <row r="1526">
      <c r="B1526" s="13"/>
      <c r="K1526" s="3"/>
    </row>
    <row r="1527">
      <c r="B1527" s="13"/>
      <c r="K1527" s="3"/>
    </row>
    <row r="1528">
      <c r="B1528" s="13"/>
      <c r="K1528" s="3"/>
    </row>
    <row r="1529">
      <c r="B1529" s="13"/>
      <c r="K1529" s="3"/>
    </row>
    <row r="1530">
      <c r="B1530" s="13"/>
      <c r="K1530" s="3"/>
    </row>
    <row r="1531">
      <c r="B1531" s="13"/>
      <c r="K1531" s="3"/>
    </row>
    <row r="1532">
      <c r="B1532" s="13"/>
      <c r="K1532" s="3"/>
    </row>
    <row r="1533">
      <c r="B1533" s="13"/>
      <c r="K1533" s="3"/>
    </row>
    <row r="1534">
      <c r="B1534" s="13"/>
      <c r="K1534" s="3"/>
    </row>
    <row r="1535">
      <c r="B1535" s="13"/>
      <c r="K1535" s="3"/>
    </row>
    <row r="1536">
      <c r="B1536" s="13"/>
      <c r="K1536" s="3"/>
    </row>
    <row r="1537">
      <c r="B1537" s="13"/>
      <c r="K1537" s="3"/>
    </row>
    <row r="1538">
      <c r="B1538" s="13"/>
      <c r="K1538" s="3"/>
    </row>
    <row r="1539">
      <c r="B1539" s="13"/>
      <c r="K1539" s="3"/>
    </row>
    <row r="1540">
      <c r="B1540" s="13"/>
      <c r="K1540" s="3"/>
    </row>
    <row r="1541">
      <c r="B1541" s="13"/>
      <c r="K1541" s="3"/>
    </row>
    <row r="1542">
      <c r="B1542" s="13"/>
      <c r="K1542" s="3"/>
    </row>
    <row r="1543">
      <c r="B1543" s="13"/>
      <c r="K1543" s="3"/>
    </row>
    <row r="1544">
      <c r="B1544" s="13"/>
      <c r="K1544" s="3"/>
    </row>
    <row r="1545">
      <c r="B1545" s="13"/>
      <c r="K1545" s="3"/>
    </row>
    <row r="1546">
      <c r="B1546" s="13"/>
      <c r="K1546" s="3"/>
    </row>
    <row r="1547">
      <c r="B1547" s="13"/>
      <c r="K1547" s="3"/>
    </row>
    <row r="1548">
      <c r="B1548" s="13"/>
      <c r="K1548" s="3"/>
    </row>
    <row r="1549">
      <c r="B1549" s="13"/>
      <c r="K1549" s="3"/>
    </row>
    <row r="1550">
      <c r="B1550" s="13"/>
      <c r="K1550" s="3"/>
    </row>
    <row r="1551">
      <c r="B1551" s="13"/>
      <c r="K1551" s="3"/>
    </row>
    <row r="1552">
      <c r="B1552" s="13"/>
      <c r="K1552" s="3"/>
    </row>
    <row r="1553">
      <c r="B1553" s="13"/>
      <c r="K1553" s="3"/>
    </row>
    <row r="1554">
      <c r="B1554" s="13"/>
      <c r="K1554" s="3"/>
    </row>
    <row r="1555">
      <c r="B1555" s="13"/>
      <c r="K1555" s="3"/>
    </row>
    <row r="1556">
      <c r="B1556" s="13"/>
      <c r="K1556" s="3"/>
    </row>
    <row r="1557">
      <c r="B1557" s="13"/>
      <c r="K1557" s="3"/>
    </row>
    <row r="1558">
      <c r="B1558" s="13"/>
      <c r="K1558" s="3"/>
    </row>
    <row r="1559">
      <c r="B1559" s="13"/>
      <c r="K1559" s="3"/>
    </row>
    <row r="1560">
      <c r="B1560" s="13"/>
      <c r="K1560" s="3"/>
    </row>
    <row r="1561">
      <c r="B1561" s="13"/>
      <c r="K1561" s="3"/>
    </row>
    <row r="1562">
      <c r="B1562" s="13"/>
      <c r="K1562" s="3"/>
    </row>
    <row r="1563">
      <c r="B1563" s="13"/>
      <c r="K1563" s="3"/>
    </row>
    <row r="1564">
      <c r="B1564" s="13"/>
      <c r="K1564" s="3"/>
    </row>
    <row r="1565">
      <c r="B1565" s="13"/>
      <c r="K1565" s="3"/>
    </row>
  </sheetData>
  <drawing r:id="rId1"/>
</worksheet>
</file>